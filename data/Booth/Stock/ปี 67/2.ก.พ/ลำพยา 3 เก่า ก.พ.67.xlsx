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D6B7A7FA-9D57-408F-B895-3CC1131302EE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วันที่ 31.1" sheetId="35" r:id="rId2"/>
    <sheet name="วันที่ 1" sheetId="34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 7" sheetId="41" r:id="rId9"/>
    <sheet name="วันที่  8" sheetId="42" r:id="rId10"/>
    <sheet name="วันที่  9" sheetId="43" r:id="rId11"/>
    <sheet name="วันที่  10" sheetId="44" r:id="rId12"/>
    <sheet name="วันที่  11" sheetId="45" r:id="rId13"/>
    <sheet name="วันที่  12" sheetId="46" r:id="rId14"/>
    <sheet name="วันที่  13" sheetId="47" r:id="rId15"/>
    <sheet name="วันที่ 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8" r:id="rId25"/>
    <sheet name="วันที่ 24" sheetId="59" r:id="rId26"/>
    <sheet name="วันที่ 25" sheetId="60" r:id="rId27"/>
    <sheet name="วันที่ 26" sheetId="61" r:id="rId28"/>
    <sheet name="วันที่ 27" sheetId="62" r:id="rId29"/>
    <sheet name="วันที่ 28" sheetId="63" r:id="rId30"/>
    <sheet name="วันที่ 29" sheetId="64" r:id="rId31"/>
    <sheet name="วันที่ 30" sheetId="65" r:id="rId32"/>
    <sheet name="วันที่ 31" sheetId="66" r:id="rId33"/>
  </sheets>
  <externalReferences>
    <externalReference r:id="rId34"/>
  </externalReferences>
  <definedNames>
    <definedName name="_xlnm._FilterDatabase" localSheetId="11" hidden="1">'วันที่  10'!$A$4:$Z$216</definedName>
    <definedName name="_xlnm._FilterDatabase" localSheetId="12" hidden="1">'วันที่  11'!$A$4:$Z$216</definedName>
    <definedName name="_xlnm._FilterDatabase" localSheetId="13" hidden="1">'วันที่  12'!$A$4:$Z$216</definedName>
    <definedName name="_xlnm._FilterDatabase" localSheetId="14" hidden="1">'วันที่  13'!$A$4:$Z$216</definedName>
    <definedName name="_xlnm._FilterDatabase" localSheetId="15" hidden="1">'วันที่  14'!$A$4:$Z$216</definedName>
    <definedName name="_xlnm._FilterDatabase" localSheetId="8" hidden="1">'วันที่  7'!$A$4:$Z$4</definedName>
    <definedName name="_xlnm._FilterDatabase" localSheetId="9" hidden="1">'วันที่  8'!$A$4:$Z$216</definedName>
    <definedName name="_xlnm._FilterDatabase" localSheetId="10" hidden="1">'วันที่  9'!$A$4:$Z$216</definedName>
    <definedName name="_xlnm._FilterDatabase" localSheetId="2" hidden="1">'วันที่ 1'!$A$1:$Y$216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1" hidden="1">'วันที่ 31.1'!$A$1:$Y$216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2" i="43" l="1"/>
  <c r="K212" i="40"/>
  <c r="K220" i="35"/>
  <c r="K212" i="35"/>
  <c r="K209" i="35"/>
  <c r="K219" i="35" s="1"/>
  <c r="J204" i="35"/>
  <c r="M204" i="35" s="1"/>
  <c r="C204" i="35"/>
  <c r="E204" i="35" s="1"/>
  <c r="G204" i="35" s="1"/>
  <c r="M203" i="35"/>
  <c r="J203" i="35"/>
  <c r="C203" i="35"/>
  <c r="E203" i="35" s="1"/>
  <c r="G203" i="35" s="1"/>
  <c r="C203" i="34" s="1"/>
  <c r="J202" i="35"/>
  <c r="M202" i="35" s="1"/>
  <c r="C202" i="35"/>
  <c r="E202" i="35" s="1"/>
  <c r="G202" i="35" s="1"/>
  <c r="C202" i="34" s="1"/>
  <c r="J201" i="35"/>
  <c r="M201" i="35" s="1"/>
  <c r="C201" i="35"/>
  <c r="E201" i="35" s="1"/>
  <c r="G201" i="35" s="1"/>
  <c r="J200" i="35"/>
  <c r="M200" i="35" s="1"/>
  <c r="C200" i="35"/>
  <c r="E200" i="35" s="1"/>
  <c r="G200" i="35" s="1"/>
  <c r="C200" i="34" s="1"/>
  <c r="M199" i="35"/>
  <c r="J199" i="35"/>
  <c r="C199" i="35"/>
  <c r="E199" i="35" s="1"/>
  <c r="G199" i="35" s="1"/>
  <c r="J198" i="35"/>
  <c r="M198" i="35" s="1"/>
  <c r="C198" i="35"/>
  <c r="E198" i="35" s="1"/>
  <c r="G198" i="35" s="1"/>
  <c r="C198" i="34" s="1"/>
  <c r="J197" i="35"/>
  <c r="M197" i="35" s="1"/>
  <c r="C197" i="35"/>
  <c r="E197" i="35" s="1"/>
  <c r="G197" i="35" s="1"/>
  <c r="C197" i="34" s="1"/>
  <c r="J196" i="35"/>
  <c r="M196" i="35" s="1"/>
  <c r="C196" i="35"/>
  <c r="E196" i="35" s="1"/>
  <c r="G196" i="35" s="1"/>
  <c r="J195" i="35"/>
  <c r="M195" i="35" s="1"/>
  <c r="C195" i="35"/>
  <c r="E195" i="35" s="1"/>
  <c r="G195" i="35" s="1"/>
  <c r="J194" i="35"/>
  <c r="M194" i="35" s="1"/>
  <c r="C194" i="35"/>
  <c r="E194" i="35" s="1"/>
  <c r="G194" i="35" s="1"/>
  <c r="C194" i="34" s="1"/>
  <c r="M193" i="35"/>
  <c r="J193" i="35"/>
  <c r="C193" i="35"/>
  <c r="E193" i="35" s="1"/>
  <c r="G193" i="35" s="1"/>
  <c r="J192" i="35"/>
  <c r="M192" i="35" s="1"/>
  <c r="C192" i="35"/>
  <c r="E192" i="35" s="1"/>
  <c r="G192" i="35" s="1"/>
  <c r="C192" i="34" s="1"/>
  <c r="J191" i="35"/>
  <c r="M191" i="35" s="1"/>
  <c r="C191" i="35"/>
  <c r="E191" i="35" s="1"/>
  <c r="G191" i="35" s="1"/>
  <c r="J190" i="35"/>
  <c r="M190" i="35" s="1"/>
  <c r="C190" i="35"/>
  <c r="E190" i="35" s="1"/>
  <c r="G190" i="35" s="1"/>
  <c r="C190" i="34" s="1"/>
  <c r="J189" i="35"/>
  <c r="M189" i="35" s="1"/>
  <c r="C189" i="35"/>
  <c r="E189" i="35" s="1"/>
  <c r="G189" i="35" s="1"/>
  <c r="C189" i="34" s="1"/>
  <c r="J188" i="35"/>
  <c r="M188" i="35" s="1"/>
  <c r="C188" i="35"/>
  <c r="E188" i="35" s="1"/>
  <c r="G188" i="35" s="1"/>
  <c r="M187" i="35"/>
  <c r="J187" i="35"/>
  <c r="C187" i="35"/>
  <c r="E187" i="35" s="1"/>
  <c r="G187" i="35" s="1"/>
  <c r="J186" i="35"/>
  <c r="M186" i="35" s="1"/>
  <c r="C186" i="35"/>
  <c r="E186" i="35" s="1"/>
  <c r="G186" i="35" s="1"/>
  <c r="C186" i="34" s="1"/>
  <c r="J185" i="35"/>
  <c r="M185" i="35" s="1"/>
  <c r="C185" i="35"/>
  <c r="E185" i="35" s="1"/>
  <c r="G185" i="35" s="1"/>
  <c r="J184" i="35"/>
  <c r="M184" i="35" s="1"/>
  <c r="C184" i="35"/>
  <c r="E184" i="35" s="1"/>
  <c r="G184" i="35" s="1"/>
  <c r="C184" i="34" s="1"/>
  <c r="M183" i="35"/>
  <c r="J183" i="35"/>
  <c r="C183" i="35"/>
  <c r="E183" i="35" s="1"/>
  <c r="G183" i="35" s="1"/>
  <c r="J182" i="35"/>
  <c r="M182" i="35" s="1"/>
  <c r="C182" i="35"/>
  <c r="E182" i="35" s="1"/>
  <c r="G182" i="35" s="1"/>
  <c r="C182" i="34" s="1"/>
  <c r="J181" i="35"/>
  <c r="M181" i="35" s="1"/>
  <c r="C181" i="35"/>
  <c r="E181" i="35" s="1"/>
  <c r="G181" i="35" s="1"/>
  <c r="C181" i="34" s="1"/>
  <c r="J180" i="35"/>
  <c r="M180" i="35" s="1"/>
  <c r="C180" i="35"/>
  <c r="E180" i="35" s="1"/>
  <c r="G180" i="35" s="1"/>
  <c r="J179" i="35"/>
  <c r="M179" i="35" s="1"/>
  <c r="C179" i="35"/>
  <c r="E179" i="35" s="1"/>
  <c r="G179" i="35" s="1"/>
  <c r="J178" i="35"/>
  <c r="M178" i="35" s="1"/>
  <c r="E178" i="35"/>
  <c r="G178" i="35" s="1"/>
  <c r="C178" i="34" s="1"/>
  <c r="C178" i="16" s="1"/>
  <c r="C178" i="35"/>
  <c r="M177" i="35"/>
  <c r="J177" i="35"/>
  <c r="C177" i="35"/>
  <c r="E177" i="35" s="1"/>
  <c r="G177" i="35" s="1"/>
  <c r="C177" i="34" s="1"/>
  <c r="J176" i="35"/>
  <c r="M176" i="35" s="1"/>
  <c r="C176" i="35"/>
  <c r="E176" i="35" s="1"/>
  <c r="G176" i="35" s="1"/>
  <c r="C176" i="34" s="1"/>
  <c r="M175" i="35"/>
  <c r="J175" i="35"/>
  <c r="C175" i="35"/>
  <c r="E175" i="35" s="1"/>
  <c r="G175" i="35" s="1"/>
  <c r="J174" i="35"/>
  <c r="M174" i="35" s="1"/>
  <c r="C174" i="35"/>
  <c r="E174" i="35" s="1"/>
  <c r="G174" i="35" s="1"/>
  <c r="C174" i="34" s="1"/>
  <c r="J173" i="35"/>
  <c r="M173" i="35" s="1"/>
  <c r="C173" i="35"/>
  <c r="E173" i="35" s="1"/>
  <c r="G173" i="35" s="1"/>
  <c r="C173" i="34" s="1"/>
  <c r="J172" i="35"/>
  <c r="M172" i="35" s="1"/>
  <c r="C172" i="35"/>
  <c r="E172" i="35" s="1"/>
  <c r="G172" i="35" s="1"/>
  <c r="M171" i="35"/>
  <c r="J171" i="35"/>
  <c r="C171" i="35"/>
  <c r="E171" i="35" s="1"/>
  <c r="G171" i="35" s="1"/>
  <c r="J170" i="35"/>
  <c r="M170" i="35" s="1"/>
  <c r="C170" i="35"/>
  <c r="E170" i="35" s="1"/>
  <c r="G170" i="35" s="1"/>
  <c r="C170" i="34" s="1"/>
  <c r="M169" i="35"/>
  <c r="J169" i="35"/>
  <c r="C169" i="35"/>
  <c r="E169" i="35" s="1"/>
  <c r="G169" i="35" s="1"/>
  <c r="C169" i="34" s="1"/>
  <c r="J168" i="35"/>
  <c r="M168" i="35" s="1"/>
  <c r="C168" i="35"/>
  <c r="E168" i="35" s="1"/>
  <c r="G168" i="35" s="1"/>
  <c r="C168" i="34" s="1"/>
  <c r="J167" i="35"/>
  <c r="M167" i="35" s="1"/>
  <c r="C167" i="35"/>
  <c r="E167" i="35" s="1"/>
  <c r="G167" i="35" s="1"/>
  <c r="J166" i="35"/>
  <c r="M166" i="35" s="1"/>
  <c r="C166" i="35"/>
  <c r="E166" i="35" s="1"/>
  <c r="G166" i="35" s="1"/>
  <c r="C166" i="34" s="1"/>
  <c r="J165" i="35"/>
  <c r="M165" i="35" s="1"/>
  <c r="C165" i="35"/>
  <c r="E165" i="35" s="1"/>
  <c r="G165" i="35" s="1"/>
  <c r="J164" i="35"/>
  <c r="M164" i="35" s="1"/>
  <c r="C164" i="35"/>
  <c r="E164" i="35" s="1"/>
  <c r="G164" i="35" s="1"/>
  <c r="J163" i="35"/>
  <c r="M163" i="35" s="1"/>
  <c r="C163" i="35"/>
  <c r="E163" i="35" s="1"/>
  <c r="G163" i="35" s="1"/>
  <c r="M162" i="35"/>
  <c r="J162" i="35"/>
  <c r="C162" i="35"/>
  <c r="E162" i="35" s="1"/>
  <c r="G162" i="35" s="1"/>
  <c r="C162" i="34" s="1"/>
  <c r="C162" i="16" s="1"/>
  <c r="J161" i="35"/>
  <c r="M161" i="35" s="1"/>
  <c r="C161" i="35"/>
  <c r="E161" i="35" s="1"/>
  <c r="G161" i="35" s="1"/>
  <c r="C161" i="34" s="1"/>
  <c r="J160" i="35"/>
  <c r="M160" i="35" s="1"/>
  <c r="C160" i="35"/>
  <c r="E160" i="35" s="1"/>
  <c r="G160" i="35" s="1"/>
  <c r="C160" i="34" s="1"/>
  <c r="M159" i="35"/>
  <c r="J159" i="35"/>
  <c r="C159" i="35"/>
  <c r="E159" i="35" s="1"/>
  <c r="G159" i="35" s="1"/>
  <c r="C159" i="34" s="1"/>
  <c r="C159" i="16" s="1"/>
  <c r="J158" i="35"/>
  <c r="M158" i="35" s="1"/>
  <c r="C158" i="35"/>
  <c r="E158" i="35" s="1"/>
  <c r="G158" i="35" s="1"/>
  <c r="C158" i="34" s="1"/>
  <c r="J157" i="35"/>
  <c r="M157" i="35" s="1"/>
  <c r="C157" i="35"/>
  <c r="E157" i="35" s="1"/>
  <c r="G157" i="35" s="1"/>
  <c r="C157" i="34" s="1"/>
  <c r="J156" i="35"/>
  <c r="M156" i="35" s="1"/>
  <c r="C156" i="35"/>
  <c r="E156" i="35" s="1"/>
  <c r="G156" i="35" s="1"/>
  <c r="C156" i="34" s="1"/>
  <c r="J155" i="35"/>
  <c r="M155" i="35" s="1"/>
  <c r="C155" i="35"/>
  <c r="E155" i="35" s="1"/>
  <c r="G155" i="35" s="1"/>
  <c r="J154" i="35"/>
  <c r="M154" i="35" s="1"/>
  <c r="C154" i="35"/>
  <c r="E154" i="35" s="1"/>
  <c r="G154" i="35" s="1"/>
  <c r="C154" i="34" s="1"/>
  <c r="J153" i="35"/>
  <c r="M153" i="35" s="1"/>
  <c r="C153" i="35"/>
  <c r="E153" i="35" s="1"/>
  <c r="G153" i="35" s="1"/>
  <c r="C153" i="34" s="1"/>
  <c r="J152" i="35"/>
  <c r="M152" i="35" s="1"/>
  <c r="C152" i="35"/>
  <c r="E152" i="35" s="1"/>
  <c r="G152" i="35" s="1"/>
  <c r="C152" i="34" s="1"/>
  <c r="E152" i="34" s="1"/>
  <c r="G152" i="34" s="1"/>
  <c r="C152" i="36" s="1"/>
  <c r="E152" i="36" s="1"/>
  <c r="G152" i="36" s="1"/>
  <c r="C152" i="37" s="1"/>
  <c r="E152" i="37" s="1"/>
  <c r="G152" i="37" s="1"/>
  <c r="C152" i="38" s="1"/>
  <c r="E152" i="38" s="1"/>
  <c r="G152" i="38" s="1"/>
  <c r="J151" i="35"/>
  <c r="M151" i="35" s="1"/>
  <c r="C151" i="35"/>
  <c r="E151" i="35" s="1"/>
  <c r="G151" i="35" s="1"/>
  <c r="C151" i="34" s="1"/>
  <c r="J150" i="35"/>
  <c r="M150" i="35" s="1"/>
  <c r="C150" i="35"/>
  <c r="E150" i="35" s="1"/>
  <c r="G150" i="35" s="1"/>
  <c r="C150" i="34" s="1"/>
  <c r="J149" i="35"/>
  <c r="M149" i="35" s="1"/>
  <c r="C149" i="35"/>
  <c r="E149" i="35" s="1"/>
  <c r="G149" i="35" s="1"/>
  <c r="C149" i="34" s="1"/>
  <c r="J148" i="35"/>
  <c r="M148" i="35" s="1"/>
  <c r="C148" i="35"/>
  <c r="E148" i="35" s="1"/>
  <c r="G148" i="35" s="1"/>
  <c r="J147" i="35"/>
  <c r="M147" i="35" s="1"/>
  <c r="C147" i="35"/>
  <c r="E147" i="35" s="1"/>
  <c r="G147" i="35" s="1"/>
  <c r="M146" i="35"/>
  <c r="J146" i="35"/>
  <c r="C146" i="35"/>
  <c r="E146" i="35" s="1"/>
  <c r="G146" i="35" s="1"/>
  <c r="C146" i="34" s="1"/>
  <c r="M145" i="35"/>
  <c r="J145" i="35"/>
  <c r="C145" i="35"/>
  <c r="E145" i="35" s="1"/>
  <c r="G145" i="35" s="1"/>
  <c r="C145" i="34" s="1"/>
  <c r="J144" i="35"/>
  <c r="M144" i="35" s="1"/>
  <c r="C144" i="35"/>
  <c r="E144" i="35" s="1"/>
  <c r="G144" i="35" s="1"/>
  <c r="C144" i="34" s="1"/>
  <c r="M143" i="35"/>
  <c r="J143" i="35"/>
  <c r="C143" i="35"/>
  <c r="E143" i="35" s="1"/>
  <c r="G143" i="35" s="1"/>
  <c r="J142" i="35"/>
  <c r="M142" i="35" s="1"/>
  <c r="C142" i="35"/>
  <c r="E142" i="35" s="1"/>
  <c r="G142" i="35" s="1"/>
  <c r="C142" i="34" s="1"/>
  <c r="J141" i="35"/>
  <c r="M141" i="35" s="1"/>
  <c r="C141" i="35"/>
  <c r="E141" i="35" s="1"/>
  <c r="G141" i="35" s="1"/>
  <c r="C141" i="34" s="1"/>
  <c r="J140" i="35"/>
  <c r="M140" i="35" s="1"/>
  <c r="C140" i="35"/>
  <c r="E140" i="35" s="1"/>
  <c r="G140" i="35" s="1"/>
  <c r="C140" i="34" s="1"/>
  <c r="J139" i="35"/>
  <c r="M139" i="35" s="1"/>
  <c r="C139" i="35"/>
  <c r="E139" i="35" s="1"/>
  <c r="G139" i="35" s="1"/>
  <c r="J138" i="35"/>
  <c r="M138" i="35" s="1"/>
  <c r="E138" i="35"/>
  <c r="G138" i="35" s="1"/>
  <c r="C138" i="35"/>
  <c r="M137" i="35"/>
  <c r="J137" i="35"/>
  <c r="C137" i="35"/>
  <c r="E137" i="35" s="1"/>
  <c r="G137" i="35" s="1"/>
  <c r="C137" i="34" s="1"/>
  <c r="J136" i="35"/>
  <c r="M136" i="35" s="1"/>
  <c r="C136" i="35"/>
  <c r="E136" i="35" s="1"/>
  <c r="G136" i="35" s="1"/>
  <c r="C136" i="34" s="1"/>
  <c r="J135" i="35"/>
  <c r="M135" i="35" s="1"/>
  <c r="C135" i="35"/>
  <c r="E135" i="35" s="1"/>
  <c r="G135" i="35" s="1"/>
  <c r="J134" i="35"/>
  <c r="M134" i="35" s="1"/>
  <c r="C134" i="35"/>
  <c r="E134" i="35" s="1"/>
  <c r="G134" i="35" s="1"/>
  <c r="C134" i="34" s="1"/>
  <c r="J133" i="35"/>
  <c r="M133" i="35" s="1"/>
  <c r="C133" i="35"/>
  <c r="E133" i="35" s="1"/>
  <c r="G133" i="35" s="1"/>
  <c r="C133" i="34" s="1"/>
  <c r="J132" i="35"/>
  <c r="M132" i="35" s="1"/>
  <c r="C132" i="35"/>
  <c r="E132" i="35" s="1"/>
  <c r="G132" i="35" s="1"/>
  <c r="M131" i="35"/>
  <c r="J131" i="35"/>
  <c r="C131" i="35"/>
  <c r="E131" i="35" s="1"/>
  <c r="G131" i="35" s="1"/>
  <c r="J130" i="35"/>
  <c r="M130" i="35" s="1"/>
  <c r="C130" i="35"/>
  <c r="E130" i="35" s="1"/>
  <c r="G130" i="35" s="1"/>
  <c r="C130" i="34" s="1"/>
  <c r="J129" i="35"/>
  <c r="M129" i="35" s="1"/>
  <c r="E129" i="35"/>
  <c r="G129" i="35" s="1"/>
  <c r="C129" i="34" s="1"/>
  <c r="C129" i="35"/>
  <c r="J128" i="35"/>
  <c r="M128" i="35" s="1"/>
  <c r="C128" i="35"/>
  <c r="E128" i="35" s="1"/>
  <c r="G128" i="35" s="1"/>
  <c r="M127" i="35"/>
  <c r="J127" i="35"/>
  <c r="C127" i="35"/>
  <c r="E127" i="35" s="1"/>
  <c r="G127" i="35" s="1"/>
  <c r="C127" i="34" s="1"/>
  <c r="C127" i="16" s="1"/>
  <c r="J126" i="35"/>
  <c r="M126" i="35" s="1"/>
  <c r="C126" i="35"/>
  <c r="E126" i="35" s="1"/>
  <c r="G126" i="35" s="1"/>
  <c r="C126" i="34" s="1"/>
  <c r="J125" i="35"/>
  <c r="M125" i="35" s="1"/>
  <c r="C125" i="35"/>
  <c r="E125" i="35" s="1"/>
  <c r="G125" i="35" s="1"/>
  <c r="C125" i="34" s="1"/>
  <c r="J124" i="35"/>
  <c r="M124" i="35" s="1"/>
  <c r="C124" i="35"/>
  <c r="E124" i="35" s="1"/>
  <c r="G124" i="35" s="1"/>
  <c r="C124" i="34" s="1"/>
  <c r="J123" i="35"/>
  <c r="M123" i="35" s="1"/>
  <c r="C123" i="35"/>
  <c r="E123" i="35" s="1"/>
  <c r="G123" i="35" s="1"/>
  <c r="J122" i="35"/>
  <c r="M122" i="35" s="1"/>
  <c r="C122" i="35"/>
  <c r="E122" i="35" s="1"/>
  <c r="G122" i="35" s="1"/>
  <c r="M121" i="35"/>
  <c r="J121" i="35"/>
  <c r="C121" i="35"/>
  <c r="E121" i="35" s="1"/>
  <c r="G121" i="35" s="1"/>
  <c r="C121" i="34" s="1"/>
  <c r="J120" i="35"/>
  <c r="M120" i="35" s="1"/>
  <c r="C120" i="35"/>
  <c r="E120" i="35" s="1"/>
  <c r="G120" i="35" s="1"/>
  <c r="J119" i="35"/>
  <c r="M119" i="35" s="1"/>
  <c r="C119" i="35"/>
  <c r="E119" i="35" s="1"/>
  <c r="G119" i="35" s="1"/>
  <c r="J118" i="35"/>
  <c r="M118" i="35" s="1"/>
  <c r="C118" i="35"/>
  <c r="E118" i="35" s="1"/>
  <c r="G118" i="35" s="1"/>
  <c r="C118" i="34" s="1"/>
  <c r="J117" i="35"/>
  <c r="M117" i="35" s="1"/>
  <c r="C117" i="35"/>
  <c r="E117" i="35" s="1"/>
  <c r="G117" i="35" s="1"/>
  <c r="C117" i="34" s="1"/>
  <c r="J116" i="35"/>
  <c r="M116" i="35" s="1"/>
  <c r="C116" i="35"/>
  <c r="E116" i="35" s="1"/>
  <c r="G116" i="35" s="1"/>
  <c r="M115" i="35"/>
  <c r="J115" i="35"/>
  <c r="C115" i="35"/>
  <c r="E115" i="35" s="1"/>
  <c r="G115" i="35" s="1"/>
  <c r="C115" i="34" s="1"/>
  <c r="J114" i="35"/>
  <c r="M114" i="35" s="1"/>
  <c r="C114" i="35"/>
  <c r="E114" i="35" s="1"/>
  <c r="G114" i="35" s="1"/>
  <c r="C114" i="34" s="1"/>
  <c r="M113" i="35"/>
  <c r="J113" i="35"/>
  <c r="C113" i="35"/>
  <c r="E113" i="35" s="1"/>
  <c r="G113" i="35" s="1"/>
  <c r="C113" i="34" s="1"/>
  <c r="J112" i="35"/>
  <c r="M112" i="35" s="1"/>
  <c r="C112" i="35"/>
  <c r="E112" i="35" s="1"/>
  <c r="G112" i="35" s="1"/>
  <c r="C112" i="34" s="1"/>
  <c r="J111" i="35"/>
  <c r="M111" i="35" s="1"/>
  <c r="C111" i="35"/>
  <c r="E111" i="35" s="1"/>
  <c r="G111" i="35" s="1"/>
  <c r="J110" i="35"/>
  <c r="M110" i="35" s="1"/>
  <c r="C110" i="35"/>
  <c r="E110" i="35" s="1"/>
  <c r="G110" i="35" s="1"/>
  <c r="C110" i="34" s="1"/>
  <c r="J109" i="35"/>
  <c r="M109" i="35" s="1"/>
  <c r="C109" i="35"/>
  <c r="E109" i="35" s="1"/>
  <c r="G109" i="35" s="1"/>
  <c r="C109" i="34" s="1"/>
  <c r="J108" i="35"/>
  <c r="M108" i="35" s="1"/>
  <c r="C108" i="35"/>
  <c r="E108" i="35" s="1"/>
  <c r="G108" i="35" s="1"/>
  <c r="C108" i="34" s="1"/>
  <c r="J107" i="35"/>
  <c r="M107" i="35" s="1"/>
  <c r="C107" i="35"/>
  <c r="E107" i="35" s="1"/>
  <c r="G107" i="35" s="1"/>
  <c r="C107" i="34" s="1"/>
  <c r="J106" i="35"/>
  <c r="M106" i="35" s="1"/>
  <c r="C106" i="35"/>
  <c r="E106" i="35" s="1"/>
  <c r="G106" i="35" s="1"/>
  <c r="C106" i="34" s="1"/>
  <c r="Z105" i="35"/>
  <c r="M105" i="35"/>
  <c r="J105" i="35"/>
  <c r="C105" i="35"/>
  <c r="E105" i="35" s="1"/>
  <c r="G105" i="35" s="1"/>
  <c r="X104" i="35"/>
  <c r="S104" i="35"/>
  <c r="U104" i="35" s="1"/>
  <c r="J104" i="35"/>
  <c r="M104" i="35" s="1"/>
  <c r="C104" i="35"/>
  <c r="E104" i="35" s="1"/>
  <c r="G104" i="35" s="1"/>
  <c r="C104" i="34" s="1"/>
  <c r="X103" i="35"/>
  <c r="S103" i="35"/>
  <c r="U103" i="35" s="1"/>
  <c r="J103" i="35"/>
  <c r="M103" i="35" s="1"/>
  <c r="C103" i="35"/>
  <c r="E103" i="35" s="1"/>
  <c r="G103" i="35" s="1"/>
  <c r="X102" i="35"/>
  <c r="U102" i="35"/>
  <c r="S102" i="35"/>
  <c r="J102" i="35"/>
  <c r="M102" i="35" s="1"/>
  <c r="C102" i="35"/>
  <c r="E102" i="35" s="1"/>
  <c r="G102" i="35" s="1"/>
  <c r="X101" i="35"/>
  <c r="S101" i="35"/>
  <c r="U101" i="35" s="1"/>
  <c r="M101" i="35"/>
  <c r="J101" i="35"/>
  <c r="C101" i="35"/>
  <c r="E101" i="35" s="1"/>
  <c r="G101" i="35" s="1"/>
  <c r="C101" i="34" s="1"/>
  <c r="X100" i="35"/>
  <c r="S100" i="35"/>
  <c r="U100" i="35" s="1"/>
  <c r="J100" i="35"/>
  <c r="M100" i="35" s="1"/>
  <c r="C100" i="35"/>
  <c r="E100" i="35" s="1"/>
  <c r="G100" i="35" s="1"/>
  <c r="C100" i="34" s="1"/>
  <c r="X99" i="35"/>
  <c r="S99" i="35"/>
  <c r="U99" i="35" s="1"/>
  <c r="J99" i="35"/>
  <c r="M99" i="35" s="1"/>
  <c r="C99" i="35"/>
  <c r="E99" i="35" s="1"/>
  <c r="G99" i="35" s="1"/>
  <c r="X98" i="35"/>
  <c r="U98" i="35"/>
  <c r="S98" i="35"/>
  <c r="J98" i="35"/>
  <c r="M98" i="35" s="1"/>
  <c r="C98" i="35"/>
  <c r="E98" i="35" s="1"/>
  <c r="G98" i="35" s="1"/>
  <c r="X97" i="35"/>
  <c r="S97" i="35"/>
  <c r="U97" i="35" s="1"/>
  <c r="M97" i="35"/>
  <c r="J97" i="35"/>
  <c r="C97" i="35"/>
  <c r="E97" i="35" s="1"/>
  <c r="G97" i="35" s="1"/>
  <c r="C97" i="34" s="1"/>
  <c r="X96" i="35"/>
  <c r="S96" i="35"/>
  <c r="U96" i="35" s="1"/>
  <c r="J96" i="35"/>
  <c r="M96" i="35" s="1"/>
  <c r="C96" i="35"/>
  <c r="E96" i="35" s="1"/>
  <c r="G96" i="35" s="1"/>
  <c r="C96" i="34" s="1"/>
  <c r="X95" i="35"/>
  <c r="U95" i="35"/>
  <c r="S95" i="35"/>
  <c r="J95" i="35"/>
  <c r="M95" i="35" s="1"/>
  <c r="C95" i="35"/>
  <c r="E95" i="35" s="1"/>
  <c r="G95" i="35" s="1"/>
  <c r="X94" i="35"/>
  <c r="U94" i="35"/>
  <c r="S94" i="35"/>
  <c r="M94" i="35"/>
  <c r="J94" i="35"/>
  <c r="C94" i="35"/>
  <c r="E94" i="35" s="1"/>
  <c r="G94" i="35" s="1"/>
  <c r="X93" i="35"/>
  <c r="S93" i="35"/>
  <c r="U93" i="35" s="1"/>
  <c r="M93" i="35"/>
  <c r="J93" i="35"/>
  <c r="C93" i="35"/>
  <c r="E93" i="35" s="1"/>
  <c r="G93" i="35" s="1"/>
  <c r="C93" i="34" s="1"/>
  <c r="X92" i="35"/>
  <c r="S92" i="35"/>
  <c r="U92" i="35" s="1"/>
  <c r="J92" i="35"/>
  <c r="M92" i="35" s="1"/>
  <c r="C92" i="35"/>
  <c r="E92" i="35" s="1"/>
  <c r="G92" i="35" s="1"/>
  <c r="X91" i="35"/>
  <c r="U91" i="35"/>
  <c r="S91" i="35"/>
  <c r="J91" i="35"/>
  <c r="M91" i="35" s="1"/>
  <c r="C91" i="35"/>
  <c r="E91" i="35" s="1"/>
  <c r="G91" i="35" s="1"/>
  <c r="X90" i="35"/>
  <c r="U90" i="35"/>
  <c r="S90" i="35"/>
  <c r="M90" i="35"/>
  <c r="J90" i="35"/>
  <c r="C90" i="35"/>
  <c r="E90" i="35" s="1"/>
  <c r="G90" i="35" s="1"/>
  <c r="X89" i="35"/>
  <c r="S89" i="35"/>
  <c r="U89" i="35" s="1"/>
  <c r="M89" i="35"/>
  <c r="J89" i="35"/>
  <c r="C89" i="35"/>
  <c r="E89" i="35" s="1"/>
  <c r="G89" i="35" s="1"/>
  <c r="C89" i="34" s="1"/>
  <c r="X88" i="35"/>
  <c r="S88" i="35"/>
  <c r="U88" i="35" s="1"/>
  <c r="J88" i="35"/>
  <c r="M88" i="35" s="1"/>
  <c r="C88" i="35"/>
  <c r="E88" i="35" s="1"/>
  <c r="G88" i="35" s="1"/>
  <c r="C88" i="34" s="1"/>
  <c r="X87" i="35"/>
  <c r="U87" i="35"/>
  <c r="S87" i="35"/>
  <c r="J87" i="35"/>
  <c r="M87" i="35" s="1"/>
  <c r="C87" i="35"/>
  <c r="E87" i="35" s="1"/>
  <c r="G87" i="35" s="1"/>
  <c r="X86" i="35"/>
  <c r="U86" i="35"/>
  <c r="S86" i="35"/>
  <c r="M86" i="35"/>
  <c r="J86" i="35"/>
  <c r="C86" i="35"/>
  <c r="E86" i="35" s="1"/>
  <c r="G86" i="35" s="1"/>
  <c r="X85" i="35"/>
  <c r="S85" i="35"/>
  <c r="U85" i="35" s="1"/>
  <c r="M85" i="35"/>
  <c r="J85" i="35"/>
  <c r="C85" i="35"/>
  <c r="E85" i="35" s="1"/>
  <c r="G85" i="35" s="1"/>
  <c r="C85" i="34" s="1"/>
  <c r="X84" i="35"/>
  <c r="S84" i="35"/>
  <c r="U84" i="35" s="1"/>
  <c r="J84" i="35"/>
  <c r="M84" i="35" s="1"/>
  <c r="C84" i="35"/>
  <c r="E84" i="35" s="1"/>
  <c r="G84" i="35" s="1"/>
  <c r="X83" i="35"/>
  <c r="U83" i="35"/>
  <c r="S83" i="35"/>
  <c r="J83" i="35"/>
  <c r="M83" i="35" s="1"/>
  <c r="C83" i="35"/>
  <c r="E83" i="35" s="1"/>
  <c r="G83" i="35" s="1"/>
  <c r="X82" i="35"/>
  <c r="U82" i="35"/>
  <c r="S82" i="35"/>
  <c r="M82" i="35"/>
  <c r="J82" i="35"/>
  <c r="C82" i="35"/>
  <c r="E82" i="35" s="1"/>
  <c r="G82" i="35" s="1"/>
  <c r="X81" i="35"/>
  <c r="S81" i="35"/>
  <c r="U81" i="35" s="1"/>
  <c r="M81" i="35"/>
  <c r="J81" i="35"/>
  <c r="C81" i="35"/>
  <c r="E81" i="35" s="1"/>
  <c r="G81" i="35" s="1"/>
  <c r="C81" i="34" s="1"/>
  <c r="X80" i="35"/>
  <c r="S80" i="35"/>
  <c r="U80" i="35" s="1"/>
  <c r="J80" i="35"/>
  <c r="M80" i="35" s="1"/>
  <c r="C80" i="35"/>
  <c r="E80" i="35" s="1"/>
  <c r="G80" i="35" s="1"/>
  <c r="C80" i="34" s="1"/>
  <c r="X79" i="35"/>
  <c r="U79" i="35"/>
  <c r="S79" i="35"/>
  <c r="J79" i="35"/>
  <c r="M79" i="35" s="1"/>
  <c r="C79" i="35"/>
  <c r="E79" i="35" s="1"/>
  <c r="G79" i="35" s="1"/>
  <c r="X78" i="35"/>
  <c r="U78" i="35"/>
  <c r="S78" i="35"/>
  <c r="M78" i="35"/>
  <c r="J78" i="35"/>
  <c r="C78" i="35"/>
  <c r="E78" i="35" s="1"/>
  <c r="G78" i="35" s="1"/>
  <c r="X77" i="35"/>
  <c r="S77" i="35"/>
  <c r="U77" i="35" s="1"/>
  <c r="M77" i="35"/>
  <c r="J77" i="35"/>
  <c r="C77" i="35"/>
  <c r="E77" i="35" s="1"/>
  <c r="G77" i="35" s="1"/>
  <c r="C77" i="34" s="1"/>
  <c r="X76" i="35"/>
  <c r="S76" i="35"/>
  <c r="U76" i="35" s="1"/>
  <c r="J76" i="35"/>
  <c r="M76" i="35" s="1"/>
  <c r="C76" i="35"/>
  <c r="E76" i="35" s="1"/>
  <c r="G76" i="35" s="1"/>
  <c r="X75" i="35"/>
  <c r="U75" i="35"/>
  <c r="S75" i="35"/>
  <c r="J75" i="35"/>
  <c r="M75" i="35" s="1"/>
  <c r="C75" i="35"/>
  <c r="E75" i="35" s="1"/>
  <c r="G75" i="35" s="1"/>
  <c r="X74" i="35"/>
  <c r="U74" i="35"/>
  <c r="S74" i="35"/>
  <c r="M74" i="35"/>
  <c r="J74" i="35"/>
  <c r="C74" i="35"/>
  <c r="E74" i="35" s="1"/>
  <c r="G74" i="35" s="1"/>
  <c r="X73" i="35"/>
  <c r="S73" i="35"/>
  <c r="U73" i="35" s="1"/>
  <c r="M73" i="35"/>
  <c r="J73" i="35"/>
  <c r="C73" i="35"/>
  <c r="E73" i="35" s="1"/>
  <c r="G73" i="35" s="1"/>
  <c r="C73" i="34" s="1"/>
  <c r="X72" i="35"/>
  <c r="S72" i="35"/>
  <c r="U72" i="35" s="1"/>
  <c r="J72" i="35"/>
  <c r="M72" i="35" s="1"/>
  <c r="C72" i="35"/>
  <c r="E72" i="35" s="1"/>
  <c r="G72" i="35" s="1"/>
  <c r="C72" i="34" s="1"/>
  <c r="X71" i="35"/>
  <c r="S71" i="35"/>
  <c r="U71" i="35" s="1"/>
  <c r="M71" i="35"/>
  <c r="J71" i="35"/>
  <c r="C71" i="35"/>
  <c r="E71" i="35" s="1"/>
  <c r="G71" i="35" s="1"/>
  <c r="X70" i="35"/>
  <c r="U70" i="35"/>
  <c r="S70" i="35"/>
  <c r="J70" i="35"/>
  <c r="M70" i="35" s="1"/>
  <c r="C70" i="35"/>
  <c r="E70" i="35" s="1"/>
  <c r="G70" i="35" s="1"/>
  <c r="X69" i="35"/>
  <c r="U69" i="35"/>
  <c r="S69" i="35"/>
  <c r="M69" i="35"/>
  <c r="J69" i="35"/>
  <c r="C69" i="35"/>
  <c r="E69" i="35" s="1"/>
  <c r="G69" i="35" s="1"/>
  <c r="X68" i="35"/>
  <c r="U68" i="35"/>
  <c r="S68" i="35"/>
  <c r="M68" i="35"/>
  <c r="J68" i="35"/>
  <c r="C68" i="35"/>
  <c r="E68" i="35" s="1"/>
  <c r="G68" i="35" s="1"/>
  <c r="X67" i="35"/>
  <c r="S67" i="35"/>
  <c r="U67" i="35" s="1"/>
  <c r="M67" i="35"/>
  <c r="J67" i="35"/>
  <c r="C67" i="35"/>
  <c r="E67" i="35" s="1"/>
  <c r="G67" i="35" s="1"/>
  <c r="X66" i="35"/>
  <c r="S66" i="35"/>
  <c r="U66" i="35" s="1"/>
  <c r="M66" i="35"/>
  <c r="J66" i="35"/>
  <c r="C66" i="35"/>
  <c r="E66" i="35" s="1"/>
  <c r="G66" i="35" s="1"/>
  <c r="X65" i="35"/>
  <c r="S65" i="35"/>
  <c r="U65" i="35" s="1"/>
  <c r="J65" i="35"/>
  <c r="M65" i="35" s="1"/>
  <c r="C65" i="35"/>
  <c r="E65" i="35" s="1"/>
  <c r="G65" i="35" s="1"/>
  <c r="C65" i="34" s="1"/>
  <c r="X64" i="35"/>
  <c r="U64" i="35"/>
  <c r="S64" i="35"/>
  <c r="J64" i="35"/>
  <c r="M64" i="35" s="1"/>
  <c r="C64" i="35"/>
  <c r="E64" i="35" s="1"/>
  <c r="G64" i="35" s="1"/>
  <c r="X63" i="35"/>
  <c r="S63" i="35"/>
  <c r="U63" i="35" s="1"/>
  <c r="J63" i="35"/>
  <c r="M63" i="35" s="1"/>
  <c r="C63" i="35"/>
  <c r="E63" i="35" s="1"/>
  <c r="G63" i="35" s="1"/>
  <c r="X62" i="35"/>
  <c r="U62" i="35"/>
  <c r="S62" i="35"/>
  <c r="J62" i="35"/>
  <c r="M62" i="35" s="1"/>
  <c r="C62" i="35"/>
  <c r="E62" i="35" s="1"/>
  <c r="G62" i="35" s="1"/>
  <c r="C62" i="34" s="1"/>
  <c r="X61" i="35"/>
  <c r="U61" i="35"/>
  <c r="S61" i="35"/>
  <c r="J61" i="35"/>
  <c r="M61" i="35" s="1"/>
  <c r="C61" i="35"/>
  <c r="E61" i="35" s="1"/>
  <c r="G61" i="35" s="1"/>
  <c r="X60" i="35"/>
  <c r="U60" i="35"/>
  <c r="S60" i="35"/>
  <c r="M60" i="35"/>
  <c r="J60" i="35"/>
  <c r="C60" i="35"/>
  <c r="E60" i="35" s="1"/>
  <c r="G60" i="35" s="1"/>
  <c r="X59" i="35"/>
  <c r="S59" i="35"/>
  <c r="U59" i="35" s="1"/>
  <c r="M59" i="35"/>
  <c r="J59" i="35"/>
  <c r="C59" i="35"/>
  <c r="E59" i="35" s="1"/>
  <c r="G59" i="35" s="1"/>
  <c r="C59" i="34" s="1"/>
  <c r="X58" i="35"/>
  <c r="S58" i="35"/>
  <c r="U58" i="35" s="1"/>
  <c r="J58" i="35"/>
  <c r="M58" i="35" s="1"/>
  <c r="C58" i="35"/>
  <c r="E58" i="35" s="1"/>
  <c r="G58" i="35" s="1"/>
  <c r="C58" i="34" s="1"/>
  <c r="X57" i="35"/>
  <c r="U57" i="35"/>
  <c r="S57" i="35"/>
  <c r="J57" i="35"/>
  <c r="M57" i="35" s="1"/>
  <c r="C57" i="35"/>
  <c r="E57" i="35" s="1"/>
  <c r="G57" i="35" s="1"/>
  <c r="C57" i="34" s="1"/>
  <c r="X56" i="35"/>
  <c r="S56" i="35"/>
  <c r="U56" i="35" s="1"/>
  <c r="J56" i="35"/>
  <c r="M56" i="35" s="1"/>
  <c r="E56" i="35"/>
  <c r="G56" i="35" s="1"/>
  <c r="C56" i="34" s="1"/>
  <c r="C56" i="35"/>
  <c r="X55" i="35"/>
  <c r="S55" i="35"/>
  <c r="U55" i="35" s="1"/>
  <c r="J55" i="35"/>
  <c r="M55" i="35" s="1"/>
  <c r="C55" i="35"/>
  <c r="E55" i="35" s="1"/>
  <c r="G55" i="35" s="1"/>
  <c r="C55" i="34" s="1"/>
  <c r="X54" i="35"/>
  <c r="S54" i="35"/>
  <c r="U54" i="35" s="1"/>
  <c r="J54" i="35"/>
  <c r="M54" i="35" s="1"/>
  <c r="C54" i="35"/>
  <c r="E54" i="35" s="1"/>
  <c r="G54" i="35" s="1"/>
  <c r="C54" i="34" s="1"/>
  <c r="X53" i="35"/>
  <c r="S53" i="35"/>
  <c r="U53" i="35" s="1"/>
  <c r="J53" i="35"/>
  <c r="M53" i="35" s="1"/>
  <c r="C53" i="35"/>
  <c r="E53" i="35" s="1"/>
  <c r="G53" i="35" s="1"/>
  <c r="C53" i="34" s="1"/>
  <c r="X52" i="35"/>
  <c r="S52" i="35"/>
  <c r="U52" i="35" s="1"/>
  <c r="J52" i="35"/>
  <c r="M52" i="35" s="1"/>
  <c r="C52" i="35"/>
  <c r="E52" i="35" s="1"/>
  <c r="G52" i="35" s="1"/>
  <c r="C52" i="34" s="1"/>
  <c r="X51" i="35"/>
  <c r="S51" i="35"/>
  <c r="U51" i="35" s="1"/>
  <c r="J51" i="35"/>
  <c r="M51" i="35" s="1"/>
  <c r="C51" i="35"/>
  <c r="E51" i="35" s="1"/>
  <c r="G51" i="35" s="1"/>
  <c r="C51" i="34" s="1"/>
  <c r="X50" i="35"/>
  <c r="S50" i="35"/>
  <c r="U50" i="35" s="1"/>
  <c r="J50" i="35"/>
  <c r="M50" i="35" s="1"/>
  <c r="C50" i="35"/>
  <c r="E50" i="35" s="1"/>
  <c r="G50" i="35" s="1"/>
  <c r="C50" i="34" s="1"/>
  <c r="X49" i="35"/>
  <c r="S49" i="35"/>
  <c r="U49" i="35" s="1"/>
  <c r="J49" i="35"/>
  <c r="M49" i="35" s="1"/>
  <c r="C49" i="35"/>
  <c r="E49" i="35" s="1"/>
  <c r="G49" i="35" s="1"/>
  <c r="C49" i="34" s="1"/>
  <c r="X48" i="35"/>
  <c r="S48" i="35"/>
  <c r="U48" i="35" s="1"/>
  <c r="J48" i="35"/>
  <c r="M48" i="35" s="1"/>
  <c r="C48" i="35"/>
  <c r="E48" i="35" s="1"/>
  <c r="G48" i="35" s="1"/>
  <c r="C48" i="34" s="1"/>
  <c r="X47" i="35"/>
  <c r="S47" i="35"/>
  <c r="U47" i="35" s="1"/>
  <c r="J47" i="35"/>
  <c r="M47" i="35" s="1"/>
  <c r="C47" i="35"/>
  <c r="E47" i="35" s="1"/>
  <c r="G47" i="35" s="1"/>
  <c r="C47" i="34" s="1"/>
  <c r="X46" i="35"/>
  <c r="S46" i="35"/>
  <c r="U46" i="35" s="1"/>
  <c r="J46" i="35"/>
  <c r="M46" i="35" s="1"/>
  <c r="C46" i="35"/>
  <c r="E46" i="35" s="1"/>
  <c r="G46" i="35" s="1"/>
  <c r="C46" i="34" s="1"/>
  <c r="X45" i="35"/>
  <c r="S45" i="35"/>
  <c r="U45" i="35" s="1"/>
  <c r="J45" i="35"/>
  <c r="M45" i="35" s="1"/>
  <c r="C45" i="35"/>
  <c r="E45" i="35" s="1"/>
  <c r="G45" i="35" s="1"/>
  <c r="C45" i="34" s="1"/>
  <c r="X44" i="35"/>
  <c r="S44" i="35"/>
  <c r="U44" i="35" s="1"/>
  <c r="J44" i="35"/>
  <c r="M44" i="35" s="1"/>
  <c r="C44" i="35"/>
  <c r="E44" i="35" s="1"/>
  <c r="G44" i="35" s="1"/>
  <c r="C44" i="34" s="1"/>
  <c r="X43" i="35"/>
  <c r="S43" i="35"/>
  <c r="U43" i="35" s="1"/>
  <c r="J43" i="35"/>
  <c r="M43" i="35" s="1"/>
  <c r="C43" i="35"/>
  <c r="E43" i="35" s="1"/>
  <c r="G43" i="35" s="1"/>
  <c r="C43" i="34" s="1"/>
  <c r="X42" i="35"/>
  <c r="S42" i="35"/>
  <c r="U42" i="35" s="1"/>
  <c r="J42" i="35"/>
  <c r="M42" i="35" s="1"/>
  <c r="C42" i="35"/>
  <c r="E42" i="35" s="1"/>
  <c r="G42" i="35" s="1"/>
  <c r="C42" i="34" s="1"/>
  <c r="X41" i="35"/>
  <c r="S41" i="35"/>
  <c r="U41" i="35" s="1"/>
  <c r="J41" i="35"/>
  <c r="M41" i="35" s="1"/>
  <c r="C41" i="35"/>
  <c r="E41" i="35" s="1"/>
  <c r="G41" i="35" s="1"/>
  <c r="C41" i="34" s="1"/>
  <c r="X40" i="35"/>
  <c r="S40" i="35"/>
  <c r="U40" i="35" s="1"/>
  <c r="J40" i="35"/>
  <c r="M40" i="35" s="1"/>
  <c r="E40" i="35"/>
  <c r="G40" i="35" s="1"/>
  <c r="C40" i="34" s="1"/>
  <c r="C40" i="35"/>
  <c r="X39" i="35"/>
  <c r="S39" i="35"/>
  <c r="U39" i="35" s="1"/>
  <c r="J39" i="35"/>
  <c r="M39" i="35" s="1"/>
  <c r="E39" i="35"/>
  <c r="G39" i="35" s="1"/>
  <c r="C39" i="34" s="1"/>
  <c r="C39" i="35"/>
  <c r="X38" i="35"/>
  <c r="S38" i="35"/>
  <c r="U38" i="35" s="1"/>
  <c r="J38" i="35"/>
  <c r="M38" i="35" s="1"/>
  <c r="C38" i="35"/>
  <c r="E38" i="35" s="1"/>
  <c r="G38" i="35" s="1"/>
  <c r="C38" i="34" s="1"/>
  <c r="X37" i="35"/>
  <c r="S37" i="35"/>
  <c r="U37" i="35" s="1"/>
  <c r="J37" i="35"/>
  <c r="M37" i="35" s="1"/>
  <c r="C37" i="35"/>
  <c r="E37" i="35" s="1"/>
  <c r="G37" i="35" s="1"/>
  <c r="C37" i="34" s="1"/>
  <c r="X36" i="35"/>
  <c r="S36" i="35"/>
  <c r="U36" i="35" s="1"/>
  <c r="J36" i="35"/>
  <c r="M36" i="35" s="1"/>
  <c r="E36" i="35"/>
  <c r="G36" i="35" s="1"/>
  <c r="C36" i="34" s="1"/>
  <c r="C36" i="35"/>
  <c r="X35" i="35"/>
  <c r="S35" i="35"/>
  <c r="U35" i="35" s="1"/>
  <c r="J35" i="35"/>
  <c r="M35" i="35" s="1"/>
  <c r="C35" i="35"/>
  <c r="E35" i="35" s="1"/>
  <c r="G35" i="35" s="1"/>
  <c r="C35" i="34" s="1"/>
  <c r="X34" i="35"/>
  <c r="S34" i="35"/>
  <c r="U34" i="35" s="1"/>
  <c r="J34" i="35"/>
  <c r="M34" i="35" s="1"/>
  <c r="C34" i="35"/>
  <c r="E34" i="35" s="1"/>
  <c r="G34" i="35" s="1"/>
  <c r="C34" i="34" s="1"/>
  <c r="X33" i="35"/>
  <c r="S33" i="35"/>
  <c r="U33" i="35" s="1"/>
  <c r="J33" i="35"/>
  <c r="M33" i="35" s="1"/>
  <c r="C33" i="35"/>
  <c r="E33" i="35" s="1"/>
  <c r="G33" i="35" s="1"/>
  <c r="C33" i="34" s="1"/>
  <c r="X32" i="35"/>
  <c r="S32" i="35"/>
  <c r="U32" i="35" s="1"/>
  <c r="J32" i="35"/>
  <c r="M32" i="35" s="1"/>
  <c r="C32" i="35"/>
  <c r="E32" i="35" s="1"/>
  <c r="G32" i="35" s="1"/>
  <c r="C32" i="34" s="1"/>
  <c r="X31" i="35"/>
  <c r="S31" i="35"/>
  <c r="U31" i="35" s="1"/>
  <c r="J31" i="35"/>
  <c r="M31" i="35" s="1"/>
  <c r="C31" i="35"/>
  <c r="E31" i="35" s="1"/>
  <c r="G31" i="35" s="1"/>
  <c r="C31" i="34" s="1"/>
  <c r="X30" i="35"/>
  <c r="S30" i="35"/>
  <c r="U30" i="35" s="1"/>
  <c r="J30" i="35"/>
  <c r="M30" i="35" s="1"/>
  <c r="C30" i="35"/>
  <c r="E30" i="35" s="1"/>
  <c r="G30" i="35" s="1"/>
  <c r="C30" i="34" s="1"/>
  <c r="X29" i="35"/>
  <c r="S29" i="35"/>
  <c r="U29" i="35" s="1"/>
  <c r="J29" i="35"/>
  <c r="M29" i="35" s="1"/>
  <c r="C29" i="35"/>
  <c r="E29" i="35" s="1"/>
  <c r="G29" i="35" s="1"/>
  <c r="C29" i="34" s="1"/>
  <c r="X28" i="35"/>
  <c r="S28" i="35"/>
  <c r="U28" i="35" s="1"/>
  <c r="J28" i="35"/>
  <c r="M28" i="35" s="1"/>
  <c r="C28" i="35"/>
  <c r="E28" i="35" s="1"/>
  <c r="G28" i="35" s="1"/>
  <c r="C28" i="34" s="1"/>
  <c r="X27" i="35"/>
  <c r="S27" i="35"/>
  <c r="U27" i="35" s="1"/>
  <c r="J27" i="35"/>
  <c r="M27" i="35" s="1"/>
  <c r="E27" i="35"/>
  <c r="G27" i="35" s="1"/>
  <c r="C27" i="34" s="1"/>
  <c r="C27" i="35"/>
  <c r="X26" i="35"/>
  <c r="S26" i="35"/>
  <c r="U26" i="35" s="1"/>
  <c r="J26" i="35"/>
  <c r="M26" i="35" s="1"/>
  <c r="C26" i="35"/>
  <c r="E26" i="35" s="1"/>
  <c r="G26" i="35" s="1"/>
  <c r="C26" i="34" s="1"/>
  <c r="X25" i="35"/>
  <c r="S25" i="35"/>
  <c r="U25" i="35" s="1"/>
  <c r="J25" i="35"/>
  <c r="M25" i="35" s="1"/>
  <c r="C25" i="35"/>
  <c r="E25" i="35" s="1"/>
  <c r="G25" i="35" s="1"/>
  <c r="C25" i="34" s="1"/>
  <c r="X24" i="35"/>
  <c r="S24" i="35"/>
  <c r="U24" i="35" s="1"/>
  <c r="J24" i="35"/>
  <c r="M24" i="35" s="1"/>
  <c r="E24" i="35"/>
  <c r="G24" i="35" s="1"/>
  <c r="C24" i="34" s="1"/>
  <c r="C24" i="35"/>
  <c r="X23" i="35"/>
  <c r="S23" i="35"/>
  <c r="U23" i="35" s="1"/>
  <c r="J23" i="35"/>
  <c r="M23" i="35" s="1"/>
  <c r="C23" i="35"/>
  <c r="E23" i="35" s="1"/>
  <c r="G23" i="35" s="1"/>
  <c r="C23" i="34" s="1"/>
  <c r="X22" i="35"/>
  <c r="S22" i="35"/>
  <c r="U22" i="35" s="1"/>
  <c r="J22" i="35"/>
  <c r="M22" i="35" s="1"/>
  <c r="C22" i="35"/>
  <c r="E22" i="35" s="1"/>
  <c r="G22" i="35" s="1"/>
  <c r="C22" i="34" s="1"/>
  <c r="X21" i="35"/>
  <c r="S21" i="35"/>
  <c r="U21" i="35" s="1"/>
  <c r="J21" i="35"/>
  <c r="M21" i="35" s="1"/>
  <c r="C21" i="35"/>
  <c r="E21" i="35" s="1"/>
  <c r="G21" i="35" s="1"/>
  <c r="C21" i="34" s="1"/>
  <c r="C21" i="16" s="1"/>
  <c r="E21" i="16" s="1"/>
  <c r="X20" i="35"/>
  <c r="S20" i="35"/>
  <c r="U20" i="35" s="1"/>
  <c r="J20" i="35"/>
  <c r="M20" i="35" s="1"/>
  <c r="C20" i="35"/>
  <c r="E20" i="35" s="1"/>
  <c r="G20" i="35" s="1"/>
  <c r="C20" i="34" s="1"/>
  <c r="X19" i="35"/>
  <c r="S19" i="35"/>
  <c r="U19" i="35" s="1"/>
  <c r="J19" i="35"/>
  <c r="M19" i="35" s="1"/>
  <c r="C19" i="35"/>
  <c r="E19" i="35" s="1"/>
  <c r="G19" i="35" s="1"/>
  <c r="C19" i="34" s="1"/>
  <c r="X18" i="35"/>
  <c r="S18" i="35"/>
  <c r="U18" i="35" s="1"/>
  <c r="J18" i="35"/>
  <c r="M18" i="35" s="1"/>
  <c r="C18" i="35"/>
  <c r="E18" i="35" s="1"/>
  <c r="G18" i="35" s="1"/>
  <c r="C18" i="34" s="1"/>
  <c r="C18" i="16" s="1"/>
  <c r="X17" i="35"/>
  <c r="S17" i="35"/>
  <c r="U17" i="35" s="1"/>
  <c r="J17" i="35"/>
  <c r="M17" i="35" s="1"/>
  <c r="C17" i="35"/>
  <c r="E17" i="35" s="1"/>
  <c r="G17" i="35" s="1"/>
  <c r="C17" i="34" s="1"/>
  <c r="X16" i="35"/>
  <c r="S16" i="35"/>
  <c r="U16" i="35" s="1"/>
  <c r="J16" i="35"/>
  <c r="M16" i="35" s="1"/>
  <c r="E16" i="35"/>
  <c r="G16" i="35" s="1"/>
  <c r="C16" i="34" s="1"/>
  <c r="C16" i="35"/>
  <c r="X15" i="35"/>
  <c r="S15" i="35"/>
  <c r="U15" i="35" s="1"/>
  <c r="J15" i="35"/>
  <c r="M15" i="35" s="1"/>
  <c r="C15" i="35"/>
  <c r="E15" i="35" s="1"/>
  <c r="G15" i="35" s="1"/>
  <c r="C15" i="34" s="1"/>
  <c r="X14" i="35"/>
  <c r="S14" i="35"/>
  <c r="U14" i="35" s="1"/>
  <c r="J14" i="35"/>
  <c r="M14" i="35" s="1"/>
  <c r="C14" i="35"/>
  <c r="E14" i="35" s="1"/>
  <c r="G14" i="35" s="1"/>
  <c r="C14" i="34" s="1"/>
  <c r="X13" i="35"/>
  <c r="S13" i="35"/>
  <c r="U13" i="35" s="1"/>
  <c r="J13" i="35"/>
  <c r="M13" i="35" s="1"/>
  <c r="C13" i="35"/>
  <c r="E13" i="35" s="1"/>
  <c r="G13" i="35" s="1"/>
  <c r="C13" i="34" s="1"/>
  <c r="X12" i="35"/>
  <c r="S12" i="35"/>
  <c r="U12" i="35" s="1"/>
  <c r="J12" i="35"/>
  <c r="M12" i="35" s="1"/>
  <c r="E12" i="35"/>
  <c r="G12" i="35" s="1"/>
  <c r="C12" i="34" s="1"/>
  <c r="C12" i="35"/>
  <c r="X11" i="35"/>
  <c r="S11" i="35"/>
  <c r="U11" i="35" s="1"/>
  <c r="J11" i="35"/>
  <c r="M11" i="35" s="1"/>
  <c r="E11" i="35"/>
  <c r="G11" i="35" s="1"/>
  <c r="C11" i="34" s="1"/>
  <c r="C11" i="35"/>
  <c r="X10" i="35"/>
  <c r="S10" i="35"/>
  <c r="U10" i="35" s="1"/>
  <c r="J10" i="35"/>
  <c r="M10" i="35" s="1"/>
  <c r="C10" i="35"/>
  <c r="E10" i="35" s="1"/>
  <c r="G10" i="35" s="1"/>
  <c r="C10" i="34" s="1"/>
  <c r="X9" i="35"/>
  <c r="S9" i="35"/>
  <c r="U9" i="35" s="1"/>
  <c r="J9" i="35"/>
  <c r="M9" i="35" s="1"/>
  <c r="C9" i="35"/>
  <c r="E9" i="35" s="1"/>
  <c r="G9" i="35" s="1"/>
  <c r="C9" i="34" s="1"/>
  <c r="X8" i="35"/>
  <c r="S8" i="35"/>
  <c r="U8" i="35" s="1"/>
  <c r="J8" i="35"/>
  <c r="M8" i="35" s="1"/>
  <c r="E8" i="35"/>
  <c r="G8" i="35" s="1"/>
  <c r="C8" i="34" s="1"/>
  <c r="C8" i="35"/>
  <c r="X7" i="35"/>
  <c r="S7" i="35"/>
  <c r="U7" i="35" s="1"/>
  <c r="J7" i="35"/>
  <c r="M7" i="35" s="1"/>
  <c r="C7" i="35"/>
  <c r="E7" i="35" s="1"/>
  <c r="G7" i="35" s="1"/>
  <c r="C7" i="34" s="1"/>
  <c r="X6" i="35"/>
  <c r="S6" i="35"/>
  <c r="U6" i="35" s="1"/>
  <c r="J6" i="35"/>
  <c r="M6" i="35" s="1"/>
  <c r="C6" i="35"/>
  <c r="E6" i="35" s="1"/>
  <c r="G6" i="35" s="1"/>
  <c r="C6" i="34" s="1"/>
  <c r="X5" i="35"/>
  <c r="S5" i="35"/>
  <c r="U5" i="35" s="1"/>
  <c r="J5" i="35"/>
  <c r="C5" i="35"/>
  <c r="E5" i="35" s="1"/>
  <c r="G5" i="35" s="1"/>
  <c r="C5" i="34" s="1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5" i="16"/>
  <c r="K220" i="66"/>
  <c r="K212" i="66"/>
  <c r="N35" i="16" s="1"/>
  <c r="K209" i="66"/>
  <c r="J204" i="66"/>
  <c r="M204" i="66" s="1"/>
  <c r="J203" i="66"/>
  <c r="M203" i="66"/>
  <c r="J202" i="66"/>
  <c r="M202" i="66"/>
  <c r="J201" i="66"/>
  <c r="M201" i="66"/>
  <c r="J200" i="66"/>
  <c r="M200" i="66" s="1"/>
  <c r="J199" i="66"/>
  <c r="M199" i="66" s="1"/>
  <c r="J198" i="66"/>
  <c r="M198" i="66"/>
  <c r="J197" i="66"/>
  <c r="M197" i="66"/>
  <c r="J196" i="66"/>
  <c r="M196" i="66" s="1"/>
  <c r="J195" i="66"/>
  <c r="J194" i="66"/>
  <c r="M194" i="66"/>
  <c r="J193" i="66"/>
  <c r="M193" i="66"/>
  <c r="J192" i="66"/>
  <c r="M192" i="66" s="1"/>
  <c r="J191" i="66"/>
  <c r="M191" i="66"/>
  <c r="J190" i="66"/>
  <c r="M190" i="66" s="1"/>
  <c r="J189" i="66"/>
  <c r="M189" i="66"/>
  <c r="J188" i="66"/>
  <c r="M188" i="66" s="1"/>
  <c r="J187" i="66"/>
  <c r="M187" i="66" s="1"/>
  <c r="J186" i="66"/>
  <c r="M186" i="66" s="1"/>
  <c r="J185" i="66"/>
  <c r="M185" i="66"/>
  <c r="J184" i="66"/>
  <c r="M184" i="66" s="1"/>
  <c r="J183" i="66"/>
  <c r="M183" i="66"/>
  <c r="J182" i="66"/>
  <c r="M182" i="66" s="1"/>
  <c r="J181" i="66"/>
  <c r="M181" i="66"/>
  <c r="J180" i="66"/>
  <c r="M180" i="66" s="1"/>
  <c r="J179" i="66"/>
  <c r="M179" i="66" s="1"/>
  <c r="J178" i="66"/>
  <c r="M178" i="66"/>
  <c r="J177" i="66"/>
  <c r="M177" i="66"/>
  <c r="J176" i="66"/>
  <c r="M176" i="66" s="1"/>
  <c r="J175" i="66"/>
  <c r="M175" i="66" s="1"/>
  <c r="J174" i="66"/>
  <c r="M174" i="66" s="1"/>
  <c r="J173" i="66"/>
  <c r="M173" i="66"/>
  <c r="J172" i="66"/>
  <c r="M172" i="66" s="1"/>
  <c r="J171" i="66"/>
  <c r="M171" i="66"/>
  <c r="J170" i="66"/>
  <c r="M170" i="66"/>
  <c r="J169" i="66"/>
  <c r="M169" i="66"/>
  <c r="J168" i="66"/>
  <c r="M168" i="66" s="1"/>
  <c r="J167" i="66"/>
  <c r="M167" i="66"/>
  <c r="J166" i="66"/>
  <c r="M166" i="66"/>
  <c r="J165" i="66"/>
  <c r="M165" i="66"/>
  <c r="J164" i="66"/>
  <c r="M164" i="66" s="1"/>
  <c r="J163" i="66"/>
  <c r="M163" i="66"/>
  <c r="J162" i="66"/>
  <c r="M162" i="66" s="1"/>
  <c r="J161" i="66"/>
  <c r="M161" i="66"/>
  <c r="J160" i="66"/>
  <c r="M160" i="66" s="1"/>
  <c r="J159" i="66"/>
  <c r="M159" i="66"/>
  <c r="J158" i="66"/>
  <c r="M158" i="66"/>
  <c r="J157" i="66"/>
  <c r="M157" i="66" s="1"/>
  <c r="J156" i="66"/>
  <c r="M156" i="66" s="1"/>
  <c r="J155" i="66"/>
  <c r="M155" i="66"/>
  <c r="J154" i="66"/>
  <c r="M154" i="66"/>
  <c r="J153" i="66"/>
  <c r="M153" i="66"/>
  <c r="J152" i="66"/>
  <c r="M152" i="66" s="1"/>
  <c r="J151" i="66"/>
  <c r="M151" i="66"/>
  <c r="J150" i="66"/>
  <c r="M150" i="66"/>
  <c r="J149" i="66"/>
  <c r="M149" i="66"/>
  <c r="J148" i="66"/>
  <c r="M148" i="66" s="1"/>
  <c r="J147" i="66"/>
  <c r="M147" i="66" s="1"/>
  <c r="J146" i="66"/>
  <c r="M146" i="66"/>
  <c r="J145" i="66"/>
  <c r="M145" i="66"/>
  <c r="J144" i="66"/>
  <c r="M144" i="66" s="1"/>
  <c r="J143" i="66"/>
  <c r="M143" i="66"/>
  <c r="J142" i="66"/>
  <c r="M142" i="66"/>
  <c r="J141" i="66"/>
  <c r="M141" i="66"/>
  <c r="J140" i="66"/>
  <c r="M140" i="66" s="1"/>
  <c r="J139" i="66"/>
  <c r="M139" i="66"/>
  <c r="J138" i="66"/>
  <c r="M138" i="66"/>
  <c r="J137" i="66"/>
  <c r="M137" i="66"/>
  <c r="J136" i="66"/>
  <c r="M136" i="66" s="1"/>
  <c r="J135" i="66"/>
  <c r="M135" i="66"/>
  <c r="J134" i="66"/>
  <c r="M134" i="66"/>
  <c r="J133" i="66"/>
  <c r="M133" i="66"/>
  <c r="J132" i="66"/>
  <c r="M132" i="66" s="1"/>
  <c r="J131" i="66"/>
  <c r="M131" i="66" s="1"/>
  <c r="J130" i="66"/>
  <c r="M130" i="66"/>
  <c r="J129" i="66"/>
  <c r="M129" i="66"/>
  <c r="J128" i="66"/>
  <c r="M128" i="66" s="1"/>
  <c r="J127" i="66"/>
  <c r="M127" i="66" s="1"/>
  <c r="J126" i="66"/>
  <c r="M126" i="66"/>
  <c r="J125" i="66"/>
  <c r="M125" i="66"/>
  <c r="J124" i="66"/>
  <c r="M124" i="66" s="1"/>
  <c r="J123" i="66"/>
  <c r="M123" i="66"/>
  <c r="J122" i="66"/>
  <c r="M122" i="66" s="1"/>
  <c r="J121" i="66"/>
  <c r="M121" i="66"/>
  <c r="J120" i="66"/>
  <c r="M120" i="66" s="1"/>
  <c r="J119" i="66"/>
  <c r="M119" i="66"/>
  <c r="J118" i="66"/>
  <c r="M118" i="66"/>
  <c r="J117" i="66"/>
  <c r="M117" i="66"/>
  <c r="J116" i="66"/>
  <c r="M116" i="66" s="1"/>
  <c r="J115" i="66"/>
  <c r="M115" i="66"/>
  <c r="J114" i="66"/>
  <c r="M114" i="66"/>
  <c r="J113" i="66"/>
  <c r="M113" i="66"/>
  <c r="J112" i="66"/>
  <c r="M112" i="66" s="1"/>
  <c r="J111" i="66"/>
  <c r="M111" i="66"/>
  <c r="J110" i="66"/>
  <c r="M110" i="66"/>
  <c r="J109" i="66"/>
  <c r="M109" i="66"/>
  <c r="J108" i="66"/>
  <c r="M108" i="66" s="1"/>
  <c r="J107" i="66"/>
  <c r="M107" i="66"/>
  <c r="J106" i="66"/>
  <c r="M106" i="66"/>
  <c r="Z105" i="66"/>
  <c r="J105" i="66"/>
  <c r="M105" i="66" s="1"/>
  <c r="X104" i="66"/>
  <c r="S104" i="66"/>
  <c r="U104" i="66"/>
  <c r="J104" i="66"/>
  <c r="M104" i="66"/>
  <c r="X103" i="66"/>
  <c r="S103" i="66"/>
  <c r="U103" i="66"/>
  <c r="M103" i="66"/>
  <c r="J103" i="66"/>
  <c r="X102" i="66"/>
  <c r="S102" i="66"/>
  <c r="U102" i="66"/>
  <c r="J102" i="66"/>
  <c r="M102" i="66"/>
  <c r="X101" i="66"/>
  <c r="S101" i="66"/>
  <c r="U101" i="66" s="1"/>
  <c r="M101" i="66"/>
  <c r="J101" i="66"/>
  <c r="X100" i="66"/>
  <c r="S100" i="66"/>
  <c r="U100" i="66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/>
  <c r="X97" i="66"/>
  <c r="S97" i="66"/>
  <c r="U97" i="66" s="1"/>
  <c r="J97" i="66"/>
  <c r="M97" i="66"/>
  <c r="X96" i="66"/>
  <c r="S96" i="66"/>
  <c r="U96" i="66"/>
  <c r="J96" i="66"/>
  <c r="M96" i="66"/>
  <c r="X95" i="66"/>
  <c r="S95" i="66"/>
  <c r="U95" i="66"/>
  <c r="J95" i="66"/>
  <c r="M95" i="66" s="1"/>
  <c r="X94" i="66"/>
  <c r="S94" i="66"/>
  <c r="U94" i="66"/>
  <c r="J94" i="66"/>
  <c r="M94" i="66" s="1"/>
  <c r="X93" i="66"/>
  <c r="S93" i="66"/>
  <c r="U93" i="66" s="1"/>
  <c r="J93" i="66"/>
  <c r="M93" i="66" s="1"/>
  <c r="X92" i="66"/>
  <c r="S92" i="66"/>
  <c r="U92" i="66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/>
  <c r="X89" i="66"/>
  <c r="S89" i="66"/>
  <c r="U89" i="66" s="1"/>
  <c r="J89" i="66"/>
  <c r="M89" i="66" s="1"/>
  <c r="X88" i="66"/>
  <c r="S88" i="66"/>
  <c r="U88" i="66"/>
  <c r="J88" i="66"/>
  <c r="M88" i="66"/>
  <c r="X87" i="66"/>
  <c r="S87" i="66"/>
  <c r="U87" i="66"/>
  <c r="M87" i="66"/>
  <c r="J87" i="66"/>
  <c r="X86" i="66"/>
  <c r="S86" i="66"/>
  <c r="U86" i="66"/>
  <c r="J86" i="66"/>
  <c r="M86" i="66"/>
  <c r="X85" i="66"/>
  <c r="S85" i="66"/>
  <c r="U85" i="66" s="1"/>
  <c r="J85" i="66"/>
  <c r="M85" i="66" s="1"/>
  <c r="X84" i="66"/>
  <c r="S84" i="66"/>
  <c r="U84" i="66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/>
  <c r="X81" i="66"/>
  <c r="S81" i="66"/>
  <c r="U81" i="66" s="1"/>
  <c r="J81" i="66"/>
  <c r="M81" i="66" s="1"/>
  <c r="X80" i="66"/>
  <c r="S80" i="66"/>
  <c r="U80" i="66"/>
  <c r="J80" i="66"/>
  <c r="M80" i="66"/>
  <c r="X79" i="66"/>
  <c r="S79" i="66"/>
  <c r="U79" i="66"/>
  <c r="J79" i="66"/>
  <c r="M79" i="66" s="1"/>
  <c r="X78" i="66"/>
  <c r="S78" i="66"/>
  <c r="U78" i="66" s="1"/>
  <c r="J78" i="66"/>
  <c r="M78" i="66"/>
  <c r="X77" i="66"/>
  <c r="S77" i="66"/>
  <c r="U77" i="66" s="1"/>
  <c r="J77" i="66"/>
  <c r="M77" i="66" s="1"/>
  <c r="X76" i="66"/>
  <c r="S76" i="66"/>
  <c r="U76" i="66"/>
  <c r="J76" i="66"/>
  <c r="M76" i="66" s="1"/>
  <c r="X75" i="66"/>
  <c r="S75" i="66"/>
  <c r="U75" i="66" s="1"/>
  <c r="J75" i="66"/>
  <c r="M75" i="66" s="1"/>
  <c r="X74" i="66"/>
  <c r="S74" i="66"/>
  <c r="U74" i="66" s="1"/>
  <c r="J74" i="66"/>
  <c r="M74" i="66"/>
  <c r="X73" i="66"/>
  <c r="S73" i="66"/>
  <c r="U73" i="66" s="1"/>
  <c r="J73" i="66"/>
  <c r="M73" i="66" s="1"/>
  <c r="X72" i="66"/>
  <c r="S72" i="66"/>
  <c r="U72" i="66"/>
  <c r="J72" i="66"/>
  <c r="M72" i="66" s="1"/>
  <c r="X71" i="66"/>
  <c r="S71" i="66"/>
  <c r="U71" i="66"/>
  <c r="M71" i="66"/>
  <c r="J71" i="66"/>
  <c r="X70" i="66"/>
  <c r="S70" i="66"/>
  <c r="U70" i="66" s="1"/>
  <c r="J70" i="66"/>
  <c r="M70" i="66"/>
  <c r="X69" i="66"/>
  <c r="S69" i="66"/>
  <c r="U69" i="66" s="1"/>
  <c r="J69" i="66"/>
  <c r="M69" i="66" s="1"/>
  <c r="X68" i="66"/>
  <c r="S68" i="66"/>
  <c r="U68" i="66"/>
  <c r="J68" i="66"/>
  <c r="M68" i="66" s="1"/>
  <c r="X67" i="66"/>
  <c r="S67" i="66"/>
  <c r="U67" i="66" s="1"/>
  <c r="J67" i="66"/>
  <c r="M67" i="66"/>
  <c r="X66" i="66"/>
  <c r="S66" i="66"/>
  <c r="U66" i="66" s="1"/>
  <c r="J66" i="66"/>
  <c r="M66" i="66"/>
  <c r="X65" i="66"/>
  <c r="S65" i="66"/>
  <c r="U65" i="66"/>
  <c r="J65" i="66"/>
  <c r="M65" i="66" s="1"/>
  <c r="X64" i="66"/>
  <c r="S64" i="66"/>
  <c r="U64" i="66"/>
  <c r="J64" i="66"/>
  <c r="M64" i="66" s="1"/>
  <c r="X63" i="66"/>
  <c r="S63" i="66"/>
  <c r="U63" i="66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/>
  <c r="J60" i="66"/>
  <c r="M60" i="66" s="1"/>
  <c r="X59" i="66"/>
  <c r="S59" i="66"/>
  <c r="U59" i="66" s="1"/>
  <c r="J59" i="66"/>
  <c r="M59" i="66"/>
  <c r="X58" i="66"/>
  <c r="S58" i="66"/>
  <c r="U58" i="66" s="1"/>
  <c r="J58" i="66"/>
  <c r="M58" i="66"/>
  <c r="X57" i="66"/>
  <c r="S57" i="66"/>
  <c r="U57" i="66"/>
  <c r="J57" i="66"/>
  <c r="M57" i="66"/>
  <c r="X56" i="66"/>
  <c r="S56" i="66"/>
  <c r="U56" i="66"/>
  <c r="J56" i="66"/>
  <c r="M56" i="66" s="1"/>
  <c r="X55" i="66"/>
  <c r="S55" i="66"/>
  <c r="U55" i="66"/>
  <c r="J55" i="66"/>
  <c r="M55" i="66" s="1"/>
  <c r="X54" i="66"/>
  <c r="S54" i="66"/>
  <c r="U54" i="66" s="1"/>
  <c r="J54" i="66"/>
  <c r="M54" i="66"/>
  <c r="X53" i="66"/>
  <c r="S53" i="66"/>
  <c r="U53" i="66" s="1"/>
  <c r="J53" i="66"/>
  <c r="M53" i="66" s="1"/>
  <c r="X52" i="66"/>
  <c r="S52" i="66"/>
  <c r="U52" i="66"/>
  <c r="J52" i="66"/>
  <c r="M52" i="66" s="1"/>
  <c r="X51" i="66"/>
  <c r="S51" i="66"/>
  <c r="U51" i="66" s="1"/>
  <c r="J51" i="66"/>
  <c r="M51" i="66"/>
  <c r="X50" i="66"/>
  <c r="S50" i="66"/>
  <c r="U50" i="66" s="1"/>
  <c r="J50" i="66"/>
  <c r="M50" i="66"/>
  <c r="X49" i="66"/>
  <c r="S49" i="66"/>
  <c r="U49" i="66"/>
  <c r="J49" i="66"/>
  <c r="M49" i="66"/>
  <c r="X48" i="66"/>
  <c r="S48" i="66"/>
  <c r="U48" i="66"/>
  <c r="J48" i="66"/>
  <c r="M48" i="66"/>
  <c r="X47" i="66"/>
  <c r="S47" i="66"/>
  <c r="U47" i="66"/>
  <c r="J47" i="66"/>
  <c r="M47" i="66" s="1"/>
  <c r="X46" i="66"/>
  <c r="S46" i="66"/>
  <c r="U46" i="66"/>
  <c r="J46" i="66"/>
  <c r="M46" i="66"/>
  <c r="X45" i="66"/>
  <c r="S45" i="66"/>
  <c r="U45" i="66" s="1"/>
  <c r="J45" i="66"/>
  <c r="M45" i="66" s="1"/>
  <c r="X44" i="66"/>
  <c r="S44" i="66"/>
  <c r="U44" i="66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/>
  <c r="X41" i="66"/>
  <c r="S41" i="66"/>
  <c r="U41" i="66" s="1"/>
  <c r="J41" i="66"/>
  <c r="M41" i="66"/>
  <c r="X40" i="66"/>
  <c r="S40" i="66"/>
  <c r="U40" i="66"/>
  <c r="J40" i="66"/>
  <c r="M40" i="66"/>
  <c r="X39" i="66"/>
  <c r="S39" i="66"/>
  <c r="U39" i="66"/>
  <c r="J39" i="66"/>
  <c r="M39" i="66" s="1"/>
  <c r="X38" i="66"/>
  <c r="S38" i="66"/>
  <c r="U38" i="66"/>
  <c r="J38" i="66"/>
  <c r="M38" i="66"/>
  <c r="X37" i="66"/>
  <c r="S37" i="66"/>
  <c r="U37" i="66" s="1"/>
  <c r="J37" i="66"/>
  <c r="M37" i="66" s="1"/>
  <c r="X36" i="66"/>
  <c r="S36" i="66"/>
  <c r="U36" i="66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/>
  <c r="X33" i="66"/>
  <c r="S33" i="66"/>
  <c r="U33" i="66" s="1"/>
  <c r="J33" i="66"/>
  <c r="M33" i="66"/>
  <c r="X32" i="66"/>
  <c r="S32" i="66"/>
  <c r="U32" i="66"/>
  <c r="J32" i="66"/>
  <c r="M32" i="66"/>
  <c r="X31" i="66"/>
  <c r="S31" i="66"/>
  <c r="U31" i="66"/>
  <c r="J31" i="66"/>
  <c r="M31" i="66" s="1"/>
  <c r="X30" i="66"/>
  <c r="X107" i="66" s="1"/>
  <c r="J206" i="66" s="1"/>
  <c r="S30" i="66"/>
  <c r="U30" i="66"/>
  <c r="J30" i="66"/>
  <c r="M30" i="66"/>
  <c r="X29" i="66"/>
  <c r="S29" i="66"/>
  <c r="U29" i="66" s="1"/>
  <c r="J29" i="66"/>
  <c r="M29" i="66" s="1"/>
  <c r="X28" i="66"/>
  <c r="S28" i="66"/>
  <c r="U28" i="66"/>
  <c r="J28" i="66"/>
  <c r="M28" i="66" s="1"/>
  <c r="X27" i="66"/>
  <c r="S27" i="66"/>
  <c r="U27" i="66" s="1"/>
  <c r="J27" i="66"/>
  <c r="M27" i="66"/>
  <c r="X26" i="66"/>
  <c r="S26" i="66"/>
  <c r="U26" i="66" s="1"/>
  <c r="J26" i="66"/>
  <c r="M26" i="66"/>
  <c r="X25" i="66"/>
  <c r="S25" i="66"/>
  <c r="U25" i="66"/>
  <c r="J25" i="66"/>
  <c r="M25" i="66"/>
  <c r="X24" i="66"/>
  <c r="S24" i="66"/>
  <c r="U24" i="66"/>
  <c r="J24" i="66"/>
  <c r="M24" i="66" s="1"/>
  <c r="X23" i="66"/>
  <c r="S23" i="66"/>
  <c r="U23" i="66"/>
  <c r="J23" i="66"/>
  <c r="M23" i="66" s="1"/>
  <c r="X22" i="66"/>
  <c r="S22" i="66"/>
  <c r="U22" i="66" s="1"/>
  <c r="J22" i="66"/>
  <c r="M22" i="66"/>
  <c r="X21" i="66"/>
  <c r="S21" i="66"/>
  <c r="U21" i="66" s="1"/>
  <c r="J21" i="66"/>
  <c r="M21" i="66" s="1"/>
  <c r="X20" i="66"/>
  <c r="S20" i="66"/>
  <c r="U20" i="66"/>
  <c r="J20" i="66"/>
  <c r="M20" i="66" s="1"/>
  <c r="X19" i="66"/>
  <c r="S19" i="66"/>
  <c r="U19" i="66" s="1"/>
  <c r="J19" i="66"/>
  <c r="M19" i="66"/>
  <c r="X18" i="66"/>
  <c r="S18" i="66"/>
  <c r="U18" i="66" s="1"/>
  <c r="J18" i="66"/>
  <c r="M18" i="66"/>
  <c r="X17" i="66"/>
  <c r="S17" i="66"/>
  <c r="U17" i="66"/>
  <c r="J17" i="66"/>
  <c r="M17" i="66"/>
  <c r="X16" i="66"/>
  <c r="S16" i="66"/>
  <c r="U16" i="66"/>
  <c r="J16" i="66"/>
  <c r="M16" i="66" s="1"/>
  <c r="X15" i="66"/>
  <c r="S15" i="66"/>
  <c r="U15" i="66"/>
  <c r="J15" i="66"/>
  <c r="M15" i="66" s="1"/>
  <c r="X14" i="66"/>
  <c r="S14" i="66"/>
  <c r="U14" i="66" s="1"/>
  <c r="J14" i="66"/>
  <c r="M14" i="66"/>
  <c r="X13" i="66"/>
  <c r="S13" i="66"/>
  <c r="U13" i="66" s="1"/>
  <c r="J13" i="66"/>
  <c r="M13" i="66" s="1"/>
  <c r="X12" i="66"/>
  <c r="S12" i="66"/>
  <c r="U12" i="66"/>
  <c r="J12" i="66"/>
  <c r="M12" i="66" s="1"/>
  <c r="X11" i="66"/>
  <c r="S11" i="66"/>
  <c r="U11" i="66" s="1"/>
  <c r="J11" i="66"/>
  <c r="M11" i="66"/>
  <c r="X10" i="66"/>
  <c r="S10" i="66"/>
  <c r="U10" i="66" s="1"/>
  <c r="J10" i="66"/>
  <c r="M10" i="66"/>
  <c r="X9" i="66"/>
  <c r="S9" i="66"/>
  <c r="U9" i="66"/>
  <c r="J9" i="66"/>
  <c r="M9" i="66"/>
  <c r="X8" i="66"/>
  <c r="S8" i="66"/>
  <c r="U8" i="66"/>
  <c r="J8" i="66"/>
  <c r="M8" i="66" s="1"/>
  <c r="X7" i="66"/>
  <c r="S7" i="66"/>
  <c r="U7" i="66"/>
  <c r="J7" i="66"/>
  <c r="M7" i="66" s="1"/>
  <c r="X6" i="66"/>
  <c r="S6" i="66"/>
  <c r="U6" i="66" s="1"/>
  <c r="J6" i="66"/>
  <c r="M6" i="66"/>
  <c r="X5" i="66"/>
  <c r="S5" i="66"/>
  <c r="U5" i="66" s="1"/>
  <c r="J5" i="66"/>
  <c r="K220" i="65"/>
  <c r="K212" i="65"/>
  <c r="N34" i="16" s="1"/>
  <c r="K209" i="65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/>
  <c r="J177" i="65"/>
  <c r="M177" i="65" s="1"/>
  <c r="M176" i="65"/>
  <c r="J176" i="65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/>
  <c r="J168" i="65"/>
  <c r="M168" i="65" s="1"/>
  <c r="J167" i="65"/>
  <c r="M167" i="65" s="1"/>
  <c r="J166" i="65"/>
  <c r="M166" i="65"/>
  <c r="J165" i="65"/>
  <c r="M165" i="65" s="1"/>
  <c r="J164" i="65"/>
  <c r="M164" i="65" s="1"/>
  <c r="J163" i="65"/>
  <c r="M163" i="65" s="1"/>
  <c r="J162" i="65"/>
  <c r="M162" i="65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/>
  <c r="J153" i="65"/>
  <c r="M153" i="65" s="1"/>
  <c r="J152" i="65"/>
  <c r="M152" i="65" s="1"/>
  <c r="J151" i="65"/>
  <c r="M151" i="65" s="1"/>
  <c r="J150" i="65"/>
  <c r="M150" i="65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/>
  <c r="J141" i="65"/>
  <c r="M141" i="65" s="1"/>
  <c r="J140" i="65"/>
  <c r="M140" i="65" s="1"/>
  <c r="J139" i="65"/>
  <c r="M139" i="65" s="1"/>
  <c r="J138" i="65"/>
  <c r="M138" i="65"/>
  <c r="J137" i="65"/>
  <c r="M137" i="65" s="1"/>
  <c r="J136" i="65"/>
  <c r="M136" i="65" s="1"/>
  <c r="J135" i="65"/>
  <c r="M135" i="65" s="1"/>
  <c r="J134" i="65"/>
  <c r="M134" i="65"/>
  <c r="J133" i="65"/>
  <c r="M133" i="65" s="1"/>
  <c r="J132" i="65"/>
  <c r="M132" i="65" s="1"/>
  <c r="J131" i="65"/>
  <c r="M131" i="65" s="1"/>
  <c r="J130" i="65"/>
  <c r="M130" i="65"/>
  <c r="M129" i="65"/>
  <c r="J129" i="65"/>
  <c r="J128" i="65"/>
  <c r="M128" i="65" s="1"/>
  <c r="J127" i="65"/>
  <c r="M127" i="65"/>
  <c r="J126" i="65"/>
  <c r="M126" i="65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/>
  <c r="J118" i="65"/>
  <c r="M118" i="65" s="1"/>
  <c r="J117" i="65"/>
  <c r="M117" i="65" s="1"/>
  <c r="J116" i="65"/>
  <c r="M116" i="65" s="1"/>
  <c r="J115" i="65"/>
  <c r="M115" i="65"/>
  <c r="J114" i="65"/>
  <c r="M114" i="65" s="1"/>
  <c r="J113" i="65"/>
  <c r="M113" i="65" s="1"/>
  <c r="M112" i="65"/>
  <c r="J112" i="65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/>
  <c r="X104" i="65"/>
  <c r="S104" i="65"/>
  <c r="U104" i="65" s="1"/>
  <c r="J104" i="65"/>
  <c r="M104" i="65" s="1"/>
  <c r="X103" i="65"/>
  <c r="S103" i="65"/>
  <c r="U103" i="65"/>
  <c r="J103" i="65"/>
  <c r="M103" i="65" s="1"/>
  <c r="X102" i="65"/>
  <c r="S102" i="65"/>
  <c r="U102" i="65"/>
  <c r="J102" i="65"/>
  <c r="M102" i="65"/>
  <c r="X101" i="65"/>
  <c r="S101" i="65"/>
  <c r="U101" i="65"/>
  <c r="J101" i="65"/>
  <c r="M101" i="65" s="1"/>
  <c r="X100" i="65"/>
  <c r="U100" i="65"/>
  <c r="S100" i="65"/>
  <c r="J100" i="65"/>
  <c r="M100" i="65" s="1"/>
  <c r="X99" i="65"/>
  <c r="S99" i="65"/>
  <c r="U99" i="65" s="1"/>
  <c r="J99" i="65"/>
  <c r="M99" i="65" s="1"/>
  <c r="X98" i="65"/>
  <c r="U98" i="65"/>
  <c r="S98" i="65"/>
  <c r="J98" i="65"/>
  <c r="M98" i="65"/>
  <c r="X97" i="65"/>
  <c r="U97" i="65"/>
  <c r="S97" i="65"/>
  <c r="J97" i="65"/>
  <c r="M97" i="65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/>
  <c r="X93" i="65"/>
  <c r="S93" i="65"/>
  <c r="U93" i="65"/>
  <c r="J93" i="65"/>
  <c r="M93" i="65" s="1"/>
  <c r="X92" i="65"/>
  <c r="S92" i="65"/>
  <c r="U92" i="65"/>
  <c r="J92" i="65"/>
  <c r="M92" i="65" s="1"/>
  <c r="X91" i="65"/>
  <c r="S91" i="65"/>
  <c r="U91" i="65" s="1"/>
  <c r="J91" i="65"/>
  <c r="M91" i="65" s="1"/>
  <c r="X90" i="65"/>
  <c r="S90" i="65"/>
  <c r="U90" i="65"/>
  <c r="J90" i="65"/>
  <c r="M90" i="65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/>
  <c r="X85" i="65"/>
  <c r="U85" i="65"/>
  <c r="S85" i="65"/>
  <c r="J85" i="65"/>
  <c r="M85" i="65" s="1"/>
  <c r="X84" i="65"/>
  <c r="U84" i="65"/>
  <c r="S84" i="65"/>
  <c r="J84" i="65"/>
  <c r="M84" i="65" s="1"/>
  <c r="X83" i="65"/>
  <c r="U83" i="65"/>
  <c r="S83" i="65"/>
  <c r="J83" i="65"/>
  <c r="M83" i="65"/>
  <c r="X82" i="65"/>
  <c r="S82" i="65"/>
  <c r="U82" i="65" s="1"/>
  <c r="J82" i="65"/>
  <c r="M82" i="65"/>
  <c r="X81" i="65"/>
  <c r="S81" i="65"/>
  <c r="U81" i="65" s="1"/>
  <c r="J81" i="65"/>
  <c r="M81" i="65" s="1"/>
  <c r="X80" i="65"/>
  <c r="S80" i="65"/>
  <c r="U80" i="65"/>
  <c r="J80" i="65"/>
  <c r="M80" i="65"/>
  <c r="X79" i="65"/>
  <c r="S79" i="65"/>
  <c r="U79" i="65" s="1"/>
  <c r="J79" i="65"/>
  <c r="M79" i="65" s="1"/>
  <c r="X78" i="65"/>
  <c r="S78" i="65"/>
  <c r="U78" i="65" s="1"/>
  <c r="J78" i="65"/>
  <c r="M78" i="65"/>
  <c r="X77" i="65"/>
  <c r="S77" i="65"/>
  <c r="U77" i="65" s="1"/>
  <c r="J77" i="65"/>
  <c r="M77" i="65" s="1"/>
  <c r="X76" i="65"/>
  <c r="S76" i="65"/>
  <c r="U76" i="65" s="1"/>
  <c r="J76" i="65"/>
  <c r="M76" i="65" s="1"/>
  <c r="X75" i="65"/>
  <c r="S75" i="65"/>
  <c r="U75" i="65" s="1"/>
  <c r="J75" i="65"/>
  <c r="M75" i="65"/>
  <c r="X74" i="65"/>
  <c r="S74" i="65"/>
  <c r="U74" i="65" s="1"/>
  <c r="J74" i="65"/>
  <c r="M74" i="65" s="1"/>
  <c r="X73" i="65"/>
  <c r="S73" i="65"/>
  <c r="U73" i="65" s="1"/>
  <c r="J73" i="65"/>
  <c r="M73" i="65"/>
  <c r="X72" i="65"/>
  <c r="U72" i="65"/>
  <c r="S72" i="65"/>
  <c r="J72" i="65"/>
  <c r="M72" i="65" s="1"/>
  <c r="X71" i="65"/>
  <c r="S71" i="65"/>
  <c r="U71" i="65" s="1"/>
  <c r="J71" i="65"/>
  <c r="M71" i="65" s="1"/>
  <c r="X70" i="65"/>
  <c r="U70" i="65"/>
  <c r="S70" i="65"/>
  <c r="J70" i="65"/>
  <c r="M70" i="65" s="1"/>
  <c r="X69" i="65"/>
  <c r="S69" i="65"/>
  <c r="U69" i="65"/>
  <c r="J69" i="65"/>
  <c r="M69" i="65" s="1"/>
  <c r="X68" i="65"/>
  <c r="S68" i="65"/>
  <c r="U68" i="65" s="1"/>
  <c r="J68" i="65"/>
  <c r="M68" i="65" s="1"/>
  <c r="X67" i="65"/>
  <c r="S67" i="65"/>
  <c r="U67" i="65"/>
  <c r="J67" i="65"/>
  <c r="M67" i="65"/>
  <c r="X66" i="65"/>
  <c r="S66" i="65"/>
  <c r="U66" i="65" s="1"/>
  <c r="J66" i="65"/>
  <c r="M66" i="65" s="1"/>
  <c r="X65" i="65"/>
  <c r="U65" i="65"/>
  <c r="S65" i="65"/>
  <c r="J65" i="65"/>
  <c r="M65" i="65"/>
  <c r="X64" i="65"/>
  <c r="S64" i="65"/>
  <c r="U64" i="65" s="1"/>
  <c r="J64" i="65"/>
  <c r="M64" i="65" s="1"/>
  <c r="X63" i="65"/>
  <c r="U63" i="65"/>
  <c r="S63" i="65"/>
  <c r="J63" i="65"/>
  <c r="M63" i="65" s="1"/>
  <c r="X62" i="65"/>
  <c r="S62" i="65"/>
  <c r="U62" i="65"/>
  <c r="J62" i="65"/>
  <c r="M62" i="65"/>
  <c r="X61" i="65"/>
  <c r="S61" i="65"/>
  <c r="U61" i="65"/>
  <c r="J61" i="65"/>
  <c r="M61" i="65" s="1"/>
  <c r="X60" i="65"/>
  <c r="S60" i="65"/>
  <c r="U60" i="65"/>
  <c r="J60" i="65"/>
  <c r="M60" i="65" s="1"/>
  <c r="X59" i="65"/>
  <c r="S59" i="65"/>
  <c r="U59" i="65"/>
  <c r="J59" i="65"/>
  <c r="M59" i="65" s="1"/>
  <c r="X58" i="65"/>
  <c r="S58" i="65"/>
  <c r="U58" i="65" s="1"/>
  <c r="J58" i="65"/>
  <c r="M58" i="65" s="1"/>
  <c r="X57" i="65"/>
  <c r="X107" i="65" s="1"/>
  <c r="S57" i="65"/>
  <c r="U57" i="65" s="1"/>
  <c r="J57" i="65"/>
  <c r="M57" i="65"/>
  <c r="X56" i="65"/>
  <c r="S56" i="65"/>
  <c r="U56" i="65" s="1"/>
  <c r="J56" i="65"/>
  <c r="M56" i="65" s="1"/>
  <c r="X55" i="65"/>
  <c r="S55" i="65"/>
  <c r="U55" i="65" s="1"/>
  <c r="J55" i="65"/>
  <c r="M55" i="65" s="1"/>
  <c r="X54" i="65"/>
  <c r="U54" i="65"/>
  <c r="S54" i="65"/>
  <c r="J54" i="65"/>
  <c r="M54" i="65" s="1"/>
  <c r="X53" i="65"/>
  <c r="S53" i="65"/>
  <c r="U53" i="65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/>
  <c r="X50" i="65"/>
  <c r="S50" i="65"/>
  <c r="U50" i="65" s="1"/>
  <c r="J50" i="65"/>
  <c r="M50" i="65"/>
  <c r="X49" i="65"/>
  <c r="S49" i="65"/>
  <c r="U49" i="65" s="1"/>
  <c r="J49" i="65"/>
  <c r="M49" i="65"/>
  <c r="X48" i="65"/>
  <c r="S48" i="65"/>
  <c r="U48" i="65"/>
  <c r="J48" i="65"/>
  <c r="M48" i="65" s="1"/>
  <c r="X47" i="65"/>
  <c r="U47" i="65"/>
  <c r="S47" i="65"/>
  <c r="J47" i="65"/>
  <c r="M47" i="65" s="1"/>
  <c r="X46" i="65"/>
  <c r="S46" i="65"/>
  <c r="U46" i="65"/>
  <c r="J46" i="65"/>
  <c r="M46" i="65"/>
  <c r="X45" i="65"/>
  <c r="S45" i="65"/>
  <c r="U45" i="65"/>
  <c r="J45" i="65"/>
  <c r="M45" i="65" s="1"/>
  <c r="X44" i="65"/>
  <c r="S44" i="65"/>
  <c r="U44" i="65"/>
  <c r="J44" i="65"/>
  <c r="M44" i="65" s="1"/>
  <c r="X43" i="65"/>
  <c r="S43" i="65"/>
  <c r="U43" i="65" s="1"/>
  <c r="J43" i="65"/>
  <c r="M43" i="65" s="1"/>
  <c r="X42" i="65"/>
  <c r="S42" i="65"/>
  <c r="U42" i="65"/>
  <c r="J42" i="65"/>
  <c r="M42" i="65" s="1"/>
  <c r="X41" i="65"/>
  <c r="U41" i="65"/>
  <c r="S41" i="65"/>
  <c r="J41" i="65"/>
  <c r="M41" i="65"/>
  <c r="X40" i="65"/>
  <c r="S40" i="65"/>
  <c r="U40" i="65" s="1"/>
  <c r="J40" i="65"/>
  <c r="M40" i="65" s="1"/>
  <c r="X39" i="65"/>
  <c r="S39" i="65"/>
  <c r="U39" i="65"/>
  <c r="J39" i="65"/>
  <c r="M39" i="65" s="1"/>
  <c r="X38" i="65"/>
  <c r="S38" i="65"/>
  <c r="U38" i="65"/>
  <c r="J38" i="65"/>
  <c r="M38" i="65" s="1"/>
  <c r="X37" i="65"/>
  <c r="S37" i="65"/>
  <c r="U37" i="65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U34" i="65"/>
  <c r="S34" i="65"/>
  <c r="J34" i="65"/>
  <c r="M34" i="65"/>
  <c r="X33" i="65"/>
  <c r="U33" i="65"/>
  <c r="S33" i="65"/>
  <c r="J33" i="65"/>
  <c r="M33" i="65" s="1"/>
  <c r="X32" i="65"/>
  <c r="S32" i="65"/>
  <c r="U32" i="65"/>
  <c r="J32" i="65"/>
  <c r="M32" i="65" s="1"/>
  <c r="X31" i="65"/>
  <c r="S31" i="65"/>
  <c r="U31" i="65"/>
  <c r="J31" i="65"/>
  <c r="M31" i="65" s="1"/>
  <c r="X30" i="65"/>
  <c r="S30" i="65"/>
  <c r="U30" i="65" s="1"/>
  <c r="J30" i="65"/>
  <c r="M30" i="65"/>
  <c r="X29" i="65"/>
  <c r="U29" i="65"/>
  <c r="S29" i="65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U26" i="65"/>
  <c r="S26" i="65"/>
  <c r="J26" i="65"/>
  <c r="M26" i="65"/>
  <c r="X25" i="65"/>
  <c r="S25" i="65"/>
  <c r="U25" i="65" s="1"/>
  <c r="J25" i="65"/>
  <c r="M25" i="65"/>
  <c r="X24" i="65"/>
  <c r="S24" i="65"/>
  <c r="U24" i="65"/>
  <c r="J24" i="65"/>
  <c r="M24" i="65" s="1"/>
  <c r="X23" i="65"/>
  <c r="S23" i="65"/>
  <c r="U23" i="65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U20" i="65"/>
  <c r="S20" i="65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/>
  <c r="X17" i="65"/>
  <c r="U17" i="65"/>
  <c r="S17" i="65"/>
  <c r="J17" i="65"/>
  <c r="M17" i="65" s="1"/>
  <c r="X16" i="65"/>
  <c r="S16" i="65"/>
  <c r="U16" i="65"/>
  <c r="J16" i="65"/>
  <c r="M16" i="65" s="1"/>
  <c r="X15" i="65"/>
  <c r="S15" i="65"/>
  <c r="U15" i="65"/>
  <c r="J15" i="65"/>
  <c r="M15" i="65" s="1"/>
  <c r="X14" i="65"/>
  <c r="S14" i="65"/>
  <c r="U14" i="65"/>
  <c r="J14" i="65"/>
  <c r="M14" i="65" s="1"/>
  <c r="X13" i="65"/>
  <c r="S13" i="65"/>
  <c r="U13" i="65" s="1"/>
  <c r="J13" i="65"/>
  <c r="M13" i="65" s="1"/>
  <c r="X12" i="65"/>
  <c r="S12" i="65"/>
  <c r="U12" i="65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/>
  <c r="X9" i="65"/>
  <c r="S9" i="65"/>
  <c r="U9" i="65" s="1"/>
  <c r="J9" i="65"/>
  <c r="M9" i="65"/>
  <c r="X8" i="65"/>
  <c r="S8" i="65"/>
  <c r="U8" i="65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/>
  <c r="J5" i="65"/>
  <c r="K220" i="64"/>
  <c r="K212" i="64"/>
  <c r="N33" i="16" s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/>
  <c r="J197" i="64"/>
  <c r="M197" i="64" s="1"/>
  <c r="J196" i="64"/>
  <c r="M196" i="64"/>
  <c r="J195" i="64"/>
  <c r="M195" i="64" s="1"/>
  <c r="J194" i="64"/>
  <c r="M194" i="64"/>
  <c r="J193" i="64"/>
  <c r="M193" i="64" s="1"/>
  <c r="J192" i="64"/>
  <c r="M192" i="64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/>
  <c r="M185" i="64"/>
  <c r="J185" i="64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/>
  <c r="J169" i="64"/>
  <c r="M169" i="64" s="1"/>
  <c r="J168" i="64"/>
  <c r="M168" i="64"/>
  <c r="J167" i="64"/>
  <c r="M167" i="64" s="1"/>
  <c r="J166" i="64"/>
  <c r="M166" i="64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/>
  <c r="M159" i="64"/>
  <c r="J159" i="64"/>
  <c r="J158" i="64"/>
  <c r="M158" i="64" s="1"/>
  <c r="J157" i="64"/>
  <c r="M157" i="64" s="1"/>
  <c r="J156" i="64"/>
  <c r="M156" i="64" s="1"/>
  <c r="J155" i="64"/>
  <c r="M155" i="64" s="1"/>
  <c r="J154" i="64"/>
  <c r="M154" i="64"/>
  <c r="J153" i="64"/>
  <c r="M153" i="64" s="1"/>
  <c r="J152" i="64"/>
  <c r="M152" i="64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/>
  <c r="M141" i="64"/>
  <c r="J141" i="64"/>
  <c r="J140" i="64"/>
  <c r="M140" i="64" s="1"/>
  <c r="J139" i="64"/>
  <c r="M139" i="64" s="1"/>
  <c r="J138" i="64"/>
  <c r="M138" i="64" s="1"/>
  <c r="J137" i="64"/>
  <c r="M137" i="64" s="1"/>
  <c r="J136" i="64"/>
  <c r="M136" i="64"/>
  <c r="J135" i="64"/>
  <c r="M135" i="64" s="1"/>
  <c r="J134" i="64"/>
  <c r="M134" i="64" s="1"/>
  <c r="J133" i="64"/>
  <c r="M133" i="64" s="1"/>
  <c r="J132" i="64"/>
  <c r="M132" i="64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/>
  <c r="J125" i="64"/>
  <c r="M125" i="64" s="1"/>
  <c r="J124" i="64"/>
  <c r="M124" i="64" s="1"/>
  <c r="J123" i="64"/>
  <c r="M123" i="64" s="1"/>
  <c r="J122" i="64"/>
  <c r="M122" i="64"/>
  <c r="J121" i="64"/>
  <c r="M121" i="64" s="1"/>
  <c r="J120" i="64"/>
  <c r="M120" i="64" s="1"/>
  <c r="J119" i="64"/>
  <c r="M119" i="64" s="1"/>
  <c r="J118" i="64"/>
  <c r="M118" i="64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/>
  <c r="J109" i="64"/>
  <c r="M109" i="64" s="1"/>
  <c r="J108" i="64"/>
  <c r="M108" i="64" s="1"/>
  <c r="J107" i="64"/>
  <c r="M107" i="64" s="1"/>
  <c r="J106" i="64"/>
  <c r="M106" i="64" s="1"/>
  <c r="Z105" i="64"/>
  <c r="J105" i="64"/>
  <c r="M105" i="64"/>
  <c r="X104" i="64"/>
  <c r="S104" i="64"/>
  <c r="U104" i="64" s="1"/>
  <c r="J104" i="64"/>
  <c r="M104" i="64" s="1"/>
  <c r="X103" i="64"/>
  <c r="S103" i="64"/>
  <c r="U103" i="64"/>
  <c r="J103" i="64"/>
  <c r="M103" i="64" s="1"/>
  <c r="X102" i="64"/>
  <c r="S102" i="64"/>
  <c r="U102" i="64" s="1"/>
  <c r="J102" i="64"/>
  <c r="M102" i="64" s="1"/>
  <c r="X101" i="64"/>
  <c r="S101" i="64"/>
  <c r="U101" i="64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/>
  <c r="J97" i="64"/>
  <c r="M97" i="64"/>
  <c r="X96" i="64"/>
  <c r="S96" i="64"/>
  <c r="U96" i="64"/>
  <c r="J96" i="64"/>
  <c r="M96" i="64"/>
  <c r="X95" i="64"/>
  <c r="S95" i="64"/>
  <c r="U95" i="64"/>
  <c r="J95" i="64"/>
  <c r="M95" i="64" s="1"/>
  <c r="X94" i="64"/>
  <c r="S94" i="64"/>
  <c r="U94" i="64"/>
  <c r="J94" i="64"/>
  <c r="M94" i="64" s="1"/>
  <c r="X93" i="64"/>
  <c r="S93" i="64"/>
  <c r="U93" i="64"/>
  <c r="J93" i="64"/>
  <c r="M93" i="64" s="1"/>
  <c r="X92" i="64"/>
  <c r="S92" i="64"/>
  <c r="U92" i="64"/>
  <c r="J92" i="64"/>
  <c r="M92" i="64" s="1"/>
  <c r="X91" i="64"/>
  <c r="S91" i="64"/>
  <c r="U91" i="64"/>
  <c r="J91" i="64"/>
  <c r="M91" i="64" s="1"/>
  <c r="X90" i="64"/>
  <c r="S90" i="64"/>
  <c r="U90" i="64"/>
  <c r="J90" i="64"/>
  <c r="M90" i="64"/>
  <c r="X89" i="64"/>
  <c r="S89" i="64"/>
  <c r="U89" i="64" s="1"/>
  <c r="J89" i="64"/>
  <c r="M89" i="64"/>
  <c r="X88" i="64"/>
  <c r="S88" i="64"/>
  <c r="U88" i="64" s="1"/>
  <c r="J88" i="64"/>
  <c r="M88" i="64" s="1"/>
  <c r="X87" i="64"/>
  <c r="S87" i="64"/>
  <c r="U87" i="64"/>
  <c r="J87" i="64"/>
  <c r="M87" i="64" s="1"/>
  <c r="X86" i="64"/>
  <c r="S86" i="64"/>
  <c r="U86" i="64" s="1"/>
  <c r="J86" i="64"/>
  <c r="M86" i="64" s="1"/>
  <c r="X85" i="64"/>
  <c r="S85" i="64"/>
  <c r="U85" i="64"/>
  <c r="J85" i="64"/>
  <c r="M85" i="64" s="1"/>
  <c r="X84" i="64"/>
  <c r="S84" i="64"/>
  <c r="U84" i="64" s="1"/>
  <c r="J84" i="64"/>
  <c r="M84" i="64" s="1"/>
  <c r="X83" i="64"/>
  <c r="S83" i="64"/>
  <c r="U83" i="64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/>
  <c r="J80" i="64"/>
  <c r="M80" i="64"/>
  <c r="X79" i="64"/>
  <c r="S79" i="64"/>
  <c r="U79" i="64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/>
  <c r="J76" i="64"/>
  <c r="M76" i="64" s="1"/>
  <c r="X75" i="64"/>
  <c r="S75" i="64"/>
  <c r="U75" i="64" s="1"/>
  <c r="J75" i="64"/>
  <c r="M75" i="64" s="1"/>
  <c r="X74" i="64"/>
  <c r="S74" i="64"/>
  <c r="U74" i="64"/>
  <c r="J74" i="64"/>
  <c r="M74" i="64" s="1"/>
  <c r="X73" i="64"/>
  <c r="S73" i="64"/>
  <c r="U73" i="64" s="1"/>
  <c r="J73" i="64"/>
  <c r="M73" i="64" s="1"/>
  <c r="X72" i="64"/>
  <c r="S72" i="64"/>
  <c r="U72" i="64"/>
  <c r="J72" i="64"/>
  <c r="M72" i="64" s="1"/>
  <c r="X71" i="64"/>
  <c r="S71" i="64"/>
  <c r="U71" i="64" s="1"/>
  <c r="J71" i="64"/>
  <c r="M71" i="64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U67" i="64"/>
  <c r="S67" i="64"/>
  <c r="J67" i="64"/>
  <c r="M67" i="64"/>
  <c r="X66" i="64"/>
  <c r="S66" i="64"/>
  <c r="U66" i="64" s="1"/>
  <c r="J66" i="64"/>
  <c r="M66" i="64" s="1"/>
  <c r="X65" i="64"/>
  <c r="S65" i="64"/>
  <c r="U65" i="64"/>
  <c r="J65" i="64"/>
  <c r="M65" i="64" s="1"/>
  <c r="X64" i="64"/>
  <c r="S64" i="64"/>
  <c r="U64" i="64" s="1"/>
  <c r="J64" i="64"/>
  <c r="M64" i="64" s="1"/>
  <c r="X63" i="64"/>
  <c r="S63" i="64"/>
  <c r="U63" i="64"/>
  <c r="J63" i="64"/>
  <c r="M63" i="64" s="1"/>
  <c r="X62" i="64"/>
  <c r="S62" i="64"/>
  <c r="U62" i="64" s="1"/>
  <c r="J62" i="64"/>
  <c r="M62" i="64" s="1"/>
  <c r="X61" i="64"/>
  <c r="S61" i="64"/>
  <c r="U61" i="64"/>
  <c r="J61" i="64"/>
  <c r="M61" i="64" s="1"/>
  <c r="X60" i="64"/>
  <c r="S60" i="64"/>
  <c r="U60" i="64"/>
  <c r="J60" i="64"/>
  <c r="M60" i="64" s="1"/>
  <c r="X59" i="64"/>
  <c r="S59" i="64"/>
  <c r="U59" i="64"/>
  <c r="J59" i="64"/>
  <c r="M59" i="64"/>
  <c r="X58" i="64"/>
  <c r="S58" i="64"/>
  <c r="U58" i="64" s="1"/>
  <c r="J58" i="64"/>
  <c r="M58" i="64" s="1"/>
  <c r="X57" i="64"/>
  <c r="S57" i="64"/>
  <c r="U57" i="64"/>
  <c r="J57" i="64"/>
  <c r="M57" i="64"/>
  <c r="X56" i="64"/>
  <c r="S56" i="64"/>
  <c r="U56" i="64" s="1"/>
  <c r="J56" i="64"/>
  <c r="M56" i="64"/>
  <c r="X55" i="64"/>
  <c r="S55" i="64"/>
  <c r="U55" i="64"/>
  <c r="J55" i="64"/>
  <c r="M55" i="64" s="1"/>
  <c r="X54" i="64"/>
  <c r="S54" i="64"/>
  <c r="U54" i="64"/>
  <c r="J54" i="64"/>
  <c r="M54" i="64" s="1"/>
  <c r="X53" i="64"/>
  <c r="S53" i="64"/>
  <c r="U53" i="64"/>
  <c r="J53" i="64"/>
  <c r="M53" i="64" s="1"/>
  <c r="X52" i="64"/>
  <c r="S52" i="64"/>
  <c r="U52" i="64"/>
  <c r="J52" i="64"/>
  <c r="M52" i="64" s="1"/>
  <c r="X51" i="64"/>
  <c r="S51" i="64"/>
  <c r="U51" i="64"/>
  <c r="J51" i="64"/>
  <c r="M51" i="64" s="1"/>
  <c r="X50" i="64"/>
  <c r="S50" i="64"/>
  <c r="U50" i="64"/>
  <c r="J50" i="64"/>
  <c r="M50" i="64" s="1"/>
  <c r="X49" i="64"/>
  <c r="S49" i="64"/>
  <c r="U49" i="64" s="1"/>
  <c r="J49" i="64"/>
  <c r="M49" i="64"/>
  <c r="X48" i="64"/>
  <c r="S48" i="64"/>
  <c r="U48" i="64" s="1"/>
  <c r="J48" i="64"/>
  <c r="M48" i="64" s="1"/>
  <c r="X47" i="64"/>
  <c r="U47" i="64"/>
  <c r="S47" i="64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/>
  <c r="J44" i="64"/>
  <c r="M44" i="64" s="1"/>
  <c r="X43" i="64"/>
  <c r="S43" i="64"/>
  <c r="U43" i="64" s="1"/>
  <c r="J43" i="64"/>
  <c r="M43" i="64"/>
  <c r="X42" i="64"/>
  <c r="S42" i="64"/>
  <c r="U42" i="64"/>
  <c r="J42" i="64"/>
  <c r="M42" i="64" s="1"/>
  <c r="X41" i="64"/>
  <c r="S41" i="64"/>
  <c r="U41" i="64"/>
  <c r="J41" i="64"/>
  <c r="M41" i="64"/>
  <c r="X40" i="64"/>
  <c r="S40" i="64"/>
  <c r="U40" i="64" s="1"/>
  <c r="J40" i="64"/>
  <c r="M40" i="64" s="1"/>
  <c r="X39" i="64"/>
  <c r="S39" i="64"/>
  <c r="U39" i="64"/>
  <c r="J39" i="64"/>
  <c r="M39" i="64" s="1"/>
  <c r="X38" i="64"/>
  <c r="U38" i="64"/>
  <c r="S38" i="64"/>
  <c r="J38" i="64"/>
  <c r="M38" i="64" s="1"/>
  <c r="X37" i="64"/>
  <c r="S37" i="64"/>
  <c r="U37" i="64"/>
  <c r="J37" i="64"/>
  <c r="M37" i="64" s="1"/>
  <c r="X36" i="64"/>
  <c r="S36" i="64"/>
  <c r="U36" i="64" s="1"/>
  <c r="J36" i="64"/>
  <c r="M36" i="64" s="1"/>
  <c r="X35" i="64"/>
  <c r="S35" i="64"/>
  <c r="U35" i="64"/>
  <c r="J35" i="64"/>
  <c r="M35" i="64"/>
  <c r="X34" i="64"/>
  <c r="S34" i="64"/>
  <c r="U34" i="64" s="1"/>
  <c r="J34" i="64"/>
  <c r="M34" i="64"/>
  <c r="X33" i="64"/>
  <c r="S33" i="64"/>
  <c r="U33" i="64" s="1"/>
  <c r="J33" i="64"/>
  <c r="M33" i="64" s="1"/>
  <c r="X32" i="64"/>
  <c r="S32" i="64"/>
  <c r="U32" i="64"/>
  <c r="J32" i="64"/>
  <c r="M32" i="64" s="1"/>
  <c r="X31" i="64"/>
  <c r="S31" i="64"/>
  <c r="U31" i="64"/>
  <c r="J31" i="64"/>
  <c r="M31" i="64" s="1"/>
  <c r="X30" i="64"/>
  <c r="S30" i="64"/>
  <c r="U30" i="64"/>
  <c r="J30" i="64"/>
  <c r="M30" i="64" s="1"/>
  <c r="X29" i="64"/>
  <c r="S29" i="64"/>
  <c r="U29" i="64" s="1"/>
  <c r="J29" i="64"/>
  <c r="M29" i="64" s="1"/>
  <c r="X28" i="64"/>
  <c r="S28" i="64"/>
  <c r="U28" i="64"/>
  <c r="J28" i="64"/>
  <c r="M28" i="64" s="1"/>
  <c r="X27" i="64"/>
  <c r="S27" i="64"/>
  <c r="U27" i="64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/>
  <c r="X24" i="64"/>
  <c r="S24" i="64"/>
  <c r="U24" i="64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/>
  <c r="J16" i="64"/>
  <c r="M16" i="64" s="1"/>
  <c r="X15" i="64"/>
  <c r="S15" i="64"/>
  <c r="U15" i="64" s="1"/>
  <c r="J15" i="64"/>
  <c r="M15" i="64" s="1"/>
  <c r="X14" i="64"/>
  <c r="U14" i="64"/>
  <c r="S14" i="64"/>
  <c r="J14" i="64"/>
  <c r="M14" i="64" s="1"/>
  <c r="X13" i="64"/>
  <c r="S13" i="64"/>
  <c r="U13" i="64"/>
  <c r="J13" i="64"/>
  <c r="M13" i="64"/>
  <c r="X12" i="64"/>
  <c r="S12" i="64"/>
  <c r="U12" i="64"/>
  <c r="J12" i="64"/>
  <c r="M12" i="64" s="1"/>
  <c r="X11" i="64"/>
  <c r="S11" i="64"/>
  <c r="U11" i="64" s="1"/>
  <c r="J11" i="64"/>
  <c r="M11" i="64" s="1"/>
  <c r="X10" i="64"/>
  <c r="U10" i="64"/>
  <c r="S10" i="64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/>
  <c r="J7" i="64"/>
  <c r="M7" i="64" s="1"/>
  <c r="X6" i="64"/>
  <c r="S6" i="64"/>
  <c r="U6" i="64"/>
  <c r="J6" i="64"/>
  <c r="X5" i="64"/>
  <c r="S5" i="64"/>
  <c r="U5" i="64" s="1"/>
  <c r="J5" i="64"/>
  <c r="M5" i="64" s="1"/>
  <c r="K220" i="63"/>
  <c r="K212" i="63"/>
  <c r="N32" i="16" s="1"/>
  <c r="K209" i="63"/>
  <c r="K219" i="63" s="1"/>
  <c r="J204" i="63"/>
  <c r="M204" i="63" s="1"/>
  <c r="J203" i="63"/>
  <c r="M203" i="63" s="1"/>
  <c r="J202" i="63"/>
  <c r="M202" i="63" s="1"/>
  <c r="J201" i="63"/>
  <c r="M201" i="63"/>
  <c r="J200" i="63"/>
  <c r="M200" i="63"/>
  <c r="J199" i="63"/>
  <c r="M199" i="63" s="1"/>
  <c r="J198" i="63"/>
  <c r="M198" i="63" s="1"/>
  <c r="J197" i="63"/>
  <c r="M197" i="63" s="1"/>
  <c r="J196" i="63"/>
  <c r="M196" i="63"/>
  <c r="J195" i="63"/>
  <c r="M195" i="63" s="1"/>
  <c r="J194" i="63"/>
  <c r="M194" i="63" s="1"/>
  <c r="J193" i="63"/>
  <c r="M193" i="63" s="1"/>
  <c r="J192" i="63"/>
  <c r="M192" i="63"/>
  <c r="J191" i="63"/>
  <c r="M191" i="63" s="1"/>
  <c r="J190" i="63"/>
  <c r="M190" i="63"/>
  <c r="J189" i="63"/>
  <c r="M189" i="63" s="1"/>
  <c r="J188" i="63"/>
  <c r="M188" i="63" s="1"/>
  <c r="M187" i="63"/>
  <c r="J187" i="63"/>
  <c r="J186" i="63"/>
  <c r="M186" i="63" s="1"/>
  <c r="J185" i="63"/>
  <c r="M185" i="63" s="1"/>
  <c r="J184" i="63"/>
  <c r="M184" i="63" s="1"/>
  <c r="J183" i="63"/>
  <c r="M183" i="63" s="1"/>
  <c r="J182" i="63"/>
  <c r="M182" i="63"/>
  <c r="J181" i="63"/>
  <c r="M181" i="63" s="1"/>
  <c r="J180" i="63"/>
  <c r="M180" i="63"/>
  <c r="J179" i="63"/>
  <c r="M179" i="63" s="1"/>
  <c r="J178" i="63"/>
  <c r="M178" i="63"/>
  <c r="J177" i="63"/>
  <c r="M177" i="63"/>
  <c r="J176" i="63"/>
  <c r="M176" i="63" s="1"/>
  <c r="J175" i="63"/>
  <c r="M175" i="63" s="1"/>
  <c r="J174" i="63"/>
  <c r="M174" i="63"/>
  <c r="J173" i="63"/>
  <c r="M173" i="63"/>
  <c r="J172" i="63"/>
  <c r="M172" i="63" s="1"/>
  <c r="J171" i="63"/>
  <c r="M171" i="63" s="1"/>
  <c r="J170" i="63"/>
  <c r="M170" i="63"/>
  <c r="J169" i="63"/>
  <c r="M169" i="63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/>
  <c r="J160" i="63"/>
  <c r="M160" i="63" s="1"/>
  <c r="J159" i="63"/>
  <c r="M159" i="63" s="1"/>
  <c r="J158" i="63"/>
  <c r="M158" i="63" s="1"/>
  <c r="J157" i="63"/>
  <c r="M157" i="63" s="1"/>
  <c r="J156" i="63"/>
  <c r="M156" i="63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/>
  <c r="M139" i="63"/>
  <c r="J139" i="63"/>
  <c r="J138" i="63"/>
  <c r="M138" i="63" s="1"/>
  <c r="J137" i="63"/>
  <c r="M137" i="63" s="1"/>
  <c r="J136" i="63"/>
  <c r="M136" i="63" s="1"/>
  <c r="J135" i="63"/>
  <c r="M135" i="63" s="1"/>
  <c r="M134" i="63"/>
  <c r="J134" i="63"/>
  <c r="J133" i="63"/>
  <c r="M133" i="63" s="1"/>
  <c r="J132" i="63"/>
  <c r="M132" i="63"/>
  <c r="J131" i="63"/>
  <c r="M131" i="63" s="1"/>
  <c r="J130" i="63"/>
  <c r="M130" i="63" s="1"/>
  <c r="J129" i="63"/>
  <c r="M129" i="63"/>
  <c r="J128" i="63"/>
  <c r="M128" i="63" s="1"/>
  <c r="J127" i="63"/>
  <c r="M127" i="63" s="1"/>
  <c r="J126" i="63"/>
  <c r="M126" i="63" s="1"/>
  <c r="J125" i="63"/>
  <c r="M125" i="63"/>
  <c r="J124" i="63"/>
  <c r="M124" i="63" s="1"/>
  <c r="J123" i="63"/>
  <c r="M123" i="63" s="1"/>
  <c r="J122" i="63"/>
  <c r="M122" i="63" s="1"/>
  <c r="J121" i="63"/>
  <c r="M121" i="63"/>
  <c r="J120" i="63"/>
  <c r="M120" i="63" s="1"/>
  <c r="J119" i="63"/>
  <c r="M119" i="63" s="1"/>
  <c r="M118" i="63"/>
  <c r="J118" i="63"/>
  <c r="J117" i="63"/>
  <c r="M117" i="63"/>
  <c r="J116" i="63"/>
  <c r="M116" i="63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/>
  <c r="M104" i="63"/>
  <c r="J104" i="63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/>
  <c r="J101" i="63"/>
  <c r="M101" i="63" s="1"/>
  <c r="X100" i="63"/>
  <c r="S100" i="63"/>
  <c r="U100" i="63"/>
  <c r="J100" i="63"/>
  <c r="M100" i="63" s="1"/>
  <c r="X99" i="63"/>
  <c r="S99" i="63"/>
  <c r="U99" i="63"/>
  <c r="J99" i="63"/>
  <c r="M99" i="63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/>
  <c r="J93" i="63"/>
  <c r="M93" i="63"/>
  <c r="X92" i="63"/>
  <c r="S92" i="63"/>
  <c r="U92" i="63" s="1"/>
  <c r="J92" i="63"/>
  <c r="M92" i="63" s="1"/>
  <c r="X91" i="63"/>
  <c r="S91" i="63"/>
  <c r="U91" i="63"/>
  <c r="J91" i="63"/>
  <c r="M91" i="63"/>
  <c r="X90" i="63"/>
  <c r="S90" i="63"/>
  <c r="U90" i="63"/>
  <c r="J90" i="63"/>
  <c r="M90" i="63" s="1"/>
  <c r="X89" i="63"/>
  <c r="S89" i="63"/>
  <c r="U89" i="63"/>
  <c r="J89" i="63"/>
  <c r="M89" i="63" s="1"/>
  <c r="X88" i="63"/>
  <c r="S88" i="63"/>
  <c r="U88" i="63"/>
  <c r="J88" i="63"/>
  <c r="M88" i="63" s="1"/>
  <c r="X87" i="63"/>
  <c r="S87" i="63"/>
  <c r="U87" i="63"/>
  <c r="J87" i="63"/>
  <c r="M87" i="63" s="1"/>
  <c r="X86" i="63"/>
  <c r="S86" i="63"/>
  <c r="U86" i="63"/>
  <c r="J86" i="63"/>
  <c r="M86" i="63"/>
  <c r="X85" i="63"/>
  <c r="S85" i="63"/>
  <c r="U85" i="63"/>
  <c r="J85" i="63"/>
  <c r="M85" i="63" s="1"/>
  <c r="X84" i="63"/>
  <c r="S84" i="63"/>
  <c r="U84" i="63"/>
  <c r="J84" i="63"/>
  <c r="M84" i="63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/>
  <c r="M80" i="63"/>
  <c r="J80" i="63"/>
  <c r="X79" i="63"/>
  <c r="S79" i="63"/>
  <c r="U79" i="63"/>
  <c r="J79" i="63"/>
  <c r="M79" i="63" s="1"/>
  <c r="X78" i="63"/>
  <c r="S78" i="63"/>
  <c r="U78" i="63" s="1"/>
  <c r="J78" i="63"/>
  <c r="M78" i="63" s="1"/>
  <c r="X77" i="63"/>
  <c r="S77" i="63"/>
  <c r="U77" i="63"/>
  <c r="J77" i="63"/>
  <c r="M77" i="63" s="1"/>
  <c r="X76" i="63"/>
  <c r="S76" i="63"/>
  <c r="U76" i="63" s="1"/>
  <c r="J76" i="63"/>
  <c r="M76" i="63" s="1"/>
  <c r="X75" i="63"/>
  <c r="S75" i="63"/>
  <c r="U75" i="63"/>
  <c r="J75" i="63"/>
  <c r="M75" i="63"/>
  <c r="X74" i="63"/>
  <c r="S74" i="63"/>
  <c r="U74" i="63" s="1"/>
  <c r="J74" i="63"/>
  <c r="M74" i="63" s="1"/>
  <c r="X73" i="63"/>
  <c r="S73" i="63"/>
  <c r="U73" i="63"/>
  <c r="J73" i="63"/>
  <c r="M73" i="63" s="1"/>
  <c r="X72" i="63"/>
  <c r="S72" i="63"/>
  <c r="U72" i="63" s="1"/>
  <c r="J72" i="63"/>
  <c r="M72" i="63" s="1"/>
  <c r="X71" i="63"/>
  <c r="S71" i="63"/>
  <c r="U71" i="63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/>
  <c r="J67" i="63"/>
  <c r="M67" i="63" s="1"/>
  <c r="X66" i="63"/>
  <c r="S66" i="63"/>
  <c r="U66" i="63"/>
  <c r="J66" i="63"/>
  <c r="M66" i="63"/>
  <c r="X65" i="63"/>
  <c r="S65" i="63"/>
  <c r="U65" i="63" s="1"/>
  <c r="J65" i="63"/>
  <c r="M65" i="63" s="1"/>
  <c r="X64" i="63"/>
  <c r="S64" i="63"/>
  <c r="U64" i="63"/>
  <c r="J64" i="63"/>
  <c r="M64" i="63" s="1"/>
  <c r="X63" i="63"/>
  <c r="S63" i="63"/>
  <c r="U63" i="63" s="1"/>
  <c r="J63" i="63"/>
  <c r="M63" i="63" s="1"/>
  <c r="X62" i="63"/>
  <c r="S62" i="63"/>
  <c r="U62" i="63"/>
  <c r="J62" i="63"/>
  <c r="M62" i="63" s="1"/>
  <c r="X61" i="63"/>
  <c r="S61" i="63"/>
  <c r="U61" i="63" s="1"/>
  <c r="J61" i="63"/>
  <c r="M61" i="63" s="1"/>
  <c r="X60" i="63"/>
  <c r="S60" i="63"/>
  <c r="U60" i="63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U57" i="63"/>
  <c r="S57" i="63"/>
  <c r="J57" i="63"/>
  <c r="M57" i="63" s="1"/>
  <c r="X56" i="63"/>
  <c r="U56" i="63"/>
  <c r="S56" i="63"/>
  <c r="J56" i="63"/>
  <c r="M56" i="63" s="1"/>
  <c r="X55" i="63"/>
  <c r="S55" i="63"/>
  <c r="U55" i="63" s="1"/>
  <c r="J55" i="63"/>
  <c r="M55" i="63" s="1"/>
  <c r="X54" i="63"/>
  <c r="S54" i="63"/>
  <c r="U54" i="63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/>
  <c r="J50" i="63"/>
  <c r="M50" i="63" s="1"/>
  <c r="X49" i="63"/>
  <c r="S49" i="63"/>
  <c r="U49" i="63" s="1"/>
  <c r="J49" i="63"/>
  <c r="M49" i="63" s="1"/>
  <c r="X48" i="63"/>
  <c r="U48" i="63"/>
  <c r="S48" i="63"/>
  <c r="J48" i="63"/>
  <c r="M48" i="63" s="1"/>
  <c r="X47" i="63"/>
  <c r="S47" i="63"/>
  <c r="U47" i="63"/>
  <c r="J47" i="63"/>
  <c r="M47" i="63" s="1"/>
  <c r="X46" i="63"/>
  <c r="S46" i="63"/>
  <c r="U46" i="63" s="1"/>
  <c r="J46" i="63"/>
  <c r="M46" i="63" s="1"/>
  <c r="X45" i="63"/>
  <c r="S45" i="63"/>
  <c r="U45" i="63"/>
  <c r="J45" i="63"/>
  <c r="M45" i="63" s="1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/>
  <c r="J42" i="63"/>
  <c r="M42" i="63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/>
  <c r="J39" i="63"/>
  <c r="M39" i="63" s="1"/>
  <c r="X38" i="63"/>
  <c r="S38" i="63"/>
  <c r="U38" i="63" s="1"/>
  <c r="J38" i="63"/>
  <c r="M38" i="63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/>
  <c r="X34" i="63"/>
  <c r="S34" i="63"/>
  <c r="U34" i="63"/>
  <c r="J34" i="63"/>
  <c r="M34" i="63" s="1"/>
  <c r="X33" i="63"/>
  <c r="S33" i="63"/>
  <c r="U33" i="63" s="1"/>
  <c r="M33" i="63"/>
  <c r="J33" i="63"/>
  <c r="X32" i="63"/>
  <c r="S32" i="63"/>
  <c r="U32" i="63"/>
  <c r="J32" i="63"/>
  <c r="M32" i="63" s="1"/>
  <c r="X31" i="63"/>
  <c r="S31" i="63"/>
  <c r="U31" i="63"/>
  <c r="J31" i="63"/>
  <c r="M31" i="63" s="1"/>
  <c r="X30" i="63"/>
  <c r="S30" i="63"/>
  <c r="U30" i="63"/>
  <c r="J30" i="63"/>
  <c r="M30" i="63" s="1"/>
  <c r="X29" i="63"/>
  <c r="S29" i="63"/>
  <c r="U29" i="63"/>
  <c r="J29" i="63"/>
  <c r="M29" i="63" s="1"/>
  <c r="X28" i="63"/>
  <c r="S28" i="63"/>
  <c r="U28" i="63" s="1"/>
  <c r="J28" i="63"/>
  <c r="M28" i="63" s="1"/>
  <c r="X27" i="63"/>
  <c r="S27" i="63"/>
  <c r="U27" i="63"/>
  <c r="J27" i="63"/>
  <c r="M27" i="63" s="1"/>
  <c r="X26" i="63"/>
  <c r="S26" i="63"/>
  <c r="U26" i="63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/>
  <c r="J22" i="63"/>
  <c r="M22" i="63" s="1"/>
  <c r="X21" i="63"/>
  <c r="S21" i="63"/>
  <c r="U21" i="63"/>
  <c r="J21" i="63"/>
  <c r="M21" i="63" s="1"/>
  <c r="X20" i="63"/>
  <c r="S20" i="63"/>
  <c r="U20" i="63"/>
  <c r="J20" i="63"/>
  <c r="M20" i="63" s="1"/>
  <c r="X19" i="63"/>
  <c r="S19" i="63"/>
  <c r="U19" i="63"/>
  <c r="J19" i="63"/>
  <c r="M19" i="63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/>
  <c r="J16" i="63"/>
  <c r="M16" i="63" s="1"/>
  <c r="X15" i="63"/>
  <c r="S15" i="63"/>
  <c r="U15" i="63" s="1"/>
  <c r="J15" i="63"/>
  <c r="M15" i="63"/>
  <c r="X14" i="63"/>
  <c r="S14" i="63"/>
  <c r="U14" i="63" s="1"/>
  <c r="J14" i="63"/>
  <c r="M14" i="63" s="1"/>
  <c r="X13" i="63"/>
  <c r="S13" i="63"/>
  <c r="U13" i="63"/>
  <c r="J13" i="63"/>
  <c r="M13" i="63" s="1"/>
  <c r="X12" i="63"/>
  <c r="S12" i="63"/>
  <c r="U12" i="63" s="1"/>
  <c r="J12" i="63"/>
  <c r="M12" i="63" s="1"/>
  <c r="X11" i="63"/>
  <c r="S11" i="63"/>
  <c r="U11" i="63"/>
  <c r="J11" i="63"/>
  <c r="M11" i="63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/>
  <c r="X5" i="63"/>
  <c r="S5" i="63"/>
  <c r="U5" i="63" s="1"/>
  <c r="J5" i="63"/>
  <c r="M5" i="63" s="1"/>
  <c r="K220" i="62"/>
  <c r="K212" i="62"/>
  <c r="N31" i="16" s="1"/>
  <c r="K209" i="62"/>
  <c r="K219" i="62" s="1"/>
  <c r="J204" i="62"/>
  <c r="M204" i="62" s="1"/>
  <c r="J203" i="62"/>
  <c r="M203" i="62" s="1"/>
  <c r="J202" i="62"/>
  <c r="M202" i="62" s="1"/>
  <c r="J201" i="62"/>
  <c r="M201" i="62" s="1"/>
  <c r="J200" i="62"/>
  <c r="M200" i="62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/>
  <c r="J185" i="62"/>
  <c r="M185" i="62" s="1"/>
  <c r="J184" i="62"/>
  <c r="M184" i="62" s="1"/>
  <c r="M183" i="62"/>
  <c r="J183" i="62"/>
  <c r="J182" i="62"/>
  <c r="M182" i="62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J167" i="62"/>
  <c r="M167" i="62"/>
  <c r="J166" i="62"/>
  <c r="M166" i="62" s="1"/>
  <c r="J165" i="62"/>
  <c r="M165" i="62"/>
  <c r="J164" i="62"/>
  <c r="M164" i="62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/>
  <c r="J147" i="62"/>
  <c r="M147" i="62" s="1"/>
  <c r="J146" i="62"/>
  <c r="M146" i="62" s="1"/>
  <c r="J145" i="62"/>
  <c r="M145" i="62" s="1"/>
  <c r="J144" i="62"/>
  <c r="M144" i="62" s="1"/>
  <c r="J143" i="62"/>
  <c r="M143" i="62"/>
  <c r="J142" i="62"/>
  <c r="M142" i="62" s="1"/>
  <c r="J141" i="62"/>
  <c r="M141" i="62" s="1"/>
  <c r="J140" i="62"/>
  <c r="M140" i="62"/>
  <c r="J139" i="62"/>
  <c r="M139" i="62"/>
  <c r="J138" i="62"/>
  <c r="M138" i="62" s="1"/>
  <c r="J137" i="62"/>
  <c r="M137" i="62"/>
  <c r="J136" i="62"/>
  <c r="M136" i="62" s="1"/>
  <c r="J135" i="62"/>
  <c r="M135" i="62"/>
  <c r="J134" i="62"/>
  <c r="M134" i="62" s="1"/>
  <c r="J133" i="62"/>
  <c r="M133" i="62"/>
  <c r="J132" i="62"/>
  <c r="M132" i="62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/>
  <c r="J123" i="62"/>
  <c r="M123" i="62" s="1"/>
  <c r="J122" i="62"/>
  <c r="M122" i="62" s="1"/>
  <c r="J121" i="62"/>
  <c r="M121" i="62"/>
  <c r="J120" i="62"/>
  <c r="M120" i="62" s="1"/>
  <c r="J119" i="62"/>
  <c r="M119" i="62"/>
  <c r="J118" i="62"/>
  <c r="M118" i="62" s="1"/>
  <c r="J117" i="62"/>
  <c r="M117" i="62"/>
  <c r="J116" i="62"/>
  <c r="M116" i="62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/>
  <c r="J104" i="62"/>
  <c r="M104" i="62" s="1"/>
  <c r="X103" i="62"/>
  <c r="S103" i="62"/>
  <c r="U103" i="62"/>
  <c r="J103" i="62"/>
  <c r="M103" i="62" s="1"/>
  <c r="X102" i="62"/>
  <c r="S102" i="62"/>
  <c r="U102" i="62"/>
  <c r="J102" i="62"/>
  <c r="M102" i="62" s="1"/>
  <c r="X101" i="62"/>
  <c r="S101" i="62"/>
  <c r="U101" i="62"/>
  <c r="J101" i="62"/>
  <c r="M101" i="62" s="1"/>
  <c r="X100" i="62"/>
  <c r="S100" i="62"/>
  <c r="U100" i="62"/>
  <c r="J100" i="62"/>
  <c r="M100" i="62"/>
  <c r="X99" i="62"/>
  <c r="S99" i="62"/>
  <c r="U99" i="62" s="1"/>
  <c r="J99" i="62"/>
  <c r="M99" i="62" s="1"/>
  <c r="X98" i="62"/>
  <c r="S98" i="62"/>
  <c r="U98" i="62"/>
  <c r="J98" i="62"/>
  <c r="M98" i="62" s="1"/>
  <c r="X97" i="62"/>
  <c r="S97" i="62"/>
  <c r="U97" i="62" s="1"/>
  <c r="J97" i="62"/>
  <c r="M97" i="62" s="1"/>
  <c r="X96" i="62"/>
  <c r="S96" i="62"/>
  <c r="U96" i="62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/>
  <c r="X93" i="62"/>
  <c r="S93" i="62"/>
  <c r="U93" i="62"/>
  <c r="J93" i="62"/>
  <c r="M93" i="62" s="1"/>
  <c r="X92" i="62"/>
  <c r="S92" i="62"/>
  <c r="U92" i="62"/>
  <c r="J92" i="62"/>
  <c r="M92" i="62" s="1"/>
  <c r="X91" i="62"/>
  <c r="S91" i="62"/>
  <c r="U91" i="62"/>
  <c r="J91" i="62"/>
  <c r="M91" i="62"/>
  <c r="X90" i="62"/>
  <c r="S90" i="62"/>
  <c r="U90" i="62"/>
  <c r="J90" i="62"/>
  <c r="M90" i="62" s="1"/>
  <c r="X89" i="62"/>
  <c r="S89" i="62"/>
  <c r="U89" i="62" s="1"/>
  <c r="J89" i="62"/>
  <c r="M89" i="62" s="1"/>
  <c r="X88" i="62"/>
  <c r="S88" i="62"/>
  <c r="U88" i="62"/>
  <c r="J88" i="62"/>
  <c r="M88" i="62" s="1"/>
  <c r="X87" i="62"/>
  <c r="S87" i="62"/>
  <c r="U87" i="62"/>
  <c r="J87" i="62"/>
  <c r="M87" i="62"/>
  <c r="X86" i="62"/>
  <c r="S86" i="62"/>
  <c r="U86" i="62" s="1"/>
  <c r="J86" i="62"/>
  <c r="M86" i="62" s="1"/>
  <c r="X85" i="62"/>
  <c r="S85" i="62"/>
  <c r="U85" i="62"/>
  <c r="J85" i="62"/>
  <c r="M85" i="62" s="1"/>
  <c r="X84" i="62"/>
  <c r="S84" i="62"/>
  <c r="U84" i="62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/>
  <c r="X81" i="62"/>
  <c r="S81" i="62"/>
  <c r="U81" i="62" s="1"/>
  <c r="J81" i="62"/>
  <c r="M81" i="62" s="1"/>
  <c r="X80" i="62"/>
  <c r="S80" i="62"/>
  <c r="U80" i="62"/>
  <c r="J80" i="62"/>
  <c r="M80" i="62" s="1"/>
  <c r="X79" i="62"/>
  <c r="S79" i="62"/>
  <c r="U79" i="62" s="1"/>
  <c r="J79" i="62"/>
  <c r="M79" i="62"/>
  <c r="X78" i="62"/>
  <c r="S78" i="62"/>
  <c r="U78" i="62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/>
  <c r="J75" i="62"/>
  <c r="M75" i="62"/>
  <c r="X74" i="62"/>
  <c r="S74" i="62"/>
  <c r="U74" i="62"/>
  <c r="J74" i="62"/>
  <c r="M74" i="62" s="1"/>
  <c r="X73" i="62"/>
  <c r="S73" i="62"/>
  <c r="U73" i="62"/>
  <c r="J73" i="62"/>
  <c r="M73" i="62" s="1"/>
  <c r="X72" i="62"/>
  <c r="S72" i="62"/>
  <c r="U72" i="62" s="1"/>
  <c r="J72" i="62"/>
  <c r="M72" i="62" s="1"/>
  <c r="X71" i="62"/>
  <c r="S71" i="62"/>
  <c r="U71" i="62"/>
  <c r="J71" i="62"/>
  <c r="M71" i="62"/>
  <c r="X70" i="62"/>
  <c r="S70" i="62"/>
  <c r="U70" i="62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/>
  <c r="J67" i="62"/>
  <c r="M67" i="62" s="1"/>
  <c r="X66" i="62"/>
  <c r="S66" i="62"/>
  <c r="U66" i="62" s="1"/>
  <c r="J66" i="62"/>
  <c r="M66" i="62" s="1"/>
  <c r="X65" i="62"/>
  <c r="S65" i="62"/>
  <c r="U65" i="62"/>
  <c r="J65" i="62"/>
  <c r="M65" i="62" s="1"/>
  <c r="X64" i="62"/>
  <c r="S64" i="62"/>
  <c r="U64" i="62"/>
  <c r="J64" i="62"/>
  <c r="M64" i="62" s="1"/>
  <c r="X63" i="62"/>
  <c r="S63" i="62"/>
  <c r="U63" i="62" s="1"/>
  <c r="J63" i="62"/>
  <c r="M63" i="62"/>
  <c r="X62" i="62"/>
  <c r="S62" i="62"/>
  <c r="U62" i="62" s="1"/>
  <c r="J62" i="62"/>
  <c r="M62" i="62"/>
  <c r="X61" i="62"/>
  <c r="S61" i="62"/>
  <c r="U61" i="62"/>
  <c r="J61" i="62"/>
  <c r="M61" i="62"/>
  <c r="X60" i="62"/>
  <c r="S60" i="62"/>
  <c r="U60" i="62"/>
  <c r="J60" i="62"/>
  <c r="M60" i="62" s="1"/>
  <c r="X59" i="62"/>
  <c r="S59" i="62"/>
  <c r="U59" i="62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/>
  <c r="J55" i="62"/>
  <c r="M55" i="62" s="1"/>
  <c r="X54" i="62"/>
  <c r="U54" i="62"/>
  <c r="S54" i="62"/>
  <c r="J54" i="62"/>
  <c r="M54" i="62"/>
  <c r="X53" i="62"/>
  <c r="S53" i="62"/>
  <c r="U53" i="62" s="1"/>
  <c r="J53" i="62"/>
  <c r="M53" i="62"/>
  <c r="X52" i="62"/>
  <c r="S52" i="62"/>
  <c r="U52" i="62"/>
  <c r="J52" i="62"/>
  <c r="M52" i="62" s="1"/>
  <c r="X51" i="62"/>
  <c r="S51" i="62"/>
  <c r="U51" i="62" s="1"/>
  <c r="J51" i="62"/>
  <c r="M51" i="62" s="1"/>
  <c r="X50" i="62"/>
  <c r="S50" i="62"/>
  <c r="U50" i="62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/>
  <c r="X46" i="62"/>
  <c r="S46" i="62"/>
  <c r="U46" i="62" s="1"/>
  <c r="J46" i="62"/>
  <c r="M46" i="62" s="1"/>
  <c r="X45" i="62"/>
  <c r="S45" i="62"/>
  <c r="U45" i="62"/>
  <c r="J45" i="62"/>
  <c r="M45" i="62" s="1"/>
  <c r="X44" i="62"/>
  <c r="S44" i="62"/>
  <c r="U44" i="62" s="1"/>
  <c r="J44" i="62"/>
  <c r="M44" i="62" s="1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/>
  <c r="X40" i="62"/>
  <c r="S40" i="62"/>
  <c r="U40" i="62"/>
  <c r="J40" i="62"/>
  <c r="M40" i="62" s="1"/>
  <c r="X39" i="62"/>
  <c r="S39" i="62"/>
  <c r="U39" i="62"/>
  <c r="J39" i="62"/>
  <c r="M39" i="62" s="1"/>
  <c r="X38" i="62"/>
  <c r="S38" i="62"/>
  <c r="U38" i="62" s="1"/>
  <c r="J38" i="62"/>
  <c r="M38" i="62"/>
  <c r="X37" i="62"/>
  <c r="S37" i="62"/>
  <c r="U37" i="62" s="1"/>
  <c r="J37" i="62"/>
  <c r="M37" i="62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/>
  <c r="J27" i="62"/>
  <c r="M27" i="62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/>
  <c r="X22" i="62"/>
  <c r="S22" i="62"/>
  <c r="U22" i="62" s="1"/>
  <c r="J22" i="62"/>
  <c r="M22" i="62" s="1"/>
  <c r="X21" i="62"/>
  <c r="U21" i="62"/>
  <c r="S21" i="62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U17" i="62"/>
  <c r="S17" i="62"/>
  <c r="J17" i="62"/>
  <c r="M17" i="62" s="1"/>
  <c r="X16" i="62"/>
  <c r="S16" i="62"/>
  <c r="U16" i="62" s="1"/>
  <c r="J16" i="62"/>
  <c r="M16" i="62" s="1"/>
  <c r="X15" i="62"/>
  <c r="S15" i="62"/>
  <c r="U15" i="62"/>
  <c r="J15" i="62"/>
  <c r="M15" i="62"/>
  <c r="X14" i="62"/>
  <c r="S14" i="62"/>
  <c r="U14" i="62"/>
  <c r="J14" i="62"/>
  <c r="M14" i="62"/>
  <c r="X13" i="62"/>
  <c r="S13" i="62"/>
  <c r="U13" i="62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K220" i="61"/>
  <c r="K212" i="61"/>
  <c r="N30" i="16" s="1"/>
  <c r="K209" i="61"/>
  <c r="K219" i="61" s="1"/>
  <c r="J204" i="61"/>
  <c r="M204" i="61" s="1"/>
  <c r="J203" i="61"/>
  <c r="M203" i="61" s="1"/>
  <c r="J202" i="61"/>
  <c r="M202" i="61" s="1"/>
  <c r="J201" i="61"/>
  <c r="M201" i="61"/>
  <c r="J200" i="61"/>
  <c r="M200" i="61" s="1"/>
  <c r="J199" i="61"/>
  <c r="M199" i="61" s="1"/>
  <c r="J198" i="61"/>
  <c r="M198" i="61" s="1"/>
  <c r="J197" i="61"/>
  <c r="M197" i="61" s="1"/>
  <c r="J196" i="61"/>
  <c r="M196" i="61"/>
  <c r="J195" i="61"/>
  <c r="M195" i="61"/>
  <c r="J194" i="61"/>
  <c r="M194" i="61" s="1"/>
  <c r="J193" i="61"/>
  <c r="M193" i="61" s="1"/>
  <c r="J192" i="61"/>
  <c r="M192" i="61" s="1"/>
  <c r="J191" i="61"/>
  <c r="M191" i="6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/>
  <c r="J184" i="61"/>
  <c r="M184" i="61"/>
  <c r="J183" i="61"/>
  <c r="M183" i="61"/>
  <c r="J182" i="61"/>
  <c r="M182" i="61" s="1"/>
  <c r="J181" i="61"/>
  <c r="M181" i="61" s="1"/>
  <c r="J180" i="61"/>
  <c r="M180" i="6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/>
  <c r="J172" i="61"/>
  <c r="M172" i="61" s="1"/>
  <c r="J171" i="61"/>
  <c r="M171" i="61"/>
  <c r="J170" i="61"/>
  <c r="M170" i="61" s="1"/>
  <c r="J169" i="61"/>
  <c r="M169" i="61"/>
  <c r="J168" i="61"/>
  <c r="M168" i="61"/>
  <c r="J167" i="61"/>
  <c r="M167" i="61" s="1"/>
  <c r="J166" i="61"/>
  <c r="M166" i="61" s="1"/>
  <c r="J165" i="61"/>
  <c r="M165" i="6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/>
  <c r="J156" i="61"/>
  <c r="M156" i="61" s="1"/>
  <c r="J155" i="61"/>
  <c r="M155" i="61"/>
  <c r="J154" i="61"/>
  <c r="M154" i="61" s="1"/>
  <c r="J153" i="61"/>
  <c r="M153" i="61"/>
  <c r="J152" i="61"/>
  <c r="M152" i="61" s="1"/>
  <c r="J151" i="61"/>
  <c r="M151" i="61"/>
  <c r="J150" i="61"/>
  <c r="M150" i="61" s="1"/>
  <c r="J149" i="61"/>
  <c r="M149" i="6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/>
  <c r="J130" i="61"/>
  <c r="M130" i="61" s="1"/>
  <c r="J129" i="61"/>
  <c r="M129" i="61"/>
  <c r="J128" i="61"/>
  <c r="M128" i="61" s="1"/>
  <c r="J127" i="61"/>
  <c r="M127" i="61" s="1"/>
  <c r="J126" i="61"/>
  <c r="M126" i="61" s="1"/>
  <c r="J125" i="61"/>
  <c r="M125" i="6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/>
  <c r="J104" i="61"/>
  <c r="M104" i="61" s="1"/>
  <c r="X103" i="61"/>
  <c r="S103" i="61"/>
  <c r="U103" i="61" s="1"/>
  <c r="J103" i="61"/>
  <c r="M103" i="61" s="1"/>
  <c r="X102" i="61"/>
  <c r="S102" i="61"/>
  <c r="U102" i="61"/>
  <c r="J102" i="61"/>
  <c r="M102" i="61"/>
  <c r="X101" i="61"/>
  <c r="S101" i="61"/>
  <c r="U101" i="61" s="1"/>
  <c r="J101" i="61"/>
  <c r="M101" i="61" s="1"/>
  <c r="X100" i="61"/>
  <c r="S100" i="61"/>
  <c r="U100" i="61"/>
  <c r="J100" i="61"/>
  <c r="M100" i="61"/>
  <c r="X99" i="61"/>
  <c r="S99" i="61"/>
  <c r="U99" i="61" s="1"/>
  <c r="J99" i="61"/>
  <c r="M99" i="61"/>
  <c r="X98" i="61"/>
  <c r="S98" i="61"/>
  <c r="U98" i="61"/>
  <c r="J98" i="61"/>
  <c r="M98" i="61" s="1"/>
  <c r="X97" i="61"/>
  <c r="S97" i="61"/>
  <c r="U97" i="61" s="1"/>
  <c r="J97" i="61"/>
  <c r="M97" i="61" s="1"/>
  <c r="X96" i="61"/>
  <c r="S96" i="61"/>
  <c r="U96" i="61"/>
  <c r="J96" i="61"/>
  <c r="M96" i="61" s="1"/>
  <c r="X95" i="61"/>
  <c r="S95" i="61"/>
  <c r="U95" i="61" s="1"/>
  <c r="J95" i="61"/>
  <c r="M95" i="61" s="1"/>
  <c r="X94" i="61"/>
  <c r="S94" i="61"/>
  <c r="U94" i="61"/>
  <c r="J94" i="61"/>
  <c r="M94" i="61" s="1"/>
  <c r="X93" i="61"/>
  <c r="S93" i="61"/>
  <c r="U93" i="61"/>
  <c r="J93" i="61"/>
  <c r="M93" i="61" s="1"/>
  <c r="X92" i="61"/>
  <c r="S92" i="61"/>
  <c r="U92" i="61" s="1"/>
  <c r="J92" i="61"/>
  <c r="M92" i="61" s="1"/>
  <c r="X91" i="61"/>
  <c r="S91" i="61"/>
  <c r="U91" i="61"/>
  <c r="J91" i="61"/>
  <c r="M91" i="61"/>
  <c r="X90" i="61"/>
  <c r="S90" i="61"/>
  <c r="U90" i="61" s="1"/>
  <c r="J90" i="61"/>
  <c r="M90" i="61" s="1"/>
  <c r="X89" i="61"/>
  <c r="S89" i="61"/>
  <c r="U89" i="61"/>
  <c r="J89" i="61"/>
  <c r="M89" i="61" s="1"/>
  <c r="X88" i="61"/>
  <c r="S88" i="61"/>
  <c r="U88" i="61"/>
  <c r="J88" i="61"/>
  <c r="M88" i="61" s="1"/>
  <c r="X87" i="61"/>
  <c r="S87" i="61"/>
  <c r="U87" i="61"/>
  <c r="J87" i="61"/>
  <c r="M87" i="61" s="1"/>
  <c r="X86" i="61"/>
  <c r="S86" i="61"/>
  <c r="U86" i="61" s="1"/>
  <c r="J86" i="61"/>
  <c r="M86" i="61"/>
  <c r="X85" i="61"/>
  <c r="S85" i="61"/>
  <c r="U85" i="61" s="1"/>
  <c r="J85" i="61"/>
  <c r="M85" i="61" s="1"/>
  <c r="X84" i="61"/>
  <c r="S84" i="61"/>
  <c r="U84" i="61"/>
  <c r="J84" i="61"/>
  <c r="M84" i="6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/>
  <c r="J80" i="61"/>
  <c r="M80" i="61" s="1"/>
  <c r="X79" i="61"/>
  <c r="S79" i="61"/>
  <c r="U79" i="61" s="1"/>
  <c r="J79" i="61"/>
  <c r="M79" i="61"/>
  <c r="X78" i="61"/>
  <c r="S78" i="61"/>
  <c r="U78" i="61"/>
  <c r="J78" i="61"/>
  <c r="M78" i="61" s="1"/>
  <c r="X77" i="61"/>
  <c r="S77" i="61"/>
  <c r="U77" i="61"/>
  <c r="J77" i="61"/>
  <c r="M77" i="61" s="1"/>
  <c r="X76" i="61"/>
  <c r="S76" i="61"/>
  <c r="U76" i="61" s="1"/>
  <c r="J76" i="61"/>
  <c r="M76" i="61"/>
  <c r="X75" i="61"/>
  <c r="S75" i="61"/>
  <c r="U75" i="61"/>
  <c r="J75" i="61"/>
  <c r="M75" i="61"/>
  <c r="X74" i="61"/>
  <c r="S74" i="61"/>
  <c r="U74" i="61"/>
  <c r="J74" i="61"/>
  <c r="M74" i="61"/>
  <c r="X73" i="61"/>
  <c r="S73" i="61"/>
  <c r="U73" i="61"/>
  <c r="J73" i="61"/>
  <c r="M73" i="61" s="1"/>
  <c r="X72" i="61"/>
  <c r="S72" i="61"/>
  <c r="U72" i="61" s="1"/>
  <c r="J72" i="61"/>
  <c r="M72" i="61" s="1"/>
  <c r="X71" i="61"/>
  <c r="S71" i="61"/>
  <c r="U71" i="61"/>
  <c r="J71" i="61"/>
  <c r="M71" i="61" s="1"/>
  <c r="X70" i="61"/>
  <c r="S70" i="61"/>
  <c r="U70" i="61"/>
  <c r="J70" i="61"/>
  <c r="M70" i="61"/>
  <c r="X69" i="61"/>
  <c r="S69" i="61"/>
  <c r="U69" i="61" s="1"/>
  <c r="J69" i="61"/>
  <c r="M69" i="61" s="1"/>
  <c r="X68" i="61"/>
  <c r="S68" i="61"/>
  <c r="U68" i="61"/>
  <c r="J68" i="61"/>
  <c r="M68" i="61"/>
  <c r="X67" i="61"/>
  <c r="S67" i="61"/>
  <c r="U67" i="61"/>
  <c r="J67" i="61"/>
  <c r="M67" i="61"/>
  <c r="X66" i="61"/>
  <c r="S66" i="61"/>
  <c r="U66" i="61"/>
  <c r="J66" i="61"/>
  <c r="M66" i="61" s="1"/>
  <c r="X65" i="61"/>
  <c r="S65" i="61"/>
  <c r="U65" i="61"/>
  <c r="J65" i="61"/>
  <c r="M65" i="61" s="1"/>
  <c r="X64" i="61"/>
  <c r="S64" i="61"/>
  <c r="U64" i="61"/>
  <c r="J64" i="61"/>
  <c r="M64" i="61" s="1"/>
  <c r="X63" i="61"/>
  <c r="S63" i="61"/>
  <c r="U63" i="61"/>
  <c r="J63" i="61"/>
  <c r="M63" i="61"/>
  <c r="X62" i="61"/>
  <c r="S62" i="61"/>
  <c r="U62" i="61" s="1"/>
  <c r="J62" i="61"/>
  <c r="M62" i="61" s="1"/>
  <c r="X61" i="61"/>
  <c r="S61" i="61"/>
  <c r="U61" i="61"/>
  <c r="J61" i="61"/>
  <c r="M61" i="61" s="1"/>
  <c r="X60" i="61"/>
  <c r="S60" i="61"/>
  <c r="U60" i="61"/>
  <c r="J60" i="61"/>
  <c r="M60" i="61"/>
  <c r="X59" i="61"/>
  <c r="S59" i="61"/>
  <c r="U59" i="61"/>
  <c r="J59" i="61"/>
  <c r="M59" i="61" s="1"/>
  <c r="X58" i="61"/>
  <c r="S58" i="61"/>
  <c r="U58" i="61"/>
  <c r="J58" i="61"/>
  <c r="M58" i="61" s="1"/>
  <c r="X57" i="61"/>
  <c r="S57" i="61"/>
  <c r="U57" i="61"/>
  <c r="J57" i="61"/>
  <c r="M57" i="61" s="1"/>
  <c r="X56" i="61"/>
  <c r="S56" i="61"/>
  <c r="U56" i="61"/>
  <c r="J56" i="61"/>
  <c r="M56" i="61" s="1"/>
  <c r="X55" i="61"/>
  <c r="S55" i="61"/>
  <c r="U55" i="61"/>
  <c r="J55" i="61"/>
  <c r="M55" i="61"/>
  <c r="X54" i="61"/>
  <c r="S54" i="61"/>
  <c r="U54" i="61"/>
  <c r="J54" i="61"/>
  <c r="M54" i="61"/>
  <c r="X53" i="61"/>
  <c r="S53" i="61"/>
  <c r="U53" i="61"/>
  <c r="J53" i="61"/>
  <c r="M53" i="61" s="1"/>
  <c r="X52" i="61"/>
  <c r="S52" i="61"/>
  <c r="U52" i="61"/>
  <c r="J52" i="61"/>
  <c r="M52" i="61"/>
  <c r="X51" i="61"/>
  <c r="S51" i="61"/>
  <c r="U51" i="61" s="1"/>
  <c r="J51" i="61"/>
  <c r="M51" i="61"/>
  <c r="X50" i="61"/>
  <c r="S50" i="61"/>
  <c r="U50" i="61"/>
  <c r="J50" i="61"/>
  <c r="M50" i="61"/>
  <c r="X49" i="61"/>
  <c r="S49" i="61"/>
  <c r="U49" i="61"/>
  <c r="J49" i="61"/>
  <c r="M49" i="61" s="1"/>
  <c r="X48" i="61"/>
  <c r="S48" i="61"/>
  <c r="U48" i="61" s="1"/>
  <c r="J48" i="61"/>
  <c r="M48" i="61" s="1"/>
  <c r="X47" i="61"/>
  <c r="S47" i="61"/>
  <c r="U47" i="61"/>
  <c r="J47" i="61"/>
  <c r="M47" i="61"/>
  <c r="X46" i="61"/>
  <c r="S46" i="61"/>
  <c r="U46" i="61"/>
  <c r="J46" i="61"/>
  <c r="M46" i="61"/>
  <c r="X45" i="61"/>
  <c r="S45" i="61"/>
  <c r="U45" i="61"/>
  <c r="J45" i="61"/>
  <c r="M45" i="61" s="1"/>
  <c r="X44" i="61"/>
  <c r="S44" i="61"/>
  <c r="U44" i="61" s="1"/>
  <c r="J44" i="61"/>
  <c r="M44" i="61" s="1"/>
  <c r="X43" i="61"/>
  <c r="S43" i="61"/>
  <c r="U43" i="61"/>
  <c r="J43" i="61"/>
  <c r="M43" i="61" s="1"/>
  <c r="X42" i="61"/>
  <c r="S42" i="61"/>
  <c r="U42" i="61"/>
  <c r="J42" i="61"/>
  <c r="M42" i="61"/>
  <c r="X41" i="61"/>
  <c r="S41" i="61"/>
  <c r="U41" i="61" s="1"/>
  <c r="J41" i="61"/>
  <c r="M41" i="61" s="1"/>
  <c r="X40" i="61"/>
  <c r="S40" i="61"/>
  <c r="U40" i="61"/>
  <c r="J40" i="61"/>
  <c r="M40" i="61" s="1"/>
  <c r="X39" i="61"/>
  <c r="S39" i="61"/>
  <c r="U39" i="61" s="1"/>
  <c r="J39" i="61"/>
  <c r="M39" i="61" s="1"/>
  <c r="X38" i="61"/>
  <c r="S38" i="61"/>
  <c r="U38" i="61"/>
  <c r="J38" i="61"/>
  <c r="M38" i="61"/>
  <c r="X37" i="61"/>
  <c r="S37" i="61"/>
  <c r="U37" i="61" s="1"/>
  <c r="J37" i="61"/>
  <c r="M37" i="61" s="1"/>
  <c r="X36" i="61"/>
  <c r="S36" i="61"/>
  <c r="U36" i="61"/>
  <c r="J36" i="61"/>
  <c r="M36" i="61" s="1"/>
  <c r="X35" i="61"/>
  <c r="S35" i="61"/>
  <c r="U35" i="61" s="1"/>
  <c r="J35" i="61"/>
  <c r="M35" i="61"/>
  <c r="X34" i="61"/>
  <c r="S34" i="61"/>
  <c r="U34" i="61"/>
  <c r="J34" i="61"/>
  <c r="M34" i="61"/>
  <c r="X33" i="61"/>
  <c r="S33" i="61"/>
  <c r="U33" i="61"/>
  <c r="J33" i="61"/>
  <c r="M33" i="61" s="1"/>
  <c r="X32" i="61"/>
  <c r="S32" i="61"/>
  <c r="U32" i="61" s="1"/>
  <c r="J32" i="61"/>
  <c r="M32" i="61" s="1"/>
  <c r="X31" i="61"/>
  <c r="S31" i="61"/>
  <c r="U31" i="61"/>
  <c r="J31" i="61"/>
  <c r="M31" i="61"/>
  <c r="X30" i="61"/>
  <c r="S30" i="61"/>
  <c r="U30" i="61"/>
  <c r="J30" i="61"/>
  <c r="M30" i="61"/>
  <c r="X29" i="61"/>
  <c r="S29" i="61"/>
  <c r="U29" i="61"/>
  <c r="J29" i="61"/>
  <c r="M29" i="61" s="1"/>
  <c r="X28" i="61"/>
  <c r="S28" i="61"/>
  <c r="U28" i="61" s="1"/>
  <c r="J28" i="61"/>
  <c r="M28" i="61" s="1"/>
  <c r="X27" i="61"/>
  <c r="S27" i="61"/>
  <c r="U27" i="61"/>
  <c r="J27" i="61"/>
  <c r="M27" i="61" s="1"/>
  <c r="X26" i="61"/>
  <c r="S26" i="61"/>
  <c r="U26" i="61"/>
  <c r="J26" i="61"/>
  <c r="M26" i="61"/>
  <c r="X25" i="61"/>
  <c r="S25" i="61"/>
  <c r="U25" i="61" s="1"/>
  <c r="J25" i="61"/>
  <c r="M25" i="61" s="1"/>
  <c r="X24" i="61"/>
  <c r="S24" i="61"/>
  <c r="U24" i="61"/>
  <c r="J24" i="61"/>
  <c r="M24" i="61"/>
  <c r="X23" i="61"/>
  <c r="S23" i="61"/>
  <c r="U23" i="61"/>
  <c r="J23" i="61"/>
  <c r="M23" i="61"/>
  <c r="X22" i="61"/>
  <c r="S22" i="61"/>
  <c r="U22" i="61"/>
  <c r="J22" i="61"/>
  <c r="M22" i="61" s="1"/>
  <c r="X21" i="61"/>
  <c r="S21" i="61"/>
  <c r="U21" i="61"/>
  <c r="J21" i="61"/>
  <c r="M21" i="61" s="1"/>
  <c r="X20" i="61"/>
  <c r="S20" i="61"/>
  <c r="U20" i="61"/>
  <c r="J20" i="61"/>
  <c r="M20" i="61"/>
  <c r="X19" i="61"/>
  <c r="S19" i="61"/>
  <c r="U19" i="61"/>
  <c r="J19" i="61"/>
  <c r="M19" i="61"/>
  <c r="X18" i="61"/>
  <c r="S18" i="61"/>
  <c r="U18" i="61"/>
  <c r="J18" i="61"/>
  <c r="M18" i="61"/>
  <c r="X17" i="61"/>
  <c r="S17" i="61"/>
  <c r="U17" i="61"/>
  <c r="J17" i="61"/>
  <c r="M17" i="61" s="1"/>
  <c r="X16" i="61"/>
  <c r="S16" i="61"/>
  <c r="U16" i="61" s="1"/>
  <c r="J16" i="61"/>
  <c r="M16" i="61"/>
  <c r="X15" i="61"/>
  <c r="S15" i="61"/>
  <c r="U15" i="61"/>
  <c r="J15" i="61"/>
  <c r="M15" i="61"/>
  <c r="X14" i="61"/>
  <c r="S14" i="61"/>
  <c r="U14" i="61"/>
  <c r="J14" i="61"/>
  <c r="M14" i="61"/>
  <c r="X13" i="61"/>
  <c r="S13" i="61"/>
  <c r="U13" i="61"/>
  <c r="J13" i="61"/>
  <c r="M13" i="61" s="1"/>
  <c r="X12" i="61"/>
  <c r="S12" i="61"/>
  <c r="U12" i="61"/>
  <c r="J12" i="61"/>
  <c r="M12" i="61"/>
  <c r="X11" i="61"/>
  <c r="S11" i="61"/>
  <c r="U11" i="61" s="1"/>
  <c r="J11" i="61"/>
  <c r="M11" i="61"/>
  <c r="X10" i="61"/>
  <c r="S10" i="61"/>
  <c r="U10" i="61"/>
  <c r="J10" i="61"/>
  <c r="M10" i="61"/>
  <c r="X9" i="61"/>
  <c r="S9" i="61"/>
  <c r="U9" i="61"/>
  <c r="J9" i="61"/>
  <c r="M9" i="61" s="1"/>
  <c r="X8" i="61"/>
  <c r="S8" i="61"/>
  <c r="U8" i="61" s="1"/>
  <c r="J8" i="61"/>
  <c r="M8" i="61" s="1"/>
  <c r="X7" i="61"/>
  <c r="S7" i="61"/>
  <c r="U7" i="61"/>
  <c r="J7" i="61"/>
  <c r="M7" i="61" s="1"/>
  <c r="X6" i="61"/>
  <c r="S6" i="61"/>
  <c r="U6" i="61"/>
  <c r="J6" i="61"/>
  <c r="M6" i="61"/>
  <c r="X5" i="61"/>
  <c r="S5" i="61"/>
  <c r="U5" i="61"/>
  <c r="J5" i="61"/>
  <c r="M5" i="61" s="1"/>
  <c r="K220" i="60"/>
  <c r="K212" i="60"/>
  <c r="N29" i="16" s="1"/>
  <c r="K209" i="60"/>
  <c r="K219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M199" i="60"/>
  <c r="J199" i="60"/>
  <c r="J198" i="60"/>
  <c r="M198" i="60"/>
  <c r="J197" i="60"/>
  <c r="M197" i="60" s="1"/>
  <c r="J196" i="60"/>
  <c r="M196" i="60"/>
  <c r="J195" i="60"/>
  <c r="M195" i="60" s="1"/>
  <c r="J194" i="60"/>
  <c r="M194" i="60"/>
  <c r="J193" i="60"/>
  <c r="M193" i="60" s="1"/>
  <c r="J192" i="60"/>
  <c r="M192" i="60"/>
  <c r="M191" i="60"/>
  <c r="J191" i="60"/>
  <c r="J190" i="60"/>
  <c r="M190" i="60" s="1"/>
  <c r="J189" i="60"/>
  <c r="M189" i="60" s="1"/>
  <c r="J188" i="60"/>
  <c r="M188" i="60"/>
  <c r="J187" i="60"/>
  <c r="M187" i="60" s="1"/>
  <c r="J186" i="60"/>
  <c r="M186" i="60" s="1"/>
  <c r="J185" i="60"/>
  <c r="M185" i="60" s="1"/>
  <c r="J184" i="60"/>
  <c r="M184" i="60"/>
  <c r="J183" i="60"/>
  <c r="M183" i="60"/>
  <c r="J182" i="60"/>
  <c r="M182" i="60" s="1"/>
  <c r="J181" i="60"/>
  <c r="M181" i="60" s="1"/>
  <c r="J180" i="60"/>
  <c r="M180" i="60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/>
  <c r="J154" i="60"/>
  <c r="M154" i="60" s="1"/>
  <c r="J153" i="60"/>
  <c r="M153" i="60" s="1"/>
  <c r="J152" i="60"/>
  <c r="M152" i="60" s="1"/>
  <c r="J151" i="60"/>
  <c r="M151" i="60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/>
  <c r="J106" i="60"/>
  <c r="M106" i="60" s="1"/>
  <c r="Z105" i="60"/>
  <c r="M105" i="60"/>
  <c r="J105" i="60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U101" i="60"/>
  <c r="S101" i="60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/>
  <c r="X98" i="60"/>
  <c r="S98" i="60"/>
  <c r="U98" i="60" s="1"/>
  <c r="J98" i="60"/>
  <c r="M98" i="60"/>
  <c r="X97" i="60"/>
  <c r="S97" i="60"/>
  <c r="U97" i="60" s="1"/>
  <c r="J97" i="60"/>
  <c r="M97" i="60" s="1"/>
  <c r="X96" i="60"/>
  <c r="S96" i="60"/>
  <c r="U96" i="60" s="1"/>
  <c r="J96" i="60"/>
  <c r="M96" i="60" s="1"/>
  <c r="X95" i="60"/>
  <c r="S95" i="60"/>
  <c r="U95" i="60"/>
  <c r="J95" i="60"/>
  <c r="M95" i="60" s="1"/>
  <c r="X94" i="60"/>
  <c r="U94" i="60"/>
  <c r="S94" i="60"/>
  <c r="J94" i="60"/>
  <c r="M94" i="60" s="1"/>
  <c r="X93" i="60"/>
  <c r="S93" i="60"/>
  <c r="U93" i="60" s="1"/>
  <c r="M93" i="60"/>
  <c r="J93" i="60"/>
  <c r="X92" i="60"/>
  <c r="S92" i="60"/>
  <c r="U92" i="60"/>
  <c r="J92" i="60"/>
  <c r="M92" i="60" s="1"/>
  <c r="X91" i="60"/>
  <c r="S91" i="60"/>
  <c r="U91" i="60" s="1"/>
  <c r="J91" i="60"/>
  <c r="M91" i="60"/>
  <c r="X90" i="60"/>
  <c r="S90" i="60"/>
  <c r="U90" i="60"/>
  <c r="J90" i="60"/>
  <c r="M90" i="60"/>
  <c r="X89" i="60"/>
  <c r="S89" i="60"/>
  <c r="U89" i="60" s="1"/>
  <c r="J89" i="60"/>
  <c r="M89" i="60" s="1"/>
  <c r="X88" i="60"/>
  <c r="S88" i="60"/>
  <c r="U88" i="60"/>
  <c r="J88" i="60"/>
  <c r="M88" i="60" s="1"/>
  <c r="X87" i="60"/>
  <c r="S87" i="60"/>
  <c r="U87" i="60"/>
  <c r="J87" i="60"/>
  <c r="M87" i="60"/>
  <c r="X86" i="60"/>
  <c r="S86" i="60"/>
  <c r="U86" i="60"/>
  <c r="M86" i="60"/>
  <c r="J86" i="60"/>
  <c r="X85" i="60"/>
  <c r="S85" i="60"/>
  <c r="U85" i="60"/>
  <c r="J85" i="60"/>
  <c r="M85" i="60" s="1"/>
  <c r="X84" i="60"/>
  <c r="S84" i="60"/>
  <c r="U84" i="60"/>
  <c r="J84" i="60"/>
  <c r="M84" i="60" s="1"/>
  <c r="X83" i="60"/>
  <c r="S83" i="60"/>
  <c r="U83" i="60"/>
  <c r="J83" i="60"/>
  <c r="M83" i="60" s="1"/>
  <c r="X82" i="60"/>
  <c r="S82" i="60"/>
  <c r="U82" i="60" s="1"/>
  <c r="J82" i="60"/>
  <c r="M82" i="60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/>
  <c r="J79" i="60"/>
  <c r="M79" i="60"/>
  <c r="X78" i="60"/>
  <c r="S78" i="60"/>
  <c r="U78" i="60" s="1"/>
  <c r="J78" i="60"/>
  <c r="M78" i="60" s="1"/>
  <c r="X77" i="60"/>
  <c r="S77" i="60"/>
  <c r="U77" i="60" s="1"/>
  <c r="J77" i="60"/>
  <c r="M77" i="60" s="1"/>
  <c r="X76" i="60"/>
  <c r="U76" i="60"/>
  <c r="S76" i="60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/>
  <c r="J70" i="60"/>
  <c r="M70" i="60" s="1"/>
  <c r="X69" i="60"/>
  <c r="U69" i="60"/>
  <c r="S69" i="60"/>
  <c r="J69" i="60"/>
  <c r="M69" i="60" s="1"/>
  <c r="X68" i="60"/>
  <c r="S68" i="60"/>
  <c r="U68" i="60"/>
  <c r="J68" i="60"/>
  <c r="M68" i="60" s="1"/>
  <c r="X67" i="60"/>
  <c r="S67" i="60"/>
  <c r="U67" i="60" s="1"/>
  <c r="J67" i="60"/>
  <c r="M67" i="60"/>
  <c r="X66" i="60"/>
  <c r="S66" i="60"/>
  <c r="U66" i="60"/>
  <c r="J66" i="60"/>
  <c r="M66" i="60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/>
  <c r="J63" i="60"/>
  <c r="M63" i="60" s="1"/>
  <c r="X62" i="60"/>
  <c r="U62" i="60"/>
  <c r="S62" i="60"/>
  <c r="J62" i="60"/>
  <c r="M62" i="60" s="1"/>
  <c r="X61" i="60"/>
  <c r="S61" i="60"/>
  <c r="U61" i="60"/>
  <c r="J61" i="60"/>
  <c r="M61" i="60" s="1"/>
  <c r="X60" i="60"/>
  <c r="S60" i="60"/>
  <c r="U60" i="60" s="1"/>
  <c r="J60" i="60"/>
  <c r="X59" i="60"/>
  <c r="S59" i="60"/>
  <c r="U59" i="60"/>
  <c r="J59" i="60"/>
  <c r="M59" i="60" s="1"/>
  <c r="X58" i="60"/>
  <c r="S58" i="60"/>
  <c r="U58" i="60" s="1"/>
  <c r="J58" i="60"/>
  <c r="M58" i="60" s="1"/>
  <c r="X57" i="60"/>
  <c r="S57" i="60"/>
  <c r="U57" i="60"/>
  <c r="M57" i="60"/>
  <c r="J57" i="60"/>
  <c r="X56" i="60"/>
  <c r="S56" i="60"/>
  <c r="U56" i="60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/>
  <c r="X53" i="60"/>
  <c r="S53" i="60"/>
  <c r="U53" i="60"/>
  <c r="J53" i="60"/>
  <c r="M53" i="60" s="1"/>
  <c r="X52" i="60"/>
  <c r="S52" i="60"/>
  <c r="U52" i="60"/>
  <c r="J52" i="60"/>
  <c r="M52" i="60" s="1"/>
  <c r="X51" i="60"/>
  <c r="S51" i="60"/>
  <c r="U51" i="60"/>
  <c r="J51" i="60"/>
  <c r="M51" i="60" s="1"/>
  <c r="X50" i="60"/>
  <c r="S50" i="60"/>
  <c r="U50" i="60"/>
  <c r="J50" i="60"/>
  <c r="M50" i="60"/>
  <c r="X49" i="60"/>
  <c r="S49" i="60"/>
  <c r="U49" i="60" s="1"/>
  <c r="J49" i="60"/>
  <c r="M49" i="60" s="1"/>
  <c r="X48" i="60"/>
  <c r="S48" i="60"/>
  <c r="U48" i="60"/>
  <c r="J48" i="60"/>
  <c r="M48" i="60" s="1"/>
  <c r="X47" i="60"/>
  <c r="S47" i="60"/>
  <c r="U47" i="60"/>
  <c r="J47" i="60"/>
  <c r="M47" i="60" s="1"/>
  <c r="X46" i="60"/>
  <c r="S46" i="60"/>
  <c r="U46" i="60" s="1"/>
  <c r="J46" i="60"/>
  <c r="M46" i="60"/>
  <c r="X45" i="60"/>
  <c r="S45" i="60"/>
  <c r="U45" i="60" s="1"/>
  <c r="J45" i="60"/>
  <c r="M45" i="60"/>
  <c r="X44" i="60"/>
  <c r="S44" i="60"/>
  <c r="U44" i="60"/>
  <c r="J44" i="60"/>
  <c r="M44" i="60" s="1"/>
  <c r="X43" i="60"/>
  <c r="S43" i="60"/>
  <c r="U43" i="60"/>
  <c r="J43" i="60"/>
  <c r="M43" i="60" s="1"/>
  <c r="X42" i="60"/>
  <c r="S42" i="60"/>
  <c r="U42" i="60"/>
  <c r="J42" i="60"/>
  <c r="M42" i="60" s="1"/>
  <c r="X41" i="60"/>
  <c r="S41" i="60"/>
  <c r="U41" i="60"/>
  <c r="J41" i="60"/>
  <c r="M41" i="60" s="1"/>
  <c r="X40" i="60"/>
  <c r="S40" i="60"/>
  <c r="U40" i="60"/>
  <c r="J40" i="60"/>
  <c r="M40" i="60"/>
  <c r="X39" i="60"/>
  <c r="S39" i="60"/>
  <c r="U39" i="60"/>
  <c r="M39" i="60"/>
  <c r="J39" i="60"/>
  <c r="X38" i="60"/>
  <c r="S38" i="60"/>
  <c r="U38" i="60"/>
  <c r="J38" i="60"/>
  <c r="M38" i="60" s="1"/>
  <c r="X37" i="60"/>
  <c r="S37" i="60"/>
  <c r="U37" i="60" s="1"/>
  <c r="J37" i="60"/>
  <c r="M37" i="60" s="1"/>
  <c r="X36" i="60"/>
  <c r="S36" i="60"/>
  <c r="U36" i="60"/>
  <c r="J36" i="60"/>
  <c r="M36" i="60" s="1"/>
  <c r="X35" i="60"/>
  <c r="U35" i="60"/>
  <c r="S35" i="60"/>
  <c r="J35" i="60"/>
  <c r="M35" i="60" s="1"/>
  <c r="X34" i="60"/>
  <c r="S34" i="60"/>
  <c r="U34" i="60" s="1"/>
  <c r="J34" i="60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M31" i="60"/>
  <c r="J31" i="60"/>
  <c r="X30" i="60"/>
  <c r="S30" i="60"/>
  <c r="U30" i="60"/>
  <c r="J30" i="60"/>
  <c r="M30" i="60" s="1"/>
  <c r="X29" i="60"/>
  <c r="S29" i="60"/>
  <c r="U29" i="60"/>
  <c r="J29" i="60"/>
  <c r="M29" i="60" s="1"/>
  <c r="X28" i="60"/>
  <c r="S28" i="60"/>
  <c r="U28" i="60"/>
  <c r="J28" i="60"/>
  <c r="M28" i="60" s="1"/>
  <c r="X27" i="60"/>
  <c r="S27" i="60"/>
  <c r="U27" i="60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/>
  <c r="J20" i="60"/>
  <c r="M20" i="60" s="1"/>
  <c r="X19" i="60"/>
  <c r="U19" i="60"/>
  <c r="S19" i="60"/>
  <c r="J19" i="60"/>
  <c r="M19" i="60"/>
  <c r="X18" i="60"/>
  <c r="S18" i="60"/>
  <c r="U18" i="60" s="1"/>
  <c r="J18" i="60"/>
  <c r="M18" i="60" s="1"/>
  <c r="X17" i="60"/>
  <c r="S17" i="60"/>
  <c r="U17" i="60"/>
  <c r="J17" i="60"/>
  <c r="M17" i="60" s="1"/>
  <c r="X16" i="60"/>
  <c r="S16" i="60"/>
  <c r="U16" i="60" s="1"/>
  <c r="J16" i="60"/>
  <c r="M16" i="60"/>
  <c r="X15" i="60"/>
  <c r="S15" i="60"/>
  <c r="U15" i="60"/>
  <c r="J15" i="60"/>
  <c r="M15" i="60" s="1"/>
  <c r="X14" i="60"/>
  <c r="S14" i="60"/>
  <c r="U14" i="60" s="1"/>
  <c r="J14" i="60"/>
  <c r="M14" i="60" s="1"/>
  <c r="X13" i="60"/>
  <c r="S13" i="60"/>
  <c r="U13" i="60"/>
  <c r="J13" i="60"/>
  <c r="M13" i="60" s="1"/>
  <c r="X12" i="60"/>
  <c r="S12" i="60"/>
  <c r="U12" i="60"/>
  <c r="J12" i="60"/>
  <c r="X11" i="60"/>
  <c r="S11" i="60"/>
  <c r="U11" i="60"/>
  <c r="J11" i="60"/>
  <c r="M11" i="60" s="1"/>
  <c r="X10" i="60"/>
  <c r="S10" i="60"/>
  <c r="U10" i="60"/>
  <c r="J10" i="60"/>
  <c r="M10" i="60" s="1"/>
  <c r="X9" i="60"/>
  <c r="S9" i="60"/>
  <c r="U9" i="60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0" i="59"/>
  <c r="K212" i="59"/>
  <c r="N28" i="16" s="1"/>
  <c r="K209" i="59"/>
  <c r="K219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M199" i="59"/>
  <c r="J199" i="59"/>
  <c r="J198" i="59"/>
  <c r="M198" i="59"/>
  <c r="J197" i="59"/>
  <c r="M197" i="59"/>
  <c r="J196" i="59"/>
  <c r="M196" i="59" s="1"/>
  <c r="J195" i="59"/>
  <c r="M195" i="59" s="1"/>
  <c r="J194" i="59"/>
  <c r="M194" i="59" s="1"/>
  <c r="J193" i="59"/>
  <c r="M193" i="59"/>
  <c r="J192" i="59"/>
  <c r="M192" i="59" s="1"/>
  <c r="J191" i="59"/>
  <c r="M191" i="59" s="1"/>
  <c r="J190" i="59"/>
  <c r="M190" i="59"/>
  <c r="J189" i="59"/>
  <c r="M189" i="59" s="1"/>
  <c r="J188" i="59"/>
  <c r="M188" i="59" s="1"/>
  <c r="J187" i="59"/>
  <c r="M187" i="59" s="1"/>
  <c r="J186" i="59"/>
  <c r="M186" i="59"/>
  <c r="J185" i="59"/>
  <c r="M185" i="59" s="1"/>
  <c r="J184" i="59"/>
  <c r="M184" i="59" s="1"/>
  <c r="J183" i="59"/>
  <c r="M183" i="59" s="1"/>
  <c r="J182" i="59"/>
  <c r="M182" i="59" s="1"/>
  <c r="J181" i="59"/>
  <c r="M181" i="59"/>
  <c r="J180" i="59"/>
  <c r="M180" i="59" s="1"/>
  <c r="J179" i="59"/>
  <c r="M179" i="59" s="1"/>
  <c r="J178" i="59"/>
  <c r="M178" i="59"/>
  <c r="J177" i="59"/>
  <c r="M177" i="59" s="1"/>
  <c r="J176" i="59"/>
  <c r="M176" i="59" s="1"/>
  <c r="J175" i="59"/>
  <c r="M175" i="59" s="1"/>
  <c r="J174" i="59"/>
  <c r="M174" i="59"/>
  <c r="J173" i="59"/>
  <c r="M173" i="59"/>
  <c r="M172" i="59"/>
  <c r="J172" i="59"/>
  <c r="J171" i="59"/>
  <c r="M171" i="59" s="1"/>
  <c r="J170" i="59"/>
  <c r="M170" i="59" s="1"/>
  <c r="J169" i="59"/>
  <c r="M169" i="59"/>
  <c r="J168" i="59"/>
  <c r="M168" i="59" s="1"/>
  <c r="M167" i="59"/>
  <c r="J167" i="59"/>
  <c r="J166" i="59"/>
  <c r="M166" i="59"/>
  <c r="J165" i="59"/>
  <c r="M165" i="59"/>
  <c r="M164" i="59"/>
  <c r="J164" i="59"/>
  <c r="J163" i="59"/>
  <c r="M163" i="59" s="1"/>
  <c r="J162" i="59"/>
  <c r="M162" i="59" s="1"/>
  <c r="J161" i="59"/>
  <c r="M161" i="59"/>
  <c r="J160" i="59"/>
  <c r="M160" i="59" s="1"/>
  <c r="J159" i="59"/>
  <c r="M159" i="59" s="1"/>
  <c r="J158" i="59"/>
  <c r="M158" i="59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/>
  <c r="J149" i="59"/>
  <c r="M149" i="59" s="1"/>
  <c r="J148" i="59"/>
  <c r="M148" i="59" s="1"/>
  <c r="J147" i="59"/>
  <c r="M147" i="59" s="1"/>
  <c r="J146" i="59"/>
  <c r="M146" i="59" s="1"/>
  <c r="J145" i="59"/>
  <c r="M145" i="59"/>
  <c r="J144" i="59"/>
  <c r="M144" i="59" s="1"/>
  <c r="J143" i="59"/>
  <c r="M143" i="59" s="1"/>
  <c r="J142" i="59"/>
  <c r="M142" i="59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/>
  <c r="J133" i="59"/>
  <c r="M133" i="59"/>
  <c r="J132" i="59"/>
  <c r="M132" i="59" s="1"/>
  <c r="J131" i="59"/>
  <c r="M131" i="59" s="1"/>
  <c r="J130" i="59"/>
  <c r="M130" i="59" s="1"/>
  <c r="J129" i="59"/>
  <c r="M129" i="59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/>
  <c r="J120" i="59"/>
  <c r="M120" i="59" s="1"/>
  <c r="J119" i="59"/>
  <c r="M119" i="59" s="1"/>
  <c r="J118" i="59"/>
  <c r="M118" i="59" s="1"/>
  <c r="J117" i="59"/>
  <c r="M117" i="59"/>
  <c r="J116" i="59"/>
  <c r="M116" i="59" s="1"/>
  <c r="J115" i="59"/>
  <c r="M115" i="59" s="1"/>
  <c r="J114" i="59"/>
  <c r="M114" i="59"/>
  <c r="J113" i="59"/>
  <c r="M113" i="59" s="1"/>
  <c r="J112" i="59"/>
  <c r="M112" i="59" s="1"/>
  <c r="J111" i="59"/>
  <c r="M111" i="59" s="1"/>
  <c r="J110" i="59"/>
  <c r="M110" i="59"/>
  <c r="J109" i="59"/>
  <c r="M109" i="59"/>
  <c r="J108" i="59"/>
  <c r="M108" i="59" s="1"/>
  <c r="J107" i="59"/>
  <c r="M107" i="59" s="1"/>
  <c r="J106" i="59"/>
  <c r="M106" i="59"/>
  <c r="Z105" i="59"/>
  <c r="J105" i="59"/>
  <c r="M105" i="59" s="1"/>
  <c r="X104" i="59"/>
  <c r="S104" i="59"/>
  <c r="U104" i="59" s="1"/>
  <c r="J104" i="59"/>
  <c r="M104" i="59"/>
  <c r="X103" i="59"/>
  <c r="S103" i="59"/>
  <c r="U103" i="59"/>
  <c r="J103" i="59"/>
  <c r="M103" i="59"/>
  <c r="X102" i="59"/>
  <c r="S102" i="59"/>
  <c r="U102" i="59"/>
  <c r="J102" i="59"/>
  <c r="M102" i="59" s="1"/>
  <c r="X101" i="59"/>
  <c r="S101" i="59"/>
  <c r="U101" i="59" s="1"/>
  <c r="J101" i="59"/>
  <c r="M101" i="59" s="1"/>
  <c r="X100" i="59"/>
  <c r="S100" i="59"/>
  <c r="U100" i="59"/>
  <c r="J100" i="59"/>
  <c r="M100" i="59" s="1"/>
  <c r="X99" i="59"/>
  <c r="S99" i="59"/>
  <c r="U99" i="59"/>
  <c r="J99" i="59"/>
  <c r="M99" i="59" s="1"/>
  <c r="X98" i="59"/>
  <c r="S98" i="59"/>
  <c r="U98" i="59"/>
  <c r="M98" i="59"/>
  <c r="J98" i="59"/>
  <c r="X97" i="59"/>
  <c r="S97" i="59"/>
  <c r="U97" i="59" s="1"/>
  <c r="J97" i="59"/>
  <c r="M97" i="59" s="1"/>
  <c r="X96" i="59"/>
  <c r="S96" i="59"/>
  <c r="U96" i="59"/>
  <c r="J96" i="59"/>
  <c r="M96" i="59"/>
  <c r="X95" i="59"/>
  <c r="S95" i="59"/>
  <c r="U95" i="59"/>
  <c r="J95" i="59"/>
  <c r="M95" i="59"/>
  <c r="X94" i="59"/>
  <c r="S94" i="59"/>
  <c r="U94" i="59"/>
  <c r="J94" i="59"/>
  <c r="M94" i="59" s="1"/>
  <c r="X93" i="59"/>
  <c r="S93" i="59"/>
  <c r="U93" i="59"/>
  <c r="J93" i="59"/>
  <c r="M93" i="59"/>
  <c r="X92" i="59"/>
  <c r="S92" i="59"/>
  <c r="U92" i="59" s="1"/>
  <c r="J92" i="59"/>
  <c r="M92" i="59" s="1"/>
  <c r="X91" i="59"/>
  <c r="S91" i="59"/>
  <c r="U91" i="59"/>
  <c r="J91" i="59"/>
  <c r="M91" i="59" s="1"/>
  <c r="X90" i="59"/>
  <c r="S90" i="59"/>
  <c r="U90" i="59" s="1"/>
  <c r="J90" i="59"/>
  <c r="M90" i="59" s="1"/>
  <c r="X89" i="59"/>
  <c r="S89" i="59"/>
  <c r="U89" i="59"/>
  <c r="J89" i="59"/>
  <c r="M89" i="59" s="1"/>
  <c r="X88" i="59"/>
  <c r="S88" i="59"/>
  <c r="U88" i="59"/>
  <c r="J88" i="59"/>
  <c r="M88" i="59"/>
  <c r="X87" i="59"/>
  <c r="S87" i="59"/>
  <c r="U87" i="59"/>
  <c r="J87" i="59"/>
  <c r="M87" i="59" s="1"/>
  <c r="X86" i="59"/>
  <c r="S86" i="59"/>
  <c r="U86" i="59"/>
  <c r="J86" i="59"/>
  <c r="M86" i="59" s="1"/>
  <c r="X85" i="59"/>
  <c r="S85" i="59"/>
  <c r="U85" i="59" s="1"/>
  <c r="J85" i="59"/>
  <c r="M85" i="59" s="1"/>
  <c r="X84" i="59"/>
  <c r="S84" i="59"/>
  <c r="U84" i="59"/>
  <c r="J84" i="59"/>
  <c r="M84" i="59" s="1"/>
  <c r="X83" i="59"/>
  <c r="S83" i="59"/>
  <c r="U83" i="59" s="1"/>
  <c r="J83" i="59"/>
  <c r="M83" i="59"/>
  <c r="X82" i="59"/>
  <c r="S82" i="59"/>
  <c r="U82" i="59"/>
  <c r="J82" i="59"/>
  <c r="M82" i="59" s="1"/>
  <c r="X81" i="59"/>
  <c r="S81" i="59"/>
  <c r="U81" i="59"/>
  <c r="J81" i="59"/>
  <c r="M81" i="59" s="1"/>
  <c r="X80" i="59"/>
  <c r="S80" i="59"/>
  <c r="U80" i="59"/>
  <c r="J80" i="59"/>
  <c r="M80" i="59" s="1"/>
  <c r="X79" i="59"/>
  <c r="S79" i="59"/>
  <c r="U79" i="59"/>
  <c r="J79" i="59"/>
  <c r="M79" i="59"/>
  <c r="X78" i="59"/>
  <c r="S78" i="59"/>
  <c r="U78" i="59" s="1"/>
  <c r="J78" i="59"/>
  <c r="M78" i="59" s="1"/>
  <c r="X77" i="59"/>
  <c r="S77" i="59"/>
  <c r="U77" i="59"/>
  <c r="J77" i="59"/>
  <c r="M77" i="59" s="1"/>
  <c r="X76" i="59"/>
  <c r="S76" i="59"/>
  <c r="U76" i="59" s="1"/>
  <c r="J76" i="59"/>
  <c r="M76" i="59" s="1"/>
  <c r="X75" i="59"/>
  <c r="S75" i="59"/>
  <c r="U75" i="59"/>
  <c r="J75" i="59"/>
  <c r="M75" i="59" s="1"/>
  <c r="X74" i="59"/>
  <c r="S74" i="59"/>
  <c r="U74" i="59" s="1"/>
  <c r="J74" i="59"/>
  <c r="M74" i="59" s="1"/>
  <c r="X73" i="59"/>
  <c r="S73" i="59"/>
  <c r="U73" i="59"/>
  <c r="J73" i="59"/>
  <c r="M73" i="59" s="1"/>
  <c r="X72" i="59"/>
  <c r="S72" i="59"/>
  <c r="U72" i="59" s="1"/>
  <c r="J72" i="59"/>
  <c r="M72" i="59" s="1"/>
  <c r="X71" i="59"/>
  <c r="S71" i="59"/>
  <c r="U71" i="59"/>
  <c r="J71" i="59"/>
  <c r="M71" i="59"/>
  <c r="X70" i="59"/>
  <c r="S70" i="59"/>
  <c r="U70" i="59" s="1"/>
  <c r="J70" i="59"/>
  <c r="M70" i="59"/>
  <c r="X69" i="59"/>
  <c r="S69" i="59"/>
  <c r="U69" i="59"/>
  <c r="J69" i="59"/>
  <c r="M69" i="59" s="1"/>
  <c r="X68" i="59"/>
  <c r="S68" i="59"/>
  <c r="U68" i="59"/>
  <c r="J68" i="59"/>
  <c r="M68" i="59"/>
  <c r="X67" i="59"/>
  <c r="S67" i="59"/>
  <c r="U67" i="59" s="1"/>
  <c r="J67" i="59"/>
  <c r="M67" i="59" s="1"/>
  <c r="X66" i="59"/>
  <c r="S66" i="59"/>
  <c r="U66" i="59"/>
  <c r="J66" i="59"/>
  <c r="M66" i="59" s="1"/>
  <c r="X65" i="59"/>
  <c r="S65" i="59"/>
  <c r="U65" i="59"/>
  <c r="J65" i="59"/>
  <c r="M65" i="59" s="1"/>
  <c r="X64" i="59"/>
  <c r="S64" i="59"/>
  <c r="U64" i="59"/>
  <c r="J64" i="59"/>
  <c r="M64" i="59"/>
  <c r="X63" i="59"/>
  <c r="S63" i="59"/>
  <c r="U63" i="59" s="1"/>
  <c r="J63" i="59"/>
  <c r="M63" i="59"/>
  <c r="X62" i="59"/>
  <c r="S62" i="59"/>
  <c r="U62" i="59"/>
  <c r="J62" i="59"/>
  <c r="M62" i="59"/>
  <c r="X61" i="59"/>
  <c r="S61" i="59"/>
  <c r="U61" i="59"/>
  <c r="J61" i="59"/>
  <c r="M61" i="59" s="1"/>
  <c r="X60" i="59"/>
  <c r="S60" i="59"/>
  <c r="U60" i="59" s="1"/>
  <c r="J60" i="59"/>
  <c r="M60" i="59" s="1"/>
  <c r="X59" i="59"/>
  <c r="S59" i="59"/>
  <c r="U59" i="59"/>
  <c r="J59" i="59"/>
  <c r="M59" i="59" s="1"/>
  <c r="X58" i="59"/>
  <c r="S58" i="59"/>
  <c r="U58" i="59" s="1"/>
  <c r="J58" i="59"/>
  <c r="M58" i="59" s="1"/>
  <c r="X57" i="59"/>
  <c r="S57" i="59"/>
  <c r="U57" i="59"/>
  <c r="J57" i="59"/>
  <c r="M57" i="59" s="1"/>
  <c r="X56" i="59"/>
  <c r="S56" i="59"/>
  <c r="U56" i="59" s="1"/>
  <c r="J56" i="59"/>
  <c r="M56" i="59" s="1"/>
  <c r="X55" i="59"/>
  <c r="S55" i="59"/>
  <c r="U55" i="59"/>
  <c r="J55" i="59"/>
  <c r="M55" i="59"/>
  <c r="X54" i="59"/>
  <c r="S54" i="59"/>
  <c r="U54" i="59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/>
  <c r="J51" i="59"/>
  <c r="M51" i="59"/>
  <c r="X50" i="59"/>
  <c r="S50" i="59"/>
  <c r="U50" i="59" s="1"/>
  <c r="J50" i="59"/>
  <c r="M50" i="59" s="1"/>
  <c r="X49" i="59"/>
  <c r="S49" i="59"/>
  <c r="U49" i="59"/>
  <c r="J49" i="59"/>
  <c r="M49" i="59" s="1"/>
  <c r="X48" i="59"/>
  <c r="S48" i="59"/>
  <c r="U48" i="59" s="1"/>
  <c r="J48" i="59"/>
  <c r="M48" i="59" s="1"/>
  <c r="X47" i="59"/>
  <c r="S47" i="59"/>
  <c r="U47" i="59"/>
  <c r="J47" i="59"/>
  <c r="M47" i="59" s="1"/>
  <c r="X46" i="59"/>
  <c r="S46" i="59"/>
  <c r="U46" i="59"/>
  <c r="J46" i="59"/>
  <c r="M46" i="59"/>
  <c r="X45" i="59"/>
  <c r="U45" i="59"/>
  <c r="S45" i="59"/>
  <c r="J45" i="59"/>
  <c r="M45" i="59" s="1"/>
  <c r="X44" i="59"/>
  <c r="S44" i="59"/>
  <c r="U44" i="59"/>
  <c r="J44" i="59"/>
  <c r="M44" i="59" s="1"/>
  <c r="X43" i="59"/>
  <c r="S43" i="59"/>
  <c r="U43" i="59"/>
  <c r="J43" i="59"/>
  <c r="M43" i="59" s="1"/>
  <c r="X42" i="59"/>
  <c r="S42" i="59"/>
  <c r="U42" i="59"/>
  <c r="J42" i="59"/>
  <c r="M42" i="59" s="1"/>
  <c r="X41" i="59"/>
  <c r="S41" i="59"/>
  <c r="U41" i="59"/>
  <c r="J41" i="59"/>
  <c r="M41" i="59" s="1"/>
  <c r="X40" i="59"/>
  <c r="S40" i="59"/>
  <c r="U40" i="59"/>
  <c r="J40" i="59"/>
  <c r="M40" i="59" s="1"/>
  <c r="X39" i="59"/>
  <c r="S39" i="59"/>
  <c r="U39" i="59"/>
  <c r="J39" i="59"/>
  <c r="M39" i="59" s="1"/>
  <c r="X38" i="59"/>
  <c r="S38" i="59"/>
  <c r="U38" i="59"/>
  <c r="J38" i="59"/>
  <c r="M38" i="59" s="1"/>
  <c r="X37" i="59"/>
  <c r="S37" i="59"/>
  <c r="U37" i="59" s="1"/>
  <c r="J37" i="59"/>
  <c r="M37" i="59"/>
  <c r="X36" i="59"/>
  <c r="S36" i="59"/>
  <c r="U36" i="59" s="1"/>
  <c r="J36" i="59"/>
  <c r="M36" i="59" s="1"/>
  <c r="X35" i="59"/>
  <c r="S35" i="59"/>
  <c r="U35" i="59"/>
  <c r="J35" i="59"/>
  <c r="M35" i="59"/>
  <c r="X34" i="59"/>
  <c r="S34" i="59"/>
  <c r="U34" i="59"/>
  <c r="J34" i="59"/>
  <c r="M34" i="59" s="1"/>
  <c r="X33" i="59"/>
  <c r="S33" i="59"/>
  <c r="U33" i="59"/>
  <c r="J33" i="59"/>
  <c r="M33" i="59" s="1"/>
  <c r="X32" i="59"/>
  <c r="S32" i="59"/>
  <c r="U32" i="59" s="1"/>
  <c r="J32" i="59"/>
  <c r="M32" i="59" s="1"/>
  <c r="X31" i="59"/>
  <c r="S31" i="59"/>
  <c r="U31" i="59"/>
  <c r="J31" i="59"/>
  <c r="M31" i="59" s="1"/>
  <c r="X30" i="59"/>
  <c r="S30" i="59"/>
  <c r="U30" i="59" s="1"/>
  <c r="J30" i="59"/>
  <c r="M30" i="59"/>
  <c r="X29" i="59"/>
  <c r="U29" i="59"/>
  <c r="S29" i="59"/>
  <c r="J29" i="59"/>
  <c r="M29" i="59" s="1"/>
  <c r="X28" i="59"/>
  <c r="S28" i="59"/>
  <c r="U28" i="59"/>
  <c r="J28" i="59"/>
  <c r="M28" i="59" s="1"/>
  <c r="X27" i="59"/>
  <c r="S27" i="59"/>
  <c r="U27" i="59" s="1"/>
  <c r="J27" i="59"/>
  <c r="M27" i="59" s="1"/>
  <c r="X26" i="59"/>
  <c r="S26" i="59"/>
  <c r="U26" i="59"/>
  <c r="J26" i="59"/>
  <c r="M26" i="59" s="1"/>
  <c r="X25" i="59"/>
  <c r="S25" i="59"/>
  <c r="U25" i="59" s="1"/>
  <c r="J25" i="59"/>
  <c r="M25" i="59" s="1"/>
  <c r="X24" i="59"/>
  <c r="S24" i="59"/>
  <c r="U24" i="59"/>
  <c r="J24" i="59"/>
  <c r="M24" i="59"/>
  <c r="X23" i="59"/>
  <c r="S23" i="59"/>
  <c r="U23" i="59"/>
  <c r="J23" i="59"/>
  <c r="M23" i="59" s="1"/>
  <c r="X22" i="59"/>
  <c r="S22" i="59"/>
  <c r="U22" i="59"/>
  <c r="J22" i="59"/>
  <c r="M22" i="59" s="1"/>
  <c r="X21" i="59"/>
  <c r="S21" i="59"/>
  <c r="U21" i="59" s="1"/>
  <c r="J21" i="59"/>
  <c r="M21" i="59" s="1"/>
  <c r="X20" i="59"/>
  <c r="S20" i="59"/>
  <c r="U20" i="59"/>
  <c r="J20" i="59"/>
  <c r="M20" i="59"/>
  <c r="X19" i="59"/>
  <c r="S19" i="59"/>
  <c r="U19" i="59"/>
  <c r="J19" i="59"/>
  <c r="M19" i="59" s="1"/>
  <c r="X18" i="59"/>
  <c r="S18" i="59"/>
  <c r="U18" i="59" s="1"/>
  <c r="J18" i="59"/>
  <c r="M18" i="59" s="1"/>
  <c r="X17" i="59"/>
  <c r="S17" i="59"/>
  <c r="U17" i="59"/>
  <c r="J17" i="59"/>
  <c r="M17" i="59" s="1"/>
  <c r="X16" i="59"/>
  <c r="S16" i="59"/>
  <c r="U16" i="59" s="1"/>
  <c r="J16" i="59"/>
  <c r="M16" i="59" s="1"/>
  <c r="X15" i="59"/>
  <c r="S15" i="59"/>
  <c r="U15" i="59"/>
  <c r="J15" i="59"/>
  <c r="M15" i="59"/>
  <c r="X14" i="59"/>
  <c r="S14" i="59"/>
  <c r="U14" i="59"/>
  <c r="J14" i="59"/>
  <c r="M14" i="59" s="1"/>
  <c r="X13" i="59"/>
  <c r="S13" i="59"/>
  <c r="U13" i="59"/>
  <c r="J13" i="59"/>
  <c r="M13" i="59" s="1"/>
  <c r="X12" i="59"/>
  <c r="S12" i="59"/>
  <c r="U12" i="59" s="1"/>
  <c r="J12" i="59"/>
  <c r="M12" i="59"/>
  <c r="X11" i="59"/>
  <c r="S11" i="59"/>
  <c r="U11" i="59"/>
  <c r="J11" i="59"/>
  <c r="M11" i="59" s="1"/>
  <c r="X10" i="59"/>
  <c r="X107" i="59" s="1"/>
  <c r="J206" i="59" s="1"/>
  <c r="S10" i="59"/>
  <c r="U10" i="59"/>
  <c r="J10" i="59"/>
  <c r="M10" i="59" s="1"/>
  <c r="X9" i="59"/>
  <c r="S9" i="59"/>
  <c r="U9" i="59"/>
  <c r="J9" i="59"/>
  <c r="M9" i="59" s="1"/>
  <c r="X8" i="59"/>
  <c r="S8" i="59"/>
  <c r="U8" i="59"/>
  <c r="J8" i="59"/>
  <c r="M8" i="59" s="1"/>
  <c r="X7" i="59"/>
  <c r="S7" i="59"/>
  <c r="U7" i="59" s="1"/>
  <c r="J7" i="59"/>
  <c r="M7" i="59" s="1"/>
  <c r="X6" i="59"/>
  <c r="S6" i="59"/>
  <c r="U6" i="59"/>
  <c r="J6" i="59"/>
  <c r="M6" i="59"/>
  <c r="X5" i="59"/>
  <c r="S5" i="59"/>
  <c r="U5" i="59" s="1"/>
  <c r="J5" i="59"/>
  <c r="M5" i="59"/>
  <c r="K220" i="58"/>
  <c r="K212" i="58"/>
  <c r="N27" i="16" s="1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/>
  <c r="J198" i="58"/>
  <c r="M198" i="58" s="1"/>
  <c r="J197" i="58"/>
  <c r="M197" i="58" s="1"/>
  <c r="J196" i="58"/>
  <c r="M196" i="58" s="1"/>
  <c r="J195" i="58"/>
  <c r="M195" i="58"/>
  <c r="J194" i="58"/>
  <c r="M194" i="58" s="1"/>
  <c r="J193" i="58"/>
  <c r="M193" i="58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/>
  <c r="M186" i="58"/>
  <c r="J186" i="58"/>
  <c r="J185" i="58"/>
  <c r="M185" i="58" s="1"/>
  <c r="J184" i="58"/>
  <c r="M184" i="58" s="1"/>
  <c r="J183" i="58"/>
  <c r="M183" i="58"/>
  <c r="J182" i="58"/>
  <c r="M182" i="58" s="1"/>
  <c r="J181" i="58"/>
  <c r="M181" i="58"/>
  <c r="J180" i="58"/>
  <c r="M180" i="58" s="1"/>
  <c r="J179" i="58"/>
  <c r="M179" i="58"/>
  <c r="J178" i="58"/>
  <c r="M178" i="58" s="1"/>
  <c r="J177" i="58"/>
  <c r="M177" i="58"/>
  <c r="J176" i="58"/>
  <c r="M176" i="58" s="1"/>
  <c r="J175" i="58"/>
  <c r="M175" i="58" s="1"/>
  <c r="J174" i="58"/>
  <c r="M174" i="58" s="1"/>
  <c r="J173" i="58"/>
  <c r="M173" i="58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/>
  <c r="M166" i="58"/>
  <c r="J166" i="58"/>
  <c r="J165" i="58"/>
  <c r="M165" i="58" s="1"/>
  <c r="M164" i="58"/>
  <c r="J164" i="58"/>
  <c r="J163" i="58"/>
  <c r="M163" i="58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M140" i="58"/>
  <c r="J140" i="58"/>
  <c r="J139" i="58"/>
  <c r="M139" i="58" s="1"/>
  <c r="J138" i="58"/>
  <c r="M138" i="58" s="1"/>
  <c r="J137" i="58"/>
  <c r="M137" i="58" s="1"/>
  <c r="J136" i="58"/>
  <c r="M136" i="58" s="1"/>
  <c r="J135" i="58"/>
  <c r="M135" i="58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M126" i="58"/>
  <c r="J126" i="58"/>
  <c r="J125" i="58"/>
  <c r="M125" i="58" s="1"/>
  <c r="J124" i="58"/>
  <c r="M124" i="58" s="1"/>
  <c r="J123" i="58"/>
  <c r="M123" i="58"/>
  <c r="J122" i="58"/>
  <c r="M122" i="58" s="1"/>
  <c r="J121" i="58"/>
  <c r="M121" i="58" s="1"/>
  <c r="J120" i="58"/>
  <c r="M120" i="58" s="1"/>
  <c r="J119" i="58"/>
  <c r="M119" i="58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/>
  <c r="J106" i="58"/>
  <c r="M106" i="58" s="1"/>
  <c r="Z105" i="58"/>
  <c r="J105" i="58"/>
  <c r="M105" i="58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M100" i="58"/>
  <c r="J100" i="58"/>
  <c r="X99" i="58"/>
  <c r="S99" i="58"/>
  <c r="U99" i="58"/>
  <c r="J99" i="58"/>
  <c r="M99" i="58"/>
  <c r="X98" i="58"/>
  <c r="S98" i="58"/>
  <c r="U98" i="58" s="1"/>
  <c r="J98" i="58"/>
  <c r="M98" i="58" s="1"/>
  <c r="X97" i="58"/>
  <c r="S97" i="58"/>
  <c r="U97" i="58"/>
  <c r="J97" i="58"/>
  <c r="M97" i="58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/>
  <c r="X93" i="58"/>
  <c r="S93" i="58"/>
  <c r="U93" i="58"/>
  <c r="J93" i="58"/>
  <c r="M93" i="58" s="1"/>
  <c r="X92" i="58"/>
  <c r="S92" i="58"/>
  <c r="U92" i="58"/>
  <c r="J92" i="58"/>
  <c r="M92" i="58" s="1"/>
  <c r="X91" i="58"/>
  <c r="S91" i="58"/>
  <c r="U91" i="58"/>
  <c r="J91" i="58"/>
  <c r="M91" i="58"/>
  <c r="X90" i="58"/>
  <c r="S90" i="58"/>
  <c r="U90" i="58"/>
  <c r="J90" i="58"/>
  <c r="M90" i="58" s="1"/>
  <c r="X89" i="58"/>
  <c r="S89" i="58"/>
  <c r="U89" i="58"/>
  <c r="J89" i="58"/>
  <c r="M89" i="58"/>
  <c r="X88" i="58"/>
  <c r="S88" i="58"/>
  <c r="U88" i="58" s="1"/>
  <c r="M88" i="58"/>
  <c r="J88" i="58"/>
  <c r="X87" i="58"/>
  <c r="S87" i="58"/>
  <c r="U87" i="58"/>
  <c r="J87" i="58"/>
  <c r="M87" i="58" s="1"/>
  <c r="X86" i="58"/>
  <c r="S86" i="58"/>
  <c r="U86" i="58"/>
  <c r="J86" i="58"/>
  <c r="M86" i="58"/>
  <c r="X85" i="58"/>
  <c r="S85" i="58"/>
  <c r="U85" i="58"/>
  <c r="J85" i="58"/>
  <c r="M85" i="58" s="1"/>
  <c r="X84" i="58"/>
  <c r="S84" i="58"/>
  <c r="U84" i="58" s="1"/>
  <c r="J84" i="58"/>
  <c r="M84" i="58" s="1"/>
  <c r="X83" i="58"/>
  <c r="S83" i="58"/>
  <c r="U83" i="58"/>
  <c r="J83" i="58"/>
  <c r="M83" i="58" s="1"/>
  <c r="X82" i="58"/>
  <c r="S82" i="58"/>
  <c r="U82" i="58" s="1"/>
  <c r="J82" i="58"/>
  <c r="M82" i="58" s="1"/>
  <c r="X81" i="58"/>
  <c r="S81" i="58"/>
  <c r="U81" i="58"/>
  <c r="J81" i="58"/>
  <c r="M81" i="58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/>
  <c r="X77" i="58"/>
  <c r="S77" i="58"/>
  <c r="U77" i="58"/>
  <c r="J77" i="58"/>
  <c r="M77" i="58"/>
  <c r="X76" i="58"/>
  <c r="S76" i="58"/>
  <c r="U76" i="58"/>
  <c r="J76" i="58"/>
  <c r="M76" i="58" s="1"/>
  <c r="X75" i="58"/>
  <c r="S75" i="58"/>
  <c r="U75" i="58" s="1"/>
  <c r="J75" i="58"/>
  <c r="M75" i="58" s="1"/>
  <c r="X74" i="58"/>
  <c r="S74" i="58"/>
  <c r="U74" i="58"/>
  <c r="J74" i="58"/>
  <c r="M74" i="58" s="1"/>
  <c r="X73" i="58"/>
  <c r="S73" i="58"/>
  <c r="U73" i="58"/>
  <c r="J73" i="58"/>
  <c r="M73" i="58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/>
  <c r="J69" i="58"/>
  <c r="M69" i="58"/>
  <c r="X68" i="58"/>
  <c r="S68" i="58"/>
  <c r="U68" i="58" s="1"/>
  <c r="J68" i="58"/>
  <c r="M68" i="58" s="1"/>
  <c r="X67" i="58"/>
  <c r="S67" i="58"/>
  <c r="U67" i="58"/>
  <c r="J67" i="58"/>
  <c r="M67" i="58" s="1"/>
  <c r="X66" i="58"/>
  <c r="S66" i="58"/>
  <c r="U66" i="58" s="1"/>
  <c r="J66" i="58"/>
  <c r="M66" i="58" s="1"/>
  <c r="X65" i="58"/>
  <c r="S65" i="58"/>
  <c r="U65" i="58"/>
  <c r="J65" i="58"/>
  <c r="M65" i="58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/>
  <c r="J60" i="58"/>
  <c r="M60" i="58" s="1"/>
  <c r="X59" i="58"/>
  <c r="S59" i="58"/>
  <c r="U59" i="58"/>
  <c r="J59" i="58"/>
  <c r="M59" i="58" s="1"/>
  <c r="X58" i="58"/>
  <c r="S58" i="58"/>
  <c r="U58" i="58"/>
  <c r="J58" i="58"/>
  <c r="M58" i="58"/>
  <c r="X57" i="58"/>
  <c r="U57" i="58"/>
  <c r="S57" i="58"/>
  <c r="J57" i="58"/>
  <c r="M57" i="58" s="1"/>
  <c r="X56" i="58"/>
  <c r="S56" i="58"/>
  <c r="U56" i="58"/>
  <c r="J56" i="58"/>
  <c r="M56" i="58" s="1"/>
  <c r="X55" i="58"/>
  <c r="S55" i="58"/>
  <c r="U55" i="58"/>
  <c r="J55" i="58"/>
  <c r="M55" i="58" s="1"/>
  <c r="X54" i="58"/>
  <c r="S54" i="58"/>
  <c r="U54" i="58"/>
  <c r="J54" i="58"/>
  <c r="M54" i="58" s="1"/>
  <c r="X53" i="58"/>
  <c r="S53" i="58"/>
  <c r="U53" i="58" s="1"/>
  <c r="J53" i="58"/>
  <c r="M53" i="58"/>
  <c r="X52" i="58"/>
  <c r="U52" i="58"/>
  <c r="S52" i="58"/>
  <c r="J52" i="58"/>
  <c r="M52" i="58" s="1"/>
  <c r="X51" i="58"/>
  <c r="U51" i="58"/>
  <c r="S51" i="58"/>
  <c r="J51" i="58"/>
  <c r="M51" i="58" s="1"/>
  <c r="X50" i="58"/>
  <c r="S50" i="58"/>
  <c r="U50" i="58" s="1"/>
  <c r="J50" i="58"/>
  <c r="M50" i="58" s="1"/>
  <c r="X49" i="58"/>
  <c r="S49" i="58"/>
  <c r="U49" i="58"/>
  <c r="J49" i="58"/>
  <c r="M49" i="58"/>
  <c r="X48" i="58"/>
  <c r="U48" i="58"/>
  <c r="S48" i="58"/>
  <c r="J48" i="58"/>
  <c r="M48" i="58" s="1"/>
  <c r="X47" i="58"/>
  <c r="S47" i="58"/>
  <c r="U47" i="58"/>
  <c r="J47" i="58"/>
  <c r="M47" i="58" s="1"/>
  <c r="X46" i="58"/>
  <c r="U46" i="58"/>
  <c r="S46" i="58"/>
  <c r="J46" i="58"/>
  <c r="M46" i="58" s="1"/>
  <c r="X45" i="58"/>
  <c r="S45" i="58"/>
  <c r="U45" i="58"/>
  <c r="J45" i="58"/>
  <c r="M45" i="58" s="1"/>
  <c r="X44" i="58"/>
  <c r="S44" i="58"/>
  <c r="U44" i="58" s="1"/>
  <c r="J44" i="58"/>
  <c r="M44" i="58" s="1"/>
  <c r="X43" i="58"/>
  <c r="S43" i="58"/>
  <c r="U43" i="58"/>
  <c r="J43" i="58"/>
  <c r="M43" i="58" s="1"/>
  <c r="X42" i="58"/>
  <c r="S42" i="58"/>
  <c r="U42" i="58"/>
  <c r="J42" i="58"/>
  <c r="M42" i="58"/>
  <c r="X41" i="58"/>
  <c r="U41" i="58"/>
  <c r="S41" i="58"/>
  <c r="J41" i="58"/>
  <c r="M41" i="58" s="1"/>
  <c r="X40" i="58"/>
  <c r="S40" i="58"/>
  <c r="U40" i="58"/>
  <c r="J40" i="58"/>
  <c r="M40" i="58" s="1"/>
  <c r="X39" i="58"/>
  <c r="S39" i="58"/>
  <c r="U39" i="58"/>
  <c r="J39" i="58"/>
  <c r="M39" i="58" s="1"/>
  <c r="X38" i="58"/>
  <c r="S38" i="58"/>
  <c r="U38" i="58"/>
  <c r="J38" i="58"/>
  <c r="M38" i="58"/>
  <c r="X37" i="58"/>
  <c r="U37" i="58"/>
  <c r="S37" i="58"/>
  <c r="J37" i="58"/>
  <c r="M37" i="58" s="1"/>
  <c r="X36" i="58"/>
  <c r="S36" i="58"/>
  <c r="U36" i="58"/>
  <c r="J36" i="58"/>
  <c r="M36" i="58" s="1"/>
  <c r="X35" i="58"/>
  <c r="S35" i="58"/>
  <c r="U35" i="58" s="1"/>
  <c r="J35" i="58"/>
  <c r="X34" i="58"/>
  <c r="S34" i="58"/>
  <c r="U34" i="58" s="1"/>
  <c r="J34" i="58"/>
  <c r="M34" i="58" s="1"/>
  <c r="X33" i="58"/>
  <c r="U33" i="58"/>
  <c r="S33" i="58"/>
  <c r="J33" i="58"/>
  <c r="M33" i="58" s="1"/>
  <c r="X32" i="58"/>
  <c r="S32" i="58"/>
  <c r="U32" i="58" s="1"/>
  <c r="J32" i="58"/>
  <c r="M32" i="58" s="1"/>
  <c r="X31" i="58"/>
  <c r="S31" i="58"/>
  <c r="U31" i="58" s="1"/>
  <c r="J31" i="58"/>
  <c r="M31" i="58"/>
  <c r="X30" i="58"/>
  <c r="S30" i="58"/>
  <c r="U30" i="58"/>
  <c r="J30" i="58"/>
  <c r="M30" i="58" s="1"/>
  <c r="X29" i="58"/>
  <c r="S29" i="58"/>
  <c r="U29" i="58"/>
  <c r="J29" i="58"/>
  <c r="M29" i="58"/>
  <c r="X28" i="58"/>
  <c r="S28" i="58"/>
  <c r="U28" i="58" s="1"/>
  <c r="J28" i="58"/>
  <c r="M28" i="58" s="1"/>
  <c r="X27" i="58"/>
  <c r="S27" i="58"/>
  <c r="U27" i="58" s="1"/>
  <c r="M27" i="58"/>
  <c r="J27" i="58"/>
  <c r="X26" i="58"/>
  <c r="S26" i="58"/>
  <c r="U26" i="58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/>
  <c r="J20" i="58"/>
  <c r="M20" i="58"/>
  <c r="X19" i="58"/>
  <c r="S19" i="58"/>
  <c r="U19" i="58" s="1"/>
  <c r="J19" i="58"/>
  <c r="M19" i="58" s="1"/>
  <c r="X18" i="58"/>
  <c r="S18" i="58"/>
  <c r="U18" i="58"/>
  <c r="J18" i="58"/>
  <c r="M18" i="58" s="1"/>
  <c r="X17" i="58"/>
  <c r="U17" i="58"/>
  <c r="S17" i="58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/>
  <c r="J14" i="58"/>
  <c r="M14" i="58"/>
  <c r="X13" i="58"/>
  <c r="U13" i="58"/>
  <c r="S13" i="58"/>
  <c r="J13" i="58"/>
  <c r="M13" i="58"/>
  <c r="X12" i="58"/>
  <c r="S12" i="58"/>
  <c r="U12" i="58" s="1"/>
  <c r="J12" i="58"/>
  <c r="M12" i="58"/>
  <c r="X11" i="58"/>
  <c r="S11" i="58"/>
  <c r="U11" i="58" s="1"/>
  <c r="M11" i="58"/>
  <c r="J11" i="58"/>
  <c r="X10" i="58"/>
  <c r="S10" i="58"/>
  <c r="U10" i="58"/>
  <c r="J10" i="58"/>
  <c r="M10" i="58" s="1"/>
  <c r="X9" i="58"/>
  <c r="S9" i="58"/>
  <c r="U9" i="58"/>
  <c r="J9" i="58"/>
  <c r="M9" i="58" s="1"/>
  <c r="X8" i="58"/>
  <c r="S8" i="58"/>
  <c r="U8" i="58"/>
  <c r="J8" i="58"/>
  <c r="M8" i="58"/>
  <c r="X7" i="58"/>
  <c r="U7" i="58"/>
  <c r="S7" i="58"/>
  <c r="J7" i="58"/>
  <c r="M7" i="58" s="1"/>
  <c r="X6" i="58"/>
  <c r="S6" i="58"/>
  <c r="U6" i="58" s="1"/>
  <c r="J6" i="58"/>
  <c r="M6" i="58" s="1"/>
  <c r="X5" i="58"/>
  <c r="U5" i="58"/>
  <c r="S5" i="58"/>
  <c r="J5" i="58"/>
  <c r="M5" i="58" s="1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/>
  <c r="J199" i="56"/>
  <c r="M199" i="56" s="1"/>
  <c r="J198" i="56"/>
  <c r="M198" i="56"/>
  <c r="J197" i="56"/>
  <c r="M197" i="56" s="1"/>
  <c r="J196" i="56"/>
  <c r="M196" i="56" s="1"/>
  <c r="J195" i="56"/>
  <c r="M195" i="56" s="1"/>
  <c r="J194" i="56"/>
  <c r="M194" i="56"/>
  <c r="J193" i="56"/>
  <c r="M193" i="56"/>
  <c r="J192" i="56"/>
  <c r="M192" i="56" s="1"/>
  <c r="M191" i="56"/>
  <c r="J191" i="56"/>
  <c r="J190" i="56"/>
  <c r="M190" i="56" s="1"/>
  <c r="J189" i="56"/>
  <c r="M189" i="56"/>
  <c r="J188" i="56"/>
  <c r="M188" i="56" s="1"/>
  <c r="M187" i="56"/>
  <c r="J187" i="56"/>
  <c r="J186" i="56"/>
  <c r="M186" i="56" s="1"/>
  <c r="J185" i="56"/>
  <c r="M185" i="56"/>
  <c r="J184" i="56"/>
  <c r="M184" i="56" s="1"/>
  <c r="J183" i="56"/>
  <c r="M183" i="56" s="1"/>
  <c r="J182" i="56"/>
  <c r="M182" i="56"/>
  <c r="J181" i="56"/>
  <c r="M181" i="56"/>
  <c r="J180" i="56"/>
  <c r="M180" i="56"/>
  <c r="J179" i="56"/>
  <c r="M179" i="56" s="1"/>
  <c r="J178" i="56"/>
  <c r="M178" i="56" s="1"/>
  <c r="J177" i="56"/>
  <c r="M177" i="56" s="1"/>
  <c r="J176" i="56"/>
  <c r="M176" i="56"/>
  <c r="J175" i="56"/>
  <c r="M175" i="56" s="1"/>
  <c r="J174" i="56"/>
  <c r="M174" i="56"/>
  <c r="J173" i="56"/>
  <c r="M173" i="56"/>
  <c r="J172" i="56"/>
  <c r="M172" i="56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/>
  <c r="J165" i="56"/>
  <c r="M165" i="56" s="1"/>
  <c r="J164" i="56"/>
  <c r="M164" i="56" s="1"/>
  <c r="J163" i="56"/>
  <c r="M163" i="56" s="1"/>
  <c r="J162" i="56"/>
  <c r="M162" i="56" s="1"/>
  <c r="J161" i="56"/>
  <c r="M161" i="56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/>
  <c r="J149" i="56"/>
  <c r="M149" i="56" s="1"/>
  <c r="J148" i="56"/>
  <c r="M148" i="56" s="1"/>
  <c r="J147" i="56"/>
  <c r="M147" i="56" s="1"/>
  <c r="J146" i="56"/>
  <c r="M146" i="56" s="1"/>
  <c r="J145" i="56"/>
  <c r="M145" i="56"/>
  <c r="J144" i="56"/>
  <c r="M144" i="56" s="1"/>
  <c r="J143" i="56"/>
  <c r="M143" i="56" s="1"/>
  <c r="J142" i="56"/>
  <c r="M142" i="56"/>
  <c r="J141" i="56"/>
  <c r="M141" i="56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/>
  <c r="J133" i="56"/>
  <c r="M133" i="56" s="1"/>
  <c r="J132" i="56"/>
  <c r="M132" i="56" s="1"/>
  <c r="J131" i="56"/>
  <c r="M131" i="56" s="1"/>
  <c r="J130" i="56"/>
  <c r="M130" i="56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M123" i="56"/>
  <c r="J123" i="56"/>
  <c r="J122" i="56"/>
  <c r="M122" i="56"/>
  <c r="J121" i="56"/>
  <c r="M121" i="56" s="1"/>
  <c r="J120" i="56"/>
  <c r="M120" i="56" s="1"/>
  <c r="J119" i="56"/>
  <c r="M119" i="56" s="1"/>
  <c r="J118" i="56"/>
  <c r="M118" i="56"/>
  <c r="J117" i="56"/>
  <c r="M117" i="56" s="1"/>
  <c r="J116" i="56"/>
  <c r="M116" i="56" s="1"/>
  <c r="J115" i="56"/>
  <c r="M115" i="56" s="1"/>
  <c r="J114" i="56"/>
  <c r="M114" i="56"/>
  <c r="J113" i="56"/>
  <c r="M113" i="56" s="1"/>
  <c r="J112" i="56"/>
  <c r="M112" i="56" s="1"/>
  <c r="J111" i="56"/>
  <c r="M111" i="56" s="1"/>
  <c r="J110" i="56"/>
  <c r="M110" i="56"/>
  <c r="J109" i="56"/>
  <c r="M109" i="56" s="1"/>
  <c r="J108" i="56"/>
  <c r="M108" i="56" s="1"/>
  <c r="J107" i="56"/>
  <c r="M107" i="56" s="1"/>
  <c r="J106" i="56"/>
  <c r="M106" i="56"/>
  <c r="Z105" i="56"/>
  <c r="J105" i="56"/>
  <c r="M105" i="56"/>
  <c r="X104" i="56"/>
  <c r="S104" i="56"/>
  <c r="U104" i="56"/>
  <c r="J104" i="56"/>
  <c r="M104" i="56"/>
  <c r="X103" i="56"/>
  <c r="S103" i="56"/>
  <c r="U103" i="56"/>
  <c r="J103" i="56"/>
  <c r="M103" i="56" s="1"/>
  <c r="X102" i="56"/>
  <c r="S102" i="56"/>
  <c r="U102" i="56"/>
  <c r="J102" i="56"/>
  <c r="M102" i="56" s="1"/>
  <c r="X101" i="56"/>
  <c r="S101" i="56"/>
  <c r="U101" i="56"/>
  <c r="J101" i="56"/>
  <c r="M101" i="56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/>
  <c r="X95" i="56"/>
  <c r="S95" i="56"/>
  <c r="U95" i="56"/>
  <c r="J95" i="56"/>
  <c r="M95" i="56"/>
  <c r="X94" i="56"/>
  <c r="S94" i="56"/>
  <c r="U94" i="56"/>
  <c r="J94" i="56"/>
  <c r="M94" i="56" s="1"/>
  <c r="X93" i="56"/>
  <c r="S93" i="56"/>
  <c r="U93" i="56" s="1"/>
  <c r="J93" i="56"/>
  <c r="M93" i="56" s="1"/>
  <c r="X92" i="56"/>
  <c r="S92" i="56"/>
  <c r="U92" i="56"/>
  <c r="J92" i="56"/>
  <c r="M92" i="56" s="1"/>
  <c r="X91" i="56"/>
  <c r="S91" i="56"/>
  <c r="U91" i="56" s="1"/>
  <c r="J91" i="56"/>
  <c r="M91" i="56" s="1"/>
  <c r="X90" i="56"/>
  <c r="S90" i="56"/>
  <c r="U90" i="56"/>
  <c r="J90" i="56"/>
  <c r="M90" i="56" s="1"/>
  <c r="X89" i="56"/>
  <c r="S89" i="56"/>
  <c r="U89" i="56" s="1"/>
  <c r="J89" i="56"/>
  <c r="M89" i="56" s="1"/>
  <c r="X88" i="56"/>
  <c r="S88" i="56"/>
  <c r="U88" i="56"/>
  <c r="J88" i="56"/>
  <c r="M88" i="56" s="1"/>
  <c r="X87" i="56"/>
  <c r="S87" i="56"/>
  <c r="U87" i="56"/>
  <c r="J87" i="56"/>
  <c r="M87" i="56"/>
  <c r="X86" i="56"/>
  <c r="S86" i="56"/>
  <c r="U86" i="56" s="1"/>
  <c r="J86" i="56"/>
  <c r="M86" i="56" s="1"/>
  <c r="X85" i="56"/>
  <c r="S85" i="56"/>
  <c r="U85" i="56" s="1"/>
  <c r="J85" i="56"/>
  <c r="M85" i="56"/>
  <c r="X84" i="56"/>
  <c r="S84" i="56"/>
  <c r="U84" i="56"/>
  <c r="J84" i="56"/>
  <c r="M84" i="56" s="1"/>
  <c r="X83" i="56"/>
  <c r="S83" i="56"/>
  <c r="U83" i="56"/>
  <c r="J83" i="56"/>
  <c r="M83" i="56" s="1"/>
  <c r="X82" i="56"/>
  <c r="S82" i="56"/>
  <c r="U82" i="56" s="1"/>
  <c r="M82" i="56"/>
  <c r="J82" i="56"/>
  <c r="X81" i="56"/>
  <c r="S81" i="56"/>
  <c r="U81" i="56"/>
  <c r="J81" i="56"/>
  <c r="M81" i="56" s="1"/>
  <c r="X80" i="56"/>
  <c r="S80" i="56"/>
  <c r="U80" i="56"/>
  <c r="J80" i="56"/>
  <c r="M80" i="56"/>
  <c r="X79" i="56"/>
  <c r="S79" i="56"/>
  <c r="U79" i="56" s="1"/>
  <c r="J79" i="56"/>
  <c r="M79" i="56" s="1"/>
  <c r="X78" i="56"/>
  <c r="S78" i="56"/>
  <c r="U78" i="56"/>
  <c r="J78" i="56"/>
  <c r="M78" i="56"/>
  <c r="X77" i="56"/>
  <c r="S77" i="56"/>
  <c r="U77" i="56" s="1"/>
  <c r="J77" i="56"/>
  <c r="M77" i="56" s="1"/>
  <c r="X76" i="56"/>
  <c r="S76" i="56"/>
  <c r="U76" i="56"/>
  <c r="J76" i="56"/>
  <c r="M76" i="56" s="1"/>
  <c r="X75" i="56"/>
  <c r="S75" i="56"/>
  <c r="U75" i="56"/>
  <c r="J75" i="56"/>
  <c r="M75" i="56" s="1"/>
  <c r="X74" i="56"/>
  <c r="S74" i="56"/>
  <c r="U74" i="56"/>
  <c r="J74" i="56"/>
  <c r="M74" i="56" s="1"/>
  <c r="X73" i="56"/>
  <c r="S73" i="56"/>
  <c r="U73" i="56"/>
  <c r="J73" i="56"/>
  <c r="M73" i="56" s="1"/>
  <c r="X72" i="56"/>
  <c r="S72" i="56"/>
  <c r="U72" i="56"/>
  <c r="J72" i="56"/>
  <c r="M72" i="56"/>
  <c r="X71" i="56"/>
  <c r="S71" i="56"/>
  <c r="U71" i="56" s="1"/>
  <c r="J71" i="56"/>
  <c r="M71" i="56"/>
  <c r="X70" i="56"/>
  <c r="S70" i="56"/>
  <c r="U70" i="56"/>
  <c r="J70" i="56"/>
  <c r="M70" i="56"/>
  <c r="X69" i="56"/>
  <c r="S69" i="56"/>
  <c r="U69" i="56"/>
  <c r="J69" i="56"/>
  <c r="M69" i="56" s="1"/>
  <c r="X68" i="56"/>
  <c r="S68" i="56"/>
  <c r="U68" i="56"/>
  <c r="J68" i="56"/>
  <c r="M68" i="56" s="1"/>
  <c r="X67" i="56"/>
  <c r="S67" i="56"/>
  <c r="U67" i="56"/>
  <c r="J67" i="56"/>
  <c r="M67" i="56" s="1"/>
  <c r="X66" i="56"/>
  <c r="S66" i="56"/>
  <c r="U66" i="56"/>
  <c r="J66" i="56"/>
  <c r="M66" i="56" s="1"/>
  <c r="X65" i="56"/>
  <c r="S65" i="56"/>
  <c r="U65" i="56"/>
  <c r="J65" i="56"/>
  <c r="M65" i="56" s="1"/>
  <c r="X64" i="56"/>
  <c r="S64" i="56"/>
  <c r="U64" i="56"/>
  <c r="J64" i="56"/>
  <c r="M64" i="56"/>
  <c r="X63" i="56"/>
  <c r="S63" i="56"/>
  <c r="U63" i="56" s="1"/>
  <c r="J63" i="56"/>
  <c r="M63" i="56" s="1"/>
  <c r="X62" i="56"/>
  <c r="S62" i="56"/>
  <c r="U62" i="56"/>
  <c r="J62" i="56"/>
  <c r="M62" i="56"/>
  <c r="X61" i="56"/>
  <c r="S61" i="56"/>
  <c r="U61" i="56" s="1"/>
  <c r="J61" i="56"/>
  <c r="M61" i="56" s="1"/>
  <c r="X60" i="56"/>
  <c r="S60" i="56"/>
  <c r="U60" i="56"/>
  <c r="J60" i="56"/>
  <c r="M60" i="56" s="1"/>
  <c r="X59" i="56"/>
  <c r="S59" i="56"/>
  <c r="U59" i="56"/>
  <c r="J59" i="56"/>
  <c r="M59" i="56" s="1"/>
  <c r="X58" i="56"/>
  <c r="S58" i="56"/>
  <c r="U58" i="56"/>
  <c r="J58" i="56"/>
  <c r="M58" i="56" s="1"/>
  <c r="X57" i="56"/>
  <c r="S57" i="56"/>
  <c r="U57" i="56"/>
  <c r="J57" i="56"/>
  <c r="M57" i="56" s="1"/>
  <c r="X56" i="56"/>
  <c r="S56" i="56"/>
  <c r="U56" i="56"/>
  <c r="J56" i="56"/>
  <c r="M56" i="56"/>
  <c r="X55" i="56"/>
  <c r="S55" i="56"/>
  <c r="U55" i="56" s="1"/>
  <c r="J55" i="56"/>
  <c r="M55" i="56"/>
  <c r="X54" i="56"/>
  <c r="S54" i="56"/>
  <c r="U54" i="56"/>
  <c r="J54" i="56"/>
  <c r="M54" i="56"/>
  <c r="X53" i="56"/>
  <c r="S53" i="56"/>
  <c r="U53" i="56"/>
  <c r="J53" i="56"/>
  <c r="M53" i="56" s="1"/>
  <c r="X52" i="56"/>
  <c r="S52" i="56"/>
  <c r="U52" i="56"/>
  <c r="J52" i="56"/>
  <c r="M52" i="56" s="1"/>
  <c r="X51" i="56"/>
  <c r="S51" i="56"/>
  <c r="U51" i="56" s="1"/>
  <c r="J51" i="56"/>
  <c r="M51" i="56" s="1"/>
  <c r="X50" i="56"/>
  <c r="S50" i="56"/>
  <c r="U50" i="56"/>
  <c r="J50" i="56"/>
  <c r="M50" i="56" s="1"/>
  <c r="X49" i="56"/>
  <c r="S49" i="56"/>
  <c r="U49" i="56"/>
  <c r="J49" i="56"/>
  <c r="M49" i="56" s="1"/>
  <c r="X48" i="56"/>
  <c r="S48" i="56"/>
  <c r="U48" i="56"/>
  <c r="J48" i="56"/>
  <c r="M48" i="56"/>
  <c r="X47" i="56"/>
  <c r="S47" i="56"/>
  <c r="U47" i="56" s="1"/>
  <c r="J47" i="56"/>
  <c r="M47" i="56" s="1"/>
  <c r="X46" i="56"/>
  <c r="S46" i="56"/>
  <c r="U46" i="56"/>
  <c r="J46" i="56"/>
  <c r="M46" i="56" s="1"/>
  <c r="X45" i="56"/>
  <c r="S45" i="56"/>
  <c r="U45" i="56"/>
  <c r="J45" i="56"/>
  <c r="M45" i="56" s="1"/>
  <c r="X44" i="56"/>
  <c r="S44" i="56"/>
  <c r="U44" i="56"/>
  <c r="J44" i="56"/>
  <c r="M44" i="56"/>
  <c r="X43" i="56"/>
  <c r="U43" i="56"/>
  <c r="S43" i="56"/>
  <c r="J43" i="56"/>
  <c r="M43" i="56" s="1"/>
  <c r="X42" i="56"/>
  <c r="S42" i="56"/>
  <c r="U42" i="56"/>
  <c r="J42" i="56"/>
  <c r="M42" i="56" s="1"/>
  <c r="X41" i="56"/>
  <c r="S41" i="56"/>
  <c r="U41" i="56" s="1"/>
  <c r="J41" i="56"/>
  <c r="M41" i="56" s="1"/>
  <c r="X40" i="56"/>
  <c r="S40" i="56"/>
  <c r="U40" i="56"/>
  <c r="J40" i="56"/>
  <c r="M40" i="56"/>
  <c r="X39" i="56"/>
  <c r="S39" i="56"/>
  <c r="U39" i="56" s="1"/>
  <c r="J39" i="56"/>
  <c r="M39" i="56"/>
  <c r="X38" i="56"/>
  <c r="S38" i="56"/>
  <c r="U38" i="56" s="1"/>
  <c r="J38" i="56"/>
  <c r="M38" i="56" s="1"/>
  <c r="X37" i="56"/>
  <c r="S37" i="56"/>
  <c r="U37" i="56"/>
  <c r="J37" i="56"/>
  <c r="M37" i="56" s="1"/>
  <c r="X36" i="56"/>
  <c r="S36" i="56"/>
  <c r="U36" i="56"/>
  <c r="J36" i="56"/>
  <c r="M36" i="56"/>
  <c r="X35" i="56"/>
  <c r="S35" i="56"/>
  <c r="U35" i="56"/>
  <c r="J35" i="56"/>
  <c r="M35" i="56" s="1"/>
  <c r="X34" i="56"/>
  <c r="U34" i="56"/>
  <c r="S34" i="56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/>
  <c r="J31" i="56"/>
  <c r="M31" i="56"/>
  <c r="X30" i="56"/>
  <c r="U30" i="56"/>
  <c r="S30" i="56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/>
  <c r="J23" i="56"/>
  <c r="M23" i="56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/>
  <c r="J20" i="56"/>
  <c r="M20" i="56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/>
  <c r="J16" i="56"/>
  <c r="M16" i="56"/>
  <c r="X15" i="56"/>
  <c r="S15" i="56"/>
  <c r="U15" i="56" s="1"/>
  <c r="J15" i="56"/>
  <c r="M15" i="56" s="1"/>
  <c r="X14" i="56"/>
  <c r="S14" i="56"/>
  <c r="U14" i="56"/>
  <c r="J14" i="56"/>
  <c r="M14" i="56" s="1"/>
  <c r="X13" i="56"/>
  <c r="S13" i="56"/>
  <c r="U13" i="56"/>
  <c r="J13" i="56"/>
  <c r="M13" i="56" s="1"/>
  <c r="X12" i="56"/>
  <c r="S12" i="56"/>
  <c r="U12" i="56"/>
  <c r="J12" i="56"/>
  <c r="M12" i="56" s="1"/>
  <c r="X11" i="56"/>
  <c r="S11" i="56"/>
  <c r="U11" i="56"/>
  <c r="J11" i="56"/>
  <c r="M11" i="56" s="1"/>
  <c r="X10" i="56"/>
  <c r="S10" i="56"/>
  <c r="U10" i="56" s="1"/>
  <c r="J10" i="56"/>
  <c r="X9" i="56"/>
  <c r="S9" i="56"/>
  <c r="U9" i="56" s="1"/>
  <c r="J9" i="56"/>
  <c r="M9" i="56" s="1"/>
  <c r="X8" i="56"/>
  <c r="S8" i="56"/>
  <c r="U8" i="56" s="1"/>
  <c r="J8" i="56"/>
  <c r="M8" i="56"/>
  <c r="X7" i="56"/>
  <c r="S7" i="56"/>
  <c r="U7" i="56" s="1"/>
  <c r="J7" i="56"/>
  <c r="M7" i="56" s="1"/>
  <c r="X6" i="56"/>
  <c r="S6" i="56"/>
  <c r="U6" i="56"/>
  <c r="J6" i="56"/>
  <c r="M6" i="56" s="1"/>
  <c r="X5" i="56"/>
  <c r="U5" i="56"/>
  <c r="S5" i="56"/>
  <c r="J5" i="56"/>
  <c r="M5" i="56" s="1"/>
  <c r="K220" i="55"/>
  <c r="K212" i="55"/>
  <c r="N25" i="16" s="1"/>
  <c r="K209" i="55"/>
  <c r="J204" i="55"/>
  <c r="M204" i="55" s="1"/>
  <c r="J203" i="55"/>
  <c r="M203" i="55"/>
  <c r="J202" i="55"/>
  <c r="M202" i="55" s="1"/>
  <c r="J201" i="55"/>
  <c r="M201" i="55" s="1"/>
  <c r="J200" i="55"/>
  <c r="M200" i="55"/>
  <c r="J199" i="55"/>
  <c r="M199" i="55" s="1"/>
  <c r="J198" i="55"/>
  <c r="M198" i="55" s="1"/>
  <c r="J197" i="55"/>
  <c r="M197" i="55"/>
  <c r="J196" i="55"/>
  <c r="M196" i="55"/>
  <c r="J195" i="55"/>
  <c r="M195" i="55" s="1"/>
  <c r="J194" i="55"/>
  <c r="M194" i="55"/>
  <c r="J193" i="55"/>
  <c r="M193" i="55"/>
  <c r="J192" i="55"/>
  <c r="M192" i="55"/>
  <c r="J191" i="55"/>
  <c r="M191" i="55" s="1"/>
  <c r="J190" i="55"/>
  <c r="M190" i="55"/>
  <c r="J189" i="55"/>
  <c r="M189" i="55"/>
  <c r="J188" i="55"/>
  <c r="M188" i="55"/>
  <c r="J187" i="55"/>
  <c r="M187" i="55" s="1"/>
  <c r="J186" i="55"/>
  <c r="M186" i="55"/>
  <c r="J185" i="55"/>
  <c r="M185" i="55"/>
  <c r="J184" i="55"/>
  <c r="M184" i="55"/>
  <c r="J183" i="55"/>
  <c r="M183" i="55" s="1"/>
  <c r="J182" i="55"/>
  <c r="M182" i="55" s="1"/>
  <c r="J181" i="55"/>
  <c r="M181" i="55"/>
  <c r="J180" i="55"/>
  <c r="M180" i="55"/>
  <c r="J179" i="55"/>
  <c r="M179" i="55" s="1"/>
  <c r="J178" i="55"/>
  <c r="M178" i="55"/>
  <c r="J177" i="55"/>
  <c r="M177" i="55"/>
  <c r="J176" i="55"/>
  <c r="M176" i="55"/>
  <c r="J175" i="55"/>
  <c r="M175" i="55" s="1"/>
  <c r="J174" i="55"/>
  <c r="M174" i="55" s="1"/>
  <c r="J173" i="55"/>
  <c r="M173" i="55"/>
  <c r="J172" i="55"/>
  <c r="M172" i="55"/>
  <c r="J171" i="55"/>
  <c r="M171" i="55" s="1"/>
  <c r="J170" i="55"/>
  <c r="M170" i="55" s="1"/>
  <c r="J169" i="55"/>
  <c r="M169" i="55" s="1"/>
  <c r="J168" i="55"/>
  <c r="M168" i="55"/>
  <c r="J167" i="55"/>
  <c r="M167" i="55"/>
  <c r="J166" i="55"/>
  <c r="M166" i="55" s="1"/>
  <c r="J165" i="55"/>
  <c r="M165" i="55"/>
  <c r="J164" i="55"/>
  <c r="M164" i="55" s="1"/>
  <c r="J163" i="55"/>
  <c r="M163" i="55" s="1"/>
  <c r="J162" i="55"/>
  <c r="M162" i="55" s="1"/>
  <c r="J161" i="55"/>
  <c r="M161" i="55"/>
  <c r="J160" i="55"/>
  <c r="M160" i="55" s="1"/>
  <c r="J159" i="55"/>
  <c r="M159" i="55"/>
  <c r="J158" i="55"/>
  <c r="M158" i="55" s="1"/>
  <c r="J157" i="55"/>
  <c r="M157" i="55"/>
  <c r="J156" i="55"/>
  <c r="M156" i="55"/>
  <c r="J155" i="55"/>
  <c r="M155" i="55" s="1"/>
  <c r="J154" i="55"/>
  <c r="M154" i="55" s="1"/>
  <c r="J153" i="55"/>
  <c r="M153" i="55"/>
  <c r="J152" i="55"/>
  <c r="M152" i="55"/>
  <c r="J151" i="55"/>
  <c r="M151" i="55"/>
  <c r="J150" i="55"/>
  <c r="M150" i="55" s="1"/>
  <c r="J149" i="55"/>
  <c r="M149" i="55" s="1"/>
  <c r="J148" i="55"/>
  <c r="M148" i="55" s="1"/>
  <c r="J147" i="55"/>
  <c r="M147" i="55"/>
  <c r="J146" i="55"/>
  <c r="M146" i="55" s="1"/>
  <c r="J145" i="55"/>
  <c r="M145" i="55"/>
  <c r="J144" i="55"/>
  <c r="M144" i="55"/>
  <c r="J143" i="55"/>
  <c r="M143" i="55" s="1"/>
  <c r="J142" i="55"/>
  <c r="M142" i="55" s="1"/>
  <c r="J141" i="55"/>
  <c r="M141" i="55" s="1"/>
  <c r="J140" i="55"/>
  <c r="M140" i="55" s="1"/>
  <c r="J139" i="55"/>
  <c r="M139" i="55"/>
  <c r="J138" i="55"/>
  <c r="M138" i="55" s="1"/>
  <c r="J137" i="55"/>
  <c r="M137" i="55" s="1"/>
  <c r="J136" i="55"/>
  <c r="M136" i="55"/>
  <c r="J135" i="55"/>
  <c r="M135" i="55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/>
  <c r="J127" i="55"/>
  <c r="M127" i="55"/>
  <c r="J126" i="55"/>
  <c r="M126" i="55" s="1"/>
  <c r="J125" i="55"/>
  <c r="M125" i="55" s="1"/>
  <c r="J124" i="55"/>
  <c r="M124" i="55" s="1"/>
  <c r="J123" i="55"/>
  <c r="M123" i="55"/>
  <c r="J122" i="55"/>
  <c r="M122" i="55" s="1"/>
  <c r="J121" i="55"/>
  <c r="M121" i="55" s="1"/>
  <c r="J120" i="55"/>
  <c r="M120" i="55"/>
  <c r="J119" i="55"/>
  <c r="M119" i="55" s="1"/>
  <c r="J118" i="55"/>
  <c r="M118" i="55" s="1"/>
  <c r="J117" i="55"/>
  <c r="M117" i="55"/>
  <c r="J116" i="55"/>
  <c r="M116" i="55"/>
  <c r="J115" i="55"/>
  <c r="M115" i="55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/>
  <c r="J108" i="55"/>
  <c r="M108" i="55"/>
  <c r="J107" i="55"/>
  <c r="M107" i="55"/>
  <c r="J106" i="55"/>
  <c r="M106" i="55" s="1"/>
  <c r="Z105" i="55"/>
  <c r="J105" i="55"/>
  <c r="M105" i="55" s="1"/>
  <c r="X104" i="55"/>
  <c r="S104" i="55"/>
  <c r="U104" i="55"/>
  <c r="J104" i="55"/>
  <c r="M104" i="55" s="1"/>
  <c r="X103" i="55"/>
  <c r="S103" i="55"/>
  <c r="U103" i="55"/>
  <c r="J103" i="55"/>
  <c r="M103" i="55" s="1"/>
  <c r="X102" i="55"/>
  <c r="S102" i="55"/>
  <c r="U102" i="55"/>
  <c r="J102" i="55"/>
  <c r="M102" i="55"/>
  <c r="X101" i="55"/>
  <c r="S101" i="55"/>
  <c r="U101" i="55"/>
  <c r="J101" i="55"/>
  <c r="M101" i="55" s="1"/>
  <c r="X100" i="55"/>
  <c r="S100" i="55"/>
  <c r="U100" i="55" s="1"/>
  <c r="J100" i="55"/>
  <c r="M100" i="55" s="1"/>
  <c r="X99" i="55"/>
  <c r="S99" i="55"/>
  <c r="U99" i="55"/>
  <c r="J99" i="55"/>
  <c r="M99" i="55" s="1"/>
  <c r="X98" i="55"/>
  <c r="S98" i="55"/>
  <c r="U98" i="55" s="1"/>
  <c r="J98" i="55"/>
  <c r="M98" i="55" s="1"/>
  <c r="X97" i="55"/>
  <c r="S97" i="55"/>
  <c r="U97" i="55"/>
  <c r="J97" i="55"/>
  <c r="M97" i="55" s="1"/>
  <c r="X96" i="55"/>
  <c r="S96" i="55"/>
  <c r="U96" i="55"/>
  <c r="J96" i="55"/>
  <c r="M96" i="55" s="1"/>
  <c r="X95" i="55"/>
  <c r="S95" i="55"/>
  <c r="U95" i="55"/>
  <c r="J95" i="55"/>
  <c r="M95" i="55" s="1"/>
  <c r="X94" i="55"/>
  <c r="S94" i="55"/>
  <c r="U94" i="55"/>
  <c r="J94" i="55"/>
  <c r="M94" i="55" s="1"/>
  <c r="X93" i="55"/>
  <c r="S93" i="55"/>
  <c r="U93" i="55" s="1"/>
  <c r="J93" i="55"/>
  <c r="M93" i="55" s="1"/>
  <c r="X92" i="55"/>
  <c r="S92" i="55"/>
  <c r="U92" i="55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/>
  <c r="X86" i="55"/>
  <c r="S86" i="55"/>
  <c r="U86" i="55" s="1"/>
  <c r="J86" i="55"/>
  <c r="M86" i="55" s="1"/>
  <c r="X85" i="55"/>
  <c r="S85" i="55"/>
  <c r="U85" i="55"/>
  <c r="J85" i="55"/>
  <c r="M85" i="55" s="1"/>
  <c r="X84" i="55"/>
  <c r="S84" i="55"/>
  <c r="U84" i="55" s="1"/>
  <c r="J84" i="55"/>
  <c r="M84" i="55" s="1"/>
  <c r="X83" i="55"/>
  <c r="S83" i="55"/>
  <c r="U83" i="55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/>
  <c r="J79" i="55"/>
  <c r="M79" i="55"/>
  <c r="X78" i="55"/>
  <c r="S78" i="55"/>
  <c r="U78" i="55"/>
  <c r="J78" i="55"/>
  <c r="M78" i="55"/>
  <c r="X77" i="55"/>
  <c r="S77" i="55"/>
  <c r="U77" i="55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/>
  <c r="J74" i="55"/>
  <c r="M74" i="55" s="1"/>
  <c r="X73" i="55"/>
  <c r="S73" i="55"/>
  <c r="U73" i="55" s="1"/>
  <c r="J73" i="55"/>
  <c r="M73" i="55" s="1"/>
  <c r="X72" i="55"/>
  <c r="S72" i="55"/>
  <c r="U72" i="55"/>
  <c r="J72" i="55"/>
  <c r="M72" i="55" s="1"/>
  <c r="X71" i="55"/>
  <c r="S71" i="55"/>
  <c r="U71" i="55" s="1"/>
  <c r="J71" i="55"/>
  <c r="M71" i="55" s="1"/>
  <c r="X70" i="55"/>
  <c r="S70" i="55"/>
  <c r="U70" i="55"/>
  <c r="J70" i="55"/>
  <c r="M70" i="55" s="1"/>
  <c r="X69" i="55"/>
  <c r="S69" i="55"/>
  <c r="U69" i="55" s="1"/>
  <c r="J69" i="55"/>
  <c r="M69" i="55" s="1"/>
  <c r="X68" i="55"/>
  <c r="S68" i="55"/>
  <c r="U68" i="55"/>
  <c r="J68" i="55"/>
  <c r="M68" i="55" s="1"/>
  <c r="X67" i="55"/>
  <c r="S67" i="55"/>
  <c r="U67" i="55" s="1"/>
  <c r="J67" i="55"/>
  <c r="M67" i="55" s="1"/>
  <c r="X66" i="55"/>
  <c r="S66" i="55"/>
  <c r="U66" i="55"/>
  <c r="J66" i="55"/>
  <c r="M66" i="55"/>
  <c r="X65" i="55"/>
  <c r="S65" i="55"/>
  <c r="U65" i="55"/>
  <c r="J65" i="55"/>
  <c r="M65" i="55" s="1"/>
  <c r="X64" i="55"/>
  <c r="S64" i="55"/>
  <c r="U64" i="55"/>
  <c r="J64" i="55"/>
  <c r="M64" i="55" s="1"/>
  <c r="X63" i="55"/>
  <c r="S63" i="55"/>
  <c r="U63" i="55"/>
  <c r="J63" i="55"/>
  <c r="M63" i="55" s="1"/>
  <c r="X62" i="55"/>
  <c r="S62" i="55"/>
  <c r="U62" i="55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/>
  <c r="X59" i="55"/>
  <c r="S59" i="55"/>
  <c r="U59" i="55" s="1"/>
  <c r="J59" i="55"/>
  <c r="M59" i="55" s="1"/>
  <c r="X58" i="55"/>
  <c r="S58" i="55"/>
  <c r="U58" i="55" s="1"/>
  <c r="J58" i="55"/>
  <c r="M58" i="55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/>
  <c r="J55" i="55"/>
  <c r="M55" i="55" s="1"/>
  <c r="X54" i="55"/>
  <c r="S54" i="55"/>
  <c r="U54" i="55"/>
  <c r="J54" i="55"/>
  <c r="M54" i="55" s="1"/>
  <c r="X53" i="55"/>
  <c r="S53" i="55"/>
  <c r="U53" i="55" s="1"/>
  <c r="J53" i="55"/>
  <c r="M53" i="55" s="1"/>
  <c r="X52" i="55"/>
  <c r="S52" i="55"/>
  <c r="U52" i="55"/>
  <c r="J52" i="55"/>
  <c r="M52" i="55" s="1"/>
  <c r="X51" i="55"/>
  <c r="S51" i="55"/>
  <c r="U51" i="55" s="1"/>
  <c r="J51" i="55"/>
  <c r="M51" i="55" s="1"/>
  <c r="X50" i="55"/>
  <c r="S50" i="55"/>
  <c r="U50" i="55"/>
  <c r="J50" i="55"/>
  <c r="M50" i="55"/>
  <c r="X49" i="55"/>
  <c r="S49" i="55"/>
  <c r="U49" i="55" s="1"/>
  <c r="J49" i="55"/>
  <c r="M49" i="55" s="1"/>
  <c r="X48" i="55"/>
  <c r="S48" i="55"/>
  <c r="U48" i="55"/>
  <c r="J48" i="55"/>
  <c r="M48" i="55" s="1"/>
  <c r="X47" i="55"/>
  <c r="S47" i="55"/>
  <c r="U47" i="55" s="1"/>
  <c r="J47" i="55"/>
  <c r="M47" i="55" s="1"/>
  <c r="X46" i="55"/>
  <c r="S46" i="55"/>
  <c r="U46" i="55"/>
  <c r="J46" i="55"/>
  <c r="M46" i="55" s="1"/>
  <c r="X45" i="55"/>
  <c r="S45" i="55"/>
  <c r="U45" i="55"/>
  <c r="J45" i="55"/>
  <c r="M45" i="55" s="1"/>
  <c r="X44" i="55"/>
  <c r="U44" i="55"/>
  <c r="S44" i="55"/>
  <c r="J44" i="55"/>
  <c r="M44" i="55"/>
  <c r="X43" i="55"/>
  <c r="S43" i="55"/>
  <c r="U43" i="55" s="1"/>
  <c r="J43" i="55"/>
  <c r="M43" i="55" s="1"/>
  <c r="X42" i="55"/>
  <c r="S42" i="55"/>
  <c r="U42" i="55"/>
  <c r="J42" i="55"/>
  <c r="M42" i="55"/>
  <c r="X41" i="55"/>
  <c r="S41" i="55"/>
  <c r="U41" i="55" s="1"/>
  <c r="J41" i="55"/>
  <c r="M41" i="55" s="1"/>
  <c r="X40" i="55"/>
  <c r="S40" i="55"/>
  <c r="U40" i="55"/>
  <c r="J40" i="55"/>
  <c r="M40" i="55" s="1"/>
  <c r="X39" i="55"/>
  <c r="S39" i="55"/>
  <c r="U39" i="55" s="1"/>
  <c r="J39" i="55"/>
  <c r="M39" i="55" s="1"/>
  <c r="X38" i="55"/>
  <c r="S38" i="55"/>
  <c r="U38" i="55"/>
  <c r="J38" i="55"/>
  <c r="M38" i="55"/>
  <c r="X37" i="55"/>
  <c r="S37" i="55"/>
  <c r="U37" i="55" s="1"/>
  <c r="J37" i="55"/>
  <c r="M37" i="55" s="1"/>
  <c r="X36" i="55"/>
  <c r="S36" i="55"/>
  <c r="U36" i="55" s="1"/>
  <c r="J36" i="55"/>
  <c r="M36" i="55"/>
  <c r="X35" i="55"/>
  <c r="S35" i="55"/>
  <c r="U35" i="55" s="1"/>
  <c r="J35" i="55"/>
  <c r="M35" i="55"/>
  <c r="X34" i="55"/>
  <c r="S34" i="55"/>
  <c r="U34" i="55"/>
  <c r="J34" i="55"/>
  <c r="M34" i="55"/>
  <c r="X33" i="55"/>
  <c r="S33" i="55"/>
  <c r="U33" i="55"/>
  <c r="J33" i="55"/>
  <c r="M33" i="55" s="1"/>
  <c r="X32" i="55"/>
  <c r="S32" i="55"/>
  <c r="U32" i="55" s="1"/>
  <c r="J32" i="55"/>
  <c r="M32" i="55" s="1"/>
  <c r="X31" i="55"/>
  <c r="S31" i="55"/>
  <c r="U31" i="55"/>
  <c r="J31" i="55"/>
  <c r="M31" i="55"/>
  <c r="X30" i="55"/>
  <c r="S30" i="55"/>
  <c r="U30" i="55"/>
  <c r="J30" i="55"/>
  <c r="M30" i="55"/>
  <c r="X29" i="55"/>
  <c r="S29" i="55"/>
  <c r="U29" i="55"/>
  <c r="J29" i="55"/>
  <c r="M29" i="55" s="1"/>
  <c r="X28" i="55"/>
  <c r="S28" i="55"/>
  <c r="U28" i="55" s="1"/>
  <c r="J28" i="55"/>
  <c r="M28" i="55" s="1"/>
  <c r="X27" i="55"/>
  <c r="S27" i="55"/>
  <c r="U27" i="55"/>
  <c r="J27" i="55"/>
  <c r="M27" i="55"/>
  <c r="X26" i="55"/>
  <c r="S26" i="55"/>
  <c r="U26" i="55" s="1"/>
  <c r="J26" i="55"/>
  <c r="M26" i="55"/>
  <c r="X25" i="55"/>
  <c r="S25" i="55"/>
  <c r="U25" i="55"/>
  <c r="J25" i="55"/>
  <c r="M25" i="55" s="1"/>
  <c r="X24" i="55"/>
  <c r="S24" i="55"/>
  <c r="U24" i="55"/>
  <c r="J24" i="55"/>
  <c r="M24" i="55" s="1"/>
  <c r="X23" i="55"/>
  <c r="S23" i="55"/>
  <c r="U23" i="55"/>
  <c r="J23" i="55"/>
  <c r="M23" i="55"/>
  <c r="X22" i="55"/>
  <c r="S22" i="55"/>
  <c r="U22" i="55"/>
  <c r="J22" i="55"/>
  <c r="M22" i="55" s="1"/>
  <c r="X21" i="55"/>
  <c r="S21" i="55"/>
  <c r="U21" i="55"/>
  <c r="J21" i="55"/>
  <c r="M21" i="55" s="1"/>
  <c r="X20" i="55"/>
  <c r="S20" i="55"/>
  <c r="U20" i="55"/>
  <c r="J20" i="55"/>
  <c r="M20" i="55" s="1"/>
  <c r="X19" i="55"/>
  <c r="S19" i="55"/>
  <c r="U19" i="55"/>
  <c r="J19" i="55"/>
  <c r="M19" i="55" s="1"/>
  <c r="X18" i="55"/>
  <c r="S18" i="55"/>
  <c r="U18" i="55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/>
  <c r="J15" i="55"/>
  <c r="M15" i="55"/>
  <c r="X14" i="55"/>
  <c r="U14" i="55"/>
  <c r="S14" i="55"/>
  <c r="J14" i="55"/>
  <c r="M14" i="55" s="1"/>
  <c r="X13" i="55"/>
  <c r="S13" i="55"/>
  <c r="U13" i="55" s="1"/>
  <c r="J13" i="55"/>
  <c r="M13" i="55" s="1"/>
  <c r="X12" i="55"/>
  <c r="S12" i="55"/>
  <c r="U12" i="55"/>
  <c r="J12" i="55"/>
  <c r="M12" i="55"/>
  <c r="X11" i="55"/>
  <c r="S11" i="55"/>
  <c r="U11" i="55" s="1"/>
  <c r="J11" i="55"/>
  <c r="M11" i="55" s="1"/>
  <c r="X10" i="55"/>
  <c r="S10" i="55"/>
  <c r="U10" i="55"/>
  <c r="J10" i="55"/>
  <c r="M10" i="55"/>
  <c r="X9" i="55"/>
  <c r="S9" i="55"/>
  <c r="U9" i="55" s="1"/>
  <c r="J9" i="55"/>
  <c r="M9" i="55" s="1"/>
  <c r="X8" i="55"/>
  <c r="S8" i="55"/>
  <c r="U8" i="55"/>
  <c r="J8" i="55"/>
  <c r="M8" i="55"/>
  <c r="X7" i="55"/>
  <c r="S7" i="55"/>
  <c r="U7" i="55"/>
  <c r="J7" i="55"/>
  <c r="M7" i="55"/>
  <c r="X6" i="55"/>
  <c r="S6" i="55"/>
  <c r="U6" i="55" s="1"/>
  <c r="J6" i="55"/>
  <c r="M6" i="55" s="1"/>
  <c r="X5" i="55"/>
  <c r="S5" i="55"/>
  <c r="U5" i="55"/>
  <c r="J5" i="55"/>
  <c r="M5" i="55" s="1"/>
  <c r="K219" i="55"/>
  <c r="R25" i="16"/>
  <c r="J206" i="65"/>
  <c r="K219" i="65"/>
  <c r="R34" i="16"/>
  <c r="K219" i="64"/>
  <c r="R33" i="16"/>
  <c r="K219" i="66"/>
  <c r="R35" i="16"/>
  <c r="M168" i="62"/>
  <c r="R29" i="16"/>
  <c r="M60" i="60"/>
  <c r="M34" i="60"/>
  <c r="R27" i="16"/>
  <c r="M35" i="58"/>
  <c r="R26" i="16"/>
  <c r="M5" i="66"/>
  <c r="M5" i="65"/>
  <c r="X107" i="62"/>
  <c r="J206" i="62" s="1"/>
  <c r="M5" i="62"/>
  <c r="T24" i="16"/>
  <c r="Q24" i="16"/>
  <c r="P24" i="16"/>
  <c r="O24" i="16"/>
  <c r="T23" i="16"/>
  <c r="Q23" i="16"/>
  <c r="P23" i="16"/>
  <c r="O23" i="16"/>
  <c r="T22" i="16"/>
  <c r="Q22" i="16"/>
  <c r="P22" i="16"/>
  <c r="O22" i="16"/>
  <c r="K220" i="54"/>
  <c r="K212" i="54"/>
  <c r="N24" i="16" s="1"/>
  <c r="K209" i="54"/>
  <c r="K219" i="54"/>
  <c r="J204" i="54"/>
  <c r="M204" i="54"/>
  <c r="J203" i="54"/>
  <c r="M203" i="54" s="1"/>
  <c r="J202" i="54"/>
  <c r="M202" i="54" s="1"/>
  <c r="J201" i="54"/>
  <c r="M201" i="54" s="1"/>
  <c r="J200" i="54"/>
  <c r="M200" i="54" s="1"/>
  <c r="J199" i="54"/>
  <c r="M199" i="54"/>
  <c r="J198" i="54"/>
  <c r="M198" i="54"/>
  <c r="J197" i="54"/>
  <c r="M197" i="54" s="1"/>
  <c r="J196" i="54"/>
  <c r="M196" i="54" s="1"/>
  <c r="J195" i="54"/>
  <c r="M195" i="54"/>
  <c r="J194" i="54"/>
  <c r="M194" i="54"/>
  <c r="J193" i="54"/>
  <c r="M193" i="54" s="1"/>
  <c r="J192" i="54"/>
  <c r="M192" i="54" s="1"/>
  <c r="J191" i="54"/>
  <c r="M191" i="54" s="1"/>
  <c r="J190" i="54"/>
  <c r="M190" i="54"/>
  <c r="J189" i="54"/>
  <c r="M189" i="54" s="1"/>
  <c r="J188" i="54"/>
  <c r="M188" i="54" s="1"/>
  <c r="J187" i="54"/>
  <c r="M187" i="54"/>
  <c r="J186" i="54"/>
  <c r="M186" i="54" s="1"/>
  <c r="J185" i="54"/>
  <c r="M185" i="54" s="1"/>
  <c r="J184" i="54"/>
  <c r="M184" i="54"/>
  <c r="J183" i="54"/>
  <c r="M183" i="54"/>
  <c r="J182" i="54"/>
  <c r="M182" i="54"/>
  <c r="J181" i="54"/>
  <c r="M181" i="54"/>
  <c r="J180" i="54"/>
  <c r="M180" i="54" s="1"/>
  <c r="J179" i="54"/>
  <c r="M179" i="54"/>
  <c r="J178" i="54"/>
  <c r="M178" i="54"/>
  <c r="J177" i="54"/>
  <c r="M177" i="54" s="1"/>
  <c r="J176" i="54"/>
  <c r="M176" i="54"/>
  <c r="J175" i="54"/>
  <c r="M175" i="54"/>
  <c r="J174" i="54"/>
  <c r="M174" i="54" s="1"/>
  <c r="J173" i="54"/>
  <c r="M173" i="54" s="1"/>
  <c r="J172" i="54"/>
  <c r="M172" i="54"/>
  <c r="J171" i="54"/>
  <c r="M171" i="54" s="1"/>
  <c r="J170" i="54"/>
  <c r="M170" i="54"/>
  <c r="J169" i="54"/>
  <c r="M169" i="54" s="1"/>
  <c r="J168" i="54"/>
  <c r="M168" i="54"/>
  <c r="J167" i="54"/>
  <c r="M167" i="54"/>
  <c r="J166" i="54"/>
  <c r="M166" i="54"/>
  <c r="J165" i="54"/>
  <c r="M165" i="54" s="1"/>
  <c r="J164" i="54"/>
  <c r="M164" i="54" s="1"/>
  <c r="J163" i="54"/>
  <c r="M163" i="54" s="1"/>
  <c r="J162" i="54"/>
  <c r="M162" i="54"/>
  <c r="J161" i="54"/>
  <c r="M161" i="54" s="1"/>
  <c r="J160" i="54"/>
  <c r="M160" i="54"/>
  <c r="J159" i="54"/>
  <c r="M159" i="54" s="1"/>
  <c r="J158" i="54"/>
  <c r="M158" i="54"/>
  <c r="J157" i="54"/>
  <c r="M157" i="54" s="1"/>
  <c r="J156" i="54"/>
  <c r="M156" i="54"/>
  <c r="J155" i="54"/>
  <c r="M155" i="54" s="1"/>
  <c r="J154" i="54"/>
  <c r="M154" i="54" s="1"/>
  <c r="J153" i="54"/>
  <c r="M153" i="54" s="1"/>
  <c r="J152" i="54"/>
  <c r="M152" i="54"/>
  <c r="J151" i="54"/>
  <c r="M151" i="54"/>
  <c r="J150" i="54"/>
  <c r="M150" i="54" s="1"/>
  <c r="J149" i="54"/>
  <c r="M149" i="54" s="1"/>
  <c r="J148" i="54"/>
  <c r="M148" i="54" s="1"/>
  <c r="J147" i="54"/>
  <c r="M147" i="54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/>
  <c r="J139" i="54"/>
  <c r="M139" i="54"/>
  <c r="J138" i="54"/>
  <c r="M138" i="54" s="1"/>
  <c r="J137" i="54"/>
  <c r="M137" i="54" s="1"/>
  <c r="J136" i="54"/>
  <c r="M136" i="54"/>
  <c r="J135" i="54"/>
  <c r="M135" i="54"/>
  <c r="J134" i="54"/>
  <c r="M134" i="54" s="1"/>
  <c r="J133" i="54"/>
  <c r="M133" i="54" s="1"/>
  <c r="J132" i="54"/>
  <c r="M132" i="54"/>
  <c r="J131" i="54"/>
  <c r="M131" i="54" s="1"/>
  <c r="J130" i="54"/>
  <c r="M130" i="54" s="1"/>
  <c r="J129" i="54"/>
  <c r="M129" i="54" s="1"/>
  <c r="J128" i="54"/>
  <c r="M128" i="54" s="1"/>
  <c r="J127" i="54"/>
  <c r="M127" i="54"/>
  <c r="J126" i="54"/>
  <c r="M126" i="54" s="1"/>
  <c r="J125" i="54"/>
  <c r="M125" i="54" s="1"/>
  <c r="J124" i="54"/>
  <c r="M124" i="54"/>
  <c r="J123" i="54"/>
  <c r="M123" i="54"/>
  <c r="J122" i="54"/>
  <c r="M122" i="54" s="1"/>
  <c r="J121" i="54"/>
  <c r="M121" i="54" s="1"/>
  <c r="J120" i="54"/>
  <c r="M120" i="54"/>
  <c r="J119" i="54"/>
  <c r="M119" i="54"/>
  <c r="J118" i="54"/>
  <c r="M118" i="54" s="1"/>
  <c r="J117" i="54"/>
  <c r="M117" i="54" s="1"/>
  <c r="J116" i="54"/>
  <c r="M116" i="54"/>
  <c r="J115" i="54"/>
  <c r="M115" i="54"/>
  <c r="J114" i="54"/>
  <c r="M114" i="54" s="1"/>
  <c r="J113" i="54"/>
  <c r="M113" i="54" s="1"/>
  <c r="J112" i="54"/>
  <c r="M112" i="54"/>
  <c r="J111" i="54"/>
  <c r="M111" i="54"/>
  <c r="J110" i="54"/>
  <c r="M110" i="54" s="1"/>
  <c r="J109" i="54"/>
  <c r="M109" i="54" s="1"/>
  <c r="J108" i="54"/>
  <c r="M108" i="54" s="1"/>
  <c r="J107" i="54"/>
  <c r="M107" i="54"/>
  <c r="J106" i="54"/>
  <c r="M106" i="54" s="1"/>
  <c r="Z105" i="54"/>
  <c r="J105" i="54"/>
  <c r="M105" i="54" s="1"/>
  <c r="X104" i="54"/>
  <c r="S104" i="54"/>
  <c r="U104" i="54"/>
  <c r="J104" i="54"/>
  <c r="M104" i="54" s="1"/>
  <c r="X103" i="54"/>
  <c r="S103" i="54"/>
  <c r="U103" i="54"/>
  <c r="J103" i="54"/>
  <c r="X102" i="54"/>
  <c r="S102" i="54"/>
  <c r="U102" i="54"/>
  <c r="J102" i="54"/>
  <c r="M102" i="54" s="1"/>
  <c r="X101" i="54"/>
  <c r="S101" i="54"/>
  <c r="U101" i="54"/>
  <c r="J101" i="54"/>
  <c r="M101" i="54" s="1"/>
  <c r="X100" i="54"/>
  <c r="S100" i="54"/>
  <c r="U100" i="54"/>
  <c r="J100" i="54"/>
  <c r="M100" i="54"/>
  <c r="X99" i="54"/>
  <c r="S99" i="54"/>
  <c r="U99" i="54"/>
  <c r="J99" i="54"/>
  <c r="M99" i="54" s="1"/>
  <c r="X98" i="54"/>
  <c r="S98" i="54"/>
  <c r="U98" i="54"/>
  <c r="J98" i="54"/>
  <c r="M98" i="54"/>
  <c r="X97" i="54"/>
  <c r="S97" i="54"/>
  <c r="U97" i="54" s="1"/>
  <c r="J97" i="54"/>
  <c r="M97" i="54" s="1"/>
  <c r="X96" i="54"/>
  <c r="S96" i="54"/>
  <c r="U96" i="54"/>
  <c r="J96" i="54"/>
  <c r="M96" i="54" s="1"/>
  <c r="X95" i="54"/>
  <c r="S95" i="54"/>
  <c r="U95" i="54" s="1"/>
  <c r="J95" i="54"/>
  <c r="M95" i="54" s="1"/>
  <c r="X94" i="54"/>
  <c r="S94" i="54"/>
  <c r="U94" i="54"/>
  <c r="J94" i="54"/>
  <c r="M94" i="54" s="1"/>
  <c r="X93" i="54"/>
  <c r="S93" i="54"/>
  <c r="U93" i="54" s="1"/>
  <c r="J93" i="54"/>
  <c r="M93" i="54" s="1"/>
  <c r="X92" i="54"/>
  <c r="S92" i="54"/>
  <c r="U92" i="54"/>
  <c r="J92" i="54"/>
  <c r="M92" i="54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 s="1"/>
  <c r="J87" i="54"/>
  <c r="M87" i="54" s="1"/>
  <c r="X86" i="54"/>
  <c r="S86" i="54"/>
  <c r="U86" i="54" s="1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/>
  <c r="X83" i="54"/>
  <c r="S83" i="54"/>
  <c r="U83" i="54" s="1"/>
  <c r="J83" i="54"/>
  <c r="M83" i="54" s="1"/>
  <c r="X82" i="54"/>
  <c r="S82" i="54"/>
  <c r="U82" i="54"/>
  <c r="J82" i="54"/>
  <c r="M82" i="54"/>
  <c r="X81" i="54"/>
  <c r="S81" i="54"/>
  <c r="U81" i="54" s="1"/>
  <c r="J81" i="54"/>
  <c r="M81" i="54" s="1"/>
  <c r="X80" i="54"/>
  <c r="S80" i="54"/>
  <c r="U80" i="54"/>
  <c r="J80" i="54"/>
  <c r="M80" i="54" s="1"/>
  <c r="X79" i="54"/>
  <c r="S79" i="54"/>
  <c r="U79" i="54"/>
  <c r="J79" i="54"/>
  <c r="M79" i="54" s="1"/>
  <c r="X78" i="54"/>
  <c r="S78" i="54"/>
  <c r="U78" i="54"/>
  <c r="J78" i="54"/>
  <c r="M78" i="54" s="1"/>
  <c r="X77" i="54"/>
  <c r="S77" i="54"/>
  <c r="U77" i="54"/>
  <c r="J77" i="54"/>
  <c r="M77" i="54" s="1"/>
  <c r="X76" i="54"/>
  <c r="S76" i="54"/>
  <c r="U76" i="54"/>
  <c r="J76" i="54"/>
  <c r="M76" i="54"/>
  <c r="X75" i="54"/>
  <c r="S75" i="54"/>
  <c r="U75" i="54" s="1"/>
  <c r="J75" i="54"/>
  <c r="M75" i="54" s="1"/>
  <c r="X74" i="54"/>
  <c r="S74" i="54"/>
  <c r="U74" i="54" s="1"/>
  <c r="J74" i="54"/>
  <c r="M74" i="54" s="1"/>
  <c r="X73" i="54"/>
  <c r="S73" i="54"/>
  <c r="U73" i="54"/>
  <c r="J73" i="54"/>
  <c r="M73" i="54" s="1"/>
  <c r="X72" i="54"/>
  <c r="S72" i="54"/>
  <c r="U72" i="54" s="1"/>
  <c r="J72" i="54"/>
  <c r="M72" i="54" s="1"/>
  <c r="X71" i="54"/>
  <c r="S71" i="54"/>
  <c r="U71" i="54"/>
  <c r="J71" i="54"/>
  <c r="M71" i="54" s="1"/>
  <c r="X70" i="54"/>
  <c r="S70" i="54"/>
  <c r="U70" i="54" s="1"/>
  <c r="J70" i="54"/>
  <c r="M70" i="54" s="1"/>
  <c r="X69" i="54"/>
  <c r="S69" i="54"/>
  <c r="U69" i="54"/>
  <c r="J69" i="54"/>
  <c r="M69" i="54" s="1"/>
  <c r="X68" i="54"/>
  <c r="S68" i="54"/>
  <c r="U68" i="54"/>
  <c r="J68" i="54"/>
  <c r="M68" i="54"/>
  <c r="X67" i="54"/>
  <c r="S67" i="54"/>
  <c r="U67" i="54"/>
  <c r="J67" i="54"/>
  <c r="M67" i="54" s="1"/>
  <c r="X66" i="54"/>
  <c r="S66" i="54"/>
  <c r="U66" i="54" s="1"/>
  <c r="J66" i="54"/>
  <c r="M66" i="54" s="1"/>
  <c r="X65" i="54"/>
  <c r="S65" i="54"/>
  <c r="U65" i="54"/>
  <c r="J65" i="54"/>
  <c r="M65" i="54"/>
  <c r="X64" i="54"/>
  <c r="S64" i="54"/>
  <c r="U64" i="54" s="1"/>
  <c r="J64" i="54"/>
  <c r="M64" i="54" s="1"/>
  <c r="X63" i="54"/>
  <c r="S63" i="54"/>
  <c r="U63" i="54"/>
  <c r="J63" i="54"/>
  <c r="M63" i="54" s="1"/>
  <c r="X62" i="54"/>
  <c r="S62" i="54"/>
  <c r="U62" i="54"/>
  <c r="J62" i="54"/>
  <c r="M62" i="54" s="1"/>
  <c r="X61" i="54"/>
  <c r="S61" i="54"/>
  <c r="U61" i="54" s="1"/>
  <c r="J61" i="54"/>
  <c r="M61" i="54" s="1"/>
  <c r="X60" i="54"/>
  <c r="S60" i="54"/>
  <c r="U60" i="54"/>
  <c r="J60" i="54"/>
  <c r="M60" i="54" s="1"/>
  <c r="X59" i="54"/>
  <c r="S59" i="54"/>
  <c r="U59" i="54" s="1"/>
  <c r="J59" i="54"/>
  <c r="M59" i="54" s="1"/>
  <c r="X58" i="54"/>
  <c r="S58" i="54"/>
  <c r="U58" i="54"/>
  <c r="J58" i="54"/>
  <c r="M58" i="54" s="1"/>
  <c r="X57" i="54"/>
  <c r="S57" i="54"/>
  <c r="U57" i="54"/>
  <c r="J57" i="54"/>
  <c r="M57" i="54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 s="1"/>
  <c r="J53" i="54"/>
  <c r="M53" i="54" s="1"/>
  <c r="X52" i="54"/>
  <c r="S52" i="54"/>
  <c r="U52" i="54" s="1"/>
  <c r="J52" i="54"/>
  <c r="M52" i="54" s="1"/>
  <c r="X51" i="54"/>
  <c r="S51" i="54"/>
  <c r="U51" i="54"/>
  <c r="J51" i="54"/>
  <c r="M51" i="54" s="1"/>
  <c r="X50" i="54"/>
  <c r="S50" i="54"/>
  <c r="U50" i="54" s="1"/>
  <c r="J50" i="54"/>
  <c r="M50" i="54" s="1"/>
  <c r="X49" i="54"/>
  <c r="S49" i="54"/>
  <c r="U49" i="54"/>
  <c r="J49" i="54"/>
  <c r="M49" i="54" s="1"/>
  <c r="X48" i="54"/>
  <c r="S48" i="54"/>
  <c r="U48" i="54"/>
  <c r="J48" i="54"/>
  <c r="M48" i="54" s="1"/>
  <c r="X47" i="54"/>
  <c r="S47" i="54"/>
  <c r="U47" i="54"/>
  <c r="J47" i="54"/>
  <c r="M47" i="54" s="1"/>
  <c r="X46" i="54"/>
  <c r="S46" i="54"/>
  <c r="U46" i="54"/>
  <c r="J46" i="54"/>
  <c r="M46" i="54" s="1"/>
  <c r="X45" i="54"/>
  <c r="S45" i="54"/>
  <c r="U45" i="54"/>
  <c r="J45" i="54"/>
  <c r="M45" i="54" s="1"/>
  <c r="X44" i="54"/>
  <c r="S44" i="54"/>
  <c r="U44" i="54"/>
  <c r="J44" i="54"/>
  <c r="M44" i="54"/>
  <c r="X43" i="54"/>
  <c r="S43" i="54"/>
  <c r="U43" i="54" s="1"/>
  <c r="J43" i="54"/>
  <c r="M43" i="54" s="1"/>
  <c r="X42" i="54"/>
  <c r="S42" i="54"/>
  <c r="U42" i="54" s="1"/>
  <c r="J42" i="54"/>
  <c r="M42" i="54" s="1"/>
  <c r="X41" i="54"/>
  <c r="S41" i="54"/>
  <c r="U41" i="54" s="1"/>
  <c r="J41" i="54"/>
  <c r="M41" i="54" s="1"/>
  <c r="X40" i="54"/>
  <c r="S40" i="54"/>
  <c r="U40" i="54" s="1"/>
  <c r="J40" i="54"/>
  <c r="M40" i="54" s="1"/>
  <c r="X39" i="54"/>
  <c r="S39" i="54"/>
  <c r="U39" i="54" s="1"/>
  <c r="J39" i="54"/>
  <c r="M39" i="54" s="1"/>
  <c r="X38" i="54"/>
  <c r="S38" i="54"/>
  <c r="U38" i="54"/>
  <c r="J38" i="54"/>
  <c r="M38" i="54" s="1"/>
  <c r="X37" i="54"/>
  <c r="S37" i="54"/>
  <c r="U37" i="54"/>
  <c r="J37" i="54"/>
  <c r="M37" i="54"/>
  <c r="X36" i="54"/>
  <c r="S36" i="54"/>
  <c r="U36" i="54"/>
  <c r="J36" i="54"/>
  <c r="M36" i="54" s="1"/>
  <c r="X35" i="54"/>
  <c r="S35" i="54"/>
  <c r="U35" i="54" s="1"/>
  <c r="J35" i="54"/>
  <c r="M35" i="54" s="1"/>
  <c r="X34" i="54"/>
  <c r="S34" i="54"/>
  <c r="U34" i="54"/>
  <c r="J34" i="54"/>
  <c r="M34" i="54" s="1"/>
  <c r="X33" i="54"/>
  <c r="S33" i="54"/>
  <c r="U33" i="54" s="1"/>
  <c r="J33" i="54"/>
  <c r="M33" i="54" s="1"/>
  <c r="X32" i="54"/>
  <c r="S32" i="54"/>
  <c r="U32" i="54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/>
  <c r="J29" i="54"/>
  <c r="M29" i="54"/>
  <c r="X28" i="54"/>
  <c r="S28" i="54"/>
  <c r="U28" i="54" s="1"/>
  <c r="J28" i="54"/>
  <c r="M28" i="54" s="1"/>
  <c r="X27" i="54"/>
  <c r="S27" i="54"/>
  <c r="U27" i="54" s="1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/>
  <c r="X22" i="54"/>
  <c r="S22" i="54"/>
  <c r="U22" i="54" s="1"/>
  <c r="J22" i="54"/>
  <c r="M22" i="54" s="1"/>
  <c r="X21" i="54"/>
  <c r="S21" i="54"/>
  <c r="U21" i="54"/>
  <c r="J21" i="54"/>
  <c r="M21" i="54" s="1"/>
  <c r="X20" i="54"/>
  <c r="S20" i="54"/>
  <c r="U20" i="54"/>
  <c r="J20" i="54"/>
  <c r="M20" i="54" s="1"/>
  <c r="X19" i="54"/>
  <c r="S19" i="54"/>
  <c r="U19" i="54"/>
  <c r="J19" i="54"/>
  <c r="M19" i="54" s="1"/>
  <c r="X18" i="54"/>
  <c r="S18" i="54"/>
  <c r="U18" i="54" s="1"/>
  <c r="J18" i="54"/>
  <c r="M18" i="54" s="1"/>
  <c r="X17" i="54"/>
  <c r="S17" i="54"/>
  <c r="U17" i="54"/>
  <c r="J17" i="54"/>
  <c r="M17" i="54" s="1"/>
  <c r="X16" i="54"/>
  <c r="S16" i="54"/>
  <c r="U16" i="54" s="1"/>
  <c r="J16" i="54"/>
  <c r="M16" i="54" s="1"/>
  <c r="X15" i="54"/>
  <c r="S15" i="54"/>
  <c r="U15" i="54"/>
  <c r="J15" i="54"/>
  <c r="M15" i="54"/>
  <c r="X14" i="54"/>
  <c r="S14" i="54"/>
  <c r="U14" i="54"/>
  <c r="J14" i="54"/>
  <c r="M14" i="54" s="1"/>
  <c r="X13" i="54"/>
  <c r="S13" i="54"/>
  <c r="U13" i="54"/>
  <c r="J13" i="54"/>
  <c r="M13" i="54" s="1"/>
  <c r="X12" i="54"/>
  <c r="S12" i="54"/>
  <c r="U12" i="54"/>
  <c r="J12" i="54"/>
  <c r="M12" i="54" s="1"/>
  <c r="X11" i="54"/>
  <c r="S11" i="54"/>
  <c r="U11" i="54"/>
  <c r="J11" i="54"/>
  <c r="M11" i="54" s="1"/>
  <c r="X10" i="54"/>
  <c r="S10" i="54"/>
  <c r="U10" i="54"/>
  <c r="M10" i="54"/>
  <c r="J10" i="54"/>
  <c r="X9" i="54"/>
  <c r="S9" i="54"/>
  <c r="U9" i="54"/>
  <c r="J9" i="54"/>
  <c r="M9" i="54" s="1"/>
  <c r="X8" i="54"/>
  <c r="S8" i="54"/>
  <c r="U8" i="54"/>
  <c r="J8" i="54"/>
  <c r="M8" i="54" s="1"/>
  <c r="X7" i="54"/>
  <c r="S7" i="54"/>
  <c r="U7" i="54" s="1"/>
  <c r="J7" i="54"/>
  <c r="M7" i="54" s="1"/>
  <c r="X6" i="54"/>
  <c r="S6" i="54"/>
  <c r="U6" i="54" s="1"/>
  <c r="J6" i="54"/>
  <c r="M6" i="54" s="1"/>
  <c r="X5" i="54"/>
  <c r="S5" i="54"/>
  <c r="U5" i="54" s="1"/>
  <c r="J5" i="54"/>
  <c r="M5" i="54" s="1"/>
  <c r="K220" i="53"/>
  <c r="K212" i="53"/>
  <c r="N23" i="16" s="1"/>
  <c r="K209" i="53"/>
  <c r="R23" i="16" s="1"/>
  <c r="K219" i="53"/>
  <c r="J204" i="53"/>
  <c r="M204" i="53" s="1"/>
  <c r="J203" i="53"/>
  <c r="M203" i="53" s="1"/>
  <c r="J202" i="53"/>
  <c r="M202" i="53" s="1"/>
  <c r="J201" i="53"/>
  <c r="M201" i="53"/>
  <c r="J200" i="53"/>
  <c r="M200" i="53"/>
  <c r="J199" i="53"/>
  <c r="M199" i="53"/>
  <c r="J198" i="53"/>
  <c r="J197" i="53"/>
  <c r="M197" i="53" s="1"/>
  <c r="J196" i="53"/>
  <c r="M196" i="53" s="1"/>
  <c r="J195" i="53"/>
  <c r="J194" i="53"/>
  <c r="M194" i="53"/>
  <c r="J193" i="53"/>
  <c r="M193" i="53"/>
  <c r="J192" i="53"/>
  <c r="M192" i="53" s="1"/>
  <c r="J191" i="53"/>
  <c r="M191" i="53" s="1"/>
  <c r="J190" i="53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/>
  <c r="J182" i="53"/>
  <c r="M182" i="53" s="1"/>
  <c r="J181" i="53"/>
  <c r="M181" i="53" s="1"/>
  <c r="J180" i="53"/>
  <c r="M180" i="53" s="1"/>
  <c r="J179" i="53"/>
  <c r="J178" i="53"/>
  <c r="M178" i="53" s="1"/>
  <c r="J177" i="53"/>
  <c r="M177" i="53"/>
  <c r="J176" i="53"/>
  <c r="M176" i="53" s="1"/>
  <c r="J175" i="53"/>
  <c r="M175" i="53" s="1"/>
  <c r="J174" i="53"/>
  <c r="M174" i="53" s="1"/>
  <c r="J173" i="53"/>
  <c r="M173" i="53"/>
  <c r="J172" i="53"/>
  <c r="M172" i="53" s="1"/>
  <c r="J171" i="53"/>
  <c r="M171" i="53" s="1"/>
  <c r="J170" i="53"/>
  <c r="M170" i="53"/>
  <c r="J169" i="53"/>
  <c r="M169" i="53" s="1"/>
  <c r="J168" i="53"/>
  <c r="M168" i="53" s="1"/>
  <c r="J167" i="53"/>
  <c r="J166" i="53"/>
  <c r="M166" i="53" s="1"/>
  <c r="J165" i="53"/>
  <c r="M165" i="53" s="1"/>
  <c r="J164" i="53"/>
  <c r="M164" i="53"/>
  <c r="J163" i="53"/>
  <c r="M163" i="53" s="1"/>
  <c r="J162" i="53"/>
  <c r="M162" i="53" s="1"/>
  <c r="J161" i="53"/>
  <c r="J160" i="53"/>
  <c r="M160" i="53" s="1"/>
  <c r="J159" i="53"/>
  <c r="M159" i="53"/>
  <c r="J158" i="53"/>
  <c r="M158" i="53" s="1"/>
  <c r="J157" i="53"/>
  <c r="M157" i="53" s="1"/>
  <c r="J156" i="53"/>
  <c r="M156" i="53" s="1"/>
  <c r="J155" i="53"/>
  <c r="J154" i="53"/>
  <c r="M154" i="53"/>
  <c r="J153" i="53"/>
  <c r="M153" i="53" s="1"/>
  <c r="J152" i="53"/>
  <c r="M152" i="53" s="1"/>
  <c r="J151" i="53"/>
  <c r="M151" i="53" s="1"/>
  <c r="J150" i="53"/>
  <c r="M150" i="53" s="1"/>
  <c r="J149" i="53"/>
  <c r="M149" i="53"/>
  <c r="J148" i="53"/>
  <c r="M148" i="53" s="1"/>
  <c r="J147" i="53"/>
  <c r="M147" i="53" s="1"/>
  <c r="J146" i="53"/>
  <c r="J145" i="53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J138" i="53"/>
  <c r="M138" i="53" s="1"/>
  <c r="J137" i="53"/>
  <c r="M137" i="53" s="1"/>
  <c r="J136" i="53"/>
  <c r="M136" i="53"/>
  <c r="J135" i="53"/>
  <c r="M135" i="53" s="1"/>
  <c r="J134" i="53"/>
  <c r="M134" i="53" s="1"/>
  <c r="J133" i="53"/>
  <c r="M133" i="53" s="1"/>
  <c r="J132" i="53"/>
  <c r="M132" i="53"/>
  <c r="J131" i="53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J114" i="53"/>
  <c r="M114" i="53" s="1"/>
  <c r="J113" i="53"/>
  <c r="M113" i="53" s="1"/>
  <c r="J112" i="53"/>
  <c r="M112" i="53"/>
  <c r="J111" i="53"/>
  <c r="M111" i="53" s="1"/>
  <c r="J110" i="53"/>
  <c r="M110" i="53" s="1"/>
  <c r="J109" i="53"/>
  <c r="M109" i="53" s="1"/>
  <c r="J108" i="53"/>
  <c r="M108" i="53"/>
  <c r="J107" i="53"/>
  <c r="M107" i="53" s="1"/>
  <c r="J106" i="53"/>
  <c r="M106" i="53" s="1"/>
  <c r="Z105" i="53"/>
  <c r="J105" i="53"/>
  <c r="M105" i="53" s="1"/>
  <c r="X104" i="53"/>
  <c r="S104" i="53"/>
  <c r="U104" i="53"/>
  <c r="J104" i="53"/>
  <c r="M104" i="53"/>
  <c r="X103" i="53"/>
  <c r="S103" i="53"/>
  <c r="U103" i="53" s="1"/>
  <c r="J103" i="53"/>
  <c r="M103" i="53" s="1"/>
  <c r="X102" i="53"/>
  <c r="S102" i="53"/>
  <c r="U102" i="53"/>
  <c r="J102" i="53"/>
  <c r="M102" i="53" s="1"/>
  <c r="X101" i="53"/>
  <c r="S101" i="53"/>
  <c r="U101" i="53" s="1"/>
  <c r="J101" i="53"/>
  <c r="M101" i="53" s="1"/>
  <c r="X100" i="53"/>
  <c r="S100" i="53"/>
  <c r="U100" i="53"/>
  <c r="J100" i="53"/>
  <c r="M100" i="53"/>
  <c r="X99" i="53"/>
  <c r="S99" i="53"/>
  <c r="U99" i="53" s="1"/>
  <c r="J99" i="53"/>
  <c r="M99" i="53" s="1"/>
  <c r="X98" i="53"/>
  <c r="S98" i="53"/>
  <c r="U98" i="53"/>
  <c r="J98" i="53"/>
  <c r="M98" i="53" s="1"/>
  <c r="X97" i="53"/>
  <c r="S97" i="53"/>
  <c r="U97" i="53" s="1"/>
  <c r="J97" i="53"/>
  <c r="M97" i="53" s="1"/>
  <c r="X96" i="53"/>
  <c r="S96" i="53"/>
  <c r="U96" i="53"/>
  <c r="J96" i="53"/>
  <c r="M96" i="53" s="1"/>
  <c r="X95" i="53"/>
  <c r="S95" i="53"/>
  <c r="U95" i="53"/>
  <c r="J95" i="53"/>
  <c r="M95" i="53" s="1"/>
  <c r="X94" i="53"/>
  <c r="S94" i="53"/>
  <c r="U94" i="53"/>
  <c r="J94" i="53"/>
  <c r="X93" i="53"/>
  <c r="S93" i="53"/>
  <c r="U93" i="53"/>
  <c r="J93" i="53"/>
  <c r="X92" i="53"/>
  <c r="S92" i="53"/>
  <c r="U92" i="53"/>
  <c r="J92" i="53"/>
  <c r="M92" i="53" s="1"/>
  <c r="X91" i="53"/>
  <c r="S91" i="53"/>
  <c r="U91" i="53"/>
  <c r="J91" i="53"/>
  <c r="M91" i="53" s="1"/>
  <c r="X90" i="53"/>
  <c r="S90" i="53"/>
  <c r="U90" i="53"/>
  <c r="J90" i="53"/>
  <c r="M90" i="53" s="1"/>
  <c r="X89" i="53"/>
  <c r="S89" i="53"/>
  <c r="U89" i="53"/>
  <c r="J89" i="53"/>
  <c r="M89" i="53"/>
  <c r="X88" i="53"/>
  <c r="S88" i="53"/>
  <c r="U88" i="53" s="1"/>
  <c r="J88" i="53"/>
  <c r="M88" i="53" s="1"/>
  <c r="X87" i="53"/>
  <c r="S87" i="53"/>
  <c r="U87" i="53"/>
  <c r="J87" i="53"/>
  <c r="M87" i="53" s="1"/>
  <c r="X86" i="53"/>
  <c r="S86" i="53"/>
  <c r="U86" i="53" s="1"/>
  <c r="J86" i="53"/>
  <c r="X85" i="53"/>
  <c r="S85" i="53"/>
  <c r="U85" i="53"/>
  <c r="J85" i="53"/>
  <c r="M85" i="53" s="1"/>
  <c r="X84" i="53"/>
  <c r="S84" i="53"/>
  <c r="U84" i="53" s="1"/>
  <c r="J84" i="53"/>
  <c r="M84" i="53" s="1"/>
  <c r="X83" i="53"/>
  <c r="S83" i="53"/>
  <c r="U83" i="53"/>
  <c r="J83" i="53"/>
  <c r="M83" i="53" s="1"/>
  <c r="X82" i="53"/>
  <c r="S82" i="53"/>
  <c r="U82" i="53"/>
  <c r="J82" i="53"/>
  <c r="M82" i="53" s="1"/>
  <c r="X81" i="53"/>
  <c r="S81" i="53"/>
  <c r="U81" i="53"/>
  <c r="J81" i="53"/>
  <c r="M81" i="53" s="1"/>
  <c r="X80" i="53"/>
  <c r="S80" i="53"/>
  <c r="U80" i="53"/>
  <c r="J80" i="53"/>
  <c r="M80" i="53"/>
  <c r="X79" i="53"/>
  <c r="S79" i="53"/>
  <c r="U79" i="53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/>
  <c r="X75" i="53"/>
  <c r="S75" i="53"/>
  <c r="U75" i="53" s="1"/>
  <c r="J75" i="53"/>
  <c r="M75" i="53" s="1"/>
  <c r="X74" i="53"/>
  <c r="S74" i="53"/>
  <c r="U74" i="53"/>
  <c r="J74" i="53"/>
  <c r="M74" i="53" s="1"/>
  <c r="X73" i="53"/>
  <c r="S73" i="53"/>
  <c r="U73" i="53" s="1"/>
  <c r="J73" i="53"/>
  <c r="M73" i="53" s="1"/>
  <c r="X72" i="53"/>
  <c r="S72" i="53"/>
  <c r="U72" i="53"/>
  <c r="J72" i="53"/>
  <c r="M72" i="53"/>
  <c r="X71" i="53"/>
  <c r="S71" i="53"/>
  <c r="U71" i="53" s="1"/>
  <c r="J71" i="53"/>
  <c r="M71" i="53" s="1"/>
  <c r="X70" i="53"/>
  <c r="S70" i="53"/>
  <c r="U70" i="53"/>
  <c r="J70" i="53"/>
  <c r="M70" i="53" s="1"/>
  <c r="X69" i="53"/>
  <c r="S69" i="53"/>
  <c r="U69" i="53" s="1"/>
  <c r="J69" i="53"/>
  <c r="M69" i="53" s="1"/>
  <c r="X68" i="53"/>
  <c r="S68" i="53"/>
  <c r="U68" i="53"/>
  <c r="J68" i="53"/>
  <c r="M68" i="53" s="1"/>
  <c r="X67" i="53"/>
  <c r="S67" i="53"/>
  <c r="U67" i="53" s="1"/>
  <c r="J67" i="53"/>
  <c r="X66" i="53"/>
  <c r="S66" i="53"/>
  <c r="U66" i="53"/>
  <c r="J66" i="53"/>
  <c r="M66" i="53" s="1"/>
  <c r="X65" i="53"/>
  <c r="S65" i="53"/>
  <c r="U65" i="53" s="1"/>
  <c r="J65" i="53"/>
  <c r="M65" i="53" s="1"/>
  <c r="X64" i="53"/>
  <c r="S64" i="53"/>
  <c r="U64" i="53"/>
  <c r="J64" i="53"/>
  <c r="M64" i="53" s="1"/>
  <c r="X63" i="53"/>
  <c r="S63" i="53"/>
  <c r="U63" i="53" s="1"/>
  <c r="J63" i="53"/>
  <c r="M63" i="53" s="1"/>
  <c r="X62" i="53"/>
  <c r="S62" i="53"/>
  <c r="U62" i="53"/>
  <c r="J62" i="53"/>
  <c r="M62" i="53" s="1"/>
  <c r="X61" i="53"/>
  <c r="S61" i="53"/>
  <c r="U61" i="53" s="1"/>
  <c r="J61" i="53"/>
  <c r="M61" i="53" s="1"/>
  <c r="X60" i="53"/>
  <c r="S60" i="53"/>
  <c r="U60" i="53"/>
  <c r="J60" i="53"/>
  <c r="M60" i="53" s="1"/>
  <c r="X59" i="53"/>
  <c r="S59" i="53"/>
  <c r="U59" i="53" s="1"/>
  <c r="J59" i="53"/>
  <c r="M59" i="53" s="1"/>
  <c r="X58" i="53"/>
  <c r="S58" i="53"/>
  <c r="U58" i="53"/>
  <c r="J58" i="53"/>
  <c r="M58" i="53" s="1"/>
  <c r="X57" i="53"/>
  <c r="S57" i="53"/>
  <c r="U57" i="53"/>
  <c r="J57" i="53"/>
  <c r="M57" i="53" s="1"/>
  <c r="X56" i="53"/>
  <c r="S56" i="53"/>
  <c r="U56" i="53"/>
  <c r="J56" i="53"/>
  <c r="M56" i="53" s="1"/>
  <c r="X55" i="53"/>
  <c r="S55" i="53"/>
  <c r="U55" i="53"/>
  <c r="J55" i="53"/>
  <c r="M55" i="53" s="1"/>
  <c r="X54" i="53"/>
  <c r="S54" i="53"/>
  <c r="U54" i="53"/>
  <c r="J54" i="53"/>
  <c r="M54" i="53"/>
  <c r="X53" i="53"/>
  <c r="S53" i="53"/>
  <c r="U53" i="53" s="1"/>
  <c r="J53" i="53"/>
  <c r="M53" i="53" s="1"/>
  <c r="X52" i="53"/>
  <c r="S52" i="53"/>
  <c r="U52" i="53"/>
  <c r="J52" i="53"/>
  <c r="M52" i="53" s="1"/>
  <c r="X51" i="53"/>
  <c r="S51" i="53"/>
  <c r="U51" i="53" s="1"/>
  <c r="J51" i="53"/>
  <c r="M51" i="53" s="1"/>
  <c r="X50" i="53"/>
  <c r="S50" i="53"/>
  <c r="U50" i="53"/>
  <c r="J50" i="53"/>
  <c r="M50" i="53" s="1"/>
  <c r="X49" i="53"/>
  <c r="S49" i="53"/>
  <c r="U49" i="53" s="1"/>
  <c r="J49" i="53"/>
  <c r="M49" i="53" s="1"/>
  <c r="X48" i="53"/>
  <c r="S48" i="53"/>
  <c r="U48" i="53"/>
  <c r="J48" i="53"/>
  <c r="M48" i="53" s="1"/>
  <c r="X47" i="53"/>
  <c r="S47" i="53"/>
  <c r="U47" i="53"/>
  <c r="J47" i="53"/>
  <c r="M47" i="53" s="1"/>
  <c r="X46" i="53"/>
  <c r="S46" i="53"/>
  <c r="U46" i="53"/>
  <c r="J46" i="53"/>
  <c r="M46" i="53" s="1"/>
  <c r="X45" i="53"/>
  <c r="S45" i="53"/>
  <c r="U45" i="53"/>
  <c r="J45" i="53"/>
  <c r="M45" i="53" s="1"/>
  <c r="X44" i="53"/>
  <c r="S44" i="53"/>
  <c r="U44" i="53"/>
  <c r="J44" i="53"/>
  <c r="M44" i="53" s="1"/>
  <c r="X43" i="53"/>
  <c r="S43" i="53"/>
  <c r="U43" i="53"/>
  <c r="J43" i="53"/>
  <c r="M43" i="53" s="1"/>
  <c r="X42" i="53"/>
  <c r="S42" i="53"/>
  <c r="U42" i="53" s="1"/>
  <c r="J42" i="53"/>
  <c r="M42" i="53" s="1"/>
  <c r="X41" i="53"/>
  <c r="S41" i="53"/>
  <c r="U41" i="53"/>
  <c r="J41" i="53"/>
  <c r="M41" i="53" s="1"/>
  <c r="X40" i="53"/>
  <c r="S40" i="53"/>
  <c r="U40" i="53" s="1"/>
  <c r="J40" i="53"/>
  <c r="M40" i="53" s="1"/>
  <c r="X39" i="53"/>
  <c r="S39" i="53"/>
  <c r="U39" i="53"/>
  <c r="J39" i="53"/>
  <c r="M39" i="53" s="1"/>
  <c r="X38" i="53"/>
  <c r="S38" i="53"/>
  <c r="U38" i="53" s="1"/>
  <c r="J38" i="53"/>
  <c r="M38" i="53" s="1"/>
  <c r="X37" i="53"/>
  <c r="S37" i="53"/>
  <c r="U37" i="53"/>
  <c r="J37" i="53"/>
  <c r="M37" i="53" s="1"/>
  <c r="X36" i="53"/>
  <c r="S36" i="53"/>
  <c r="U36" i="53" s="1"/>
  <c r="J36" i="53"/>
  <c r="M36" i="53"/>
  <c r="X35" i="53"/>
  <c r="S35" i="53"/>
  <c r="U35" i="53"/>
  <c r="J35" i="53"/>
  <c r="M35" i="53" s="1"/>
  <c r="X34" i="53"/>
  <c r="S34" i="53"/>
  <c r="U34" i="53" s="1"/>
  <c r="J34" i="53"/>
  <c r="M34" i="53" s="1"/>
  <c r="X33" i="53"/>
  <c r="S33" i="53"/>
  <c r="U33" i="53"/>
  <c r="J33" i="53"/>
  <c r="M33" i="53" s="1"/>
  <c r="X32" i="53"/>
  <c r="S32" i="53"/>
  <c r="U32" i="53" s="1"/>
  <c r="J32" i="53"/>
  <c r="M32" i="53"/>
  <c r="X31" i="53"/>
  <c r="S31" i="53"/>
  <c r="U31" i="53"/>
  <c r="J31" i="53"/>
  <c r="M31" i="53" s="1"/>
  <c r="X30" i="53"/>
  <c r="S30" i="53"/>
  <c r="U30" i="53"/>
  <c r="J30" i="53"/>
  <c r="M30" i="53" s="1"/>
  <c r="X29" i="53"/>
  <c r="S29" i="53"/>
  <c r="U29" i="53"/>
  <c r="J29" i="53"/>
  <c r="M29" i="53" s="1"/>
  <c r="X28" i="53"/>
  <c r="S28" i="53"/>
  <c r="U28" i="53"/>
  <c r="J28" i="53"/>
  <c r="M28" i="53"/>
  <c r="X27" i="53"/>
  <c r="S27" i="53"/>
  <c r="U27" i="53" s="1"/>
  <c r="J27" i="53"/>
  <c r="M27" i="53" s="1"/>
  <c r="X26" i="53"/>
  <c r="S26" i="53"/>
  <c r="U26" i="53"/>
  <c r="J26" i="53"/>
  <c r="M26" i="53" s="1"/>
  <c r="X25" i="53"/>
  <c r="S25" i="53"/>
  <c r="U25" i="53" s="1"/>
  <c r="J25" i="53"/>
  <c r="M25" i="53" s="1"/>
  <c r="X24" i="53"/>
  <c r="S24" i="53"/>
  <c r="U24" i="53"/>
  <c r="J24" i="53"/>
  <c r="M24" i="53"/>
  <c r="X23" i="53"/>
  <c r="S23" i="53"/>
  <c r="U23" i="53" s="1"/>
  <c r="J23" i="53"/>
  <c r="M23" i="53" s="1"/>
  <c r="X22" i="53"/>
  <c r="S22" i="53"/>
  <c r="U22" i="53"/>
  <c r="J22" i="53"/>
  <c r="M22" i="53" s="1"/>
  <c r="X21" i="53"/>
  <c r="S21" i="53"/>
  <c r="U21" i="53" s="1"/>
  <c r="J21" i="53"/>
  <c r="M21" i="53" s="1"/>
  <c r="X20" i="53"/>
  <c r="S20" i="53"/>
  <c r="U20" i="53"/>
  <c r="J20" i="53"/>
  <c r="M20" i="53"/>
  <c r="X19" i="53"/>
  <c r="S19" i="53"/>
  <c r="U19" i="53"/>
  <c r="J19" i="53"/>
  <c r="M19" i="53" s="1"/>
  <c r="X18" i="53"/>
  <c r="S18" i="53"/>
  <c r="U18" i="53" s="1"/>
  <c r="J18" i="53"/>
  <c r="M18" i="53" s="1"/>
  <c r="X17" i="53"/>
  <c r="S17" i="53"/>
  <c r="U17" i="53"/>
  <c r="J17" i="53"/>
  <c r="M17" i="53" s="1"/>
  <c r="X16" i="53"/>
  <c r="S16" i="53"/>
  <c r="U16" i="53" s="1"/>
  <c r="J16" i="53"/>
  <c r="M16" i="53" s="1"/>
  <c r="X15" i="53"/>
  <c r="S15" i="53"/>
  <c r="U15" i="53"/>
  <c r="J15" i="53"/>
  <c r="M15" i="53" s="1"/>
  <c r="X14" i="53"/>
  <c r="S14" i="53"/>
  <c r="U14" i="53" s="1"/>
  <c r="J14" i="53"/>
  <c r="M14" i="53" s="1"/>
  <c r="X13" i="53"/>
  <c r="S13" i="53"/>
  <c r="U13" i="53"/>
  <c r="J13" i="53"/>
  <c r="M13" i="53"/>
  <c r="X12" i="53"/>
  <c r="S12" i="53"/>
  <c r="U12" i="53" s="1"/>
  <c r="J12" i="53"/>
  <c r="M12" i="53"/>
  <c r="X11" i="53"/>
  <c r="S11" i="53"/>
  <c r="U11" i="53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/>
  <c r="X7" i="53"/>
  <c r="S7" i="53"/>
  <c r="U7" i="53" s="1"/>
  <c r="J7" i="53"/>
  <c r="M7" i="53" s="1"/>
  <c r="X6" i="53"/>
  <c r="S6" i="53"/>
  <c r="U6" i="53"/>
  <c r="J6" i="53"/>
  <c r="M6" i="53"/>
  <c r="X5" i="53"/>
  <c r="S5" i="53"/>
  <c r="U5" i="53" s="1"/>
  <c r="J5" i="53"/>
  <c r="K220" i="52"/>
  <c r="K212" i="52"/>
  <c r="N22" i="16" s="1"/>
  <c r="K209" i="52"/>
  <c r="R22" i="16" s="1"/>
  <c r="K219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/>
  <c r="J196" i="52"/>
  <c r="M196" i="52" s="1"/>
  <c r="J195" i="52"/>
  <c r="M195" i="52" s="1"/>
  <c r="J194" i="52"/>
  <c r="M194" i="52" s="1"/>
  <c r="J193" i="52"/>
  <c r="M193" i="52"/>
  <c r="J192" i="52"/>
  <c r="M192" i="52" s="1"/>
  <c r="J191" i="52"/>
  <c r="M191" i="52" s="1"/>
  <c r="J190" i="52"/>
  <c r="M190" i="52" s="1"/>
  <c r="J189" i="52"/>
  <c r="M189" i="52"/>
  <c r="J188" i="52"/>
  <c r="M188" i="52" s="1"/>
  <c r="J187" i="52"/>
  <c r="M187" i="52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/>
  <c r="J180" i="52"/>
  <c r="M180" i="52" s="1"/>
  <c r="J179" i="52"/>
  <c r="M179" i="52" s="1"/>
  <c r="J178" i="52"/>
  <c r="M178" i="52" s="1"/>
  <c r="J177" i="52"/>
  <c r="M177" i="52"/>
  <c r="J176" i="52"/>
  <c r="M176" i="52" s="1"/>
  <c r="J175" i="52"/>
  <c r="M175" i="52" s="1"/>
  <c r="J174" i="52"/>
  <c r="M174" i="52" s="1"/>
  <c r="J173" i="52"/>
  <c r="M173" i="52"/>
  <c r="J172" i="52"/>
  <c r="M172" i="52" s="1"/>
  <c r="J171" i="52"/>
  <c r="M171" i="52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/>
  <c r="J164" i="52"/>
  <c r="M164" i="52" s="1"/>
  <c r="J163" i="52"/>
  <c r="M163" i="52"/>
  <c r="J162" i="52"/>
  <c r="M162" i="52" s="1"/>
  <c r="J161" i="52"/>
  <c r="M161" i="52"/>
  <c r="J160" i="52"/>
  <c r="M160" i="52" s="1"/>
  <c r="J159" i="52"/>
  <c r="M159" i="52" s="1"/>
  <c r="J158" i="52"/>
  <c r="M158" i="52" s="1"/>
  <c r="J157" i="52"/>
  <c r="M157" i="52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/>
  <c r="J148" i="52"/>
  <c r="M148" i="52" s="1"/>
  <c r="J147" i="52"/>
  <c r="M147" i="52" s="1"/>
  <c r="J146" i="52"/>
  <c r="M146" i="52" s="1"/>
  <c r="J145" i="52"/>
  <c r="M145" i="52"/>
  <c r="J144" i="52"/>
  <c r="M144" i="52" s="1"/>
  <c r="J143" i="52"/>
  <c r="M143" i="52" s="1"/>
  <c r="J142" i="52"/>
  <c r="M142" i="52" s="1"/>
  <c r="J141" i="52"/>
  <c r="M141" i="52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/>
  <c r="J132" i="52"/>
  <c r="M132" i="52" s="1"/>
  <c r="J131" i="52"/>
  <c r="M131" i="52" s="1"/>
  <c r="J130" i="52"/>
  <c r="M130" i="52" s="1"/>
  <c r="J129" i="52"/>
  <c r="M129" i="52"/>
  <c r="J128" i="52"/>
  <c r="M128" i="52" s="1"/>
  <c r="J127" i="52"/>
  <c r="M127" i="52" s="1"/>
  <c r="J126" i="52"/>
  <c r="M126" i="52" s="1"/>
  <c r="J125" i="52"/>
  <c r="M125" i="52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/>
  <c r="J116" i="52"/>
  <c r="M116" i="52" s="1"/>
  <c r="J115" i="52"/>
  <c r="M115" i="52" s="1"/>
  <c r="J114" i="52"/>
  <c r="M114" i="52" s="1"/>
  <c r="J113" i="52"/>
  <c r="M113" i="52"/>
  <c r="J112" i="52"/>
  <c r="M112" i="52" s="1"/>
  <c r="J111" i="52"/>
  <c r="M111" i="52" s="1"/>
  <c r="J110" i="52"/>
  <c r="M110" i="52" s="1"/>
  <c r="J109" i="52"/>
  <c r="M109" i="52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/>
  <c r="J104" i="52"/>
  <c r="M104" i="52" s="1"/>
  <c r="X103" i="52"/>
  <c r="S103" i="52"/>
  <c r="U103" i="52" s="1"/>
  <c r="J103" i="52"/>
  <c r="M103" i="52" s="1"/>
  <c r="X102" i="52"/>
  <c r="S102" i="52"/>
  <c r="U102" i="52"/>
  <c r="J102" i="52"/>
  <c r="M102" i="52"/>
  <c r="X101" i="52"/>
  <c r="S101" i="52"/>
  <c r="U101" i="52" s="1"/>
  <c r="J101" i="52"/>
  <c r="M101" i="52" s="1"/>
  <c r="X100" i="52"/>
  <c r="S100" i="52"/>
  <c r="U100" i="52"/>
  <c r="J100" i="52"/>
  <c r="M100" i="52" s="1"/>
  <c r="X99" i="52"/>
  <c r="S99" i="52"/>
  <c r="U99" i="52"/>
  <c r="J99" i="52"/>
  <c r="M99" i="52" s="1"/>
  <c r="X98" i="52"/>
  <c r="S98" i="52"/>
  <c r="U98" i="52"/>
  <c r="J98" i="52"/>
  <c r="M98" i="52" s="1"/>
  <c r="X97" i="52"/>
  <c r="S97" i="52"/>
  <c r="U97" i="52"/>
  <c r="J97" i="52"/>
  <c r="M97" i="52"/>
  <c r="X96" i="52"/>
  <c r="S96" i="52"/>
  <c r="U96" i="52" s="1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 s="1"/>
  <c r="J93" i="52"/>
  <c r="M93" i="52" s="1"/>
  <c r="X92" i="52"/>
  <c r="S92" i="52"/>
  <c r="U92" i="52" s="1"/>
  <c r="J92" i="52"/>
  <c r="M92" i="52" s="1"/>
  <c r="X91" i="52"/>
  <c r="S91" i="52"/>
  <c r="U91" i="52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/>
  <c r="J88" i="52"/>
  <c r="M88" i="52" s="1"/>
  <c r="X87" i="52"/>
  <c r="S87" i="52"/>
  <c r="U87" i="52" s="1"/>
  <c r="J87" i="52"/>
  <c r="M87" i="52" s="1"/>
  <c r="X86" i="52"/>
  <c r="S86" i="52"/>
  <c r="U86" i="52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 s="1"/>
  <c r="J83" i="52"/>
  <c r="M83" i="52"/>
  <c r="X82" i="52"/>
  <c r="S82" i="52"/>
  <c r="U82" i="52"/>
  <c r="J82" i="52"/>
  <c r="M82" i="52" s="1"/>
  <c r="X81" i="52"/>
  <c r="S81" i="52"/>
  <c r="U81" i="52" s="1"/>
  <c r="J81" i="52"/>
  <c r="M81" i="52"/>
  <c r="X80" i="52"/>
  <c r="S80" i="52"/>
  <c r="U80" i="52"/>
  <c r="J80" i="52"/>
  <c r="M80" i="52" s="1"/>
  <c r="X79" i="52"/>
  <c r="S79" i="52"/>
  <c r="U79" i="52" s="1"/>
  <c r="J79" i="52"/>
  <c r="M79" i="52" s="1"/>
  <c r="X78" i="52"/>
  <c r="S78" i="52"/>
  <c r="U78" i="52" s="1"/>
  <c r="J78" i="52"/>
  <c r="M78" i="52" s="1"/>
  <c r="X77" i="52"/>
  <c r="S77" i="52"/>
  <c r="U77" i="52"/>
  <c r="J77" i="52"/>
  <c r="M77" i="52" s="1"/>
  <c r="X76" i="52"/>
  <c r="S76" i="52"/>
  <c r="U76" i="52" s="1"/>
  <c r="J76" i="52"/>
  <c r="M76" i="52" s="1"/>
  <c r="X75" i="52"/>
  <c r="S75" i="52"/>
  <c r="U75" i="52"/>
  <c r="J75" i="52"/>
  <c r="M75" i="52" s="1"/>
  <c r="X74" i="52"/>
  <c r="S74" i="52"/>
  <c r="U74" i="52" s="1"/>
  <c r="J74" i="52"/>
  <c r="M74" i="52" s="1"/>
  <c r="X73" i="52"/>
  <c r="S73" i="52"/>
  <c r="U73" i="52"/>
  <c r="J73" i="52"/>
  <c r="M73" i="52"/>
  <c r="X72" i="52"/>
  <c r="S72" i="52"/>
  <c r="U72" i="52" s="1"/>
  <c r="J72" i="52"/>
  <c r="M72" i="52" s="1"/>
  <c r="X71" i="52"/>
  <c r="S71" i="52"/>
  <c r="U71" i="52" s="1"/>
  <c r="J71" i="52"/>
  <c r="M71" i="52" s="1"/>
  <c r="X70" i="52"/>
  <c r="S70" i="52"/>
  <c r="U70" i="52" s="1"/>
  <c r="J70" i="52"/>
  <c r="M70" i="52" s="1"/>
  <c r="X69" i="52"/>
  <c r="S69" i="52"/>
  <c r="U69" i="52" s="1"/>
  <c r="J69" i="52"/>
  <c r="M69" i="52"/>
  <c r="X68" i="52"/>
  <c r="S68" i="52"/>
  <c r="U68" i="52" s="1"/>
  <c r="J68" i="52"/>
  <c r="M68" i="52" s="1"/>
  <c r="X67" i="52"/>
  <c r="S67" i="52"/>
  <c r="U67" i="52"/>
  <c r="J67" i="52"/>
  <c r="M67" i="52" s="1"/>
  <c r="X66" i="52"/>
  <c r="S66" i="52"/>
  <c r="U66" i="52" s="1"/>
  <c r="J66" i="52"/>
  <c r="M66" i="52" s="1"/>
  <c r="X65" i="52"/>
  <c r="S65" i="52"/>
  <c r="U65" i="52"/>
  <c r="J65" i="52"/>
  <c r="M65" i="52"/>
  <c r="X64" i="52"/>
  <c r="S64" i="52"/>
  <c r="U64" i="52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/>
  <c r="J61" i="52"/>
  <c r="M61" i="52" s="1"/>
  <c r="X60" i="52"/>
  <c r="S60" i="52"/>
  <c r="U60" i="52" s="1"/>
  <c r="J60" i="52"/>
  <c r="M60" i="52" s="1"/>
  <c r="X59" i="52"/>
  <c r="S59" i="52"/>
  <c r="U59" i="52" s="1"/>
  <c r="J59" i="52"/>
  <c r="M59" i="52" s="1"/>
  <c r="X58" i="52"/>
  <c r="S58" i="52"/>
  <c r="U58" i="52" s="1"/>
  <c r="J58" i="52"/>
  <c r="M58" i="52" s="1"/>
  <c r="X57" i="52"/>
  <c r="S57" i="52"/>
  <c r="U57" i="52" s="1"/>
  <c r="J57" i="52"/>
  <c r="M57" i="52"/>
  <c r="X56" i="52"/>
  <c r="S56" i="52"/>
  <c r="U56" i="52"/>
  <c r="J56" i="52"/>
  <c r="M56" i="52" s="1"/>
  <c r="X55" i="52"/>
  <c r="S55" i="52"/>
  <c r="U55" i="52" s="1"/>
  <c r="J55" i="52"/>
  <c r="M55" i="52" s="1"/>
  <c r="X54" i="52"/>
  <c r="S54" i="52"/>
  <c r="U54" i="52"/>
  <c r="J54" i="52"/>
  <c r="M54" i="52" s="1"/>
  <c r="X53" i="52"/>
  <c r="S53" i="52"/>
  <c r="U53" i="52" s="1"/>
  <c r="J53" i="52"/>
  <c r="M53" i="52"/>
  <c r="X52" i="52"/>
  <c r="S52" i="52"/>
  <c r="U52" i="52"/>
  <c r="J52" i="52"/>
  <c r="M52" i="52" s="1"/>
  <c r="X51" i="52"/>
  <c r="S51" i="52"/>
  <c r="U51" i="52"/>
  <c r="J51" i="52"/>
  <c r="M51" i="52" s="1"/>
  <c r="X50" i="52"/>
  <c r="S50" i="52"/>
  <c r="U50" i="52"/>
  <c r="J50" i="52"/>
  <c r="M50" i="52" s="1"/>
  <c r="X49" i="52"/>
  <c r="S49" i="52"/>
  <c r="U49" i="52" s="1"/>
  <c r="J49" i="52"/>
  <c r="M49" i="52"/>
  <c r="X48" i="52"/>
  <c r="S48" i="52"/>
  <c r="U48" i="52" s="1"/>
  <c r="J48" i="52"/>
  <c r="M48" i="52" s="1"/>
  <c r="X47" i="52"/>
  <c r="S47" i="52"/>
  <c r="U47" i="52"/>
  <c r="J47" i="52"/>
  <c r="M47" i="52" s="1"/>
  <c r="X46" i="52"/>
  <c r="S46" i="52"/>
  <c r="U46" i="52" s="1"/>
  <c r="J46" i="52"/>
  <c r="M46" i="52" s="1"/>
  <c r="X45" i="52"/>
  <c r="S45" i="52"/>
  <c r="U45" i="52"/>
  <c r="J45" i="52"/>
  <c r="M45" i="52" s="1"/>
  <c r="X44" i="52"/>
  <c r="S44" i="52"/>
  <c r="U44" i="52"/>
  <c r="J44" i="52"/>
  <c r="M44" i="52" s="1"/>
  <c r="X43" i="52"/>
  <c r="S43" i="52"/>
  <c r="U43" i="52"/>
  <c r="J43" i="52"/>
  <c r="M43" i="52" s="1"/>
  <c r="X42" i="52"/>
  <c r="S42" i="52"/>
  <c r="U42" i="52"/>
  <c r="J42" i="52"/>
  <c r="M42" i="52"/>
  <c r="X41" i="52"/>
  <c r="S41" i="52"/>
  <c r="U41" i="52" s="1"/>
  <c r="J41" i="52"/>
  <c r="M41" i="52"/>
  <c r="X40" i="52"/>
  <c r="S40" i="52"/>
  <c r="U40" i="52"/>
  <c r="J40" i="52"/>
  <c r="M40" i="52" s="1"/>
  <c r="X39" i="52"/>
  <c r="S39" i="52"/>
  <c r="U39" i="52" s="1"/>
  <c r="J39" i="52"/>
  <c r="M39" i="52" s="1"/>
  <c r="X38" i="52"/>
  <c r="S38" i="52"/>
  <c r="U38" i="52"/>
  <c r="J38" i="52"/>
  <c r="M38" i="52" s="1"/>
  <c r="X37" i="52"/>
  <c r="S37" i="52"/>
  <c r="U37" i="52" s="1"/>
  <c r="J37" i="52"/>
  <c r="M37" i="52"/>
  <c r="X36" i="52"/>
  <c r="S36" i="52"/>
  <c r="U36" i="52"/>
  <c r="J36" i="52"/>
  <c r="M36" i="52" s="1"/>
  <c r="X35" i="52"/>
  <c r="S35" i="52"/>
  <c r="U35" i="52"/>
  <c r="J35" i="52"/>
  <c r="M35" i="52" s="1"/>
  <c r="X34" i="52"/>
  <c r="S34" i="52"/>
  <c r="U34" i="52"/>
  <c r="J34" i="52"/>
  <c r="M34" i="52" s="1"/>
  <c r="X33" i="52"/>
  <c r="S33" i="52"/>
  <c r="U33" i="52" s="1"/>
  <c r="J33" i="52"/>
  <c r="M33" i="52" s="1"/>
  <c r="X32" i="52"/>
  <c r="S32" i="52"/>
  <c r="U32" i="52" s="1"/>
  <c r="J32" i="52"/>
  <c r="M32" i="52" s="1"/>
  <c r="X31" i="52"/>
  <c r="S31" i="52"/>
  <c r="U31" i="52" s="1"/>
  <c r="J31" i="52"/>
  <c r="M31" i="52" s="1"/>
  <c r="X30" i="52"/>
  <c r="S30" i="52"/>
  <c r="U30" i="52" s="1"/>
  <c r="J30" i="52"/>
  <c r="M30" i="52" s="1"/>
  <c r="X29" i="52"/>
  <c r="S29" i="52"/>
  <c r="U29" i="52"/>
  <c r="J29" i="52"/>
  <c r="M29" i="52" s="1"/>
  <c r="X28" i="52"/>
  <c r="S28" i="52"/>
  <c r="U28" i="52" s="1"/>
  <c r="J28" i="52"/>
  <c r="M28" i="52" s="1"/>
  <c r="X27" i="52"/>
  <c r="S27" i="52"/>
  <c r="U27" i="52"/>
  <c r="J27" i="52"/>
  <c r="M27" i="52" s="1"/>
  <c r="X26" i="52"/>
  <c r="S26" i="52"/>
  <c r="U26" i="52"/>
  <c r="J26" i="52"/>
  <c r="M26" i="52" s="1"/>
  <c r="X25" i="52"/>
  <c r="S25" i="52"/>
  <c r="U25" i="52"/>
  <c r="J25" i="52"/>
  <c r="M25" i="52" s="1"/>
  <c r="X24" i="52"/>
  <c r="S24" i="52"/>
  <c r="U24" i="52" s="1"/>
  <c r="J24" i="52"/>
  <c r="M24" i="52" s="1"/>
  <c r="X23" i="52"/>
  <c r="U23" i="52"/>
  <c r="S23" i="52"/>
  <c r="J23" i="52"/>
  <c r="M23" i="52" s="1"/>
  <c r="X22" i="52"/>
  <c r="S22" i="52"/>
  <c r="U22" i="52" s="1"/>
  <c r="J22" i="52"/>
  <c r="M22" i="52" s="1"/>
  <c r="X21" i="52"/>
  <c r="U21" i="52"/>
  <c r="S21" i="52"/>
  <c r="J21" i="52"/>
  <c r="M21" i="52"/>
  <c r="X20" i="52"/>
  <c r="S20" i="52"/>
  <c r="U20" i="52"/>
  <c r="J20" i="52"/>
  <c r="M20" i="52" s="1"/>
  <c r="X19" i="52"/>
  <c r="S19" i="52"/>
  <c r="U19" i="52" s="1"/>
  <c r="J19" i="52"/>
  <c r="M19" i="52"/>
  <c r="X18" i="52"/>
  <c r="S18" i="52"/>
  <c r="U18" i="52"/>
  <c r="J18" i="52"/>
  <c r="M18" i="52" s="1"/>
  <c r="X17" i="52"/>
  <c r="S17" i="52"/>
  <c r="U17" i="52"/>
  <c r="J17" i="52"/>
  <c r="M17" i="52" s="1"/>
  <c r="X16" i="52"/>
  <c r="S16" i="52"/>
  <c r="U16" i="52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/>
  <c r="J13" i="52"/>
  <c r="M13" i="52"/>
  <c r="X12" i="52"/>
  <c r="U12" i="52"/>
  <c r="S12" i="52"/>
  <c r="J12" i="52"/>
  <c r="M12" i="52" s="1"/>
  <c r="X11" i="52"/>
  <c r="S11" i="52"/>
  <c r="U11" i="52" s="1"/>
  <c r="J11" i="52"/>
  <c r="M11" i="52"/>
  <c r="X10" i="52"/>
  <c r="S10" i="52"/>
  <c r="U10" i="52"/>
  <c r="J10" i="52"/>
  <c r="M10" i="52" s="1"/>
  <c r="X9" i="52"/>
  <c r="S9" i="52"/>
  <c r="U9" i="52"/>
  <c r="J9" i="52"/>
  <c r="M9" i="52"/>
  <c r="X8" i="52"/>
  <c r="S8" i="52"/>
  <c r="U8" i="52"/>
  <c r="J8" i="52"/>
  <c r="M8" i="52" s="1"/>
  <c r="X7" i="52"/>
  <c r="S7" i="52"/>
  <c r="U7" i="52" s="1"/>
  <c r="J7" i="52"/>
  <c r="M7" i="52" s="1"/>
  <c r="X6" i="52"/>
  <c r="S6" i="52"/>
  <c r="U6" i="52" s="1"/>
  <c r="J6" i="52"/>
  <c r="M6" i="52" s="1"/>
  <c r="X5" i="52"/>
  <c r="S5" i="52"/>
  <c r="U5" i="52" s="1"/>
  <c r="J5" i="52"/>
  <c r="M5" i="52" s="1"/>
  <c r="R24" i="16"/>
  <c r="M131" i="53"/>
  <c r="M93" i="53"/>
  <c r="M146" i="53"/>
  <c r="M195" i="53"/>
  <c r="M67" i="53"/>
  <c r="M86" i="53"/>
  <c r="M94" i="53"/>
  <c r="M139" i="53"/>
  <c r="M155" i="53"/>
  <c r="M167" i="53"/>
  <c r="M145" i="53"/>
  <c r="M190" i="53"/>
  <c r="M198" i="53"/>
  <c r="M115" i="53"/>
  <c r="M161" i="53"/>
  <c r="M179" i="53"/>
  <c r="M121" i="53"/>
  <c r="M5" i="53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/>
  <c r="J199" i="51"/>
  <c r="M199" i="51"/>
  <c r="J198" i="51"/>
  <c r="M198" i="51" s="1"/>
  <c r="J197" i="51"/>
  <c r="M197" i="51" s="1"/>
  <c r="J196" i="51"/>
  <c r="M196" i="51"/>
  <c r="J195" i="51"/>
  <c r="M195" i="51" s="1"/>
  <c r="J194" i="51"/>
  <c r="M194" i="51"/>
  <c r="J193" i="51"/>
  <c r="M193" i="51" s="1"/>
  <c r="J192" i="51"/>
  <c r="M192" i="51" s="1"/>
  <c r="J191" i="51"/>
  <c r="M191" i="51"/>
  <c r="J190" i="51"/>
  <c r="M190" i="51"/>
  <c r="J189" i="51"/>
  <c r="M189" i="51" s="1"/>
  <c r="J188" i="51"/>
  <c r="M188" i="51" s="1"/>
  <c r="J187" i="51"/>
  <c r="M187" i="51"/>
  <c r="J186" i="51"/>
  <c r="M186" i="51" s="1"/>
  <c r="J185" i="51"/>
  <c r="M185" i="51" s="1"/>
  <c r="J184" i="51"/>
  <c r="M184" i="51" s="1"/>
  <c r="J183" i="51"/>
  <c r="M183" i="51" s="1"/>
  <c r="J182" i="51"/>
  <c r="M182" i="51"/>
  <c r="J181" i="51"/>
  <c r="M181" i="51" s="1"/>
  <c r="J180" i="51"/>
  <c r="M180" i="51"/>
  <c r="J179" i="51"/>
  <c r="M179" i="51" s="1"/>
  <c r="J178" i="51"/>
  <c r="M178" i="51"/>
  <c r="J177" i="51"/>
  <c r="M177" i="51" s="1"/>
  <c r="J176" i="51"/>
  <c r="M176" i="51"/>
  <c r="J175" i="51"/>
  <c r="M175" i="51"/>
  <c r="J174" i="51"/>
  <c r="M174" i="51" s="1"/>
  <c r="J173" i="51"/>
  <c r="M173" i="51" s="1"/>
  <c r="J172" i="51"/>
  <c r="M172" i="51" s="1"/>
  <c r="J171" i="51"/>
  <c r="M171" i="51"/>
  <c r="J170" i="51"/>
  <c r="M170" i="51" s="1"/>
  <c r="J169" i="51"/>
  <c r="M169" i="51" s="1"/>
  <c r="J168" i="51"/>
  <c r="M168" i="51"/>
  <c r="J167" i="51"/>
  <c r="M167" i="51"/>
  <c r="J166" i="51"/>
  <c r="M166" i="51"/>
  <c r="J165" i="51"/>
  <c r="M165" i="51" s="1"/>
  <c r="J164" i="51"/>
  <c r="M164" i="51"/>
  <c r="J163" i="51"/>
  <c r="M163" i="51" s="1"/>
  <c r="J162" i="51"/>
  <c r="M162" i="51"/>
  <c r="J161" i="51"/>
  <c r="M161" i="51" s="1"/>
  <c r="J160" i="51"/>
  <c r="M160" i="51" s="1"/>
  <c r="J159" i="51"/>
  <c r="M159" i="51"/>
  <c r="J158" i="51"/>
  <c r="M158" i="51"/>
  <c r="J157" i="51"/>
  <c r="M157" i="51" s="1"/>
  <c r="J156" i="51"/>
  <c r="M156" i="51" s="1"/>
  <c r="J155" i="51"/>
  <c r="M155" i="51"/>
  <c r="J154" i="51"/>
  <c r="M154" i="51" s="1"/>
  <c r="J153" i="51"/>
  <c r="M153" i="51" s="1"/>
  <c r="J152" i="51"/>
  <c r="M152" i="51"/>
  <c r="J151" i="51"/>
  <c r="M151" i="51" s="1"/>
  <c r="J150" i="51"/>
  <c r="M150" i="51"/>
  <c r="J149" i="51"/>
  <c r="M149" i="51" s="1"/>
  <c r="J148" i="51"/>
  <c r="M148" i="51"/>
  <c r="J147" i="51"/>
  <c r="M147" i="51" s="1"/>
  <c r="J146" i="51"/>
  <c r="M146" i="51" s="1"/>
  <c r="J145" i="51"/>
  <c r="M145" i="51" s="1"/>
  <c r="J144" i="51"/>
  <c r="M144" i="51" s="1"/>
  <c r="J143" i="51"/>
  <c r="M143" i="51"/>
  <c r="J142" i="51"/>
  <c r="M142" i="51" s="1"/>
  <c r="J141" i="51"/>
  <c r="M141" i="51" s="1"/>
  <c r="J140" i="51"/>
  <c r="M140" i="51"/>
  <c r="J139" i="51"/>
  <c r="M139" i="51"/>
  <c r="J138" i="51"/>
  <c r="M138" i="51"/>
  <c r="J137" i="51"/>
  <c r="M137" i="51" s="1"/>
  <c r="J136" i="51"/>
  <c r="M136" i="51"/>
  <c r="J135" i="51"/>
  <c r="M135" i="51" s="1"/>
  <c r="J134" i="51"/>
  <c r="M134" i="51"/>
  <c r="J133" i="51"/>
  <c r="M133" i="51" s="1"/>
  <c r="J132" i="51"/>
  <c r="M132" i="51" s="1"/>
  <c r="J131" i="51"/>
  <c r="M131" i="51"/>
  <c r="J130" i="51"/>
  <c r="M130" i="51"/>
  <c r="J129" i="51"/>
  <c r="M129" i="51" s="1"/>
  <c r="J128" i="51"/>
  <c r="M128" i="51" s="1"/>
  <c r="J127" i="51"/>
  <c r="M127" i="51"/>
  <c r="J126" i="51"/>
  <c r="M126" i="51" s="1"/>
  <c r="J125" i="51"/>
  <c r="M125" i="51" s="1"/>
  <c r="J124" i="51"/>
  <c r="M124" i="51"/>
  <c r="J123" i="51"/>
  <c r="M123" i="51" s="1"/>
  <c r="J122" i="51"/>
  <c r="M122" i="51"/>
  <c r="J121" i="51"/>
  <c r="M121" i="51" s="1"/>
  <c r="J120" i="51"/>
  <c r="M120" i="51"/>
  <c r="J119" i="51"/>
  <c r="M119" i="51" s="1"/>
  <c r="J118" i="51"/>
  <c r="M118" i="5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/>
  <c r="J111" i="51"/>
  <c r="M111" i="51"/>
  <c r="J110" i="51"/>
  <c r="M110" i="51" s="1"/>
  <c r="J109" i="51"/>
  <c r="M109" i="51" s="1"/>
  <c r="J108" i="51"/>
  <c r="M108" i="51"/>
  <c r="J107" i="51"/>
  <c r="M107" i="51" s="1"/>
  <c r="J106" i="51"/>
  <c r="M106" i="51"/>
  <c r="Z105" i="51"/>
  <c r="J105" i="51"/>
  <c r="M105" i="51" s="1"/>
  <c r="X104" i="51"/>
  <c r="S104" i="51"/>
  <c r="U104" i="51"/>
  <c r="J104" i="51"/>
  <c r="M104" i="51"/>
  <c r="X103" i="51"/>
  <c r="U103" i="51"/>
  <c r="S103" i="5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 s="1"/>
  <c r="J100" i="51"/>
  <c r="M100" i="51"/>
  <c r="X99" i="51"/>
  <c r="S99" i="51"/>
  <c r="U99" i="51" s="1"/>
  <c r="J99" i="51"/>
  <c r="M99" i="51"/>
  <c r="X98" i="51"/>
  <c r="S98" i="51"/>
  <c r="U98" i="51" s="1"/>
  <c r="J98" i="51"/>
  <c r="M98" i="51" s="1"/>
  <c r="X97" i="51"/>
  <c r="S97" i="51"/>
  <c r="U97" i="5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 s="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 s="1"/>
  <c r="J91" i="51"/>
  <c r="M91" i="51"/>
  <c r="X90" i="51"/>
  <c r="S90" i="51"/>
  <c r="U90" i="51"/>
  <c r="J90" i="51"/>
  <c r="M90" i="51"/>
  <c r="X89" i="51"/>
  <c r="S89" i="51"/>
  <c r="U89" i="51"/>
  <c r="J89" i="51"/>
  <c r="M89" i="51" s="1"/>
  <c r="X88" i="51"/>
  <c r="S88" i="51"/>
  <c r="U88" i="51"/>
  <c r="J88" i="51"/>
  <c r="M88" i="51" s="1"/>
  <c r="X87" i="51"/>
  <c r="S87" i="51"/>
  <c r="U87" i="51"/>
  <c r="J87" i="51"/>
  <c r="M87" i="51" s="1"/>
  <c r="X86" i="51"/>
  <c r="S86" i="51"/>
  <c r="U86" i="51"/>
  <c r="J86" i="51"/>
  <c r="M86" i="51" s="1"/>
  <c r="X85" i="51"/>
  <c r="S85" i="51"/>
  <c r="U85" i="51"/>
  <c r="J85" i="51"/>
  <c r="M85" i="51" s="1"/>
  <c r="X84" i="51"/>
  <c r="S84" i="51"/>
  <c r="U84" i="51"/>
  <c r="J84" i="51"/>
  <c r="M84" i="51" s="1"/>
  <c r="X83" i="51"/>
  <c r="S83" i="51"/>
  <c r="U83" i="51"/>
  <c r="J83" i="51"/>
  <c r="M83" i="51" s="1"/>
  <c r="X82" i="51"/>
  <c r="S82" i="51"/>
  <c r="U82" i="51" s="1"/>
  <c r="J82" i="51"/>
  <c r="M82" i="51" s="1"/>
  <c r="X81" i="51"/>
  <c r="S81" i="51"/>
  <c r="U81" i="51" s="1"/>
  <c r="J81" i="51"/>
  <c r="M81" i="51" s="1"/>
  <c r="X80" i="51"/>
  <c r="S80" i="51"/>
  <c r="U80" i="51"/>
  <c r="J80" i="51"/>
  <c r="M80" i="51" s="1"/>
  <c r="X79" i="51"/>
  <c r="S79" i="51"/>
  <c r="U79" i="51"/>
  <c r="J79" i="51"/>
  <c r="M79" i="51" s="1"/>
  <c r="X78" i="51"/>
  <c r="S78" i="51"/>
  <c r="U78" i="51"/>
  <c r="J78" i="51"/>
  <c r="M78" i="51" s="1"/>
  <c r="X77" i="51"/>
  <c r="S77" i="51"/>
  <c r="U77" i="51"/>
  <c r="J77" i="51"/>
  <c r="M77" i="51" s="1"/>
  <c r="X76" i="51"/>
  <c r="S76" i="51"/>
  <c r="U76" i="51"/>
  <c r="J76" i="51"/>
  <c r="M76" i="51" s="1"/>
  <c r="X75" i="51"/>
  <c r="S75" i="51"/>
  <c r="U75" i="51"/>
  <c r="J75" i="51"/>
  <c r="M75" i="51"/>
  <c r="X74" i="51"/>
  <c r="S74" i="51"/>
  <c r="U74" i="51" s="1"/>
  <c r="J74" i="51"/>
  <c r="M74" i="51" s="1"/>
  <c r="X73" i="51"/>
  <c r="S73" i="51"/>
  <c r="U73" i="51" s="1"/>
  <c r="J73" i="51"/>
  <c r="M73" i="51" s="1"/>
  <c r="X72" i="51"/>
  <c r="S72" i="51"/>
  <c r="U72" i="51" s="1"/>
  <c r="J72" i="51"/>
  <c r="M72" i="51"/>
  <c r="X71" i="51"/>
  <c r="S71" i="51"/>
  <c r="U71" i="51" s="1"/>
  <c r="J71" i="51"/>
  <c r="M71" i="51"/>
  <c r="X70" i="51"/>
  <c r="S70" i="51"/>
  <c r="U70" i="51"/>
  <c r="J70" i="51"/>
  <c r="M70" i="51" s="1"/>
  <c r="X69" i="51"/>
  <c r="S69" i="51"/>
  <c r="U69" i="51"/>
  <c r="J69" i="51"/>
  <c r="M69" i="51" s="1"/>
  <c r="X68" i="51"/>
  <c r="S68" i="51"/>
  <c r="U68" i="51"/>
  <c r="J68" i="51"/>
  <c r="M68" i="51" s="1"/>
  <c r="X67" i="51"/>
  <c r="S67" i="51"/>
  <c r="U67" i="51"/>
  <c r="J67" i="51"/>
  <c r="M67" i="51" s="1"/>
  <c r="X66" i="51"/>
  <c r="S66" i="51"/>
  <c r="U66" i="51"/>
  <c r="J66" i="51"/>
  <c r="M66" i="51" s="1"/>
  <c r="X65" i="51"/>
  <c r="S65" i="51"/>
  <c r="U65" i="51" s="1"/>
  <c r="J65" i="51"/>
  <c r="M65" i="51"/>
  <c r="X64" i="51"/>
  <c r="S64" i="51"/>
  <c r="U64" i="51"/>
  <c r="J64" i="51"/>
  <c r="M64" i="51" s="1"/>
  <c r="X63" i="51"/>
  <c r="S63" i="51"/>
  <c r="U63" i="51" s="1"/>
  <c r="J63" i="51"/>
  <c r="M63" i="51" s="1"/>
  <c r="X62" i="51"/>
  <c r="S62" i="51"/>
  <c r="U62" i="51"/>
  <c r="J62" i="51"/>
  <c r="M62" i="51" s="1"/>
  <c r="X61" i="51"/>
  <c r="S61" i="51"/>
  <c r="U61" i="51"/>
  <c r="J61" i="51"/>
  <c r="M61" i="51" s="1"/>
  <c r="X60" i="51"/>
  <c r="S60" i="51"/>
  <c r="U60" i="51"/>
  <c r="J60" i="51"/>
  <c r="M60" i="51" s="1"/>
  <c r="X59" i="51"/>
  <c r="S59" i="51"/>
  <c r="U59" i="51"/>
  <c r="J59" i="51"/>
  <c r="M59" i="51"/>
  <c r="X58" i="51"/>
  <c r="S58" i="51"/>
  <c r="U58" i="51" s="1"/>
  <c r="J58" i="51"/>
  <c r="M58" i="51" s="1"/>
  <c r="X57" i="51"/>
  <c r="S57" i="51"/>
  <c r="U57" i="51"/>
  <c r="J57" i="51"/>
  <c r="M57" i="51" s="1"/>
  <c r="X56" i="51"/>
  <c r="S56" i="51"/>
  <c r="U56" i="51" s="1"/>
  <c r="J56" i="51"/>
  <c r="M56" i="51"/>
  <c r="X55" i="51"/>
  <c r="S55" i="51"/>
  <c r="U55" i="51"/>
  <c r="J55" i="51"/>
  <c r="M55" i="51" s="1"/>
  <c r="X54" i="51"/>
  <c r="S54" i="51"/>
  <c r="U54" i="51"/>
  <c r="J54" i="51"/>
  <c r="M54" i="51" s="1"/>
  <c r="X53" i="51"/>
  <c r="S53" i="51"/>
  <c r="U53" i="51"/>
  <c r="J53" i="51"/>
  <c r="M53" i="51" s="1"/>
  <c r="X52" i="51"/>
  <c r="S52" i="51"/>
  <c r="U52" i="51"/>
  <c r="J52" i="51"/>
  <c r="M52" i="51" s="1"/>
  <c r="X51" i="51"/>
  <c r="S51" i="51"/>
  <c r="U51" i="51"/>
  <c r="J51" i="51"/>
  <c r="M51" i="51" s="1"/>
  <c r="X50" i="51"/>
  <c r="S50" i="51"/>
  <c r="U50" i="51"/>
  <c r="J50" i="51"/>
  <c r="M50" i="51"/>
  <c r="X49" i="51"/>
  <c r="S49" i="51"/>
  <c r="U49" i="51" s="1"/>
  <c r="J49" i="51"/>
  <c r="M49" i="51" s="1"/>
  <c r="X48" i="51"/>
  <c r="S48" i="51"/>
  <c r="U48" i="51"/>
  <c r="J48" i="51"/>
  <c r="M48" i="51"/>
  <c r="X47" i="51"/>
  <c r="S47" i="51"/>
  <c r="U47" i="51" s="1"/>
  <c r="J47" i="51"/>
  <c r="M47" i="51"/>
  <c r="X46" i="51"/>
  <c r="S46" i="51"/>
  <c r="U46" i="51" s="1"/>
  <c r="J46" i="51"/>
  <c r="M46" i="51" s="1"/>
  <c r="X45" i="51"/>
  <c r="S45" i="51"/>
  <c r="U45" i="51"/>
  <c r="J45" i="51"/>
  <c r="M45" i="51" s="1"/>
  <c r="X44" i="51"/>
  <c r="S44" i="51"/>
  <c r="U44" i="51" s="1"/>
  <c r="J44" i="51"/>
  <c r="M44" i="51" s="1"/>
  <c r="X43" i="51"/>
  <c r="S43" i="51"/>
  <c r="U43" i="51"/>
  <c r="J43" i="51"/>
  <c r="M43" i="51" s="1"/>
  <c r="X42" i="51"/>
  <c r="S42" i="51"/>
  <c r="U42" i="51"/>
  <c r="J42" i="51"/>
  <c r="M42" i="51" s="1"/>
  <c r="X41" i="51"/>
  <c r="S41" i="51"/>
  <c r="U41" i="51"/>
  <c r="J41" i="51"/>
  <c r="M41" i="51" s="1"/>
  <c r="X40" i="51"/>
  <c r="S40" i="51"/>
  <c r="U40" i="51" s="1"/>
  <c r="J40" i="51"/>
  <c r="M40" i="51"/>
  <c r="X39" i="51"/>
  <c r="S39" i="51"/>
  <c r="U39" i="5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/>
  <c r="J35" i="51"/>
  <c r="M35" i="51"/>
  <c r="X34" i="51"/>
  <c r="S34" i="51"/>
  <c r="U34" i="51"/>
  <c r="J34" i="51"/>
  <c r="M34" i="51"/>
  <c r="X33" i="51"/>
  <c r="S33" i="51"/>
  <c r="U33" i="51"/>
  <c r="J33" i="51"/>
  <c r="M33" i="51" s="1"/>
  <c r="X32" i="51"/>
  <c r="S32" i="51"/>
  <c r="U32" i="51"/>
  <c r="J32" i="51"/>
  <c r="M32" i="51"/>
  <c r="X31" i="51"/>
  <c r="S31" i="51"/>
  <c r="U31" i="51" s="1"/>
  <c r="J31" i="51"/>
  <c r="M31" i="51"/>
  <c r="X30" i="51"/>
  <c r="S30" i="51"/>
  <c r="U30" i="51"/>
  <c r="J30" i="51"/>
  <c r="M30" i="51" s="1"/>
  <c r="X29" i="51"/>
  <c r="S29" i="51"/>
  <c r="U29" i="51"/>
  <c r="J29" i="51"/>
  <c r="M29" i="51" s="1"/>
  <c r="X28" i="51"/>
  <c r="S28" i="51"/>
  <c r="U28" i="51"/>
  <c r="J28" i="51"/>
  <c r="M28" i="51" s="1"/>
  <c r="X27" i="51"/>
  <c r="S27" i="51"/>
  <c r="U27" i="51"/>
  <c r="J27" i="51"/>
  <c r="M27" i="51" s="1"/>
  <c r="X26" i="51"/>
  <c r="S26" i="51"/>
  <c r="U26" i="51"/>
  <c r="J26" i="51"/>
  <c r="M26" i="51" s="1"/>
  <c r="X25" i="51"/>
  <c r="S25" i="51"/>
  <c r="U25" i="51"/>
  <c r="J25" i="51"/>
  <c r="M25" i="51" s="1"/>
  <c r="X24" i="51"/>
  <c r="S24" i="51"/>
  <c r="U24" i="51" s="1"/>
  <c r="J24" i="51"/>
  <c r="M24" i="51"/>
  <c r="X23" i="51"/>
  <c r="S23" i="51"/>
  <c r="U23" i="51"/>
  <c r="J23" i="51"/>
  <c r="M23" i="51"/>
  <c r="X22" i="51"/>
  <c r="S22" i="51"/>
  <c r="U22" i="51"/>
  <c r="J22" i="51"/>
  <c r="M22" i="51" s="1"/>
  <c r="X21" i="51"/>
  <c r="S21" i="51"/>
  <c r="U21" i="51" s="1"/>
  <c r="J21" i="51"/>
  <c r="M21" i="51" s="1"/>
  <c r="X20" i="51"/>
  <c r="S20" i="51"/>
  <c r="U20" i="51"/>
  <c r="J20" i="51"/>
  <c r="M20" i="51" s="1"/>
  <c r="X19" i="51"/>
  <c r="S19" i="51"/>
  <c r="U19" i="51" s="1"/>
  <c r="J19" i="51"/>
  <c r="M19" i="51" s="1"/>
  <c r="X18" i="51"/>
  <c r="S18" i="51"/>
  <c r="U18" i="51"/>
  <c r="J18" i="51"/>
  <c r="M18" i="51"/>
  <c r="X17" i="51"/>
  <c r="S17" i="51"/>
  <c r="U17" i="51" s="1"/>
  <c r="J17" i="51"/>
  <c r="M17" i="51" s="1"/>
  <c r="X16" i="51"/>
  <c r="S16" i="51"/>
  <c r="U16" i="51" s="1"/>
  <c r="J16" i="51"/>
  <c r="M16" i="51"/>
  <c r="X15" i="51"/>
  <c r="S15" i="51"/>
  <c r="U15" i="51" s="1"/>
  <c r="J15" i="51"/>
  <c r="M15" i="51"/>
  <c r="X14" i="51"/>
  <c r="S14" i="51"/>
  <c r="U14" i="51"/>
  <c r="J14" i="51"/>
  <c r="M14" i="51" s="1"/>
  <c r="X13" i="51"/>
  <c r="S13" i="51"/>
  <c r="U13" i="51"/>
  <c r="J13" i="51"/>
  <c r="M13" i="51" s="1"/>
  <c r="X12" i="51"/>
  <c r="S12" i="51"/>
  <c r="U12" i="51"/>
  <c r="J12" i="51"/>
  <c r="M12" i="51" s="1"/>
  <c r="X11" i="51"/>
  <c r="S11" i="51"/>
  <c r="U11" i="51"/>
  <c r="J11" i="51"/>
  <c r="M11" i="51"/>
  <c r="X10" i="51"/>
  <c r="S10" i="51"/>
  <c r="U10" i="51" s="1"/>
  <c r="J10" i="51"/>
  <c r="M10" i="51"/>
  <c r="X9" i="51"/>
  <c r="S9" i="51"/>
  <c r="U9" i="51"/>
  <c r="J9" i="51"/>
  <c r="M9" i="51" s="1"/>
  <c r="X8" i="51"/>
  <c r="S8" i="51"/>
  <c r="U8" i="51" s="1"/>
  <c r="J8" i="51"/>
  <c r="M8" i="51"/>
  <c r="X7" i="51"/>
  <c r="S7" i="51"/>
  <c r="U7" i="51"/>
  <c r="J7" i="51"/>
  <c r="M7" i="51" s="1"/>
  <c r="X6" i="51"/>
  <c r="S6" i="51"/>
  <c r="U6" i="51"/>
  <c r="J6" i="51"/>
  <c r="M6" i="51" s="1"/>
  <c r="X5" i="51"/>
  <c r="S5" i="51"/>
  <c r="U5" i="51"/>
  <c r="J5" i="51"/>
  <c r="M5" i="51" s="1"/>
  <c r="T20" i="16"/>
  <c r="Q20" i="16"/>
  <c r="P20" i="16"/>
  <c r="O20" i="16"/>
  <c r="K220" i="50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/>
  <c r="J199" i="50"/>
  <c r="M199" i="50" s="1"/>
  <c r="J198" i="50"/>
  <c r="M198" i="50"/>
  <c r="J197" i="50"/>
  <c r="M197" i="50" s="1"/>
  <c r="J196" i="50"/>
  <c r="M196" i="50"/>
  <c r="J195" i="50"/>
  <c r="M195" i="50" s="1"/>
  <c r="J194" i="50"/>
  <c r="M194" i="50" s="1"/>
  <c r="J193" i="50"/>
  <c r="M193" i="50"/>
  <c r="J192" i="50"/>
  <c r="M192" i="50" s="1"/>
  <c r="J191" i="50"/>
  <c r="M191" i="50" s="1"/>
  <c r="J190" i="50"/>
  <c r="M190" i="50"/>
  <c r="J189" i="50"/>
  <c r="M189" i="50" s="1"/>
  <c r="J188" i="50"/>
  <c r="M188" i="50" s="1"/>
  <c r="J187" i="50"/>
  <c r="M187" i="50" s="1"/>
  <c r="J186" i="50"/>
  <c r="M186" i="50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/>
  <c r="J179" i="50"/>
  <c r="M179" i="50" s="1"/>
  <c r="J178" i="50"/>
  <c r="M178" i="50" s="1"/>
  <c r="J177" i="50"/>
  <c r="M177" i="50"/>
  <c r="J176" i="50"/>
  <c r="M176" i="50" s="1"/>
  <c r="J175" i="50"/>
  <c r="M175" i="50" s="1"/>
  <c r="J174" i="50"/>
  <c r="M174" i="50" s="1"/>
  <c r="J173" i="50"/>
  <c r="M173" i="50" s="1"/>
  <c r="J172" i="50"/>
  <c r="M172" i="50"/>
  <c r="J171" i="50"/>
  <c r="M171" i="50" s="1"/>
  <c r="J170" i="50"/>
  <c r="M170" i="50" s="1"/>
  <c r="J169" i="50"/>
  <c r="M169" i="50" s="1"/>
  <c r="J168" i="50"/>
  <c r="M168" i="50"/>
  <c r="J167" i="50"/>
  <c r="M167" i="50" s="1"/>
  <c r="J166" i="50"/>
  <c r="M166" i="50"/>
  <c r="J165" i="50"/>
  <c r="M165" i="50" s="1"/>
  <c r="J164" i="50"/>
  <c r="M164" i="50" s="1"/>
  <c r="J163" i="50"/>
  <c r="M163" i="50" s="1"/>
  <c r="J162" i="50"/>
  <c r="M162" i="50"/>
  <c r="J161" i="50"/>
  <c r="M161" i="50"/>
  <c r="J160" i="50"/>
  <c r="M160" i="50" s="1"/>
  <c r="J159" i="50"/>
  <c r="M159" i="50" s="1"/>
  <c r="J158" i="50"/>
  <c r="M158" i="50"/>
  <c r="J157" i="50"/>
  <c r="M157" i="50"/>
  <c r="J156" i="50"/>
  <c r="M156" i="50" s="1"/>
  <c r="J155" i="50"/>
  <c r="M155" i="50" s="1"/>
  <c r="J154" i="50"/>
  <c r="M154" i="50"/>
  <c r="J153" i="50"/>
  <c r="M153" i="50"/>
  <c r="J152" i="50"/>
  <c r="M152" i="50"/>
  <c r="J151" i="50"/>
  <c r="M151" i="50" s="1"/>
  <c r="J150" i="50"/>
  <c r="M150" i="50" s="1"/>
  <c r="J149" i="50"/>
  <c r="M149" i="50"/>
  <c r="J148" i="50"/>
  <c r="M148" i="50"/>
  <c r="J147" i="50"/>
  <c r="M147" i="50" s="1"/>
  <c r="J146" i="50"/>
  <c r="M146" i="50" s="1"/>
  <c r="J145" i="50"/>
  <c r="M145" i="50"/>
  <c r="J144" i="50"/>
  <c r="M144" i="50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/>
  <c r="J137" i="50"/>
  <c r="M137" i="50"/>
  <c r="J136" i="50"/>
  <c r="M136" i="50"/>
  <c r="J135" i="50"/>
  <c r="M135" i="50" s="1"/>
  <c r="J134" i="50"/>
  <c r="M134" i="50"/>
  <c r="J133" i="50"/>
  <c r="M133" i="50" s="1"/>
  <c r="J132" i="50"/>
  <c r="M132" i="50"/>
  <c r="J131" i="50"/>
  <c r="M131" i="50" s="1"/>
  <c r="J130" i="50"/>
  <c r="M130" i="50" s="1"/>
  <c r="J129" i="50"/>
  <c r="M129" i="50"/>
  <c r="J128" i="50"/>
  <c r="M128" i="50" s="1"/>
  <c r="J127" i="50"/>
  <c r="M127" i="50" s="1"/>
  <c r="J126" i="50"/>
  <c r="M126" i="50"/>
  <c r="J125" i="50"/>
  <c r="M125" i="50"/>
  <c r="J124" i="50"/>
  <c r="M124" i="50"/>
  <c r="J123" i="50"/>
  <c r="M123" i="50" s="1"/>
  <c r="J122" i="50"/>
  <c r="M122" i="50"/>
  <c r="J121" i="50"/>
  <c r="M121" i="50" s="1"/>
  <c r="J120" i="50"/>
  <c r="M120" i="50"/>
  <c r="J119" i="50"/>
  <c r="M119" i="50" s="1"/>
  <c r="J118" i="50"/>
  <c r="M118" i="50"/>
  <c r="J117" i="50"/>
  <c r="M117" i="50"/>
  <c r="J116" i="50"/>
  <c r="M116" i="50"/>
  <c r="J115" i="50"/>
  <c r="M115" i="50" s="1"/>
  <c r="J114" i="50"/>
  <c r="M114" i="50" s="1"/>
  <c r="J113" i="50"/>
  <c r="M113" i="50"/>
  <c r="J112" i="50"/>
  <c r="M112" i="50" s="1"/>
  <c r="J111" i="50"/>
  <c r="M111" i="50" s="1"/>
  <c r="J110" i="50"/>
  <c r="M110" i="50"/>
  <c r="J109" i="50"/>
  <c r="M109" i="50"/>
  <c r="J108" i="50"/>
  <c r="M108" i="50"/>
  <c r="J107" i="50"/>
  <c r="M107" i="50" s="1"/>
  <c r="J106" i="50"/>
  <c r="M106" i="50"/>
  <c r="Z105" i="50"/>
  <c r="J105" i="50"/>
  <c r="M105" i="50" s="1"/>
  <c r="X104" i="50"/>
  <c r="S104" i="50"/>
  <c r="U104" i="50"/>
  <c r="J104" i="50"/>
  <c r="M104" i="50"/>
  <c r="X103" i="50"/>
  <c r="S103" i="50"/>
  <c r="U103" i="50" s="1"/>
  <c r="J103" i="50"/>
  <c r="M103" i="50"/>
  <c r="X102" i="50"/>
  <c r="S102" i="50"/>
  <c r="U102" i="50"/>
  <c r="J102" i="50"/>
  <c r="M102" i="50"/>
  <c r="X101" i="50"/>
  <c r="S101" i="50"/>
  <c r="U101" i="50"/>
  <c r="J101" i="50"/>
  <c r="M101" i="50" s="1"/>
  <c r="X100" i="50"/>
  <c r="S100" i="50"/>
  <c r="U100" i="50"/>
  <c r="J100" i="50"/>
  <c r="M100" i="50"/>
  <c r="X99" i="50"/>
  <c r="S99" i="50"/>
  <c r="U99" i="50" s="1"/>
  <c r="J99" i="50"/>
  <c r="M99" i="50" s="1"/>
  <c r="X98" i="50"/>
  <c r="S98" i="50"/>
  <c r="U98" i="50" s="1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/>
  <c r="J95" i="50"/>
  <c r="M95" i="50"/>
  <c r="X94" i="50"/>
  <c r="S94" i="50"/>
  <c r="U94" i="50" s="1"/>
  <c r="J94" i="50"/>
  <c r="M94" i="50" s="1"/>
  <c r="X93" i="50"/>
  <c r="S93" i="50"/>
  <c r="U93" i="50"/>
  <c r="J93" i="50"/>
  <c r="M93" i="50"/>
  <c r="X92" i="50"/>
  <c r="S92" i="50"/>
  <c r="U92" i="50" s="1"/>
  <c r="J92" i="50"/>
  <c r="M92" i="50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/>
  <c r="J89" i="50"/>
  <c r="M89" i="50" s="1"/>
  <c r="X88" i="50"/>
  <c r="S88" i="50"/>
  <c r="U88" i="50"/>
  <c r="J88" i="50"/>
  <c r="M88" i="50"/>
  <c r="X87" i="50"/>
  <c r="S87" i="50"/>
  <c r="U87" i="50"/>
  <c r="J87" i="50"/>
  <c r="M87" i="50" s="1"/>
  <c r="X86" i="50"/>
  <c r="S86" i="50"/>
  <c r="U86" i="50"/>
  <c r="J86" i="50"/>
  <c r="M86" i="50"/>
  <c r="X85" i="50"/>
  <c r="S85" i="50"/>
  <c r="U85" i="50" s="1"/>
  <c r="J85" i="50"/>
  <c r="M85" i="50"/>
  <c r="X84" i="50"/>
  <c r="S84" i="50"/>
  <c r="U84" i="50"/>
  <c r="J84" i="50"/>
  <c r="M84" i="50"/>
  <c r="X83" i="50"/>
  <c r="S83" i="50"/>
  <c r="U83" i="50"/>
  <c r="J83" i="50"/>
  <c r="M83" i="50" s="1"/>
  <c r="X82" i="50"/>
  <c r="S82" i="50"/>
  <c r="U82" i="50" s="1"/>
  <c r="J82" i="50"/>
  <c r="M82" i="50" s="1"/>
  <c r="X81" i="50"/>
  <c r="S81" i="50"/>
  <c r="U81" i="50"/>
  <c r="J81" i="50"/>
  <c r="M81" i="50" s="1"/>
  <c r="X80" i="50"/>
  <c r="S80" i="50"/>
  <c r="U80" i="50" s="1"/>
  <c r="J80" i="50"/>
  <c r="M80" i="50" s="1"/>
  <c r="X79" i="50"/>
  <c r="S79" i="50"/>
  <c r="U79" i="50"/>
  <c r="J79" i="50"/>
  <c r="M79" i="50"/>
  <c r="X78" i="50"/>
  <c r="S78" i="50"/>
  <c r="U78" i="50" s="1"/>
  <c r="J78" i="50"/>
  <c r="M78" i="50"/>
  <c r="X77" i="50"/>
  <c r="S77" i="50"/>
  <c r="U77" i="50"/>
  <c r="J77" i="50"/>
  <c r="M77" i="50"/>
  <c r="X76" i="50"/>
  <c r="S76" i="50"/>
  <c r="U76" i="50"/>
  <c r="J76" i="50"/>
  <c r="M76" i="50" s="1"/>
  <c r="X75" i="50"/>
  <c r="S75" i="50"/>
  <c r="U75" i="50"/>
  <c r="J75" i="50"/>
  <c r="M75" i="50" s="1"/>
  <c r="X74" i="50"/>
  <c r="S74" i="50"/>
  <c r="U74" i="50"/>
  <c r="J74" i="50"/>
  <c r="M74" i="50" s="1"/>
  <c r="X73" i="50"/>
  <c r="S73" i="50"/>
  <c r="U73" i="50"/>
  <c r="J73" i="50"/>
  <c r="M73" i="50" s="1"/>
  <c r="X72" i="50"/>
  <c r="S72" i="50"/>
  <c r="U72" i="50"/>
  <c r="J72" i="50"/>
  <c r="M72" i="50" s="1"/>
  <c r="X71" i="50"/>
  <c r="S71" i="50"/>
  <c r="U71" i="50"/>
  <c r="J71" i="50"/>
  <c r="M71" i="50"/>
  <c r="X70" i="50"/>
  <c r="S70" i="50"/>
  <c r="U70" i="50" s="1"/>
  <c r="J70" i="50"/>
  <c r="M70" i="50" s="1"/>
  <c r="X69" i="50"/>
  <c r="S69" i="50"/>
  <c r="U69" i="50"/>
  <c r="J69" i="50"/>
  <c r="M69" i="50"/>
  <c r="X68" i="50"/>
  <c r="S68" i="50"/>
  <c r="U68" i="50" s="1"/>
  <c r="J68" i="50"/>
  <c r="M68" i="50" s="1"/>
  <c r="X67" i="50"/>
  <c r="S67" i="50"/>
  <c r="U67" i="50"/>
  <c r="J67" i="50"/>
  <c r="M67" i="50" s="1"/>
  <c r="X66" i="50"/>
  <c r="U66" i="50"/>
  <c r="S66" i="50"/>
  <c r="J66" i="50"/>
  <c r="M66" i="50" s="1"/>
  <c r="X65" i="50"/>
  <c r="S65" i="50"/>
  <c r="U65" i="50"/>
  <c r="J65" i="50"/>
  <c r="M65" i="50" s="1"/>
  <c r="X64" i="50"/>
  <c r="S64" i="50"/>
  <c r="U64" i="50" s="1"/>
  <c r="J64" i="50"/>
  <c r="M64" i="50" s="1"/>
  <c r="X63" i="50"/>
  <c r="S63" i="50"/>
  <c r="U63" i="50"/>
  <c r="J63" i="50"/>
  <c r="M63" i="50"/>
  <c r="X62" i="50"/>
  <c r="S62" i="50"/>
  <c r="U62" i="50" s="1"/>
  <c r="J62" i="50"/>
  <c r="M62" i="50"/>
  <c r="X61" i="50"/>
  <c r="S61" i="50"/>
  <c r="U61" i="50"/>
  <c r="J61" i="50"/>
  <c r="M61" i="50" s="1"/>
  <c r="X60" i="50"/>
  <c r="S60" i="50"/>
  <c r="U60" i="50"/>
  <c r="J60" i="50"/>
  <c r="M60" i="50" s="1"/>
  <c r="X59" i="50"/>
  <c r="S59" i="50"/>
  <c r="U59" i="50"/>
  <c r="J59" i="50"/>
  <c r="M59" i="50" s="1"/>
  <c r="X58" i="50"/>
  <c r="S58" i="50"/>
  <c r="U58" i="50"/>
  <c r="J58" i="50"/>
  <c r="M58" i="50" s="1"/>
  <c r="X57" i="50"/>
  <c r="S57" i="50"/>
  <c r="U57" i="50"/>
  <c r="J57" i="50"/>
  <c r="M57" i="50" s="1"/>
  <c r="X56" i="50"/>
  <c r="S56" i="50"/>
  <c r="U56" i="50"/>
  <c r="J56" i="50"/>
  <c r="M56" i="50" s="1"/>
  <c r="X55" i="50"/>
  <c r="S55" i="50"/>
  <c r="U55" i="50"/>
  <c r="J55" i="50"/>
  <c r="M55" i="50"/>
  <c r="X54" i="50"/>
  <c r="U54" i="50"/>
  <c r="S54" i="50"/>
  <c r="J54" i="50"/>
  <c r="M54" i="50"/>
  <c r="X53" i="50"/>
  <c r="S53" i="50"/>
  <c r="U53" i="50" s="1"/>
  <c r="J53" i="50"/>
  <c r="M53" i="50"/>
  <c r="X52" i="50"/>
  <c r="S52" i="50"/>
  <c r="U52" i="50" s="1"/>
  <c r="J52" i="50"/>
  <c r="M52" i="50" s="1"/>
  <c r="X51" i="50"/>
  <c r="S51" i="50"/>
  <c r="U51" i="50"/>
  <c r="J51" i="50"/>
  <c r="M51" i="50" s="1"/>
  <c r="X50" i="50"/>
  <c r="S50" i="50"/>
  <c r="U50" i="50" s="1"/>
  <c r="J50" i="50"/>
  <c r="M50" i="50" s="1"/>
  <c r="X49" i="50"/>
  <c r="S49" i="50"/>
  <c r="U49" i="50"/>
  <c r="M49" i="50"/>
  <c r="J49" i="50"/>
  <c r="X48" i="50"/>
  <c r="S48" i="50"/>
  <c r="U48" i="50"/>
  <c r="J48" i="50"/>
  <c r="M48" i="50" s="1"/>
  <c r="X47" i="50"/>
  <c r="S47" i="50"/>
  <c r="U47" i="50"/>
  <c r="J47" i="50"/>
  <c r="M47" i="50"/>
  <c r="X46" i="50"/>
  <c r="S46" i="50"/>
  <c r="U46" i="50" s="1"/>
  <c r="J46" i="50"/>
  <c r="M46" i="50"/>
  <c r="X45" i="50"/>
  <c r="S45" i="50"/>
  <c r="U45" i="50"/>
  <c r="J45" i="50"/>
  <c r="M45" i="50" s="1"/>
  <c r="X44" i="50"/>
  <c r="S44" i="50"/>
  <c r="U44" i="50"/>
  <c r="J44" i="50"/>
  <c r="M44" i="50" s="1"/>
  <c r="X43" i="50"/>
  <c r="S43" i="50"/>
  <c r="U43" i="50"/>
  <c r="J43" i="50"/>
  <c r="M43" i="50" s="1"/>
  <c r="X42" i="50"/>
  <c r="S42" i="50"/>
  <c r="U42" i="50"/>
  <c r="J42" i="50"/>
  <c r="M42" i="50" s="1"/>
  <c r="X41" i="50"/>
  <c r="S41" i="50"/>
  <c r="U41" i="50"/>
  <c r="J41" i="50"/>
  <c r="M41" i="50" s="1"/>
  <c r="X40" i="50"/>
  <c r="S40" i="50"/>
  <c r="U40" i="50"/>
  <c r="J40" i="50"/>
  <c r="M40" i="50" s="1"/>
  <c r="X39" i="50"/>
  <c r="S39" i="50"/>
  <c r="U39" i="50"/>
  <c r="J39" i="50"/>
  <c r="M39" i="50" s="1"/>
  <c r="X38" i="50"/>
  <c r="S38" i="50"/>
  <c r="U38" i="50"/>
  <c r="J38" i="50"/>
  <c r="M38" i="50"/>
  <c r="X37" i="50"/>
  <c r="S37" i="50"/>
  <c r="U37" i="50" s="1"/>
  <c r="J37" i="50"/>
  <c r="M37" i="50"/>
  <c r="X36" i="50"/>
  <c r="S36" i="50"/>
  <c r="U36" i="50"/>
  <c r="J36" i="50"/>
  <c r="M36" i="50" s="1"/>
  <c r="X35" i="50"/>
  <c r="S35" i="50"/>
  <c r="U35" i="50"/>
  <c r="J35" i="50"/>
  <c r="M35" i="50" s="1"/>
  <c r="X34" i="50"/>
  <c r="S34" i="50"/>
  <c r="U34" i="50"/>
  <c r="J34" i="50"/>
  <c r="M34" i="50" s="1"/>
  <c r="X33" i="50"/>
  <c r="S33" i="50"/>
  <c r="U33" i="50"/>
  <c r="J33" i="50"/>
  <c r="M33" i="50" s="1"/>
  <c r="X32" i="50"/>
  <c r="S32" i="50"/>
  <c r="U32" i="50"/>
  <c r="J32" i="50"/>
  <c r="M32" i="50" s="1"/>
  <c r="X31" i="50"/>
  <c r="S31" i="50"/>
  <c r="U31" i="50"/>
  <c r="J31" i="50"/>
  <c r="M31" i="50"/>
  <c r="X30" i="50"/>
  <c r="S30" i="50"/>
  <c r="U30" i="50"/>
  <c r="J30" i="50"/>
  <c r="M30" i="50" s="1"/>
  <c r="X29" i="50"/>
  <c r="S29" i="50"/>
  <c r="U29" i="50"/>
  <c r="J29" i="50"/>
  <c r="M29" i="50" s="1"/>
  <c r="X28" i="50"/>
  <c r="S28" i="50"/>
  <c r="U28" i="50"/>
  <c r="J28" i="50"/>
  <c r="M28" i="50"/>
  <c r="X27" i="50"/>
  <c r="S27" i="50"/>
  <c r="U27" i="50" s="1"/>
  <c r="J27" i="50"/>
  <c r="M27" i="50" s="1"/>
  <c r="X26" i="50"/>
  <c r="U26" i="50"/>
  <c r="S26" i="50"/>
  <c r="J26" i="50"/>
  <c r="M26" i="50" s="1"/>
  <c r="X25" i="50"/>
  <c r="U25" i="50"/>
  <c r="S25" i="50"/>
  <c r="J25" i="50"/>
  <c r="M25" i="50" s="1"/>
  <c r="X24" i="50"/>
  <c r="S24" i="50"/>
  <c r="U24" i="50" s="1"/>
  <c r="J24" i="50"/>
  <c r="M24" i="50"/>
  <c r="X23" i="50"/>
  <c r="S23" i="50"/>
  <c r="U23" i="50"/>
  <c r="J23" i="50"/>
  <c r="M23" i="50" s="1"/>
  <c r="X22" i="50"/>
  <c r="S22" i="50"/>
  <c r="U22" i="50"/>
  <c r="J22" i="50"/>
  <c r="M22" i="50" s="1"/>
  <c r="X21" i="50"/>
  <c r="S21" i="50"/>
  <c r="U21" i="50"/>
  <c r="J21" i="50"/>
  <c r="M21" i="50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 s="1"/>
  <c r="J16" i="50"/>
  <c r="M16" i="50" s="1"/>
  <c r="X15" i="50"/>
  <c r="S15" i="50"/>
  <c r="U15" i="50"/>
  <c r="J15" i="50"/>
  <c r="M15" i="50"/>
  <c r="X14" i="50"/>
  <c r="S14" i="50"/>
  <c r="U14" i="50" s="1"/>
  <c r="J14" i="50"/>
  <c r="M14" i="50" s="1"/>
  <c r="X13" i="50"/>
  <c r="S13" i="50"/>
  <c r="U13" i="50"/>
  <c r="J13" i="50"/>
  <c r="M13" i="50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 s="1"/>
  <c r="J10" i="50"/>
  <c r="M10" i="50" s="1"/>
  <c r="X9" i="50"/>
  <c r="S9" i="50"/>
  <c r="U9" i="50" s="1"/>
  <c r="J9" i="50"/>
  <c r="X8" i="50"/>
  <c r="X107" i="50" s="1"/>
  <c r="J206" i="50" s="1"/>
  <c r="S8" i="50"/>
  <c r="U8" i="50" s="1"/>
  <c r="J8" i="50"/>
  <c r="M8" i="50"/>
  <c r="X7" i="50"/>
  <c r="S7" i="50"/>
  <c r="U7" i="50"/>
  <c r="J7" i="50"/>
  <c r="M7" i="50"/>
  <c r="X6" i="50"/>
  <c r="S6" i="50"/>
  <c r="U6" i="50"/>
  <c r="K212" i="50"/>
  <c r="N20" i="16" s="1"/>
  <c r="J6" i="50"/>
  <c r="M6" i="50"/>
  <c r="X5" i="50"/>
  <c r="S5" i="50"/>
  <c r="U5" i="50" s="1"/>
  <c r="J5" i="50"/>
  <c r="M5" i="50" s="1"/>
  <c r="R21" i="16"/>
  <c r="R20" i="16"/>
  <c r="P216" i="49"/>
  <c r="T19" i="16"/>
  <c r="Q19" i="16"/>
  <c r="P19" i="16"/>
  <c r="O19" i="16"/>
  <c r="K220" i="49"/>
  <c r="K209" i="49"/>
  <c r="J204" i="49"/>
  <c r="M204" i="49" s="1"/>
  <c r="J203" i="49"/>
  <c r="M203" i="49" s="1"/>
  <c r="J202" i="49"/>
  <c r="M202" i="49" s="1"/>
  <c r="J201" i="49"/>
  <c r="M201" i="49" s="1"/>
  <c r="J200" i="49"/>
  <c r="M200" i="49"/>
  <c r="J199" i="49"/>
  <c r="M199" i="49" s="1"/>
  <c r="J198" i="49"/>
  <c r="M198" i="49" s="1"/>
  <c r="J197" i="49"/>
  <c r="M197" i="49" s="1"/>
  <c r="J196" i="49"/>
  <c r="M196" i="49"/>
  <c r="J195" i="49"/>
  <c r="M195" i="49" s="1"/>
  <c r="J194" i="49"/>
  <c r="M194" i="49" s="1"/>
  <c r="J193" i="49"/>
  <c r="M193" i="49" s="1"/>
  <c r="J192" i="49"/>
  <c r="M192" i="49" s="1"/>
  <c r="J191" i="49"/>
  <c r="M191" i="49"/>
  <c r="J190" i="49"/>
  <c r="M190" i="49" s="1"/>
  <c r="J189" i="49"/>
  <c r="M189" i="49" s="1"/>
  <c r="J188" i="49"/>
  <c r="M188" i="49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/>
  <c r="J179" i="49"/>
  <c r="M179" i="49" s="1"/>
  <c r="J178" i="49"/>
  <c r="M178" i="49" s="1"/>
  <c r="J177" i="49"/>
  <c r="M177" i="49" s="1"/>
  <c r="J176" i="49"/>
  <c r="M176" i="49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J167" i="49"/>
  <c r="M167" i="49" s="1"/>
  <c r="J166" i="49"/>
  <c r="M166" i="49"/>
  <c r="J165" i="49"/>
  <c r="M165" i="49"/>
  <c r="J164" i="49"/>
  <c r="M164" i="49" s="1"/>
  <c r="J163" i="49"/>
  <c r="M163" i="49" s="1"/>
  <c r="J162" i="49"/>
  <c r="M162" i="49"/>
  <c r="J161" i="49"/>
  <c r="M161" i="49"/>
  <c r="J160" i="49"/>
  <c r="M160" i="49" s="1"/>
  <c r="J159" i="49"/>
  <c r="M159" i="49" s="1"/>
  <c r="J158" i="49"/>
  <c r="M158" i="49" s="1"/>
  <c r="J157" i="49"/>
  <c r="M157" i="49"/>
  <c r="J156" i="49"/>
  <c r="M156" i="49" s="1"/>
  <c r="J155" i="49"/>
  <c r="M155" i="49" s="1"/>
  <c r="J154" i="49"/>
  <c r="M154" i="49"/>
  <c r="J153" i="49"/>
  <c r="M153" i="49" s="1"/>
  <c r="J152" i="49"/>
  <c r="M152" i="49" s="1"/>
  <c r="J151" i="49"/>
  <c r="M151" i="49" s="1"/>
  <c r="J150" i="49"/>
  <c r="M150" i="49"/>
  <c r="J149" i="49"/>
  <c r="M149" i="49"/>
  <c r="J148" i="49"/>
  <c r="M148" i="49" s="1"/>
  <c r="J147" i="49"/>
  <c r="M147" i="49" s="1"/>
  <c r="J146" i="49"/>
  <c r="M146" i="49"/>
  <c r="J145" i="49"/>
  <c r="M145" i="49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/>
  <c r="J137" i="49"/>
  <c r="M137" i="49"/>
  <c r="J136" i="49"/>
  <c r="M136" i="49" s="1"/>
  <c r="J135" i="49"/>
  <c r="M135" i="49" s="1"/>
  <c r="J134" i="49"/>
  <c r="M134" i="49"/>
  <c r="J133" i="49"/>
  <c r="M133" i="49"/>
  <c r="J132" i="49"/>
  <c r="M132" i="49" s="1"/>
  <c r="J131" i="49"/>
  <c r="M131" i="49" s="1"/>
  <c r="J130" i="49"/>
  <c r="M130" i="49" s="1"/>
  <c r="J129" i="49"/>
  <c r="M129" i="49"/>
  <c r="J128" i="49"/>
  <c r="M128" i="49" s="1"/>
  <c r="J127" i="49"/>
  <c r="M127" i="49" s="1"/>
  <c r="J126" i="49"/>
  <c r="M126" i="49"/>
  <c r="J125" i="49"/>
  <c r="M125" i="49"/>
  <c r="J124" i="49"/>
  <c r="M124" i="49" s="1"/>
  <c r="J123" i="49"/>
  <c r="M123" i="49" s="1"/>
  <c r="J122" i="49"/>
  <c r="M122" i="49"/>
  <c r="J121" i="49"/>
  <c r="M121" i="49"/>
  <c r="J120" i="49"/>
  <c r="M120" i="49" s="1"/>
  <c r="J119" i="49"/>
  <c r="M119" i="49" s="1"/>
  <c r="J118" i="49"/>
  <c r="M118" i="49"/>
  <c r="J117" i="49"/>
  <c r="M117" i="49"/>
  <c r="J116" i="49"/>
  <c r="M116" i="49" s="1"/>
  <c r="J115" i="49"/>
  <c r="M115" i="49" s="1"/>
  <c r="J114" i="49"/>
  <c r="M114" i="49"/>
  <c r="J113" i="49"/>
  <c r="M113" i="49"/>
  <c r="J112" i="49"/>
  <c r="M112" i="49" s="1"/>
  <c r="J111" i="49"/>
  <c r="M111" i="49" s="1"/>
  <c r="J110" i="49"/>
  <c r="M110" i="49"/>
  <c r="J109" i="49"/>
  <c r="M109" i="49"/>
  <c r="J108" i="49"/>
  <c r="M108" i="49" s="1"/>
  <c r="J107" i="49"/>
  <c r="M107" i="49" s="1"/>
  <c r="J106" i="49"/>
  <c r="M106" i="49"/>
  <c r="Z105" i="49"/>
  <c r="J105" i="49"/>
  <c r="M105" i="49" s="1"/>
  <c r="X104" i="49"/>
  <c r="S104" i="49"/>
  <c r="U104" i="49"/>
  <c r="J104" i="49"/>
  <c r="M104" i="49" s="1"/>
  <c r="X103" i="49"/>
  <c r="S103" i="49"/>
  <c r="U103" i="49"/>
  <c r="J103" i="49"/>
  <c r="M103" i="49" s="1"/>
  <c r="X102" i="49"/>
  <c r="S102" i="49"/>
  <c r="U102" i="49"/>
  <c r="J102" i="49"/>
  <c r="M102" i="49"/>
  <c r="X101" i="49"/>
  <c r="S101" i="49"/>
  <c r="U101" i="49" s="1"/>
  <c r="J101" i="49"/>
  <c r="M101" i="49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/>
  <c r="J98" i="49"/>
  <c r="M98" i="49" s="1"/>
  <c r="X97" i="49"/>
  <c r="S97" i="49"/>
  <c r="U97" i="49"/>
  <c r="J97" i="49"/>
  <c r="M97" i="49" s="1"/>
  <c r="X96" i="49"/>
  <c r="S96" i="49"/>
  <c r="U96" i="49"/>
  <c r="J96" i="49"/>
  <c r="M96" i="49" s="1"/>
  <c r="X95" i="49"/>
  <c r="S95" i="49"/>
  <c r="U95" i="49"/>
  <c r="J95" i="49"/>
  <c r="M95" i="49"/>
  <c r="X94" i="49"/>
  <c r="S94" i="49"/>
  <c r="U94" i="49" s="1"/>
  <c r="J94" i="49"/>
  <c r="M94" i="49"/>
  <c r="X93" i="49"/>
  <c r="S93" i="49"/>
  <c r="U93" i="49"/>
  <c r="J93" i="49"/>
  <c r="M93" i="49"/>
  <c r="X92" i="49"/>
  <c r="S92" i="49"/>
  <c r="U92" i="49"/>
  <c r="J92" i="49"/>
  <c r="M92" i="49" s="1"/>
  <c r="X91" i="49"/>
  <c r="S91" i="49"/>
  <c r="U91" i="49" s="1"/>
  <c r="J91" i="49"/>
  <c r="M91" i="49" s="1"/>
  <c r="X90" i="49"/>
  <c r="S90" i="49"/>
  <c r="U90" i="49"/>
  <c r="J90" i="49"/>
  <c r="M90" i="49" s="1"/>
  <c r="X89" i="49"/>
  <c r="S89" i="49"/>
  <c r="U89" i="49" s="1"/>
  <c r="J89" i="49"/>
  <c r="M89" i="49" s="1"/>
  <c r="X88" i="49"/>
  <c r="S88" i="49"/>
  <c r="U88" i="49"/>
  <c r="J88" i="49"/>
  <c r="M88" i="49" s="1"/>
  <c r="X87" i="49"/>
  <c r="S87" i="49"/>
  <c r="U87" i="49" s="1"/>
  <c r="J87" i="49"/>
  <c r="M87" i="49" s="1"/>
  <c r="X86" i="49"/>
  <c r="S86" i="49"/>
  <c r="U86" i="49" s="1"/>
  <c r="J86" i="49"/>
  <c r="M86" i="49" s="1"/>
  <c r="X85" i="49"/>
  <c r="S85" i="49"/>
  <c r="U85" i="49" s="1"/>
  <c r="J85" i="49"/>
  <c r="M85" i="49"/>
  <c r="X84" i="49"/>
  <c r="S84" i="49"/>
  <c r="U84" i="49"/>
  <c r="J84" i="49"/>
  <c r="M84" i="49" s="1"/>
  <c r="X83" i="49"/>
  <c r="S83" i="49"/>
  <c r="U83" i="49" s="1"/>
  <c r="J83" i="49"/>
  <c r="M83" i="49" s="1"/>
  <c r="X82" i="49"/>
  <c r="S82" i="49"/>
  <c r="U82" i="49"/>
  <c r="J82" i="49"/>
  <c r="M82" i="49" s="1"/>
  <c r="X81" i="49"/>
  <c r="S81" i="49"/>
  <c r="U81" i="49"/>
  <c r="J81" i="49"/>
  <c r="M81" i="49" s="1"/>
  <c r="X80" i="49"/>
  <c r="S80" i="49"/>
  <c r="U80" i="49"/>
  <c r="J80" i="49"/>
  <c r="M80" i="49" s="1"/>
  <c r="X79" i="49"/>
  <c r="S79" i="49"/>
  <c r="U79" i="49"/>
  <c r="J79" i="49"/>
  <c r="M79" i="49" s="1"/>
  <c r="X78" i="49"/>
  <c r="S78" i="49"/>
  <c r="U78" i="49" s="1"/>
  <c r="J78" i="49"/>
  <c r="M78" i="49"/>
  <c r="X77" i="49"/>
  <c r="S77" i="49"/>
  <c r="U77" i="49" s="1"/>
  <c r="J77" i="49"/>
  <c r="M77" i="49" s="1"/>
  <c r="X76" i="49"/>
  <c r="S76" i="49"/>
  <c r="U76" i="49" s="1"/>
  <c r="J76" i="49"/>
  <c r="M76" i="49" s="1"/>
  <c r="X75" i="49"/>
  <c r="S75" i="49"/>
  <c r="U75" i="49" s="1"/>
  <c r="J75" i="49"/>
  <c r="M75" i="49" s="1"/>
  <c r="X74" i="49"/>
  <c r="S74" i="49"/>
  <c r="U74" i="49" s="1"/>
  <c r="J74" i="49"/>
  <c r="M74" i="49" s="1"/>
  <c r="X73" i="49"/>
  <c r="S73" i="49"/>
  <c r="U73" i="49" s="1"/>
  <c r="J73" i="49"/>
  <c r="M73" i="49" s="1"/>
  <c r="X72" i="49"/>
  <c r="S72" i="49"/>
  <c r="U72" i="49" s="1"/>
  <c r="J72" i="49"/>
  <c r="M72" i="49"/>
  <c r="X71" i="49"/>
  <c r="S71" i="49"/>
  <c r="U71" i="49"/>
  <c r="J71" i="49"/>
  <c r="M71" i="49" s="1"/>
  <c r="X70" i="49"/>
  <c r="S70" i="49"/>
  <c r="U70" i="49"/>
  <c r="J70" i="49"/>
  <c r="M70" i="49"/>
  <c r="X69" i="49"/>
  <c r="S69" i="49"/>
  <c r="U69" i="49" s="1"/>
  <c r="J69" i="49"/>
  <c r="M69" i="49" s="1"/>
  <c r="X68" i="49"/>
  <c r="S68" i="49"/>
  <c r="U68" i="49"/>
  <c r="J68" i="49"/>
  <c r="M68" i="49" s="1"/>
  <c r="X67" i="49"/>
  <c r="S67" i="49"/>
  <c r="U67" i="49" s="1"/>
  <c r="J67" i="49"/>
  <c r="M67" i="49" s="1"/>
  <c r="X66" i="49"/>
  <c r="S66" i="49"/>
  <c r="U66" i="49"/>
  <c r="J66" i="49"/>
  <c r="M66" i="49" s="1"/>
  <c r="X65" i="49"/>
  <c r="S65" i="49"/>
  <c r="U65" i="49" s="1"/>
  <c r="J65" i="49"/>
  <c r="M65" i="49" s="1"/>
  <c r="X64" i="49"/>
  <c r="S64" i="49"/>
  <c r="U64" i="49"/>
  <c r="J64" i="49"/>
  <c r="M64" i="49" s="1"/>
  <c r="X63" i="49"/>
  <c r="S63" i="49"/>
  <c r="U63" i="49" s="1"/>
  <c r="J63" i="49"/>
  <c r="M63" i="49" s="1"/>
  <c r="X62" i="49"/>
  <c r="S62" i="49"/>
  <c r="U62" i="49"/>
  <c r="J62" i="49"/>
  <c r="M62" i="49" s="1"/>
  <c r="X61" i="49"/>
  <c r="S61" i="49"/>
  <c r="U61" i="49" s="1"/>
  <c r="J61" i="49"/>
  <c r="M61" i="49" s="1"/>
  <c r="X60" i="49"/>
  <c r="S60" i="49"/>
  <c r="U60" i="49" s="1"/>
  <c r="J60" i="49"/>
  <c r="M60" i="49"/>
  <c r="X59" i="49"/>
  <c r="S59" i="49"/>
  <c r="U59" i="49" s="1"/>
  <c r="J59" i="49"/>
  <c r="M59" i="49"/>
  <c r="X58" i="49"/>
  <c r="S58" i="49"/>
  <c r="U58" i="49" s="1"/>
  <c r="J58" i="49"/>
  <c r="M58" i="49" s="1"/>
  <c r="X57" i="49"/>
  <c r="S57" i="49"/>
  <c r="U57" i="49"/>
  <c r="J57" i="49"/>
  <c r="M57" i="49" s="1"/>
  <c r="X56" i="49"/>
  <c r="S56" i="49"/>
  <c r="U56" i="49" s="1"/>
  <c r="J56" i="49"/>
  <c r="M56" i="49" s="1"/>
  <c r="X55" i="49"/>
  <c r="S55" i="49"/>
  <c r="U55" i="49"/>
  <c r="J55" i="49"/>
  <c r="E55" i="49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X54" i="49"/>
  <c r="S54" i="49"/>
  <c r="U54" i="49"/>
  <c r="J54" i="49"/>
  <c r="M54" i="49" s="1"/>
  <c r="X53" i="49"/>
  <c r="S53" i="49"/>
  <c r="U53" i="49"/>
  <c r="J53" i="49"/>
  <c r="M53" i="49"/>
  <c r="X52" i="49"/>
  <c r="S52" i="49"/>
  <c r="U52" i="49" s="1"/>
  <c r="J52" i="49"/>
  <c r="M52" i="49" s="1"/>
  <c r="X51" i="49"/>
  <c r="S51" i="49"/>
  <c r="U51" i="49" s="1"/>
  <c r="J51" i="49"/>
  <c r="M51" i="49" s="1"/>
  <c r="X50" i="49"/>
  <c r="S50" i="49"/>
  <c r="U50" i="49" s="1"/>
  <c r="J50" i="49"/>
  <c r="M50" i="49" s="1"/>
  <c r="X49" i="49"/>
  <c r="S49" i="49"/>
  <c r="U49" i="49"/>
  <c r="J49" i="49"/>
  <c r="M49" i="49" s="1"/>
  <c r="X48" i="49"/>
  <c r="S48" i="49"/>
  <c r="U48" i="49" s="1"/>
  <c r="J48" i="49"/>
  <c r="M48" i="49" s="1"/>
  <c r="X47" i="49"/>
  <c r="S47" i="49"/>
  <c r="U47" i="49"/>
  <c r="J47" i="49"/>
  <c r="M47" i="49" s="1"/>
  <c r="X46" i="49"/>
  <c r="S46" i="49"/>
  <c r="U46" i="49" s="1"/>
  <c r="J46" i="49"/>
  <c r="M46" i="49" s="1"/>
  <c r="X45" i="49"/>
  <c r="S45" i="49"/>
  <c r="U45" i="49" s="1"/>
  <c r="J45" i="49"/>
  <c r="M45" i="49" s="1"/>
  <c r="X44" i="49"/>
  <c r="S44" i="49"/>
  <c r="U44" i="49" s="1"/>
  <c r="J44" i="49"/>
  <c r="M44" i="49" s="1"/>
  <c r="X43" i="49"/>
  <c r="S43" i="49"/>
  <c r="U43" i="49"/>
  <c r="J43" i="49"/>
  <c r="M43" i="49" s="1"/>
  <c r="X42" i="49"/>
  <c r="S42" i="49"/>
  <c r="U42" i="49"/>
  <c r="J42" i="49"/>
  <c r="M42" i="49" s="1"/>
  <c r="X41" i="49"/>
  <c r="S41" i="49"/>
  <c r="U41" i="49"/>
  <c r="J41" i="49"/>
  <c r="M41" i="49" s="1"/>
  <c r="X40" i="49"/>
  <c r="S40" i="49"/>
  <c r="U40" i="49" s="1"/>
  <c r="J40" i="49"/>
  <c r="M40" i="49" s="1"/>
  <c r="X39" i="49"/>
  <c r="S39" i="49"/>
  <c r="U39" i="49" s="1"/>
  <c r="J39" i="49"/>
  <c r="M39" i="49" s="1"/>
  <c r="X38" i="49"/>
  <c r="S38" i="49"/>
  <c r="U38" i="49"/>
  <c r="J38" i="49"/>
  <c r="M38" i="49"/>
  <c r="X37" i="49"/>
  <c r="S37" i="49"/>
  <c r="U37" i="49" s="1"/>
  <c r="J37" i="49"/>
  <c r="M37" i="49" s="1"/>
  <c r="X36" i="49"/>
  <c r="S36" i="49"/>
  <c r="U36" i="49" s="1"/>
  <c r="J36" i="49"/>
  <c r="M36" i="49" s="1"/>
  <c r="X35" i="49"/>
  <c r="S35" i="49"/>
  <c r="U35" i="49" s="1"/>
  <c r="J35" i="49"/>
  <c r="M35" i="49" s="1"/>
  <c r="X34" i="49"/>
  <c r="S34" i="49"/>
  <c r="U34" i="49" s="1"/>
  <c r="J34" i="49"/>
  <c r="M34" i="49" s="1"/>
  <c r="X33" i="49"/>
  <c r="S33" i="49"/>
  <c r="U33" i="49" s="1"/>
  <c r="J33" i="49"/>
  <c r="M33" i="49"/>
  <c r="X32" i="49"/>
  <c r="S32" i="49"/>
  <c r="U32" i="49"/>
  <c r="J32" i="49"/>
  <c r="M32" i="49" s="1"/>
  <c r="X31" i="49"/>
  <c r="S31" i="49"/>
  <c r="U31" i="49"/>
  <c r="J31" i="49"/>
  <c r="M31" i="49" s="1"/>
  <c r="X30" i="49"/>
  <c r="S30" i="49"/>
  <c r="U30" i="49"/>
  <c r="J30" i="49"/>
  <c r="M30" i="49" s="1"/>
  <c r="X29" i="49"/>
  <c r="S29" i="49"/>
  <c r="U29" i="49"/>
  <c r="J29" i="49"/>
  <c r="M29" i="49"/>
  <c r="X28" i="49"/>
  <c r="S28" i="49"/>
  <c r="U28" i="49"/>
  <c r="J28" i="49"/>
  <c r="M28" i="49" s="1"/>
  <c r="X27" i="49"/>
  <c r="S27" i="49"/>
  <c r="U27" i="49"/>
  <c r="J27" i="49"/>
  <c r="M27" i="49" s="1"/>
  <c r="X26" i="49"/>
  <c r="S26" i="49"/>
  <c r="U26" i="49" s="1"/>
  <c r="J26" i="49"/>
  <c r="M26" i="49" s="1"/>
  <c r="X25" i="49"/>
  <c r="S25" i="49"/>
  <c r="U25" i="49"/>
  <c r="J25" i="49"/>
  <c r="M25" i="49"/>
  <c r="X24" i="49"/>
  <c r="S24" i="49"/>
  <c r="U24" i="49" s="1"/>
  <c r="J24" i="49"/>
  <c r="X23" i="49"/>
  <c r="S23" i="49"/>
  <c r="U23" i="49" s="1"/>
  <c r="J23" i="49"/>
  <c r="M23" i="49" s="1"/>
  <c r="X22" i="49"/>
  <c r="X107" i="49" s="1"/>
  <c r="J206" i="49" s="1"/>
  <c r="S22" i="49"/>
  <c r="U22" i="49" s="1"/>
  <c r="J22" i="49"/>
  <c r="M22" i="49" s="1"/>
  <c r="X21" i="49"/>
  <c r="S21" i="49"/>
  <c r="U21" i="49"/>
  <c r="J21" i="49"/>
  <c r="M21" i="49" s="1"/>
  <c r="X20" i="49"/>
  <c r="S20" i="49"/>
  <c r="U20" i="49"/>
  <c r="J20" i="49"/>
  <c r="M20" i="49"/>
  <c r="X19" i="49"/>
  <c r="S19" i="49"/>
  <c r="U19" i="49"/>
  <c r="J19" i="49"/>
  <c r="M19" i="49" s="1"/>
  <c r="X18" i="49"/>
  <c r="S18" i="49"/>
  <c r="U18" i="49" s="1"/>
  <c r="J18" i="49"/>
  <c r="M18" i="49" s="1"/>
  <c r="X17" i="49"/>
  <c r="S17" i="49"/>
  <c r="U17" i="49" s="1"/>
  <c r="J17" i="49"/>
  <c r="M17" i="49" s="1"/>
  <c r="X16" i="49"/>
  <c r="S16" i="49"/>
  <c r="U16" i="49"/>
  <c r="J16" i="49"/>
  <c r="M16" i="49"/>
  <c r="X15" i="49"/>
  <c r="S15" i="49"/>
  <c r="U15" i="49" s="1"/>
  <c r="J15" i="49"/>
  <c r="M15" i="49" s="1"/>
  <c r="X14" i="49"/>
  <c r="S14" i="49"/>
  <c r="U14" i="49" s="1"/>
  <c r="J14" i="49"/>
  <c r="M14" i="49"/>
  <c r="X13" i="49"/>
  <c r="S13" i="49"/>
  <c r="U13" i="49" s="1"/>
  <c r="J13" i="49"/>
  <c r="M13" i="49" s="1"/>
  <c r="X12" i="49"/>
  <c r="S12" i="49"/>
  <c r="U12" i="49"/>
  <c r="J12" i="49"/>
  <c r="M12" i="49"/>
  <c r="X11" i="49"/>
  <c r="S11" i="49"/>
  <c r="U11" i="49" s="1"/>
  <c r="J11" i="49"/>
  <c r="M11" i="49" s="1"/>
  <c r="X10" i="49"/>
  <c r="S10" i="49"/>
  <c r="U10" i="49"/>
  <c r="J10" i="49"/>
  <c r="M10" i="49" s="1"/>
  <c r="X9" i="49"/>
  <c r="S9" i="49"/>
  <c r="U9" i="49"/>
  <c r="J9" i="49"/>
  <c r="M9" i="49" s="1"/>
  <c r="X8" i="49"/>
  <c r="S8" i="49"/>
  <c r="U8" i="49"/>
  <c r="J8" i="49"/>
  <c r="M8" i="49"/>
  <c r="X7" i="49"/>
  <c r="S7" i="49"/>
  <c r="U7" i="49" s="1"/>
  <c r="J7" i="49"/>
  <c r="M7" i="49" s="1"/>
  <c r="X6" i="49"/>
  <c r="S6" i="49"/>
  <c r="U6" i="49" s="1"/>
  <c r="J6" i="49"/>
  <c r="X5" i="49"/>
  <c r="S5" i="49"/>
  <c r="U5" i="49" s="1"/>
  <c r="J5" i="49"/>
  <c r="M5" i="49" s="1"/>
  <c r="M168" i="49"/>
  <c r="M24" i="49"/>
  <c r="T17" i="16"/>
  <c r="T18" i="16"/>
  <c r="Q18" i="16"/>
  <c r="P18" i="16"/>
  <c r="O18" i="16"/>
  <c r="K220" i="48"/>
  <c r="K212" i="48"/>
  <c r="K209" i="48"/>
  <c r="K219" i="48" s="1"/>
  <c r="J204" i="48"/>
  <c r="M204" i="48" s="1"/>
  <c r="J203" i="48"/>
  <c r="M203" i="48" s="1"/>
  <c r="J202" i="48"/>
  <c r="M202" i="48" s="1"/>
  <c r="J201" i="48"/>
  <c r="M201" i="48"/>
  <c r="J200" i="48"/>
  <c r="M200" i="48"/>
  <c r="J199" i="48"/>
  <c r="M199" i="48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J152" i="48"/>
  <c r="M152" i="48" s="1"/>
  <c r="J151" i="48"/>
  <c r="M151" i="48" s="1"/>
  <c r="J150" i="48"/>
  <c r="J149" i="48"/>
  <c r="M149" i="48" s="1"/>
  <c r="J148" i="48"/>
  <c r="M148" i="48" s="1"/>
  <c r="J147" i="48"/>
  <c r="M147" i="48" s="1"/>
  <c r="J146" i="48"/>
  <c r="M146" i="48" s="1"/>
  <c r="J145" i="48"/>
  <c r="M145" i="48"/>
  <c r="J144" i="48"/>
  <c r="M144" i="48"/>
  <c r="J143" i="48"/>
  <c r="M143" i="48"/>
  <c r="J142" i="48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J117" i="48"/>
  <c r="M117" i="48"/>
  <c r="J116" i="48"/>
  <c r="M116" i="48" s="1"/>
  <c r="J115" i="48"/>
  <c r="M115" i="48"/>
  <c r="J114" i="48"/>
  <c r="M114" i="48" s="1"/>
  <c r="J113" i="48"/>
  <c r="M113" i="48" s="1"/>
  <c r="J112" i="48"/>
  <c r="M112" i="48" s="1"/>
  <c r="J111" i="48"/>
  <c r="M111" i="48"/>
  <c r="J110" i="48"/>
  <c r="M110" i="48" s="1"/>
  <c r="J109" i="48"/>
  <c r="M109" i="48" s="1"/>
  <c r="J108" i="48"/>
  <c r="M108" i="48" s="1"/>
  <c r="J107" i="48"/>
  <c r="M107" i="48"/>
  <c r="J106" i="48"/>
  <c r="M106" i="48"/>
  <c r="Z105" i="48"/>
  <c r="J105" i="48"/>
  <c r="M105" i="48" s="1"/>
  <c r="X104" i="48"/>
  <c r="S104" i="48"/>
  <c r="U104" i="48" s="1"/>
  <c r="J104" i="48"/>
  <c r="M104" i="48" s="1"/>
  <c r="X103" i="48"/>
  <c r="S103" i="48"/>
  <c r="U103" i="48" s="1"/>
  <c r="J103" i="48"/>
  <c r="M103" i="48"/>
  <c r="X102" i="48"/>
  <c r="S102" i="48"/>
  <c r="U102" i="48" s="1"/>
  <c r="J102" i="48"/>
  <c r="M102" i="48" s="1"/>
  <c r="X101" i="48"/>
  <c r="S101" i="48"/>
  <c r="U101" i="48" s="1"/>
  <c r="J101" i="48"/>
  <c r="M101" i="48" s="1"/>
  <c r="X100" i="48"/>
  <c r="S100" i="48"/>
  <c r="U100" i="48"/>
  <c r="J100" i="48"/>
  <c r="M100" i="48" s="1"/>
  <c r="X99" i="48"/>
  <c r="S99" i="48"/>
  <c r="U99" i="48"/>
  <c r="J99" i="48"/>
  <c r="M99" i="48" s="1"/>
  <c r="X98" i="48"/>
  <c r="S98" i="48"/>
  <c r="U98" i="48"/>
  <c r="J98" i="48"/>
  <c r="M98" i="48" s="1"/>
  <c r="X97" i="48"/>
  <c r="S97" i="48"/>
  <c r="U97" i="48"/>
  <c r="J97" i="48"/>
  <c r="M97" i="48" s="1"/>
  <c r="X96" i="48"/>
  <c r="S96" i="48"/>
  <c r="U96" i="48"/>
  <c r="J96" i="48"/>
  <c r="M96" i="48" s="1"/>
  <c r="X95" i="48"/>
  <c r="S95" i="48"/>
  <c r="U95" i="48" s="1"/>
  <c r="J95" i="48"/>
  <c r="M95" i="48" s="1"/>
  <c r="X94" i="48"/>
  <c r="S94" i="48"/>
  <c r="U94" i="48" s="1"/>
  <c r="J94" i="48"/>
  <c r="M94" i="48"/>
  <c r="X93" i="48"/>
  <c r="S93" i="48"/>
  <c r="U93" i="48"/>
  <c r="J93" i="48"/>
  <c r="M93" i="48" s="1"/>
  <c r="X92" i="48"/>
  <c r="S92" i="48"/>
  <c r="U92" i="48" s="1"/>
  <c r="J92" i="48"/>
  <c r="M92" i="48"/>
  <c r="X91" i="48"/>
  <c r="S91" i="48"/>
  <c r="U91" i="48" s="1"/>
  <c r="J91" i="48"/>
  <c r="M91" i="48" s="1"/>
  <c r="X90" i="48"/>
  <c r="S90" i="48"/>
  <c r="U90" i="48" s="1"/>
  <c r="J90" i="48"/>
  <c r="M90" i="48" s="1"/>
  <c r="X89" i="48"/>
  <c r="S89" i="48"/>
  <c r="U89" i="48"/>
  <c r="J89" i="48"/>
  <c r="M89" i="48" s="1"/>
  <c r="X88" i="48"/>
  <c r="S88" i="48"/>
  <c r="U88" i="48"/>
  <c r="J88" i="48"/>
  <c r="M88" i="48"/>
  <c r="X87" i="48"/>
  <c r="S87" i="48"/>
  <c r="U87" i="48" s="1"/>
  <c r="J87" i="48"/>
  <c r="M87" i="48" s="1"/>
  <c r="X86" i="48"/>
  <c r="S86" i="48"/>
  <c r="U86" i="48" s="1"/>
  <c r="J86" i="48"/>
  <c r="M86" i="48" s="1"/>
  <c r="X85" i="48"/>
  <c r="S85" i="48"/>
  <c r="U85" i="48" s="1"/>
  <c r="J85" i="48"/>
  <c r="M85" i="48" s="1"/>
  <c r="X84" i="48"/>
  <c r="S84" i="48"/>
  <c r="U84" i="48" s="1"/>
  <c r="J84" i="48"/>
  <c r="M84" i="48" s="1"/>
  <c r="X83" i="48"/>
  <c r="S83" i="48"/>
  <c r="U83" i="48"/>
  <c r="J83" i="48"/>
  <c r="X82" i="48"/>
  <c r="S82" i="48"/>
  <c r="U82" i="48"/>
  <c r="J82" i="48"/>
  <c r="M82" i="48" s="1"/>
  <c r="X81" i="48"/>
  <c r="S81" i="48"/>
  <c r="U81" i="48"/>
  <c r="J81" i="48"/>
  <c r="M81" i="48"/>
  <c r="X80" i="48"/>
  <c r="S80" i="48"/>
  <c r="U80" i="48" s="1"/>
  <c r="J80" i="48"/>
  <c r="M80" i="48" s="1"/>
  <c r="X79" i="48"/>
  <c r="S79" i="48"/>
  <c r="U79" i="48" s="1"/>
  <c r="J79" i="48"/>
  <c r="M79" i="48" s="1"/>
  <c r="X78" i="48"/>
  <c r="S78" i="48"/>
  <c r="U78" i="48"/>
  <c r="J78" i="48"/>
  <c r="M78" i="48" s="1"/>
  <c r="X77" i="48"/>
  <c r="S77" i="48"/>
  <c r="U77" i="48"/>
  <c r="J77" i="48"/>
  <c r="M77" i="48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/>
  <c r="J73" i="48"/>
  <c r="M73" i="48" s="1"/>
  <c r="X72" i="48"/>
  <c r="S72" i="48"/>
  <c r="U72" i="48" s="1"/>
  <c r="J72" i="48"/>
  <c r="M72" i="48"/>
  <c r="X71" i="48"/>
  <c r="S71" i="48"/>
  <c r="U71" i="48" s="1"/>
  <c r="J71" i="48"/>
  <c r="M71" i="48" s="1"/>
  <c r="X70" i="48"/>
  <c r="S70" i="48"/>
  <c r="U70" i="48" s="1"/>
  <c r="J70" i="48"/>
  <c r="M70" i="48" s="1"/>
  <c r="X69" i="48"/>
  <c r="S69" i="48"/>
  <c r="U69" i="48"/>
  <c r="J69" i="48"/>
  <c r="M69" i="48" s="1"/>
  <c r="X68" i="48"/>
  <c r="S68" i="48"/>
  <c r="U68" i="48"/>
  <c r="J68" i="48"/>
  <c r="M68" i="48"/>
  <c r="X67" i="48"/>
  <c r="S67" i="48"/>
  <c r="U67" i="48" s="1"/>
  <c r="J67" i="48"/>
  <c r="M67" i="48" s="1"/>
  <c r="X66" i="48"/>
  <c r="S66" i="48"/>
  <c r="U66" i="48" s="1"/>
  <c r="J66" i="48"/>
  <c r="M66" i="48"/>
  <c r="X65" i="48"/>
  <c r="S65" i="48"/>
  <c r="U65" i="48"/>
  <c r="J65" i="48"/>
  <c r="M65" i="48"/>
  <c r="X64" i="48"/>
  <c r="S64" i="48"/>
  <c r="U64" i="48"/>
  <c r="J64" i="48"/>
  <c r="M64" i="48" s="1"/>
  <c r="X63" i="48"/>
  <c r="S63" i="48"/>
  <c r="U63" i="48"/>
  <c r="J63" i="48"/>
  <c r="M63" i="48" s="1"/>
  <c r="X62" i="48"/>
  <c r="S62" i="48"/>
  <c r="U62" i="48"/>
  <c r="J62" i="48"/>
  <c r="M62" i="48" s="1"/>
  <c r="X61" i="48"/>
  <c r="S61" i="48"/>
  <c r="U61" i="48"/>
  <c r="J61" i="48"/>
  <c r="M61" i="48" s="1"/>
  <c r="X60" i="48"/>
  <c r="S60" i="48"/>
  <c r="U60" i="48"/>
  <c r="J60" i="48"/>
  <c r="M60" i="48" s="1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/>
  <c r="J57" i="48"/>
  <c r="M57" i="48" s="1"/>
  <c r="X56" i="48"/>
  <c r="S56" i="48"/>
  <c r="U56" i="48" s="1"/>
  <c r="J56" i="48"/>
  <c r="M56" i="48"/>
  <c r="X55" i="48"/>
  <c r="S55" i="48"/>
  <c r="U55" i="48" s="1"/>
  <c r="J55" i="48"/>
  <c r="M55" i="48" s="1"/>
  <c r="X54" i="48"/>
  <c r="S54" i="48"/>
  <c r="U54" i="48"/>
  <c r="J54" i="48"/>
  <c r="X53" i="48"/>
  <c r="S53" i="48"/>
  <c r="U53" i="48" s="1"/>
  <c r="J53" i="48"/>
  <c r="M53" i="48" s="1"/>
  <c r="X52" i="48"/>
  <c r="S52" i="48"/>
  <c r="U52" i="48" s="1"/>
  <c r="J52" i="48"/>
  <c r="M52" i="48" s="1"/>
  <c r="X51" i="48"/>
  <c r="S51" i="48"/>
  <c r="U51" i="48" s="1"/>
  <c r="J51" i="48"/>
  <c r="M51" i="48" s="1"/>
  <c r="X50" i="48"/>
  <c r="S50" i="48"/>
  <c r="U50" i="48"/>
  <c r="J50" i="48"/>
  <c r="M50" i="48" s="1"/>
  <c r="X49" i="48"/>
  <c r="S49" i="48"/>
  <c r="U49" i="48" s="1"/>
  <c r="J49" i="48"/>
  <c r="M49" i="48" s="1"/>
  <c r="X48" i="48"/>
  <c r="S48" i="48"/>
  <c r="U48" i="48" s="1"/>
  <c r="J48" i="48"/>
  <c r="M48" i="48" s="1"/>
  <c r="X47" i="48"/>
  <c r="S47" i="48"/>
  <c r="U47" i="48"/>
  <c r="J47" i="48"/>
  <c r="M47" i="48" s="1"/>
  <c r="X46" i="48"/>
  <c r="S46" i="48"/>
  <c r="U46" i="48" s="1"/>
  <c r="J46" i="48"/>
  <c r="X45" i="48"/>
  <c r="S45" i="48"/>
  <c r="U45" i="48"/>
  <c r="J45" i="48"/>
  <c r="M45" i="48" s="1"/>
  <c r="X44" i="48"/>
  <c r="S44" i="48"/>
  <c r="U44" i="48" s="1"/>
  <c r="J44" i="48"/>
  <c r="M44" i="48" s="1"/>
  <c r="X43" i="48"/>
  <c r="S43" i="48"/>
  <c r="U43" i="48"/>
  <c r="J43" i="48"/>
  <c r="M43" i="48" s="1"/>
  <c r="X42" i="48"/>
  <c r="S42" i="48"/>
  <c r="U42" i="48" s="1"/>
  <c r="J42" i="48"/>
  <c r="M42" i="48" s="1"/>
  <c r="X41" i="48"/>
  <c r="S41" i="48"/>
  <c r="U41" i="48"/>
  <c r="J41" i="48"/>
  <c r="M41" i="48" s="1"/>
  <c r="X40" i="48"/>
  <c r="S40" i="48"/>
  <c r="U40" i="48" s="1"/>
  <c r="J40" i="48"/>
  <c r="X39" i="48"/>
  <c r="S39" i="48"/>
  <c r="U39" i="48"/>
  <c r="J39" i="48"/>
  <c r="X38" i="48"/>
  <c r="S38" i="48"/>
  <c r="U38" i="48" s="1"/>
  <c r="J38" i="48"/>
  <c r="M38" i="48" s="1"/>
  <c r="X37" i="48"/>
  <c r="S37" i="48"/>
  <c r="U37" i="48" s="1"/>
  <c r="J37" i="48"/>
  <c r="M37" i="48" s="1"/>
  <c r="X36" i="48"/>
  <c r="S36" i="48"/>
  <c r="U36" i="48" s="1"/>
  <c r="J36" i="48"/>
  <c r="M36" i="48" s="1"/>
  <c r="X35" i="48"/>
  <c r="S35" i="48"/>
  <c r="U35" i="48"/>
  <c r="J35" i="48"/>
  <c r="M35" i="48"/>
  <c r="X34" i="48"/>
  <c r="S34" i="48"/>
  <c r="U34" i="48"/>
  <c r="J34" i="48"/>
  <c r="M34" i="48" s="1"/>
  <c r="X33" i="48"/>
  <c r="S33" i="48"/>
  <c r="U33" i="48"/>
  <c r="J33" i="48"/>
  <c r="M33" i="48" s="1"/>
  <c r="X32" i="48"/>
  <c r="S32" i="48"/>
  <c r="U32" i="48" s="1"/>
  <c r="J32" i="48"/>
  <c r="M32" i="48" s="1"/>
  <c r="X31" i="48"/>
  <c r="S31" i="48"/>
  <c r="U31" i="48" s="1"/>
  <c r="J31" i="48"/>
  <c r="M31" i="48" s="1"/>
  <c r="X30" i="48"/>
  <c r="S30" i="48"/>
  <c r="U30" i="48"/>
  <c r="J30" i="48"/>
  <c r="M30" i="48" s="1"/>
  <c r="X29" i="48"/>
  <c r="S29" i="48"/>
  <c r="U29" i="48" s="1"/>
  <c r="J29" i="48"/>
  <c r="M29" i="48" s="1"/>
  <c r="X28" i="48"/>
  <c r="S28" i="48"/>
  <c r="U28" i="48" s="1"/>
  <c r="J28" i="48"/>
  <c r="M28" i="48" s="1"/>
  <c r="X27" i="48"/>
  <c r="S27" i="48"/>
  <c r="U27" i="48" s="1"/>
  <c r="J27" i="48"/>
  <c r="M27" i="48" s="1"/>
  <c r="X26" i="48"/>
  <c r="S26" i="48"/>
  <c r="U26" i="48"/>
  <c r="J26" i="48"/>
  <c r="M26" i="48" s="1"/>
  <c r="X25" i="48"/>
  <c r="S25" i="48"/>
  <c r="U25" i="48" s="1"/>
  <c r="J25" i="48"/>
  <c r="M25" i="48"/>
  <c r="X24" i="48"/>
  <c r="S24" i="48"/>
  <c r="U24" i="48" s="1"/>
  <c r="J24" i="48"/>
  <c r="M24" i="48" s="1"/>
  <c r="X23" i="48"/>
  <c r="S23" i="48"/>
  <c r="U23" i="48" s="1"/>
  <c r="J23" i="48"/>
  <c r="M23" i="48" s="1"/>
  <c r="X22" i="48"/>
  <c r="S22" i="48"/>
  <c r="U22" i="48"/>
  <c r="J22" i="48"/>
  <c r="M22" i="48" s="1"/>
  <c r="X21" i="48"/>
  <c r="S21" i="48"/>
  <c r="U21" i="48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 s="1"/>
  <c r="J18" i="48"/>
  <c r="X17" i="48"/>
  <c r="S17" i="48"/>
  <c r="U17" i="48" s="1"/>
  <c r="J17" i="48"/>
  <c r="M17" i="48" s="1"/>
  <c r="X16" i="48"/>
  <c r="S16" i="48"/>
  <c r="U16" i="48" s="1"/>
  <c r="J16" i="48"/>
  <c r="M16" i="48" s="1"/>
  <c r="X15" i="48"/>
  <c r="S15" i="48"/>
  <c r="U15" i="48"/>
  <c r="J15" i="48"/>
  <c r="M15" i="48" s="1"/>
  <c r="X14" i="48"/>
  <c r="S14" i="48"/>
  <c r="U14" i="48" s="1"/>
  <c r="J14" i="48"/>
  <c r="X13" i="48"/>
  <c r="S13" i="48"/>
  <c r="U13" i="48"/>
  <c r="J13" i="48"/>
  <c r="M13" i="48" s="1"/>
  <c r="X12" i="48"/>
  <c r="S12" i="48"/>
  <c r="U12" i="48"/>
  <c r="J12" i="48"/>
  <c r="M12" i="48" s="1"/>
  <c r="X11" i="48"/>
  <c r="S11" i="48"/>
  <c r="U11" i="48"/>
  <c r="J11" i="48"/>
  <c r="M11" i="48" s="1"/>
  <c r="X10" i="48"/>
  <c r="S10" i="48"/>
  <c r="U10" i="48"/>
  <c r="J10" i="48"/>
  <c r="M10" i="48" s="1"/>
  <c r="X9" i="48"/>
  <c r="S9" i="48"/>
  <c r="U9" i="48"/>
  <c r="J9" i="48"/>
  <c r="X8" i="48"/>
  <c r="S8" i="48"/>
  <c r="U8" i="48"/>
  <c r="J8" i="48"/>
  <c r="M8" i="48"/>
  <c r="X7" i="48"/>
  <c r="S7" i="48"/>
  <c r="U7" i="48" s="1"/>
  <c r="J7" i="48"/>
  <c r="M7" i="48" s="1"/>
  <c r="X6" i="48"/>
  <c r="S6" i="48"/>
  <c r="U6" i="48" s="1"/>
  <c r="J6" i="48"/>
  <c r="M6" i="48" s="1"/>
  <c r="X5" i="48"/>
  <c r="S5" i="48"/>
  <c r="U5" i="48" s="1"/>
  <c r="J5" i="48"/>
  <c r="M5" i="48" s="1"/>
  <c r="N18" i="16"/>
  <c r="M46" i="48"/>
  <c r="M18" i="48"/>
  <c r="M40" i="48"/>
  <c r="M83" i="48"/>
  <c r="M150" i="48"/>
  <c r="M153" i="48"/>
  <c r="M126" i="48"/>
  <c r="M14" i="48"/>
  <c r="M39" i="48"/>
  <c r="M118" i="48"/>
  <c r="M142" i="48"/>
  <c r="M54" i="48"/>
  <c r="M9" i="48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 s="1"/>
  <c r="J202" i="47"/>
  <c r="M202" i="47" s="1"/>
  <c r="J201" i="47"/>
  <c r="M201" i="47"/>
  <c r="J200" i="47"/>
  <c r="M200" i="47" s="1"/>
  <c r="J199" i="47"/>
  <c r="M199" i="47" s="1"/>
  <c r="J198" i="47"/>
  <c r="M198" i="47"/>
  <c r="J197" i="47"/>
  <c r="M197" i="47"/>
  <c r="J196" i="47"/>
  <c r="M196" i="47" s="1"/>
  <c r="J195" i="47"/>
  <c r="M195" i="47" s="1"/>
  <c r="J194" i="47"/>
  <c r="M194" i="47"/>
  <c r="J193" i="47"/>
  <c r="M193" i="47"/>
  <c r="J192" i="47"/>
  <c r="M192" i="47" s="1"/>
  <c r="J191" i="47"/>
  <c r="M191" i="47" s="1"/>
  <c r="J190" i="47"/>
  <c r="M190" i="47"/>
  <c r="J189" i="47"/>
  <c r="M189" i="47"/>
  <c r="J188" i="47"/>
  <c r="M188" i="47" s="1"/>
  <c r="J187" i="47"/>
  <c r="M187" i="47" s="1"/>
  <c r="J186" i="47"/>
  <c r="M186" i="47"/>
  <c r="J185" i="47"/>
  <c r="M185" i="47"/>
  <c r="J184" i="47"/>
  <c r="M184" i="47" s="1"/>
  <c r="J183" i="47"/>
  <c r="M183" i="47" s="1"/>
  <c r="J182" i="47"/>
  <c r="M182" i="47"/>
  <c r="J181" i="47"/>
  <c r="M181" i="47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/>
  <c r="J169" i="47"/>
  <c r="M169" i="47" s="1"/>
  <c r="J168" i="47"/>
  <c r="M168" i="47" s="1"/>
  <c r="J167" i="47"/>
  <c r="M167" i="47" s="1"/>
  <c r="J166" i="47"/>
  <c r="M166" i="47" s="1"/>
  <c r="J165" i="47"/>
  <c r="M165" i="47"/>
  <c r="J164" i="47"/>
  <c r="M164" i="47" s="1"/>
  <c r="J163" i="47"/>
  <c r="M163" i="47" s="1"/>
  <c r="J162" i="47"/>
  <c r="M162" i="47"/>
  <c r="J161" i="47"/>
  <c r="M161" i="47" s="1"/>
  <c r="J160" i="47"/>
  <c r="M160" i="47" s="1"/>
  <c r="J159" i="47"/>
  <c r="M159" i="47" s="1"/>
  <c r="J158" i="47"/>
  <c r="M158" i="47" s="1"/>
  <c r="J157" i="47"/>
  <c r="M157" i="47"/>
  <c r="J156" i="47"/>
  <c r="M156" i="47" s="1"/>
  <c r="J155" i="47"/>
  <c r="M155" i="47" s="1"/>
  <c r="J154" i="47"/>
  <c r="M154" i="47"/>
  <c r="J153" i="47"/>
  <c r="M153" i="47" s="1"/>
  <c r="J152" i="47"/>
  <c r="M152" i="47" s="1"/>
  <c r="J151" i="47"/>
  <c r="M151" i="47" s="1"/>
  <c r="J150" i="47"/>
  <c r="M150" i="47" s="1"/>
  <c r="J149" i="47"/>
  <c r="M149" i="47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/>
  <c r="J137" i="47"/>
  <c r="M137" i="47" s="1"/>
  <c r="J136" i="47"/>
  <c r="M136" i="47" s="1"/>
  <c r="J135" i="47"/>
  <c r="M135" i="47" s="1"/>
  <c r="J134" i="47"/>
  <c r="M134" i="47" s="1"/>
  <c r="J133" i="47"/>
  <c r="M133" i="47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/>
  <c r="J117" i="47"/>
  <c r="M117" i="47"/>
  <c r="J116" i="47"/>
  <c r="M116" i="47" s="1"/>
  <c r="J115" i="47"/>
  <c r="M115" i="47" s="1"/>
  <c r="J114" i="47"/>
  <c r="M114" i="47" s="1"/>
  <c r="J113" i="47"/>
  <c r="M113" i="47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/>
  <c r="Z105" i="47"/>
  <c r="J105" i="47"/>
  <c r="M105" i="47" s="1"/>
  <c r="X104" i="47"/>
  <c r="S104" i="47"/>
  <c r="U104" i="47"/>
  <c r="J104" i="47"/>
  <c r="M104" i="47"/>
  <c r="X103" i="47"/>
  <c r="S103" i="47"/>
  <c r="U103" i="47" s="1"/>
  <c r="J103" i="47"/>
  <c r="M103" i="47" s="1"/>
  <c r="X102" i="47"/>
  <c r="S102" i="47"/>
  <c r="U102" i="47"/>
  <c r="J102" i="47"/>
  <c r="M102" i="47"/>
  <c r="X101" i="47"/>
  <c r="S101" i="47"/>
  <c r="U101" i="47" s="1"/>
  <c r="J101" i="47"/>
  <c r="M101" i="47" s="1"/>
  <c r="X100" i="47"/>
  <c r="S100" i="47"/>
  <c r="U100" i="47"/>
  <c r="J100" i="47"/>
  <c r="M100" i="47" s="1"/>
  <c r="X99" i="47"/>
  <c r="S99" i="47"/>
  <c r="U99" i="47" s="1"/>
  <c r="J99" i="47"/>
  <c r="M99" i="47" s="1"/>
  <c r="X98" i="47"/>
  <c r="S98" i="47"/>
  <c r="U98" i="47" s="1"/>
  <c r="J98" i="47"/>
  <c r="M98" i="47" s="1"/>
  <c r="X97" i="47"/>
  <c r="S97" i="47"/>
  <c r="U97" i="47" s="1"/>
  <c r="J97" i="47"/>
  <c r="M97" i="47" s="1"/>
  <c r="X96" i="47"/>
  <c r="S96" i="47"/>
  <c r="U96" i="47" s="1"/>
  <c r="J96" i="47"/>
  <c r="M96" i="47" s="1"/>
  <c r="X95" i="47"/>
  <c r="S95" i="47"/>
  <c r="U95" i="47"/>
  <c r="J95" i="47"/>
  <c r="M95" i="47"/>
  <c r="X94" i="47"/>
  <c r="S94" i="47"/>
  <c r="U94" i="47" s="1"/>
  <c r="J94" i="47"/>
  <c r="M94" i="47" s="1"/>
  <c r="X93" i="47"/>
  <c r="S93" i="47"/>
  <c r="U93" i="47"/>
  <c r="J93" i="47"/>
  <c r="M93" i="47" s="1"/>
  <c r="X92" i="47"/>
  <c r="S92" i="47"/>
  <c r="U92" i="47"/>
  <c r="J92" i="47"/>
  <c r="M92" i="47" s="1"/>
  <c r="X91" i="47"/>
  <c r="S91" i="47"/>
  <c r="U91" i="47"/>
  <c r="J91" i="47"/>
  <c r="M91" i="47"/>
  <c r="X90" i="47"/>
  <c r="S90" i="47"/>
  <c r="U90" i="47" s="1"/>
  <c r="M90" i="47"/>
  <c r="J90" i="47"/>
  <c r="X89" i="47"/>
  <c r="S89" i="47"/>
  <c r="U89" i="47" s="1"/>
  <c r="J89" i="47"/>
  <c r="M89" i="47" s="1"/>
  <c r="X88" i="47"/>
  <c r="S88" i="47"/>
  <c r="U88" i="47"/>
  <c r="J88" i="47"/>
  <c r="M88" i="47" s="1"/>
  <c r="X87" i="47"/>
  <c r="S87" i="47"/>
  <c r="U87" i="47" s="1"/>
  <c r="J87" i="47"/>
  <c r="M87" i="47"/>
  <c r="X86" i="47"/>
  <c r="S86" i="47"/>
  <c r="U86" i="47" s="1"/>
  <c r="J86" i="47"/>
  <c r="M86" i="47" s="1"/>
  <c r="X85" i="47"/>
  <c r="S85" i="47"/>
  <c r="U85" i="47" s="1"/>
  <c r="J85" i="47"/>
  <c r="M85" i="47" s="1"/>
  <c r="X84" i="47"/>
  <c r="S84" i="47"/>
  <c r="U84" i="47" s="1"/>
  <c r="M84" i="47"/>
  <c r="J84" i="47"/>
  <c r="X83" i="47"/>
  <c r="S83" i="47"/>
  <c r="U83" i="47"/>
  <c r="J83" i="47"/>
  <c r="M83" i="47"/>
  <c r="X82" i="47"/>
  <c r="S82" i="47"/>
  <c r="U82" i="47" s="1"/>
  <c r="J82" i="47"/>
  <c r="M82" i="47" s="1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/>
  <c r="J79" i="47"/>
  <c r="M79" i="47"/>
  <c r="X78" i="47"/>
  <c r="S78" i="47"/>
  <c r="U78" i="47" s="1"/>
  <c r="J78" i="47"/>
  <c r="M78" i="47" s="1"/>
  <c r="X77" i="47"/>
  <c r="S77" i="47"/>
  <c r="U77" i="47"/>
  <c r="J77" i="47"/>
  <c r="M77" i="47" s="1"/>
  <c r="X76" i="47"/>
  <c r="S76" i="47"/>
  <c r="U76" i="47"/>
  <c r="J76" i="47"/>
  <c r="M76" i="47" s="1"/>
  <c r="X75" i="47"/>
  <c r="S75" i="47"/>
  <c r="U75" i="47"/>
  <c r="J75" i="47"/>
  <c r="M75" i="47"/>
  <c r="X74" i="47"/>
  <c r="S74" i="47"/>
  <c r="U74" i="47" s="1"/>
  <c r="J74" i="47"/>
  <c r="M74" i="47" s="1"/>
  <c r="X73" i="47"/>
  <c r="S73" i="47"/>
  <c r="U73" i="47"/>
  <c r="J73" i="47"/>
  <c r="M73" i="47" s="1"/>
  <c r="X72" i="47"/>
  <c r="S72" i="47"/>
  <c r="U72" i="47"/>
  <c r="J72" i="47"/>
  <c r="M72" i="47" s="1"/>
  <c r="X71" i="47"/>
  <c r="S71" i="47"/>
  <c r="U71" i="47"/>
  <c r="J71" i="47"/>
  <c r="M71" i="47" s="1"/>
  <c r="X70" i="47"/>
  <c r="S70" i="47"/>
  <c r="U70" i="47"/>
  <c r="J70" i="47"/>
  <c r="M70" i="47"/>
  <c r="X69" i="47"/>
  <c r="S69" i="47"/>
  <c r="U69" i="47" s="1"/>
  <c r="J69" i="47"/>
  <c r="M69" i="47" s="1"/>
  <c r="X68" i="47"/>
  <c r="S68" i="47"/>
  <c r="U68" i="47"/>
  <c r="J68" i="47"/>
  <c r="M68" i="47" s="1"/>
  <c r="X67" i="47"/>
  <c r="S67" i="47"/>
  <c r="U67" i="47"/>
  <c r="J67" i="47"/>
  <c r="M67" i="47"/>
  <c r="X66" i="47"/>
  <c r="S66" i="47"/>
  <c r="U66" i="47" s="1"/>
  <c r="J66" i="47"/>
  <c r="M66" i="47" s="1"/>
  <c r="X65" i="47"/>
  <c r="S65" i="47"/>
  <c r="U65" i="47" s="1"/>
  <c r="J65" i="47"/>
  <c r="M65" i="47" s="1"/>
  <c r="X64" i="47"/>
  <c r="S64" i="47"/>
  <c r="U64" i="47" s="1"/>
  <c r="J64" i="47"/>
  <c r="M64" i="47" s="1"/>
  <c r="X63" i="47"/>
  <c r="S63" i="47"/>
  <c r="U63" i="47"/>
  <c r="J63" i="47"/>
  <c r="M63" i="47"/>
  <c r="X62" i="47"/>
  <c r="S62" i="47"/>
  <c r="U62" i="47" s="1"/>
  <c r="J62" i="47"/>
  <c r="M62" i="47" s="1"/>
  <c r="X61" i="47"/>
  <c r="S61" i="47"/>
  <c r="U61" i="47"/>
  <c r="J61" i="47"/>
  <c r="M61" i="47"/>
  <c r="X60" i="47"/>
  <c r="S60" i="47"/>
  <c r="U60" i="47" s="1"/>
  <c r="J60" i="47"/>
  <c r="M60" i="47" s="1"/>
  <c r="X59" i="47"/>
  <c r="S59" i="47"/>
  <c r="U59" i="47"/>
  <c r="J59" i="47"/>
  <c r="M59" i="47" s="1"/>
  <c r="X58" i="47"/>
  <c r="S58" i="47"/>
  <c r="U58" i="47" s="1"/>
  <c r="J58" i="47"/>
  <c r="M58" i="47" s="1"/>
  <c r="X57" i="47"/>
  <c r="S57" i="47"/>
  <c r="U57" i="47" s="1"/>
  <c r="J57" i="47"/>
  <c r="M57" i="47" s="1"/>
  <c r="X56" i="47"/>
  <c r="S56" i="47"/>
  <c r="U56" i="47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/>
  <c r="X53" i="47"/>
  <c r="S53" i="47"/>
  <c r="U53" i="47" s="1"/>
  <c r="J53" i="47"/>
  <c r="M53" i="47"/>
  <c r="X52" i="47"/>
  <c r="S52" i="47"/>
  <c r="U52" i="47" s="1"/>
  <c r="J52" i="47"/>
  <c r="M52" i="47" s="1"/>
  <c r="X51" i="47"/>
  <c r="S51" i="47"/>
  <c r="U51" i="47" s="1"/>
  <c r="J51" i="47"/>
  <c r="M51" i="47" s="1"/>
  <c r="X50" i="47"/>
  <c r="S50" i="47"/>
  <c r="U50" i="47"/>
  <c r="J50" i="47"/>
  <c r="M50" i="47" s="1"/>
  <c r="X49" i="47"/>
  <c r="S49" i="47"/>
  <c r="U49" i="47"/>
  <c r="J49" i="47"/>
  <c r="M49" i="47"/>
  <c r="X48" i="47"/>
  <c r="S48" i="47"/>
  <c r="U48" i="47" s="1"/>
  <c r="J48" i="47"/>
  <c r="M48" i="47" s="1"/>
  <c r="X47" i="47"/>
  <c r="S47" i="47"/>
  <c r="U47" i="47" s="1"/>
  <c r="J47" i="47"/>
  <c r="M47" i="47" s="1"/>
  <c r="X46" i="47"/>
  <c r="S46" i="47"/>
  <c r="U46" i="47" s="1"/>
  <c r="J46" i="47"/>
  <c r="M46" i="47" s="1"/>
  <c r="X45" i="47"/>
  <c r="S45" i="47"/>
  <c r="U45" i="47" s="1"/>
  <c r="J45" i="47"/>
  <c r="M45" i="47" s="1"/>
  <c r="X44" i="47"/>
  <c r="S44" i="47"/>
  <c r="U44" i="47" s="1"/>
  <c r="J44" i="47"/>
  <c r="M44" i="47" s="1"/>
  <c r="X43" i="47"/>
  <c r="S43" i="47"/>
  <c r="U43" i="47"/>
  <c r="J43" i="47"/>
  <c r="M43" i="47" s="1"/>
  <c r="X42" i="47"/>
  <c r="S42" i="47"/>
  <c r="U42" i="47"/>
  <c r="J42" i="47"/>
  <c r="M42" i="47" s="1"/>
  <c r="X41" i="47"/>
  <c r="S41" i="47"/>
  <c r="U41" i="47" s="1"/>
  <c r="J41" i="47"/>
  <c r="M41" i="47" s="1"/>
  <c r="X40" i="47"/>
  <c r="S40" i="47"/>
  <c r="U40" i="47"/>
  <c r="J40" i="47"/>
  <c r="M40" i="47" s="1"/>
  <c r="X39" i="47"/>
  <c r="S39" i="47"/>
  <c r="U39" i="47" s="1"/>
  <c r="J39" i="47"/>
  <c r="M39" i="47" s="1"/>
  <c r="X38" i="47"/>
  <c r="S38" i="47"/>
  <c r="U38" i="47"/>
  <c r="J38" i="47"/>
  <c r="M38" i="47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 s="1"/>
  <c r="J35" i="47"/>
  <c r="M35" i="47" s="1"/>
  <c r="X34" i="47"/>
  <c r="S34" i="47"/>
  <c r="U34" i="47"/>
  <c r="J34" i="47"/>
  <c r="M34" i="47" s="1"/>
  <c r="X33" i="47"/>
  <c r="S33" i="47"/>
  <c r="U33" i="47"/>
  <c r="J33" i="47"/>
  <c r="M33" i="47"/>
  <c r="X32" i="47"/>
  <c r="S32" i="47"/>
  <c r="U32" i="47" s="1"/>
  <c r="J32" i="47"/>
  <c r="M32" i="47" s="1"/>
  <c r="X31" i="47"/>
  <c r="S31" i="47"/>
  <c r="U31" i="47" s="1"/>
  <c r="J31" i="47"/>
  <c r="M31" i="47" s="1"/>
  <c r="X30" i="47"/>
  <c r="S30" i="47"/>
  <c r="U30" i="47"/>
  <c r="J30" i="47"/>
  <c r="M30" i="47" s="1"/>
  <c r="X29" i="47"/>
  <c r="S29" i="47"/>
  <c r="U29" i="47" s="1"/>
  <c r="J29" i="47"/>
  <c r="M29" i="47" s="1"/>
  <c r="X28" i="47"/>
  <c r="S28" i="47"/>
  <c r="U28" i="47" s="1"/>
  <c r="J28" i="47"/>
  <c r="M28" i="47" s="1"/>
  <c r="X27" i="47"/>
  <c r="S27" i="47"/>
  <c r="U27" i="47" s="1"/>
  <c r="J27" i="47"/>
  <c r="M27" i="47" s="1"/>
  <c r="X26" i="47"/>
  <c r="S26" i="47"/>
  <c r="U26" i="47"/>
  <c r="J26" i="47"/>
  <c r="M26" i="47" s="1"/>
  <c r="X25" i="47"/>
  <c r="S25" i="47"/>
  <c r="U25" i="47"/>
  <c r="J25" i="47"/>
  <c r="M25" i="47"/>
  <c r="X24" i="47"/>
  <c r="S24" i="47"/>
  <c r="U24" i="47" s="1"/>
  <c r="J24" i="47"/>
  <c r="M24" i="47" s="1"/>
  <c r="X23" i="47"/>
  <c r="S23" i="47"/>
  <c r="U23" i="47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/>
  <c r="X20" i="47"/>
  <c r="S20" i="47"/>
  <c r="U20" i="47" s="1"/>
  <c r="J20" i="47"/>
  <c r="M20" i="47" s="1"/>
  <c r="X19" i="47"/>
  <c r="S19" i="47"/>
  <c r="U19" i="47" s="1"/>
  <c r="J19" i="47"/>
  <c r="M19" i="47" s="1"/>
  <c r="X18" i="47"/>
  <c r="S18" i="47"/>
  <c r="U18" i="47"/>
  <c r="J18" i="47"/>
  <c r="M18" i="47" s="1"/>
  <c r="X17" i="47"/>
  <c r="S17" i="47"/>
  <c r="U17" i="47"/>
  <c r="J17" i="47"/>
  <c r="M17" i="47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/>
  <c r="J14" i="47"/>
  <c r="M14" i="47"/>
  <c r="X13" i="47"/>
  <c r="S13" i="47"/>
  <c r="U13" i="47" s="1"/>
  <c r="J13" i="47"/>
  <c r="M13" i="47"/>
  <c r="X12" i="47"/>
  <c r="S12" i="47"/>
  <c r="U12" i="47"/>
  <c r="J12" i="47"/>
  <c r="M12" i="47" s="1"/>
  <c r="X11" i="47"/>
  <c r="S11" i="47"/>
  <c r="U11" i="47"/>
  <c r="J11" i="47"/>
  <c r="M11" i="47" s="1"/>
  <c r="X10" i="47"/>
  <c r="S10" i="47"/>
  <c r="U10" i="47"/>
  <c r="J10" i="47"/>
  <c r="M10" i="47" s="1"/>
  <c r="X9" i="47"/>
  <c r="S9" i="47"/>
  <c r="U9" i="47"/>
  <c r="J9" i="47"/>
  <c r="M9" i="47" s="1"/>
  <c r="X8" i="47"/>
  <c r="S8" i="47"/>
  <c r="U8" i="47" s="1"/>
  <c r="J8" i="47"/>
  <c r="M8" i="47" s="1"/>
  <c r="X7" i="47"/>
  <c r="S7" i="47"/>
  <c r="U7" i="47" s="1"/>
  <c r="J7" i="47"/>
  <c r="M7" i="47"/>
  <c r="X6" i="47"/>
  <c r="S6" i="47"/>
  <c r="U6" i="47" s="1"/>
  <c r="J6" i="47"/>
  <c r="M6" i="47" s="1"/>
  <c r="X5" i="47"/>
  <c r="S5" i="47"/>
  <c r="U5" i="47" s="1"/>
  <c r="J5" i="47"/>
  <c r="M5" i="47" s="1"/>
  <c r="X107" i="47"/>
  <c r="J206" i="47" s="1"/>
  <c r="R17" i="16"/>
  <c r="T16" i="16"/>
  <c r="Q16" i="16"/>
  <c r="P16" i="16"/>
  <c r="O16" i="16"/>
  <c r="K220" i="46"/>
  <c r="K212" i="46"/>
  <c r="N16" i="16" s="1"/>
  <c r="K209" i="46"/>
  <c r="K219" i="46" s="1"/>
  <c r="J204" i="46"/>
  <c r="M204" i="46" s="1"/>
  <c r="J203" i="46"/>
  <c r="M203" i="46"/>
  <c r="J202" i="46"/>
  <c r="M202" i="46" s="1"/>
  <c r="J201" i="46"/>
  <c r="M201" i="46" s="1"/>
  <c r="J200" i="46"/>
  <c r="M200" i="46" s="1"/>
  <c r="J199" i="46"/>
  <c r="M199" i="46"/>
  <c r="J198" i="46"/>
  <c r="M198" i="46"/>
  <c r="J197" i="46"/>
  <c r="M197" i="46"/>
  <c r="J196" i="46"/>
  <c r="M196" i="46" s="1"/>
  <c r="J195" i="46"/>
  <c r="M195" i="46" s="1"/>
  <c r="J194" i="46"/>
  <c r="M194" i="46"/>
  <c r="J193" i="46"/>
  <c r="M193" i="46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/>
  <c r="J186" i="46"/>
  <c r="M186" i="46"/>
  <c r="J185" i="46"/>
  <c r="M185" i="46" s="1"/>
  <c r="J184" i="46"/>
  <c r="M184" i="46" s="1"/>
  <c r="J183" i="46"/>
  <c r="M183" i="46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/>
  <c r="J166" i="46"/>
  <c r="M166" i="46" s="1"/>
  <c r="J165" i="46"/>
  <c r="M165" i="46" s="1"/>
  <c r="J164" i="46"/>
  <c r="M164" i="46"/>
  <c r="J163" i="46"/>
  <c r="M163" i="46" s="1"/>
  <c r="J162" i="46"/>
  <c r="M162" i="46" s="1"/>
  <c r="J161" i="46"/>
  <c r="M161" i="46" s="1"/>
  <c r="J160" i="46"/>
  <c r="M160" i="46"/>
  <c r="J159" i="46"/>
  <c r="M159" i="46" s="1"/>
  <c r="J158" i="46"/>
  <c r="M158" i="46" s="1"/>
  <c r="J157" i="46"/>
  <c r="M157" i="46" s="1"/>
  <c r="J156" i="46"/>
  <c r="M156" i="46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/>
  <c r="J147" i="46"/>
  <c r="M147" i="46" s="1"/>
  <c r="J146" i="46"/>
  <c r="M146" i="46" s="1"/>
  <c r="J145" i="46"/>
  <c r="M145" i="46" s="1"/>
  <c r="J144" i="46"/>
  <c r="M144" i="46"/>
  <c r="J143" i="46"/>
  <c r="M143" i="46" s="1"/>
  <c r="J142" i="46"/>
  <c r="M142" i="46" s="1"/>
  <c r="J141" i="46"/>
  <c r="M141" i="46" s="1"/>
  <c r="J140" i="46"/>
  <c r="M140" i="46"/>
  <c r="J139" i="46"/>
  <c r="M139" i="46" s="1"/>
  <c r="J138" i="46"/>
  <c r="M138" i="46" s="1"/>
  <c r="J137" i="46"/>
  <c r="M137" i="46" s="1"/>
  <c r="J136" i="46"/>
  <c r="M136" i="46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/>
  <c r="J127" i="46"/>
  <c r="M127" i="46" s="1"/>
  <c r="J126" i="46"/>
  <c r="M126" i="46" s="1"/>
  <c r="J125" i="46"/>
  <c r="M125" i="46" s="1"/>
  <c r="J124" i="46"/>
  <c r="M124" i="46"/>
  <c r="J123" i="46"/>
  <c r="M123" i="46" s="1"/>
  <c r="J122" i="46"/>
  <c r="M122" i="46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/>
  <c r="J115" i="46"/>
  <c r="M115" i="46" s="1"/>
  <c r="J114" i="46"/>
  <c r="M114" i="46" s="1"/>
  <c r="J113" i="46"/>
  <c r="M113" i="46" s="1"/>
  <c r="J112" i="46"/>
  <c r="M112" i="46"/>
  <c r="J111" i="46"/>
  <c r="M111" i="46" s="1"/>
  <c r="J110" i="46"/>
  <c r="M110" i="46" s="1"/>
  <c r="J109" i="46"/>
  <c r="M109" i="46" s="1"/>
  <c r="J108" i="46"/>
  <c r="M108" i="46"/>
  <c r="J107" i="46"/>
  <c r="M107" i="46" s="1"/>
  <c r="J106" i="46"/>
  <c r="M106" i="46"/>
  <c r="Z105" i="46"/>
  <c r="J105" i="46"/>
  <c r="M105" i="46" s="1"/>
  <c r="X104" i="46"/>
  <c r="S104" i="46"/>
  <c r="U104" i="46" s="1"/>
  <c r="J104" i="46"/>
  <c r="M104" i="46"/>
  <c r="X103" i="46"/>
  <c r="S103" i="46"/>
  <c r="U103" i="46" s="1"/>
  <c r="J103" i="46"/>
  <c r="M103" i="46" s="1"/>
  <c r="X102" i="46"/>
  <c r="S102" i="46"/>
  <c r="U102" i="46"/>
  <c r="J102" i="46"/>
  <c r="M102" i="46" s="1"/>
  <c r="X101" i="46"/>
  <c r="S101" i="46"/>
  <c r="U101" i="46" s="1"/>
  <c r="J101" i="46"/>
  <c r="M101" i="46" s="1"/>
  <c r="X100" i="46"/>
  <c r="S100" i="46"/>
  <c r="U100" i="46"/>
  <c r="J100" i="46"/>
  <c r="M100" i="46" s="1"/>
  <c r="X99" i="46"/>
  <c r="S99" i="46"/>
  <c r="U99" i="46" s="1"/>
  <c r="J99" i="46"/>
  <c r="M99" i="46" s="1"/>
  <c r="X98" i="46"/>
  <c r="S98" i="46"/>
  <c r="U98" i="46"/>
  <c r="J98" i="46"/>
  <c r="M98" i="46" s="1"/>
  <c r="X97" i="46"/>
  <c r="S97" i="46"/>
  <c r="U97" i="46" s="1"/>
  <c r="J97" i="46"/>
  <c r="M97" i="46" s="1"/>
  <c r="X96" i="46"/>
  <c r="S96" i="46"/>
  <c r="U96" i="46"/>
  <c r="J96" i="46"/>
  <c r="M96" i="46" s="1"/>
  <c r="X95" i="46"/>
  <c r="S95" i="46"/>
  <c r="U95" i="46" s="1"/>
  <c r="J95" i="46"/>
  <c r="M95" i="46" s="1"/>
  <c r="X94" i="46"/>
  <c r="S94" i="46"/>
  <c r="U94" i="46" s="1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/>
  <c r="J91" i="46"/>
  <c r="M91" i="46" s="1"/>
  <c r="X90" i="46"/>
  <c r="S90" i="46"/>
  <c r="U90" i="46"/>
  <c r="J90" i="46"/>
  <c r="M90" i="46" s="1"/>
  <c r="X89" i="46"/>
  <c r="S89" i="46"/>
  <c r="U89" i="46"/>
  <c r="J89" i="46"/>
  <c r="M89" i="46" s="1"/>
  <c r="X88" i="46"/>
  <c r="S88" i="46"/>
  <c r="U88" i="46"/>
  <c r="J88" i="46"/>
  <c r="M88" i="46"/>
  <c r="X87" i="46"/>
  <c r="S87" i="46"/>
  <c r="U87" i="46"/>
  <c r="J87" i="46"/>
  <c r="M87" i="46" s="1"/>
  <c r="X86" i="46"/>
  <c r="S86" i="46"/>
  <c r="U86" i="46" s="1"/>
  <c r="J86" i="46"/>
  <c r="M86" i="46" s="1"/>
  <c r="X85" i="46"/>
  <c r="S85" i="46"/>
  <c r="U85" i="46"/>
  <c r="J85" i="46"/>
  <c r="M85" i="46" s="1"/>
  <c r="X84" i="46"/>
  <c r="S84" i="46"/>
  <c r="U84" i="46"/>
  <c r="J84" i="46"/>
  <c r="M84" i="46"/>
  <c r="X83" i="46"/>
  <c r="S83" i="46"/>
  <c r="U83" i="46" s="1"/>
  <c r="J83" i="46"/>
  <c r="M83" i="46" s="1"/>
  <c r="X82" i="46"/>
  <c r="S82" i="46"/>
  <c r="U82" i="46" s="1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/>
  <c r="J79" i="46"/>
  <c r="X78" i="46"/>
  <c r="S78" i="46"/>
  <c r="U78" i="46"/>
  <c r="J78" i="46"/>
  <c r="M78" i="46" s="1"/>
  <c r="X77" i="46"/>
  <c r="S77" i="46"/>
  <c r="U77" i="46"/>
  <c r="J77" i="46"/>
  <c r="M77" i="46" s="1"/>
  <c r="X76" i="46"/>
  <c r="S76" i="46"/>
  <c r="U76" i="46"/>
  <c r="J76" i="46"/>
  <c r="M76" i="46" s="1"/>
  <c r="X75" i="46"/>
  <c r="S75" i="46"/>
  <c r="U75" i="46"/>
  <c r="J75" i="46"/>
  <c r="M75" i="46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 s="1"/>
  <c r="J71" i="46"/>
  <c r="M71" i="46" s="1"/>
  <c r="X70" i="46"/>
  <c r="S70" i="46"/>
  <c r="U70" i="46"/>
  <c r="J70" i="46"/>
  <c r="M70" i="46" s="1"/>
  <c r="X69" i="46"/>
  <c r="S69" i="46"/>
  <c r="U69" i="46"/>
  <c r="J69" i="46"/>
  <c r="M69" i="46" s="1"/>
  <c r="X68" i="46"/>
  <c r="S68" i="46"/>
  <c r="U68" i="46"/>
  <c r="J68" i="46"/>
  <c r="M68" i="46" s="1"/>
  <c r="X67" i="46"/>
  <c r="S67" i="46"/>
  <c r="U67" i="46"/>
  <c r="J67" i="46"/>
  <c r="M67" i="46" s="1"/>
  <c r="X66" i="46"/>
  <c r="S66" i="46"/>
  <c r="U66" i="46"/>
  <c r="J66" i="46"/>
  <c r="M66" i="46" s="1"/>
  <c r="X65" i="46"/>
  <c r="S65" i="46"/>
  <c r="U65" i="46" s="1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 s="1"/>
  <c r="J62" i="46"/>
  <c r="M62" i="46" s="1"/>
  <c r="X61" i="46"/>
  <c r="S61" i="46"/>
  <c r="U61" i="46"/>
  <c r="J61" i="46"/>
  <c r="M61" i="46" s="1"/>
  <c r="X60" i="46"/>
  <c r="S60" i="46"/>
  <c r="U60" i="46"/>
  <c r="J60" i="46"/>
  <c r="M60" i="46" s="1"/>
  <c r="X59" i="46"/>
  <c r="S59" i="46"/>
  <c r="U59" i="46"/>
  <c r="J59" i="46"/>
  <c r="M59" i="46" s="1"/>
  <c r="X58" i="46"/>
  <c r="S58" i="46"/>
  <c r="U58" i="46"/>
  <c r="J58" i="46"/>
  <c r="M58" i="46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/>
  <c r="J55" i="46"/>
  <c r="M55" i="46" s="1"/>
  <c r="X54" i="46"/>
  <c r="S54" i="46"/>
  <c r="U54" i="46" s="1"/>
  <c r="J54" i="46"/>
  <c r="M54" i="46" s="1"/>
  <c r="X53" i="46"/>
  <c r="S53" i="46"/>
  <c r="U53" i="46" s="1"/>
  <c r="J53" i="46"/>
  <c r="M53" i="46" s="1"/>
  <c r="X52" i="46"/>
  <c r="S52" i="46"/>
  <c r="U52" i="46" s="1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 s="1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 s="1"/>
  <c r="J44" i="46"/>
  <c r="M44" i="46" s="1"/>
  <c r="X43" i="46"/>
  <c r="S43" i="46"/>
  <c r="U43" i="46" s="1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 s="1"/>
  <c r="X40" i="46"/>
  <c r="S40" i="46"/>
  <c r="U40" i="46" s="1"/>
  <c r="J40" i="46"/>
  <c r="M40" i="46" s="1"/>
  <c r="X39" i="46"/>
  <c r="S39" i="46"/>
  <c r="U39" i="46"/>
  <c r="J39" i="46"/>
  <c r="M39" i="46"/>
  <c r="X38" i="46"/>
  <c r="S38" i="46"/>
  <c r="U38" i="46" s="1"/>
  <c r="J38" i="46"/>
  <c r="M38" i="46" s="1"/>
  <c r="X37" i="46"/>
  <c r="S37" i="46"/>
  <c r="U37" i="46" s="1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/>
  <c r="J34" i="46"/>
  <c r="M34" i="46" s="1"/>
  <c r="X33" i="46"/>
  <c r="S33" i="46"/>
  <c r="U33" i="46" s="1"/>
  <c r="J33" i="46"/>
  <c r="M33" i="46" s="1"/>
  <c r="X32" i="46"/>
  <c r="S32" i="46"/>
  <c r="U32" i="46"/>
  <c r="J32" i="46"/>
  <c r="M32" i="46" s="1"/>
  <c r="X31" i="46"/>
  <c r="S31" i="46"/>
  <c r="U31" i="46"/>
  <c r="J31" i="46"/>
  <c r="M31" i="46"/>
  <c r="X30" i="46"/>
  <c r="S30" i="46"/>
  <c r="U30" i="46" s="1"/>
  <c r="J30" i="46"/>
  <c r="M30" i="46" s="1"/>
  <c r="X29" i="46"/>
  <c r="S29" i="46"/>
  <c r="U29" i="46" s="1"/>
  <c r="J29" i="46"/>
  <c r="M29" i="46" s="1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/>
  <c r="J23" i="46"/>
  <c r="M23" i="46" s="1"/>
  <c r="X22" i="46"/>
  <c r="S22" i="46"/>
  <c r="U22" i="46"/>
  <c r="J22" i="46"/>
  <c r="M22" i="46" s="1"/>
  <c r="X21" i="46"/>
  <c r="S21" i="46"/>
  <c r="U21" i="46"/>
  <c r="J21" i="46"/>
  <c r="M21" i="46" s="1"/>
  <c r="X20" i="46"/>
  <c r="S20" i="46"/>
  <c r="U20" i="46"/>
  <c r="J20" i="46"/>
  <c r="M20" i="46" s="1"/>
  <c r="X19" i="46"/>
  <c r="S19" i="46"/>
  <c r="U19" i="46"/>
  <c r="J19" i="46"/>
  <c r="M19" i="46" s="1"/>
  <c r="X18" i="46"/>
  <c r="S18" i="46"/>
  <c r="U18" i="46"/>
  <c r="J18" i="46"/>
  <c r="M18" i="46" s="1"/>
  <c r="X17" i="46"/>
  <c r="S17" i="46"/>
  <c r="U17" i="46"/>
  <c r="J17" i="46"/>
  <c r="M17" i="46" s="1"/>
  <c r="X16" i="46"/>
  <c r="S16" i="46"/>
  <c r="U16" i="46"/>
  <c r="J16" i="46"/>
  <c r="M16" i="46"/>
  <c r="X15" i="46"/>
  <c r="S15" i="46"/>
  <c r="U15" i="46" s="1"/>
  <c r="J15" i="46"/>
  <c r="M15" i="46" s="1"/>
  <c r="X14" i="46"/>
  <c r="S14" i="46"/>
  <c r="U14" i="46"/>
  <c r="J14" i="46"/>
  <c r="M14" i="46" s="1"/>
  <c r="X13" i="46"/>
  <c r="S13" i="46"/>
  <c r="U13" i="46" s="1"/>
  <c r="J13" i="46"/>
  <c r="M13" i="46" s="1"/>
  <c r="X12" i="46"/>
  <c r="S12" i="46"/>
  <c r="U12" i="46"/>
  <c r="J12" i="46"/>
  <c r="M12" i="46" s="1"/>
  <c r="X11" i="46"/>
  <c r="S11" i="46"/>
  <c r="U11" i="46" s="1"/>
  <c r="J11" i="46"/>
  <c r="M11" i="46" s="1"/>
  <c r="X10" i="46"/>
  <c r="S10" i="46"/>
  <c r="U10" i="46"/>
  <c r="J10" i="46"/>
  <c r="M10" i="46" s="1"/>
  <c r="X9" i="46"/>
  <c r="S9" i="46"/>
  <c r="U9" i="46" s="1"/>
  <c r="J9" i="46"/>
  <c r="M9" i="46" s="1"/>
  <c r="X8" i="46"/>
  <c r="S8" i="46"/>
  <c r="U8" i="46"/>
  <c r="J8" i="46"/>
  <c r="M8" i="46" s="1"/>
  <c r="X7" i="46"/>
  <c r="S7" i="46"/>
  <c r="U7" i="46" s="1"/>
  <c r="J7" i="46"/>
  <c r="M7" i="46"/>
  <c r="X6" i="46"/>
  <c r="S6" i="46"/>
  <c r="U6" i="46" s="1"/>
  <c r="J6" i="46"/>
  <c r="M6" i="46" s="1"/>
  <c r="X5" i="46"/>
  <c r="S5" i="46"/>
  <c r="U5" i="46" s="1"/>
  <c r="J5" i="46"/>
  <c r="M5" i="46" s="1"/>
  <c r="R16" i="16"/>
  <c r="M79" i="46"/>
  <c r="T15" i="16"/>
  <c r="Q15" i="16"/>
  <c r="P15" i="16"/>
  <c r="O15" i="16"/>
  <c r="K220" i="45"/>
  <c r="K212" i="45"/>
  <c r="N15" i="16" s="1"/>
  <c r="K209" i="45"/>
  <c r="R15" i="16" s="1"/>
  <c r="J204" i="45"/>
  <c r="M204" i="45" s="1"/>
  <c r="J203" i="45"/>
  <c r="M203" i="45" s="1"/>
  <c r="J202" i="45"/>
  <c r="M202" i="45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/>
  <c r="J192" i="45"/>
  <c r="M192" i="45" s="1"/>
  <c r="J191" i="45"/>
  <c r="M191" i="45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/>
  <c r="J184" i="45"/>
  <c r="M184" i="45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/>
  <c r="J176" i="45"/>
  <c r="M176" i="45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/>
  <c r="J168" i="45"/>
  <c r="M168" i="45" s="1"/>
  <c r="J167" i="45"/>
  <c r="M167" i="45" s="1"/>
  <c r="J166" i="45"/>
  <c r="M166" i="45" s="1"/>
  <c r="J165" i="45"/>
  <c r="M165" i="45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/>
  <c r="J137" i="45"/>
  <c r="M137" i="45" s="1"/>
  <c r="J136" i="45"/>
  <c r="M136" i="45" s="1"/>
  <c r="J135" i="45"/>
  <c r="M135" i="45" s="1"/>
  <c r="J134" i="45"/>
  <c r="M134" i="45" s="1"/>
  <c r="J133" i="45"/>
  <c r="M133" i="45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/>
  <c r="J104" i="45"/>
  <c r="M104" i="45" s="1"/>
  <c r="X103" i="45"/>
  <c r="S103" i="45"/>
  <c r="U103" i="45"/>
  <c r="J103" i="45"/>
  <c r="M103" i="45"/>
  <c r="X102" i="45"/>
  <c r="S102" i="45"/>
  <c r="U102" i="45" s="1"/>
  <c r="J102" i="45"/>
  <c r="M102" i="45" s="1"/>
  <c r="X101" i="45"/>
  <c r="S101" i="45"/>
  <c r="U101" i="45"/>
  <c r="J101" i="45"/>
  <c r="M101" i="45" s="1"/>
  <c r="X100" i="45"/>
  <c r="S100" i="45"/>
  <c r="U100" i="45"/>
  <c r="J100" i="45"/>
  <c r="M100" i="45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/>
  <c r="J97" i="45"/>
  <c r="M97" i="45" s="1"/>
  <c r="X96" i="45"/>
  <c r="S96" i="45"/>
  <c r="U96" i="45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/>
  <c r="J93" i="45"/>
  <c r="M93" i="45" s="1"/>
  <c r="X92" i="45"/>
  <c r="S92" i="45"/>
  <c r="U92" i="45" s="1"/>
  <c r="J92" i="45"/>
  <c r="M92" i="45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/>
  <c r="J89" i="45"/>
  <c r="M89" i="45" s="1"/>
  <c r="X88" i="45"/>
  <c r="S88" i="45"/>
  <c r="U88" i="45"/>
  <c r="J88" i="45"/>
  <c r="M88" i="45"/>
  <c r="X87" i="45"/>
  <c r="S87" i="45"/>
  <c r="U87" i="45"/>
  <c r="J87" i="45"/>
  <c r="M87" i="45" s="1"/>
  <c r="X86" i="45"/>
  <c r="S86" i="45"/>
  <c r="U86" i="45" s="1"/>
  <c r="J86" i="45"/>
  <c r="M86" i="45" s="1"/>
  <c r="X85" i="45"/>
  <c r="S85" i="45"/>
  <c r="U85" i="45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/>
  <c r="J82" i="45"/>
  <c r="M82" i="45"/>
  <c r="X81" i="45"/>
  <c r="S81" i="45"/>
  <c r="U81" i="45" s="1"/>
  <c r="J81" i="45"/>
  <c r="M81" i="45" s="1"/>
  <c r="X80" i="45"/>
  <c r="S80" i="45"/>
  <c r="U80" i="45" s="1"/>
  <c r="J80" i="45"/>
  <c r="M80" i="45"/>
  <c r="X79" i="45"/>
  <c r="S79" i="45"/>
  <c r="U79" i="45"/>
  <c r="J79" i="45"/>
  <c r="M79" i="45" s="1"/>
  <c r="X78" i="45"/>
  <c r="S78" i="45"/>
  <c r="U78" i="45"/>
  <c r="J78" i="45"/>
  <c r="M78" i="45"/>
  <c r="X77" i="45"/>
  <c r="S77" i="45"/>
  <c r="U77" i="45" s="1"/>
  <c r="J77" i="45"/>
  <c r="M77" i="45" s="1"/>
  <c r="X76" i="45"/>
  <c r="S76" i="45"/>
  <c r="U76" i="45"/>
  <c r="J76" i="45"/>
  <c r="M76" i="45" s="1"/>
  <c r="X75" i="45"/>
  <c r="S75" i="45"/>
  <c r="U75" i="45"/>
  <c r="J75" i="45"/>
  <c r="M75" i="45" s="1"/>
  <c r="X74" i="45"/>
  <c r="S74" i="45"/>
  <c r="U74" i="45"/>
  <c r="J74" i="45"/>
  <c r="M74" i="45" s="1"/>
  <c r="X73" i="45"/>
  <c r="S73" i="45"/>
  <c r="U73" i="45"/>
  <c r="J73" i="45"/>
  <c r="M73" i="45" s="1"/>
  <c r="X72" i="45"/>
  <c r="S72" i="45"/>
  <c r="U72" i="45"/>
  <c r="J72" i="45"/>
  <c r="M72" i="45"/>
  <c r="X71" i="45"/>
  <c r="S71" i="45"/>
  <c r="U71" i="45" s="1"/>
  <c r="J71" i="45"/>
  <c r="M71" i="45" s="1"/>
  <c r="X70" i="45"/>
  <c r="S70" i="45"/>
  <c r="U70" i="45" s="1"/>
  <c r="J70" i="45"/>
  <c r="M70" i="45" s="1"/>
  <c r="X69" i="45"/>
  <c r="S69" i="45"/>
  <c r="U69" i="45"/>
  <c r="J69" i="45"/>
  <c r="M69" i="45" s="1"/>
  <c r="X68" i="45"/>
  <c r="S68" i="45"/>
  <c r="U68" i="45"/>
  <c r="J68" i="45"/>
  <c r="M68" i="45"/>
  <c r="X67" i="45"/>
  <c r="S67" i="45"/>
  <c r="U67" i="45" s="1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/>
  <c r="J64" i="45"/>
  <c r="M64" i="45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/>
  <c r="J61" i="45"/>
  <c r="M61" i="45" s="1"/>
  <c r="X60" i="45"/>
  <c r="S60" i="45"/>
  <c r="U60" i="45"/>
  <c r="J60" i="45"/>
  <c r="M60" i="45" s="1"/>
  <c r="X59" i="45"/>
  <c r="S59" i="45"/>
  <c r="U59" i="45"/>
  <c r="J59" i="45"/>
  <c r="M59" i="45" s="1"/>
  <c r="X58" i="45"/>
  <c r="S58" i="45"/>
  <c r="U58" i="45"/>
  <c r="J58" i="45"/>
  <c r="M58" i="45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/>
  <c r="J55" i="45"/>
  <c r="M55" i="45" s="1"/>
  <c r="X54" i="45"/>
  <c r="S54" i="45"/>
  <c r="U54" i="45" s="1"/>
  <c r="J54" i="45"/>
  <c r="M54" i="45"/>
  <c r="X53" i="45"/>
  <c r="S53" i="45"/>
  <c r="U53" i="45" s="1"/>
  <c r="J53" i="45"/>
  <c r="M53" i="45" s="1"/>
  <c r="X52" i="45"/>
  <c r="S52" i="45"/>
  <c r="U52" i="45" s="1"/>
  <c r="J52" i="45"/>
  <c r="M52" i="45" s="1"/>
  <c r="X51" i="45"/>
  <c r="S51" i="45"/>
  <c r="U51" i="45"/>
  <c r="J51" i="45"/>
  <c r="M51" i="45" s="1"/>
  <c r="X50" i="45"/>
  <c r="S50" i="45"/>
  <c r="U50" i="45"/>
  <c r="J50" i="45"/>
  <c r="M50" i="45" s="1"/>
  <c r="X49" i="45"/>
  <c r="S49" i="45"/>
  <c r="U49" i="45"/>
  <c r="J49" i="45"/>
  <c r="M49" i="45" s="1"/>
  <c r="X48" i="45"/>
  <c r="S48" i="45"/>
  <c r="U48" i="45"/>
  <c r="J48" i="45"/>
  <c r="M48" i="45" s="1"/>
  <c r="X47" i="45"/>
  <c r="S47" i="45"/>
  <c r="U47" i="45"/>
  <c r="J47" i="45"/>
  <c r="M47" i="45" s="1"/>
  <c r="X46" i="45"/>
  <c r="S46" i="45"/>
  <c r="U46" i="45"/>
  <c r="J46" i="45"/>
  <c r="M46" i="45" s="1"/>
  <c r="X45" i="45"/>
  <c r="S45" i="45"/>
  <c r="U45" i="45"/>
  <c r="J45" i="45"/>
  <c r="M45" i="45" s="1"/>
  <c r="X44" i="45"/>
  <c r="S44" i="45"/>
  <c r="U44" i="45"/>
  <c r="J44" i="45"/>
  <c r="M44" i="45" s="1"/>
  <c r="X43" i="45"/>
  <c r="S43" i="45"/>
  <c r="U43" i="45"/>
  <c r="J43" i="45"/>
  <c r="M43" i="45" s="1"/>
  <c r="X42" i="45"/>
  <c r="S42" i="45"/>
  <c r="U42" i="45"/>
  <c r="J42" i="45"/>
  <c r="M42" i="45" s="1"/>
  <c r="X41" i="45"/>
  <c r="S41" i="45"/>
  <c r="U41" i="45"/>
  <c r="J41" i="45"/>
  <c r="M41" i="45" s="1"/>
  <c r="X40" i="45"/>
  <c r="S40" i="45"/>
  <c r="U40" i="45"/>
  <c r="J40" i="45"/>
  <c r="M40" i="45" s="1"/>
  <c r="X39" i="45"/>
  <c r="S39" i="45"/>
  <c r="U39" i="45"/>
  <c r="J39" i="45"/>
  <c r="M39" i="45" s="1"/>
  <c r="X38" i="45"/>
  <c r="S38" i="45"/>
  <c r="U38" i="45"/>
  <c r="J38" i="45"/>
  <c r="M38" i="45" s="1"/>
  <c r="X37" i="45"/>
  <c r="S37" i="45"/>
  <c r="U37" i="45"/>
  <c r="J37" i="45"/>
  <c r="M37" i="45" s="1"/>
  <c r="X36" i="45"/>
  <c r="S36" i="45"/>
  <c r="U36" i="45"/>
  <c r="J36" i="45"/>
  <c r="M36" i="45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/>
  <c r="J31" i="45"/>
  <c r="M31" i="45" s="1"/>
  <c r="X30" i="45"/>
  <c r="S30" i="45"/>
  <c r="U30" i="45"/>
  <c r="J30" i="45"/>
  <c r="M30" i="45"/>
  <c r="X29" i="45"/>
  <c r="S29" i="45"/>
  <c r="U29" i="45" s="1"/>
  <c r="J29" i="45"/>
  <c r="M29" i="45" s="1"/>
  <c r="X28" i="45"/>
  <c r="S28" i="45"/>
  <c r="U28" i="45" s="1"/>
  <c r="J28" i="45"/>
  <c r="M28" i="45"/>
  <c r="X27" i="45"/>
  <c r="S27" i="45"/>
  <c r="U27" i="45"/>
  <c r="J27" i="45"/>
  <c r="M27" i="45" s="1"/>
  <c r="X26" i="45"/>
  <c r="S26" i="45"/>
  <c r="U26" i="45"/>
  <c r="J26" i="45"/>
  <c r="M26" i="45" s="1"/>
  <c r="X25" i="45"/>
  <c r="S25" i="45"/>
  <c r="U25" i="45" s="1"/>
  <c r="J25" i="45"/>
  <c r="M25" i="45" s="1"/>
  <c r="X24" i="45"/>
  <c r="S24" i="45"/>
  <c r="U24" i="45"/>
  <c r="J24" i="45"/>
  <c r="M24" i="45" s="1"/>
  <c r="X23" i="45"/>
  <c r="S23" i="45"/>
  <c r="U23" i="45"/>
  <c r="J23" i="45"/>
  <c r="M23" i="45" s="1"/>
  <c r="X22" i="45"/>
  <c r="S22" i="45"/>
  <c r="U22" i="45"/>
  <c r="J22" i="45"/>
  <c r="M22" i="45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/>
  <c r="J19" i="45"/>
  <c r="M19" i="45" s="1"/>
  <c r="X18" i="45"/>
  <c r="S18" i="45"/>
  <c r="U18" i="45"/>
  <c r="J18" i="45"/>
  <c r="M18" i="45"/>
  <c r="X17" i="45"/>
  <c r="S17" i="45"/>
  <c r="U17" i="45"/>
  <c r="J17" i="45"/>
  <c r="M17" i="45" s="1"/>
  <c r="X16" i="45"/>
  <c r="S16" i="45"/>
  <c r="U16" i="45" s="1"/>
  <c r="J16" i="45"/>
  <c r="M16" i="45" s="1"/>
  <c r="X15" i="45"/>
  <c r="S15" i="45"/>
  <c r="U15" i="45"/>
  <c r="J15" i="45"/>
  <c r="M15" i="45" s="1"/>
  <c r="X14" i="45"/>
  <c r="S14" i="45"/>
  <c r="U14" i="45"/>
  <c r="J14" i="45"/>
  <c r="M14" i="45" s="1"/>
  <c r="X13" i="45"/>
  <c r="S13" i="45"/>
  <c r="U13" i="45"/>
  <c r="J13" i="45"/>
  <c r="M13" i="45" s="1"/>
  <c r="X12" i="45"/>
  <c r="S12" i="45"/>
  <c r="U12" i="45"/>
  <c r="J12" i="45"/>
  <c r="M12" i="45" s="1"/>
  <c r="X11" i="45"/>
  <c r="S11" i="45"/>
  <c r="U11" i="45"/>
  <c r="J11" i="45"/>
  <c r="M11" i="45" s="1"/>
  <c r="X10" i="45"/>
  <c r="S10" i="45"/>
  <c r="U10" i="45"/>
  <c r="J10" i="45"/>
  <c r="M10" i="45"/>
  <c r="X9" i="45"/>
  <c r="S9" i="45"/>
  <c r="U9" i="45" s="1"/>
  <c r="J9" i="45"/>
  <c r="M9" i="45" s="1"/>
  <c r="X8" i="45"/>
  <c r="S8" i="45"/>
  <c r="U8" i="45" s="1"/>
  <c r="J8" i="45"/>
  <c r="M8" i="45"/>
  <c r="X7" i="45"/>
  <c r="S7" i="45"/>
  <c r="U7" i="45"/>
  <c r="J7" i="45"/>
  <c r="M7" i="45" s="1"/>
  <c r="X6" i="45"/>
  <c r="S6" i="45"/>
  <c r="U6" i="45"/>
  <c r="J6" i="45"/>
  <c r="M6" i="45" s="1"/>
  <c r="X5" i="45"/>
  <c r="X107" i="45" s="1"/>
  <c r="J206" i="45" s="1"/>
  <c r="S5" i="45"/>
  <c r="U5" i="45"/>
  <c r="J5" i="45"/>
  <c r="T14" i="16"/>
  <c r="Q14" i="16"/>
  <c r="P14" i="16"/>
  <c r="O14" i="16"/>
  <c r="T13" i="16"/>
  <c r="Q13" i="16"/>
  <c r="P13" i="16"/>
  <c r="O13" i="16"/>
  <c r="J6" i="44"/>
  <c r="M6" i="44" s="1"/>
  <c r="J7" i="44"/>
  <c r="M7" i="44" s="1"/>
  <c r="J8" i="44"/>
  <c r="M8" i="44" s="1"/>
  <c r="J9" i="44"/>
  <c r="M9" i="44" s="1"/>
  <c r="J10" i="44"/>
  <c r="J11" i="44"/>
  <c r="M11" i="44" s="1"/>
  <c r="J12" i="44"/>
  <c r="M12" i="44" s="1"/>
  <c r="J13" i="44"/>
  <c r="M13" i="44" s="1"/>
  <c r="J14" i="44"/>
  <c r="J15" i="44"/>
  <c r="M15" i="44" s="1"/>
  <c r="J16" i="44"/>
  <c r="J17" i="44"/>
  <c r="M17" i="44"/>
  <c r="J18" i="44"/>
  <c r="J19" i="44"/>
  <c r="M19" i="44" s="1"/>
  <c r="J20" i="44"/>
  <c r="M20" i="44" s="1"/>
  <c r="J21" i="44"/>
  <c r="M21" i="44" s="1"/>
  <c r="J22" i="44"/>
  <c r="M22" i="44"/>
  <c r="J23" i="44"/>
  <c r="J24" i="44"/>
  <c r="J25" i="44"/>
  <c r="J26" i="44"/>
  <c r="M26" i="44" s="1"/>
  <c r="J27" i="44"/>
  <c r="M27" i="44" s="1"/>
  <c r="J28" i="44"/>
  <c r="M28" i="44" s="1"/>
  <c r="J29" i="44"/>
  <c r="M29" i="44" s="1"/>
  <c r="J30" i="44"/>
  <c r="J31" i="44"/>
  <c r="J32" i="44"/>
  <c r="M32" i="44" s="1"/>
  <c r="J33" i="44"/>
  <c r="J34" i="44"/>
  <c r="M34" i="44" s="1"/>
  <c r="J35" i="44"/>
  <c r="M35" i="44" s="1"/>
  <c r="J36" i="44"/>
  <c r="M36" i="44" s="1"/>
  <c r="J37" i="44"/>
  <c r="M37" i="44" s="1"/>
  <c r="J38" i="44"/>
  <c r="J39" i="44"/>
  <c r="M39" i="44" s="1"/>
  <c r="J40" i="44"/>
  <c r="M40" i="44" s="1"/>
  <c r="J41" i="44"/>
  <c r="M41" i="44" s="1"/>
  <c r="J42" i="44"/>
  <c r="M42" i="44" s="1"/>
  <c r="J43" i="44"/>
  <c r="M43" i="44" s="1"/>
  <c r="J44" i="44"/>
  <c r="M44" i="44" s="1"/>
  <c r="J45" i="44"/>
  <c r="M45" i="44" s="1"/>
  <c r="J46" i="44"/>
  <c r="M46" i="44" s="1"/>
  <c r="J47" i="44"/>
  <c r="M47" i="44" s="1"/>
  <c r="J48" i="44"/>
  <c r="M48" i="44" s="1"/>
  <c r="J49" i="44"/>
  <c r="M49" i="44" s="1"/>
  <c r="J50" i="44"/>
  <c r="M50" i="44" s="1"/>
  <c r="J51" i="44"/>
  <c r="M51" i="44" s="1"/>
  <c r="J52" i="44"/>
  <c r="M52" i="44" s="1"/>
  <c r="J53" i="44"/>
  <c r="M53" i="44" s="1"/>
  <c r="J54" i="44"/>
  <c r="M54" i="44" s="1"/>
  <c r="J55" i="44"/>
  <c r="M55" i="44" s="1"/>
  <c r="J56" i="44"/>
  <c r="M56" i="44" s="1"/>
  <c r="J57" i="44"/>
  <c r="M57" i="44" s="1"/>
  <c r="J58" i="44"/>
  <c r="M58" i="44" s="1"/>
  <c r="J59" i="44"/>
  <c r="M59" i="44" s="1"/>
  <c r="J60" i="44"/>
  <c r="M60" i="44" s="1"/>
  <c r="J61" i="44"/>
  <c r="M61" i="44" s="1"/>
  <c r="J62" i="44"/>
  <c r="M62" i="44" s="1"/>
  <c r="J63" i="44"/>
  <c r="J64" i="44"/>
  <c r="M64" i="44" s="1"/>
  <c r="J65" i="44"/>
  <c r="M65" i="44" s="1"/>
  <c r="J66" i="44"/>
  <c r="J67" i="44"/>
  <c r="M67" i="44" s="1"/>
  <c r="J68" i="44"/>
  <c r="M68" i="44" s="1"/>
  <c r="J69" i="44"/>
  <c r="M69" i="44" s="1"/>
  <c r="J70" i="44"/>
  <c r="M70" i="44" s="1"/>
  <c r="J71" i="44"/>
  <c r="M71" i="44" s="1"/>
  <c r="J72" i="44"/>
  <c r="M72" i="44" s="1"/>
  <c r="J73" i="44"/>
  <c r="M73" i="44" s="1"/>
  <c r="J74" i="44"/>
  <c r="J75" i="44"/>
  <c r="M75" i="44" s="1"/>
  <c r="J76" i="44"/>
  <c r="M76" i="44" s="1"/>
  <c r="J77" i="44"/>
  <c r="M77" i="44" s="1"/>
  <c r="J78" i="44"/>
  <c r="J79" i="44"/>
  <c r="M79" i="44" s="1"/>
  <c r="J80" i="44"/>
  <c r="M80" i="44" s="1"/>
  <c r="J81" i="44"/>
  <c r="M81" i="44" s="1"/>
  <c r="J82" i="44"/>
  <c r="J83" i="44"/>
  <c r="M83" i="44" s="1"/>
  <c r="J84" i="44"/>
  <c r="M84" i="44"/>
  <c r="J85" i="44"/>
  <c r="M85" i="44" s="1"/>
  <c r="J86" i="44"/>
  <c r="M86" i="44" s="1"/>
  <c r="J87" i="44"/>
  <c r="M87" i="44" s="1"/>
  <c r="J88" i="44"/>
  <c r="M88" i="44" s="1"/>
  <c r="J89" i="44"/>
  <c r="M89" i="44"/>
  <c r="J90" i="44"/>
  <c r="M90" i="44" s="1"/>
  <c r="J91" i="44"/>
  <c r="M91" i="44" s="1"/>
  <c r="J92" i="44"/>
  <c r="M92" i="44" s="1"/>
  <c r="J93" i="44"/>
  <c r="M93" i="44" s="1"/>
  <c r="J94" i="44"/>
  <c r="M94" i="44"/>
  <c r="J95" i="44"/>
  <c r="M95" i="44" s="1"/>
  <c r="J96" i="44"/>
  <c r="J97" i="44"/>
  <c r="M97" i="44" s="1"/>
  <c r="J98" i="44"/>
  <c r="M98" i="44" s="1"/>
  <c r="J99" i="44"/>
  <c r="M99" i="44" s="1"/>
  <c r="J100" i="44"/>
  <c r="M100" i="44" s="1"/>
  <c r="J101" i="44"/>
  <c r="M101" i="44" s="1"/>
  <c r="J102" i="44"/>
  <c r="J103" i="44"/>
  <c r="M103" i="44" s="1"/>
  <c r="J104" i="44"/>
  <c r="M104" i="44" s="1"/>
  <c r="J105" i="44"/>
  <c r="J106" i="44"/>
  <c r="M106" i="44" s="1"/>
  <c r="J107" i="44"/>
  <c r="M107" i="44" s="1"/>
  <c r="J108" i="44"/>
  <c r="M108" i="44" s="1"/>
  <c r="J109" i="44"/>
  <c r="M109" i="44" s="1"/>
  <c r="J110" i="44"/>
  <c r="J111" i="44"/>
  <c r="M111" i="44" s="1"/>
  <c r="J112" i="44"/>
  <c r="M112" i="44" s="1"/>
  <c r="J113" i="44"/>
  <c r="M113" i="44"/>
  <c r="J114" i="44"/>
  <c r="M114" i="44" s="1"/>
  <c r="J115" i="44"/>
  <c r="M115" i="44" s="1"/>
  <c r="J116" i="44"/>
  <c r="M116" i="44" s="1"/>
  <c r="J117" i="44"/>
  <c r="M117" i="44"/>
  <c r="J118" i="44"/>
  <c r="M118" i="44" s="1"/>
  <c r="J119" i="44"/>
  <c r="M119" i="44" s="1"/>
  <c r="J120" i="44"/>
  <c r="M120" i="44" s="1"/>
  <c r="J121" i="44"/>
  <c r="J122" i="44"/>
  <c r="J123" i="44"/>
  <c r="M123" i="44" s="1"/>
  <c r="J124" i="44"/>
  <c r="M124" i="44" s="1"/>
  <c r="J125" i="44"/>
  <c r="M125" i="44" s="1"/>
  <c r="J126" i="44"/>
  <c r="J127" i="44"/>
  <c r="M127" i="44"/>
  <c r="J128" i="44"/>
  <c r="M128" i="44" s="1"/>
  <c r="J129" i="44"/>
  <c r="M129" i="44" s="1"/>
  <c r="J130" i="44"/>
  <c r="J131" i="44"/>
  <c r="M131" i="44" s="1"/>
  <c r="J132" i="44"/>
  <c r="M132" i="44"/>
  <c r="J133" i="44"/>
  <c r="M133" i="44" s="1"/>
  <c r="J134" i="44"/>
  <c r="M134" i="44" s="1"/>
  <c r="J135" i="44"/>
  <c r="M135" i="44" s="1"/>
  <c r="J136" i="44"/>
  <c r="J137" i="44"/>
  <c r="M137" i="44"/>
  <c r="J138" i="44"/>
  <c r="M138" i="44" s="1"/>
  <c r="J139" i="44"/>
  <c r="M139" i="44" s="1"/>
  <c r="J140" i="44"/>
  <c r="M140" i="44" s="1"/>
  <c r="J141" i="44"/>
  <c r="M141" i="44" s="1"/>
  <c r="J142" i="44"/>
  <c r="M142" i="44" s="1"/>
  <c r="J143" i="44"/>
  <c r="J144" i="44"/>
  <c r="M144" i="44" s="1"/>
  <c r="J145" i="44"/>
  <c r="M145" i="44" s="1"/>
  <c r="J146" i="44"/>
  <c r="M146" i="44" s="1"/>
  <c r="J147" i="44"/>
  <c r="M147" i="44" s="1"/>
  <c r="J148" i="44"/>
  <c r="M148" i="44" s="1"/>
  <c r="J149" i="44"/>
  <c r="M149" i="44" s="1"/>
  <c r="J150" i="44"/>
  <c r="M150" i="44" s="1"/>
  <c r="J151" i="44"/>
  <c r="J152" i="44"/>
  <c r="M152" i="44" s="1"/>
  <c r="J153" i="44"/>
  <c r="M153" i="44" s="1"/>
  <c r="J154" i="44"/>
  <c r="M154" i="44" s="1"/>
  <c r="J155" i="44"/>
  <c r="M155" i="44" s="1"/>
  <c r="J156" i="44"/>
  <c r="M156" i="44"/>
  <c r="J157" i="44"/>
  <c r="M157" i="44" s="1"/>
  <c r="J158" i="44"/>
  <c r="M158" i="44" s="1"/>
  <c r="J159" i="44"/>
  <c r="M159" i="44" s="1"/>
  <c r="J160" i="44"/>
  <c r="M160" i="44" s="1"/>
  <c r="J161" i="44"/>
  <c r="M161" i="44" s="1"/>
  <c r="J162" i="44"/>
  <c r="M162" i="44" s="1"/>
  <c r="J163" i="44"/>
  <c r="M163" i="44"/>
  <c r="J164" i="44"/>
  <c r="M164" i="44" s="1"/>
  <c r="J165" i="44"/>
  <c r="M165" i="44" s="1"/>
  <c r="J166" i="44"/>
  <c r="M166" i="44" s="1"/>
  <c r="J167" i="44"/>
  <c r="M167" i="44" s="1"/>
  <c r="J168" i="44"/>
  <c r="J169" i="44"/>
  <c r="J170" i="44"/>
  <c r="J171" i="44"/>
  <c r="M171" i="44" s="1"/>
  <c r="J172" i="44"/>
  <c r="M172" i="44" s="1"/>
  <c r="J173" i="44"/>
  <c r="M173" i="44" s="1"/>
  <c r="J174" i="44"/>
  <c r="M174" i="44" s="1"/>
  <c r="J175" i="44"/>
  <c r="M175" i="44"/>
  <c r="J176" i="44"/>
  <c r="M176" i="44" s="1"/>
  <c r="J177" i="44"/>
  <c r="M177" i="44" s="1"/>
  <c r="J178" i="44"/>
  <c r="M178" i="44" s="1"/>
  <c r="J179" i="44"/>
  <c r="M179" i="44"/>
  <c r="J180" i="44"/>
  <c r="M180" i="44" s="1"/>
  <c r="J181" i="44"/>
  <c r="M181" i="44" s="1"/>
  <c r="J182" i="44"/>
  <c r="M182" i="44" s="1"/>
  <c r="J183" i="44"/>
  <c r="M183" i="44"/>
  <c r="J184" i="44"/>
  <c r="M184" i="44" s="1"/>
  <c r="J185" i="44"/>
  <c r="M185" i="44" s="1"/>
  <c r="J186" i="44"/>
  <c r="J187" i="44"/>
  <c r="M187" i="44" s="1"/>
  <c r="J188" i="44"/>
  <c r="M188" i="44" s="1"/>
  <c r="J189" i="44"/>
  <c r="M189" i="44" s="1"/>
  <c r="J190" i="44"/>
  <c r="M190" i="44" s="1"/>
  <c r="J191" i="44"/>
  <c r="M191" i="44" s="1"/>
  <c r="J192" i="44"/>
  <c r="M192" i="44" s="1"/>
  <c r="J193" i="44"/>
  <c r="M193" i="44" s="1"/>
  <c r="J194" i="44"/>
  <c r="M194" i="44" s="1"/>
  <c r="J195" i="44"/>
  <c r="M195" i="44" s="1"/>
  <c r="J196" i="44"/>
  <c r="M196" i="44" s="1"/>
  <c r="J197" i="44"/>
  <c r="M197" i="44"/>
  <c r="J198" i="44"/>
  <c r="M198" i="44" s="1"/>
  <c r="J199" i="44"/>
  <c r="J200" i="44"/>
  <c r="J201" i="44"/>
  <c r="M201" i="44" s="1"/>
  <c r="J202" i="44"/>
  <c r="M202" i="44"/>
  <c r="J203" i="44"/>
  <c r="M203" i="44"/>
  <c r="J204" i="44"/>
  <c r="M204" i="44" s="1"/>
  <c r="K220" i="44"/>
  <c r="K212" i="44"/>
  <c r="N14" i="16" s="1"/>
  <c r="K209" i="44"/>
  <c r="K219" i="44" s="1"/>
  <c r="M200" i="44"/>
  <c r="M199" i="44"/>
  <c r="M186" i="44"/>
  <c r="M170" i="44"/>
  <c r="M169" i="44"/>
  <c r="M168" i="44"/>
  <c r="M143" i="44"/>
  <c r="M136" i="44"/>
  <c r="M130" i="44"/>
  <c r="M126" i="44"/>
  <c r="M122" i="44"/>
  <c r="M121" i="44"/>
  <c r="M110" i="44"/>
  <c r="Z105" i="44"/>
  <c r="M105" i="44"/>
  <c r="X104" i="44"/>
  <c r="S104" i="44"/>
  <c r="U104" i="44" s="1"/>
  <c r="X103" i="44"/>
  <c r="S103" i="44"/>
  <c r="U103" i="44"/>
  <c r="X102" i="44"/>
  <c r="S102" i="44"/>
  <c r="U102" i="44"/>
  <c r="M102" i="44"/>
  <c r="X101" i="44"/>
  <c r="S101" i="44"/>
  <c r="U101" i="44"/>
  <c r="X100" i="44"/>
  <c r="S100" i="44"/>
  <c r="U100" i="44"/>
  <c r="X99" i="44"/>
  <c r="S99" i="44"/>
  <c r="U99" i="44" s="1"/>
  <c r="X98" i="44"/>
  <c r="S98" i="44"/>
  <c r="U98" i="44"/>
  <c r="X97" i="44"/>
  <c r="S97" i="44"/>
  <c r="U97" i="44"/>
  <c r="X96" i="44"/>
  <c r="S96" i="44"/>
  <c r="U96" i="44"/>
  <c r="M96" i="44"/>
  <c r="X95" i="44"/>
  <c r="S95" i="44"/>
  <c r="U95" i="44"/>
  <c r="X94" i="44"/>
  <c r="S94" i="44"/>
  <c r="U94" i="44" s="1"/>
  <c r="X93" i="44"/>
  <c r="S93" i="44"/>
  <c r="U93" i="44"/>
  <c r="X92" i="44"/>
  <c r="S92" i="44"/>
  <c r="U92" i="44" s="1"/>
  <c r="X91" i="44"/>
  <c r="S91" i="44"/>
  <c r="U91" i="44" s="1"/>
  <c r="X90" i="44"/>
  <c r="S90" i="44"/>
  <c r="U90" i="44" s="1"/>
  <c r="X89" i="44"/>
  <c r="S89" i="44"/>
  <c r="U89" i="44" s="1"/>
  <c r="X88" i="44"/>
  <c r="S88" i="44"/>
  <c r="U88" i="44"/>
  <c r="X87" i="44"/>
  <c r="S87" i="44"/>
  <c r="U87" i="44" s="1"/>
  <c r="X86" i="44"/>
  <c r="S86" i="44"/>
  <c r="U86" i="44"/>
  <c r="X85" i="44"/>
  <c r="S85" i="44"/>
  <c r="U85" i="44"/>
  <c r="X84" i="44"/>
  <c r="S84" i="44"/>
  <c r="U84" i="44" s="1"/>
  <c r="X83" i="44"/>
  <c r="S83" i="44"/>
  <c r="U83" i="44"/>
  <c r="X82" i="44"/>
  <c r="S82" i="44"/>
  <c r="U82" i="44"/>
  <c r="M82" i="44"/>
  <c r="X81" i="44"/>
  <c r="S81" i="44"/>
  <c r="U81" i="44"/>
  <c r="X80" i="44"/>
  <c r="S80" i="44"/>
  <c r="U80" i="44"/>
  <c r="X79" i="44"/>
  <c r="S79" i="44"/>
  <c r="U79" i="44" s="1"/>
  <c r="X78" i="44"/>
  <c r="S78" i="44"/>
  <c r="U78" i="44" s="1"/>
  <c r="M78" i="44"/>
  <c r="X77" i="44"/>
  <c r="S77" i="44"/>
  <c r="U77" i="44" s="1"/>
  <c r="X76" i="44"/>
  <c r="S76" i="44"/>
  <c r="U76" i="44"/>
  <c r="X75" i="44"/>
  <c r="S75" i="44"/>
  <c r="U75" i="44"/>
  <c r="X74" i="44"/>
  <c r="S74" i="44"/>
  <c r="U74" i="44"/>
  <c r="M74" i="44"/>
  <c r="X73" i="44"/>
  <c r="S73" i="44"/>
  <c r="U73" i="44"/>
  <c r="X72" i="44"/>
  <c r="S72" i="44"/>
  <c r="U72" i="44"/>
  <c r="X71" i="44"/>
  <c r="S71" i="44"/>
  <c r="U71" i="44"/>
  <c r="X70" i="44"/>
  <c r="S70" i="44"/>
  <c r="U70" i="44" s="1"/>
  <c r="X69" i="44"/>
  <c r="S69" i="44"/>
  <c r="U69" i="44" s="1"/>
  <c r="X68" i="44"/>
  <c r="S68" i="44"/>
  <c r="U68" i="44" s="1"/>
  <c r="X67" i="44"/>
  <c r="S67" i="44"/>
  <c r="U67" i="44"/>
  <c r="X66" i="44"/>
  <c r="S66" i="44"/>
  <c r="U66" i="44"/>
  <c r="M66" i="44"/>
  <c r="X65" i="44"/>
  <c r="S65" i="44"/>
  <c r="U65" i="44"/>
  <c r="X64" i="44"/>
  <c r="S64" i="44"/>
  <c r="U64" i="44"/>
  <c r="X63" i="44"/>
  <c r="S63" i="44"/>
  <c r="U63" i="44" s="1"/>
  <c r="X62" i="44"/>
  <c r="S62" i="44"/>
  <c r="U62" i="44" s="1"/>
  <c r="X61" i="44"/>
  <c r="S61" i="44"/>
  <c r="U61" i="44" s="1"/>
  <c r="X60" i="44"/>
  <c r="S60" i="44"/>
  <c r="U60" i="44"/>
  <c r="X59" i="44"/>
  <c r="S59" i="44"/>
  <c r="U59" i="44" s="1"/>
  <c r="X58" i="44"/>
  <c r="U58" i="44"/>
  <c r="S58" i="44"/>
  <c r="X57" i="44"/>
  <c r="S57" i="44"/>
  <c r="U57" i="44"/>
  <c r="X56" i="44"/>
  <c r="S56" i="44"/>
  <c r="U56" i="44"/>
  <c r="X55" i="44"/>
  <c r="S55" i="44"/>
  <c r="U55" i="44"/>
  <c r="X54" i="44"/>
  <c r="S54" i="44"/>
  <c r="U54" i="44" s="1"/>
  <c r="X53" i="44"/>
  <c r="S53" i="44"/>
  <c r="U53" i="44"/>
  <c r="X52" i="44"/>
  <c r="S52" i="44"/>
  <c r="U52" i="44"/>
  <c r="X51" i="44"/>
  <c r="S51" i="44"/>
  <c r="U51" i="44" s="1"/>
  <c r="X50" i="44"/>
  <c r="S50" i="44"/>
  <c r="U50" i="44"/>
  <c r="X49" i="44"/>
  <c r="S49" i="44"/>
  <c r="U49" i="44"/>
  <c r="X48" i="44"/>
  <c r="S48" i="44"/>
  <c r="U48" i="44"/>
  <c r="X47" i="44"/>
  <c r="S47" i="44"/>
  <c r="U47" i="44"/>
  <c r="X46" i="44"/>
  <c r="S46" i="44"/>
  <c r="U46" i="44" s="1"/>
  <c r="X45" i="44"/>
  <c r="S45" i="44"/>
  <c r="U45" i="44"/>
  <c r="X44" i="44"/>
  <c r="S44" i="44"/>
  <c r="U44" i="44" s="1"/>
  <c r="X43" i="44"/>
  <c r="S43" i="44"/>
  <c r="U43" i="44"/>
  <c r="X42" i="44"/>
  <c r="U42" i="44"/>
  <c r="S42" i="44"/>
  <c r="X41" i="44"/>
  <c r="U41" i="44"/>
  <c r="S41" i="44"/>
  <c r="X40" i="44"/>
  <c r="S40" i="44"/>
  <c r="U40" i="44"/>
  <c r="X39" i="44"/>
  <c r="S39" i="44"/>
  <c r="U39" i="44" s="1"/>
  <c r="X38" i="44"/>
  <c r="S38" i="44"/>
  <c r="U38" i="44"/>
  <c r="M38" i="44"/>
  <c r="X37" i="44"/>
  <c r="S37" i="44"/>
  <c r="U37" i="44"/>
  <c r="X36" i="44"/>
  <c r="S36" i="44"/>
  <c r="U36" i="44" s="1"/>
  <c r="X35" i="44"/>
  <c r="S35" i="44"/>
  <c r="U35" i="44" s="1"/>
  <c r="X34" i="44"/>
  <c r="S34" i="44"/>
  <c r="U34" i="44"/>
  <c r="X33" i="44"/>
  <c r="S33" i="44"/>
  <c r="U33" i="44"/>
  <c r="M33" i="44"/>
  <c r="X32" i="44"/>
  <c r="S32" i="44"/>
  <c r="U32" i="44" s="1"/>
  <c r="X31" i="44"/>
  <c r="S31" i="44"/>
  <c r="U31" i="44"/>
  <c r="M31" i="44"/>
  <c r="X30" i="44"/>
  <c r="S30" i="44"/>
  <c r="U30" i="44" s="1"/>
  <c r="M30" i="44"/>
  <c r="X29" i="44"/>
  <c r="S29" i="44"/>
  <c r="U29" i="44"/>
  <c r="X28" i="44"/>
  <c r="S28" i="44"/>
  <c r="U28" i="44"/>
  <c r="X27" i="44"/>
  <c r="S27" i="44"/>
  <c r="U27" i="44" s="1"/>
  <c r="X26" i="44"/>
  <c r="S26" i="44"/>
  <c r="U26" i="44"/>
  <c r="X25" i="44"/>
  <c r="S25" i="44"/>
  <c r="U25" i="44" s="1"/>
  <c r="M25" i="44"/>
  <c r="X24" i="44"/>
  <c r="S24" i="44"/>
  <c r="U24" i="44"/>
  <c r="M24" i="44"/>
  <c r="X23" i="44"/>
  <c r="S23" i="44"/>
  <c r="U23" i="44" s="1"/>
  <c r="M23" i="44"/>
  <c r="X22" i="44"/>
  <c r="S22" i="44"/>
  <c r="U22" i="44"/>
  <c r="X21" i="44"/>
  <c r="S21" i="44"/>
  <c r="U21" i="44"/>
  <c r="X20" i="44"/>
  <c r="U20" i="44"/>
  <c r="S20" i="44"/>
  <c r="X19" i="44"/>
  <c r="S19" i="44"/>
  <c r="U19" i="44" s="1"/>
  <c r="X18" i="44"/>
  <c r="S18" i="44"/>
  <c r="U18" i="44"/>
  <c r="X17" i="44"/>
  <c r="S17" i="44"/>
  <c r="U17" i="44"/>
  <c r="X16" i="44"/>
  <c r="S16" i="44"/>
  <c r="U16" i="44"/>
  <c r="M16" i="44"/>
  <c r="X15" i="44"/>
  <c r="S15" i="44"/>
  <c r="U15" i="44" s="1"/>
  <c r="X14" i="44"/>
  <c r="S14" i="44"/>
  <c r="U14" i="44" s="1"/>
  <c r="M14" i="44"/>
  <c r="X13" i="44"/>
  <c r="S13" i="44"/>
  <c r="U13" i="44" s="1"/>
  <c r="X12" i="44"/>
  <c r="S12" i="44"/>
  <c r="U12" i="44"/>
  <c r="X11" i="44"/>
  <c r="S11" i="44"/>
  <c r="U11" i="44"/>
  <c r="X10" i="44"/>
  <c r="S10" i="44"/>
  <c r="U10" i="44" s="1"/>
  <c r="M10" i="44"/>
  <c r="X9" i="44"/>
  <c r="S9" i="44"/>
  <c r="U9" i="44"/>
  <c r="X8" i="44"/>
  <c r="S8" i="44"/>
  <c r="U8" i="44" s="1"/>
  <c r="X7" i="44"/>
  <c r="S7" i="44"/>
  <c r="U7" i="44"/>
  <c r="X6" i="44"/>
  <c r="S6" i="44"/>
  <c r="U6" i="44" s="1"/>
  <c r="X5" i="44"/>
  <c r="S5" i="44"/>
  <c r="U5" i="44"/>
  <c r="J5" i="44"/>
  <c r="K220" i="43"/>
  <c r="N13" i="16"/>
  <c r="K209" i="43"/>
  <c r="J204" i="43"/>
  <c r="M204" i="43" s="1"/>
  <c r="J203" i="43"/>
  <c r="M203" i="43" s="1"/>
  <c r="J202" i="43"/>
  <c r="M202" i="43" s="1"/>
  <c r="J201" i="43"/>
  <c r="M201" i="43" s="1"/>
  <c r="J200" i="43"/>
  <c r="M200" i="43"/>
  <c r="J199" i="43"/>
  <c r="M199" i="43" s="1"/>
  <c r="J198" i="43"/>
  <c r="M198" i="43" s="1"/>
  <c r="J197" i="43"/>
  <c r="M197" i="43" s="1"/>
  <c r="J196" i="43"/>
  <c r="M196" i="43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/>
  <c r="J171" i="43"/>
  <c r="M171" i="43" s="1"/>
  <c r="J170" i="43"/>
  <c r="M170" i="43" s="1"/>
  <c r="J169" i="43"/>
  <c r="M169" i="43" s="1"/>
  <c r="J168" i="43"/>
  <c r="M168" i="43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/>
  <c r="J102" i="43"/>
  <c r="M102" i="43" s="1"/>
  <c r="X101" i="43"/>
  <c r="S101" i="43"/>
  <c r="U101" i="43" s="1"/>
  <c r="J101" i="43"/>
  <c r="M101" i="43"/>
  <c r="X100" i="43"/>
  <c r="S100" i="43"/>
  <c r="U100" i="43" s="1"/>
  <c r="J100" i="43"/>
  <c r="M100" i="43" s="1"/>
  <c r="X99" i="43"/>
  <c r="S99" i="43"/>
  <c r="U99" i="43" s="1"/>
  <c r="J99" i="43"/>
  <c r="M99" i="43" s="1"/>
  <c r="X98" i="43"/>
  <c r="S98" i="43"/>
  <c r="U98" i="43"/>
  <c r="J98" i="43"/>
  <c r="M98" i="43" s="1"/>
  <c r="X97" i="43"/>
  <c r="S97" i="43"/>
  <c r="U97" i="43"/>
  <c r="J97" i="43"/>
  <c r="M97" i="43" s="1"/>
  <c r="X96" i="43"/>
  <c r="S96" i="43"/>
  <c r="U96" i="43"/>
  <c r="J96" i="43"/>
  <c r="M96" i="43" s="1"/>
  <c r="X95" i="43"/>
  <c r="S95" i="43"/>
  <c r="U95" i="43"/>
  <c r="J95" i="43"/>
  <c r="M95" i="43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 s="1"/>
  <c r="J92" i="43"/>
  <c r="M92" i="43" s="1"/>
  <c r="X91" i="43"/>
  <c r="S91" i="43"/>
  <c r="U91" i="43"/>
  <c r="J91" i="43"/>
  <c r="M91" i="43" s="1"/>
  <c r="X90" i="43"/>
  <c r="S90" i="43"/>
  <c r="U90" i="43" s="1"/>
  <c r="J90" i="43"/>
  <c r="M90" i="43" s="1"/>
  <c r="X89" i="43"/>
  <c r="S89" i="43"/>
  <c r="U89" i="43"/>
  <c r="J89" i="43"/>
  <c r="M89" i="43" s="1"/>
  <c r="X88" i="43"/>
  <c r="S88" i="43"/>
  <c r="U88" i="43"/>
  <c r="J88" i="43"/>
  <c r="M88" i="43" s="1"/>
  <c r="X87" i="43"/>
  <c r="S87" i="43"/>
  <c r="U87" i="43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/>
  <c r="X84" i="43"/>
  <c r="S84" i="43"/>
  <c r="U84" i="43"/>
  <c r="J84" i="43"/>
  <c r="M84" i="43" s="1"/>
  <c r="X83" i="43"/>
  <c r="S83" i="43"/>
  <c r="U83" i="43" s="1"/>
  <c r="J83" i="43"/>
  <c r="M83" i="43"/>
  <c r="X82" i="43"/>
  <c r="S82" i="43"/>
  <c r="U82" i="43" s="1"/>
  <c r="J82" i="43"/>
  <c r="M82" i="43" s="1"/>
  <c r="X81" i="43"/>
  <c r="S81" i="43"/>
  <c r="U81" i="43"/>
  <c r="J81" i="43"/>
  <c r="M81" i="43" s="1"/>
  <c r="X80" i="43"/>
  <c r="S80" i="43"/>
  <c r="U80" i="43" s="1"/>
  <c r="J80" i="43"/>
  <c r="M80" i="43" s="1"/>
  <c r="X79" i="43"/>
  <c r="S79" i="43"/>
  <c r="U79" i="43"/>
  <c r="J79" i="43"/>
  <c r="M79" i="43"/>
  <c r="X78" i="43"/>
  <c r="S78" i="43"/>
  <c r="U78" i="43" s="1"/>
  <c r="J78" i="43"/>
  <c r="M78" i="43" s="1"/>
  <c r="X77" i="43"/>
  <c r="S77" i="43"/>
  <c r="U77" i="43" s="1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 s="1"/>
  <c r="X74" i="43"/>
  <c r="S74" i="43"/>
  <c r="U74" i="43"/>
  <c r="J74" i="43"/>
  <c r="M74" i="43" s="1"/>
  <c r="X73" i="43"/>
  <c r="S73" i="43"/>
  <c r="U73" i="43"/>
  <c r="J73" i="43"/>
  <c r="M73" i="43"/>
  <c r="X72" i="43"/>
  <c r="S72" i="43"/>
  <c r="U72" i="43" s="1"/>
  <c r="J72" i="43"/>
  <c r="M72" i="43" s="1"/>
  <c r="X71" i="43"/>
  <c r="S71" i="43"/>
  <c r="U71" i="43"/>
  <c r="J71" i="43"/>
  <c r="M71" i="43" s="1"/>
  <c r="X70" i="43"/>
  <c r="S70" i="43"/>
  <c r="U70" i="43"/>
  <c r="J70" i="43"/>
  <c r="M70" i="43" s="1"/>
  <c r="X69" i="43"/>
  <c r="S69" i="43"/>
  <c r="U69" i="43"/>
  <c r="J69" i="43"/>
  <c r="M69" i="43"/>
  <c r="X68" i="43"/>
  <c r="S68" i="43"/>
  <c r="U68" i="43" s="1"/>
  <c r="J68" i="43"/>
  <c r="M68" i="43" s="1"/>
  <c r="X67" i="43"/>
  <c r="S67" i="43"/>
  <c r="U67" i="43" s="1"/>
  <c r="J67" i="43"/>
  <c r="M67" i="43" s="1"/>
  <c r="X66" i="43"/>
  <c r="S66" i="43"/>
  <c r="U66" i="43"/>
  <c r="J66" i="43"/>
  <c r="M66" i="43" s="1"/>
  <c r="X65" i="43"/>
  <c r="S65" i="43"/>
  <c r="U65" i="43" s="1"/>
  <c r="J65" i="43"/>
  <c r="M65" i="43"/>
  <c r="X64" i="43"/>
  <c r="S64" i="43"/>
  <c r="U64" i="43"/>
  <c r="J64" i="43"/>
  <c r="M64" i="43" s="1"/>
  <c r="X63" i="43"/>
  <c r="S63" i="43"/>
  <c r="U63" i="43" s="1"/>
  <c r="J63" i="43"/>
  <c r="M63" i="43" s="1"/>
  <c r="X62" i="43"/>
  <c r="S62" i="43"/>
  <c r="U62" i="43"/>
  <c r="J62" i="43"/>
  <c r="M62" i="43" s="1"/>
  <c r="X61" i="43"/>
  <c r="S61" i="43"/>
  <c r="U61" i="43"/>
  <c r="J61" i="43"/>
  <c r="M61" i="43"/>
  <c r="X60" i="43"/>
  <c r="S60" i="43"/>
  <c r="U60" i="43" s="1"/>
  <c r="J60" i="43"/>
  <c r="M60" i="43" s="1"/>
  <c r="X59" i="43"/>
  <c r="S59" i="43"/>
  <c r="U59" i="43" s="1"/>
  <c r="J59" i="43"/>
  <c r="M59" i="43"/>
  <c r="X58" i="43"/>
  <c r="S58" i="43"/>
  <c r="U58" i="43" s="1"/>
  <c r="J58" i="43"/>
  <c r="M58" i="43" s="1"/>
  <c r="X57" i="43"/>
  <c r="S57" i="43"/>
  <c r="U57" i="43"/>
  <c r="J57" i="43"/>
  <c r="M57" i="43"/>
  <c r="X56" i="43"/>
  <c r="S56" i="43"/>
  <c r="U56" i="43" s="1"/>
  <c r="J56" i="43"/>
  <c r="M56" i="43" s="1"/>
  <c r="X55" i="43"/>
  <c r="S55" i="43"/>
  <c r="U55" i="43" s="1"/>
  <c r="J55" i="43"/>
  <c r="M55" i="43" s="1"/>
  <c r="X54" i="43"/>
  <c r="S54" i="43"/>
  <c r="U54" i="43"/>
  <c r="J54" i="43"/>
  <c r="M54" i="43" s="1"/>
  <c r="X53" i="43"/>
  <c r="S53" i="43"/>
  <c r="U53" i="43" s="1"/>
  <c r="J53" i="43"/>
  <c r="M53" i="43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/>
  <c r="J50" i="43"/>
  <c r="M50" i="43" s="1"/>
  <c r="X49" i="43"/>
  <c r="S49" i="43"/>
  <c r="U49" i="43" s="1"/>
  <c r="J49" i="43"/>
  <c r="M49" i="43"/>
  <c r="X48" i="43"/>
  <c r="S48" i="43"/>
  <c r="U48" i="43"/>
  <c r="J48" i="43"/>
  <c r="M48" i="43" s="1"/>
  <c r="X47" i="43"/>
  <c r="S47" i="43"/>
  <c r="U47" i="43" s="1"/>
  <c r="J47" i="43"/>
  <c r="M47" i="43" s="1"/>
  <c r="X46" i="43"/>
  <c r="S46" i="43"/>
  <c r="U46" i="43"/>
  <c r="J46" i="43"/>
  <c r="M46" i="43" s="1"/>
  <c r="X45" i="43"/>
  <c r="S45" i="43"/>
  <c r="U45" i="43"/>
  <c r="J45" i="43"/>
  <c r="M45" i="43"/>
  <c r="X44" i="43"/>
  <c r="S44" i="43"/>
  <c r="U44" i="43" s="1"/>
  <c r="J44" i="43"/>
  <c r="M44" i="43" s="1"/>
  <c r="X43" i="43"/>
  <c r="S43" i="43"/>
  <c r="U43" i="43" s="1"/>
  <c r="J43" i="43"/>
  <c r="M43" i="43" s="1"/>
  <c r="X42" i="43"/>
  <c r="S42" i="43"/>
  <c r="U42" i="43" s="1"/>
  <c r="J42" i="43"/>
  <c r="M42" i="43" s="1"/>
  <c r="X41" i="43"/>
  <c r="S41" i="43"/>
  <c r="U41" i="43"/>
  <c r="J41" i="43"/>
  <c r="M41" i="43" s="1"/>
  <c r="X40" i="43"/>
  <c r="S40" i="43"/>
  <c r="U40" i="43" s="1"/>
  <c r="J40" i="43"/>
  <c r="M40" i="43" s="1"/>
  <c r="X39" i="43"/>
  <c r="S39" i="43"/>
  <c r="U39" i="43"/>
  <c r="J39" i="43"/>
  <c r="M39" i="43"/>
  <c r="X38" i="43"/>
  <c r="S38" i="43"/>
  <c r="U38" i="43"/>
  <c r="J38" i="43"/>
  <c r="M38" i="43" s="1"/>
  <c r="X37" i="43"/>
  <c r="S37" i="43"/>
  <c r="U37" i="43"/>
  <c r="J37" i="43"/>
  <c r="M37" i="43" s="1"/>
  <c r="X36" i="43"/>
  <c r="S36" i="43"/>
  <c r="U36" i="43"/>
  <c r="J36" i="43"/>
  <c r="M36" i="43" s="1"/>
  <c r="X35" i="43"/>
  <c r="S35" i="43"/>
  <c r="U35" i="43"/>
  <c r="J35" i="43"/>
  <c r="M35" i="43"/>
  <c r="X34" i="43"/>
  <c r="S34" i="43"/>
  <c r="U34" i="43" s="1"/>
  <c r="J34" i="43"/>
  <c r="M34" i="43" s="1"/>
  <c r="X33" i="43"/>
  <c r="S33" i="43"/>
  <c r="U33" i="43" s="1"/>
  <c r="J33" i="43"/>
  <c r="M33" i="43" s="1"/>
  <c r="X32" i="43"/>
  <c r="S32" i="43"/>
  <c r="U32" i="43"/>
  <c r="J32" i="43"/>
  <c r="M32" i="43" s="1"/>
  <c r="X31" i="43"/>
  <c r="S31" i="43"/>
  <c r="U31" i="43"/>
  <c r="J31" i="43"/>
  <c r="M31" i="43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 s="1"/>
  <c r="J28" i="43"/>
  <c r="M28" i="43" s="1"/>
  <c r="X27" i="43"/>
  <c r="S27" i="43"/>
  <c r="U27" i="43"/>
  <c r="J27" i="43"/>
  <c r="M27" i="43"/>
  <c r="X26" i="43"/>
  <c r="S26" i="43"/>
  <c r="U26" i="43" s="1"/>
  <c r="J26" i="43"/>
  <c r="M26" i="43" s="1"/>
  <c r="X25" i="43"/>
  <c r="S25" i="43"/>
  <c r="U25" i="43" s="1"/>
  <c r="J25" i="43"/>
  <c r="M25" i="43"/>
  <c r="X24" i="43"/>
  <c r="S24" i="43"/>
  <c r="U24" i="43" s="1"/>
  <c r="J24" i="43"/>
  <c r="M24" i="43" s="1"/>
  <c r="X23" i="43"/>
  <c r="S23" i="43"/>
  <c r="U23" i="43"/>
  <c r="J23" i="43"/>
  <c r="M23" i="43" s="1"/>
  <c r="X22" i="43"/>
  <c r="S22" i="43"/>
  <c r="U22" i="43" s="1"/>
  <c r="J22" i="43"/>
  <c r="M22" i="43" s="1"/>
  <c r="X21" i="43"/>
  <c r="S21" i="43"/>
  <c r="U21" i="43"/>
  <c r="J21" i="43"/>
  <c r="M21" i="43" s="1"/>
  <c r="X20" i="43"/>
  <c r="S20" i="43"/>
  <c r="U20" i="43"/>
  <c r="J20" i="43"/>
  <c r="M20" i="43" s="1"/>
  <c r="X19" i="43"/>
  <c r="S19" i="43"/>
  <c r="U19" i="43"/>
  <c r="J19" i="43"/>
  <c r="M19" i="43" s="1"/>
  <c r="X18" i="43"/>
  <c r="S18" i="43"/>
  <c r="U18" i="43"/>
  <c r="J18" i="43"/>
  <c r="M18" i="43" s="1"/>
  <c r="X17" i="43"/>
  <c r="S17" i="43"/>
  <c r="U17" i="43"/>
  <c r="J17" i="43"/>
  <c r="M17" i="43" s="1"/>
  <c r="X16" i="43"/>
  <c r="S16" i="43"/>
  <c r="U16" i="43"/>
  <c r="J16" i="43"/>
  <c r="M16" i="43" s="1"/>
  <c r="X15" i="43"/>
  <c r="S15" i="43"/>
  <c r="U15" i="43"/>
  <c r="J15" i="43"/>
  <c r="M15" i="43" s="1"/>
  <c r="X14" i="43"/>
  <c r="S14" i="43"/>
  <c r="U14" i="43"/>
  <c r="J14" i="43"/>
  <c r="M14" i="43" s="1"/>
  <c r="X13" i="43"/>
  <c r="S13" i="43"/>
  <c r="U13" i="43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/>
  <c r="J10" i="43"/>
  <c r="M10" i="43" s="1"/>
  <c r="X9" i="43"/>
  <c r="S9" i="43"/>
  <c r="U9" i="43"/>
  <c r="J9" i="43"/>
  <c r="M9" i="43" s="1"/>
  <c r="X8" i="43"/>
  <c r="S8" i="43"/>
  <c r="U8" i="43"/>
  <c r="J8" i="43"/>
  <c r="M8" i="43" s="1"/>
  <c r="X7" i="43"/>
  <c r="S7" i="43"/>
  <c r="U7" i="43"/>
  <c r="J7" i="43"/>
  <c r="M7" i="43"/>
  <c r="X6" i="43"/>
  <c r="S6" i="43"/>
  <c r="U6" i="43"/>
  <c r="J6" i="43"/>
  <c r="M6" i="43" s="1"/>
  <c r="X5" i="43"/>
  <c r="S5" i="43"/>
  <c r="U5" i="43" s="1"/>
  <c r="J5" i="43"/>
  <c r="R14" i="16"/>
  <c r="M5" i="44"/>
  <c r="T12" i="16"/>
  <c r="Q12" i="16"/>
  <c r="P12" i="16"/>
  <c r="O12" i="16"/>
  <c r="K220" i="42"/>
  <c r="K212" i="42"/>
  <c r="N12" i="16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/>
  <c r="J197" i="42"/>
  <c r="M197" i="42" s="1"/>
  <c r="J196" i="42"/>
  <c r="M196" i="42" s="1"/>
  <c r="J195" i="42"/>
  <c r="M195" i="42"/>
  <c r="J194" i="42"/>
  <c r="M194" i="42"/>
  <c r="J193" i="42"/>
  <c r="M193" i="42"/>
  <c r="J192" i="42"/>
  <c r="M192" i="42" s="1"/>
  <c r="J191" i="42"/>
  <c r="M191" i="42"/>
  <c r="J190" i="42"/>
  <c r="M190" i="42" s="1"/>
  <c r="J189" i="42"/>
  <c r="M189" i="42"/>
  <c r="J188" i="42"/>
  <c r="M188" i="42" s="1"/>
  <c r="J187" i="42"/>
  <c r="M187" i="42" s="1"/>
  <c r="J186" i="42"/>
  <c r="M186" i="42"/>
  <c r="J185" i="42"/>
  <c r="M185" i="42"/>
  <c r="J184" i="42"/>
  <c r="M184" i="42" s="1"/>
  <c r="J183" i="42"/>
  <c r="M183" i="42" s="1"/>
  <c r="J182" i="42"/>
  <c r="M182" i="42"/>
  <c r="J181" i="42"/>
  <c r="M181" i="42" s="1"/>
  <c r="J180" i="42"/>
  <c r="M180" i="42" s="1"/>
  <c r="J179" i="42"/>
  <c r="M179" i="42"/>
  <c r="J178" i="42"/>
  <c r="M178" i="42" s="1"/>
  <c r="J177" i="42"/>
  <c r="M177" i="42"/>
  <c r="J176" i="42"/>
  <c r="M176" i="42" s="1"/>
  <c r="J175" i="42"/>
  <c r="M175" i="42" s="1"/>
  <c r="J174" i="42"/>
  <c r="M174" i="42" s="1"/>
  <c r="J173" i="42"/>
  <c r="M173" i="42"/>
  <c r="J172" i="42"/>
  <c r="M172" i="42" s="1"/>
  <c r="J171" i="42"/>
  <c r="M171" i="42"/>
  <c r="J170" i="42"/>
  <c r="M170" i="42" s="1"/>
  <c r="J169" i="42"/>
  <c r="M169" i="42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/>
  <c r="J162" i="42"/>
  <c r="M162" i="42"/>
  <c r="J161" i="42"/>
  <c r="M161" i="42" s="1"/>
  <c r="J160" i="42"/>
  <c r="M160" i="42" s="1"/>
  <c r="J159" i="42"/>
  <c r="M159" i="42"/>
  <c r="J158" i="42"/>
  <c r="M158" i="42" s="1"/>
  <c r="J157" i="42"/>
  <c r="M157" i="42" s="1"/>
  <c r="J156" i="42"/>
  <c r="M156" i="42" s="1"/>
  <c r="J155" i="42"/>
  <c r="M155" i="42" s="1"/>
  <c r="J154" i="42"/>
  <c r="M154" i="42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/>
  <c r="J145" i="42"/>
  <c r="M145" i="42" s="1"/>
  <c r="J144" i="42"/>
  <c r="M144" i="42" s="1"/>
  <c r="J143" i="42"/>
  <c r="M143" i="42"/>
  <c r="J142" i="42"/>
  <c r="M142" i="42" s="1"/>
  <c r="J141" i="42"/>
  <c r="M141" i="42" s="1"/>
  <c r="J140" i="42"/>
  <c r="M140" i="42" s="1"/>
  <c r="J139" i="42"/>
  <c r="M139" i="42" s="1"/>
  <c r="J138" i="42"/>
  <c r="M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/>
  <c r="J129" i="42"/>
  <c r="M129" i="42" s="1"/>
  <c r="J128" i="42"/>
  <c r="M128" i="42" s="1"/>
  <c r="J127" i="42"/>
  <c r="M127" i="42"/>
  <c r="J126" i="42"/>
  <c r="M126" i="42" s="1"/>
  <c r="J125" i="42"/>
  <c r="M125" i="42" s="1"/>
  <c r="J124" i="42"/>
  <c r="M124" i="42" s="1"/>
  <c r="J123" i="42"/>
  <c r="M123" i="42" s="1"/>
  <c r="J122" i="42"/>
  <c r="M122" i="42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/>
  <c r="J113" i="42"/>
  <c r="M113" i="42" s="1"/>
  <c r="J112" i="42"/>
  <c r="M112" i="42" s="1"/>
  <c r="J111" i="42"/>
  <c r="M111" i="42"/>
  <c r="J110" i="42"/>
  <c r="M110" i="42" s="1"/>
  <c r="J109" i="42"/>
  <c r="M109" i="42" s="1"/>
  <c r="J108" i="42"/>
  <c r="M108" i="42" s="1"/>
  <c r="J107" i="42"/>
  <c r="M107" i="42" s="1"/>
  <c r="J106" i="42"/>
  <c r="M106" i="42"/>
  <c r="Z105" i="42"/>
  <c r="J105" i="42"/>
  <c r="M105" i="42"/>
  <c r="X104" i="42"/>
  <c r="S104" i="42"/>
  <c r="U104" i="42" s="1"/>
  <c r="J104" i="42"/>
  <c r="M104" i="42"/>
  <c r="X103" i="42"/>
  <c r="S103" i="42"/>
  <c r="U103" i="42"/>
  <c r="J103" i="42"/>
  <c r="M103" i="42" s="1"/>
  <c r="X102" i="42"/>
  <c r="S102" i="42"/>
  <c r="U102" i="42" s="1"/>
  <c r="J102" i="42"/>
  <c r="M102" i="42" s="1"/>
  <c r="X101" i="42"/>
  <c r="S101" i="42"/>
  <c r="U101" i="42"/>
  <c r="J101" i="42"/>
  <c r="M101" i="42" s="1"/>
  <c r="X100" i="42"/>
  <c r="S100" i="42"/>
  <c r="U100" i="42"/>
  <c r="J100" i="42"/>
  <c r="M100" i="42" s="1"/>
  <c r="X99" i="42"/>
  <c r="S99" i="42"/>
  <c r="U99" i="42"/>
  <c r="J99" i="42"/>
  <c r="M99" i="42" s="1"/>
  <c r="X98" i="42"/>
  <c r="S98" i="42"/>
  <c r="U98" i="42"/>
  <c r="J98" i="42"/>
  <c r="M98" i="42"/>
  <c r="X97" i="42"/>
  <c r="S97" i="42"/>
  <c r="U97" i="42"/>
  <c r="J97" i="42"/>
  <c r="M97" i="42" s="1"/>
  <c r="X96" i="42"/>
  <c r="S96" i="42"/>
  <c r="U96" i="42"/>
  <c r="J96" i="42"/>
  <c r="M96" i="42"/>
  <c r="X95" i="42"/>
  <c r="S95" i="42"/>
  <c r="U95" i="42" s="1"/>
  <c r="J95" i="42"/>
  <c r="M95" i="42" s="1"/>
  <c r="X94" i="42"/>
  <c r="S94" i="42"/>
  <c r="U94" i="42" s="1"/>
  <c r="J94" i="42"/>
  <c r="M94" i="42" s="1"/>
  <c r="X93" i="42"/>
  <c r="S93" i="42"/>
  <c r="U93" i="42" s="1"/>
  <c r="J93" i="42"/>
  <c r="M93" i="42" s="1"/>
  <c r="X92" i="42"/>
  <c r="S92" i="42"/>
  <c r="U92" i="42" s="1"/>
  <c r="J92" i="42"/>
  <c r="M92" i="42" s="1"/>
  <c r="X91" i="42"/>
  <c r="S91" i="42"/>
  <c r="U91" i="42" s="1"/>
  <c r="J91" i="42"/>
  <c r="M91" i="42" s="1"/>
  <c r="X90" i="42"/>
  <c r="S90" i="42"/>
  <c r="U90" i="42" s="1"/>
  <c r="J90" i="42"/>
  <c r="M90" i="42"/>
  <c r="X89" i="42"/>
  <c r="S89" i="42"/>
  <c r="U89" i="42"/>
  <c r="J89" i="42"/>
  <c r="M89" i="42"/>
  <c r="X88" i="42"/>
  <c r="S88" i="42"/>
  <c r="U88" i="42"/>
  <c r="J88" i="42"/>
  <c r="M88" i="42" s="1"/>
  <c r="X87" i="42"/>
  <c r="S87" i="42"/>
  <c r="U87" i="42"/>
  <c r="J87" i="42"/>
  <c r="M87" i="42" s="1"/>
  <c r="X86" i="42"/>
  <c r="S86" i="42"/>
  <c r="U86" i="42"/>
  <c r="J86" i="42"/>
  <c r="M86" i="42" s="1"/>
  <c r="X85" i="42"/>
  <c r="S85" i="42"/>
  <c r="U85" i="42"/>
  <c r="J85" i="42"/>
  <c r="M85" i="42" s="1"/>
  <c r="X84" i="42"/>
  <c r="S84" i="42"/>
  <c r="U84" i="42"/>
  <c r="J84" i="42"/>
  <c r="M84" i="42" s="1"/>
  <c r="X83" i="42"/>
  <c r="S83" i="42"/>
  <c r="U83" i="42"/>
  <c r="J83" i="42"/>
  <c r="M83" i="42" s="1"/>
  <c r="X82" i="42"/>
  <c r="S82" i="42"/>
  <c r="U82" i="42"/>
  <c r="J82" i="42"/>
  <c r="M82" i="42"/>
  <c r="X81" i="42"/>
  <c r="S81" i="42"/>
  <c r="U81" i="42" s="1"/>
  <c r="J81" i="42"/>
  <c r="M81" i="42"/>
  <c r="X80" i="42"/>
  <c r="S80" i="42"/>
  <c r="U80" i="42"/>
  <c r="J80" i="42"/>
  <c r="M80" i="42" s="1"/>
  <c r="X79" i="42"/>
  <c r="S79" i="42"/>
  <c r="U79" i="42"/>
  <c r="J79" i="42"/>
  <c r="M79" i="42" s="1"/>
  <c r="X78" i="42"/>
  <c r="S78" i="42"/>
  <c r="U78" i="42"/>
  <c r="J78" i="42"/>
  <c r="M78" i="42" s="1"/>
  <c r="X77" i="42"/>
  <c r="S77" i="42"/>
  <c r="U77" i="42"/>
  <c r="J77" i="42"/>
  <c r="M77" i="42" s="1"/>
  <c r="X76" i="42"/>
  <c r="S76" i="42"/>
  <c r="U76" i="42"/>
  <c r="J76" i="42"/>
  <c r="M76" i="42" s="1"/>
  <c r="X75" i="42"/>
  <c r="S75" i="42"/>
  <c r="U75" i="42"/>
  <c r="J75" i="42"/>
  <c r="M75" i="42" s="1"/>
  <c r="X74" i="42"/>
  <c r="S74" i="42"/>
  <c r="U74" i="42"/>
  <c r="J74" i="42"/>
  <c r="M74" i="42" s="1"/>
  <c r="X73" i="42"/>
  <c r="S73" i="42"/>
  <c r="U73" i="42"/>
  <c r="J73" i="42"/>
  <c r="M73" i="42"/>
  <c r="X72" i="42"/>
  <c r="S72" i="42"/>
  <c r="U72" i="42" s="1"/>
  <c r="J72" i="42"/>
  <c r="M72" i="42" s="1"/>
  <c r="X71" i="42"/>
  <c r="S71" i="42"/>
  <c r="U71" i="42" s="1"/>
  <c r="J71" i="42"/>
  <c r="M71" i="42" s="1"/>
  <c r="X70" i="42"/>
  <c r="S70" i="42"/>
  <c r="U70" i="42" s="1"/>
  <c r="J70" i="42"/>
  <c r="M70" i="42" s="1"/>
  <c r="X69" i="42"/>
  <c r="S69" i="42"/>
  <c r="U69" i="42"/>
  <c r="J69" i="42"/>
  <c r="M69" i="42" s="1"/>
  <c r="X68" i="42"/>
  <c r="S68" i="42"/>
  <c r="U68" i="42" s="1"/>
  <c r="J68" i="42"/>
  <c r="M68" i="42" s="1"/>
  <c r="X67" i="42"/>
  <c r="S67" i="42"/>
  <c r="U67" i="42"/>
  <c r="J67" i="42"/>
  <c r="M67" i="42" s="1"/>
  <c r="X66" i="42"/>
  <c r="S66" i="42"/>
  <c r="U66" i="42" s="1"/>
  <c r="J66" i="42"/>
  <c r="M66" i="42" s="1"/>
  <c r="X65" i="42"/>
  <c r="S65" i="42"/>
  <c r="U65" i="42" s="1"/>
  <c r="J65" i="42"/>
  <c r="M65" i="42"/>
  <c r="X64" i="42"/>
  <c r="S64" i="42"/>
  <c r="U64" i="42" s="1"/>
  <c r="J64" i="42"/>
  <c r="M64" i="42" s="1"/>
  <c r="X63" i="42"/>
  <c r="S63" i="42"/>
  <c r="U63" i="42" s="1"/>
  <c r="J63" i="42"/>
  <c r="M63" i="42" s="1"/>
  <c r="X62" i="42"/>
  <c r="S62" i="42"/>
  <c r="U62" i="42" s="1"/>
  <c r="J62" i="42"/>
  <c r="M62" i="42" s="1"/>
  <c r="X61" i="42"/>
  <c r="S61" i="42"/>
  <c r="U61" i="42" s="1"/>
  <c r="J61" i="42"/>
  <c r="M61" i="42" s="1"/>
  <c r="X60" i="42"/>
  <c r="S60" i="42"/>
  <c r="U60" i="42" s="1"/>
  <c r="J60" i="42"/>
  <c r="M60" i="42" s="1"/>
  <c r="X59" i="42"/>
  <c r="S59" i="42"/>
  <c r="U59" i="42" s="1"/>
  <c r="J59" i="42"/>
  <c r="M59" i="42" s="1"/>
  <c r="X58" i="42"/>
  <c r="S58" i="42"/>
  <c r="U58" i="42"/>
  <c r="J58" i="42"/>
  <c r="M58" i="42"/>
  <c r="X57" i="42"/>
  <c r="S57" i="42"/>
  <c r="U57" i="42" s="1"/>
  <c r="J57" i="42"/>
  <c r="M57" i="42" s="1"/>
  <c r="X56" i="42"/>
  <c r="S56" i="42"/>
  <c r="U56" i="42" s="1"/>
  <c r="J56" i="42"/>
  <c r="M56" i="42" s="1"/>
  <c r="X55" i="42"/>
  <c r="S55" i="42"/>
  <c r="U55" i="42"/>
  <c r="J55" i="42"/>
  <c r="M55" i="42" s="1"/>
  <c r="X54" i="42"/>
  <c r="S54" i="42"/>
  <c r="U54" i="42" s="1"/>
  <c r="J54" i="42"/>
  <c r="M54" i="42" s="1"/>
  <c r="X53" i="42"/>
  <c r="S53" i="42"/>
  <c r="U53" i="42"/>
  <c r="J53" i="42"/>
  <c r="M53" i="42" s="1"/>
  <c r="X52" i="42"/>
  <c r="S52" i="42"/>
  <c r="U52" i="42" s="1"/>
  <c r="J52" i="42"/>
  <c r="M52" i="42" s="1"/>
  <c r="X51" i="42"/>
  <c r="S51" i="42"/>
  <c r="U51" i="42"/>
  <c r="J51" i="42"/>
  <c r="M51" i="42" s="1"/>
  <c r="X50" i="42"/>
  <c r="S50" i="42"/>
  <c r="U50" i="42" s="1"/>
  <c r="J50" i="42"/>
  <c r="M50" i="42"/>
  <c r="X49" i="42"/>
  <c r="S49" i="42"/>
  <c r="U49" i="42" s="1"/>
  <c r="J49" i="42"/>
  <c r="M49" i="42" s="1"/>
  <c r="X48" i="42"/>
  <c r="S48" i="42"/>
  <c r="U48" i="42" s="1"/>
  <c r="J48" i="42"/>
  <c r="M48" i="42" s="1"/>
  <c r="X47" i="42"/>
  <c r="S47" i="42"/>
  <c r="U47" i="42" s="1"/>
  <c r="J47" i="42"/>
  <c r="M47" i="42" s="1"/>
  <c r="X46" i="42"/>
  <c r="S46" i="42"/>
  <c r="U46" i="42" s="1"/>
  <c r="J46" i="42"/>
  <c r="M46" i="42" s="1"/>
  <c r="X45" i="42"/>
  <c r="S45" i="42"/>
  <c r="U45" i="42" s="1"/>
  <c r="J45" i="42"/>
  <c r="M45" i="42" s="1"/>
  <c r="X44" i="42"/>
  <c r="S44" i="42"/>
  <c r="U44" i="42" s="1"/>
  <c r="J44" i="42"/>
  <c r="M44" i="42" s="1"/>
  <c r="X43" i="42"/>
  <c r="S43" i="42"/>
  <c r="U43" i="42" s="1"/>
  <c r="J43" i="42"/>
  <c r="M43" i="42" s="1"/>
  <c r="X42" i="42"/>
  <c r="S42" i="42"/>
  <c r="U42" i="42" s="1"/>
  <c r="J42" i="42"/>
  <c r="M42" i="42" s="1"/>
  <c r="X41" i="42"/>
  <c r="S41" i="42"/>
  <c r="U41" i="42" s="1"/>
  <c r="J41" i="42"/>
  <c r="M41" i="42" s="1"/>
  <c r="X40" i="42"/>
  <c r="S40" i="42"/>
  <c r="U40" i="42" s="1"/>
  <c r="J40" i="42"/>
  <c r="M40" i="42" s="1"/>
  <c r="X39" i="42"/>
  <c r="S39" i="42"/>
  <c r="U39" i="42" s="1"/>
  <c r="J39" i="42"/>
  <c r="M39" i="42" s="1"/>
  <c r="X38" i="42"/>
  <c r="S38" i="42"/>
  <c r="U38" i="42" s="1"/>
  <c r="J38" i="42"/>
  <c r="M38" i="42" s="1"/>
  <c r="X37" i="42"/>
  <c r="S37" i="42"/>
  <c r="U37" i="42" s="1"/>
  <c r="J37" i="42"/>
  <c r="M37" i="42" s="1"/>
  <c r="X36" i="42"/>
  <c r="S36" i="42"/>
  <c r="U36" i="42" s="1"/>
  <c r="J36" i="42"/>
  <c r="M36" i="42" s="1"/>
  <c r="X35" i="42"/>
  <c r="S35" i="42"/>
  <c r="U35" i="42" s="1"/>
  <c r="J35" i="42"/>
  <c r="M35" i="42" s="1"/>
  <c r="X34" i="42"/>
  <c r="S34" i="42"/>
  <c r="U34" i="42" s="1"/>
  <c r="J34" i="42"/>
  <c r="M34" i="42" s="1"/>
  <c r="X33" i="42"/>
  <c r="S33" i="42"/>
  <c r="U33" i="42" s="1"/>
  <c r="J33" i="42"/>
  <c r="M33" i="42"/>
  <c r="X32" i="42"/>
  <c r="S32" i="42"/>
  <c r="U32" i="42"/>
  <c r="J32" i="42"/>
  <c r="M32" i="42" s="1"/>
  <c r="X31" i="42"/>
  <c r="S31" i="42"/>
  <c r="U31" i="42"/>
  <c r="J31" i="42"/>
  <c r="M31" i="42" s="1"/>
  <c r="X30" i="42"/>
  <c r="S30" i="42"/>
  <c r="U30" i="42"/>
  <c r="J30" i="42"/>
  <c r="M30" i="42" s="1"/>
  <c r="X29" i="42"/>
  <c r="S29" i="42"/>
  <c r="U29" i="42"/>
  <c r="J29" i="42"/>
  <c r="M29" i="42" s="1"/>
  <c r="X28" i="42"/>
  <c r="S28" i="42"/>
  <c r="U28" i="42"/>
  <c r="J28" i="42"/>
  <c r="M28" i="42" s="1"/>
  <c r="X27" i="42"/>
  <c r="S27" i="42"/>
  <c r="U27" i="42"/>
  <c r="J27" i="42"/>
  <c r="M27" i="42" s="1"/>
  <c r="X26" i="42"/>
  <c r="S26" i="42"/>
  <c r="U26" i="42" s="1"/>
  <c r="J26" i="42"/>
  <c r="M26" i="42" s="1"/>
  <c r="X25" i="42"/>
  <c r="S25" i="42"/>
  <c r="U25" i="42"/>
  <c r="J25" i="42"/>
  <c r="M25" i="42"/>
  <c r="X24" i="42"/>
  <c r="S24" i="42"/>
  <c r="U24" i="42" s="1"/>
  <c r="J24" i="42"/>
  <c r="M24" i="42" s="1"/>
  <c r="X23" i="42"/>
  <c r="S23" i="42"/>
  <c r="U23" i="42" s="1"/>
  <c r="J23" i="42"/>
  <c r="M23" i="42" s="1"/>
  <c r="X22" i="42"/>
  <c r="S22" i="42"/>
  <c r="U22" i="42" s="1"/>
  <c r="J22" i="42"/>
  <c r="M22" i="42" s="1"/>
  <c r="X21" i="42"/>
  <c r="S21" i="42"/>
  <c r="U21" i="42" s="1"/>
  <c r="J21" i="42"/>
  <c r="M21" i="42" s="1"/>
  <c r="X20" i="42"/>
  <c r="S20" i="42"/>
  <c r="U20" i="42" s="1"/>
  <c r="J20" i="42"/>
  <c r="M20" i="42" s="1"/>
  <c r="X19" i="42"/>
  <c r="S19" i="42"/>
  <c r="U19" i="42" s="1"/>
  <c r="J19" i="42"/>
  <c r="M19" i="42" s="1"/>
  <c r="X18" i="42"/>
  <c r="S18" i="42"/>
  <c r="U18" i="42"/>
  <c r="J18" i="42"/>
  <c r="M18" i="42"/>
  <c r="X17" i="42"/>
  <c r="S17" i="42"/>
  <c r="U17" i="42" s="1"/>
  <c r="J17" i="42"/>
  <c r="M17" i="42" s="1"/>
  <c r="X16" i="42"/>
  <c r="S16" i="42"/>
  <c r="U16" i="42" s="1"/>
  <c r="J16" i="42"/>
  <c r="M16" i="42" s="1"/>
  <c r="X15" i="42"/>
  <c r="S15" i="42"/>
  <c r="U15" i="42" s="1"/>
  <c r="J15" i="42"/>
  <c r="M15" i="42" s="1"/>
  <c r="X14" i="42"/>
  <c r="S14" i="42"/>
  <c r="U14" i="42"/>
  <c r="J14" i="42"/>
  <c r="M14" i="42" s="1"/>
  <c r="X13" i="42"/>
  <c r="S13" i="42"/>
  <c r="U13" i="42" s="1"/>
  <c r="J13" i="42"/>
  <c r="M13" i="42" s="1"/>
  <c r="X12" i="42"/>
  <c r="S12" i="42"/>
  <c r="U12" i="42"/>
  <c r="J12" i="42"/>
  <c r="X11" i="42"/>
  <c r="S11" i="42"/>
  <c r="U11" i="42" s="1"/>
  <c r="J11" i="42"/>
  <c r="M11" i="42" s="1"/>
  <c r="X10" i="42"/>
  <c r="S10" i="42"/>
  <c r="U10" i="42" s="1"/>
  <c r="J10" i="42"/>
  <c r="M10" i="42"/>
  <c r="X9" i="42"/>
  <c r="S9" i="42"/>
  <c r="U9" i="42" s="1"/>
  <c r="J9" i="42"/>
  <c r="M9" i="42"/>
  <c r="X8" i="42"/>
  <c r="S8" i="42"/>
  <c r="U8" i="42"/>
  <c r="J8" i="42"/>
  <c r="M8" i="42" s="1"/>
  <c r="X7" i="42"/>
  <c r="S7" i="42"/>
  <c r="U7" i="42"/>
  <c r="J7" i="42"/>
  <c r="M7" i="42" s="1"/>
  <c r="X6" i="42"/>
  <c r="S6" i="42"/>
  <c r="U6" i="42" s="1"/>
  <c r="J6" i="42"/>
  <c r="M6" i="42" s="1"/>
  <c r="X5" i="42"/>
  <c r="S5" i="42"/>
  <c r="U5" i="42"/>
  <c r="J5" i="42"/>
  <c r="M5" i="42" s="1"/>
  <c r="T11" i="16"/>
  <c r="Q11" i="16"/>
  <c r="P11" i="16"/>
  <c r="O11" i="16"/>
  <c r="K220" i="41"/>
  <c r="K212" i="41"/>
  <c r="N11" i="16" s="1"/>
  <c r="K209" i="41"/>
  <c r="J204" i="41"/>
  <c r="M204" i="41" s="1"/>
  <c r="J203" i="41"/>
  <c r="M203" i="41" s="1"/>
  <c r="J202" i="41"/>
  <c r="M202" i="4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/>
  <c r="Z105" i="41"/>
  <c r="J105" i="41"/>
  <c r="M105" i="41" s="1"/>
  <c r="X104" i="41"/>
  <c r="S104" i="41"/>
  <c r="U104" i="41"/>
  <c r="J104" i="41"/>
  <c r="M104" i="41"/>
  <c r="X103" i="41"/>
  <c r="S103" i="41"/>
  <c r="U103" i="41" s="1"/>
  <c r="J103" i="41"/>
  <c r="M103" i="41" s="1"/>
  <c r="X102" i="41"/>
  <c r="S102" i="41"/>
  <c r="U102" i="41"/>
  <c r="J102" i="41"/>
  <c r="M102" i="41" s="1"/>
  <c r="X101" i="41"/>
  <c r="S101" i="41"/>
  <c r="U101" i="41" s="1"/>
  <c r="J101" i="41"/>
  <c r="M101" i="41"/>
  <c r="X100" i="41"/>
  <c r="S100" i="41"/>
  <c r="U100" i="41"/>
  <c r="J100" i="41"/>
  <c r="M100" i="41" s="1"/>
  <c r="X99" i="41"/>
  <c r="S99" i="41"/>
  <c r="U99" i="41" s="1"/>
  <c r="J99" i="41"/>
  <c r="M99" i="41" s="1"/>
  <c r="X98" i="41"/>
  <c r="S98" i="41"/>
  <c r="U98" i="41"/>
  <c r="J98" i="41"/>
  <c r="M98" i="41" s="1"/>
  <c r="X97" i="41"/>
  <c r="S97" i="41"/>
  <c r="U97" i="41" s="1"/>
  <c r="J97" i="41"/>
  <c r="M97" i="41" s="1"/>
  <c r="X96" i="41"/>
  <c r="S96" i="41"/>
  <c r="U96" i="41" s="1"/>
  <c r="J96" i="41"/>
  <c r="M96" i="41" s="1"/>
  <c r="X95" i="41"/>
  <c r="S95" i="41"/>
  <c r="U95" i="41" s="1"/>
  <c r="J95" i="41"/>
  <c r="M95" i="41"/>
  <c r="X94" i="41"/>
  <c r="S94" i="41"/>
  <c r="U94" i="41" s="1"/>
  <c r="J94" i="41"/>
  <c r="M94" i="41" s="1"/>
  <c r="X93" i="41"/>
  <c r="S93" i="41"/>
  <c r="U93" i="41"/>
  <c r="J93" i="41"/>
  <c r="M93" i="41"/>
  <c r="X92" i="41"/>
  <c r="S92" i="41"/>
  <c r="U92" i="41"/>
  <c r="J92" i="41"/>
  <c r="M92" i="41" s="1"/>
  <c r="X91" i="41"/>
  <c r="S91" i="41"/>
  <c r="U91" i="41" s="1"/>
  <c r="J91" i="41"/>
  <c r="M91" i="41" s="1"/>
  <c r="X90" i="41"/>
  <c r="S90" i="41"/>
  <c r="U90" i="41"/>
  <c r="J90" i="41"/>
  <c r="M90" i="41" s="1"/>
  <c r="X89" i="41"/>
  <c r="S89" i="41"/>
  <c r="U89" i="41" s="1"/>
  <c r="J89" i="41"/>
  <c r="M89" i="41" s="1"/>
  <c r="X88" i="41"/>
  <c r="S88" i="41"/>
  <c r="U88" i="41"/>
  <c r="J88" i="41"/>
  <c r="M88" i="41"/>
  <c r="X87" i="41"/>
  <c r="S87" i="41"/>
  <c r="U87" i="41" s="1"/>
  <c r="J87" i="41"/>
  <c r="M87" i="41" s="1"/>
  <c r="X86" i="41"/>
  <c r="S86" i="41"/>
  <c r="U86" i="41" s="1"/>
  <c r="J86" i="41"/>
  <c r="M86" i="41" s="1"/>
  <c r="X85" i="41"/>
  <c r="S85" i="41"/>
  <c r="U85" i="41" s="1"/>
  <c r="J85" i="41"/>
  <c r="M85" i="41" s="1"/>
  <c r="X84" i="41"/>
  <c r="S84" i="41"/>
  <c r="U84" i="41"/>
  <c r="J84" i="41"/>
  <c r="M84" i="41" s="1"/>
  <c r="X83" i="41"/>
  <c r="S83" i="41"/>
  <c r="U83" i="41"/>
  <c r="J83" i="41"/>
  <c r="M83" i="41" s="1"/>
  <c r="X82" i="41"/>
  <c r="S82" i="41"/>
  <c r="U82" i="41"/>
  <c r="J82" i="41"/>
  <c r="M82" i="41" s="1"/>
  <c r="X81" i="41"/>
  <c r="S81" i="41"/>
  <c r="U81" i="41"/>
  <c r="J81" i="41"/>
  <c r="M81" i="41"/>
  <c r="X80" i="41"/>
  <c r="S80" i="41"/>
  <c r="U80" i="41" s="1"/>
  <c r="J80" i="41"/>
  <c r="M80" i="41" s="1"/>
  <c r="X79" i="41"/>
  <c r="S79" i="41"/>
  <c r="U79" i="41"/>
  <c r="J79" i="41"/>
  <c r="M79" i="41" s="1"/>
  <c r="X78" i="41"/>
  <c r="S78" i="41"/>
  <c r="U78" i="41" s="1"/>
  <c r="J78" i="41"/>
  <c r="M78" i="41" s="1"/>
  <c r="X77" i="41"/>
  <c r="S77" i="41"/>
  <c r="U77" i="41"/>
  <c r="J77" i="41"/>
  <c r="M77" i="41" s="1"/>
  <c r="X76" i="41"/>
  <c r="S76" i="41"/>
  <c r="U76" i="41" s="1"/>
  <c r="J76" i="41"/>
  <c r="M76" i="41" s="1"/>
  <c r="X75" i="41"/>
  <c r="S75" i="41"/>
  <c r="U75" i="41"/>
  <c r="J75" i="41"/>
  <c r="M75" i="41" s="1"/>
  <c r="X74" i="41"/>
  <c r="S74" i="41"/>
  <c r="U74" i="41" s="1"/>
  <c r="J74" i="41"/>
  <c r="M74" i="41" s="1"/>
  <c r="X73" i="41"/>
  <c r="S73" i="41"/>
  <c r="U73" i="41"/>
  <c r="J73" i="41"/>
  <c r="M73" i="41" s="1"/>
  <c r="X72" i="41"/>
  <c r="S72" i="41"/>
  <c r="U72" i="41" s="1"/>
  <c r="J72" i="41"/>
  <c r="M72" i="41" s="1"/>
  <c r="X71" i="41"/>
  <c r="S71" i="41"/>
  <c r="U71" i="41" s="1"/>
  <c r="J71" i="41"/>
  <c r="M71" i="41" s="1"/>
  <c r="X70" i="41"/>
  <c r="S70" i="41"/>
  <c r="U70" i="41" s="1"/>
  <c r="J70" i="41"/>
  <c r="M70" i="41" s="1"/>
  <c r="X69" i="41"/>
  <c r="S69" i="41"/>
  <c r="U69" i="41"/>
  <c r="J69" i="41"/>
  <c r="M69" i="41" s="1"/>
  <c r="X68" i="41"/>
  <c r="S68" i="41"/>
  <c r="U68" i="41" s="1"/>
  <c r="J68" i="41"/>
  <c r="M68" i="41" s="1"/>
  <c r="X67" i="41"/>
  <c r="S67" i="41"/>
  <c r="U67" i="41"/>
  <c r="J67" i="41"/>
  <c r="M67" i="41" s="1"/>
  <c r="X66" i="41"/>
  <c r="S66" i="41"/>
  <c r="U66" i="41" s="1"/>
  <c r="J66" i="41"/>
  <c r="M66" i="41" s="1"/>
  <c r="X65" i="41"/>
  <c r="S65" i="41"/>
  <c r="U65" i="41"/>
  <c r="J65" i="41"/>
  <c r="M65" i="41" s="1"/>
  <c r="X64" i="41"/>
  <c r="S64" i="41"/>
  <c r="U64" i="41"/>
  <c r="J64" i="41"/>
  <c r="M64" i="41"/>
  <c r="X63" i="41"/>
  <c r="S63" i="41"/>
  <c r="U63" i="41" s="1"/>
  <c r="J63" i="41"/>
  <c r="M63" i="41" s="1"/>
  <c r="X62" i="41"/>
  <c r="S62" i="41"/>
  <c r="U62" i="41"/>
  <c r="J62" i="41"/>
  <c r="M62" i="41" s="1"/>
  <c r="X61" i="41"/>
  <c r="S61" i="41"/>
  <c r="U61" i="41"/>
  <c r="J61" i="41"/>
  <c r="M61" i="41"/>
  <c r="X60" i="41"/>
  <c r="S60" i="41"/>
  <c r="U60" i="41" s="1"/>
  <c r="J60" i="41"/>
  <c r="M60" i="41" s="1"/>
  <c r="X59" i="41"/>
  <c r="S59" i="41"/>
  <c r="U59" i="41" s="1"/>
  <c r="J59" i="41"/>
  <c r="M59" i="41" s="1"/>
  <c r="X58" i="41"/>
  <c r="S58" i="41"/>
  <c r="U58" i="41"/>
  <c r="J58" i="41"/>
  <c r="M58" i="41" s="1"/>
  <c r="X57" i="41"/>
  <c r="S57" i="41"/>
  <c r="U57" i="41" s="1"/>
  <c r="J57" i="41"/>
  <c r="M57" i="41" s="1"/>
  <c r="X56" i="41"/>
  <c r="S56" i="41"/>
  <c r="U56" i="41" s="1"/>
  <c r="J56" i="41"/>
  <c r="M56" i="41"/>
  <c r="X55" i="41"/>
  <c r="S55" i="41"/>
  <c r="U55" i="41" s="1"/>
  <c r="J55" i="41"/>
  <c r="M55" i="41"/>
  <c r="X54" i="41"/>
  <c r="S54" i="41"/>
  <c r="U54" i="41"/>
  <c r="J54" i="41"/>
  <c r="M54" i="41" s="1"/>
  <c r="X53" i="41"/>
  <c r="S53" i="41"/>
  <c r="U53" i="41"/>
  <c r="J53" i="41"/>
  <c r="M53" i="41" s="1"/>
  <c r="X52" i="41"/>
  <c r="S52" i="41"/>
  <c r="U52" i="41" s="1"/>
  <c r="J52" i="41"/>
  <c r="M52" i="41" s="1"/>
  <c r="X51" i="41"/>
  <c r="S51" i="41"/>
  <c r="U51" i="41"/>
  <c r="J51" i="41"/>
  <c r="M51" i="41" s="1"/>
  <c r="X50" i="41"/>
  <c r="S50" i="41"/>
  <c r="U50" i="41" s="1"/>
  <c r="J50" i="41"/>
  <c r="M50" i="41" s="1"/>
  <c r="X49" i="41"/>
  <c r="S49" i="41"/>
  <c r="U49" i="41" s="1"/>
  <c r="J49" i="41"/>
  <c r="M49" i="41" s="1"/>
  <c r="X48" i="41"/>
  <c r="S48" i="41"/>
  <c r="U48" i="41"/>
  <c r="J48" i="41"/>
  <c r="M48" i="41"/>
  <c r="X47" i="41"/>
  <c r="S47" i="41"/>
  <c r="U47" i="41" s="1"/>
  <c r="J47" i="41"/>
  <c r="M47" i="41" s="1"/>
  <c r="X46" i="41"/>
  <c r="S46" i="41"/>
  <c r="U46" i="41" s="1"/>
  <c r="J46" i="41"/>
  <c r="M46" i="41" s="1"/>
  <c r="X45" i="41"/>
  <c r="S45" i="41"/>
  <c r="U45" i="41" s="1"/>
  <c r="J45" i="41"/>
  <c r="M45" i="41" s="1"/>
  <c r="X44" i="41"/>
  <c r="S44" i="41"/>
  <c r="U44" i="41"/>
  <c r="J44" i="41"/>
  <c r="M44" i="41" s="1"/>
  <c r="X43" i="41"/>
  <c r="S43" i="41"/>
  <c r="U43" i="41"/>
  <c r="J43" i="41"/>
  <c r="M43" i="41" s="1"/>
  <c r="X42" i="41"/>
  <c r="S42" i="41"/>
  <c r="U42" i="41"/>
  <c r="J42" i="41"/>
  <c r="M42" i="41" s="1"/>
  <c r="X41" i="41"/>
  <c r="S41" i="41"/>
  <c r="U41" i="41"/>
  <c r="J41" i="41"/>
  <c r="M41" i="41" s="1"/>
  <c r="X40" i="41"/>
  <c r="S40" i="41"/>
  <c r="U40" i="41" s="1"/>
  <c r="J40" i="41"/>
  <c r="M40" i="41" s="1"/>
  <c r="X39" i="41"/>
  <c r="S39" i="41"/>
  <c r="U39" i="41" s="1"/>
  <c r="J39" i="41"/>
  <c r="M39" i="41" s="1"/>
  <c r="X38" i="41"/>
  <c r="S38" i="41"/>
  <c r="U38" i="41"/>
  <c r="J38" i="41"/>
  <c r="M38" i="41" s="1"/>
  <c r="X37" i="41"/>
  <c r="S37" i="41"/>
  <c r="U37" i="41"/>
  <c r="J37" i="41"/>
  <c r="M37" i="41" s="1"/>
  <c r="X36" i="41"/>
  <c r="S36" i="41"/>
  <c r="U36" i="41"/>
  <c r="J36" i="41"/>
  <c r="M36" i="41" s="1"/>
  <c r="X35" i="41"/>
  <c r="S35" i="41"/>
  <c r="U35" i="41"/>
  <c r="J35" i="41"/>
  <c r="M35" i="41" s="1"/>
  <c r="X34" i="41"/>
  <c r="S34" i="41"/>
  <c r="U34" i="41"/>
  <c r="J34" i="41"/>
  <c r="M34" i="41" s="1"/>
  <c r="X33" i="41"/>
  <c r="S33" i="41"/>
  <c r="U33" i="41"/>
  <c r="J33" i="41"/>
  <c r="M33" i="41"/>
  <c r="X32" i="41"/>
  <c r="S32" i="41"/>
  <c r="U32" i="41" s="1"/>
  <c r="J32" i="41"/>
  <c r="M32" i="41"/>
  <c r="X31" i="41"/>
  <c r="S31" i="41"/>
  <c r="U31" i="41"/>
  <c r="J31" i="41"/>
  <c r="M31" i="41" s="1"/>
  <c r="X30" i="41"/>
  <c r="S30" i="41"/>
  <c r="U30" i="41"/>
  <c r="J30" i="41"/>
  <c r="M30" i="41" s="1"/>
  <c r="X29" i="41"/>
  <c r="S29" i="41"/>
  <c r="U29" i="41" s="1"/>
  <c r="J29" i="41"/>
  <c r="M29" i="41" s="1"/>
  <c r="X28" i="41"/>
  <c r="S28" i="41"/>
  <c r="U28" i="41"/>
  <c r="J28" i="41"/>
  <c r="M28" i="41" s="1"/>
  <c r="X27" i="41"/>
  <c r="S27" i="41"/>
  <c r="U27" i="41" s="1"/>
  <c r="J27" i="41"/>
  <c r="M27" i="41" s="1"/>
  <c r="X26" i="41"/>
  <c r="S26" i="41"/>
  <c r="U26" i="41"/>
  <c r="J26" i="41"/>
  <c r="M26" i="41" s="1"/>
  <c r="X25" i="41"/>
  <c r="S25" i="41"/>
  <c r="U25" i="41" s="1"/>
  <c r="J25" i="41"/>
  <c r="M25" i="41"/>
  <c r="X24" i="41"/>
  <c r="S24" i="41"/>
  <c r="U24" i="41" s="1"/>
  <c r="J24" i="41"/>
  <c r="M24" i="41"/>
  <c r="X23" i="41"/>
  <c r="S23" i="41"/>
  <c r="U23" i="41"/>
  <c r="J23" i="41"/>
  <c r="M23" i="41"/>
  <c r="X22" i="41"/>
  <c r="S22" i="41"/>
  <c r="U22" i="41"/>
  <c r="J22" i="41"/>
  <c r="M22" i="41" s="1"/>
  <c r="X21" i="41"/>
  <c r="S21" i="41"/>
  <c r="U21" i="41"/>
  <c r="J21" i="41"/>
  <c r="M21" i="41" s="1"/>
  <c r="X20" i="41"/>
  <c r="S20" i="41"/>
  <c r="U20" i="41"/>
  <c r="J20" i="41"/>
  <c r="M20" i="41" s="1"/>
  <c r="X19" i="41"/>
  <c r="S19" i="41"/>
  <c r="U19" i="41"/>
  <c r="J19" i="41"/>
  <c r="M19" i="41" s="1"/>
  <c r="X18" i="41"/>
  <c r="S18" i="41"/>
  <c r="U18" i="41"/>
  <c r="J18" i="41"/>
  <c r="M18" i="41" s="1"/>
  <c r="X17" i="41"/>
  <c r="S17" i="41"/>
  <c r="U17" i="41"/>
  <c r="J17" i="41"/>
  <c r="M17" i="41" s="1"/>
  <c r="X16" i="41"/>
  <c r="S16" i="41"/>
  <c r="U16" i="41"/>
  <c r="J16" i="41"/>
  <c r="M16" i="41"/>
  <c r="X15" i="41"/>
  <c r="S15" i="41"/>
  <c r="U15" i="41" s="1"/>
  <c r="J15" i="41"/>
  <c r="M15" i="41" s="1"/>
  <c r="X14" i="41"/>
  <c r="S14" i="41"/>
  <c r="U14" i="41"/>
  <c r="J14" i="41"/>
  <c r="M14" i="41" s="1"/>
  <c r="X13" i="41"/>
  <c r="S13" i="41"/>
  <c r="U13" i="41"/>
  <c r="J13" i="41"/>
  <c r="M13" i="41" s="1"/>
  <c r="X12" i="41"/>
  <c r="S12" i="41"/>
  <c r="U12" i="41"/>
  <c r="J12" i="41"/>
  <c r="M12" i="41" s="1"/>
  <c r="X11" i="41"/>
  <c r="S11" i="41"/>
  <c r="U11" i="41" s="1"/>
  <c r="J11" i="41"/>
  <c r="M11" i="41" s="1"/>
  <c r="X10" i="41"/>
  <c r="S10" i="41"/>
  <c r="U10" i="41"/>
  <c r="J10" i="41"/>
  <c r="M10" i="41" s="1"/>
  <c r="X9" i="41"/>
  <c r="S9" i="41"/>
  <c r="U9" i="41" s="1"/>
  <c r="J9" i="41"/>
  <c r="M9" i="41" s="1"/>
  <c r="X8" i="41"/>
  <c r="S8" i="41"/>
  <c r="U8" i="41"/>
  <c r="J8" i="41"/>
  <c r="M8" i="41"/>
  <c r="X7" i="41"/>
  <c r="S7" i="41"/>
  <c r="U7" i="41" s="1"/>
  <c r="J7" i="41"/>
  <c r="M7" i="41"/>
  <c r="X6" i="41"/>
  <c r="S6" i="41"/>
  <c r="U6" i="41"/>
  <c r="J6" i="41"/>
  <c r="M6" i="41" s="1"/>
  <c r="X5" i="41"/>
  <c r="S5" i="41"/>
  <c r="U5" i="41"/>
  <c r="J5" i="41"/>
  <c r="K219" i="41"/>
  <c r="R11" i="16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/>
  <c r="J195" i="40"/>
  <c r="M195" i="40"/>
  <c r="J194" i="40"/>
  <c r="M194" i="40" s="1"/>
  <c r="J193" i="40"/>
  <c r="M193" i="40" s="1"/>
  <c r="J192" i="40"/>
  <c r="M192" i="40"/>
  <c r="J191" i="40"/>
  <c r="M191" i="40" s="1"/>
  <c r="J190" i="40"/>
  <c r="M190" i="40" s="1"/>
  <c r="J189" i="40"/>
  <c r="M189" i="40" s="1"/>
  <c r="J188" i="40"/>
  <c r="M188" i="40"/>
  <c r="J187" i="40"/>
  <c r="M187" i="40"/>
  <c r="J186" i="40"/>
  <c r="M186" i="40"/>
  <c r="J185" i="40"/>
  <c r="M185" i="40" s="1"/>
  <c r="J184" i="40"/>
  <c r="M184" i="40" s="1"/>
  <c r="J183" i="40"/>
  <c r="M183" i="40"/>
  <c r="J182" i="40"/>
  <c r="M182" i="40" s="1"/>
  <c r="J181" i="40"/>
  <c r="M181" i="40" s="1"/>
  <c r="J180" i="40"/>
  <c r="M180" i="40"/>
  <c r="J179" i="40"/>
  <c r="M179" i="40"/>
  <c r="J178" i="40"/>
  <c r="M178" i="40" s="1"/>
  <c r="J177" i="40"/>
  <c r="M177" i="40" s="1"/>
  <c r="J176" i="40"/>
  <c r="M176" i="40"/>
  <c r="J175" i="40"/>
  <c r="M175" i="40" s="1"/>
  <c r="J174" i="40"/>
  <c r="M174" i="40" s="1"/>
  <c r="J173" i="40"/>
  <c r="M173" i="40" s="1"/>
  <c r="J172" i="40"/>
  <c r="M172" i="40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/>
  <c r="J163" i="40"/>
  <c r="M163" i="40" s="1"/>
  <c r="J162" i="40"/>
  <c r="M162" i="40"/>
  <c r="J161" i="40"/>
  <c r="M161" i="40" s="1"/>
  <c r="J160" i="40"/>
  <c r="M160" i="40"/>
  <c r="J159" i="40"/>
  <c r="M159" i="40" s="1"/>
  <c r="J158" i="40"/>
  <c r="M158" i="40" s="1"/>
  <c r="J157" i="40"/>
  <c r="M157" i="40" s="1"/>
  <c r="J156" i="40"/>
  <c r="M156" i="40"/>
  <c r="J155" i="40"/>
  <c r="M155" i="40" s="1"/>
  <c r="J154" i="40"/>
  <c r="M154" i="40" s="1"/>
  <c r="J153" i="40"/>
  <c r="M153" i="40" s="1"/>
  <c r="J152" i="40"/>
  <c r="M152" i="40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/>
  <c r="J145" i="40"/>
  <c r="M145" i="40" s="1"/>
  <c r="J144" i="40"/>
  <c r="M144" i="40"/>
  <c r="J143" i="40"/>
  <c r="M143" i="40" s="1"/>
  <c r="J142" i="40"/>
  <c r="M142" i="40" s="1"/>
  <c r="J141" i="40"/>
  <c r="M141" i="40" s="1"/>
  <c r="J140" i="40"/>
  <c r="M140" i="40"/>
  <c r="J139" i="40"/>
  <c r="M139" i="40" s="1"/>
  <c r="J138" i="40"/>
  <c r="M138" i="40" s="1"/>
  <c r="J137" i="40"/>
  <c r="M137" i="40" s="1"/>
  <c r="J136" i="40"/>
  <c r="M136" i="40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/>
  <c r="J129" i="40"/>
  <c r="M129" i="40" s="1"/>
  <c r="J128" i="40"/>
  <c r="M128" i="40"/>
  <c r="J127" i="40"/>
  <c r="M127" i="40" s="1"/>
  <c r="J126" i="40"/>
  <c r="M126" i="40" s="1"/>
  <c r="J125" i="40"/>
  <c r="M125" i="40" s="1"/>
  <c r="J124" i="40"/>
  <c r="M124" i="40"/>
  <c r="J123" i="40"/>
  <c r="M123" i="40" s="1"/>
  <c r="J122" i="40"/>
  <c r="M122" i="40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/>
  <c r="J113" i="40"/>
  <c r="M113" i="40" s="1"/>
  <c r="J112" i="40"/>
  <c r="M112" i="40"/>
  <c r="J111" i="40"/>
  <c r="M111" i="40" s="1"/>
  <c r="J110" i="40"/>
  <c r="M110" i="40" s="1"/>
  <c r="J109" i="40"/>
  <c r="M109" i="40" s="1"/>
  <c r="J108" i="40"/>
  <c r="M108" i="40"/>
  <c r="J107" i="40"/>
  <c r="M107" i="40" s="1"/>
  <c r="J106" i="40"/>
  <c r="M106" i="40"/>
  <c r="Z105" i="40"/>
  <c r="J105" i="40"/>
  <c r="M105" i="40"/>
  <c r="X104" i="40"/>
  <c r="S104" i="40"/>
  <c r="U104" i="40" s="1"/>
  <c r="J104" i="40"/>
  <c r="M104" i="40" s="1"/>
  <c r="X103" i="40"/>
  <c r="S103" i="40"/>
  <c r="U103" i="40"/>
  <c r="J103" i="40"/>
  <c r="M103" i="40" s="1"/>
  <c r="X102" i="40"/>
  <c r="S102" i="40"/>
  <c r="U102" i="40"/>
  <c r="J102" i="40"/>
  <c r="M102" i="40" s="1"/>
  <c r="X101" i="40"/>
  <c r="S101" i="40"/>
  <c r="U101" i="40" s="1"/>
  <c r="J101" i="40"/>
  <c r="M101" i="40"/>
  <c r="X100" i="40"/>
  <c r="S100" i="40"/>
  <c r="U100" i="40" s="1"/>
  <c r="J100" i="40"/>
  <c r="M100" i="40" s="1"/>
  <c r="X99" i="40"/>
  <c r="S99" i="40"/>
  <c r="U99" i="40"/>
  <c r="J99" i="40"/>
  <c r="M99" i="40" s="1"/>
  <c r="X98" i="40"/>
  <c r="S98" i="40"/>
  <c r="U98" i="40" s="1"/>
  <c r="J98" i="40"/>
  <c r="M98" i="40" s="1"/>
  <c r="X97" i="40"/>
  <c r="S97" i="40"/>
  <c r="U97" i="40"/>
  <c r="J97" i="40"/>
  <c r="M97" i="40"/>
  <c r="X96" i="40"/>
  <c r="S96" i="40"/>
  <c r="U96" i="40" s="1"/>
  <c r="J96" i="40"/>
  <c r="M96" i="40" s="1"/>
  <c r="X95" i="40"/>
  <c r="S95" i="40"/>
  <c r="U95" i="40"/>
  <c r="J95" i="40"/>
  <c r="M95" i="40" s="1"/>
  <c r="X94" i="40"/>
  <c r="S94" i="40"/>
  <c r="U94" i="40" s="1"/>
  <c r="J94" i="40"/>
  <c r="M94" i="40" s="1"/>
  <c r="X93" i="40"/>
  <c r="S93" i="40"/>
  <c r="U93" i="40"/>
  <c r="J93" i="40"/>
  <c r="M93" i="40" s="1"/>
  <c r="X92" i="40"/>
  <c r="S92" i="40"/>
  <c r="U92" i="40" s="1"/>
  <c r="J92" i="40"/>
  <c r="M92" i="40" s="1"/>
  <c r="X91" i="40"/>
  <c r="S91" i="40"/>
  <c r="U91" i="40"/>
  <c r="J91" i="40"/>
  <c r="M91" i="40" s="1"/>
  <c r="X90" i="40"/>
  <c r="S90" i="40"/>
  <c r="U90" i="40"/>
  <c r="J90" i="40"/>
  <c r="M90" i="40" s="1"/>
  <c r="X89" i="40"/>
  <c r="S89" i="40"/>
  <c r="U89" i="40"/>
  <c r="J89" i="40"/>
  <c r="M89" i="40" s="1"/>
  <c r="X88" i="40"/>
  <c r="S88" i="40"/>
  <c r="U88" i="40" s="1"/>
  <c r="J88" i="40"/>
  <c r="M88" i="40" s="1"/>
  <c r="X87" i="40"/>
  <c r="S87" i="40"/>
  <c r="U87" i="40"/>
  <c r="J87" i="40"/>
  <c r="M87" i="40" s="1"/>
  <c r="X86" i="40"/>
  <c r="S86" i="40"/>
  <c r="U86" i="40"/>
  <c r="J86" i="40"/>
  <c r="M86" i="40" s="1"/>
  <c r="X85" i="40"/>
  <c r="S85" i="40"/>
  <c r="U85" i="40"/>
  <c r="J85" i="40"/>
  <c r="M85" i="40"/>
  <c r="X84" i="40"/>
  <c r="S84" i="40"/>
  <c r="U84" i="40" s="1"/>
  <c r="J84" i="40"/>
  <c r="M84" i="40" s="1"/>
  <c r="X83" i="40"/>
  <c r="S83" i="40"/>
  <c r="U83" i="40"/>
  <c r="J83" i="40"/>
  <c r="M83" i="40" s="1"/>
  <c r="X82" i="40"/>
  <c r="S82" i="40"/>
  <c r="U82" i="40" s="1"/>
  <c r="J82" i="40"/>
  <c r="M82" i="40" s="1"/>
  <c r="X81" i="40"/>
  <c r="S81" i="40"/>
  <c r="U81" i="40"/>
  <c r="J81" i="40"/>
  <c r="M81" i="40"/>
  <c r="X80" i="40"/>
  <c r="S80" i="40"/>
  <c r="U80" i="40" s="1"/>
  <c r="J80" i="40"/>
  <c r="M80" i="40" s="1"/>
  <c r="X79" i="40"/>
  <c r="S79" i="40"/>
  <c r="U79" i="40"/>
  <c r="J79" i="40"/>
  <c r="M79" i="40" s="1"/>
  <c r="X78" i="40"/>
  <c r="S78" i="40"/>
  <c r="U78" i="40"/>
  <c r="J78" i="40"/>
  <c r="M78" i="40" s="1"/>
  <c r="X77" i="40"/>
  <c r="S77" i="40"/>
  <c r="U77" i="40"/>
  <c r="J77" i="40"/>
  <c r="M77" i="40"/>
  <c r="X76" i="40"/>
  <c r="S76" i="40"/>
  <c r="U76" i="40" s="1"/>
  <c r="J76" i="40"/>
  <c r="M76" i="40" s="1"/>
  <c r="X75" i="40"/>
  <c r="S75" i="40"/>
  <c r="U75" i="40" s="1"/>
  <c r="J75" i="40"/>
  <c r="M75" i="40" s="1"/>
  <c r="X74" i="40"/>
  <c r="S74" i="40"/>
  <c r="U74" i="40"/>
  <c r="J74" i="40"/>
  <c r="M74" i="40" s="1"/>
  <c r="X73" i="40"/>
  <c r="S73" i="40"/>
  <c r="U73" i="40" s="1"/>
  <c r="J73" i="40"/>
  <c r="M73" i="40" s="1"/>
  <c r="X72" i="40"/>
  <c r="S72" i="40"/>
  <c r="U72" i="40" s="1"/>
  <c r="J72" i="40"/>
  <c r="M72" i="40" s="1"/>
  <c r="X71" i="40"/>
  <c r="S71" i="40"/>
  <c r="U71" i="40" s="1"/>
  <c r="J71" i="40"/>
  <c r="M71" i="40" s="1"/>
  <c r="X70" i="40"/>
  <c r="S70" i="40"/>
  <c r="U70" i="40"/>
  <c r="J70" i="40"/>
  <c r="M70" i="40" s="1"/>
  <c r="X69" i="40"/>
  <c r="S69" i="40"/>
  <c r="U69" i="40" s="1"/>
  <c r="J69" i="40"/>
  <c r="M69" i="40"/>
  <c r="X68" i="40"/>
  <c r="S68" i="40"/>
  <c r="U68" i="40"/>
  <c r="J68" i="40"/>
  <c r="M68" i="40" s="1"/>
  <c r="X67" i="40"/>
  <c r="S67" i="40"/>
  <c r="U67" i="40"/>
  <c r="J67" i="40"/>
  <c r="M67" i="40" s="1"/>
  <c r="X66" i="40"/>
  <c r="S66" i="40"/>
  <c r="U66" i="40"/>
  <c r="J66" i="40"/>
  <c r="M66" i="40" s="1"/>
  <c r="X65" i="40"/>
  <c r="S65" i="40"/>
  <c r="U65" i="40"/>
  <c r="J65" i="40"/>
  <c r="M65" i="40"/>
  <c r="X64" i="40"/>
  <c r="S64" i="40"/>
  <c r="U64" i="40" s="1"/>
  <c r="J64" i="40"/>
  <c r="M64" i="40" s="1"/>
  <c r="X63" i="40"/>
  <c r="S63" i="40"/>
  <c r="U63" i="40"/>
  <c r="J63" i="40"/>
  <c r="M63" i="40" s="1"/>
  <c r="X62" i="40"/>
  <c r="S62" i="40"/>
  <c r="U62" i="40"/>
  <c r="J62" i="40"/>
  <c r="M62" i="40" s="1"/>
  <c r="X61" i="40"/>
  <c r="S61" i="40"/>
  <c r="U61" i="40"/>
  <c r="J61" i="40"/>
  <c r="M61" i="40" s="1"/>
  <c r="X60" i="40"/>
  <c r="S60" i="40"/>
  <c r="U60" i="40" s="1"/>
  <c r="J60" i="40"/>
  <c r="M60" i="40" s="1"/>
  <c r="X59" i="40"/>
  <c r="S59" i="40"/>
  <c r="U59" i="40"/>
  <c r="J59" i="40"/>
  <c r="M59" i="40" s="1"/>
  <c r="X58" i="40"/>
  <c r="S58" i="40"/>
  <c r="U58" i="40"/>
  <c r="J58" i="40"/>
  <c r="M58" i="40" s="1"/>
  <c r="X57" i="40"/>
  <c r="S57" i="40"/>
  <c r="U57" i="40"/>
  <c r="J57" i="40"/>
  <c r="M57" i="40"/>
  <c r="X56" i="40"/>
  <c r="S56" i="40"/>
  <c r="U56" i="40" s="1"/>
  <c r="J56" i="40"/>
  <c r="M56" i="40" s="1"/>
  <c r="X55" i="40"/>
  <c r="S55" i="40"/>
  <c r="U55" i="40"/>
  <c r="J55" i="40"/>
  <c r="M55" i="40" s="1"/>
  <c r="X54" i="40"/>
  <c r="S54" i="40"/>
  <c r="U54" i="40"/>
  <c r="J54" i="40"/>
  <c r="M54" i="40" s="1"/>
  <c r="X53" i="40"/>
  <c r="S53" i="40"/>
  <c r="U53" i="40" s="1"/>
  <c r="J53" i="40"/>
  <c r="M53" i="40" s="1"/>
  <c r="X52" i="40"/>
  <c r="S52" i="40"/>
  <c r="U52" i="40"/>
  <c r="J52" i="40"/>
  <c r="M52" i="40" s="1"/>
  <c r="X51" i="40"/>
  <c r="S51" i="40"/>
  <c r="U51" i="40" s="1"/>
  <c r="J51" i="40"/>
  <c r="M51" i="40" s="1"/>
  <c r="X50" i="40"/>
  <c r="S50" i="40"/>
  <c r="U50" i="40"/>
  <c r="J50" i="40"/>
  <c r="M50" i="40" s="1"/>
  <c r="X49" i="40"/>
  <c r="S49" i="40"/>
  <c r="U49" i="40"/>
  <c r="J49" i="40"/>
  <c r="M49" i="40"/>
  <c r="X48" i="40"/>
  <c r="S48" i="40"/>
  <c r="U48" i="40" s="1"/>
  <c r="J48" i="40"/>
  <c r="M48" i="40"/>
  <c r="X47" i="40"/>
  <c r="S47" i="40"/>
  <c r="U47" i="40"/>
  <c r="J47" i="40"/>
  <c r="M47" i="40" s="1"/>
  <c r="X46" i="40"/>
  <c r="S46" i="40"/>
  <c r="U46" i="40" s="1"/>
  <c r="J46" i="40"/>
  <c r="M46" i="40" s="1"/>
  <c r="X45" i="40"/>
  <c r="S45" i="40"/>
  <c r="U45" i="40"/>
  <c r="J45" i="40"/>
  <c r="M45" i="40" s="1"/>
  <c r="X44" i="40"/>
  <c r="S44" i="40"/>
  <c r="U44" i="40" s="1"/>
  <c r="J44" i="40"/>
  <c r="M44" i="40"/>
  <c r="X43" i="40"/>
  <c r="S43" i="40"/>
  <c r="U43" i="40"/>
  <c r="J43" i="40"/>
  <c r="M43" i="40" s="1"/>
  <c r="X42" i="40"/>
  <c r="S42" i="40"/>
  <c r="U42" i="40"/>
  <c r="J42" i="40"/>
  <c r="M42" i="40" s="1"/>
  <c r="X41" i="40"/>
  <c r="S41" i="40"/>
  <c r="U41" i="40"/>
  <c r="J41" i="40"/>
  <c r="M41" i="40" s="1"/>
  <c r="X40" i="40"/>
  <c r="S40" i="40"/>
  <c r="U40" i="40"/>
  <c r="J40" i="40"/>
  <c r="M40" i="40"/>
  <c r="X39" i="40"/>
  <c r="S39" i="40"/>
  <c r="U39" i="40" s="1"/>
  <c r="J39" i="40"/>
  <c r="M39" i="40" s="1"/>
  <c r="X38" i="40"/>
  <c r="S38" i="40"/>
  <c r="U38" i="40" s="1"/>
  <c r="J38" i="40"/>
  <c r="M38" i="40" s="1"/>
  <c r="X37" i="40"/>
  <c r="S37" i="40"/>
  <c r="U37" i="40" s="1"/>
  <c r="J37" i="40"/>
  <c r="M37" i="40" s="1"/>
  <c r="X36" i="40"/>
  <c r="S36" i="40"/>
  <c r="U36" i="40" s="1"/>
  <c r="J36" i="40"/>
  <c r="M36" i="40"/>
  <c r="X35" i="40"/>
  <c r="S35" i="40"/>
  <c r="U35" i="40"/>
  <c r="J35" i="40"/>
  <c r="M35" i="40" s="1"/>
  <c r="X34" i="40"/>
  <c r="S34" i="40"/>
  <c r="U34" i="40"/>
  <c r="J34" i="40"/>
  <c r="M34" i="40"/>
  <c r="X33" i="40"/>
  <c r="S33" i="40"/>
  <c r="U33" i="40" s="1"/>
  <c r="J33" i="40"/>
  <c r="M33" i="40" s="1"/>
  <c r="X32" i="40"/>
  <c r="S32" i="40"/>
  <c r="U32" i="40" s="1"/>
  <c r="J32" i="40"/>
  <c r="M32" i="40"/>
  <c r="X31" i="40"/>
  <c r="S31" i="40"/>
  <c r="U31" i="40" s="1"/>
  <c r="J31" i="40"/>
  <c r="M31" i="40" s="1"/>
  <c r="X30" i="40"/>
  <c r="S30" i="40"/>
  <c r="U30" i="40" s="1"/>
  <c r="J30" i="40"/>
  <c r="M30" i="40" s="1"/>
  <c r="X29" i="40"/>
  <c r="S29" i="40"/>
  <c r="U29" i="40" s="1"/>
  <c r="J29" i="40"/>
  <c r="M29" i="40" s="1"/>
  <c r="X28" i="40"/>
  <c r="S28" i="40"/>
  <c r="U28" i="40" s="1"/>
  <c r="J28" i="40"/>
  <c r="M28" i="40" s="1"/>
  <c r="X27" i="40"/>
  <c r="S27" i="40"/>
  <c r="U27" i="40" s="1"/>
  <c r="J27" i="40"/>
  <c r="M27" i="40" s="1"/>
  <c r="X26" i="40"/>
  <c r="S26" i="40"/>
  <c r="U26" i="40"/>
  <c r="J26" i="40"/>
  <c r="M26" i="40" s="1"/>
  <c r="X25" i="40"/>
  <c r="S25" i="40"/>
  <c r="U25" i="40" s="1"/>
  <c r="J25" i="40"/>
  <c r="M25" i="40" s="1"/>
  <c r="X24" i="40"/>
  <c r="S24" i="40"/>
  <c r="U24" i="40"/>
  <c r="J24" i="40"/>
  <c r="M24" i="40"/>
  <c r="X23" i="40"/>
  <c r="S23" i="40"/>
  <c r="U23" i="40" s="1"/>
  <c r="J23" i="40"/>
  <c r="M23" i="40" s="1"/>
  <c r="X22" i="40"/>
  <c r="S22" i="40"/>
  <c r="U22" i="40"/>
  <c r="J22" i="40"/>
  <c r="M22" i="40" s="1"/>
  <c r="X21" i="40"/>
  <c r="S21" i="40"/>
  <c r="U21" i="40" s="1"/>
  <c r="J21" i="40"/>
  <c r="M21" i="40" s="1"/>
  <c r="X20" i="40"/>
  <c r="S20" i="40"/>
  <c r="U20" i="40"/>
  <c r="J20" i="40"/>
  <c r="M20" i="40"/>
  <c r="X19" i="40"/>
  <c r="S19" i="40"/>
  <c r="U19" i="40" s="1"/>
  <c r="J19" i="40"/>
  <c r="M19" i="40" s="1"/>
  <c r="X18" i="40"/>
  <c r="S18" i="40"/>
  <c r="U18" i="40" s="1"/>
  <c r="J18" i="40"/>
  <c r="M18" i="40" s="1"/>
  <c r="X17" i="40"/>
  <c r="S17" i="40"/>
  <c r="U17" i="40" s="1"/>
  <c r="J17" i="40"/>
  <c r="M17" i="40" s="1"/>
  <c r="X16" i="40"/>
  <c r="S16" i="40"/>
  <c r="U16" i="40" s="1"/>
  <c r="J16" i="40"/>
  <c r="M16" i="40"/>
  <c r="X15" i="40"/>
  <c r="S15" i="40"/>
  <c r="U15" i="40" s="1"/>
  <c r="J15" i="40"/>
  <c r="M15" i="40" s="1"/>
  <c r="X14" i="40"/>
  <c r="S14" i="40"/>
  <c r="U14" i="40" s="1"/>
  <c r="J14" i="40"/>
  <c r="M14" i="40" s="1"/>
  <c r="X13" i="40"/>
  <c r="S13" i="40"/>
  <c r="U13" i="40" s="1"/>
  <c r="J13" i="40"/>
  <c r="M13" i="40" s="1"/>
  <c r="X12" i="40"/>
  <c r="S12" i="40"/>
  <c r="U12" i="40"/>
  <c r="J12" i="40"/>
  <c r="M12" i="40" s="1"/>
  <c r="X11" i="40"/>
  <c r="S11" i="40"/>
  <c r="U11" i="40" s="1"/>
  <c r="J11" i="40"/>
  <c r="M11" i="40" s="1"/>
  <c r="X10" i="40"/>
  <c r="S10" i="40"/>
  <c r="U10" i="40"/>
  <c r="J10" i="40"/>
  <c r="M10" i="40" s="1"/>
  <c r="X9" i="40"/>
  <c r="S9" i="40"/>
  <c r="U9" i="40"/>
  <c r="J9" i="40"/>
  <c r="M9" i="40" s="1"/>
  <c r="X8" i="40"/>
  <c r="S8" i="40"/>
  <c r="U8" i="40"/>
  <c r="J8" i="40"/>
  <c r="M8" i="40"/>
  <c r="X7" i="40"/>
  <c r="S7" i="40"/>
  <c r="U7" i="40"/>
  <c r="J7" i="40"/>
  <c r="M7" i="40" s="1"/>
  <c r="X6" i="40"/>
  <c r="S6" i="40"/>
  <c r="U6" i="40" s="1"/>
  <c r="J6" i="40"/>
  <c r="M6" i="40" s="1"/>
  <c r="X5" i="40"/>
  <c r="S5" i="40"/>
  <c r="U5" i="40"/>
  <c r="J5" i="40"/>
  <c r="R10" i="16"/>
  <c r="T9" i="16"/>
  <c r="Q9" i="16"/>
  <c r="P9" i="16"/>
  <c r="O9" i="16"/>
  <c r="K220" i="39"/>
  <c r="K212" i="39"/>
  <c r="N9" i="16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/>
  <c r="J199" i="39"/>
  <c r="M199" i="39" s="1"/>
  <c r="J198" i="39"/>
  <c r="M198" i="39" s="1"/>
  <c r="J197" i="39"/>
  <c r="M197" i="39"/>
  <c r="J196" i="39"/>
  <c r="M196" i="39" s="1"/>
  <c r="J195" i="39"/>
  <c r="M195" i="39" s="1"/>
  <c r="J194" i="39"/>
  <c r="M194" i="39" s="1"/>
  <c r="J193" i="39"/>
  <c r="M193" i="39" s="1"/>
  <c r="J192" i="39"/>
  <c r="M192" i="39"/>
  <c r="J191" i="39"/>
  <c r="M191" i="39" s="1"/>
  <c r="J190" i="39"/>
  <c r="M190" i="39" s="1"/>
  <c r="J189" i="39"/>
  <c r="M189" i="39"/>
  <c r="J188" i="39"/>
  <c r="M188" i="39" s="1"/>
  <c r="J187" i="39"/>
  <c r="M187" i="39" s="1"/>
  <c r="J186" i="39"/>
  <c r="M186" i="39" s="1"/>
  <c r="J185" i="39"/>
  <c r="M185" i="39" s="1"/>
  <c r="J184" i="39"/>
  <c r="M184" i="39"/>
  <c r="J183" i="39"/>
  <c r="M183" i="39" s="1"/>
  <c r="J182" i="39"/>
  <c r="M182" i="39" s="1"/>
  <c r="J181" i="39"/>
  <c r="M181" i="39"/>
  <c r="J180" i="39"/>
  <c r="M180" i="39" s="1"/>
  <c r="J179" i="39"/>
  <c r="M179" i="39" s="1"/>
  <c r="J178" i="39"/>
  <c r="M178" i="39" s="1"/>
  <c r="J177" i="39"/>
  <c r="M177" i="39" s="1"/>
  <c r="J176" i="39"/>
  <c r="M176" i="39"/>
  <c r="J175" i="39"/>
  <c r="M175" i="39" s="1"/>
  <c r="J174" i="39"/>
  <c r="M174" i="39" s="1"/>
  <c r="J173" i="39"/>
  <c r="M173" i="39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/>
  <c r="J166" i="39"/>
  <c r="M166" i="39"/>
  <c r="J165" i="39"/>
  <c r="M165" i="39"/>
  <c r="J164" i="39"/>
  <c r="M164" i="39" s="1"/>
  <c r="J163" i="39"/>
  <c r="M163" i="39" s="1"/>
  <c r="J162" i="39"/>
  <c r="M162" i="39"/>
  <c r="J161" i="39"/>
  <c r="M161" i="39"/>
  <c r="J160" i="39"/>
  <c r="M160" i="39" s="1"/>
  <c r="J159" i="39"/>
  <c r="M159" i="39" s="1"/>
  <c r="J158" i="39"/>
  <c r="M158" i="39"/>
  <c r="J157" i="39"/>
  <c r="M157" i="39"/>
  <c r="J156" i="39"/>
  <c r="M156" i="39" s="1"/>
  <c r="J155" i="39"/>
  <c r="M155" i="39"/>
  <c r="J154" i="39"/>
  <c r="M154" i="39"/>
  <c r="J153" i="39"/>
  <c r="M153" i="39"/>
  <c r="J152" i="39"/>
  <c r="M152" i="39" s="1"/>
  <c r="J151" i="39"/>
  <c r="M151" i="39"/>
  <c r="J150" i="39"/>
  <c r="M150" i="39"/>
  <c r="J149" i="39"/>
  <c r="M149" i="39"/>
  <c r="J148" i="39"/>
  <c r="M148" i="39" s="1"/>
  <c r="J147" i="39"/>
  <c r="M147" i="39" s="1"/>
  <c r="J146" i="39"/>
  <c r="M146" i="39"/>
  <c r="J145" i="39"/>
  <c r="M145" i="39"/>
  <c r="J144" i="39"/>
  <c r="M144" i="39" s="1"/>
  <c r="J143" i="39"/>
  <c r="M143" i="39"/>
  <c r="J142" i="39"/>
  <c r="M142" i="39" s="1"/>
  <c r="J141" i="39"/>
  <c r="M141" i="39"/>
  <c r="J140" i="39"/>
  <c r="M140" i="39"/>
  <c r="J139" i="39"/>
  <c r="M139" i="39" s="1"/>
  <c r="J138" i="39"/>
  <c r="M138" i="39" s="1"/>
  <c r="J137" i="39"/>
  <c r="M137" i="39" s="1"/>
  <c r="J136" i="39"/>
  <c r="M136" i="39" s="1"/>
  <c r="J135" i="39"/>
  <c r="M135" i="39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/>
  <c r="J122" i="39"/>
  <c r="M122" i="39" s="1"/>
  <c r="J121" i="39"/>
  <c r="M121" i="39" s="1"/>
  <c r="J120" i="39"/>
  <c r="M120" i="39" s="1"/>
  <c r="J119" i="39"/>
  <c r="M119" i="39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 s="1"/>
  <c r="J104" i="39"/>
  <c r="M104" i="39" s="1"/>
  <c r="X103" i="39"/>
  <c r="S103" i="39"/>
  <c r="U103" i="39"/>
  <c r="J103" i="39"/>
  <c r="M103" i="39" s="1"/>
  <c r="X102" i="39"/>
  <c r="S102" i="39"/>
  <c r="U102" i="39" s="1"/>
  <c r="J102" i="39"/>
  <c r="M102" i="39" s="1"/>
  <c r="X101" i="39"/>
  <c r="S101" i="39"/>
  <c r="U101" i="39"/>
  <c r="J101" i="39"/>
  <c r="M101" i="39" s="1"/>
  <c r="X100" i="39"/>
  <c r="S100" i="39"/>
  <c r="U100" i="39" s="1"/>
  <c r="J100" i="39"/>
  <c r="M100" i="39" s="1"/>
  <c r="X99" i="39"/>
  <c r="S99" i="39"/>
  <c r="U99" i="39"/>
  <c r="J99" i="39"/>
  <c r="M99" i="39" s="1"/>
  <c r="X98" i="39"/>
  <c r="S98" i="39"/>
  <c r="U98" i="39" s="1"/>
  <c r="J98" i="39"/>
  <c r="M98" i="39" s="1"/>
  <c r="X97" i="39"/>
  <c r="S97" i="39"/>
  <c r="U97" i="39" s="1"/>
  <c r="J97" i="39"/>
  <c r="M97" i="39"/>
  <c r="X96" i="39"/>
  <c r="S96" i="39"/>
  <c r="U96" i="39"/>
  <c r="J96" i="39"/>
  <c r="M96" i="39" s="1"/>
  <c r="X95" i="39"/>
  <c r="S95" i="39"/>
  <c r="U95" i="39" s="1"/>
  <c r="J95" i="39"/>
  <c r="M95" i="39"/>
  <c r="X94" i="39"/>
  <c r="S94" i="39"/>
  <c r="U94" i="39"/>
  <c r="J94" i="39"/>
  <c r="M94" i="39" s="1"/>
  <c r="X93" i="39"/>
  <c r="S93" i="39"/>
  <c r="U93" i="39"/>
  <c r="J93" i="39"/>
  <c r="M93" i="39" s="1"/>
  <c r="X92" i="39"/>
  <c r="S92" i="39"/>
  <c r="U92" i="39"/>
  <c r="J92" i="39"/>
  <c r="M92" i="39" s="1"/>
  <c r="X91" i="39"/>
  <c r="S91" i="39"/>
  <c r="U91" i="39"/>
  <c r="J91" i="39"/>
  <c r="M91" i="39" s="1"/>
  <c r="X90" i="39"/>
  <c r="S90" i="39"/>
  <c r="U90" i="39"/>
  <c r="J90" i="39"/>
  <c r="M90" i="39" s="1"/>
  <c r="X89" i="39"/>
  <c r="S89" i="39"/>
  <c r="U89" i="39" s="1"/>
  <c r="J89" i="39"/>
  <c r="M89" i="39"/>
  <c r="X88" i="39"/>
  <c r="S88" i="39"/>
  <c r="U88" i="39"/>
  <c r="J88" i="39"/>
  <c r="M88" i="39" s="1"/>
  <c r="X87" i="39"/>
  <c r="S87" i="39"/>
  <c r="U87" i="39" s="1"/>
  <c r="J87" i="39"/>
  <c r="M87" i="39"/>
  <c r="X86" i="39"/>
  <c r="S86" i="39"/>
  <c r="U86" i="39"/>
  <c r="J86" i="39"/>
  <c r="M86" i="39" s="1"/>
  <c r="X85" i="39"/>
  <c r="S85" i="39"/>
  <c r="U85" i="39"/>
  <c r="J85" i="39"/>
  <c r="M85" i="39" s="1"/>
  <c r="X84" i="39"/>
  <c r="S84" i="39"/>
  <c r="U84" i="39"/>
  <c r="J84" i="39"/>
  <c r="M84" i="39" s="1"/>
  <c r="X83" i="39"/>
  <c r="S83" i="39"/>
  <c r="U83" i="39"/>
  <c r="J83" i="39"/>
  <c r="M83" i="39" s="1"/>
  <c r="X82" i="39"/>
  <c r="S82" i="39"/>
  <c r="U82" i="39" s="1"/>
  <c r="J82" i="39"/>
  <c r="M82" i="39" s="1"/>
  <c r="X81" i="39"/>
  <c r="S81" i="39"/>
  <c r="U81" i="39" s="1"/>
  <c r="J81" i="39"/>
  <c r="M81" i="39"/>
  <c r="X80" i="39"/>
  <c r="S80" i="39"/>
  <c r="U80" i="39" s="1"/>
  <c r="J80" i="39"/>
  <c r="M80" i="39" s="1"/>
  <c r="X79" i="39"/>
  <c r="S79" i="39"/>
  <c r="U79" i="39" s="1"/>
  <c r="J79" i="39"/>
  <c r="M79" i="39" s="1"/>
  <c r="X78" i="39"/>
  <c r="S78" i="39"/>
  <c r="U78" i="39"/>
  <c r="J78" i="39"/>
  <c r="M78" i="39" s="1"/>
  <c r="X77" i="39"/>
  <c r="S77" i="39"/>
  <c r="U77" i="39" s="1"/>
  <c r="J77" i="39"/>
  <c r="M77" i="39" s="1"/>
  <c r="X76" i="39"/>
  <c r="S76" i="39"/>
  <c r="U76" i="39" s="1"/>
  <c r="J76" i="39"/>
  <c r="M76" i="39" s="1"/>
  <c r="X75" i="39"/>
  <c r="S75" i="39"/>
  <c r="U75" i="39" s="1"/>
  <c r="J75" i="39"/>
  <c r="M75" i="39" s="1"/>
  <c r="X74" i="39"/>
  <c r="S74" i="39"/>
  <c r="U74" i="39" s="1"/>
  <c r="J74" i="39"/>
  <c r="M74" i="39"/>
  <c r="X73" i="39"/>
  <c r="S73" i="39"/>
  <c r="U73" i="39"/>
  <c r="J73" i="39"/>
  <c r="M73" i="39" s="1"/>
  <c r="X72" i="39"/>
  <c r="S72" i="39"/>
  <c r="U72" i="39" s="1"/>
  <c r="J72" i="39"/>
  <c r="M72" i="39"/>
  <c r="X71" i="39"/>
  <c r="S71" i="39"/>
  <c r="U71" i="39"/>
  <c r="J71" i="39"/>
  <c r="M71" i="39" s="1"/>
  <c r="X70" i="39"/>
  <c r="S70" i="39"/>
  <c r="U70" i="39"/>
  <c r="J70" i="39"/>
  <c r="M70" i="39" s="1"/>
  <c r="X69" i="39"/>
  <c r="S69" i="39"/>
  <c r="U69" i="39"/>
  <c r="J69" i="39"/>
  <c r="M69" i="39" s="1"/>
  <c r="X68" i="39"/>
  <c r="S68" i="39"/>
  <c r="U68" i="39"/>
  <c r="J68" i="39"/>
  <c r="M68" i="39" s="1"/>
  <c r="X67" i="39"/>
  <c r="S67" i="39"/>
  <c r="U67" i="39"/>
  <c r="J67" i="39"/>
  <c r="M67" i="39" s="1"/>
  <c r="X66" i="39"/>
  <c r="S66" i="39"/>
  <c r="U66" i="39"/>
  <c r="J66" i="39"/>
  <c r="M66" i="39" s="1"/>
  <c r="X65" i="39"/>
  <c r="S65" i="39"/>
  <c r="U65" i="39" s="1"/>
  <c r="J65" i="39"/>
  <c r="M65" i="39"/>
  <c r="X64" i="39"/>
  <c r="S64" i="39"/>
  <c r="U64" i="39" s="1"/>
  <c r="J64" i="39"/>
  <c r="M64" i="39" s="1"/>
  <c r="X63" i="39"/>
  <c r="S63" i="39"/>
  <c r="U63" i="39" s="1"/>
  <c r="J63" i="39"/>
  <c r="M63" i="39"/>
  <c r="X62" i="39"/>
  <c r="S62" i="39"/>
  <c r="U62" i="39"/>
  <c r="J62" i="39"/>
  <c r="M62" i="39" s="1"/>
  <c r="X61" i="39"/>
  <c r="S61" i="39"/>
  <c r="U61" i="39"/>
  <c r="J61" i="39"/>
  <c r="M61" i="39" s="1"/>
  <c r="X60" i="39"/>
  <c r="S60" i="39"/>
  <c r="U60" i="39"/>
  <c r="J60" i="39"/>
  <c r="M60" i="39" s="1"/>
  <c r="X59" i="39"/>
  <c r="S59" i="39"/>
  <c r="U59" i="39"/>
  <c r="J59" i="39"/>
  <c r="M59" i="39" s="1"/>
  <c r="X58" i="39"/>
  <c r="S58" i="39"/>
  <c r="U58" i="39"/>
  <c r="J58" i="39"/>
  <c r="M58" i="39" s="1"/>
  <c r="X57" i="39"/>
  <c r="S57" i="39"/>
  <c r="U57" i="39" s="1"/>
  <c r="J57" i="39"/>
  <c r="M57" i="39"/>
  <c r="X56" i="39"/>
  <c r="S56" i="39"/>
  <c r="U56" i="39" s="1"/>
  <c r="J56" i="39"/>
  <c r="M56" i="39" s="1"/>
  <c r="X55" i="39"/>
  <c r="S55" i="39"/>
  <c r="U55" i="39" s="1"/>
  <c r="J55" i="39"/>
  <c r="M55" i="39"/>
  <c r="X54" i="39"/>
  <c r="S54" i="39"/>
  <c r="U54" i="39"/>
  <c r="J54" i="39"/>
  <c r="M54" i="39" s="1"/>
  <c r="X53" i="39"/>
  <c r="S53" i="39"/>
  <c r="U53" i="39" s="1"/>
  <c r="J53" i="39"/>
  <c r="M53" i="39" s="1"/>
  <c r="X52" i="39"/>
  <c r="S52" i="39"/>
  <c r="U52" i="39"/>
  <c r="J52" i="39"/>
  <c r="M52" i="39" s="1"/>
  <c r="X51" i="39"/>
  <c r="S51" i="39"/>
  <c r="U51" i="39" s="1"/>
  <c r="J51" i="39"/>
  <c r="M51" i="39" s="1"/>
  <c r="X50" i="39"/>
  <c r="S50" i="39"/>
  <c r="U50" i="39"/>
  <c r="J50" i="39"/>
  <c r="M50" i="39" s="1"/>
  <c r="X49" i="39"/>
  <c r="S49" i="39"/>
  <c r="U49" i="39" s="1"/>
  <c r="J49" i="39"/>
  <c r="M49" i="39" s="1"/>
  <c r="X48" i="39"/>
  <c r="S48" i="39"/>
  <c r="U48" i="39" s="1"/>
  <c r="J48" i="39"/>
  <c r="M48" i="39" s="1"/>
  <c r="X47" i="39"/>
  <c r="S47" i="39"/>
  <c r="U47" i="39" s="1"/>
  <c r="J47" i="39"/>
  <c r="M47" i="39" s="1"/>
  <c r="X46" i="39"/>
  <c r="S46" i="39"/>
  <c r="U46" i="39" s="1"/>
  <c r="J46" i="39"/>
  <c r="M46" i="39" s="1"/>
  <c r="X45" i="39"/>
  <c r="S45" i="39"/>
  <c r="U45" i="39" s="1"/>
  <c r="J45" i="39"/>
  <c r="M45" i="39" s="1"/>
  <c r="X44" i="39"/>
  <c r="S44" i="39"/>
  <c r="U44" i="39" s="1"/>
  <c r="J44" i="39"/>
  <c r="M44" i="39" s="1"/>
  <c r="X43" i="39"/>
  <c r="S43" i="39"/>
  <c r="U43" i="39" s="1"/>
  <c r="J43" i="39"/>
  <c r="M43" i="39" s="1"/>
  <c r="X42" i="39"/>
  <c r="S42" i="39"/>
  <c r="U42" i="39" s="1"/>
  <c r="J42" i="39"/>
  <c r="M42" i="39" s="1"/>
  <c r="X41" i="39"/>
  <c r="S41" i="39"/>
  <c r="U41" i="39" s="1"/>
  <c r="J41" i="39"/>
  <c r="M41" i="39" s="1"/>
  <c r="X40" i="39"/>
  <c r="S40" i="39"/>
  <c r="U40" i="39" s="1"/>
  <c r="J40" i="39"/>
  <c r="M40" i="39" s="1"/>
  <c r="X39" i="39"/>
  <c r="S39" i="39"/>
  <c r="U39" i="39" s="1"/>
  <c r="J39" i="39"/>
  <c r="M39" i="39" s="1"/>
  <c r="X38" i="39"/>
  <c r="S38" i="39"/>
  <c r="U38" i="39" s="1"/>
  <c r="J38" i="39"/>
  <c r="M38" i="39" s="1"/>
  <c r="X37" i="39"/>
  <c r="S37" i="39"/>
  <c r="U37" i="39" s="1"/>
  <c r="J37" i="39"/>
  <c r="M37" i="39" s="1"/>
  <c r="X36" i="39"/>
  <c r="S36" i="39"/>
  <c r="U36" i="39" s="1"/>
  <c r="J36" i="39"/>
  <c r="M36" i="39" s="1"/>
  <c r="X35" i="39"/>
  <c r="S35" i="39"/>
  <c r="U35" i="39" s="1"/>
  <c r="J35" i="39"/>
  <c r="M35" i="39" s="1"/>
  <c r="X34" i="39"/>
  <c r="S34" i="39"/>
  <c r="U34" i="39" s="1"/>
  <c r="J34" i="39"/>
  <c r="M34" i="39" s="1"/>
  <c r="X33" i="39"/>
  <c r="S33" i="39"/>
  <c r="U33" i="39" s="1"/>
  <c r="J33" i="39"/>
  <c r="M33" i="39" s="1"/>
  <c r="X32" i="39"/>
  <c r="S32" i="39"/>
  <c r="U32" i="39" s="1"/>
  <c r="J32" i="39"/>
  <c r="M32" i="39"/>
  <c r="X31" i="39"/>
  <c r="S31" i="39"/>
  <c r="U31" i="39" s="1"/>
  <c r="J31" i="39"/>
  <c r="M31" i="39" s="1"/>
  <c r="X30" i="39"/>
  <c r="S30" i="39"/>
  <c r="U30" i="39"/>
  <c r="J30" i="39"/>
  <c r="M30" i="39" s="1"/>
  <c r="X29" i="39"/>
  <c r="S29" i="39"/>
  <c r="U29" i="39" s="1"/>
  <c r="J29" i="39"/>
  <c r="M29" i="39" s="1"/>
  <c r="X28" i="39"/>
  <c r="S28" i="39"/>
  <c r="U28" i="39"/>
  <c r="J28" i="39"/>
  <c r="M28" i="39" s="1"/>
  <c r="X27" i="39"/>
  <c r="S27" i="39"/>
  <c r="U27" i="39" s="1"/>
  <c r="J27" i="39"/>
  <c r="M27" i="39" s="1"/>
  <c r="X26" i="39"/>
  <c r="S26" i="39"/>
  <c r="U26" i="39"/>
  <c r="J26" i="39"/>
  <c r="M26" i="39"/>
  <c r="X25" i="39"/>
  <c r="S25" i="39"/>
  <c r="U25" i="39"/>
  <c r="J25" i="39"/>
  <c r="M25" i="39" s="1"/>
  <c r="X24" i="39"/>
  <c r="S24" i="39"/>
  <c r="U24" i="39"/>
  <c r="J24" i="39"/>
  <c r="M24" i="39" s="1"/>
  <c r="X23" i="39"/>
  <c r="S23" i="39"/>
  <c r="U23" i="39"/>
  <c r="J23" i="39"/>
  <c r="M23" i="39" s="1"/>
  <c r="X22" i="39"/>
  <c r="S22" i="39"/>
  <c r="U22" i="39"/>
  <c r="J22" i="39"/>
  <c r="M22" i="39" s="1"/>
  <c r="X21" i="39"/>
  <c r="S21" i="39"/>
  <c r="U21" i="39" s="1"/>
  <c r="J21" i="39"/>
  <c r="M21" i="39" s="1"/>
  <c r="X20" i="39"/>
  <c r="S20" i="39"/>
  <c r="U20" i="39" s="1"/>
  <c r="J20" i="39"/>
  <c r="M20" i="39" s="1"/>
  <c r="X19" i="39"/>
  <c r="S19" i="39"/>
  <c r="U19" i="39" s="1"/>
  <c r="J19" i="39"/>
  <c r="M19" i="39" s="1"/>
  <c r="X18" i="39"/>
  <c r="S18" i="39"/>
  <c r="U18" i="39" s="1"/>
  <c r="J18" i="39"/>
  <c r="M18" i="39"/>
  <c r="X17" i="39"/>
  <c r="S17" i="39"/>
  <c r="U17" i="39"/>
  <c r="J17" i="39"/>
  <c r="M17" i="39" s="1"/>
  <c r="X16" i="39"/>
  <c r="S16" i="39"/>
  <c r="U16" i="39" s="1"/>
  <c r="J16" i="39"/>
  <c r="M16" i="39" s="1"/>
  <c r="X15" i="39"/>
  <c r="S15" i="39"/>
  <c r="U15" i="39"/>
  <c r="J15" i="39"/>
  <c r="M15" i="39" s="1"/>
  <c r="X14" i="39"/>
  <c r="S14" i="39"/>
  <c r="U14" i="39" s="1"/>
  <c r="J14" i="39"/>
  <c r="M14" i="39" s="1"/>
  <c r="X13" i="39"/>
  <c r="S13" i="39"/>
  <c r="U13" i="39"/>
  <c r="J13" i="39"/>
  <c r="M13" i="39" s="1"/>
  <c r="X12" i="39"/>
  <c r="S12" i="39"/>
  <c r="U12" i="39" s="1"/>
  <c r="J12" i="39"/>
  <c r="M12" i="39" s="1"/>
  <c r="X11" i="39"/>
  <c r="S11" i="39"/>
  <c r="U11" i="39"/>
  <c r="J11" i="39"/>
  <c r="M11" i="39" s="1"/>
  <c r="X10" i="39"/>
  <c r="S10" i="39"/>
  <c r="U10" i="39" s="1"/>
  <c r="J10" i="39"/>
  <c r="M10" i="39"/>
  <c r="X9" i="39"/>
  <c r="S9" i="39"/>
  <c r="U9" i="39"/>
  <c r="J9" i="39"/>
  <c r="M9" i="39" s="1"/>
  <c r="X8" i="39"/>
  <c r="S8" i="39"/>
  <c r="U8" i="39"/>
  <c r="J8" i="39"/>
  <c r="M8" i="39"/>
  <c r="X7" i="39"/>
  <c r="S7" i="39"/>
  <c r="U7" i="39" s="1"/>
  <c r="J7" i="39"/>
  <c r="M7" i="39"/>
  <c r="X6" i="39"/>
  <c r="S6" i="39"/>
  <c r="U6" i="39"/>
  <c r="J6" i="39"/>
  <c r="M6" i="39" s="1"/>
  <c r="X5" i="39"/>
  <c r="X107" i="39" s="1"/>
  <c r="J206" i="39" s="1"/>
  <c r="S5" i="39"/>
  <c r="U5" i="39" s="1"/>
  <c r="J5" i="39"/>
  <c r="K219" i="39"/>
  <c r="R9" i="16"/>
  <c r="T8" i="16"/>
  <c r="Q8" i="16"/>
  <c r="P8" i="16"/>
  <c r="O8" i="16"/>
  <c r="K220" i="38"/>
  <c r="K212" i="38"/>
  <c r="N8" i="16" s="1"/>
  <c r="K209" i="38"/>
  <c r="K219" i="38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/>
  <c r="J198" i="38"/>
  <c r="M198" i="38" s="1"/>
  <c r="J197" i="38"/>
  <c r="M197" i="38" s="1"/>
  <c r="J196" i="38"/>
  <c r="M196" i="38"/>
  <c r="J195" i="38"/>
  <c r="M195" i="38" s="1"/>
  <c r="J194" i="38"/>
  <c r="M194" i="38"/>
  <c r="J193" i="38"/>
  <c r="M193" i="38" s="1"/>
  <c r="J192" i="38"/>
  <c r="M192" i="38"/>
  <c r="J191" i="38"/>
  <c r="M191" i="38" s="1"/>
  <c r="J190" i="38"/>
  <c r="M190" i="38"/>
  <c r="J189" i="38"/>
  <c r="M189" i="38" s="1"/>
  <c r="J188" i="38"/>
  <c r="M188" i="38" s="1"/>
  <c r="J187" i="38"/>
  <c r="M187" i="38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/>
  <c r="J178" i="38"/>
  <c r="M178" i="38" s="1"/>
  <c r="J177" i="38"/>
  <c r="M177" i="38" s="1"/>
  <c r="J176" i="38"/>
  <c r="M176" i="38"/>
  <c r="J175" i="38"/>
  <c r="M175" i="38" s="1"/>
  <c r="J174" i="38"/>
  <c r="M174" i="38" s="1"/>
  <c r="J173" i="38"/>
  <c r="M173" i="38" s="1"/>
  <c r="J172" i="38"/>
  <c r="M172" i="38" s="1"/>
  <c r="J171" i="38"/>
  <c r="M171" i="38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/>
  <c r="J162" i="38"/>
  <c r="M162" i="38" s="1"/>
  <c r="J161" i="38"/>
  <c r="M161" i="38" s="1"/>
  <c r="J160" i="38"/>
  <c r="M160" i="38"/>
  <c r="J159" i="38"/>
  <c r="M159" i="38" s="1"/>
  <c r="J158" i="38"/>
  <c r="M158" i="38" s="1"/>
  <c r="J157" i="38"/>
  <c r="M157" i="38" s="1"/>
  <c r="J156" i="38"/>
  <c r="M156" i="38" s="1"/>
  <c r="J155" i="38"/>
  <c r="M155" i="38"/>
  <c r="J154" i="38"/>
  <c r="M154" i="38" s="1"/>
  <c r="J153" i="38"/>
  <c r="M153" i="38" s="1"/>
  <c r="J152" i="38"/>
  <c r="M152" i="38" s="1"/>
  <c r="J151" i="38"/>
  <c r="M151" i="38"/>
  <c r="J150" i="38"/>
  <c r="M150" i="38" s="1"/>
  <c r="J149" i="38"/>
  <c r="M149" i="38" s="1"/>
  <c r="J148" i="38"/>
  <c r="M148" i="38" s="1"/>
  <c r="J147" i="38"/>
  <c r="M147" i="38"/>
  <c r="J146" i="38"/>
  <c r="M146" i="38" s="1"/>
  <c r="J145" i="38"/>
  <c r="M145" i="38" s="1"/>
  <c r="J144" i="38"/>
  <c r="M144" i="38"/>
  <c r="J143" i="38"/>
  <c r="M143" i="38" s="1"/>
  <c r="J142" i="38"/>
  <c r="M142" i="38" s="1"/>
  <c r="J141" i="38"/>
  <c r="M141" i="38" s="1"/>
  <c r="J140" i="38"/>
  <c r="M140" i="38"/>
  <c r="J139" i="38"/>
  <c r="M139" i="38" s="1"/>
  <c r="J138" i="38"/>
  <c r="M138" i="38" s="1"/>
  <c r="J137" i="38"/>
  <c r="M137" i="38" s="1"/>
  <c r="J136" i="38"/>
  <c r="M136" i="38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/>
  <c r="J127" i="38"/>
  <c r="M127" i="38" s="1"/>
  <c r="J126" i="38"/>
  <c r="M126" i="38" s="1"/>
  <c r="J125" i="38"/>
  <c r="M125" i="38" s="1"/>
  <c r="J124" i="38"/>
  <c r="M124" i="38"/>
  <c r="J123" i="38"/>
  <c r="M123" i="38" s="1"/>
  <c r="J122" i="38"/>
  <c r="M122" i="38" s="1"/>
  <c r="J121" i="38"/>
  <c r="M121" i="38" s="1"/>
  <c r="J120" i="38"/>
  <c r="M120" i="38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/>
  <c r="J104" i="38"/>
  <c r="M104" i="38" s="1"/>
  <c r="X103" i="38"/>
  <c r="S103" i="38"/>
  <c r="U103" i="38"/>
  <c r="J103" i="38"/>
  <c r="M103" i="38" s="1"/>
  <c r="X102" i="38"/>
  <c r="S102" i="38"/>
  <c r="U102" i="38"/>
  <c r="J102" i="38"/>
  <c r="M102" i="38" s="1"/>
  <c r="X101" i="38"/>
  <c r="S101" i="38"/>
  <c r="U101" i="38"/>
  <c r="J101" i="38"/>
  <c r="M101" i="38" s="1"/>
  <c r="X100" i="38"/>
  <c r="S100" i="38"/>
  <c r="U100" i="38" s="1"/>
  <c r="J100" i="38"/>
  <c r="M100" i="38" s="1"/>
  <c r="X99" i="38"/>
  <c r="S99" i="38"/>
  <c r="U99" i="38"/>
  <c r="J99" i="38"/>
  <c r="M99" i="38" s="1"/>
  <c r="X98" i="38"/>
  <c r="S98" i="38"/>
  <c r="U98" i="38"/>
  <c r="J98" i="38"/>
  <c r="M98" i="38" s="1"/>
  <c r="X97" i="38"/>
  <c r="S97" i="38"/>
  <c r="U97" i="38"/>
  <c r="J97" i="38"/>
  <c r="M97" i="38"/>
  <c r="X96" i="38"/>
  <c r="S96" i="38"/>
  <c r="U96" i="38" s="1"/>
  <c r="J96" i="38"/>
  <c r="M96" i="38" s="1"/>
  <c r="X95" i="38"/>
  <c r="S95" i="38"/>
  <c r="U95" i="38" s="1"/>
  <c r="J95" i="38"/>
  <c r="M95" i="38" s="1"/>
  <c r="X94" i="38"/>
  <c r="S94" i="38"/>
  <c r="U94" i="38" s="1"/>
  <c r="J94" i="38"/>
  <c r="M94" i="38" s="1"/>
  <c r="X93" i="38"/>
  <c r="S93" i="38"/>
  <c r="U93" i="38" s="1"/>
  <c r="J93" i="38"/>
  <c r="M93" i="38" s="1"/>
  <c r="X92" i="38"/>
  <c r="S92" i="38"/>
  <c r="U92" i="38"/>
  <c r="J92" i="38"/>
  <c r="M92" i="38" s="1"/>
  <c r="X91" i="38"/>
  <c r="S91" i="38"/>
  <c r="U91" i="38"/>
  <c r="J91" i="38"/>
  <c r="M91" i="38"/>
  <c r="X90" i="38"/>
  <c r="S90" i="38"/>
  <c r="U90" i="38"/>
  <c r="J90" i="38"/>
  <c r="M90" i="38" s="1"/>
  <c r="X89" i="38"/>
  <c r="S89" i="38"/>
  <c r="U89" i="38" s="1"/>
  <c r="J89" i="38"/>
  <c r="M89" i="38" s="1"/>
  <c r="X88" i="38"/>
  <c r="S88" i="38"/>
  <c r="U88" i="38" s="1"/>
  <c r="J88" i="38"/>
  <c r="M88" i="38" s="1"/>
  <c r="X87" i="38"/>
  <c r="S87" i="38"/>
  <c r="U87" i="38"/>
  <c r="J87" i="38"/>
  <c r="M87" i="38" s="1"/>
  <c r="X86" i="38"/>
  <c r="S86" i="38"/>
  <c r="U86" i="38" s="1"/>
  <c r="J86" i="38"/>
  <c r="M86" i="38" s="1"/>
  <c r="X85" i="38"/>
  <c r="S85" i="38"/>
  <c r="U85" i="38"/>
  <c r="J85" i="38"/>
  <c r="M85" i="38"/>
  <c r="X84" i="38"/>
  <c r="S84" i="38"/>
  <c r="U84" i="38" s="1"/>
  <c r="J84" i="38"/>
  <c r="M84" i="38" s="1"/>
  <c r="X83" i="38"/>
  <c r="S83" i="38"/>
  <c r="U83" i="38" s="1"/>
  <c r="J83" i="38"/>
  <c r="M83" i="38"/>
  <c r="X82" i="38"/>
  <c r="S82" i="38"/>
  <c r="U82" i="38" s="1"/>
  <c r="J82" i="38"/>
  <c r="M82" i="38"/>
  <c r="X81" i="38"/>
  <c r="S81" i="38"/>
  <c r="U81" i="38"/>
  <c r="J81" i="38"/>
  <c r="M81" i="38" s="1"/>
  <c r="X80" i="38"/>
  <c r="S80" i="38"/>
  <c r="U80" i="38"/>
  <c r="J80" i="38"/>
  <c r="M80" i="38" s="1"/>
  <c r="X79" i="38"/>
  <c r="S79" i="38"/>
  <c r="U79" i="38" s="1"/>
  <c r="J79" i="38"/>
  <c r="M79" i="38" s="1"/>
  <c r="X78" i="38"/>
  <c r="S78" i="38"/>
  <c r="U78" i="38"/>
  <c r="J78" i="38"/>
  <c r="M78" i="38" s="1"/>
  <c r="X77" i="38"/>
  <c r="S77" i="38"/>
  <c r="U77" i="38" s="1"/>
  <c r="J77" i="38"/>
  <c r="M77" i="38" s="1"/>
  <c r="X76" i="38"/>
  <c r="S76" i="38"/>
  <c r="U76" i="38"/>
  <c r="J76" i="38"/>
  <c r="M76" i="38" s="1"/>
  <c r="X75" i="38"/>
  <c r="S75" i="38"/>
  <c r="U75" i="38" s="1"/>
  <c r="J75" i="38"/>
  <c r="M75" i="38"/>
  <c r="X74" i="38"/>
  <c r="S74" i="38"/>
  <c r="U74" i="38" s="1"/>
  <c r="J74" i="38"/>
  <c r="M74" i="38" s="1"/>
  <c r="X73" i="38"/>
  <c r="S73" i="38"/>
  <c r="U73" i="38" s="1"/>
  <c r="J73" i="38"/>
  <c r="M73" i="38" s="1"/>
  <c r="X72" i="38"/>
  <c r="S72" i="38"/>
  <c r="U72" i="38" s="1"/>
  <c r="J72" i="38"/>
  <c r="M72" i="38" s="1"/>
  <c r="X71" i="38"/>
  <c r="S71" i="38"/>
  <c r="U71" i="38" s="1"/>
  <c r="J71" i="38"/>
  <c r="M71" i="38" s="1"/>
  <c r="X70" i="38"/>
  <c r="S70" i="38"/>
  <c r="U70" i="38" s="1"/>
  <c r="J70" i="38"/>
  <c r="M70" i="38" s="1"/>
  <c r="X69" i="38"/>
  <c r="S69" i="38"/>
  <c r="U69" i="38" s="1"/>
  <c r="J69" i="38"/>
  <c r="M69" i="38" s="1"/>
  <c r="X68" i="38"/>
  <c r="S68" i="38"/>
  <c r="U68" i="38" s="1"/>
  <c r="J68" i="38"/>
  <c r="M68" i="38"/>
  <c r="X67" i="38"/>
  <c r="S67" i="38"/>
  <c r="U67" i="38"/>
  <c r="J67" i="38"/>
  <c r="M67" i="38"/>
  <c r="X66" i="38"/>
  <c r="S66" i="38"/>
  <c r="U66" i="38"/>
  <c r="J66" i="38"/>
  <c r="M66" i="38" s="1"/>
  <c r="X65" i="38"/>
  <c r="S65" i="38"/>
  <c r="U65" i="38"/>
  <c r="J65" i="38"/>
  <c r="M65" i="38"/>
  <c r="X64" i="38"/>
  <c r="S64" i="38"/>
  <c r="U64" i="38" s="1"/>
  <c r="J64" i="38"/>
  <c r="M64" i="38" s="1"/>
  <c r="X63" i="38"/>
  <c r="S63" i="38"/>
  <c r="U63" i="38" s="1"/>
  <c r="J63" i="38"/>
  <c r="M63" i="38" s="1"/>
  <c r="X62" i="38"/>
  <c r="S62" i="38"/>
  <c r="U62" i="38" s="1"/>
  <c r="J62" i="38"/>
  <c r="M62" i="38" s="1"/>
  <c r="X61" i="38"/>
  <c r="S61" i="38"/>
  <c r="U61" i="38" s="1"/>
  <c r="J61" i="38"/>
  <c r="M61" i="38" s="1"/>
  <c r="X60" i="38"/>
  <c r="S60" i="38"/>
  <c r="U60" i="38" s="1"/>
  <c r="J60" i="38"/>
  <c r="M60" i="38" s="1"/>
  <c r="X59" i="38"/>
  <c r="S59" i="38"/>
  <c r="U59" i="38"/>
  <c r="J59" i="38"/>
  <c r="M59" i="38"/>
  <c r="X58" i="38"/>
  <c r="S58" i="38"/>
  <c r="U58" i="38" s="1"/>
  <c r="J58" i="38"/>
  <c r="M58" i="38" s="1"/>
  <c r="X57" i="38"/>
  <c r="S57" i="38"/>
  <c r="U57" i="38" s="1"/>
  <c r="J57" i="38"/>
  <c r="M57" i="38"/>
  <c r="X56" i="38"/>
  <c r="S56" i="38"/>
  <c r="U56" i="38" s="1"/>
  <c r="J56" i="38"/>
  <c r="M56" i="38" s="1"/>
  <c r="X55" i="38"/>
  <c r="S55" i="38"/>
  <c r="U55" i="38" s="1"/>
  <c r="J55" i="38"/>
  <c r="M55" i="38" s="1"/>
  <c r="X54" i="38"/>
  <c r="S54" i="38"/>
  <c r="U54" i="38" s="1"/>
  <c r="J54" i="38"/>
  <c r="M54" i="38" s="1"/>
  <c r="X53" i="38"/>
  <c r="S53" i="38"/>
  <c r="U53" i="38" s="1"/>
  <c r="J53" i="38"/>
  <c r="M53" i="38" s="1"/>
  <c r="X52" i="38"/>
  <c r="S52" i="38"/>
  <c r="U52" i="38" s="1"/>
  <c r="J52" i="38"/>
  <c r="M52" i="38"/>
  <c r="X51" i="38"/>
  <c r="S51" i="38"/>
  <c r="U51" i="38" s="1"/>
  <c r="J51" i="38"/>
  <c r="M51" i="38"/>
  <c r="X50" i="38"/>
  <c r="S50" i="38"/>
  <c r="U50" i="38"/>
  <c r="J50" i="38"/>
  <c r="M50" i="38" s="1"/>
  <c r="X49" i="38"/>
  <c r="S49" i="38"/>
  <c r="U49" i="38"/>
  <c r="J49" i="38"/>
  <c r="M49" i="38" s="1"/>
  <c r="X48" i="38"/>
  <c r="S48" i="38"/>
  <c r="U48" i="38" s="1"/>
  <c r="J48" i="38"/>
  <c r="M48" i="38" s="1"/>
  <c r="X47" i="38"/>
  <c r="S47" i="38"/>
  <c r="U47" i="38"/>
  <c r="J47" i="38"/>
  <c r="M47" i="38" s="1"/>
  <c r="X46" i="38"/>
  <c r="S46" i="38"/>
  <c r="U46" i="38" s="1"/>
  <c r="J46" i="38"/>
  <c r="M46" i="38" s="1"/>
  <c r="X45" i="38"/>
  <c r="S45" i="38"/>
  <c r="U45" i="38"/>
  <c r="J45" i="38"/>
  <c r="M45" i="38" s="1"/>
  <c r="X44" i="38"/>
  <c r="S44" i="38"/>
  <c r="U44" i="38" s="1"/>
  <c r="J44" i="38"/>
  <c r="M44" i="38" s="1"/>
  <c r="X43" i="38"/>
  <c r="S43" i="38"/>
  <c r="U43" i="38"/>
  <c r="J43" i="38"/>
  <c r="M43" i="38" s="1"/>
  <c r="X42" i="38"/>
  <c r="S42" i="38"/>
  <c r="U42" i="38" s="1"/>
  <c r="J42" i="38"/>
  <c r="M42" i="38" s="1"/>
  <c r="X41" i="38"/>
  <c r="S41" i="38"/>
  <c r="U41" i="38"/>
  <c r="J41" i="38"/>
  <c r="M41" i="38" s="1"/>
  <c r="X40" i="38"/>
  <c r="S40" i="38"/>
  <c r="U40" i="38" s="1"/>
  <c r="J40" i="38"/>
  <c r="M40" i="38" s="1"/>
  <c r="X39" i="38"/>
  <c r="S39" i="38"/>
  <c r="U39" i="38"/>
  <c r="J39" i="38"/>
  <c r="M39" i="38" s="1"/>
  <c r="X38" i="38"/>
  <c r="S38" i="38"/>
  <c r="U38" i="38" s="1"/>
  <c r="J38" i="38"/>
  <c r="M38" i="38" s="1"/>
  <c r="X37" i="38"/>
  <c r="S37" i="38"/>
  <c r="U37" i="38"/>
  <c r="J37" i="38"/>
  <c r="M37" i="38" s="1"/>
  <c r="X36" i="38"/>
  <c r="S36" i="38"/>
  <c r="U36" i="38" s="1"/>
  <c r="J36" i="38"/>
  <c r="M36" i="38"/>
  <c r="X35" i="38"/>
  <c r="S35" i="38"/>
  <c r="U35" i="38" s="1"/>
  <c r="J35" i="38"/>
  <c r="M35" i="38" s="1"/>
  <c r="X34" i="38"/>
  <c r="S34" i="38"/>
  <c r="U34" i="38" s="1"/>
  <c r="J34" i="38"/>
  <c r="M34" i="38" s="1"/>
  <c r="X33" i="38"/>
  <c r="S33" i="38"/>
  <c r="U33" i="38" s="1"/>
  <c r="J33" i="38"/>
  <c r="M33" i="38" s="1"/>
  <c r="X32" i="38"/>
  <c r="S32" i="38"/>
  <c r="U32" i="38" s="1"/>
  <c r="J32" i="38"/>
  <c r="M32" i="38" s="1"/>
  <c r="X31" i="38"/>
  <c r="S31" i="38"/>
  <c r="U31" i="38" s="1"/>
  <c r="J31" i="38"/>
  <c r="M31" i="38" s="1"/>
  <c r="X30" i="38"/>
  <c r="S30" i="38"/>
  <c r="U30" i="38" s="1"/>
  <c r="J30" i="38"/>
  <c r="M30" i="38" s="1"/>
  <c r="X29" i="38"/>
  <c r="S29" i="38"/>
  <c r="U29" i="38" s="1"/>
  <c r="J29" i="38"/>
  <c r="M29" i="38" s="1"/>
  <c r="X28" i="38"/>
  <c r="S28" i="38"/>
  <c r="U28" i="38" s="1"/>
  <c r="J28" i="38"/>
  <c r="M28" i="38" s="1"/>
  <c r="X27" i="38"/>
  <c r="S27" i="38"/>
  <c r="U27" i="38"/>
  <c r="J27" i="38"/>
  <c r="M27" i="38" s="1"/>
  <c r="X26" i="38"/>
  <c r="S26" i="38"/>
  <c r="U26" i="38" s="1"/>
  <c r="J26" i="38"/>
  <c r="M26" i="38" s="1"/>
  <c r="X25" i="38"/>
  <c r="S25" i="38"/>
  <c r="U25" i="38"/>
  <c r="J25" i="38"/>
  <c r="M25" i="38" s="1"/>
  <c r="X24" i="38"/>
  <c r="S24" i="38"/>
  <c r="U24" i="38"/>
  <c r="J24" i="38"/>
  <c r="M24" i="38" s="1"/>
  <c r="X23" i="38"/>
  <c r="S23" i="38"/>
  <c r="U23" i="38"/>
  <c r="J23" i="38"/>
  <c r="M23" i="38" s="1"/>
  <c r="X22" i="38"/>
  <c r="S22" i="38"/>
  <c r="U22" i="38"/>
  <c r="J22" i="38"/>
  <c r="M22" i="38" s="1"/>
  <c r="X21" i="38"/>
  <c r="S21" i="38"/>
  <c r="U21" i="38"/>
  <c r="J21" i="38"/>
  <c r="M21" i="38" s="1"/>
  <c r="X20" i="38"/>
  <c r="S20" i="38"/>
  <c r="U20" i="38"/>
  <c r="J20" i="38"/>
  <c r="M20" i="38"/>
  <c r="X19" i="38"/>
  <c r="S19" i="38"/>
  <c r="U19" i="38" s="1"/>
  <c r="J19" i="38"/>
  <c r="M19" i="38" s="1"/>
  <c r="X18" i="38"/>
  <c r="S18" i="38"/>
  <c r="U18" i="38" s="1"/>
  <c r="J18" i="38"/>
  <c r="M18" i="38" s="1"/>
  <c r="X17" i="38"/>
  <c r="S17" i="38"/>
  <c r="U17" i="38" s="1"/>
  <c r="J17" i="38"/>
  <c r="M17" i="38" s="1"/>
  <c r="X16" i="38"/>
  <c r="S16" i="38"/>
  <c r="U16" i="38" s="1"/>
  <c r="J16" i="38"/>
  <c r="M16" i="38" s="1"/>
  <c r="X15" i="38"/>
  <c r="S15" i="38"/>
  <c r="U15" i="38" s="1"/>
  <c r="J15" i="38"/>
  <c r="M15" i="38" s="1"/>
  <c r="X14" i="38"/>
  <c r="S14" i="38"/>
  <c r="U14" i="38" s="1"/>
  <c r="J14" i="38"/>
  <c r="M14" i="38" s="1"/>
  <c r="X13" i="38"/>
  <c r="S13" i="38"/>
  <c r="U13" i="38" s="1"/>
  <c r="J13" i="38"/>
  <c r="M13" i="38" s="1"/>
  <c r="X12" i="38"/>
  <c r="S12" i="38"/>
  <c r="U12" i="38"/>
  <c r="J12" i="38"/>
  <c r="M12" i="38" s="1"/>
  <c r="X11" i="38"/>
  <c r="S11" i="38"/>
  <c r="U11" i="38"/>
  <c r="J11" i="38"/>
  <c r="M11" i="38"/>
  <c r="X10" i="38"/>
  <c r="S10" i="38"/>
  <c r="U10" i="38"/>
  <c r="J10" i="38"/>
  <c r="M10" i="38" s="1"/>
  <c r="X9" i="38"/>
  <c r="S9" i="38"/>
  <c r="U9" i="38" s="1"/>
  <c r="J9" i="38"/>
  <c r="M9" i="38" s="1"/>
  <c r="X8" i="38"/>
  <c r="S8" i="38"/>
  <c r="U8" i="38"/>
  <c r="J8" i="38"/>
  <c r="M8" i="38" s="1"/>
  <c r="X7" i="38"/>
  <c r="S7" i="38"/>
  <c r="U7" i="38" s="1"/>
  <c r="J7" i="38"/>
  <c r="M7" i="38" s="1"/>
  <c r="X6" i="38"/>
  <c r="S6" i="38"/>
  <c r="U6" i="38"/>
  <c r="J6" i="38"/>
  <c r="M6" i="38" s="1"/>
  <c r="X5" i="38"/>
  <c r="S5" i="38"/>
  <c r="U5" i="38" s="1"/>
  <c r="J5" i="38"/>
  <c r="M5" i="38" s="1"/>
  <c r="R8" i="16"/>
  <c r="T7" i="16"/>
  <c r="Q7" i="16"/>
  <c r="P7" i="16"/>
  <c r="O7" i="16"/>
  <c r="K220" i="37"/>
  <c r="K212" i="37"/>
  <c r="N7" i="16" s="1"/>
  <c r="K209" i="37"/>
  <c r="J204" i="37"/>
  <c r="M204" i="37" s="1"/>
  <c r="J203" i="37"/>
  <c r="J202" i="37"/>
  <c r="M202" i="37" s="1"/>
  <c r="J201" i="37"/>
  <c r="M201" i="37" s="1"/>
  <c r="J200" i="37"/>
  <c r="M200" i="37" s="1"/>
  <c r="J199" i="37"/>
  <c r="J198" i="37"/>
  <c r="M198" i="37" s="1"/>
  <c r="J197" i="37"/>
  <c r="M197" i="37"/>
  <c r="J196" i="37"/>
  <c r="M196" i="37"/>
  <c r="J195" i="37"/>
  <c r="J194" i="37"/>
  <c r="M194" i="37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/>
  <c r="J187" i="37"/>
  <c r="M187" i="37" s="1"/>
  <c r="J186" i="37"/>
  <c r="M186" i="37" s="1"/>
  <c r="J185" i="37"/>
  <c r="M185" i="37"/>
  <c r="J184" i="37"/>
  <c r="M184" i="37" s="1"/>
  <c r="J183" i="37"/>
  <c r="M183" i="37" s="1"/>
  <c r="J182" i="37"/>
  <c r="M182" i="37"/>
  <c r="J181" i="37"/>
  <c r="M181" i="37" s="1"/>
  <c r="J180" i="37"/>
  <c r="M180" i="37"/>
  <c r="J179" i="37"/>
  <c r="J178" i="37"/>
  <c r="M178" i="37" s="1"/>
  <c r="J177" i="37"/>
  <c r="M177" i="37" s="1"/>
  <c r="J176" i="37"/>
  <c r="M176" i="37"/>
  <c r="J175" i="37"/>
  <c r="M175" i="37" s="1"/>
  <c r="J174" i="37"/>
  <c r="M174" i="37"/>
  <c r="J173" i="37"/>
  <c r="M173" i="37"/>
  <c r="J172" i="37"/>
  <c r="M172" i="37" s="1"/>
  <c r="J171" i="37"/>
  <c r="J170" i="37"/>
  <c r="M170" i="37" s="1"/>
  <c r="J169" i="37"/>
  <c r="M169" i="37" s="1"/>
  <c r="J168" i="37"/>
  <c r="M168" i="37"/>
  <c r="J167" i="37"/>
  <c r="M167" i="37" s="1"/>
  <c r="J166" i="37"/>
  <c r="M166" i="37" s="1"/>
  <c r="J165" i="37"/>
  <c r="M165" i="37"/>
  <c r="J164" i="37"/>
  <c r="M164" i="37"/>
  <c r="J163" i="37"/>
  <c r="M163" i="37" s="1"/>
  <c r="J162" i="37"/>
  <c r="M162" i="37" s="1"/>
  <c r="J161" i="37"/>
  <c r="M161" i="37"/>
  <c r="J160" i="37"/>
  <c r="M160" i="37" s="1"/>
  <c r="J159" i="37"/>
  <c r="J158" i="37"/>
  <c r="M158" i="37" s="1"/>
  <c r="J157" i="37"/>
  <c r="M157" i="37" s="1"/>
  <c r="J156" i="37"/>
  <c r="M156" i="37"/>
  <c r="J155" i="37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J138" i="37"/>
  <c r="M138" i="37" s="1"/>
  <c r="J137" i="37"/>
  <c r="M137" i="37"/>
  <c r="J136" i="37"/>
  <c r="M136" i="37" s="1"/>
  <c r="J135" i="37"/>
  <c r="J134" i="37"/>
  <c r="M134" i="37" s="1"/>
  <c r="J133" i="37"/>
  <c r="M133" i="37"/>
  <c r="J132" i="37"/>
  <c r="M132" i="37" s="1"/>
  <c r="J131" i="37"/>
  <c r="M131" i="37" s="1"/>
  <c r="J130" i="37"/>
  <c r="M130" i="37" s="1"/>
  <c r="J129" i="37"/>
  <c r="M129" i="37"/>
  <c r="J128" i="37"/>
  <c r="M128" i="37" s="1"/>
  <c r="J127" i="37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J114" i="37"/>
  <c r="M114" i="37" s="1"/>
  <c r="J113" i="37"/>
  <c r="M113" i="37"/>
  <c r="J112" i="37"/>
  <c r="M112" i="37" s="1"/>
  <c r="J111" i="37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S104" i="37"/>
  <c r="U104" i="37" s="1"/>
  <c r="J104" i="37"/>
  <c r="M104" i="37" s="1"/>
  <c r="X103" i="37"/>
  <c r="S103" i="37"/>
  <c r="U103" i="37" s="1"/>
  <c r="J103" i="37"/>
  <c r="M103" i="37" s="1"/>
  <c r="X102" i="37"/>
  <c r="S102" i="37"/>
  <c r="U102" i="37" s="1"/>
  <c r="J102" i="37"/>
  <c r="M102" i="37" s="1"/>
  <c r="X101" i="37"/>
  <c r="S101" i="37"/>
  <c r="U101" i="37" s="1"/>
  <c r="J101" i="37"/>
  <c r="M101" i="37" s="1"/>
  <c r="X100" i="37"/>
  <c r="S100" i="37"/>
  <c r="U100" i="37" s="1"/>
  <c r="J100" i="37"/>
  <c r="M100" i="37" s="1"/>
  <c r="X99" i="37"/>
  <c r="S99" i="37"/>
  <c r="U99" i="37" s="1"/>
  <c r="J99" i="37"/>
  <c r="M99" i="37" s="1"/>
  <c r="X98" i="37"/>
  <c r="S98" i="37"/>
  <c r="U98" i="37" s="1"/>
  <c r="J98" i="37"/>
  <c r="M98" i="37" s="1"/>
  <c r="X97" i="37"/>
  <c r="S97" i="37"/>
  <c r="U97" i="37" s="1"/>
  <c r="J97" i="37"/>
  <c r="X96" i="37"/>
  <c r="S96" i="37"/>
  <c r="U96" i="37" s="1"/>
  <c r="J96" i="37"/>
  <c r="M96" i="37" s="1"/>
  <c r="X95" i="37"/>
  <c r="S95" i="37"/>
  <c r="U95" i="37" s="1"/>
  <c r="J95" i="37"/>
  <c r="M95" i="37"/>
  <c r="X94" i="37"/>
  <c r="S94" i="37"/>
  <c r="U94" i="37"/>
  <c r="J94" i="37"/>
  <c r="M94" i="37" s="1"/>
  <c r="X93" i="37"/>
  <c r="S93" i="37"/>
  <c r="U93" i="37"/>
  <c r="J93" i="37"/>
  <c r="X92" i="37"/>
  <c r="S92" i="37"/>
  <c r="U92" i="37" s="1"/>
  <c r="J92" i="37"/>
  <c r="M92" i="37" s="1"/>
  <c r="X91" i="37"/>
  <c r="S91" i="37"/>
  <c r="U91" i="37"/>
  <c r="J91" i="37"/>
  <c r="M91" i="37" s="1"/>
  <c r="X90" i="37"/>
  <c r="S90" i="37"/>
  <c r="U90" i="37" s="1"/>
  <c r="J90" i="37"/>
  <c r="X89" i="37"/>
  <c r="S89" i="37"/>
  <c r="U89" i="37"/>
  <c r="J89" i="37"/>
  <c r="M89" i="37" s="1"/>
  <c r="X88" i="37"/>
  <c r="S88" i="37"/>
  <c r="U88" i="37" s="1"/>
  <c r="J88" i="37"/>
  <c r="M88" i="37" s="1"/>
  <c r="X87" i="37"/>
  <c r="S87" i="37"/>
  <c r="U87" i="37"/>
  <c r="J87" i="37"/>
  <c r="M87" i="37" s="1"/>
  <c r="X86" i="37"/>
  <c r="S86" i="37"/>
  <c r="U86" i="37" s="1"/>
  <c r="J86" i="37"/>
  <c r="M86" i="37" s="1"/>
  <c r="X85" i="37"/>
  <c r="S85" i="37"/>
  <c r="U85" i="37" s="1"/>
  <c r="J85" i="37"/>
  <c r="X84" i="37"/>
  <c r="S84" i="37"/>
  <c r="U84" i="37" s="1"/>
  <c r="J84" i="37"/>
  <c r="M84" i="37" s="1"/>
  <c r="X83" i="37"/>
  <c r="S83" i="37"/>
  <c r="U83" i="37" s="1"/>
  <c r="J83" i="37"/>
  <c r="M83" i="37" s="1"/>
  <c r="X82" i="37"/>
  <c r="S82" i="37"/>
  <c r="U82" i="37" s="1"/>
  <c r="J82" i="37"/>
  <c r="M82" i="37" s="1"/>
  <c r="X81" i="37"/>
  <c r="S81" i="37"/>
  <c r="U81" i="37" s="1"/>
  <c r="J81" i="37"/>
  <c r="M81" i="37" s="1"/>
  <c r="X80" i="37"/>
  <c r="S80" i="37"/>
  <c r="U80" i="37" s="1"/>
  <c r="J80" i="37"/>
  <c r="M80" i="37" s="1"/>
  <c r="X79" i="37"/>
  <c r="S79" i="37"/>
  <c r="U79" i="37" s="1"/>
  <c r="J79" i="37"/>
  <c r="M79" i="37" s="1"/>
  <c r="X78" i="37"/>
  <c r="S78" i="37"/>
  <c r="U78" i="37" s="1"/>
  <c r="J78" i="37"/>
  <c r="M78" i="37" s="1"/>
  <c r="X77" i="37"/>
  <c r="S77" i="37"/>
  <c r="U77" i="37" s="1"/>
  <c r="J77" i="37"/>
  <c r="X76" i="37"/>
  <c r="S76" i="37"/>
  <c r="U76" i="37" s="1"/>
  <c r="J76" i="37"/>
  <c r="M76" i="37" s="1"/>
  <c r="X75" i="37"/>
  <c r="S75" i="37"/>
  <c r="U75" i="37" s="1"/>
  <c r="J75" i="37"/>
  <c r="M75" i="37" s="1"/>
  <c r="X74" i="37"/>
  <c r="S74" i="37"/>
  <c r="U74" i="37" s="1"/>
  <c r="J74" i="37"/>
  <c r="M74" i="37" s="1"/>
  <c r="X73" i="37"/>
  <c r="S73" i="37"/>
  <c r="U73" i="37" s="1"/>
  <c r="J73" i="37"/>
  <c r="M73" i="37" s="1"/>
  <c r="X72" i="37"/>
  <c r="S72" i="37"/>
  <c r="U72" i="37" s="1"/>
  <c r="J72" i="37"/>
  <c r="M72" i="37" s="1"/>
  <c r="X71" i="37"/>
  <c r="S71" i="37"/>
  <c r="U71" i="37" s="1"/>
  <c r="J71" i="37"/>
  <c r="M71" i="37" s="1"/>
  <c r="X70" i="37"/>
  <c r="S70" i="37"/>
  <c r="U70" i="37"/>
  <c r="J70" i="37"/>
  <c r="M70" i="37" s="1"/>
  <c r="X69" i="37"/>
  <c r="S69" i="37"/>
  <c r="U69" i="37"/>
  <c r="J69" i="37"/>
  <c r="X68" i="37"/>
  <c r="S68" i="37"/>
  <c r="U68" i="37"/>
  <c r="J68" i="37"/>
  <c r="M68" i="37" s="1"/>
  <c r="X67" i="37"/>
  <c r="S67" i="37"/>
  <c r="U67" i="37"/>
  <c r="J67" i="37"/>
  <c r="M67" i="37" s="1"/>
  <c r="X66" i="37"/>
  <c r="S66" i="37"/>
  <c r="U66" i="37"/>
  <c r="J66" i="37"/>
  <c r="M66" i="37" s="1"/>
  <c r="X65" i="37"/>
  <c r="S65" i="37"/>
  <c r="U65" i="37"/>
  <c r="J65" i="37"/>
  <c r="M65" i="37" s="1"/>
  <c r="X64" i="37"/>
  <c r="S64" i="37"/>
  <c r="U64" i="37"/>
  <c r="J64" i="37"/>
  <c r="M64" i="37" s="1"/>
  <c r="X63" i="37"/>
  <c r="S63" i="37"/>
  <c r="U63" i="37"/>
  <c r="J63" i="37"/>
  <c r="M63" i="37" s="1"/>
  <c r="X62" i="37"/>
  <c r="S62" i="37"/>
  <c r="U62" i="37"/>
  <c r="J62" i="37"/>
  <c r="M62" i="37"/>
  <c r="X61" i="37"/>
  <c r="S61" i="37"/>
  <c r="U61" i="37"/>
  <c r="J61" i="37"/>
  <c r="M61" i="37" s="1"/>
  <c r="X60" i="37"/>
  <c r="S60" i="37"/>
  <c r="U60" i="37" s="1"/>
  <c r="J60" i="37"/>
  <c r="M60" i="37" s="1"/>
  <c r="X59" i="37"/>
  <c r="S59" i="37"/>
  <c r="U59" i="37"/>
  <c r="J59" i="37"/>
  <c r="M59" i="37" s="1"/>
  <c r="X58" i="37"/>
  <c r="S58" i="37"/>
  <c r="U58" i="37" s="1"/>
  <c r="J58" i="37"/>
  <c r="X57" i="37"/>
  <c r="S57" i="37"/>
  <c r="U57" i="37"/>
  <c r="J57" i="37"/>
  <c r="M57" i="37" s="1"/>
  <c r="X56" i="37"/>
  <c r="S56" i="37"/>
  <c r="U56" i="37" s="1"/>
  <c r="J56" i="37"/>
  <c r="M56" i="37" s="1"/>
  <c r="X55" i="37"/>
  <c r="S55" i="37"/>
  <c r="U55" i="37"/>
  <c r="J55" i="37"/>
  <c r="M55" i="37"/>
  <c r="X54" i="37"/>
  <c r="S54" i="37"/>
  <c r="U54" i="37"/>
  <c r="J54" i="37"/>
  <c r="M54" i="37" s="1"/>
  <c r="X53" i="37"/>
  <c r="S53" i="37"/>
  <c r="U53" i="37"/>
  <c r="J53" i="37"/>
  <c r="X52" i="37"/>
  <c r="S52" i="37"/>
  <c r="U52" i="37"/>
  <c r="J52" i="37"/>
  <c r="M52" i="37"/>
  <c r="X51" i="37"/>
  <c r="S51" i="37"/>
  <c r="U51" i="37"/>
  <c r="J51" i="37"/>
  <c r="M51" i="37"/>
  <c r="X50" i="37"/>
  <c r="S50" i="37"/>
  <c r="U50" i="37"/>
  <c r="J50" i="37"/>
  <c r="X49" i="37"/>
  <c r="S49" i="37"/>
  <c r="U49" i="37" s="1"/>
  <c r="J49" i="37"/>
  <c r="X48" i="37"/>
  <c r="S48" i="37"/>
  <c r="U48" i="37"/>
  <c r="J48" i="37"/>
  <c r="M48" i="37" s="1"/>
  <c r="X47" i="37"/>
  <c r="S47" i="37"/>
  <c r="U47" i="37" s="1"/>
  <c r="J47" i="37"/>
  <c r="M47" i="37" s="1"/>
  <c r="X46" i="37"/>
  <c r="S46" i="37"/>
  <c r="U46" i="37"/>
  <c r="J46" i="37"/>
  <c r="M46" i="37" s="1"/>
  <c r="X45" i="37"/>
  <c r="S45" i="37"/>
  <c r="U45" i="37" s="1"/>
  <c r="J45" i="37"/>
  <c r="M45" i="37" s="1"/>
  <c r="X44" i="37"/>
  <c r="S44" i="37"/>
  <c r="U44" i="37"/>
  <c r="J44" i="37"/>
  <c r="M44" i="37" s="1"/>
  <c r="X43" i="37"/>
  <c r="S43" i="37"/>
  <c r="U43" i="37" s="1"/>
  <c r="J43" i="37"/>
  <c r="M43" i="37"/>
  <c r="X42" i="37"/>
  <c r="S42" i="37"/>
  <c r="U42" i="37" s="1"/>
  <c r="J42" i="37"/>
  <c r="M42" i="37" s="1"/>
  <c r="X41" i="37"/>
  <c r="S41" i="37"/>
  <c r="U41" i="37" s="1"/>
  <c r="J41" i="37"/>
  <c r="M41" i="37" s="1"/>
  <c r="X40" i="37"/>
  <c r="S40" i="37"/>
  <c r="U40" i="37" s="1"/>
  <c r="J40" i="37"/>
  <c r="M40" i="37" s="1"/>
  <c r="X39" i="37"/>
  <c r="S39" i="37"/>
  <c r="U39" i="37"/>
  <c r="J39" i="37"/>
  <c r="M39" i="37" s="1"/>
  <c r="X38" i="37"/>
  <c r="S38" i="37"/>
  <c r="U38" i="37"/>
  <c r="J38" i="37"/>
  <c r="M38" i="37" s="1"/>
  <c r="X37" i="37"/>
  <c r="S37" i="37"/>
  <c r="U37" i="37"/>
  <c r="J37" i="37"/>
  <c r="M37" i="37" s="1"/>
  <c r="X36" i="37"/>
  <c r="S36" i="37"/>
  <c r="U36" i="37"/>
  <c r="J36" i="37"/>
  <c r="M36" i="37" s="1"/>
  <c r="X35" i="37"/>
  <c r="S35" i="37"/>
  <c r="U35" i="37" s="1"/>
  <c r="J35" i="37"/>
  <c r="M35" i="37" s="1"/>
  <c r="X34" i="37"/>
  <c r="S34" i="37"/>
  <c r="U34" i="37"/>
  <c r="J34" i="37"/>
  <c r="X33" i="37"/>
  <c r="S33" i="37"/>
  <c r="U33" i="37" s="1"/>
  <c r="J33" i="37"/>
  <c r="M33" i="37" s="1"/>
  <c r="X32" i="37"/>
  <c r="S32" i="37"/>
  <c r="U32" i="37"/>
  <c r="J32" i="37"/>
  <c r="M32" i="37" s="1"/>
  <c r="X31" i="37"/>
  <c r="S31" i="37"/>
  <c r="U31" i="37" s="1"/>
  <c r="J31" i="37"/>
  <c r="M31" i="37" s="1"/>
  <c r="X30" i="37"/>
  <c r="S30" i="37"/>
  <c r="U30" i="37" s="1"/>
  <c r="J30" i="37"/>
  <c r="M30" i="37"/>
  <c r="X29" i="37"/>
  <c r="S29" i="37"/>
  <c r="U29" i="37" s="1"/>
  <c r="J29" i="37"/>
  <c r="M29" i="37" s="1"/>
  <c r="X28" i="37"/>
  <c r="S28" i="37"/>
  <c r="U28" i="37" s="1"/>
  <c r="J28" i="37"/>
  <c r="M28" i="37" s="1"/>
  <c r="X27" i="37"/>
  <c r="S27" i="37"/>
  <c r="U27" i="37"/>
  <c r="J27" i="37"/>
  <c r="M27" i="37"/>
  <c r="X26" i="37"/>
  <c r="S26" i="37"/>
  <c r="U26" i="37" s="1"/>
  <c r="J26" i="37"/>
  <c r="X25" i="37"/>
  <c r="S25" i="37"/>
  <c r="U25" i="37"/>
  <c r="J25" i="37"/>
  <c r="X24" i="37"/>
  <c r="S24" i="37"/>
  <c r="U24" i="37" s="1"/>
  <c r="J24" i="37"/>
  <c r="M24" i="37" s="1"/>
  <c r="X23" i="37"/>
  <c r="S23" i="37"/>
  <c r="U23" i="37" s="1"/>
  <c r="J23" i="37"/>
  <c r="M23" i="37" s="1"/>
  <c r="X22" i="37"/>
  <c r="S22" i="37"/>
  <c r="U22" i="37"/>
  <c r="J22" i="37"/>
  <c r="M22" i="37"/>
  <c r="X21" i="37"/>
  <c r="S21" i="37"/>
  <c r="U21" i="37"/>
  <c r="J21" i="37"/>
  <c r="M21" i="37" s="1"/>
  <c r="X20" i="37"/>
  <c r="S20" i="37"/>
  <c r="U20" i="37" s="1"/>
  <c r="J20" i="37"/>
  <c r="M20" i="37"/>
  <c r="X19" i="37"/>
  <c r="S19" i="37"/>
  <c r="U19" i="37"/>
  <c r="J19" i="37"/>
  <c r="M19" i="37" s="1"/>
  <c r="X18" i="37"/>
  <c r="S18" i="37"/>
  <c r="U18" i="37"/>
  <c r="J18" i="37"/>
  <c r="M18" i="37" s="1"/>
  <c r="X17" i="37"/>
  <c r="S17" i="37"/>
  <c r="U17" i="37"/>
  <c r="J17" i="37"/>
  <c r="M17" i="37" s="1"/>
  <c r="X16" i="37"/>
  <c r="S16" i="37"/>
  <c r="U16" i="37"/>
  <c r="J16" i="37"/>
  <c r="M16" i="37" s="1"/>
  <c r="X15" i="37"/>
  <c r="S15" i="37"/>
  <c r="U15" i="37"/>
  <c r="J15" i="37"/>
  <c r="M15" i="37" s="1"/>
  <c r="X14" i="37"/>
  <c r="S14" i="37"/>
  <c r="U14" i="37" s="1"/>
  <c r="J14" i="37"/>
  <c r="M14" i="37"/>
  <c r="X13" i="37"/>
  <c r="S13" i="37"/>
  <c r="U13" i="37" s="1"/>
  <c r="J13" i="37"/>
  <c r="M13" i="37" s="1"/>
  <c r="X12" i="37"/>
  <c r="S12" i="37"/>
  <c r="U12" i="37" s="1"/>
  <c r="J12" i="37"/>
  <c r="M12" i="37" s="1"/>
  <c r="X11" i="37"/>
  <c r="S11" i="37"/>
  <c r="U11" i="37" s="1"/>
  <c r="J11" i="37"/>
  <c r="M11" i="37"/>
  <c r="X10" i="37"/>
  <c r="S10" i="37"/>
  <c r="U10" i="37" s="1"/>
  <c r="J10" i="37"/>
  <c r="M10" i="37" s="1"/>
  <c r="X9" i="37"/>
  <c r="S9" i="37"/>
  <c r="U9" i="37"/>
  <c r="J9" i="37"/>
  <c r="M9" i="37" s="1"/>
  <c r="X8" i="37"/>
  <c r="X107" i="37" s="1"/>
  <c r="J206" i="37" s="1"/>
  <c r="S8" i="37"/>
  <c r="U8" i="37" s="1"/>
  <c r="J8" i="37"/>
  <c r="M8" i="37" s="1"/>
  <c r="X7" i="37"/>
  <c r="S7" i="37"/>
  <c r="U7" i="37"/>
  <c r="J7" i="37"/>
  <c r="M7" i="37"/>
  <c r="X6" i="37"/>
  <c r="S6" i="37"/>
  <c r="U6" i="37" s="1"/>
  <c r="J6" i="37"/>
  <c r="M6" i="37" s="1"/>
  <c r="X5" i="37"/>
  <c r="S5" i="37"/>
  <c r="U5" i="37"/>
  <c r="J5" i="37"/>
  <c r="K220" i="34"/>
  <c r="K220" i="36"/>
  <c r="T6" i="16"/>
  <c r="Q6" i="16"/>
  <c r="P6" i="16"/>
  <c r="O6" i="16"/>
  <c r="J6" i="36"/>
  <c r="M6" i="36" s="1"/>
  <c r="J7" i="36"/>
  <c r="M7" i="36"/>
  <c r="J8" i="36"/>
  <c r="M8" i="36" s="1"/>
  <c r="J9" i="36"/>
  <c r="M9" i="36" s="1"/>
  <c r="J10" i="36"/>
  <c r="M10" i="36"/>
  <c r="J11" i="36"/>
  <c r="M11" i="36" s="1"/>
  <c r="J12" i="36"/>
  <c r="M12" i="36" s="1"/>
  <c r="J13" i="36"/>
  <c r="M13" i="36" s="1"/>
  <c r="J14" i="36"/>
  <c r="J15" i="36"/>
  <c r="J16" i="36"/>
  <c r="J17" i="36"/>
  <c r="M17" i="36" s="1"/>
  <c r="J18" i="36"/>
  <c r="M18" i="36" s="1"/>
  <c r="J19" i="36"/>
  <c r="M19" i="36" s="1"/>
  <c r="J20" i="36"/>
  <c r="M20" i="36" s="1"/>
  <c r="J21" i="36"/>
  <c r="M21" i="36" s="1"/>
  <c r="J22" i="36"/>
  <c r="M22" i="36" s="1"/>
  <c r="J23" i="36"/>
  <c r="M23" i="36" s="1"/>
  <c r="J24" i="36"/>
  <c r="M24" i="36" s="1"/>
  <c r="J25" i="36"/>
  <c r="M25" i="36" s="1"/>
  <c r="J26" i="36"/>
  <c r="M26" i="36" s="1"/>
  <c r="J27" i="36"/>
  <c r="M27" i="36" s="1"/>
  <c r="J28" i="36"/>
  <c r="M28" i="36"/>
  <c r="J29" i="36"/>
  <c r="M29" i="36" s="1"/>
  <c r="J30" i="36"/>
  <c r="J31" i="36"/>
  <c r="M31" i="36" s="1"/>
  <c r="J32" i="36"/>
  <c r="M32" i="36" s="1"/>
  <c r="J33" i="36"/>
  <c r="M33" i="36" s="1"/>
  <c r="J34" i="36"/>
  <c r="M34" i="36" s="1"/>
  <c r="J35" i="36"/>
  <c r="M35" i="36" s="1"/>
  <c r="J36" i="36"/>
  <c r="M36" i="36" s="1"/>
  <c r="J37" i="36"/>
  <c r="M37" i="36" s="1"/>
  <c r="J38" i="36"/>
  <c r="J39" i="36"/>
  <c r="M39" i="36" s="1"/>
  <c r="J40" i="36"/>
  <c r="M40" i="36" s="1"/>
  <c r="J41" i="36"/>
  <c r="M41" i="36" s="1"/>
  <c r="J42" i="36"/>
  <c r="J43" i="36"/>
  <c r="M43" i="36" s="1"/>
  <c r="J44" i="36"/>
  <c r="M44" i="36" s="1"/>
  <c r="J45" i="36"/>
  <c r="M45" i="36" s="1"/>
  <c r="J46" i="36"/>
  <c r="J47" i="36"/>
  <c r="M47" i="36"/>
  <c r="J48" i="36"/>
  <c r="M48" i="36" s="1"/>
  <c r="J49" i="36"/>
  <c r="M49" i="36" s="1"/>
  <c r="J50" i="36"/>
  <c r="M50" i="36" s="1"/>
  <c r="J51" i="36"/>
  <c r="M51" i="36" s="1"/>
  <c r="J52" i="36"/>
  <c r="M52" i="36" s="1"/>
  <c r="J53" i="36"/>
  <c r="M53" i="36" s="1"/>
  <c r="J54" i="36"/>
  <c r="M54" i="36" s="1"/>
  <c r="J55" i="36"/>
  <c r="M55" i="36" s="1"/>
  <c r="J56" i="36"/>
  <c r="J57" i="36"/>
  <c r="M57" i="36" s="1"/>
  <c r="J58" i="36"/>
  <c r="M58" i="36" s="1"/>
  <c r="J59" i="36"/>
  <c r="M59" i="36" s="1"/>
  <c r="J60" i="36"/>
  <c r="M60" i="36"/>
  <c r="J61" i="36"/>
  <c r="M61" i="36" s="1"/>
  <c r="J62" i="36"/>
  <c r="M62" i="36" s="1"/>
  <c r="J63" i="36"/>
  <c r="M63" i="36"/>
  <c r="J64" i="36"/>
  <c r="M64" i="36" s="1"/>
  <c r="J65" i="36"/>
  <c r="M65" i="36"/>
  <c r="J66" i="36"/>
  <c r="M66" i="36" s="1"/>
  <c r="J67" i="36"/>
  <c r="M67" i="36" s="1"/>
  <c r="J68" i="36"/>
  <c r="M68" i="36" s="1"/>
  <c r="J69" i="36"/>
  <c r="M69" i="36"/>
  <c r="J70" i="36"/>
  <c r="M70" i="36" s="1"/>
  <c r="J71" i="36"/>
  <c r="M71" i="36" s="1"/>
  <c r="J72" i="36"/>
  <c r="M72" i="36" s="1"/>
  <c r="J73" i="36"/>
  <c r="M73" i="36" s="1"/>
  <c r="J74" i="36"/>
  <c r="M74" i="36" s="1"/>
  <c r="J75" i="36"/>
  <c r="M75" i="36" s="1"/>
  <c r="J76" i="36"/>
  <c r="M76" i="36"/>
  <c r="J77" i="36"/>
  <c r="M77" i="36" s="1"/>
  <c r="J78" i="36"/>
  <c r="M78" i="36" s="1"/>
  <c r="J79" i="36"/>
  <c r="M79" i="36" s="1"/>
  <c r="J80" i="36"/>
  <c r="M80" i="36"/>
  <c r="J81" i="36"/>
  <c r="M81" i="36"/>
  <c r="J82" i="36"/>
  <c r="M82" i="36" s="1"/>
  <c r="J83" i="36"/>
  <c r="M83" i="36" s="1"/>
  <c r="J84" i="36"/>
  <c r="M84" i="36" s="1"/>
  <c r="J85" i="36"/>
  <c r="M85" i="36" s="1"/>
  <c r="J86" i="36"/>
  <c r="M86" i="36" s="1"/>
  <c r="J87" i="36"/>
  <c r="M87" i="36" s="1"/>
  <c r="J88" i="36"/>
  <c r="J89" i="36"/>
  <c r="M89" i="36" s="1"/>
  <c r="J90" i="36"/>
  <c r="M90" i="36" s="1"/>
  <c r="J91" i="36"/>
  <c r="M91" i="36"/>
  <c r="J92" i="36"/>
  <c r="M92" i="36" s="1"/>
  <c r="J93" i="36"/>
  <c r="M93" i="36" s="1"/>
  <c r="J94" i="36"/>
  <c r="M94" i="36" s="1"/>
  <c r="J95" i="36"/>
  <c r="M95" i="36"/>
  <c r="J96" i="36"/>
  <c r="M96" i="36" s="1"/>
  <c r="J97" i="36"/>
  <c r="M97" i="36" s="1"/>
  <c r="J98" i="36"/>
  <c r="M98" i="36" s="1"/>
  <c r="J99" i="36"/>
  <c r="M99" i="36" s="1"/>
  <c r="J100" i="36"/>
  <c r="M100" i="36" s="1"/>
  <c r="J101" i="36"/>
  <c r="M101" i="36" s="1"/>
  <c r="J102" i="36"/>
  <c r="M102" i="36"/>
  <c r="J103" i="36"/>
  <c r="M103" i="36" s="1"/>
  <c r="J104" i="36"/>
  <c r="M104" i="36" s="1"/>
  <c r="J105" i="36"/>
  <c r="M105" i="36" s="1"/>
  <c r="J106" i="36"/>
  <c r="M106" i="36" s="1"/>
  <c r="J107" i="36"/>
  <c r="M107" i="36"/>
  <c r="J108" i="36"/>
  <c r="M108" i="36" s="1"/>
  <c r="J109" i="36"/>
  <c r="M109" i="36" s="1"/>
  <c r="J110" i="36"/>
  <c r="M110" i="36" s="1"/>
  <c r="J111" i="36"/>
  <c r="M111" i="36"/>
  <c r="J112" i="36"/>
  <c r="M112" i="36" s="1"/>
  <c r="J113" i="36"/>
  <c r="M113" i="36" s="1"/>
  <c r="J114" i="36"/>
  <c r="M114" i="36" s="1"/>
  <c r="J115" i="36"/>
  <c r="M115" i="36" s="1"/>
  <c r="J116" i="36"/>
  <c r="M116" i="36" s="1"/>
  <c r="J117" i="36"/>
  <c r="M117" i="36" s="1"/>
  <c r="J118" i="36"/>
  <c r="M118" i="36" s="1"/>
  <c r="J119" i="36"/>
  <c r="M119" i="36" s="1"/>
  <c r="J120" i="36"/>
  <c r="J121" i="36"/>
  <c r="M121" i="36" s="1"/>
  <c r="J122" i="36"/>
  <c r="M122" i="36" s="1"/>
  <c r="J123" i="36"/>
  <c r="M123" i="36" s="1"/>
  <c r="J124" i="36"/>
  <c r="M124" i="36"/>
  <c r="J125" i="36"/>
  <c r="M125" i="36" s="1"/>
  <c r="J126" i="36"/>
  <c r="M126" i="36" s="1"/>
  <c r="J127" i="36"/>
  <c r="M127" i="36" s="1"/>
  <c r="J128" i="36"/>
  <c r="M128" i="36" s="1"/>
  <c r="J129" i="36"/>
  <c r="M129" i="36" s="1"/>
  <c r="J130" i="36"/>
  <c r="M130" i="36" s="1"/>
  <c r="J131" i="36"/>
  <c r="M131" i="36" s="1"/>
  <c r="J132" i="36"/>
  <c r="M132" i="36" s="1"/>
  <c r="J133" i="36"/>
  <c r="M133" i="36" s="1"/>
  <c r="J134" i="36"/>
  <c r="M134" i="36" s="1"/>
  <c r="J135" i="36"/>
  <c r="M135" i="36" s="1"/>
  <c r="J136" i="36"/>
  <c r="M136" i="36" s="1"/>
  <c r="J137" i="36"/>
  <c r="M137" i="36"/>
  <c r="J138" i="36"/>
  <c r="M138" i="36" s="1"/>
  <c r="J139" i="36"/>
  <c r="M139" i="36" s="1"/>
  <c r="J140" i="36"/>
  <c r="M140" i="36" s="1"/>
  <c r="J141" i="36"/>
  <c r="M141" i="36" s="1"/>
  <c r="J142" i="36"/>
  <c r="M142" i="36" s="1"/>
  <c r="J143" i="36"/>
  <c r="M143" i="36" s="1"/>
  <c r="J144" i="36"/>
  <c r="M144" i="36" s="1"/>
  <c r="J145" i="36"/>
  <c r="M145" i="36" s="1"/>
  <c r="J146" i="36"/>
  <c r="M146" i="36" s="1"/>
  <c r="J147" i="36"/>
  <c r="M147" i="36" s="1"/>
  <c r="J148" i="36"/>
  <c r="M148" i="36" s="1"/>
  <c r="J149" i="36"/>
  <c r="M149" i="36" s="1"/>
  <c r="J150" i="36"/>
  <c r="M150" i="36" s="1"/>
  <c r="J151" i="36"/>
  <c r="M151" i="36" s="1"/>
  <c r="J152" i="36"/>
  <c r="M152" i="36" s="1"/>
  <c r="J153" i="36"/>
  <c r="M153" i="36" s="1"/>
  <c r="J154" i="36"/>
  <c r="M154" i="36" s="1"/>
  <c r="J155" i="36"/>
  <c r="M155" i="36" s="1"/>
  <c r="J156" i="36"/>
  <c r="M156" i="36" s="1"/>
  <c r="J157" i="36"/>
  <c r="M157" i="36"/>
  <c r="J158" i="36"/>
  <c r="M158" i="36" s="1"/>
  <c r="J159" i="36"/>
  <c r="M159" i="36" s="1"/>
  <c r="J160" i="36"/>
  <c r="M160" i="36"/>
  <c r="J161" i="36"/>
  <c r="M161" i="36" s="1"/>
  <c r="J162" i="36"/>
  <c r="M162" i="36" s="1"/>
  <c r="J163" i="36"/>
  <c r="M163" i="36" s="1"/>
  <c r="J164" i="36"/>
  <c r="M164" i="36"/>
  <c r="J165" i="36"/>
  <c r="M165" i="36"/>
  <c r="J166" i="36"/>
  <c r="M166" i="36" s="1"/>
  <c r="J167" i="36"/>
  <c r="M167" i="36" s="1"/>
  <c r="J168" i="36"/>
  <c r="M168" i="36"/>
  <c r="J169" i="36"/>
  <c r="M169" i="36" s="1"/>
  <c r="J170" i="36"/>
  <c r="M170" i="36" s="1"/>
  <c r="J171" i="36"/>
  <c r="M171" i="36" s="1"/>
  <c r="J172" i="36"/>
  <c r="M172" i="36" s="1"/>
  <c r="J173" i="36"/>
  <c r="M173" i="36"/>
  <c r="J174" i="36"/>
  <c r="M174" i="36" s="1"/>
  <c r="J175" i="36"/>
  <c r="J176" i="36"/>
  <c r="M176" i="36" s="1"/>
  <c r="J177" i="36"/>
  <c r="M177" i="36" s="1"/>
  <c r="J178" i="36"/>
  <c r="M178" i="36" s="1"/>
  <c r="J179" i="36"/>
  <c r="M179" i="36" s="1"/>
  <c r="J180" i="36"/>
  <c r="M180" i="36" s="1"/>
  <c r="J181" i="36"/>
  <c r="M181" i="36" s="1"/>
  <c r="J182" i="36"/>
  <c r="M182" i="36"/>
  <c r="J183" i="36"/>
  <c r="M183" i="36" s="1"/>
  <c r="J184" i="36"/>
  <c r="M184" i="36" s="1"/>
  <c r="J185" i="36"/>
  <c r="M185" i="36" s="1"/>
  <c r="J186" i="36"/>
  <c r="M186" i="36" s="1"/>
  <c r="J187" i="36"/>
  <c r="M187" i="36"/>
  <c r="J188" i="36"/>
  <c r="M188" i="36" s="1"/>
  <c r="J189" i="36"/>
  <c r="M189" i="36" s="1"/>
  <c r="J190" i="36"/>
  <c r="M190" i="36"/>
  <c r="J191" i="36"/>
  <c r="J192" i="36"/>
  <c r="M192" i="36"/>
  <c r="J193" i="36"/>
  <c r="M193" i="36" s="1"/>
  <c r="J194" i="36"/>
  <c r="M194" i="36" s="1"/>
  <c r="J195" i="36"/>
  <c r="M195" i="36" s="1"/>
  <c r="J196" i="36"/>
  <c r="M196" i="36"/>
  <c r="J197" i="36"/>
  <c r="M197" i="36" s="1"/>
  <c r="J198" i="36"/>
  <c r="M198" i="36" s="1"/>
  <c r="J199" i="36"/>
  <c r="M199" i="36" s="1"/>
  <c r="J200" i="36"/>
  <c r="M200" i="36" s="1"/>
  <c r="J201" i="36"/>
  <c r="M201" i="36" s="1"/>
  <c r="J202" i="36"/>
  <c r="M202" i="36"/>
  <c r="J203" i="36"/>
  <c r="M203" i="36" s="1"/>
  <c r="J204" i="36"/>
  <c r="M204" i="36"/>
  <c r="K212" i="36"/>
  <c r="N6" i="16" s="1"/>
  <c r="K209" i="36"/>
  <c r="K219" i="36" s="1"/>
  <c r="Z105" i="36"/>
  <c r="X104" i="36"/>
  <c r="S104" i="36"/>
  <c r="U104" i="36" s="1"/>
  <c r="X103" i="36"/>
  <c r="S103" i="36"/>
  <c r="U103" i="36" s="1"/>
  <c r="X102" i="36"/>
  <c r="S102" i="36"/>
  <c r="U102" i="36"/>
  <c r="X101" i="36"/>
  <c r="S101" i="36"/>
  <c r="U101" i="36" s="1"/>
  <c r="X100" i="36"/>
  <c r="S100" i="36"/>
  <c r="U100" i="36" s="1"/>
  <c r="X99" i="36"/>
  <c r="S99" i="36"/>
  <c r="U99" i="36"/>
  <c r="X98" i="36"/>
  <c r="S98" i="36"/>
  <c r="U98" i="36" s="1"/>
  <c r="X97" i="36"/>
  <c r="S97" i="36"/>
  <c r="U97" i="36"/>
  <c r="X96" i="36"/>
  <c r="S96" i="36"/>
  <c r="U96" i="36"/>
  <c r="X95" i="36"/>
  <c r="S95" i="36"/>
  <c r="U95" i="36" s="1"/>
  <c r="X94" i="36"/>
  <c r="S94" i="36"/>
  <c r="U94" i="36"/>
  <c r="X93" i="36"/>
  <c r="S93" i="36"/>
  <c r="U93" i="36"/>
  <c r="X92" i="36"/>
  <c r="S92" i="36"/>
  <c r="U92" i="36" s="1"/>
  <c r="X91" i="36"/>
  <c r="S91" i="36"/>
  <c r="U91" i="36"/>
  <c r="X90" i="36"/>
  <c r="S90" i="36"/>
  <c r="U90" i="36"/>
  <c r="X89" i="36"/>
  <c r="S89" i="36"/>
  <c r="U89" i="36"/>
  <c r="X88" i="36"/>
  <c r="S88" i="36"/>
  <c r="U88" i="36" s="1"/>
  <c r="X87" i="36"/>
  <c r="S87" i="36"/>
  <c r="U87" i="36" s="1"/>
  <c r="X86" i="36"/>
  <c r="S86" i="36"/>
  <c r="U86" i="36"/>
  <c r="X85" i="36"/>
  <c r="S85" i="36"/>
  <c r="U85" i="36" s="1"/>
  <c r="X84" i="36"/>
  <c r="S84" i="36"/>
  <c r="U84" i="36" s="1"/>
  <c r="X83" i="36"/>
  <c r="S83" i="36"/>
  <c r="U83" i="36" s="1"/>
  <c r="X82" i="36"/>
  <c r="S82" i="36"/>
  <c r="U82" i="36" s="1"/>
  <c r="X81" i="36"/>
  <c r="S81" i="36"/>
  <c r="U81" i="36"/>
  <c r="X80" i="36"/>
  <c r="S80" i="36"/>
  <c r="U80" i="36"/>
  <c r="X79" i="36"/>
  <c r="S79" i="36"/>
  <c r="U79" i="36" s="1"/>
  <c r="X78" i="36"/>
  <c r="S78" i="36"/>
  <c r="U78" i="36"/>
  <c r="X77" i="36"/>
  <c r="S77" i="36"/>
  <c r="U77" i="36"/>
  <c r="X76" i="36"/>
  <c r="S76" i="36"/>
  <c r="U76" i="36" s="1"/>
  <c r="X75" i="36"/>
  <c r="S75" i="36"/>
  <c r="U75" i="36"/>
  <c r="X74" i="36"/>
  <c r="S74" i="36"/>
  <c r="U74" i="36"/>
  <c r="X73" i="36"/>
  <c r="S73" i="36"/>
  <c r="U73" i="36"/>
  <c r="X72" i="36"/>
  <c r="S72" i="36"/>
  <c r="U72" i="36" s="1"/>
  <c r="X71" i="36"/>
  <c r="S71" i="36"/>
  <c r="U71" i="36" s="1"/>
  <c r="X70" i="36"/>
  <c r="S70" i="36"/>
  <c r="U70" i="36"/>
  <c r="X69" i="36"/>
  <c r="S69" i="36"/>
  <c r="U69" i="36" s="1"/>
  <c r="X68" i="36"/>
  <c r="S68" i="36"/>
  <c r="U68" i="36" s="1"/>
  <c r="X67" i="36"/>
  <c r="S67" i="36"/>
  <c r="U67" i="36" s="1"/>
  <c r="X66" i="36"/>
  <c r="S66" i="36"/>
  <c r="U66" i="36" s="1"/>
  <c r="X65" i="36"/>
  <c r="S65" i="36"/>
  <c r="U65" i="36"/>
  <c r="X64" i="36"/>
  <c r="S64" i="36"/>
  <c r="U64" i="36"/>
  <c r="X63" i="36"/>
  <c r="S63" i="36"/>
  <c r="U63" i="36" s="1"/>
  <c r="X62" i="36"/>
  <c r="S62" i="36"/>
  <c r="U62" i="36"/>
  <c r="X61" i="36"/>
  <c r="S61" i="36"/>
  <c r="U61" i="36"/>
  <c r="X60" i="36"/>
  <c r="S60" i="36"/>
  <c r="U60" i="36" s="1"/>
  <c r="X59" i="36"/>
  <c r="S59" i="36"/>
  <c r="U59" i="36"/>
  <c r="X58" i="36"/>
  <c r="S58" i="36"/>
  <c r="U58" i="36"/>
  <c r="X57" i="36"/>
  <c r="S57" i="36"/>
  <c r="U57" i="36"/>
  <c r="X56" i="36"/>
  <c r="S56" i="36"/>
  <c r="U56" i="36" s="1"/>
  <c r="X55" i="36"/>
  <c r="S55" i="36"/>
  <c r="U55" i="36" s="1"/>
  <c r="X54" i="36"/>
  <c r="S54" i="36"/>
  <c r="U54" i="36"/>
  <c r="X53" i="36"/>
  <c r="S53" i="36"/>
  <c r="U53" i="36" s="1"/>
  <c r="X52" i="36"/>
  <c r="S52" i="36"/>
  <c r="U52" i="36" s="1"/>
  <c r="X51" i="36"/>
  <c r="S51" i="36"/>
  <c r="U51" i="36" s="1"/>
  <c r="X50" i="36"/>
  <c r="S50" i="36"/>
  <c r="U50" i="36" s="1"/>
  <c r="X49" i="36"/>
  <c r="S49" i="36"/>
  <c r="U49" i="36"/>
  <c r="X48" i="36"/>
  <c r="S48" i="36"/>
  <c r="U48" i="36"/>
  <c r="X47" i="36"/>
  <c r="S47" i="36"/>
  <c r="U47" i="36" s="1"/>
  <c r="X46" i="36"/>
  <c r="S46" i="36"/>
  <c r="U46" i="36" s="1"/>
  <c r="X45" i="36"/>
  <c r="S45" i="36"/>
  <c r="U45" i="36"/>
  <c r="X44" i="36"/>
  <c r="S44" i="36"/>
  <c r="U44" i="36" s="1"/>
  <c r="X43" i="36"/>
  <c r="S43" i="36"/>
  <c r="U43" i="36" s="1"/>
  <c r="X42" i="36"/>
  <c r="S42" i="36"/>
  <c r="U42" i="36"/>
  <c r="X41" i="36"/>
  <c r="S41" i="36"/>
  <c r="U41" i="36"/>
  <c r="X40" i="36"/>
  <c r="S40" i="36"/>
  <c r="U40" i="36" s="1"/>
  <c r="X39" i="36"/>
  <c r="S39" i="36"/>
  <c r="U39" i="36" s="1"/>
  <c r="X38" i="36"/>
  <c r="S38" i="36"/>
  <c r="U38" i="36"/>
  <c r="X37" i="36"/>
  <c r="S37" i="36"/>
  <c r="U37" i="36"/>
  <c r="X36" i="36"/>
  <c r="S36" i="36"/>
  <c r="U36" i="36" s="1"/>
  <c r="X35" i="36"/>
  <c r="S35" i="36"/>
  <c r="U35" i="36"/>
  <c r="X34" i="36"/>
  <c r="S34" i="36"/>
  <c r="U34" i="36"/>
  <c r="X33" i="36"/>
  <c r="S33" i="36"/>
  <c r="U33" i="36"/>
  <c r="X32" i="36"/>
  <c r="S32" i="36"/>
  <c r="U32" i="36" s="1"/>
  <c r="X31" i="36"/>
  <c r="S31" i="36"/>
  <c r="U31" i="36"/>
  <c r="X30" i="36"/>
  <c r="S30" i="36"/>
  <c r="U30" i="36"/>
  <c r="X29" i="36"/>
  <c r="S29" i="36"/>
  <c r="U29" i="36" s="1"/>
  <c r="X28" i="36"/>
  <c r="S28" i="36"/>
  <c r="U28" i="36" s="1"/>
  <c r="X27" i="36"/>
  <c r="S27" i="36"/>
  <c r="U27" i="36"/>
  <c r="X26" i="36"/>
  <c r="S26" i="36"/>
  <c r="U26" i="36" s="1"/>
  <c r="X25" i="36"/>
  <c r="S25" i="36"/>
  <c r="U25" i="36" s="1"/>
  <c r="X24" i="36"/>
  <c r="S24" i="36"/>
  <c r="U24" i="36"/>
  <c r="X23" i="36"/>
  <c r="S23" i="36"/>
  <c r="U23" i="36"/>
  <c r="X22" i="36"/>
  <c r="S22" i="36"/>
  <c r="U22" i="36" s="1"/>
  <c r="X21" i="36"/>
  <c r="S21" i="36"/>
  <c r="U21" i="36" s="1"/>
  <c r="X20" i="36"/>
  <c r="S20" i="36"/>
  <c r="U20" i="36"/>
  <c r="X19" i="36"/>
  <c r="S19" i="36"/>
  <c r="U19" i="36"/>
  <c r="X18" i="36"/>
  <c r="S18" i="36"/>
  <c r="U18" i="36" s="1"/>
  <c r="X17" i="36"/>
  <c r="S17" i="36"/>
  <c r="U17" i="36" s="1"/>
  <c r="X16" i="36"/>
  <c r="S16" i="36"/>
  <c r="U16" i="36"/>
  <c r="X15" i="36"/>
  <c r="S15" i="36"/>
  <c r="U15" i="36"/>
  <c r="M15" i="36"/>
  <c r="X14" i="36"/>
  <c r="S14" i="36"/>
  <c r="U14" i="36"/>
  <c r="X13" i="36"/>
  <c r="S13" i="36"/>
  <c r="U13" i="36" s="1"/>
  <c r="X12" i="36"/>
  <c r="S12" i="36"/>
  <c r="U12" i="36" s="1"/>
  <c r="X11" i="36"/>
  <c r="S11" i="36"/>
  <c r="U11" i="36"/>
  <c r="X10" i="36"/>
  <c r="S10" i="36"/>
  <c r="U10" i="36"/>
  <c r="X9" i="36"/>
  <c r="S9" i="36"/>
  <c r="U9" i="36" s="1"/>
  <c r="X8" i="36"/>
  <c r="S8" i="36"/>
  <c r="U8" i="36" s="1"/>
  <c r="X7" i="36"/>
  <c r="S7" i="36"/>
  <c r="U7" i="36"/>
  <c r="X6" i="36"/>
  <c r="S6" i="36"/>
  <c r="U6" i="36"/>
  <c r="X5" i="36"/>
  <c r="X107" i="36" s="1"/>
  <c r="J206" i="36" s="1"/>
  <c r="S5" i="36"/>
  <c r="U5" i="36" s="1"/>
  <c r="J5" i="36"/>
  <c r="M5" i="36" s="1"/>
  <c r="K219" i="37"/>
  <c r="R7" i="16"/>
  <c r="M5" i="37"/>
  <c r="M191" i="36"/>
  <c r="M88" i="36"/>
  <c r="M120" i="36"/>
  <c r="M16" i="36"/>
  <c r="M56" i="36"/>
  <c r="M175" i="36"/>
  <c r="M46" i="36"/>
  <c r="M38" i="36"/>
  <c r="M30" i="36"/>
  <c r="M14" i="36"/>
  <c r="M42" i="36"/>
  <c r="T5" i="16"/>
  <c r="S6" i="34"/>
  <c r="S7" i="34"/>
  <c r="S8" i="34"/>
  <c r="S9" i="34"/>
  <c r="S10" i="34"/>
  <c r="U10" i="34" s="1"/>
  <c r="S11" i="34"/>
  <c r="U11" i="34" s="1"/>
  <c r="S12" i="34"/>
  <c r="U12" i="34" s="1"/>
  <c r="S13" i="34"/>
  <c r="S14" i="34"/>
  <c r="S15" i="34"/>
  <c r="S16" i="34"/>
  <c r="S17" i="34"/>
  <c r="S18" i="34"/>
  <c r="U18" i="34" s="1"/>
  <c r="S19" i="34"/>
  <c r="U19" i="34" s="1"/>
  <c r="S20" i="34"/>
  <c r="U20" i="34" s="1"/>
  <c r="S21" i="34"/>
  <c r="S22" i="34"/>
  <c r="S23" i="34"/>
  <c r="S24" i="34"/>
  <c r="S25" i="34"/>
  <c r="S26" i="34"/>
  <c r="U26" i="34" s="1"/>
  <c r="S27" i="34"/>
  <c r="U27" i="34" s="1"/>
  <c r="S28" i="34"/>
  <c r="U28" i="34" s="1"/>
  <c r="S29" i="34"/>
  <c r="S30" i="34"/>
  <c r="S31" i="34"/>
  <c r="S32" i="34"/>
  <c r="S33" i="34"/>
  <c r="S34" i="34"/>
  <c r="U34" i="34" s="1"/>
  <c r="S35" i="34"/>
  <c r="U35" i="34" s="1"/>
  <c r="S36" i="34"/>
  <c r="U36" i="34" s="1"/>
  <c r="S37" i="34"/>
  <c r="S38" i="34"/>
  <c r="S39" i="34"/>
  <c r="S40" i="34"/>
  <c r="S41" i="34"/>
  <c r="S42" i="34"/>
  <c r="U42" i="34" s="1"/>
  <c r="S43" i="34"/>
  <c r="U43" i="34" s="1"/>
  <c r="S44" i="34"/>
  <c r="U44" i="34" s="1"/>
  <c r="S45" i="34"/>
  <c r="S46" i="34"/>
  <c r="S47" i="34"/>
  <c r="S48" i="34"/>
  <c r="S49" i="34"/>
  <c r="S50" i="34"/>
  <c r="U50" i="34" s="1"/>
  <c r="S51" i="34"/>
  <c r="U51" i="34" s="1"/>
  <c r="S52" i="34"/>
  <c r="U52" i="34" s="1"/>
  <c r="S53" i="34"/>
  <c r="S54" i="34"/>
  <c r="S55" i="34"/>
  <c r="S56" i="34"/>
  <c r="S57" i="34"/>
  <c r="S58" i="34"/>
  <c r="U58" i="34" s="1"/>
  <c r="S59" i="34"/>
  <c r="U59" i="34" s="1"/>
  <c r="S60" i="34"/>
  <c r="U60" i="34" s="1"/>
  <c r="S61" i="34"/>
  <c r="S62" i="34"/>
  <c r="S63" i="34"/>
  <c r="S64" i="34"/>
  <c r="S65" i="34"/>
  <c r="S66" i="34"/>
  <c r="U66" i="34" s="1"/>
  <c r="S67" i="34"/>
  <c r="U67" i="34" s="1"/>
  <c r="S68" i="34"/>
  <c r="U68" i="34" s="1"/>
  <c r="S69" i="34"/>
  <c r="S70" i="34"/>
  <c r="S71" i="34"/>
  <c r="S72" i="34"/>
  <c r="S73" i="34"/>
  <c r="S74" i="34"/>
  <c r="U74" i="34" s="1"/>
  <c r="S75" i="34"/>
  <c r="U75" i="34" s="1"/>
  <c r="S76" i="34"/>
  <c r="U76" i="34" s="1"/>
  <c r="S77" i="34"/>
  <c r="S78" i="34"/>
  <c r="S79" i="34"/>
  <c r="S80" i="34"/>
  <c r="S81" i="34"/>
  <c r="S82" i="34"/>
  <c r="U82" i="34" s="1"/>
  <c r="S83" i="34"/>
  <c r="U83" i="34" s="1"/>
  <c r="S84" i="34"/>
  <c r="U84" i="34" s="1"/>
  <c r="S85" i="34"/>
  <c r="S86" i="34"/>
  <c r="S87" i="34"/>
  <c r="S88" i="34"/>
  <c r="S89" i="34"/>
  <c r="S90" i="34"/>
  <c r="U90" i="34" s="1"/>
  <c r="S91" i="34"/>
  <c r="U91" i="34" s="1"/>
  <c r="S92" i="34"/>
  <c r="U92" i="34" s="1"/>
  <c r="S93" i="34"/>
  <c r="S94" i="34"/>
  <c r="S95" i="34"/>
  <c r="S96" i="34"/>
  <c r="S97" i="34"/>
  <c r="S98" i="34"/>
  <c r="U98" i="34" s="1"/>
  <c r="S99" i="34"/>
  <c r="U99" i="34" s="1"/>
  <c r="S100" i="34"/>
  <c r="U100" i="34" s="1"/>
  <c r="S101" i="34"/>
  <c r="S102" i="34"/>
  <c r="S103" i="34"/>
  <c r="S104" i="34"/>
  <c r="S5" i="34"/>
  <c r="U5" i="34" s="1"/>
  <c r="Q5" i="16"/>
  <c r="Q36" i="16" s="1"/>
  <c r="F230" i="16" s="1"/>
  <c r="P5" i="16"/>
  <c r="P36" i="16" s="1"/>
  <c r="F228" i="16" s="1"/>
  <c r="O5" i="16"/>
  <c r="O36" i="16" s="1"/>
  <c r="J229" i="16" s="1"/>
  <c r="C205" i="16"/>
  <c r="C206" i="16"/>
  <c r="C207" i="16"/>
  <c r="C208" i="16"/>
  <c r="C209" i="16"/>
  <c r="C210" i="16"/>
  <c r="C211" i="16"/>
  <c r="E211" i="16" s="1"/>
  <c r="G211" i="16" s="1"/>
  <c r="C212" i="16"/>
  <c r="E212" i="16" s="1"/>
  <c r="G212" i="16" s="1"/>
  <c r="C213" i="16"/>
  <c r="C214" i="16"/>
  <c r="C215" i="16"/>
  <c r="C216" i="16"/>
  <c r="C217" i="16"/>
  <c r="E217" i="16" s="1"/>
  <c r="G217" i="16" s="1"/>
  <c r="C218" i="16"/>
  <c r="C219" i="16"/>
  <c r="E219" i="16" s="1"/>
  <c r="G219" i="16" s="1"/>
  <c r="C220" i="16"/>
  <c r="E220" i="16" s="1"/>
  <c r="G220" i="16" s="1"/>
  <c r="C221" i="16"/>
  <c r="C222" i="16"/>
  <c r="C223" i="16"/>
  <c r="C204" i="34"/>
  <c r="C204" i="16" s="1"/>
  <c r="C201" i="34"/>
  <c r="C201" i="16" s="1"/>
  <c r="C199" i="34"/>
  <c r="C196" i="34"/>
  <c r="C196" i="16" s="1"/>
  <c r="C195" i="34"/>
  <c r="C195" i="16" s="1"/>
  <c r="E195" i="16" s="1"/>
  <c r="G195" i="16" s="1"/>
  <c r="C193" i="34"/>
  <c r="C191" i="34"/>
  <c r="C191" i="16" s="1"/>
  <c r="E191" i="16" s="1"/>
  <c r="G191" i="16" s="1"/>
  <c r="C188" i="34"/>
  <c r="C188" i="16" s="1"/>
  <c r="C187" i="34"/>
  <c r="C187" i="16" s="1"/>
  <c r="E187" i="16" s="1"/>
  <c r="G187" i="16" s="1"/>
  <c r="C185" i="34"/>
  <c r="C183" i="34"/>
  <c r="C183" i="16" s="1"/>
  <c r="C180" i="34"/>
  <c r="C180" i="16" s="1"/>
  <c r="C179" i="34"/>
  <c r="C179" i="16" s="1"/>
  <c r="E179" i="16" s="1"/>
  <c r="G179" i="16" s="1"/>
  <c r="C175" i="34"/>
  <c r="C175" i="16" s="1"/>
  <c r="C172" i="34"/>
  <c r="C172" i="16" s="1"/>
  <c r="C171" i="34"/>
  <c r="C171" i="16" s="1"/>
  <c r="C167" i="34"/>
  <c r="C165" i="34"/>
  <c r="C164" i="34"/>
  <c r="C164" i="16" s="1"/>
  <c r="C163" i="34"/>
  <c r="C163" i="16" s="1"/>
  <c r="E163" i="16" s="1"/>
  <c r="G163" i="16" s="1"/>
  <c r="C155" i="34"/>
  <c r="C155" i="16" s="1"/>
  <c r="E155" i="16" s="1"/>
  <c r="G155" i="16" s="1"/>
  <c r="C148" i="34"/>
  <c r="E148" i="34" s="1"/>
  <c r="G148" i="34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7" i="34"/>
  <c r="C147" i="16" s="1"/>
  <c r="C143" i="34"/>
  <c r="C143" i="16" s="1"/>
  <c r="C139" i="34"/>
  <c r="C139" i="16" s="1"/>
  <c r="E139" i="16" s="1"/>
  <c r="G139" i="16" s="1"/>
  <c r="C138" i="34"/>
  <c r="C138" i="16" s="1"/>
  <c r="E138" i="16" s="1"/>
  <c r="C135" i="34"/>
  <c r="C135" i="16" s="1"/>
  <c r="E135" i="16" s="1"/>
  <c r="G135" i="16" s="1"/>
  <c r="C132" i="34"/>
  <c r="C132" i="16" s="1"/>
  <c r="C131" i="34"/>
  <c r="C131" i="16" s="1"/>
  <c r="E131" i="16" s="1"/>
  <c r="G131" i="16" s="1"/>
  <c r="C128" i="34"/>
  <c r="C123" i="34"/>
  <c r="C123" i="16" s="1"/>
  <c r="C122" i="34"/>
  <c r="C120" i="34"/>
  <c r="C120" i="16" s="1"/>
  <c r="E120" i="16" s="1"/>
  <c r="C119" i="34"/>
  <c r="C119" i="16" s="1"/>
  <c r="E119" i="16" s="1"/>
  <c r="G119" i="16" s="1"/>
  <c r="C116" i="34"/>
  <c r="C116" i="16" s="1"/>
  <c r="C111" i="34"/>
  <c r="C111" i="16" s="1"/>
  <c r="E111" i="16" s="1"/>
  <c r="G111" i="16" s="1"/>
  <c r="C105" i="34"/>
  <c r="C105" i="16" s="1"/>
  <c r="E105" i="16" s="1"/>
  <c r="G105" i="16" s="1"/>
  <c r="C103" i="34"/>
  <c r="C103" i="16" s="1"/>
  <c r="C102" i="34"/>
  <c r="C99" i="34"/>
  <c r="C98" i="34"/>
  <c r="C95" i="34"/>
  <c r="C94" i="34"/>
  <c r="C94" i="16" s="1"/>
  <c r="C92" i="34"/>
  <c r="E92" i="34" s="1"/>
  <c r="G92" i="34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C91" i="34"/>
  <c r="C91" i="16" s="1"/>
  <c r="E91" i="16" s="1"/>
  <c r="G91" i="16" s="1"/>
  <c r="C90" i="34"/>
  <c r="C90" i="16" s="1"/>
  <c r="E90" i="16" s="1"/>
  <c r="C87" i="34"/>
  <c r="C86" i="34"/>
  <c r="C86" i="16" s="1"/>
  <c r="C84" i="34"/>
  <c r="C84" i="16" s="1"/>
  <c r="C83" i="34"/>
  <c r="C82" i="34"/>
  <c r="C79" i="34"/>
  <c r="C78" i="34"/>
  <c r="C76" i="34"/>
  <c r="C76" i="16" s="1"/>
  <c r="C75" i="34"/>
  <c r="C75" i="16" s="1"/>
  <c r="E75" i="16" s="1"/>
  <c r="G75" i="16" s="1"/>
  <c r="C74" i="34"/>
  <c r="C74" i="16" s="1"/>
  <c r="E74" i="16" s="1"/>
  <c r="C71" i="34"/>
  <c r="C71" i="16" s="1"/>
  <c r="E71" i="16" s="1"/>
  <c r="G71" i="16" s="1"/>
  <c r="C70" i="34"/>
  <c r="C70" i="16" s="1"/>
  <c r="C69" i="34"/>
  <c r="C69" i="16" s="1"/>
  <c r="E69" i="16" s="1"/>
  <c r="C68" i="34"/>
  <c r="C68" i="16" s="1"/>
  <c r="C67" i="34"/>
  <c r="C66" i="34"/>
  <c r="C66" i="16" s="1"/>
  <c r="E66" i="16" s="1"/>
  <c r="C64" i="34"/>
  <c r="C63" i="34"/>
  <c r="C61" i="34"/>
  <c r="C60" i="34"/>
  <c r="J6" i="34"/>
  <c r="M6" i="34" s="1"/>
  <c r="J7" i="34"/>
  <c r="J8" i="34"/>
  <c r="J9" i="34"/>
  <c r="J10" i="34"/>
  <c r="J11" i="34"/>
  <c r="J12" i="34"/>
  <c r="J13" i="34"/>
  <c r="J14" i="34"/>
  <c r="J15" i="34"/>
  <c r="J16" i="34"/>
  <c r="M16" i="34" s="1"/>
  <c r="J17" i="34"/>
  <c r="J18" i="34"/>
  <c r="J19" i="34"/>
  <c r="J20" i="34"/>
  <c r="M20" i="34" s="1"/>
  <c r="J21" i="34"/>
  <c r="J22" i="34"/>
  <c r="J23" i="34"/>
  <c r="M23" i="34" s="1"/>
  <c r="J24" i="34"/>
  <c r="M24" i="34" s="1"/>
  <c r="J25" i="34"/>
  <c r="J26" i="34"/>
  <c r="J27" i="34"/>
  <c r="J28" i="34"/>
  <c r="M28" i="34" s="1"/>
  <c r="J29" i="34"/>
  <c r="J30" i="34"/>
  <c r="J31" i="34"/>
  <c r="M31" i="34" s="1"/>
  <c r="J32" i="34"/>
  <c r="M32" i="34" s="1"/>
  <c r="J33" i="34"/>
  <c r="J34" i="34"/>
  <c r="J35" i="34"/>
  <c r="J36" i="34"/>
  <c r="M36" i="34" s="1"/>
  <c r="J37" i="34"/>
  <c r="J38" i="34"/>
  <c r="J39" i="34"/>
  <c r="M39" i="34" s="1"/>
  <c r="J40" i="34"/>
  <c r="M40" i="34" s="1"/>
  <c r="J41" i="34"/>
  <c r="J42" i="34"/>
  <c r="J43" i="34"/>
  <c r="J44" i="34"/>
  <c r="J45" i="34"/>
  <c r="M45" i="34" s="1"/>
  <c r="J46" i="34"/>
  <c r="J47" i="34"/>
  <c r="M47" i="34" s="1"/>
  <c r="J48" i="34"/>
  <c r="M48" i="34" s="1"/>
  <c r="J49" i="34"/>
  <c r="J50" i="34"/>
  <c r="J51" i="34"/>
  <c r="J52" i="34"/>
  <c r="M52" i="34" s="1"/>
  <c r="J53" i="34"/>
  <c r="J54" i="34"/>
  <c r="M54" i="34" s="1"/>
  <c r="J55" i="34"/>
  <c r="M55" i="34" s="1"/>
  <c r="J56" i="34"/>
  <c r="J57" i="34"/>
  <c r="J58" i="34"/>
  <c r="J59" i="34"/>
  <c r="J60" i="34"/>
  <c r="J61" i="34"/>
  <c r="M61" i="34" s="1"/>
  <c r="J62" i="34"/>
  <c r="M62" i="34" s="1"/>
  <c r="J63" i="34"/>
  <c r="M63" i="34" s="1"/>
  <c r="J64" i="34"/>
  <c r="J65" i="34"/>
  <c r="J66" i="34"/>
  <c r="J67" i="34"/>
  <c r="J68" i="34"/>
  <c r="J69" i="34"/>
  <c r="J70" i="34"/>
  <c r="M70" i="34" s="1"/>
  <c r="J71" i="34"/>
  <c r="J72" i="34"/>
  <c r="M72" i="34" s="1"/>
  <c r="J73" i="34"/>
  <c r="J74" i="34"/>
  <c r="J75" i="34"/>
  <c r="J76" i="34"/>
  <c r="J77" i="34"/>
  <c r="M77" i="34" s="1"/>
  <c r="J78" i="34"/>
  <c r="J79" i="34"/>
  <c r="J80" i="34"/>
  <c r="J81" i="34"/>
  <c r="M81" i="34" s="1"/>
  <c r="J82" i="34"/>
  <c r="J83" i="34"/>
  <c r="J84" i="34"/>
  <c r="M84" i="34" s="1"/>
  <c r="J85" i="34"/>
  <c r="M85" i="34" s="1"/>
  <c r="J86" i="34"/>
  <c r="J87" i="34"/>
  <c r="M87" i="34" s="1"/>
  <c r="J88" i="34"/>
  <c r="M88" i="34" s="1"/>
  <c r="J89" i="34"/>
  <c r="J90" i="34"/>
  <c r="J91" i="34"/>
  <c r="J92" i="34"/>
  <c r="M92" i="34" s="1"/>
  <c r="J93" i="34"/>
  <c r="J94" i="34"/>
  <c r="J95" i="34"/>
  <c r="M95" i="34" s="1"/>
  <c r="J95" i="16"/>
  <c r="J96" i="34"/>
  <c r="M96" i="34" s="1"/>
  <c r="J97" i="34"/>
  <c r="J98" i="34"/>
  <c r="J99" i="34"/>
  <c r="M99" i="34" s="1"/>
  <c r="J100" i="34"/>
  <c r="M100" i="34" s="1"/>
  <c r="J101" i="34"/>
  <c r="M101" i="34" s="1"/>
  <c r="J102" i="34"/>
  <c r="M102" i="34" s="1"/>
  <c r="J103" i="34"/>
  <c r="M103" i="34" s="1"/>
  <c r="J104" i="34"/>
  <c r="J105" i="34"/>
  <c r="J106" i="34"/>
  <c r="J107" i="34"/>
  <c r="M107" i="34" s="1"/>
  <c r="J108" i="34"/>
  <c r="J109" i="34"/>
  <c r="J110" i="34"/>
  <c r="M110" i="34" s="1"/>
  <c r="J111" i="34"/>
  <c r="M111" i="34" s="1"/>
  <c r="J112" i="34"/>
  <c r="M112" i="34" s="1"/>
  <c r="J113" i="34"/>
  <c r="J114" i="34"/>
  <c r="J115" i="34"/>
  <c r="J116" i="34"/>
  <c r="M116" i="34" s="1"/>
  <c r="J117" i="34"/>
  <c r="M117" i="34" s="1"/>
  <c r="J118" i="34"/>
  <c r="M118" i="34" s="1"/>
  <c r="J119" i="34"/>
  <c r="M119" i="34" s="1"/>
  <c r="J120" i="34"/>
  <c r="J121" i="34"/>
  <c r="J122" i="34"/>
  <c r="J123" i="34"/>
  <c r="M123" i="34" s="1"/>
  <c r="J124" i="34"/>
  <c r="M124" i="34" s="1"/>
  <c r="J125" i="34"/>
  <c r="J126" i="34"/>
  <c r="M126" i="34" s="1"/>
  <c r="J127" i="34"/>
  <c r="M127" i="34" s="1"/>
  <c r="J128" i="34"/>
  <c r="J129" i="34"/>
  <c r="J130" i="34"/>
  <c r="J131" i="34"/>
  <c r="J132" i="34"/>
  <c r="J133" i="34"/>
  <c r="J134" i="34"/>
  <c r="M134" i="34" s="1"/>
  <c r="J135" i="34"/>
  <c r="J136" i="34"/>
  <c r="J137" i="34"/>
  <c r="J138" i="34"/>
  <c r="J139" i="34"/>
  <c r="M139" i="34" s="1"/>
  <c r="J140" i="34"/>
  <c r="J141" i="34"/>
  <c r="J142" i="34"/>
  <c r="J143" i="34"/>
  <c r="M143" i="34" s="1"/>
  <c r="J144" i="34"/>
  <c r="J145" i="34"/>
  <c r="J146" i="34"/>
  <c r="J147" i="34"/>
  <c r="M147" i="34" s="1"/>
  <c r="J148" i="34"/>
  <c r="M148" i="34" s="1"/>
  <c r="J149" i="34"/>
  <c r="J150" i="34"/>
  <c r="J151" i="34"/>
  <c r="M151" i="34" s="1"/>
  <c r="J152" i="34"/>
  <c r="J153" i="34"/>
  <c r="J154" i="34"/>
  <c r="J155" i="34"/>
  <c r="J156" i="34"/>
  <c r="M156" i="34" s="1"/>
  <c r="J157" i="34"/>
  <c r="J158" i="34"/>
  <c r="M158" i="34" s="1"/>
  <c r="J159" i="34"/>
  <c r="M159" i="34" s="1"/>
  <c r="J160" i="34"/>
  <c r="M160" i="34" s="1"/>
  <c r="J161" i="34"/>
  <c r="J162" i="34"/>
  <c r="J163" i="34"/>
  <c r="J164" i="34"/>
  <c r="M164" i="34" s="1"/>
  <c r="J165" i="34"/>
  <c r="J166" i="34"/>
  <c r="M166" i="34" s="1"/>
  <c r="J167" i="34"/>
  <c r="M167" i="34" s="1"/>
  <c r="J168" i="34"/>
  <c r="J169" i="34"/>
  <c r="M169" i="34" s="1"/>
  <c r="J170" i="34"/>
  <c r="J171" i="34"/>
  <c r="M171" i="34" s="1"/>
  <c r="J172" i="34"/>
  <c r="J173" i="34"/>
  <c r="M173" i="34" s="1"/>
  <c r="J174" i="34"/>
  <c r="M174" i="34" s="1"/>
  <c r="J175" i="34"/>
  <c r="M175" i="34" s="1"/>
  <c r="J176" i="34"/>
  <c r="J176" i="16" s="1"/>
  <c r="J177" i="34"/>
  <c r="J178" i="34"/>
  <c r="M178" i="34" s="1"/>
  <c r="J179" i="34"/>
  <c r="M179" i="34" s="1"/>
  <c r="J180" i="34"/>
  <c r="M180" i="34" s="1"/>
  <c r="J181" i="34"/>
  <c r="J182" i="34"/>
  <c r="M182" i="34" s="1"/>
  <c r="J183" i="34"/>
  <c r="M183" i="34" s="1"/>
  <c r="J184" i="34"/>
  <c r="J185" i="34"/>
  <c r="J186" i="34"/>
  <c r="J187" i="34"/>
  <c r="J188" i="34"/>
  <c r="J189" i="34"/>
  <c r="M189" i="34" s="1"/>
  <c r="J190" i="34"/>
  <c r="M190" i="34" s="1"/>
  <c r="J191" i="34"/>
  <c r="J192" i="34"/>
  <c r="J193" i="34"/>
  <c r="J194" i="34"/>
  <c r="J195" i="34"/>
  <c r="J196" i="34"/>
  <c r="J197" i="34"/>
  <c r="M197" i="34" s="1"/>
  <c r="J198" i="34"/>
  <c r="M198" i="34" s="1"/>
  <c r="J199" i="34"/>
  <c r="J200" i="34"/>
  <c r="M200" i="34" s="1"/>
  <c r="J201" i="34"/>
  <c r="J202" i="34"/>
  <c r="M202" i="34" s="1"/>
  <c r="J203" i="34"/>
  <c r="M203" i="34" s="1"/>
  <c r="J204" i="34"/>
  <c r="M185" i="34"/>
  <c r="M153" i="34"/>
  <c r="M129" i="34"/>
  <c r="M105" i="34"/>
  <c r="M25" i="34"/>
  <c r="M192" i="34"/>
  <c r="M120" i="34"/>
  <c r="M199" i="34"/>
  <c r="M191" i="34"/>
  <c r="M135" i="34"/>
  <c r="M79" i="34"/>
  <c r="M71" i="34"/>
  <c r="M15" i="34"/>
  <c r="M7" i="34"/>
  <c r="M150" i="34"/>
  <c r="M142" i="34"/>
  <c r="M94" i="34"/>
  <c r="M86" i="34"/>
  <c r="M78" i="34"/>
  <c r="M46" i="34"/>
  <c r="M38" i="34"/>
  <c r="M30" i="34"/>
  <c r="M22" i="34"/>
  <c r="M14" i="34"/>
  <c r="M201" i="34"/>
  <c r="M177" i="34"/>
  <c r="M145" i="34"/>
  <c r="M121" i="34"/>
  <c r="M97" i="34"/>
  <c r="M73" i="34"/>
  <c r="M57" i="34"/>
  <c r="M49" i="34"/>
  <c r="M33" i="34"/>
  <c r="M9" i="34"/>
  <c r="M184" i="34"/>
  <c r="M168" i="34"/>
  <c r="M136" i="34"/>
  <c r="M104" i="34"/>
  <c r="M80" i="34"/>
  <c r="M181" i="34"/>
  <c r="M165" i="34"/>
  <c r="M149" i="34"/>
  <c r="M133" i="34"/>
  <c r="M69" i="34"/>
  <c r="M53" i="34"/>
  <c r="M29" i="34"/>
  <c r="M188" i="34"/>
  <c r="M172" i="34"/>
  <c r="M108" i="34"/>
  <c r="M60" i="34"/>
  <c r="M44" i="34"/>
  <c r="M193" i="34"/>
  <c r="M161" i="34"/>
  <c r="M137" i="34"/>
  <c r="M113" i="34"/>
  <c r="M89" i="34"/>
  <c r="M65" i="34"/>
  <c r="M41" i="34"/>
  <c r="M17" i="34"/>
  <c r="M187" i="34"/>
  <c r="M155" i="34"/>
  <c r="M131" i="34"/>
  <c r="M91" i="34"/>
  <c r="M75" i="34"/>
  <c r="M59" i="34"/>
  <c r="M43" i="34"/>
  <c r="M27" i="34"/>
  <c r="M11" i="34"/>
  <c r="M176" i="34"/>
  <c r="M157" i="34"/>
  <c r="M141" i="34"/>
  <c r="M125" i="34"/>
  <c r="M109" i="34"/>
  <c r="M93" i="34"/>
  <c r="M37" i="34"/>
  <c r="M21" i="34"/>
  <c r="M13" i="34"/>
  <c r="M195" i="34"/>
  <c r="M163" i="34"/>
  <c r="M115" i="34"/>
  <c r="M83" i="34"/>
  <c r="M67" i="34"/>
  <c r="M51" i="34"/>
  <c r="M35" i="34"/>
  <c r="M19" i="34"/>
  <c r="M194" i="34"/>
  <c r="M186" i="34"/>
  <c r="M170" i="34"/>
  <c r="M162" i="34"/>
  <c r="M154" i="34"/>
  <c r="M146" i="34"/>
  <c r="M138" i="34"/>
  <c r="M130" i="34"/>
  <c r="M122" i="34"/>
  <c r="M114" i="34"/>
  <c r="M106" i="34"/>
  <c r="M98" i="34"/>
  <c r="M90" i="34"/>
  <c r="M82" i="34"/>
  <c r="M74" i="34"/>
  <c r="M66" i="34"/>
  <c r="M58" i="34"/>
  <c r="M50" i="34"/>
  <c r="M42" i="34"/>
  <c r="M34" i="34"/>
  <c r="M26" i="34"/>
  <c r="M18" i="34"/>
  <c r="M10" i="34"/>
  <c r="K212" i="34"/>
  <c r="N5" i="16" s="1"/>
  <c r="K209" i="34"/>
  <c r="R5" i="16" s="1"/>
  <c r="Z105" i="34"/>
  <c r="X104" i="34"/>
  <c r="U104" i="34"/>
  <c r="X103" i="34"/>
  <c r="U103" i="34"/>
  <c r="X102" i="34"/>
  <c r="U102" i="34"/>
  <c r="X101" i="34"/>
  <c r="U101" i="34"/>
  <c r="X100" i="34"/>
  <c r="X99" i="34"/>
  <c r="X98" i="34"/>
  <c r="X97" i="34"/>
  <c r="U97" i="34"/>
  <c r="X96" i="34"/>
  <c r="U96" i="34"/>
  <c r="X95" i="34"/>
  <c r="U95" i="34"/>
  <c r="X94" i="34"/>
  <c r="U94" i="34"/>
  <c r="X93" i="34"/>
  <c r="U93" i="34"/>
  <c r="X92" i="34"/>
  <c r="X91" i="34"/>
  <c r="X90" i="34"/>
  <c r="X89" i="34"/>
  <c r="U89" i="34"/>
  <c r="X88" i="34"/>
  <c r="U88" i="34"/>
  <c r="X87" i="34"/>
  <c r="U87" i="34"/>
  <c r="X86" i="34"/>
  <c r="U86" i="34"/>
  <c r="X85" i="34"/>
  <c r="U85" i="34"/>
  <c r="X84" i="34"/>
  <c r="X83" i="34"/>
  <c r="X82" i="34"/>
  <c r="X81" i="34"/>
  <c r="U81" i="34"/>
  <c r="X80" i="34"/>
  <c r="U80" i="34"/>
  <c r="X79" i="34"/>
  <c r="U79" i="34"/>
  <c r="X78" i="34"/>
  <c r="U78" i="34"/>
  <c r="X77" i="34"/>
  <c r="U77" i="34"/>
  <c r="X76" i="34"/>
  <c r="X75" i="34"/>
  <c r="X74" i="34"/>
  <c r="X73" i="34"/>
  <c r="U73" i="34"/>
  <c r="X72" i="34"/>
  <c r="U72" i="34"/>
  <c r="X71" i="34"/>
  <c r="U71" i="34"/>
  <c r="X70" i="34"/>
  <c r="U70" i="34"/>
  <c r="X69" i="34"/>
  <c r="U69" i="34"/>
  <c r="X68" i="34"/>
  <c r="X67" i="34"/>
  <c r="X66" i="34"/>
  <c r="X65" i="34"/>
  <c r="U65" i="34"/>
  <c r="X64" i="34"/>
  <c r="U64" i="34"/>
  <c r="X63" i="34"/>
  <c r="U63" i="34"/>
  <c r="X62" i="34"/>
  <c r="U62" i="34"/>
  <c r="X61" i="34"/>
  <c r="U61" i="34"/>
  <c r="X60" i="34"/>
  <c r="X59" i="34"/>
  <c r="X58" i="34"/>
  <c r="X57" i="34"/>
  <c r="U57" i="34"/>
  <c r="X56" i="34"/>
  <c r="U56" i="34"/>
  <c r="X55" i="34"/>
  <c r="U55" i="34"/>
  <c r="X54" i="34"/>
  <c r="U54" i="34"/>
  <c r="X53" i="34"/>
  <c r="U53" i="34"/>
  <c r="X52" i="34"/>
  <c r="X51" i="34"/>
  <c r="X50" i="34"/>
  <c r="X49" i="34"/>
  <c r="U49" i="34"/>
  <c r="X48" i="34"/>
  <c r="U48" i="34"/>
  <c r="X47" i="34"/>
  <c r="U47" i="34"/>
  <c r="X46" i="34"/>
  <c r="U46" i="34"/>
  <c r="X45" i="34"/>
  <c r="U45" i="34"/>
  <c r="X44" i="34"/>
  <c r="X43" i="34"/>
  <c r="X42" i="34"/>
  <c r="X41" i="34"/>
  <c r="U41" i="34"/>
  <c r="X40" i="34"/>
  <c r="U40" i="34"/>
  <c r="X39" i="34"/>
  <c r="U39" i="34"/>
  <c r="X38" i="34"/>
  <c r="U38" i="34"/>
  <c r="X37" i="34"/>
  <c r="U37" i="34"/>
  <c r="X36" i="34"/>
  <c r="X35" i="34"/>
  <c r="X34" i="34"/>
  <c r="X33" i="34"/>
  <c r="U33" i="34"/>
  <c r="X32" i="34"/>
  <c r="U32" i="34"/>
  <c r="X31" i="34"/>
  <c r="U31" i="34"/>
  <c r="X30" i="34"/>
  <c r="U30" i="34"/>
  <c r="X29" i="34"/>
  <c r="U29" i="34"/>
  <c r="X28" i="34"/>
  <c r="X27" i="34"/>
  <c r="X26" i="34"/>
  <c r="X25" i="34"/>
  <c r="U25" i="34"/>
  <c r="X24" i="34"/>
  <c r="U24" i="34"/>
  <c r="X23" i="34"/>
  <c r="U23" i="34"/>
  <c r="X22" i="34"/>
  <c r="U22" i="34"/>
  <c r="X21" i="34"/>
  <c r="U21" i="34"/>
  <c r="X20" i="34"/>
  <c r="X19" i="34"/>
  <c r="X18" i="34"/>
  <c r="X17" i="34"/>
  <c r="U17" i="34"/>
  <c r="X16" i="34"/>
  <c r="U16" i="34"/>
  <c r="X15" i="34"/>
  <c r="U15" i="34"/>
  <c r="X14" i="34"/>
  <c r="U14" i="34"/>
  <c r="X13" i="34"/>
  <c r="U13" i="34"/>
  <c r="X12" i="34"/>
  <c r="X11" i="34"/>
  <c r="X10" i="34"/>
  <c r="X9" i="34"/>
  <c r="U9" i="34"/>
  <c r="X8" i="34"/>
  <c r="U8" i="34"/>
  <c r="X7" i="34"/>
  <c r="U7" i="34"/>
  <c r="X6" i="34"/>
  <c r="U6" i="34"/>
  <c r="X5" i="34"/>
  <c r="X107" i="34" s="1"/>
  <c r="J206" i="34" s="1"/>
  <c r="J5" i="34"/>
  <c r="E206" i="16"/>
  <c r="G206" i="16"/>
  <c r="E208" i="16"/>
  <c r="G208" i="16" s="1"/>
  <c r="E209" i="16"/>
  <c r="G209" i="16"/>
  <c r="E210" i="16"/>
  <c r="G210" i="16" s="1"/>
  <c r="E214" i="16"/>
  <c r="G214" i="16"/>
  <c r="E216" i="16"/>
  <c r="G216" i="16" s="1"/>
  <c r="E223" i="16"/>
  <c r="G223" i="16" s="1"/>
  <c r="E224" i="16"/>
  <c r="G224" i="16"/>
  <c r="E218" i="16"/>
  <c r="G218" i="16" s="1"/>
  <c r="E215" i="16"/>
  <c r="G215" i="16"/>
  <c r="E207" i="16"/>
  <c r="G207" i="16" s="1"/>
  <c r="E222" i="16"/>
  <c r="G222" i="16" s="1"/>
  <c r="E221" i="16"/>
  <c r="G221" i="16"/>
  <c r="E213" i="16"/>
  <c r="G213" i="16" s="1"/>
  <c r="E205" i="16"/>
  <c r="G205" i="16"/>
  <c r="E183" i="16"/>
  <c r="G183" i="16" s="1"/>
  <c r="E201" i="16"/>
  <c r="G201" i="16" s="1"/>
  <c r="E188" i="34"/>
  <c r="G188" i="34" s="1"/>
  <c r="C188" i="36" s="1"/>
  <c r="E188" i="36" s="1"/>
  <c r="G188" i="36" s="1"/>
  <c r="C188" i="37" s="1"/>
  <c r="E188" i="37" s="1"/>
  <c r="G188" i="37" s="1"/>
  <c r="C188" i="38" s="1"/>
  <c r="E188" i="38" s="1"/>
  <c r="G188" i="38" s="1"/>
  <c r="E123" i="16"/>
  <c r="G123" i="16" s="1"/>
  <c r="E143" i="16"/>
  <c r="G143" i="16" s="1"/>
  <c r="E103" i="16"/>
  <c r="G103" i="16" s="1"/>
  <c r="E147" i="16"/>
  <c r="G147" i="16" s="1"/>
  <c r="E171" i="16"/>
  <c r="G171" i="16" s="1"/>
  <c r="E175" i="16"/>
  <c r="G175" i="16" s="1"/>
  <c r="E204" i="34"/>
  <c r="G204" i="34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183" i="34"/>
  <c r="G183" i="34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0" i="34"/>
  <c r="G180" i="34" s="1"/>
  <c r="C180" i="36" s="1"/>
  <c r="E180" i="36" s="1"/>
  <c r="G180" i="36" s="1"/>
  <c r="C180" i="37" s="1"/>
  <c r="E180" i="37" s="1"/>
  <c r="G180" i="37" s="1"/>
  <c r="C180" i="38" s="1"/>
  <c r="E180" i="38" s="1"/>
  <c r="G180" i="38" s="1"/>
  <c r="E86" i="34"/>
  <c r="G86" i="34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171" i="34"/>
  <c r="G171" i="34" s="1"/>
  <c r="C171" i="36" s="1"/>
  <c r="E171" i="36" s="1"/>
  <c r="G171" i="36" s="1"/>
  <c r="C171" i="37" s="1"/>
  <c r="E171" i="37" s="1"/>
  <c r="G171" i="37" s="1"/>
  <c r="C171" i="38" s="1"/>
  <c r="E171" i="38" s="1"/>
  <c r="G171" i="38" s="1"/>
  <c r="E103" i="34"/>
  <c r="G103" i="34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23" i="34"/>
  <c r="G123" i="34" s="1"/>
  <c r="C123" i="36" s="1"/>
  <c r="E123" i="36" s="1"/>
  <c r="G123" i="36" s="1"/>
  <c r="C123" i="37" s="1"/>
  <c r="E123" i="37" s="1"/>
  <c r="G123" i="37" s="1"/>
  <c r="C123" i="38" s="1"/>
  <c r="E123" i="38" s="1"/>
  <c r="G123" i="38" s="1"/>
  <c r="E164" i="34"/>
  <c r="G164" i="34" s="1"/>
  <c r="C164" i="36" s="1"/>
  <c r="E164" i="36" s="1"/>
  <c r="G164" i="36" s="1"/>
  <c r="C164" i="37" s="1"/>
  <c r="E164" i="37" s="1"/>
  <c r="G164" i="37" s="1"/>
  <c r="C164" i="38" s="1"/>
  <c r="E164" i="38" s="1"/>
  <c r="G164" i="38" s="1"/>
  <c r="E155" i="34"/>
  <c r="G155" i="34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9" i="34"/>
  <c r="G159" i="34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27" i="34"/>
  <c r="G127" i="34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96" i="34"/>
  <c r="G196" i="34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M6" i="49"/>
  <c r="M55" i="49"/>
  <c r="K212" i="49"/>
  <c r="N19" i="16" s="1"/>
  <c r="E111" i="34" l="1"/>
  <c r="G111" i="34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63" i="34"/>
  <c r="G163" i="34" s="1"/>
  <c r="C163" i="36" s="1"/>
  <c r="E163" i="36" s="1"/>
  <c r="G163" i="36" s="1"/>
  <c r="C163" i="37" s="1"/>
  <c r="E163" i="37" s="1"/>
  <c r="G163" i="37" s="1"/>
  <c r="C163" i="38" s="1"/>
  <c r="E163" i="38" s="1"/>
  <c r="G163" i="38" s="1"/>
  <c r="E139" i="34"/>
  <c r="G139" i="34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2" i="34"/>
  <c r="G132" i="34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71" i="34"/>
  <c r="G71" i="34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J5" i="16"/>
  <c r="X107" i="48"/>
  <c r="J206" i="48" s="1"/>
  <c r="K207" i="48" s="1"/>
  <c r="J103" i="16"/>
  <c r="K219" i="42"/>
  <c r="R12" i="16"/>
  <c r="X107" i="53"/>
  <c r="J206" i="53" s="1"/>
  <c r="X107" i="61"/>
  <c r="J206" i="61" s="1"/>
  <c r="E131" i="34"/>
  <c r="G131" i="34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X107" i="38"/>
  <c r="J206" i="38" s="1"/>
  <c r="J206" i="16" s="1"/>
  <c r="X107" i="44"/>
  <c r="J206" i="44" s="1"/>
  <c r="K207" i="44" s="1"/>
  <c r="M14" i="16" s="1"/>
  <c r="S14" i="16" s="1"/>
  <c r="U14" i="16" s="1"/>
  <c r="X107" i="43"/>
  <c r="J206" i="43" s="1"/>
  <c r="E201" i="34"/>
  <c r="G201" i="34" s="1"/>
  <c r="C201" i="36" s="1"/>
  <c r="E201" i="36" s="1"/>
  <c r="G201" i="36" s="1"/>
  <c r="C201" i="37" s="1"/>
  <c r="E201" i="37" s="1"/>
  <c r="G201" i="37" s="1"/>
  <c r="C201" i="38" s="1"/>
  <c r="E201" i="38" s="1"/>
  <c r="G201" i="38" s="1"/>
  <c r="X107" i="51"/>
  <c r="J206" i="51" s="1"/>
  <c r="M195" i="66"/>
  <c r="K207" i="66"/>
  <c r="J186" i="16"/>
  <c r="E69" i="34"/>
  <c r="G69" i="34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94" i="34"/>
  <c r="G94" i="34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X107" i="40"/>
  <c r="J206" i="40" s="1"/>
  <c r="X107" i="41"/>
  <c r="J206" i="41" s="1"/>
  <c r="X107" i="46"/>
  <c r="J206" i="46" s="1"/>
  <c r="X107" i="60"/>
  <c r="J206" i="60" s="1"/>
  <c r="X107" i="42"/>
  <c r="J206" i="42" s="1"/>
  <c r="K207" i="42" s="1"/>
  <c r="K213" i="42" s="1"/>
  <c r="X107" i="52"/>
  <c r="J206" i="52" s="1"/>
  <c r="K219" i="43"/>
  <c r="R13" i="16"/>
  <c r="X107" i="58"/>
  <c r="J206" i="58" s="1"/>
  <c r="X107" i="64"/>
  <c r="J206" i="64" s="1"/>
  <c r="K207" i="50"/>
  <c r="X107" i="54"/>
  <c r="J206" i="54" s="1"/>
  <c r="K219" i="49"/>
  <c r="R19" i="16"/>
  <c r="X107" i="56"/>
  <c r="J206" i="56" s="1"/>
  <c r="K207" i="56" s="1"/>
  <c r="R18" i="16"/>
  <c r="X107" i="55"/>
  <c r="J206" i="55" s="1"/>
  <c r="X107" i="63"/>
  <c r="J206" i="63" s="1"/>
  <c r="K207" i="59"/>
  <c r="M28" i="16" s="1"/>
  <c r="K207" i="60"/>
  <c r="M29" i="16" s="1"/>
  <c r="S29" i="16" s="1"/>
  <c r="U29" i="16" s="1"/>
  <c r="K207" i="64"/>
  <c r="M33" i="16" s="1"/>
  <c r="S33" i="16" s="1"/>
  <c r="U33" i="16" s="1"/>
  <c r="E18" i="16"/>
  <c r="E127" i="16"/>
  <c r="G127" i="16" s="1"/>
  <c r="X107" i="35"/>
  <c r="J206" i="35" s="1"/>
  <c r="E159" i="16"/>
  <c r="G159" i="16" s="1"/>
  <c r="E162" i="16"/>
  <c r="C150" i="16"/>
  <c r="E150" i="34"/>
  <c r="G150" i="34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36" i="16"/>
  <c r="E136" i="16" s="1"/>
  <c r="G136" i="16" s="1"/>
  <c r="E136" i="34"/>
  <c r="G136" i="34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0" i="16"/>
  <c r="E130" i="16" s="1"/>
  <c r="E130" i="34"/>
  <c r="G130" i="34" s="1"/>
  <c r="C130" i="36" s="1"/>
  <c r="E130" i="36" s="1"/>
  <c r="G130" i="36" s="1"/>
  <c r="C130" i="37" s="1"/>
  <c r="E130" i="37" s="1"/>
  <c r="G130" i="37" s="1"/>
  <c r="C130" i="38" s="1"/>
  <c r="E130" i="38" s="1"/>
  <c r="G130" i="38" s="1"/>
  <c r="E191" i="34"/>
  <c r="G191" i="34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19" i="34"/>
  <c r="G119" i="34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70" i="34"/>
  <c r="G70" i="34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K207" i="49"/>
  <c r="K213" i="49" s="1"/>
  <c r="K207" i="47"/>
  <c r="M17" i="16" s="1"/>
  <c r="S17" i="16" s="1"/>
  <c r="U17" i="16" s="1"/>
  <c r="K207" i="46"/>
  <c r="M16" i="16" s="1"/>
  <c r="S16" i="16" s="1"/>
  <c r="U16" i="16" s="1"/>
  <c r="K219" i="45"/>
  <c r="K207" i="45"/>
  <c r="K213" i="45" s="1"/>
  <c r="K207" i="43"/>
  <c r="K213" i="43" s="1"/>
  <c r="C148" i="39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73" i="16"/>
  <c r="E73" i="16" s="1"/>
  <c r="G73" i="16" s="1"/>
  <c r="E73" i="34"/>
  <c r="G73" i="34" s="1"/>
  <c r="C73" i="36" s="1"/>
  <c r="E73" i="36" s="1"/>
  <c r="G73" i="36" s="1"/>
  <c r="C73" i="37" s="1"/>
  <c r="E73" i="37" s="1"/>
  <c r="G73" i="37" s="1"/>
  <c r="C73" i="38" s="1"/>
  <c r="E73" i="38" s="1"/>
  <c r="G73" i="38" s="1"/>
  <c r="C77" i="16"/>
  <c r="E77" i="16" s="1"/>
  <c r="G77" i="16" s="1"/>
  <c r="E77" i="34"/>
  <c r="G77" i="34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81" i="16"/>
  <c r="E81" i="16" s="1"/>
  <c r="G81" i="16" s="1"/>
  <c r="E81" i="34"/>
  <c r="G81" i="34" s="1"/>
  <c r="C81" i="36" s="1"/>
  <c r="E81" i="36" s="1"/>
  <c r="G81" i="36" s="1"/>
  <c r="C81" i="37" s="1"/>
  <c r="E81" i="37" s="1"/>
  <c r="G81" i="37" s="1"/>
  <c r="C81" i="38" s="1"/>
  <c r="E81" i="38" s="1"/>
  <c r="G81" i="38" s="1"/>
  <c r="C85" i="16"/>
  <c r="E85" i="16" s="1"/>
  <c r="E85" i="34"/>
  <c r="G85" i="34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C89" i="16"/>
  <c r="E89" i="16" s="1"/>
  <c r="G89" i="16" s="1"/>
  <c r="E89" i="34"/>
  <c r="G89" i="34" s="1"/>
  <c r="C89" i="36" s="1"/>
  <c r="E89" i="36" s="1"/>
  <c r="G89" i="36" s="1"/>
  <c r="C89" i="37" s="1"/>
  <c r="E89" i="37" s="1"/>
  <c r="G89" i="37" s="1"/>
  <c r="C89" i="38" s="1"/>
  <c r="E89" i="38" s="1"/>
  <c r="G89" i="38" s="1"/>
  <c r="C93" i="16"/>
  <c r="E93" i="16" s="1"/>
  <c r="E93" i="34"/>
  <c r="G93" i="34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7" i="16"/>
  <c r="E97" i="16" s="1"/>
  <c r="G97" i="16" s="1"/>
  <c r="E97" i="34"/>
  <c r="G97" i="34" s="1"/>
  <c r="C97" i="36" s="1"/>
  <c r="E97" i="36" s="1"/>
  <c r="G97" i="36" s="1"/>
  <c r="C97" i="37" s="1"/>
  <c r="E97" i="37" s="1"/>
  <c r="G97" i="37" s="1"/>
  <c r="C97" i="38" s="1"/>
  <c r="E97" i="38" s="1"/>
  <c r="G97" i="38" s="1"/>
  <c r="C101" i="16"/>
  <c r="E101" i="16" s="1"/>
  <c r="E101" i="34"/>
  <c r="G101" i="34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C108" i="16"/>
  <c r="E108" i="34"/>
  <c r="G108" i="34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26" i="16"/>
  <c r="E126" i="16" s="1"/>
  <c r="G126" i="16" s="1"/>
  <c r="E126" i="34"/>
  <c r="G126" i="34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23" i="16"/>
  <c r="E23" i="16" s="1"/>
  <c r="G23" i="16" s="1"/>
  <c r="E23" i="34"/>
  <c r="G23" i="34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140" i="16"/>
  <c r="E140" i="34"/>
  <c r="G140" i="34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51" i="16"/>
  <c r="E151" i="16" s="1"/>
  <c r="G151" i="16" s="1"/>
  <c r="E151" i="34"/>
  <c r="G151" i="34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72" i="16"/>
  <c r="E72" i="16" s="1"/>
  <c r="G72" i="16" s="1"/>
  <c r="E72" i="34"/>
  <c r="G72" i="34" s="1"/>
  <c r="C72" i="36" s="1"/>
  <c r="E72" i="36" s="1"/>
  <c r="G72" i="36" s="1"/>
  <c r="C72" i="37" s="1"/>
  <c r="E72" i="37" s="1"/>
  <c r="G72" i="37" s="1"/>
  <c r="C72" i="38" s="1"/>
  <c r="E72" i="38" s="1"/>
  <c r="G72" i="38" s="1"/>
  <c r="C88" i="16"/>
  <c r="E88" i="16" s="1"/>
  <c r="G88" i="16" s="1"/>
  <c r="E88" i="34"/>
  <c r="G88" i="34" s="1"/>
  <c r="C88" i="36" s="1"/>
  <c r="E88" i="36" s="1"/>
  <c r="G88" i="36" s="1"/>
  <c r="C88" i="37" s="1"/>
  <c r="E88" i="37" s="1"/>
  <c r="G88" i="37" s="1"/>
  <c r="C88" i="38" s="1"/>
  <c r="E88" i="38" s="1"/>
  <c r="G88" i="38" s="1"/>
  <c r="C96" i="16"/>
  <c r="E96" i="16" s="1"/>
  <c r="G96" i="16" s="1"/>
  <c r="E96" i="34"/>
  <c r="G96" i="34" s="1"/>
  <c r="C96" i="36" s="1"/>
  <c r="E96" i="36" s="1"/>
  <c r="G96" i="36" s="1"/>
  <c r="C96" i="37" s="1"/>
  <c r="E96" i="37" s="1"/>
  <c r="G96" i="37" s="1"/>
  <c r="C96" i="38" s="1"/>
  <c r="E96" i="38" s="1"/>
  <c r="G96" i="38" s="1"/>
  <c r="C100" i="16"/>
  <c r="E100" i="34"/>
  <c r="G100" i="34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4" i="16"/>
  <c r="E104" i="16" s="1"/>
  <c r="E104" i="34"/>
  <c r="G104" i="34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15" i="16"/>
  <c r="E115" i="16" s="1"/>
  <c r="G115" i="16" s="1"/>
  <c r="E115" i="34"/>
  <c r="G115" i="34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8" i="16"/>
  <c r="E118" i="34"/>
  <c r="G118" i="34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202" i="16"/>
  <c r="E202" i="16" s="1"/>
  <c r="E202" i="34"/>
  <c r="G202" i="34" s="1"/>
  <c r="C202" i="36" s="1"/>
  <c r="E202" i="36" s="1"/>
  <c r="G202" i="36" s="1"/>
  <c r="C202" i="37" s="1"/>
  <c r="E202" i="37" s="1"/>
  <c r="G202" i="37" s="1"/>
  <c r="C202" i="38" s="1"/>
  <c r="E202" i="38" s="1"/>
  <c r="G202" i="38" s="1"/>
  <c r="E188" i="39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E74" i="34"/>
  <c r="G74" i="34" s="1"/>
  <c r="C74" i="36" s="1"/>
  <c r="E74" i="36" s="1"/>
  <c r="G74" i="36" s="1"/>
  <c r="C74" i="37" s="1"/>
  <c r="E74" i="37" s="1"/>
  <c r="G74" i="37" s="1"/>
  <c r="C74" i="38" s="1"/>
  <c r="E74" i="38" s="1"/>
  <c r="G74" i="38" s="1"/>
  <c r="E147" i="34"/>
  <c r="G147" i="34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8" i="16"/>
  <c r="E70" i="39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188" i="39"/>
  <c r="C180" i="39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64" i="39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E90" i="34"/>
  <c r="G90" i="34" s="1"/>
  <c r="C90" i="36" s="1"/>
  <c r="E90" i="36" s="1"/>
  <c r="G90" i="36" s="1"/>
  <c r="C90" i="37" s="1"/>
  <c r="E90" i="37" s="1"/>
  <c r="G90" i="37" s="1"/>
  <c r="C90" i="38" s="1"/>
  <c r="E90" i="38" s="1"/>
  <c r="G90" i="38" s="1"/>
  <c r="E132" i="39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E120" i="34"/>
  <c r="G120" i="34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71" i="39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63" i="39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23" i="39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E172" i="34"/>
  <c r="G172" i="34" s="1"/>
  <c r="C172" i="36" s="1"/>
  <c r="E172" i="36" s="1"/>
  <c r="G172" i="36" s="1"/>
  <c r="C172" i="37" s="1"/>
  <c r="E172" i="37" s="1"/>
  <c r="G172" i="37" s="1"/>
  <c r="C172" i="38" s="1"/>
  <c r="E172" i="38" s="1"/>
  <c r="G172" i="38" s="1"/>
  <c r="E105" i="34"/>
  <c r="G105" i="34" s="1"/>
  <c r="C105" i="36" s="1"/>
  <c r="E105" i="36" s="1"/>
  <c r="G105" i="36" s="1"/>
  <c r="C105" i="37" s="1"/>
  <c r="E105" i="37" s="1"/>
  <c r="G105" i="37" s="1"/>
  <c r="C105" i="38" s="1"/>
  <c r="E105" i="38" s="1"/>
  <c r="G105" i="38" s="1"/>
  <c r="E84" i="34"/>
  <c r="G84" i="34" s="1"/>
  <c r="C84" i="36" s="1"/>
  <c r="E84" i="36" s="1"/>
  <c r="G84" i="36" s="1"/>
  <c r="C84" i="37" s="1"/>
  <c r="E84" i="37" s="1"/>
  <c r="G84" i="37" s="1"/>
  <c r="C84" i="38" s="1"/>
  <c r="E84" i="38" s="1"/>
  <c r="G84" i="38" s="1"/>
  <c r="E68" i="34"/>
  <c r="G68" i="34" s="1"/>
  <c r="C68" i="36" s="1"/>
  <c r="E68" i="36" s="1"/>
  <c r="G68" i="36" s="1"/>
  <c r="C68" i="37" s="1"/>
  <c r="E68" i="37" s="1"/>
  <c r="G68" i="37" s="1"/>
  <c r="C68" i="38" s="1"/>
  <c r="E68" i="38" s="1"/>
  <c r="G68" i="38" s="1"/>
  <c r="E178" i="34"/>
  <c r="G178" i="34" s="1"/>
  <c r="C178" i="36" s="1"/>
  <c r="C130" i="39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E204" i="39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E92" i="39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E66" i="34"/>
  <c r="G66" i="34" s="1"/>
  <c r="C66" i="36" s="1"/>
  <c r="E66" i="36" s="1"/>
  <c r="G66" i="36" s="1"/>
  <c r="C66" i="37" s="1"/>
  <c r="E66" i="37" s="1"/>
  <c r="G66" i="37" s="1"/>
  <c r="C66" i="38" s="1"/>
  <c r="E66" i="38" s="1"/>
  <c r="G66" i="38" s="1"/>
  <c r="E94" i="39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201" i="39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E131" i="39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E86" i="39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E196" i="39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E139" i="39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E155" i="39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E187" i="34"/>
  <c r="G187" i="34" s="1"/>
  <c r="C187" i="36" s="1"/>
  <c r="E187" i="36" s="1"/>
  <c r="G187" i="36" s="1"/>
  <c r="C187" i="37" s="1"/>
  <c r="E187" i="37" s="1"/>
  <c r="G187" i="37" s="1"/>
  <c r="C187" i="38" s="1"/>
  <c r="E187" i="38" s="1"/>
  <c r="G187" i="38" s="1"/>
  <c r="E175" i="34"/>
  <c r="G175" i="34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E138" i="34"/>
  <c r="G138" i="34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52" i="39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36" i="39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E191" i="39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E159" i="39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E119" i="39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E127" i="39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E111" i="39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E103" i="39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E183" i="39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E101" i="39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E69" i="39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E85" i="39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K207" i="39"/>
  <c r="K213" i="39" s="1"/>
  <c r="M5" i="39"/>
  <c r="R6" i="16"/>
  <c r="R36" i="16" s="1"/>
  <c r="K228" i="16" s="1"/>
  <c r="E178" i="16"/>
  <c r="G178" i="16" s="1"/>
  <c r="C170" i="16"/>
  <c r="E170" i="16" s="1"/>
  <c r="G170" i="16" s="1"/>
  <c r="E170" i="34"/>
  <c r="G170" i="34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97" i="16"/>
  <c r="E197" i="16" s="1"/>
  <c r="E197" i="34"/>
  <c r="G197" i="34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82" i="16"/>
  <c r="E182" i="16" s="1"/>
  <c r="G182" i="16" s="1"/>
  <c r="E182" i="34"/>
  <c r="G182" i="34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94" i="16"/>
  <c r="E194" i="16" s="1"/>
  <c r="G194" i="16" s="1"/>
  <c r="E194" i="34"/>
  <c r="G194" i="34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29" i="16"/>
  <c r="E29" i="16" s="1"/>
  <c r="E29" i="34"/>
  <c r="G29" i="34" s="1"/>
  <c r="C29" i="36" s="1"/>
  <c r="E29" i="36" s="1"/>
  <c r="G29" i="36" s="1"/>
  <c r="C29" i="37" s="1"/>
  <c r="E29" i="37" s="1"/>
  <c r="G29" i="37" s="1"/>
  <c r="C29" i="38" s="1"/>
  <c r="E29" i="38" s="1"/>
  <c r="G29" i="38" s="1"/>
  <c r="C198" i="16"/>
  <c r="E198" i="34"/>
  <c r="G198" i="34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10" i="16"/>
  <c r="E110" i="16" s="1"/>
  <c r="G110" i="16" s="1"/>
  <c r="E110" i="34"/>
  <c r="G110" i="34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68" i="16"/>
  <c r="E168" i="16" s="1"/>
  <c r="G168" i="16" s="1"/>
  <c r="E168" i="34"/>
  <c r="G168" i="34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74" i="16"/>
  <c r="E174" i="16" s="1"/>
  <c r="G174" i="16" s="1"/>
  <c r="E174" i="34"/>
  <c r="G174" i="34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58" i="16"/>
  <c r="E158" i="34"/>
  <c r="G158" i="34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44" i="16"/>
  <c r="E44" i="16" s="1"/>
  <c r="G44" i="16" s="1"/>
  <c r="E44" i="34"/>
  <c r="G44" i="34" s="1"/>
  <c r="C44" i="36" s="1"/>
  <c r="E44" i="36" s="1"/>
  <c r="G44" i="36" s="1"/>
  <c r="C44" i="37" s="1"/>
  <c r="E44" i="37" s="1"/>
  <c r="G44" i="37" s="1"/>
  <c r="C44" i="38" s="1"/>
  <c r="E44" i="38" s="1"/>
  <c r="G44" i="38" s="1"/>
  <c r="C52" i="16"/>
  <c r="E52" i="16" s="1"/>
  <c r="G52" i="16" s="1"/>
  <c r="E52" i="34"/>
  <c r="G52" i="34" s="1"/>
  <c r="C52" i="36" s="1"/>
  <c r="E52" i="36" s="1"/>
  <c r="G52" i="36" s="1"/>
  <c r="C52" i="37" s="1"/>
  <c r="E52" i="37" s="1"/>
  <c r="G52" i="37" s="1"/>
  <c r="C52" i="38" s="1"/>
  <c r="E52" i="38" s="1"/>
  <c r="G52" i="38" s="1"/>
  <c r="C107" i="16"/>
  <c r="E107" i="16" s="1"/>
  <c r="G107" i="16" s="1"/>
  <c r="E107" i="34"/>
  <c r="G107" i="34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14" i="16"/>
  <c r="E114" i="16" s="1"/>
  <c r="E114" i="34"/>
  <c r="G114" i="34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42" i="16"/>
  <c r="E142" i="16" s="1"/>
  <c r="G142" i="16" s="1"/>
  <c r="E142" i="34"/>
  <c r="G142" i="34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84" i="16"/>
  <c r="E184" i="16" s="1"/>
  <c r="G184" i="16" s="1"/>
  <c r="E184" i="34"/>
  <c r="G184" i="34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90" i="16"/>
  <c r="E190" i="34"/>
  <c r="G190" i="34" s="1"/>
  <c r="C190" i="36" s="1"/>
  <c r="E190" i="36" s="1"/>
  <c r="G190" i="36" s="1"/>
  <c r="C190" i="37" s="1"/>
  <c r="E190" i="37" s="1"/>
  <c r="G190" i="37" s="1"/>
  <c r="C190" i="38" s="1"/>
  <c r="E190" i="38" s="1"/>
  <c r="G190" i="38" s="1"/>
  <c r="E135" i="34"/>
  <c r="G135" i="34" s="1"/>
  <c r="C135" i="36" s="1"/>
  <c r="E135" i="36" s="1"/>
  <c r="G135" i="36" s="1"/>
  <c r="C135" i="37" s="1"/>
  <c r="E135" i="37" s="1"/>
  <c r="G135" i="37" s="1"/>
  <c r="C135" i="38" s="1"/>
  <c r="E135" i="38" s="1"/>
  <c r="G135" i="38" s="1"/>
  <c r="E116" i="34"/>
  <c r="G116" i="34" s="1"/>
  <c r="C116" i="36" s="1"/>
  <c r="E116" i="36" s="1"/>
  <c r="G116" i="36" s="1"/>
  <c r="C116" i="37" s="1"/>
  <c r="E116" i="37" s="1"/>
  <c r="G116" i="37" s="1"/>
  <c r="C116" i="38" s="1"/>
  <c r="E116" i="38" s="1"/>
  <c r="G116" i="38" s="1"/>
  <c r="E75" i="34"/>
  <c r="G75" i="34" s="1"/>
  <c r="C75" i="36" s="1"/>
  <c r="E75" i="36" s="1"/>
  <c r="G75" i="36" s="1"/>
  <c r="C75" i="37" s="1"/>
  <c r="E75" i="37" s="1"/>
  <c r="G75" i="37" s="1"/>
  <c r="C75" i="38" s="1"/>
  <c r="E75" i="38" s="1"/>
  <c r="G75" i="38" s="1"/>
  <c r="C152" i="16"/>
  <c r="E152" i="16" s="1"/>
  <c r="G152" i="16" s="1"/>
  <c r="E195" i="34"/>
  <c r="G195" i="34" s="1"/>
  <c r="C195" i="36" s="1"/>
  <c r="E195" i="36" s="1"/>
  <c r="G195" i="36" s="1"/>
  <c r="C195" i="37" s="1"/>
  <c r="E195" i="37" s="1"/>
  <c r="G195" i="37" s="1"/>
  <c r="C195" i="38" s="1"/>
  <c r="E195" i="38" s="1"/>
  <c r="G195" i="38" s="1"/>
  <c r="E76" i="34"/>
  <c r="G76" i="34" s="1"/>
  <c r="C76" i="36" s="1"/>
  <c r="E76" i="36" s="1"/>
  <c r="G76" i="36" s="1"/>
  <c r="C76" i="37" s="1"/>
  <c r="E76" i="37" s="1"/>
  <c r="G76" i="37" s="1"/>
  <c r="C76" i="38" s="1"/>
  <c r="E76" i="38" s="1"/>
  <c r="G76" i="38" s="1"/>
  <c r="E162" i="34"/>
  <c r="G162" i="34" s="1"/>
  <c r="C162" i="36" s="1"/>
  <c r="E162" i="36" s="1"/>
  <c r="G162" i="36" s="1"/>
  <c r="C162" i="37" s="1"/>
  <c r="E162" i="37" s="1"/>
  <c r="G162" i="37" s="1"/>
  <c r="C162" i="38" s="1"/>
  <c r="E162" i="38" s="1"/>
  <c r="G162" i="38" s="1"/>
  <c r="E179" i="34"/>
  <c r="G179" i="34" s="1"/>
  <c r="C179" i="36" s="1"/>
  <c r="E179" i="36" s="1"/>
  <c r="G179" i="36" s="1"/>
  <c r="C179" i="37" s="1"/>
  <c r="E179" i="37" s="1"/>
  <c r="G179" i="37" s="1"/>
  <c r="C179" i="38" s="1"/>
  <c r="E179" i="38" s="1"/>
  <c r="G179" i="38" s="1"/>
  <c r="E143" i="34"/>
  <c r="G143" i="34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86" i="16"/>
  <c r="E186" i="16" s="1"/>
  <c r="E186" i="34"/>
  <c r="G186" i="34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80" i="16"/>
  <c r="E80" i="16" s="1"/>
  <c r="E80" i="34"/>
  <c r="G80" i="34" s="1"/>
  <c r="C80" i="36" s="1"/>
  <c r="E80" i="36" s="1"/>
  <c r="G80" i="36" s="1"/>
  <c r="C80" i="37" s="1"/>
  <c r="E80" i="37" s="1"/>
  <c r="G80" i="37" s="1"/>
  <c r="C80" i="38" s="1"/>
  <c r="E80" i="38" s="1"/>
  <c r="G80" i="38" s="1"/>
  <c r="C199" i="16"/>
  <c r="E199" i="16" s="1"/>
  <c r="G199" i="16" s="1"/>
  <c r="E199" i="34"/>
  <c r="G199" i="34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203" i="16"/>
  <c r="E203" i="16" s="1"/>
  <c r="G203" i="16" s="1"/>
  <c r="E203" i="34"/>
  <c r="G203" i="34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122" i="16"/>
  <c r="E122" i="16" s="1"/>
  <c r="E122" i="34"/>
  <c r="G122" i="34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60" i="16"/>
  <c r="E160" i="16" s="1"/>
  <c r="E160" i="34"/>
  <c r="G160" i="34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92" i="16"/>
  <c r="E192" i="16" s="1"/>
  <c r="E192" i="34"/>
  <c r="G192" i="34" s="1"/>
  <c r="C192" i="36" s="1"/>
  <c r="E192" i="36" s="1"/>
  <c r="G192" i="36" s="1"/>
  <c r="C192" i="37" s="1"/>
  <c r="E192" i="37" s="1"/>
  <c r="G192" i="37" s="1"/>
  <c r="C192" i="38" s="1"/>
  <c r="E192" i="38" s="1"/>
  <c r="G192" i="38" s="1"/>
  <c r="E156" i="34"/>
  <c r="G156" i="34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16"/>
  <c r="C166" i="16"/>
  <c r="E166" i="34"/>
  <c r="G166" i="34" s="1"/>
  <c r="C166" i="36" s="1"/>
  <c r="E166" i="36" s="1"/>
  <c r="G166" i="36" s="1"/>
  <c r="C166" i="37" s="1"/>
  <c r="E166" i="37" s="1"/>
  <c r="G166" i="37" s="1"/>
  <c r="C166" i="38" s="1"/>
  <c r="E166" i="38" s="1"/>
  <c r="G166" i="38" s="1"/>
  <c r="E176" i="34"/>
  <c r="G176" i="34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16"/>
  <c r="E176" i="16" s="1"/>
  <c r="G176" i="16" s="1"/>
  <c r="C167" i="16"/>
  <c r="E167" i="16" s="1"/>
  <c r="G167" i="16" s="1"/>
  <c r="E167" i="34"/>
  <c r="G167" i="34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200" i="16"/>
  <c r="E200" i="16" s="1"/>
  <c r="E200" i="34"/>
  <c r="G200" i="34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106" i="16"/>
  <c r="E106" i="16" s="1"/>
  <c r="E106" i="34"/>
  <c r="G106" i="34" s="1"/>
  <c r="C106" i="36" s="1"/>
  <c r="E106" i="36" s="1"/>
  <c r="G106" i="36" s="1"/>
  <c r="C106" i="37" s="1"/>
  <c r="E106" i="37" s="1"/>
  <c r="G106" i="37" s="1"/>
  <c r="C106" i="38" s="1"/>
  <c r="E106" i="38" s="1"/>
  <c r="G106" i="38" s="1"/>
  <c r="E124" i="34"/>
  <c r="G124" i="34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16"/>
  <c r="C134" i="16"/>
  <c r="E134" i="34"/>
  <c r="G134" i="34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44" i="16"/>
  <c r="E144" i="16" s="1"/>
  <c r="G144" i="16" s="1"/>
  <c r="E144" i="34"/>
  <c r="G144" i="34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6" i="16"/>
  <c r="E146" i="16" s="1"/>
  <c r="E146" i="34"/>
  <c r="G146" i="34" s="1"/>
  <c r="C146" i="36" s="1"/>
  <c r="E146" i="36" s="1"/>
  <c r="G146" i="36" s="1"/>
  <c r="C146" i="37" s="1"/>
  <c r="E146" i="37" s="1"/>
  <c r="G146" i="37" s="1"/>
  <c r="C146" i="38" s="1"/>
  <c r="E146" i="38" s="1"/>
  <c r="G146" i="38" s="1"/>
  <c r="E112" i="34"/>
  <c r="G112" i="34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16"/>
  <c r="E112" i="16" s="1"/>
  <c r="G112" i="16" s="1"/>
  <c r="C128" i="16"/>
  <c r="E128" i="16" s="1"/>
  <c r="E128" i="34"/>
  <c r="G128" i="34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54" i="16"/>
  <c r="E154" i="16" s="1"/>
  <c r="E154" i="34"/>
  <c r="G154" i="34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87" i="16"/>
  <c r="E87" i="16" s="1"/>
  <c r="G87" i="16" s="1"/>
  <c r="E87" i="34"/>
  <c r="G87" i="34" s="1"/>
  <c r="C87" i="36" s="1"/>
  <c r="E87" i="36" s="1"/>
  <c r="G87" i="36" s="1"/>
  <c r="C87" i="37" s="1"/>
  <c r="E87" i="37" s="1"/>
  <c r="G87" i="37" s="1"/>
  <c r="C87" i="38" s="1"/>
  <c r="E87" i="38" s="1"/>
  <c r="G87" i="38" s="1"/>
  <c r="C95" i="16"/>
  <c r="E95" i="16" s="1"/>
  <c r="G95" i="16" s="1"/>
  <c r="E95" i="34"/>
  <c r="G95" i="34" s="1"/>
  <c r="C95" i="36" s="1"/>
  <c r="E95" i="36" s="1"/>
  <c r="G95" i="36" s="1"/>
  <c r="C95" i="37" s="1"/>
  <c r="E95" i="37" s="1"/>
  <c r="G95" i="37" s="1"/>
  <c r="C95" i="38" s="1"/>
  <c r="E95" i="38" s="1"/>
  <c r="G95" i="38" s="1"/>
  <c r="C102" i="16"/>
  <c r="E102" i="34"/>
  <c r="G102" i="34" s="1"/>
  <c r="C102" i="36" s="1"/>
  <c r="E102" i="36" s="1"/>
  <c r="G102" i="36" s="1"/>
  <c r="C102" i="37" s="1"/>
  <c r="E102" i="37" s="1"/>
  <c r="G102" i="37" s="1"/>
  <c r="C102" i="38" s="1"/>
  <c r="E102" i="38" s="1"/>
  <c r="G102" i="38" s="1"/>
  <c r="K207" i="35"/>
  <c r="M5" i="35"/>
  <c r="C24" i="16"/>
  <c r="E24" i="16" s="1"/>
  <c r="E24" i="34"/>
  <c r="G24" i="34" s="1"/>
  <c r="C24" i="36" s="1"/>
  <c r="E24" i="36" s="1"/>
  <c r="G24" i="36" s="1"/>
  <c r="C24" i="37" s="1"/>
  <c r="E24" i="37" s="1"/>
  <c r="G24" i="37" s="1"/>
  <c r="C24" i="38" s="1"/>
  <c r="E24" i="38" s="1"/>
  <c r="G24" i="38" s="1"/>
  <c r="C31" i="16"/>
  <c r="E31" i="16" s="1"/>
  <c r="G31" i="16" s="1"/>
  <c r="E31" i="34"/>
  <c r="G31" i="34" s="1"/>
  <c r="C31" i="36" s="1"/>
  <c r="E31" i="36" s="1"/>
  <c r="G31" i="36" s="1"/>
  <c r="C31" i="37" s="1"/>
  <c r="E31" i="37" s="1"/>
  <c r="G31" i="37" s="1"/>
  <c r="C31" i="38" s="1"/>
  <c r="E31" i="38" s="1"/>
  <c r="G31" i="38" s="1"/>
  <c r="C34" i="16"/>
  <c r="E34" i="16" s="1"/>
  <c r="G34" i="16" s="1"/>
  <c r="E34" i="34"/>
  <c r="G34" i="34" s="1"/>
  <c r="C34" i="36" s="1"/>
  <c r="E34" i="36" s="1"/>
  <c r="G34" i="36" s="1"/>
  <c r="C34" i="37" s="1"/>
  <c r="E34" i="37" s="1"/>
  <c r="G34" i="37" s="1"/>
  <c r="C34" i="38" s="1"/>
  <c r="E34" i="38" s="1"/>
  <c r="G34" i="38" s="1"/>
  <c r="C47" i="16"/>
  <c r="E47" i="16" s="1"/>
  <c r="G47" i="16" s="1"/>
  <c r="E47" i="34"/>
  <c r="G47" i="34" s="1"/>
  <c r="C47" i="36" s="1"/>
  <c r="E47" i="36" s="1"/>
  <c r="G47" i="36" s="1"/>
  <c r="C47" i="37" s="1"/>
  <c r="E47" i="37" s="1"/>
  <c r="G47" i="37" s="1"/>
  <c r="C47" i="38" s="1"/>
  <c r="E47" i="38" s="1"/>
  <c r="G47" i="38" s="1"/>
  <c r="E50" i="34"/>
  <c r="G50" i="34" s="1"/>
  <c r="C50" i="36" s="1"/>
  <c r="E50" i="36" s="1"/>
  <c r="G50" i="36" s="1"/>
  <c r="C50" i="37" s="1"/>
  <c r="E50" i="37" s="1"/>
  <c r="G50" i="37" s="1"/>
  <c r="C50" i="38" s="1"/>
  <c r="E50" i="38" s="1"/>
  <c r="G50" i="38" s="1"/>
  <c r="C50" i="16"/>
  <c r="E50" i="16" s="1"/>
  <c r="G50" i="16" s="1"/>
  <c r="E63" i="34"/>
  <c r="G63" i="34" s="1"/>
  <c r="C63" i="36" s="1"/>
  <c r="E63" i="36" s="1"/>
  <c r="G63" i="36" s="1"/>
  <c r="C63" i="37" s="1"/>
  <c r="E63" i="37" s="1"/>
  <c r="G63" i="37" s="1"/>
  <c r="C63" i="38" s="1"/>
  <c r="E63" i="38" s="1"/>
  <c r="G63" i="38" s="1"/>
  <c r="C63" i="16"/>
  <c r="E63" i="16" s="1"/>
  <c r="G63" i="16" s="1"/>
  <c r="C79" i="16"/>
  <c r="E79" i="16" s="1"/>
  <c r="G79" i="16" s="1"/>
  <c r="E79" i="34"/>
  <c r="G79" i="34" s="1"/>
  <c r="C79" i="36" s="1"/>
  <c r="E79" i="36" s="1"/>
  <c r="G79" i="36" s="1"/>
  <c r="C79" i="37" s="1"/>
  <c r="E79" i="37" s="1"/>
  <c r="G79" i="37" s="1"/>
  <c r="C79" i="38" s="1"/>
  <c r="E79" i="38" s="1"/>
  <c r="G79" i="38" s="1"/>
  <c r="C117" i="16"/>
  <c r="E117" i="16" s="1"/>
  <c r="E117" i="34"/>
  <c r="G117" i="34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49" i="16"/>
  <c r="E149" i="16" s="1"/>
  <c r="G149" i="16" s="1"/>
  <c r="E149" i="34"/>
  <c r="G149" i="34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81" i="16"/>
  <c r="E181" i="16" s="1"/>
  <c r="E181" i="34"/>
  <c r="G181" i="34" s="1"/>
  <c r="C181" i="36" s="1"/>
  <c r="E181" i="36" s="1"/>
  <c r="G181" i="36" s="1"/>
  <c r="C181" i="37" s="1"/>
  <c r="E181" i="37" s="1"/>
  <c r="G181" i="37" s="1"/>
  <c r="C181" i="38" s="1"/>
  <c r="E181" i="38" s="1"/>
  <c r="G181" i="38" s="1"/>
  <c r="E8" i="34"/>
  <c r="G8" i="34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16"/>
  <c r="E8" i="16" s="1"/>
  <c r="G8" i="16" s="1"/>
  <c r="C11" i="16"/>
  <c r="E11" i="16" s="1"/>
  <c r="G11" i="16" s="1"/>
  <c r="E11" i="34"/>
  <c r="G11" i="34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37" i="16"/>
  <c r="E37" i="16" s="1"/>
  <c r="G37" i="16" s="1"/>
  <c r="E37" i="34"/>
  <c r="G37" i="34" s="1"/>
  <c r="C37" i="36" s="1"/>
  <c r="E37" i="36" s="1"/>
  <c r="G37" i="36" s="1"/>
  <c r="C37" i="37" s="1"/>
  <c r="E37" i="37" s="1"/>
  <c r="G37" i="37" s="1"/>
  <c r="C37" i="38" s="1"/>
  <c r="E37" i="38" s="1"/>
  <c r="G37" i="38" s="1"/>
  <c r="E40" i="34"/>
  <c r="G40" i="34" s="1"/>
  <c r="C40" i="36" s="1"/>
  <c r="E40" i="36" s="1"/>
  <c r="G40" i="36" s="1"/>
  <c r="C40" i="37" s="1"/>
  <c r="E40" i="37" s="1"/>
  <c r="G40" i="37" s="1"/>
  <c r="C40" i="38" s="1"/>
  <c r="E40" i="38" s="1"/>
  <c r="G40" i="38" s="1"/>
  <c r="C40" i="16"/>
  <c r="E40" i="16" s="1"/>
  <c r="G40" i="16" s="1"/>
  <c r="C53" i="16"/>
  <c r="E53" i="16" s="1"/>
  <c r="E53" i="34"/>
  <c r="G53" i="34" s="1"/>
  <c r="C53" i="36" s="1"/>
  <c r="E53" i="36" s="1"/>
  <c r="G53" i="36" s="1"/>
  <c r="C53" i="37" s="1"/>
  <c r="E53" i="37" s="1"/>
  <c r="G53" i="37" s="1"/>
  <c r="C53" i="38" s="1"/>
  <c r="E53" i="38" s="1"/>
  <c r="G53" i="38" s="1"/>
  <c r="E56" i="34"/>
  <c r="G56" i="34" s="1"/>
  <c r="C56" i="36" s="1"/>
  <c r="E56" i="36" s="1"/>
  <c r="G56" i="36" s="1"/>
  <c r="C56" i="37" s="1"/>
  <c r="E56" i="37" s="1"/>
  <c r="G56" i="37" s="1"/>
  <c r="C56" i="38" s="1"/>
  <c r="E56" i="38" s="1"/>
  <c r="G56" i="38" s="1"/>
  <c r="C56" i="16"/>
  <c r="E56" i="16" s="1"/>
  <c r="G56" i="16" s="1"/>
  <c r="C82" i="16"/>
  <c r="E82" i="16" s="1"/>
  <c r="E82" i="34"/>
  <c r="G82" i="34" s="1"/>
  <c r="C82" i="36" s="1"/>
  <c r="E82" i="36" s="1"/>
  <c r="G82" i="36" s="1"/>
  <c r="C82" i="37" s="1"/>
  <c r="E82" i="37" s="1"/>
  <c r="G82" i="37" s="1"/>
  <c r="C82" i="38" s="1"/>
  <c r="E82" i="38" s="1"/>
  <c r="G82" i="38" s="1"/>
  <c r="C99" i="16"/>
  <c r="E99" i="16" s="1"/>
  <c r="G99" i="16" s="1"/>
  <c r="E99" i="34"/>
  <c r="G99" i="34" s="1"/>
  <c r="C99" i="36" s="1"/>
  <c r="E99" i="36" s="1"/>
  <c r="G99" i="36" s="1"/>
  <c r="C99" i="37" s="1"/>
  <c r="E99" i="37" s="1"/>
  <c r="G99" i="37" s="1"/>
  <c r="C99" i="38" s="1"/>
  <c r="E99" i="38" s="1"/>
  <c r="G99" i="38" s="1"/>
  <c r="C121" i="16"/>
  <c r="E121" i="16" s="1"/>
  <c r="G121" i="16" s="1"/>
  <c r="E121" i="34"/>
  <c r="G121" i="34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53" i="16"/>
  <c r="E153" i="16" s="1"/>
  <c r="G153" i="16" s="1"/>
  <c r="E153" i="34"/>
  <c r="G153" i="34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85" i="16"/>
  <c r="E185" i="16" s="1"/>
  <c r="G185" i="16" s="1"/>
  <c r="E185" i="34"/>
  <c r="G185" i="34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7" i="16"/>
  <c r="E17" i="16" s="1"/>
  <c r="G17" i="16" s="1"/>
  <c r="E17" i="34"/>
  <c r="G17" i="34" s="1"/>
  <c r="C17" i="36" s="1"/>
  <c r="E17" i="36" s="1"/>
  <c r="G17" i="36" s="1"/>
  <c r="C17" i="37" s="1"/>
  <c r="E17" i="37" s="1"/>
  <c r="G17" i="37" s="1"/>
  <c r="C17" i="38" s="1"/>
  <c r="E17" i="38" s="1"/>
  <c r="G17" i="38" s="1"/>
  <c r="C46" i="16"/>
  <c r="E46" i="34"/>
  <c r="G46" i="34" s="1"/>
  <c r="C46" i="36" s="1"/>
  <c r="E46" i="36" s="1"/>
  <c r="G46" i="36" s="1"/>
  <c r="C46" i="37" s="1"/>
  <c r="E46" i="37" s="1"/>
  <c r="G46" i="37" s="1"/>
  <c r="C46" i="38" s="1"/>
  <c r="E46" i="38" s="1"/>
  <c r="G46" i="38" s="1"/>
  <c r="C62" i="16"/>
  <c r="E62" i="34"/>
  <c r="G62" i="34" s="1"/>
  <c r="C62" i="36" s="1"/>
  <c r="E62" i="36" s="1"/>
  <c r="G62" i="36" s="1"/>
  <c r="C62" i="37" s="1"/>
  <c r="E62" i="37" s="1"/>
  <c r="G62" i="37" s="1"/>
  <c r="C62" i="38" s="1"/>
  <c r="E62" i="38" s="1"/>
  <c r="G62" i="38" s="1"/>
  <c r="C125" i="16"/>
  <c r="E125" i="34"/>
  <c r="G125" i="34" s="1"/>
  <c r="C125" i="36" s="1"/>
  <c r="E125" i="36" s="1"/>
  <c r="G125" i="36" s="1"/>
  <c r="C125" i="37" s="1"/>
  <c r="E125" i="37" s="1"/>
  <c r="G125" i="37" s="1"/>
  <c r="C125" i="38" s="1"/>
  <c r="E125" i="38" s="1"/>
  <c r="G125" i="38" s="1"/>
  <c r="E7" i="34"/>
  <c r="G7" i="34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16"/>
  <c r="E7" i="16" s="1"/>
  <c r="G7" i="16" s="1"/>
  <c r="C20" i="16"/>
  <c r="E20" i="16" s="1"/>
  <c r="G20" i="16" s="1"/>
  <c r="E20" i="34"/>
  <c r="G20" i="34" s="1"/>
  <c r="C20" i="36" s="1"/>
  <c r="E20" i="36" s="1"/>
  <c r="G20" i="36" s="1"/>
  <c r="C20" i="37" s="1"/>
  <c r="E20" i="37" s="1"/>
  <c r="G20" i="37" s="1"/>
  <c r="C20" i="38" s="1"/>
  <c r="E20" i="38" s="1"/>
  <c r="G20" i="38" s="1"/>
  <c r="E33" i="34"/>
  <c r="G33" i="34" s="1"/>
  <c r="C33" i="36" s="1"/>
  <c r="E33" i="36" s="1"/>
  <c r="G33" i="36" s="1"/>
  <c r="C33" i="37" s="1"/>
  <c r="E33" i="37" s="1"/>
  <c r="G33" i="37" s="1"/>
  <c r="C33" i="38" s="1"/>
  <c r="E33" i="38" s="1"/>
  <c r="G33" i="38" s="1"/>
  <c r="C33" i="16"/>
  <c r="E33" i="16" s="1"/>
  <c r="G33" i="16" s="1"/>
  <c r="C36" i="16"/>
  <c r="E36" i="34"/>
  <c r="G36" i="34" s="1"/>
  <c r="C36" i="36" s="1"/>
  <c r="E36" i="36" s="1"/>
  <c r="G36" i="36" s="1"/>
  <c r="C36" i="37" s="1"/>
  <c r="E36" i="37" s="1"/>
  <c r="G36" i="37" s="1"/>
  <c r="C36" i="38" s="1"/>
  <c r="E36" i="38" s="1"/>
  <c r="G36" i="38" s="1"/>
  <c r="C49" i="16"/>
  <c r="E49" i="16" s="1"/>
  <c r="G49" i="16" s="1"/>
  <c r="E49" i="34"/>
  <c r="G49" i="34" s="1"/>
  <c r="C49" i="36" s="1"/>
  <c r="E49" i="36" s="1"/>
  <c r="G49" i="36" s="1"/>
  <c r="C49" i="37" s="1"/>
  <c r="E49" i="37" s="1"/>
  <c r="G49" i="37" s="1"/>
  <c r="C49" i="38" s="1"/>
  <c r="E49" i="38" s="1"/>
  <c r="G49" i="38" s="1"/>
  <c r="C78" i="16"/>
  <c r="E78" i="34"/>
  <c r="G78" i="34" s="1"/>
  <c r="C78" i="36" s="1"/>
  <c r="E78" i="36" s="1"/>
  <c r="G78" i="36" s="1"/>
  <c r="C78" i="37" s="1"/>
  <c r="E78" i="37" s="1"/>
  <c r="G78" i="37" s="1"/>
  <c r="C78" i="38" s="1"/>
  <c r="E78" i="38" s="1"/>
  <c r="G78" i="38" s="1"/>
  <c r="C129" i="16"/>
  <c r="E129" i="16" s="1"/>
  <c r="G129" i="16" s="1"/>
  <c r="E129" i="34"/>
  <c r="G129" i="34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61" i="16"/>
  <c r="E161" i="16" s="1"/>
  <c r="G161" i="16" s="1"/>
  <c r="E161" i="34"/>
  <c r="G161" i="34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93" i="16"/>
  <c r="E193" i="16" s="1"/>
  <c r="G193" i="16" s="1"/>
  <c r="E193" i="34"/>
  <c r="G193" i="34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27" i="16"/>
  <c r="E27" i="16" s="1"/>
  <c r="G27" i="16" s="1"/>
  <c r="E27" i="34"/>
  <c r="G27" i="34" s="1"/>
  <c r="C27" i="36" s="1"/>
  <c r="E27" i="36" s="1"/>
  <c r="G27" i="36" s="1"/>
  <c r="C27" i="37" s="1"/>
  <c r="E27" i="37" s="1"/>
  <c r="G27" i="37" s="1"/>
  <c r="C27" i="38" s="1"/>
  <c r="E27" i="38" s="1"/>
  <c r="G27" i="38" s="1"/>
  <c r="C65" i="16"/>
  <c r="E65" i="16" s="1"/>
  <c r="G65" i="16" s="1"/>
  <c r="E65" i="34"/>
  <c r="G65" i="34" s="1"/>
  <c r="C65" i="36" s="1"/>
  <c r="E65" i="36" s="1"/>
  <c r="G65" i="36" s="1"/>
  <c r="C65" i="37" s="1"/>
  <c r="E65" i="37" s="1"/>
  <c r="G65" i="37" s="1"/>
  <c r="C65" i="38" s="1"/>
  <c r="E65" i="38" s="1"/>
  <c r="G65" i="38" s="1"/>
  <c r="C10" i="16"/>
  <c r="E10" i="16" s="1"/>
  <c r="E10" i="34"/>
  <c r="G10" i="34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3" i="16"/>
  <c r="E13" i="16" s="1"/>
  <c r="G13" i="16" s="1"/>
  <c r="E13" i="34"/>
  <c r="G13" i="34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26" i="16"/>
  <c r="E26" i="16" s="1"/>
  <c r="E26" i="34"/>
  <c r="G26" i="34" s="1"/>
  <c r="C26" i="36" s="1"/>
  <c r="E26" i="36" s="1"/>
  <c r="G26" i="36" s="1"/>
  <c r="C26" i="37" s="1"/>
  <c r="E26" i="37" s="1"/>
  <c r="G26" i="37" s="1"/>
  <c r="C26" i="38" s="1"/>
  <c r="E26" i="38" s="1"/>
  <c r="G26" i="38" s="1"/>
  <c r="E39" i="34"/>
  <c r="G39" i="34" s="1"/>
  <c r="C39" i="36" s="1"/>
  <c r="E39" i="36" s="1"/>
  <c r="G39" i="36" s="1"/>
  <c r="C39" i="37" s="1"/>
  <c r="E39" i="37" s="1"/>
  <c r="G39" i="37" s="1"/>
  <c r="C39" i="38" s="1"/>
  <c r="E39" i="38" s="1"/>
  <c r="G39" i="38" s="1"/>
  <c r="C39" i="16"/>
  <c r="E39" i="16" s="1"/>
  <c r="G39" i="16" s="1"/>
  <c r="E42" i="34"/>
  <c r="G42" i="34" s="1"/>
  <c r="C42" i="36" s="1"/>
  <c r="E42" i="36" s="1"/>
  <c r="G42" i="36" s="1"/>
  <c r="C42" i="37" s="1"/>
  <c r="E42" i="37" s="1"/>
  <c r="G42" i="37" s="1"/>
  <c r="C42" i="38" s="1"/>
  <c r="E42" i="38" s="1"/>
  <c r="G42" i="38" s="1"/>
  <c r="C42" i="16"/>
  <c r="E42" i="16" s="1"/>
  <c r="G42" i="16" s="1"/>
  <c r="E55" i="34"/>
  <c r="G55" i="34" s="1"/>
  <c r="C55" i="36" s="1"/>
  <c r="E55" i="36" s="1"/>
  <c r="G55" i="36" s="1"/>
  <c r="C55" i="37" s="1"/>
  <c r="E55" i="37" s="1"/>
  <c r="G55" i="37" s="1"/>
  <c r="C55" i="38" s="1"/>
  <c r="E55" i="38" s="1"/>
  <c r="G55" i="38" s="1"/>
  <c r="C55" i="16"/>
  <c r="E55" i="16" s="1"/>
  <c r="G55" i="16" s="1"/>
  <c r="C58" i="16"/>
  <c r="E58" i="16" s="1"/>
  <c r="E58" i="34"/>
  <c r="G58" i="34" s="1"/>
  <c r="C58" i="36" s="1"/>
  <c r="E58" i="36" s="1"/>
  <c r="G58" i="36" s="1"/>
  <c r="C58" i="37" s="1"/>
  <c r="E58" i="37" s="1"/>
  <c r="G58" i="37" s="1"/>
  <c r="C58" i="38" s="1"/>
  <c r="E58" i="38" s="1"/>
  <c r="G58" i="38" s="1"/>
  <c r="C98" i="16"/>
  <c r="E98" i="16" s="1"/>
  <c r="E98" i="34"/>
  <c r="G98" i="34" s="1"/>
  <c r="C98" i="36" s="1"/>
  <c r="E98" i="36" s="1"/>
  <c r="G98" i="36" s="1"/>
  <c r="C98" i="37" s="1"/>
  <c r="E98" i="37" s="1"/>
  <c r="G98" i="37" s="1"/>
  <c r="C98" i="38" s="1"/>
  <c r="E98" i="38" s="1"/>
  <c r="G98" i="38" s="1"/>
  <c r="C133" i="16"/>
  <c r="E133" i="16" s="1"/>
  <c r="E133" i="34"/>
  <c r="G133" i="34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65" i="16"/>
  <c r="E165" i="16" s="1"/>
  <c r="G165" i="16" s="1"/>
  <c r="E165" i="34"/>
  <c r="G165" i="34" s="1"/>
  <c r="C165" i="36" s="1"/>
  <c r="E165" i="36" s="1"/>
  <c r="G165" i="36" s="1"/>
  <c r="C165" i="37" s="1"/>
  <c r="E165" i="37" s="1"/>
  <c r="G165" i="37" s="1"/>
  <c r="C165" i="38" s="1"/>
  <c r="E165" i="38" s="1"/>
  <c r="G165" i="38" s="1"/>
  <c r="E5" i="34"/>
  <c r="G5" i="34" s="1"/>
  <c r="C5" i="36" s="1"/>
  <c r="E5" i="36" s="1"/>
  <c r="G5" i="36" s="1"/>
  <c r="C5" i="16"/>
  <c r="E5" i="16" s="1"/>
  <c r="G5" i="16" s="1"/>
  <c r="C16" i="16"/>
  <c r="E16" i="16" s="1"/>
  <c r="E16" i="34"/>
  <c r="G16" i="34" s="1"/>
  <c r="C16" i="36" s="1"/>
  <c r="E16" i="36" s="1"/>
  <c r="G16" i="36" s="1"/>
  <c r="C16" i="37" s="1"/>
  <c r="E16" i="37" s="1"/>
  <c r="G16" i="37" s="1"/>
  <c r="C16" i="38" s="1"/>
  <c r="E16" i="38" s="1"/>
  <c r="G16" i="38" s="1"/>
  <c r="C19" i="16"/>
  <c r="E19" i="16" s="1"/>
  <c r="G19" i="16" s="1"/>
  <c r="E19" i="34"/>
  <c r="G19" i="34" s="1"/>
  <c r="C19" i="36" s="1"/>
  <c r="E19" i="36" s="1"/>
  <c r="G19" i="36" s="1"/>
  <c r="C19" i="37" s="1"/>
  <c r="E19" i="37" s="1"/>
  <c r="G19" i="37" s="1"/>
  <c r="C19" i="38" s="1"/>
  <c r="E19" i="38" s="1"/>
  <c r="G19" i="38" s="1"/>
  <c r="E32" i="34"/>
  <c r="G32" i="34" s="1"/>
  <c r="C32" i="36" s="1"/>
  <c r="E32" i="36" s="1"/>
  <c r="G32" i="36" s="1"/>
  <c r="C32" i="37" s="1"/>
  <c r="E32" i="37" s="1"/>
  <c r="G32" i="37" s="1"/>
  <c r="C32" i="38" s="1"/>
  <c r="E32" i="38" s="1"/>
  <c r="G32" i="38" s="1"/>
  <c r="C32" i="16"/>
  <c r="E32" i="16" s="1"/>
  <c r="G32" i="16" s="1"/>
  <c r="C45" i="16"/>
  <c r="E45" i="16" s="1"/>
  <c r="G45" i="16" s="1"/>
  <c r="E45" i="34"/>
  <c r="G45" i="34" s="1"/>
  <c r="C45" i="36" s="1"/>
  <c r="E45" i="36" s="1"/>
  <c r="G45" i="36" s="1"/>
  <c r="C45" i="37" s="1"/>
  <c r="E45" i="37" s="1"/>
  <c r="G45" i="37" s="1"/>
  <c r="C45" i="38" s="1"/>
  <c r="E45" i="38" s="1"/>
  <c r="G45" i="38" s="1"/>
  <c r="E48" i="34"/>
  <c r="G48" i="34" s="1"/>
  <c r="C48" i="36" s="1"/>
  <c r="E48" i="36" s="1"/>
  <c r="G48" i="36" s="1"/>
  <c r="C48" i="37" s="1"/>
  <c r="E48" i="37" s="1"/>
  <c r="G48" i="37" s="1"/>
  <c r="C48" i="38" s="1"/>
  <c r="E48" i="38" s="1"/>
  <c r="G48" i="38" s="1"/>
  <c r="C48" i="16"/>
  <c r="E48" i="16" s="1"/>
  <c r="G48" i="16" s="1"/>
  <c r="C61" i="16"/>
  <c r="E61" i="16" s="1"/>
  <c r="G61" i="16" s="1"/>
  <c r="E61" i="34"/>
  <c r="G61" i="34" s="1"/>
  <c r="C61" i="36" s="1"/>
  <c r="E61" i="36" s="1"/>
  <c r="G61" i="36" s="1"/>
  <c r="C61" i="37" s="1"/>
  <c r="E61" i="37" s="1"/>
  <c r="G61" i="37" s="1"/>
  <c r="C61" i="38" s="1"/>
  <c r="E61" i="38" s="1"/>
  <c r="G61" i="38" s="1"/>
  <c r="E64" i="34"/>
  <c r="G64" i="34" s="1"/>
  <c r="C64" i="36" s="1"/>
  <c r="E64" i="36" s="1"/>
  <c r="G64" i="36" s="1"/>
  <c r="C64" i="37" s="1"/>
  <c r="E64" i="37" s="1"/>
  <c r="G64" i="37" s="1"/>
  <c r="C64" i="38" s="1"/>
  <c r="E64" i="38" s="1"/>
  <c r="G64" i="38" s="1"/>
  <c r="C64" i="16"/>
  <c r="E64" i="16" s="1"/>
  <c r="G64" i="16" s="1"/>
  <c r="C67" i="16"/>
  <c r="E67" i="16" s="1"/>
  <c r="G67" i="16" s="1"/>
  <c r="E67" i="34"/>
  <c r="G67" i="34" s="1"/>
  <c r="C67" i="36" s="1"/>
  <c r="E67" i="36" s="1"/>
  <c r="G67" i="36" s="1"/>
  <c r="C67" i="37" s="1"/>
  <c r="E67" i="37" s="1"/>
  <c r="G67" i="37" s="1"/>
  <c r="C67" i="38" s="1"/>
  <c r="E67" i="38" s="1"/>
  <c r="G67" i="38" s="1"/>
  <c r="C137" i="16"/>
  <c r="E137" i="16" s="1"/>
  <c r="G137" i="16" s="1"/>
  <c r="E137" i="34"/>
  <c r="G137" i="34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69" i="16"/>
  <c r="E169" i="16" s="1"/>
  <c r="G169" i="16" s="1"/>
  <c r="E169" i="34"/>
  <c r="G169" i="34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4" i="16"/>
  <c r="E14" i="16" s="1"/>
  <c r="G14" i="16" s="1"/>
  <c r="E14" i="34"/>
  <c r="G14" i="34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43" i="16"/>
  <c r="E43" i="16" s="1"/>
  <c r="G43" i="16" s="1"/>
  <c r="E43" i="34"/>
  <c r="G43" i="34" s="1"/>
  <c r="C43" i="36" s="1"/>
  <c r="E43" i="36" s="1"/>
  <c r="G43" i="36" s="1"/>
  <c r="C43" i="37" s="1"/>
  <c r="E43" i="37" s="1"/>
  <c r="G43" i="37" s="1"/>
  <c r="C43" i="38" s="1"/>
  <c r="E43" i="38" s="1"/>
  <c r="G43" i="38" s="1"/>
  <c r="C189" i="16"/>
  <c r="E189" i="16" s="1"/>
  <c r="E189" i="34"/>
  <c r="G189" i="34" s="1"/>
  <c r="C189" i="36" s="1"/>
  <c r="E189" i="36" s="1"/>
  <c r="G189" i="36" s="1"/>
  <c r="C189" i="37" s="1"/>
  <c r="E189" i="37" s="1"/>
  <c r="G189" i="37" s="1"/>
  <c r="C189" i="38" s="1"/>
  <c r="E189" i="38" s="1"/>
  <c r="G189" i="38" s="1"/>
  <c r="E18" i="34"/>
  <c r="G18" i="34" s="1"/>
  <c r="C18" i="36" s="1"/>
  <c r="E18" i="36" s="1"/>
  <c r="G18" i="36" s="1"/>
  <c r="C18" i="37" s="1"/>
  <c r="E18" i="37" s="1"/>
  <c r="G18" i="37" s="1"/>
  <c r="C18" i="38" s="1"/>
  <c r="E18" i="38" s="1"/>
  <c r="G18" i="38" s="1"/>
  <c r="E21" i="34"/>
  <c r="G21" i="34" s="1"/>
  <c r="C21" i="36" s="1"/>
  <c r="E21" i="36" s="1"/>
  <c r="G21" i="36" s="1"/>
  <c r="C21" i="37" s="1"/>
  <c r="E21" i="37" s="1"/>
  <c r="G21" i="37" s="1"/>
  <c r="C21" i="38" s="1"/>
  <c r="E21" i="38" s="1"/>
  <c r="G21" i="38" s="1"/>
  <c r="C6" i="16"/>
  <c r="E6" i="16" s="1"/>
  <c r="G6" i="16" s="1"/>
  <c r="E6" i="34"/>
  <c r="G6" i="34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E9" i="34"/>
  <c r="G9" i="34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16"/>
  <c r="E9" i="16" s="1"/>
  <c r="G9" i="16" s="1"/>
  <c r="E22" i="34"/>
  <c r="G22" i="34" s="1"/>
  <c r="C22" i="36" s="1"/>
  <c r="E22" i="36" s="1"/>
  <c r="G22" i="36" s="1"/>
  <c r="C22" i="37" s="1"/>
  <c r="E22" i="37" s="1"/>
  <c r="G22" i="37" s="1"/>
  <c r="C22" i="38" s="1"/>
  <c r="E22" i="38" s="1"/>
  <c r="G22" i="38" s="1"/>
  <c r="C22" i="16"/>
  <c r="E22" i="16" s="1"/>
  <c r="G22" i="16" s="1"/>
  <c r="E35" i="34"/>
  <c r="G35" i="34" s="1"/>
  <c r="C35" i="36" s="1"/>
  <c r="E35" i="36" s="1"/>
  <c r="G35" i="36" s="1"/>
  <c r="C35" i="37" s="1"/>
  <c r="E35" i="37" s="1"/>
  <c r="G35" i="37" s="1"/>
  <c r="C35" i="38" s="1"/>
  <c r="E35" i="38" s="1"/>
  <c r="G35" i="38" s="1"/>
  <c r="C35" i="16"/>
  <c r="E35" i="16" s="1"/>
  <c r="G35" i="16" s="1"/>
  <c r="C38" i="16"/>
  <c r="E38" i="16" s="1"/>
  <c r="G38" i="16" s="1"/>
  <c r="E38" i="34"/>
  <c r="G38" i="34" s="1"/>
  <c r="C38" i="36" s="1"/>
  <c r="E38" i="36" s="1"/>
  <c r="G38" i="36" s="1"/>
  <c r="C38" i="37" s="1"/>
  <c r="E38" i="37" s="1"/>
  <c r="G38" i="37" s="1"/>
  <c r="C38" i="38" s="1"/>
  <c r="E38" i="38" s="1"/>
  <c r="G38" i="38" s="1"/>
  <c r="E51" i="34"/>
  <c r="G51" i="34" s="1"/>
  <c r="C51" i="36" s="1"/>
  <c r="E51" i="36" s="1"/>
  <c r="G51" i="36" s="1"/>
  <c r="C51" i="37" s="1"/>
  <c r="E51" i="37" s="1"/>
  <c r="G51" i="37" s="1"/>
  <c r="C51" i="38" s="1"/>
  <c r="E51" i="38" s="1"/>
  <c r="G51" i="38" s="1"/>
  <c r="C51" i="16"/>
  <c r="E51" i="16" s="1"/>
  <c r="G51" i="16" s="1"/>
  <c r="C54" i="16"/>
  <c r="E54" i="16" s="1"/>
  <c r="G54" i="16" s="1"/>
  <c r="E54" i="34"/>
  <c r="G54" i="34" s="1"/>
  <c r="C54" i="36" s="1"/>
  <c r="E54" i="36" s="1"/>
  <c r="G54" i="36" s="1"/>
  <c r="C54" i="37" s="1"/>
  <c r="E54" i="37" s="1"/>
  <c r="G54" i="37" s="1"/>
  <c r="C54" i="38" s="1"/>
  <c r="E54" i="38" s="1"/>
  <c r="G54" i="38" s="1"/>
  <c r="C83" i="16"/>
  <c r="E83" i="16" s="1"/>
  <c r="G83" i="16" s="1"/>
  <c r="E83" i="34"/>
  <c r="G83" i="34" s="1"/>
  <c r="C83" i="36" s="1"/>
  <c r="E83" i="36" s="1"/>
  <c r="G83" i="36" s="1"/>
  <c r="C83" i="37" s="1"/>
  <c r="E83" i="37" s="1"/>
  <c r="G83" i="37" s="1"/>
  <c r="C83" i="38" s="1"/>
  <c r="E83" i="38" s="1"/>
  <c r="G83" i="38" s="1"/>
  <c r="C109" i="16"/>
  <c r="E109" i="16" s="1"/>
  <c r="G109" i="16" s="1"/>
  <c r="E109" i="34"/>
  <c r="G109" i="34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41" i="16"/>
  <c r="E141" i="16" s="1"/>
  <c r="G141" i="16" s="1"/>
  <c r="E141" i="34"/>
  <c r="G141" i="34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73" i="16"/>
  <c r="E173" i="16" s="1"/>
  <c r="E173" i="34"/>
  <c r="G173" i="34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30" i="16"/>
  <c r="E30" i="34"/>
  <c r="G30" i="34" s="1"/>
  <c r="C30" i="36" s="1"/>
  <c r="E30" i="36" s="1"/>
  <c r="G30" i="36" s="1"/>
  <c r="C30" i="37" s="1"/>
  <c r="E30" i="37" s="1"/>
  <c r="G30" i="37" s="1"/>
  <c r="C30" i="38" s="1"/>
  <c r="E30" i="38" s="1"/>
  <c r="G30" i="38" s="1"/>
  <c r="C59" i="16"/>
  <c r="E59" i="16" s="1"/>
  <c r="G59" i="16" s="1"/>
  <c r="E59" i="34"/>
  <c r="G59" i="34" s="1"/>
  <c r="C59" i="36" s="1"/>
  <c r="E59" i="36" s="1"/>
  <c r="G59" i="36" s="1"/>
  <c r="C59" i="37" s="1"/>
  <c r="E59" i="37" s="1"/>
  <c r="G59" i="37" s="1"/>
  <c r="C59" i="38" s="1"/>
  <c r="E59" i="38" s="1"/>
  <c r="G59" i="38" s="1"/>
  <c r="C157" i="16"/>
  <c r="E157" i="16" s="1"/>
  <c r="G157" i="16" s="1"/>
  <c r="E157" i="34"/>
  <c r="G157" i="34" s="1"/>
  <c r="C157" i="36" s="1"/>
  <c r="E157" i="36" s="1"/>
  <c r="G157" i="36" s="1"/>
  <c r="C157" i="37" s="1"/>
  <c r="E157" i="37" s="1"/>
  <c r="G157" i="37" s="1"/>
  <c r="C157" i="38" s="1"/>
  <c r="E157" i="38" s="1"/>
  <c r="G157" i="38" s="1"/>
  <c r="E12" i="34"/>
  <c r="G12" i="34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16"/>
  <c r="E12" i="16" s="1"/>
  <c r="G12" i="16" s="1"/>
  <c r="C15" i="16"/>
  <c r="E15" i="16" s="1"/>
  <c r="G15" i="16" s="1"/>
  <c r="E15" i="34"/>
  <c r="G15" i="34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E25" i="34"/>
  <c r="G25" i="34" s="1"/>
  <c r="C25" i="36" s="1"/>
  <c r="E25" i="36" s="1"/>
  <c r="G25" i="36" s="1"/>
  <c r="C25" i="37" s="1"/>
  <c r="E25" i="37" s="1"/>
  <c r="G25" i="37" s="1"/>
  <c r="C25" i="38" s="1"/>
  <c r="E25" i="38" s="1"/>
  <c r="G25" i="38" s="1"/>
  <c r="C25" i="16"/>
  <c r="E25" i="16" s="1"/>
  <c r="G25" i="16" s="1"/>
  <c r="C28" i="16"/>
  <c r="E28" i="34"/>
  <c r="G28" i="34" s="1"/>
  <c r="C28" i="36" s="1"/>
  <c r="E28" i="36" s="1"/>
  <c r="G28" i="36" s="1"/>
  <c r="C28" i="37" s="1"/>
  <c r="E28" i="37" s="1"/>
  <c r="G28" i="37" s="1"/>
  <c r="C28" i="38" s="1"/>
  <c r="E28" i="38" s="1"/>
  <c r="G28" i="38" s="1"/>
  <c r="C41" i="16"/>
  <c r="E41" i="16" s="1"/>
  <c r="G41" i="16" s="1"/>
  <c r="E41" i="34"/>
  <c r="G41" i="34" s="1"/>
  <c r="C41" i="36" s="1"/>
  <c r="E41" i="36" s="1"/>
  <c r="G41" i="36" s="1"/>
  <c r="C41" i="37" s="1"/>
  <c r="E41" i="37" s="1"/>
  <c r="G41" i="37" s="1"/>
  <c r="C41" i="38" s="1"/>
  <c r="E41" i="38" s="1"/>
  <c r="G41" i="38" s="1"/>
  <c r="E57" i="34"/>
  <c r="G57" i="34" s="1"/>
  <c r="C57" i="36" s="1"/>
  <c r="E57" i="36" s="1"/>
  <c r="G57" i="36" s="1"/>
  <c r="C57" i="37" s="1"/>
  <c r="E57" i="37" s="1"/>
  <c r="G57" i="37" s="1"/>
  <c r="C57" i="38" s="1"/>
  <c r="E57" i="38" s="1"/>
  <c r="G57" i="38" s="1"/>
  <c r="C57" i="16"/>
  <c r="E57" i="16" s="1"/>
  <c r="G57" i="16" s="1"/>
  <c r="E60" i="34"/>
  <c r="G60" i="34" s="1"/>
  <c r="C60" i="36" s="1"/>
  <c r="E60" i="36" s="1"/>
  <c r="G60" i="36" s="1"/>
  <c r="C60" i="37" s="1"/>
  <c r="E60" i="37" s="1"/>
  <c r="G60" i="37" s="1"/>
  <c r="C60" i="38" s="1"/>
  <c r="E60" i="38" s="1"/>
  <c r="G60" i="38" s="1"/>
  <c r="C60" i="16"/>
  <c r="E60" i="16" s="1"/>
  <c r="G60" i="16" s="1"/>
  <c r="C113" i="16"/>
  <c r="E113" i="16" s="1"/>
  <c r="G113" i="16" s="1"/>
  <c r="E113" i="34"/>
  <c r="G113" i="34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45" i="16"/>
  <c r="E145" i="16" s="1"/>
  <c r="G145" i="16" s="1"/>
  <c r="E145" i="34"/>
  <c r="G145" i="34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77" i="16"/>
  <c r="E177" i="16" s="1"/>
  <c r="G177" i="16" s="1"/>
  <c r="E177" i="34"/>
  <c r="G177" i="34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92" i="16"/>
  <c r="E92" i="16" s="1"/>
  <c r="G92" i="16" s="1"/>
  <c r="E91" i="34"/>
  <c r="G91" i="34" s="1"/>
  <c r="C91" i="36" s="1"/>
  <c r="E91" i="36" s="1"/>
  <c r="G91" i="36" s="1"/>
  <c r="C91" i="37" s="1"/>
  <c r="E91" i="37" s="1"/>
  <c r="G91" i="37" s="1"/>
  <c r="C91" i="38" s="1"/>
  <c r="E91" i="38" s="1"/>
  <c r="G91" i="38" s="1"/>
  <c r="E198" i="16"/>
  <c r="E190" i="16"/>
  <c r="G190" i="16" s="1"/>
  <c r="E166" i="16"/>
  <c r="G166" i="16" s="1"/>
  <c r="E158" i="16"/>
  <c r="G158" i="16" s="1"/>
  <c r="E150" i="16"/>
  <c r="G150" i="16" s="1"/>
  <c r="E134" i="16"/>
  <c r="G134" i="16" s="1"/>
  <c r="E118" i="16"/>
  <c r="E102" i="16"/>
  <c r="E94" i="16"/>
  <c r="G94" i="16" s="1"/>
  <c r="E86" i="16"/>
  <c r="G86" i="16" s="1"/>
  <c r="E78" i="16"/>
  <c r="G78" i="16" s="1"/>
  <c r="E70" i="16"/>
  <c r="G70" i="16" s="1"/>
  <c r="E62" i="16"/>
  <c r="G62" i="16" s="1"/>
  <c r="E46" i="16"/>
  <c r="G46" i="16" s="1"/>
  <c r="E30" i="16"/>
  <c r="G30" i="16" s="1"/>
  <c r="E125" i="16"/>
  <c r="G125" i="16" s="1"/>
  <c r="E204" i="16"/>
  <c r="G204" i="16" s="1"/>
  <c r="E196" i="16"/>
  <c r="G196" i="16" s="1"/>
  <c r="E188" i="16"/>
  <c r="G188" i="16" s="1"/>
  <c r="E180" i="16"/>
  <c r="G180" i="16" s="1"/>
  <c r="E172" i="16"/>
  <c r="G172" i="16" s="1"/>
  <c r="E164" i="16"/>
  <c r="G164" i="16" s="1"/>
  <c r="E156" i="16"/>
  <c r="G156" i="16" s="1"/>
  <c r="E148" i="16"/>
  <c r="G148" i="16" s="1"/>
  <c r="E140" i="16"/>
  <c r="G140" i="16" s="1"/>
  <c r="E132" i="16"/>
  <c r="G132" i="16" s="1"/>
  <c r="E124" i="16"/>
  <c r="G124" i="16" s="1"/>
  <c r="E116" i="16"/>
  <c r="G116" i="16" s="1"/>
  <c r="E108" i="16"/>
  <c r="G108" i="16" s="1"/>
  <c r="E100" i="16"/>
  <c r="G100" i="16" s="1"/>
  <c r="E84" i="16"/>
  <c r="G84" i="16" s="1"/>
  <c r="E76" i="16"/>
  <c r="G76" i="16" s="1"/>
  <c r="E68" i="16"/>
  <c r="G68" i="16" s="1"/>
  <c r="E36" i="16"/>
  <c r="G36" i="16" s="1"/>
  <c r="E28" i="16"/>
  <c r="G28" i="16" s="1"/>
  <c r="K207" i="65"/>
  <c r="M34" i="16" s="1"/>
  <c r="S34" i="16" s="1"/>
  <c r="U34" i="16" s="1"/>
  <c r="M6" i="64"/>
  <c r="K207" i="63"/>
  <c r="M32" i="16" s="1"/>
  <c r="R32" i="16"/>
  <c r="R31" i="16"/>
  <c r="S31" i="16" s="1"/>
  <c r="U31" i="16" s="1"/>
  <c r="K207" i="62"/>
  <c r="M31" i="16" s="1"/>
  <c r="J31" i="16"/>
  <c r="G69" i="16"/>
  <c r="G181" i="16"/>
  <c r="G101" i="16"/>
  <c r="G189" i="16"/>
  <c r="G117" i="16"/>
  <c r="G53" i="16"/>
  <c r="G197" i="16"/>
  <c r="G93" i="16"/>
  <c r="G85" i="16"/>
  <c r="G133" i="16"/>
  <c r="G173" i="16"/>
  <c r="K213" i="62"/>
  <c r="G21" i="16"/>
  <c r="G29" i="16"/>
  <c r="K207" i="61"/>
  <c r="M30" i="16" s="1"/>
  <c r="R30" i="16"/>
  <c r="S30" i="16" s="1"/>
  <c r="U30" i="16" s="1"/>
  <c r="M12" i="60"/>
  <c r="K213" i="60"/>
  <c r="J25" i="16"/>
  <c r="J97" i="16"/>
  <c r="J49" i="16"/>
  <c r="R28" i="16"/>
  <c r="S28" i="16" s="1"/>
  <c r="U28" i="16" s="1"/>
  <c r="K213" i="59"/>
  <c r="J122" i="16"/>
  <c r="K207" i="58"/>
  <c r="M10" i="56"/>
  <c r="K207" i="55"/>
  <c r="K213" i="55" s="1"/>
  <c r="K216" i="55" s="1"/>
  <c r="J55" i="16"/>
  <c r="M103" i="54"/>
  <c r="K207" i="54"/>
  <c r="K213" i="54" s="1"/>
  <c r="K216" i="54" s="1"/>
  <c r="G16" i="16"/>
  <c r="G80" i="16"/>
  <c r="G160" i="16"/>
  <c r="G192" i="16"/>
  <c r="G128" i="16"/>
  <c r="G200" i="16"/>
  <c r="G120" i="16"/>
  <c r="G24" i="16"/>
  <c r="G104" i="16"/>
  <c r="G118" i="16"/>
  <c r="K207" i="53"/>
  <c r="M23" i="16" s="1"/>
  <c r="S23" i="16" s="1"/>
  <c r="U23" i="16" s="1"/>
  <c r="J79" i="16"/>
  <c r="J71" i="16"/>
  <c r="K213" i="53"/>
  <c r="K207" i="52"/>
  <c r="M22" i="16" s="1"/>
  <c r="S22" i="16" s="1"/>
  <c r="U22" i="16" s="1"/>
  <c r="J198" i="16"/>
  <c r="J134" i="16"/>
  <c r="J114" i="16"/>
  <c r="J72" i="16"/>
  <c r="J146" i="16"/>
  <c r="J64" i="16"/>
  <c r="J56" i="16"/>
  <c r="J190" i="16"/>
  <c r="J126" i="16"/>
  <c r="J106" i="16"/>
  <c r="J48" i="16"/>
  <c r="J40" i="16"/>
  <c r="J202" i="16"/>
  <c r="J138" i="16"/>
  <c r="J24" i="16"/>
  <c r="J150" i="16"/>
  <c r="J194" i="16"/>
  <c r="J130" i="16"/>
  <c r="J110" i="16"/>
  <c r="J142" i="16"/>
  <c r="K207" i="51"/>
  <c r="K213" i="51" s="1"/>
  <c r="G186" i="16"/>
  <c r="M20" i="16"/>
  <c r="S20" i="16" s="1"/>
  <c r="U20" i="16" s="1"/>
  <c r="K213" i="50"/>
  <c r="M9" i="50"/>
  <c r="J155" i="16"/>
  <c r="J179" i="16"/>
  <c r="M19" i="16"/>
  <c r="J89" i="16"/>
  <c r="J23" i="16"/>
  <c r="J15" i="16"/>
  <c r="J73" i="16"/>
  <c r="J7" i="16"/>
  <c r="J16" i="16"/>
  <c r="J80" i="16"/>
  <c r="J175" i="16"/>
  <c r="J140" i="16"/>
  <c r="J76" i="16"/>
  <c r="J139" i="16"/>
  <c r="J203" i="16"/>
  <c r="J167" i="16"/>
  <c r="J50" i="16"/>
  <c r="J127" i="16"/>
  <c r="J171" i="16"/>
  <c r="J187" i="16"/>
  <c r="J107" i="16"/>
  <c r="J115" i="16"/>
  <c r="J199" i="16"/>
  <c r="J131" i="16"/>
  <c r="J120" i="16"/>
  <c r="J60" i="16"/>
  <c r="J10" i="16"/>
  <c r="J135" i="16"/>
  <c r="J163" i="16"/>
  <c r="J195" i="16"/>
  <c r="J191" i="16"/>
  <c r="J66" i="16"/>
  <c r="J151" i="16"/>
  <c r="J58" i="16"/>
  <c r="J111" i="16"/>
  <c r="J159" i="16"/>
  <c r="J63" i="16"/>
  <c r="J123" i="16"/>
  <c r="J98" i="16"/>
  <c r="J182" i="16"/>
  <c r="J42" i="16"/>
  <c r="J26" i="16"/>
  <c r="J47" i="16"/>
  <c r="J34" i="16"/>
  <c r="J178" i="16"/>
  <c r="J18" i="16"/>
  <c r="G138" i="16"/>
  <c r="G74" i="16"/>
  <c r="G130" i="16"/>
  <c r="G66" i="16"/>
  <c r="G58" i="16"/>
  <c r="G154" i="16"/>
  <c r="G10" i="16"/>
  <c r="G202" i="16"/>
  <c r="G122" i="16"/>
  <c r="G106" i="16"/>
  <c r="G162" i="16"/>
  <c r="G26" i="16"/>
  <c r="G18" i="16"/>
  <c r="G146" i="16"/>
  <c r="G114" i="16"/>
  <c r="G82" i="16"/>
  <c r="G90" i="16"/>
  <c r="G98" i="16"/>
  <c r="J172" i="16"/>
  <c r="M5" i="45"/>
  <c r="T36" i="16"/>
  <c r="J233" i="16" s="1"/>
  <c r="M18" i="44"/>
  <c r="M151" i="44"/>
  <c r="J162" i="16"/>
  <c r="M63" i="44"/>
  <c r="J118" i="16"/>
  <c r="J147" i="16"/>
  <c r="J90" i="16"/>
  <c r="J44" i="16"/>
  <c r="J128" i="16"/>
  <c r="J8" i="16"/>
  <c r="J189" i="16"/>
  <c r="J109" i="16"/>
  <c r="J70" i="16"/>
  <c r="J141" i="16"/>
  <c r="M5" i="43"/>
  <c r="J77" i="16"/>
  <c r="M12" i="42"/>
  <c r="J192" i="16"/>
  <c r="J168" i="16"/>
  <c r="J148" i="16"/>
  <c r="J204" i="16"/>
  <c r="J136" i="16"/>
  <c r="J124" i="16"/>
  <c r="J28" i="16"/>
  <c r="K207" i="41"/>
  <c r="M11" i="16" s="1"/>
  <c r="S11" i="16" s="1"/>
  <c r="U11" i="16" s="1"/>
  <c r="J152" i="16"/>
  <c r="J68" i="16"/>
  <c r="J20" i="16"/>
  <c r="J196" i="16"/>
  <c r="J99" i="16"/>
  <c r="J19" i="16"/>
  <c r="J184" i="16"/>
  <c r="J12" i="16"/>
  <c r="J156" i="16"/>
  <c r="J144" i="16"/>
  <c r="J132" i="16"/>
  <c r="J84" i="16"/>
  <c r="J51" i="16"/>
  <c r="M5" i="41"/>
  <c r="J43" i="16"/>
  <c r="K207" i="40"/>
  <c r="K213" i="40" s="1"/>
  <c r="J91" i="16"/>
  <c r="J67" i="16"/>
  <c r="J11" i="16"/>
  <c r="J35" i="16"/>
  <c r="J83" i="16"/>
  <c r="J59" i="16"/>
  <c r="J27" i="16"/>
  <c r="J75" i="16"/>
  <c r="M5" i="40"/>
  <c r="J37" i="16"/>
  <c r="J13" i="16"/>
  <c r="J53" i="16"/>
  <c r="J85" i="16"/>
  <c r="J93" i="16"/>
  <c r="J45" i="16"/>
  <c r="J69" i="16"/>
  <c r="J193" i="16"/>
  <c r="J173" i="16"/>
  <c r="J14" i="16"/>
  <c r="J161" i="16"/>
  <c r="J145" i="16"/>
  <c r="J113" i="16"/>
  <c r="J86" i="16"/>
  <c r="J46" i="16"/>
  <c r="J30" i="16"/>
  <c r="J197" i="16"/>
  <c r="J177" i="16"/>
  <c r="J149" i="16"/>
  <c r="J102" i="16"/>
  <c r="J165" i="16"/>
  <c r="J153" i="16"/>
  <c r="J133" i="16"/>
  <c r="J117" i="16"/>
  <c r="J62" i="16"/>
  <c r="J6" i="16"/>
  <c r="J181" i="16"/>
  <c r="J22" i="16"/>
  <c r="J169" i="16"/>
  <c r="J137" i="16"/>
  <c r="J121" i="16"/>
  <c r="J38" i="16"/>
  <c r="J185" i="16"/>
  <c r="J157" i="16"/>
  <c r="J94" i="16"/>
  <c r="J54" i="16"/>
  <c r="K207" i="38"/>
  <c r="J143" i="16"/>
  <c r="J119" i="16"/>
  <c r="J101" i="16"/>
  <c r="J57" i="16"/>
  <c r="J9" i="16"/>
  <c r="M53" i="37"/>
  <c r="M69" i="37"/>
  <c r="M77" i="37"/>
  <c r="M85" i="37"/>
  <c r="M93" i="37"/>
  <c r="J105" i="16"/>
  <c r="J81" i="16"/>
  <c r="J33" i="16"/>
  <c r="M26" i="37"/>
  <c r="M34" i="37"/>
  <c r="M50" i="37"/>
  <c r="M58" i="37"/>
  <c r="M90" i="37"/>
  <c r="M111" i="37"/>
  <c r="M115" i="37"/>
  <c r="M127" i="37"/>
  <c r="M135" i="37"/>
  <c r="M139" i="37"/>
  <c r="M155" i="37"/>
  <c r="M159" i="37"/>
  <c r="M171" i="37"/>
  <c r="M179" i="37"/>
  <c r="M195" i="37"/>
  <c r="M199" i="37"/>
  <c r="M203" i="37"/>
  <c r="K207" i="37"/>
  <c r="J65" i="16"/>
  <c r="J41" i="16"/>
  <c r="M25" i="37"/>
  <c r="M49" i="37"/>
  <c r="M97" i="37"/>
  <c r="N36" i="16"/>
  <c r="K230" i="16" s="1"/>
  <c r="D229" i="16" s="1"/>
  <c r="B230" i="16" s="1"/>
  <c r="J166" i="16"/>
  <c r="J125" i="16"/>
  <c r="J61" i="16"/>
  <c r="J29" i="16"/>
  <c r="J170" i="16"/>
  <c r="J129" i="16"/>
  <c r="J74" i="16"/>
  <c r="J188" i="16"/>
  <c r="J183" i="16"/>
  <c r="J174" i="16"/>
  <c r="J92" i="16"/>
  <c r="J87" i="16"/>
  <c r="J78" i="16"/>
  <c r="K207" i="36"/>
  <c r="M6" i="16" s="1"/>
  <c r="S6" i="16" s="1"/>
  <c r="U6" i="16" s="1"/>
  <c r="J201" i="16"/>
  <c r="J82" i="16"/>
  <c r="J154" i="16"/>
  <c r="J104" i="16"/>
  <c r="J17" i="16"/>
  <c r="J158" i="16"/>
  <c r="J108" i="16"/>
  <c r="J39" i="16"/>
  <c r="J21" i="16"/>
  <c r="K219" i="34"/>
  <c r="F231" i="16"/>
  <c r="J231" i="16" s="1"/>
  <c r="M68" i="34"/>
  <c r="M132" i="34"/>
  <c r="M196" i="34"/>
  <c r="M56" i="34"/>
  <c r="M144" i="34"/>
  <c r="M128" i="34"/>
  <c r="M8" i="34"/>
  <c r="M12" i="34"/>
  <c r="M76" i="34"/>
  <c r="M140" i="34"/>
  <c r="M204" i="34"/>
  <c r="M64" i="34"/>
  <c r="M152" i="34"/>
  <c r="J200" i="16"/>
  <c r="J180" i="16"/>
  <c r="J164" i="16"/>
  <c r="J160" i="16"/>
  <c r="J116" i="16"/>
  <c r="J112" i="16"/>
  <c r="J100" i="16"/>
  <c r="J96" i="16"/>
  <c r="J88" i="16"/>
  <c r="J52" i="16"/>
  <c r="J36" i="16"/>
  <c r="J32" i="16"/>
  <c r="G102" i="16"/>
  <c r="G198" i="16"/>
  <c r="M5" i="34"/>
  <c r="K207" i="34"/>
  <c r="K213" i="56" l="1"/>
  <c r="M26" i="16"/>
  <c r="S26" i="16" s="1"/>
  <c r="U26" i="16" s="1"/>
  <c r="K213" i="61"/>
  <c r="K213" i="63"/>
  <c r="M35" i="16"/>
  <c r="S35" i="16" s="1"/>
  <c r="U35" i="16" s="1"/>
  <c r="K213" i="66"/>
  <c r="K213" i="64"/>
  <c r="K216" i="64" s="1"/>
  <c r="S19" i="16"/>
  <c r="U19" i="16" s="1"/>
  <c r="C151" i="48"/>
  <c r="E151" i="48" s="1"/>
  <c r="G151" i="48" s="1"/>
  <c r="C163" i="48"/>
  <c r="E163" i="48" s="1"/>
  <c r="G163" i="48" s="1"/>
  <c r="C152" i="48"/>
  <c r="E152" i="48" s="1"/>
  <c r="G152" i="48" s="1"/>
  <c r="E136" i="48"/>
  <c r="G136" i="48" s="1"/>
  <c r="C136" i="48"/>
  <c r="C86" i="48"/>
  <c r="E86" i="48" s="1"/>
  <c r="G86" i="48" s="1"/>
  <c r="C171" i="48"/>
  <c r="E171" i="48" s="1"/>
  <c r="G171" i="48" s="1"/>
  <c r="C148" i="48"/>
  <c r="E148" i="48" s="1"/>
  <c r="G148" i="48" s="1"/>
  <c r="C111" i="48"/>
  <c r="E111" i="48" s="1"/>
  <c r="G111" i="48" s="1"/>
  <c r="C131" i="48"/>
  <c r="E131" i="48" s="1"/>
  <c r="G131" i="48" s="1"/>
  <c r="C150" i="48"/>
  <c r="E150" i="48" s="1"/>
  <c r="G150" i="48" s="1"/>
  <c r="C127" i="48"/>
  <c r="E127" i="48" s="1"/>
  <c r="G127" i="48" s="1"/>
  <c r="C201" i="48"/>
  <c r="E201" i="48" s="1"/>
  <c r="G201" i="48" s="1"/>
  <c r="C132" i="48"/>
  <c r="E132" i="48" s="1"/>
  <c r="G132" i="48" s="1"/>
  <c r="C85" i="48"/>
  <c r="E85" i="48" s="1"/>
  <c r="G85" i="48" s="1"/>
  <c r="C119" i="48"/>
  <c r="E119" i="48" s="1"/>
  <c r="G119" i="48" s="1"/>
  <c r="E175" i="48"/>
  <c r="G175" i="48" s="1"/>
  <c r="C175" i="48"/>
  <c r="C94" i="48"/>
  <c r="E94" i="48" s="1"/>
  <c r="G94" i="48" s="1"/>
  <c r="C69" i="48"/>
  <c r="E69" i="48" s="1"/>
  <c r="G69" i="48" s="1"/>
  <c r="C71" i="48"/>
  <c r="E71" i="48" s="1"/>
  <c r="G71" i="48" s="1"/>
  <c r="E164" i="48"/>
  <c r="G164" i="48" s="1"/>
  <c r="C164" i="48"/>
  <c r="C93" i="48"/>
  <c r="E93" i="48" s="1"/>
  <c r="G93" i="48" s="1"/>
  <c r="C77" i="48"/>
  <c r="E77" i="48" s="1"/>
  <c r="G77" i="48" s="1"/>
  <c r="C101" i="48"/>
  <c r="E101" i="48" s="1"/>
  <c r="G101" i="48" s="1"/>
  <c r="C159" i="48"/>
  <c r="E159" i="48" s="1"/>
  <c r="G159" i="48" s="1"/>
  <c r="C155" i="48"/>
  <c r="E155" i="48" s="1"/>
  <c r="G155" i="48" s="1"/>
  <c r="C92" i="48"/>
  <c r="E92" i="48" s="1"/>
  <c r="G92" i="48" s="1"/>
  <c r="C180" i="48"/>
  <c r="E180" i="48" s="1"/>
  <c r="G180" i="48" s="1"/>
  <c r="C188" i="48"/>
  <c r="E188" i="48" s="1"/>
  <c r="G188" i="48" s="1"/>
  <c r="C183" i="48"/>
  <c r="E183" i="48" s="1"/>
  <c r="G183" i="48" s="1"/>
  <c r="C191" i="48"/>
  <c r="E191" i="48" s="1"/>
  <c r="G191" i="48" s="1"/>
  <c r="C139" i="48"/>
  <c r="E139" i="48" s="1"/>
  <c r="G139" i="48" s="1"/>
  <c r="E204" i="48"/>
  <c r="G204" i="48" s="1"/>
  <c r="C204" i="48"/>
  <c r="C123" i="48"/>
  <c r="E123" i="48" s="1"/>
  <c r="G123" i="48" s="1"/>
  <c r="C103" i="48"/>
  <c r="E103" i="48" s="1"/>
  <c r="G103" i="48" s="1"/>
  <c r="C196" i="48"/>
  <c r="E196" i="48" s="1"/>
  <c r="G196" i="48" s="1"/>
  <c r="E130" i="48"/>
  <c r="G130" i="48" s="1"/>
  <c r="C130" i="48"/>
  <c r="C70" i="48"/>
  <c r="E70" i="48" s="1"/>
  <c r="G70" i="48" s="1"/>
  <c r="K213" i="47"/>
  <c r="K216" i="47" s="1"/>
  <c r="K213" i="46"/>
  <c r="K216" i="46" s="1"/>
  <c r="M15" i="16"/>
  <c r="S15" i="16" s="1"/>
  <c r="U15" i="16" s="1"/>
  <c r="M13" i="16"/>
  <c r="S13" i="16" s="1"/>
  <c r="U13" i="16" s="1"/>
  <c r="C157" i="39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67" i="39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26" i="39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0" i="39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79" i="39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134" i="39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92" i="39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62" i="39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38" i="39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68" i="39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115" i="39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88" i="39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97" i="39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81" i="39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51" i="39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" i="37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76" i="39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184" i="39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52" i="39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168" i="39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94" i="39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84" i="39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90" i="39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141" i="39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58" i="39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78" i="39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53" i="39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102" i="39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26" i="39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60" i="39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4" i="39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32" i="39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55" i="39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40" i="39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63" i="39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112" i="39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24" i="39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76" i="39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42" i="39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44" i="39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110" i="39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82" i="39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72" i="39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38" i="39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105" i="39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25" i="39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177" i="39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61" i="39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25" i="39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85" i="39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82" i="39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37" i="39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149" i="39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24" i="39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87" i="39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146" i="39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06" i="39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66" i="39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22" i="39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86" i="39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75" i="39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202" i="39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100" i="39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8" i="39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89" i="39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73" i="39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28" i="39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43" i="39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6" i="39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165" i="39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93" i="39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99" i="39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5" i="39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195" i="39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66" i="39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30" i="39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83" i="39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21" i="39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169" i="39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61" i="39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19" i="39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33" i="39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36" i="39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57" i="39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35" i="39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18" i="39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42" i="39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50" i="39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116" i="39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4" i="39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58" i="39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98" i="39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7" i="39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47" i="39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91" i="39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59" i="39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109" i="39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72" i="39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41" i="39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54" i="39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117" i="39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47" i="39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154" i="39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44" i="39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200" i="39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3" i="39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143" i="39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35" i="39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18" i="39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96" i="39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140" i="39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13" i="39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45" i="39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27" i="39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121" i="39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34" i="39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128" i="39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67" i="39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99" i="39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49" i="39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181" i="39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31" i="39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160" i="39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80" i="39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187" i="39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E104" i="39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39"/>
  <c r="C145" i="39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73" i="39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89" i="39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37" i="39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98" i="39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65" i="39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E129" i="39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39"/>
  <c r="C62" i="39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153" i="39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22" i="39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48" i="39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39" i="39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3" i="39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56" i="39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156" i="39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79" i="39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90" i="39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07" i="39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74" i="39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29" i="39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170" i="39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E178" i="36"/>
  <c r="G178" i="36" s="1"/>
  <c r="C178" i="37" s="1"/>
  <c r="E178" i="37" s="1"/>
  <c r="G178" i="37" s="1"/>
  <c r="C178" i="38" s="1"/>
  <c r="E178" i="38" s="1"/>
  <c r="G178" i="38" s="1"/>
  <c r="C120" i="39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74" i="39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M12" i="16"/>
  <c r="S12" i="16" s="1"/>
  <c r="U12" i="16" s="1"/>
  <c r="K213" i="41"/>
  <c r="K216" i="41" s="1"/>
  <c r="M10" i="16"/>
  <c r="S10" i="16" s="1"/>
  <c r="U10" i="16" s="1"/>
  <c r="C16" i="39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7" i="39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M9" i="16"/>
  <c r="S9" i="16" s="1"/>
  <c r="U9" i="16" s="1"/>
  <c r="K213" i="35"/>
  <c r="K213" i="65"/>
  <c r="K215" i="65" s="1"/>
  <c r="K218" i="65" s="1"/>
  <c r="K215" i="64"/>
  <c r="K218" i="64" s="1"/>
  <c r="S32" i="16"/>
  <c r="U32" i="16" s="1"/>
  <c r="K216" i="63"/>
  <c r="K215" i="63"/>
  <c r="K218" i="63" s="1"/>
  <c r="K216" i="62"/>
  <c r="K215" i="62"/>
  <c r="K218" i="62" s="1"/>
  <c r="K216" i="61"/>
  <c r="K215" i="61"/>
  <c r="K218" i="61" s="1"/>
  <c r="K216" i="60"/>
  <c r="K215" i="60"/>
  <c r="K218" i="60" s="1"/>
  <c r="K215" i="59"/>
  <c r="K218" i="59" s="1"/>
  <c r="K216" i="59"/>
  <c r="M27" i="16"/>
  <c r="S27" i="16" s="1"/>
  <c r="U27" i="16" s="1"/>
  <c r="K213" i="58"/>
  <c r="M25" i="16"/>
  <c r="S25" i="16" s="1"/>
  <c r="U25" i="16" s="1"/>
  <c r="K215" i="55"/>
  <c r="K218" i="55" s="1"/>
  <c r="M24" i="16"/>
  <c r="S24" i="16" s="1"/>
  <c r="U24" i="16" s="1"/>
  <c r="K215" i="54"/>
  <c r="K218" i="54" s="1"/>
  <c r="K216" i="53"/>
  <c r="K215" i="53"/>
  <c r="K218" i="53" s="1"/>
  <c r="K213" i="52"/>
  <c r="K216" i="52" s="1"/>
  <c r="M21" i="16"/>
  <c r="S21" i="16" s="1"/>
  <c r="U21" i="16" s="1"/>
  <c r="K215" i="51"/>
  <c r="K218" i="51" s="1"/>
  <c r="K216" i="51"/>
  <c r="K216" i="50"/>
  <c r="K215" i="50"/>
  <c r="K218" i="50" s="1"/>
  <c r="K216" i="49"/>
  <c r="K215" i="49"/>
  <c r="K218" i="49" s="1"/>
  <c r="K213" i="48"/>
  <c r="M18" i="16"/>
  <c r="S18" i="16" s="1"/>
  <c r="U18" i="16" s="1"/>
  <c r="K215" i="45"/>
  <c r="K218" i="45" s="1"/>
  <c r="K216" i="45"/>
  <c r="K213" i="44"/>
  <c r="K216" i="44" s="1"/>
  <c r="K216" i="43"/>
  <c r="K215" i="43"/>
  <c r="K218" i="43" s="1"/>
  <c r="K215" i="42"/>
  <c r="K218" i="42" s="1"/>
  <c r="K216" i="42"/>
  <c r="K216" i="40"/>
  <c r="K215" i="40"/>
  <c r="K218" i="40" s="1"/>
  <c r="K216" i="39"/>
  <c r="K215" i="39"/>
  <c r="K218" i="39" s="1"/>
  <c r="M8" i="16"/>
  <c r="S8" i="16" s="1"/>
  <c r="U8" i="16" s="1"/>
  <c r="K213" i="38"/>
  <c r="K213" i="37"/>
  <c r="M7" i="16"/>
  <c r="S7" i="16" s="1"/>
  <c r="U7" i="16" s="1"/>
  <c r="K213" i="36"/>
  <c r="K215" i="36" s="1"/>
  <c r="K218" i="36" s="1"/>
  <c r="J227" i="16"/>
  <c r="D228" i="16" s="1"/>
  <c r="D231" i="16" s="1"/>
  <c r="D233" i="16" s="1"/>
  <c r="M5" i="16"/>
  <c r="K213" i="34"/>
  <c r="K216" i="66" l="1"/>
  <c r="K215" i="66"/>
  <c r="K218" i="66" s="1"/>
  <c r="K215" i="56"/>
  <c r="K218" i="56" s="1"/>
  <c r="K216" i="56"/>
  <c r="C147" i="48"/>
  <c r="E147" i="48" s="1"/>
  <c r="G147" i="48" s="1"/>
  <c r="C165" i="48"/>
  <c r="E165" i="48" s="1"/>
  <c r="G165" i="48" s="1"/>
  <c r="C202" i="48"/>
  <c r="E202" i="48" s="1"/>
  <c r="G202" i="48" s="1"/>
  <c r="E174" i="48"/>
  <c r="G174" i="48" s="1"/>
  <c r="C174" i="48"/>
  <c r="C187" i="48"/>
  <c r="E187" i="48" s="1"/>
  <c r="G187" i="48" s="1"/>
  <c r="C118" i="48"/>
  <c r="E118" i="48" s="1"/>
  <c r="G118" i="48" s="1"/>
  <c r="C117" i="48"/>
  <c r="E117" i="48" s="1"/>
  <c r="G117" i="48" s="1"/>
  <c r="C197" i="48"/>
  <c r="E197" i="48" s="1"/>
  <c r="G197" i="48" s="1"/>
  <c r="C83" i="48"/>
  <c r="E83" i="48" s="1"/>
  <c r="G83" i="48" s="1"/>
  <c r="C75" i="48"/>
  <c r="E75" i="48" s="1"/>
  <c r="G75" i="48" s="1"/>
  <c r="C105" i="48"/>
  <c r="E105" i="48" s="1"/>
  <c r="G105" i="48" s="1"/>
  <c r="C126" i="48"/>
  <c r="E126" i="48" s="1"/>
  <c r="G126" i="48" s="1"/>
  <c r="C194" i="48"/>
  <c r="E194" i="48" s="1"/>
  <c r="G194" i="48" s="1"/>
  <c r="C97" i="48"/>
  <c r="E97" i="48" s="1"/>
  <c r="G97" i="48" s="1"/>
  <c r="C79" i="48"/>
  <c r="E79" i="48" s="1"/>
  <c r="G79" i="48" s="1"/>
  <c r="C180" i="49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27" i="49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67" i="48"/>
  <c r="E167" i="48" s="1"/>
  <c r="G167" i="48" s="1"/>
  <c r="C39" i="48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128" i="48"/>
  <c r="E128" i="48" s="1"/>
  <c r="G128" i="48" s="1"/>
  <c r="C46" i="48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149" i="48"/>
  <c r="E149" i="48" s="1"/>
  <c r="G149" i="48" s="1"/>
  <c r="C124" i="48"/>
  <c r="E124" i="48" s="1"/>
  <c r="G124" i="48" s="1"/>
  <c r="E48" i="48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48"/>
  <c r="C98" i="48"/>
  <c r="E98" i="48" s="1"/>
  <c r="G98" i="48" s="1"/>
  <c r="C70" i="49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93" i="49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E86" i="49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49"/>
  <c r="C47" i="48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74" i="48"/>
  <c r="E74" i="48" s="1"/>
  <c r="G74" i="48" s="1"/>
  <c r="C190" i="48"/>
  <c r="E190" i="48" s="1"/>
  <c r="G190" i="48" s="1"/>
  <c r="C137" i="48"/>
  <c r="E137" i="48" s="1"/>
  <c r="G137" i="48" s="1"/>
  <c r="C160" i="48"/>
  <c r="E160" i="48" s="1"/>
  <c r="G160" i="48" s="1"/>
  <c r="C139" i="49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19" i="49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E33" i="48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48"/>
  <c r="C189" i="48"/>
  <c r="E189" i="48" s="1"/>
  <c r="G189" i="48" s="1"/>
  <c r="C72" i="48"/>
  <c r="E72" i="48" s="1"/>
  <c r="G72" i="48" s="1"/>
  <c r="C73" i="48"/>
  <c r="E73" i="48" s="1"/>
  <c r="G73" i="48" s="1"/>
  <c r="C182" i="48"/>
  <c r="E182" i="48" s="1"/>
  <c r="G182" i="48" s="1"/>
  <c r="C40" i="48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78" i="48"/>
  <c r="E78" i="48" s="1"/>
  <c r="G78" i="48" s="1"/>
  <c r="C184" i="48"/>
  <c r="E184" i="48" s="1"/>
  <c r="G184" i="48" s="1"/>
  <c r="C68" i="48"/>
  <c r="E68" i="48" s="1"/>
  <c r="G68" i="48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155" i="49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31" i="49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C31" i="48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114" i="48"/>
  <c r="E114" i="48" s="1"/>
  <c r="G114" i="48" s="1"/>
  <c r="C166" i="48"/>
  <c r="E166" i="48" s="1"/>
  <c r="G166" i="48" s="1"/>
  <c r="C181" i="48"/>
  <c r="E181" i="48" s="1"/>
  <c r="G181" i="48" s="1"/>
  <c r="C200" i="48"/>
  <c r="E200" i="48" s="1"/>
  <c r="G200" i="48" s="1"/>
  <c r="C109" i="48"/>
  <c r="E109" i="48" s="1"/>
  <c r="G109" i="48" s="1"/>
  <c r="C116" i="48"/>
  <c r="E116" i="48" s="1"/>
  <c r="G116" i="48" s="1"/>
  <c r="C95" i="48"/>
  <c r="E95" i="48" s="1"/>
  <c r="G95" i="48" s="1"/>
  <c r="E106" i="48"/>
  <c r="G106" i="48" s="1"/>
  <c r="C106" i="48"/>
  <c r="C110" i="48"/>
  <c r="E110" i="48" s="1"/>
  <c r="G110" i="48" s="1"/>
  <c r="C55" i="48"/>
  <c r="E55" i="48" s="1"/>
  <c r="G55" i="48" s="1"/>
  <c r="C58" i="48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E76" i="48"/>
  <c r="G76" i="48" s="1"/>
  <c r="C76" i="48"/>
  <c r="C138" i="48"/>
  <c r="E138" i="48" s="1"/>
  <c r="G138" i="48" s="1"/>
  <c r="C196" i="49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71" i="49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C152" i="49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33" i="48"/>
  <c r="E133" i="48" s="1"/>
  <c r="G133" i="48" s="1"/>
  <c r="C185" i="48"/>
  <c r="E185" i="48" s="1"/>
  <c r="G185" i="48" s="1"/>
  <c r="C45" i="48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E89" i="48"/>
  <c r="G89" i="48" s="1"/>
  <c r="C89" i="48"/>
  <c r="C125" i="48"/>
  <c r="E125" i="48" s="1"/>
  <c r="G125" i="48" s="1"/>
  <c r="C156" i="48"/>
  <c r="E156" i="48" s="1"/>
  <c r="G156" i="48" s="1"/>
  <c r="C62" i="48"/>
  <c r="E62" i="48" s="1"/>
  <c r="G62" i="48" s="1"/>
  <c r="C145" i="48"/>
  <c r="E145" i="48" s="1"/>
  <c r="G145" i="48" s="1"/>
  <c r="C183" i="49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32" i="49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203" i="48"/>
  <c r="E203" i="48" s="1"/>
  <c r="G203" i="48" s="1"/>
  <c r="C195" i="48"/>
  <c r="E195" i="48" s="1"/>
  <c r="G195" i="48" s="1"/>
  <c r="C170" i="48"/>
  <c r="E170" i="48" s="1"/>
  <c r="G170" i="48" s="1"/>
  <c r="C101" i="49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48" i="49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C96" i="48"/>
  <c r="E96" i="48" s="1"/>
  <c r="G96" i="48" s="1"/>
  <c r="C176" i="48"/>
  <c r="E176" i="48" s="1"/>
  <c r="G176" i="48" s="1"/>
  <c r="C60" i="48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84" i="48"/>
  <c r="E84" i="48" s="1"/>
  <c r="G84" i="48" s="1"/>
  <c r="C81" i="48"/>
  <c r="E81" i="48" s="1"/>
  <c r="G81" i="48" s="1"/>
  <c r="C134" i="48"/>
  <c r="E134" i="48" s="1"/>
  <c r="G134" i="48" s="1"/>
  <c r="C123" i="49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94" i="49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E151" i="49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49"/>
  <c r="C54" i="48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37" i="48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41" i="48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82" i="48"/>
  <c r="E82" i="48" s="1"/>
  <c r="G82" i="48" s="1"/>
  <c r="C144" i="48"/>
  <c r="E144" i="48" s="1"/>
  <c r="G144" i="48" s="1"/>
  <c r="C99" i="48"/>
  <c r="E99" i="48" s="1"/>
  <c r="G99" i="48" s="1"/>
  <c r="C44" i="48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80" i="48"/>
  <c r="E80" i="48" s="1"/>
  <c r="G80" i="48" s="1"/>
  <c r="C199" i="48"/>
  <c r="E199" i="48" s="1"/>
  <c r="G199" i="48" s="1"/>
  <c r="C154" i="48"/>
  <c r="E154" i="48" s="1"/>
  <c r="G154" i="48" s="1"/>
  <c r="C42" i="48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E193" i="48"/>
  <c r="G193" i="48" s="1"/>
  <c r="C193" i="48"/>
  <c r="C87" i="48"/>
  <c r="E87" i="48" s="1"/>
  <c r="G87" i="48" s="1"/>
  <c r="C142" i="48"/>
  <c r="E142" i="48" s="1"/>
  <c r="G142" i="48" s="1"/>
  <c r="C90" i="48"/>
  <c r="E90" i="48" s="1"/>
  <c r="G90" i="48" s="1"/>
  <c r="C192" i="48"/>
  <c r="E192" i="48" s="1"/>
  <c r="G192" i="48" s="1"/>
  <c r="C104" i="48"/>
  <c r="E104" i="48" s="1"/>
  <c r="G104" i="48" s="1"/>
  <c r="C135" i="48"/>
  <c r="E135" i="48" s="1"/>
  <c r="G135" i="48" s="1"/>
  <c r="C186" i="48"/>
  <c r="E186" i="48" s="1"/>
  <c r="G186" i="48" s="1"/>
  <c r="E38" i="48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48"/>
  <c r="C102" i="48"/>
  <c r="E102" i="48" s="1"/>
  <c r="G102" i="48" s="1"/>
  <c r="C88" i="48"/>
  <c r="E88" i="48" s="1"/>
  <c r="G88" i="48" s="1"/>
  <c r="C157" i="48"/>
  <c r="E157" i="48" s="1"/>
  <c r="G157" i="48" s="1"/>
  <c r="C130" i="49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204" i="49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188" i="49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59" i="49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C164" i="49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75" i="49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201" i="49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111" i="49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C136" i="49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73" i="48"/>
  <c r="E173" i="48" s="1"/>
  <c r="G173" i="48" s="1"/>
  <c r="C30" i="48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158" i="48"/>
  <c r="E158" i="48" s="1"/>
  <c r="G158" i="48" s="1"/>
  <c r="C66" i="48"/>
  <c r="E66" i="48" s="1"/>
  <c r="G66" i="48" s="1"/>
  <c r="C122" i="48"/>
  <c r="E122" i="48" s="1"/>
  <c r="G122" i="48" s="1"/>
  <c r="C172" i="48"/>
  <c r="E172" i="48" s="1"/>
  <c r="G172" i="48" s="1"/>
  <c r="C53" i="48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115" i="48"/>
  <c r="E115" i="48" s="1"/>
  <c r="G115" i="48" s="1"/>
  <c r="C179" i="48"/>
  <c r="E179" i="48" s="1"/>
  <c r="G179" i="48" s="1"/>
  <c r="C198" i="48"/>
  <c r="E198" i="48" s="1"/>
  <c r="G198" i="48" s="1"/>
  <c r="C65" i="48"/>
  <c r="E65" i="48" s="1"/>
  <c r="G65" i="48" s="1"/>
  <c r="E143" i="48"/>
  <c r="G143" i="48" s="1"/>
  <c r="C143" i="48"/>
  <c r="C59" i="48"/>
  <c r="E59" i="48" s="1"/>
  <c r="G59" i="48" s="1"/>
  <c r="C108" i="48"/>
  <c r="E108" i="48" s="1"/>
  <c r="G108" i="48" s="1"/>
  <c r="C120" i="48"/>
  <c r="E120" i="48" s="1"/>
  <c r="G120" i="48" s="1"/>
  <c r="C129" i="48"/>
  <c r="E129" i="48" s="1"/>
  <c r="G129" i="48" s="1"/>
  <c r="C113" i="48"/>
  <c r="E113" i="48" s="1"/>
  <c r="G113" i="48" s="1"/>
  <c r="C61" i="48"/>
  <c r="E61" i="48" s="1"/>
  <c r="G61" i="48" s="1"/>
  <c r="C161" i="48"/>
  <c r="E161" i="48" s="1"/>
  <c r="G161" i="48" s="1"/>
  <c r="E32" i="48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48"/>
  <c r="C56" i="48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140" i="48"/>
  <c r="E140" i="48" s="1"/>
  <c r="G140" i="48" s="1"/>
  <c r="C91" i="48"/>
  <c r="E91" i="48" s="1"/>
  <c r="G91" i="48" s="1"/>
  <c r="C169" i="48"/>
  <c r="E169" i="48" s="1"/>
  <c r="G169" i="48" s="1"/>
  <c r="C100" i="48"/>
  <c r="E100" i="48" s="1"/>
  <c r="G100" i="48" s="1"/>
  <c r="C177" i="48"/>
  <c r="E177" i="48" s="1"/>
  <c r="G177" i="48" s="1"/>
  <c r="C64" i="48"/>
  <c r="E64" i="48" s="1"/>
  <c r="G64" i="48" s="1"/>
  <c r="C51" i="48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107" i="48"/>
  <c r="E107" i="48" s="1"/>
  <c r="G107" i="48" s="1"/>
  <c r="C57" i="48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112" i="48"/>
  <c r="E112" i="48" s="1"/>
  <c r="G112" i="48" s="1"/>
  <c r="C168" i="48"/>
  <c r="E168" i="48" s="1"/>
  <c r="G168" i="48" s="1"/>
  <c r="C103" i="49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91" i="49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92" i="49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C77" i="49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69" i="49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85" i="49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150" i="49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C171" i="49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63" i="49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53" i="48"/>
  <c r="E153" i="48" s="1"/>
  <c r="G153" i="48" s="1"/>
  <c r="C43" i="48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E63" i="48"/>
  <c r="G63" i="48" s="1"/>
  <c r="C63" i="48"/>
  <c r="C52" i="48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121" i="48"/>
  <c r="E121" i="48" s="1"/>
  <c r="G121" i="48" s="1"/>
  <c r="C36" i="48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49" i="48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50" i="48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146" i="48"/>
  <c r="E146" i="48" s="1"/>
  <c r="G146" i="48" s="1"/>
  <c r="C141" i="48"/>
  <c r="E141" i="48" s="1"/>
  <c r="G141" i="48" s="1"/>
  <c r="E162" i="48"/>
  <c r="G162" i="48" s="1"/>
  <c r="C162" i="48"/>
  <c r="K215" i="47"/>
  <c r="K218" i="47" s="1"/>
  <c r="K215" i="46"/>
  <c r="K218" i="46" s="1"/>
  <c r="C178" i="39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K215" i="41"/>
  <c r="K218" i="41" s="1"/>
  <c r="K216" i="35"/>
  <c r="K215" i="35"/>
  <c r="K218" i="35" s="1"/>
  <c r="K216" i="65"/>
  <c r="K215" i="58"/>
  <c r="K218" i="58" s="1"/>
  <c r="K216" i="58"/>
  <c r="K215" i="52"/>
  <c r="K218" i="52" s="1"/>
  <c r="K215" i="48"/>
  <c r="K218" i="48" s="1"/>
  <c r="K216" i="48"/>
  <c r="K215" i="44"/>
  <c r="K218" i="44" s="1"/>
  <c r="K216" i="38"/>
  <c r="K215" i="38"/>
  <c r="K218" i="38" s="1"/>
  <c r="K216" i="37"/>
  <c r="K215" i="37"/>
  <c r="K218" i="37" s="1"/>
  <c r="K216" i="36"/>
  <c r="J230" i="16"/>
  <c r="S5" i="16"/>
  <c r="M36" i="16"/>
  <c r="K215" i="34"/>
  <c r="K218" i="34" s="1"/>
  <c r="K216" i="34"/>
  <c r="C146" i="49" l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C157" i="49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82" i="49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E120" i="49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49"/>
  <c r="C102" i="49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E90" i="49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49"/>
  <c r="C81" i="49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C170" i="49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62" i="49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200" i="49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73" i="49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E128" i="49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49"/>
  <c r="C194" i="49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E117" i="49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49"/>
  <c r="C169" i="49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C113" i="49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65" i="49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4" i="49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108" i="49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E115" i="49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49"/>
  <c r="C173" i="49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E142" i="49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49"/>
  <c r="C80" i="49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C84" i="49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156" i="49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10" i="49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81" i="49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E72" i="49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49"/>
  <c r="C137" i="49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E98" i="49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49"/>
  <c r="C118" i="49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C162" i="49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21" i="49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C177" i="49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95" i="49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E125" i="49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49"/>
  <c r="C166" i="49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E68" i="49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49"/>
  <c r="C189" i="49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C190" i="49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67" i="49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C187" i="49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78" i="48"/>
  <c r="E178" i="48" s="1"/>
  <c r="G178" i="48" s="1"/>
  <c r="E141" i="49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49"/>
  <c r="C59" i="49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E87" i="49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49"/>
  <c r="C100" i="49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C176" i="49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203" i="49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C106" i="49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14" i="49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E184" i="49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49"/>
  <c r="C74" i="49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E105" i="49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49"/>
  <c r="C168" i="49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C161" i="49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72" i="49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C186" i="49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99" i="49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E63" i="49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49"/>
  <c r="C112" i="49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E61" i="49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49"/>
  <c r="C143" i="49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C122" i="49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35" i="49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C193" i="49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44" i="49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E89" i="49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49"/>
  <c r="C138" i="49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E95" i="49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49"/>
  <c r="C78" i="49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C124" i="49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75" i="49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C96" i="49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116" i="49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E149" i="49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49"/>
  <c r="C83" i="49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C202" i="49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104" i="49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C153" i="49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85" i="49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C76" i="49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109" i="49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E79" i="49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49"/>
  <c r="C165" i="49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E107" i="49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49"/>
  <c r="C91" i="49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C198" i="49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66" i="49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154" i="49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34" i="49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C140" i="49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29" i="49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C179" i="49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58" i="49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C88" i="49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192" i="49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E199" i="49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49"/>
  <c r="C145" i="49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E133" i="49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49"/>
  <c r="C182" i="49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E160" i="49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49"/>
  <c r="C97" i="49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C147" i="49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26" i="49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C197" i="49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74" i="49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B228" i="16"/>
  <c r="B231" i="16" s="1"/>
  <c r="J232" i="16"/>
  <c r="J235" i="16" s="1"/>
  <c r="U5" i="16"/>
  <c r="U36" i="16" s="1"/>
  <c r="S36" i="16"/>
  <c r="C178" i="49" l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4" authorId="0" shapeId="0" xr:uid="{5F93F483-C57C-47A3-997D-D4F81DE69C85}">
      <text>
        <r>
          <rPr>
            <b/>
            <sz val="9"/>
            <color indexed="81"/>
            <rFont val="Tahoma"/>
            <family val="2"/>
          </rPr>
          <t xml:space="preserve">โยกไป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8C830FAD-6215-4E9B-B38D-3FCF7E6D48CC}">
      <text>
        <r>
          <rPr>
            <b/>
            <sz val="9"/>
            <color indexed="81"/>
            <rFont val="Tahoma"/>
            <charset val="222"/>
          </rPr>
          <t xml:space="preserve">โยกไป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11" authorId="0" shapeId="0" xr:uid="{7B6CF4A5-2ACD-41C7-A27B-D3928ADC2B49}">
      <text>
        <r>
          <rPr>
            <b/>
            <sz val="9"/>
            <color indexed="81"/>
            <rFont val="Tahoma"/>
            <family val="2"/>
          </rPr>
          <t>ภาษีป้าย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11" authorId="0" shapeId="0" xr:uid="{DC24CC29-F4C1-45B3-AC05-98A404E2221D}">
      <text>
        <r>
          <rPr>
            <b/>
            <sz val="9"/>
            <color indexed="81"/>
            <rFont val="Tahoma"/>
            <family val="2"/>
          </rPr>
          <t xml:space="preserve">ค่าไฟ
</t>
        </r>
      </text>
    </comment>
  </commentList>
</comments>
</file>

<file path=xl/sharedStrings.xml><?xml version="1.0" encoding="utf-8"?>
<sst xmlns="http://schemas.openxmlformats.org/spreadsheetml/2006/main" count="17367" uniqueCount="265">
  <si>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</si>
  <si>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</si>
  <si>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</si>
  <si>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</si>
  <si>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</si>
  <si>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</si>
  <si>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</si>
  <si>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</si>
  <si>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</si>
  <si>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</si>
  <si>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</si>
  <si>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</si>
  <si>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</si>
  <si>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</si>
  <si>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</si>
  <si>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</si>
  <si>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</si>
  <si>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</si>
  <si>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</si>
  <si>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</si>
  <si>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</si>
  <si>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</si>
  <si>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</si>
  <si>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</si>
  <si>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</si>
  <si>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</si>
  <si>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</si>
  <si>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</si>
  <si>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</si>
  <si>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</si>
  <si>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</si>
  <si>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</si>
  <si>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</si>
  <si>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</si>
  <si>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</si>
  <si>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</si>
  <si>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</si>
  <si>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</si>
  <si>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</si>
  <si>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</si>
  <si>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</si>
  <si>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</si>
  <si>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</si>
  <si>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</si>
  <si>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</si>
  <si>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</si>
  <si>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</si>
  <si>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</si>
  <si>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</si>
  <si>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</si>
  <si>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</si>
  <si>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</si>
  <si>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</si>
  <si>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</si>
  <si>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</si>
  <si>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</si>
  <si>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</si>
  <si>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</si>
  <si>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</si>
  <si>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</si>
  <si>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</si>
  <si>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</si>
  <si>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</si>
  <si>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</si>
  <si>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</si>
  <si>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</si>
  <si>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</si>
  <si>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</si>
  <si>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</si>
  <si>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</si>
  <si>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</si>
  <si>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</si>
  <si>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</si>
  <si>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</si>
  <si>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</si>
  <si>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</si>
  <si>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</si>
  <si>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</si>
  <si>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</si>
  <si>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</si>
  <si>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</si>
  <si>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</si>
  <si>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</si>
  <si>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</si>
  <si>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</si>
  <si>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</si>
  <si>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</si>
  <si>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</si>
  <si>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</si>
  <si>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</si>
  <si>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</si>
  <si>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</si>
  <si>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</si>
  <si>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</si>
  <si>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</si>
  <si>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</si>
  <si>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</si>
  <si>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</si>
  <si>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</si>
  <si>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</si>
  <si>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</si>
  <si>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</si>
  <si>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</si>
  <si>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</si>
  <si>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</si>
  <si>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</si>
  <si>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</si>
  <si>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</si>
  <si>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</si>
  <si>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</si>
  <si>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</si>
  <si>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</si>
  <si>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</si>
  <si>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</si>
  <si>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</si>
  <si>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</si>
  <si>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</si>
  <si>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</si>
  <si>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</si>
  <si>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</si>
  <si>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</si>
  <si>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</si>
  <si>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</si>
  <si>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</si>
  <si>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</si>
  <si>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</si>
  <si>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</si>
  <si>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</si>
  <si>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</si>
  <si>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</si>
  <si>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</si>
  <si>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</si>
  <si>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</si>
  <si>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</si>
  <si>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</si>
  <si>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</si>
  <si>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</si>
  <si>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</si>
  <si>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</si>
  <si>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</si>
  <si>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</si>
  <si>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</si>
  <si>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</si>
  <si>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</si>
  <si>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</si>
  <si>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</si>
  <si>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</si>
  <si>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</si>
  <si>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</si>
  <si>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</si>
  <si>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</si>
  <si>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</si>
  <si>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</si>
  <si>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</si>
  <si>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</si>
  <si>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</si>
  <si>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</si>
  <si>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</si>
  <si>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</si>
  <si>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</si>
  <si>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</si>
  <si>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</si>
  <si>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</si>
  <si>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</si>
  <si>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</si>
  <si>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</si>
  <si>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</si>
  <si>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</si>
  <si>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</si>
  <si>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</si>
  <si>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</si>
  <si>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</si>
  <si>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</si>
  <si>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</si>
  <si>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</si>
  <si>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</si>
  <si>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</si>
  <si>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</si>
  <si>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</si>
  <si>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</si>
  <si>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</si>
  <si>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</si>
  <si>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</si>
  <si>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</si>
  <si>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</si>
  <si>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</si>
  <si>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</si>
  <si>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</si>
  <si>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</si>
  <si>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</si>
  <si>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</si>
  <si>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</si>
  <si>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</si>
  <si>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</si>
  <si>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</si>
  <si>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</si>
  <si>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</si>
  <si>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</si>
  <si>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</si>
  <si>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</si>
  <si>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</si>
  <si>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</si>
  <si>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</si>
  <si>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</si>
  <si>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</si>
  <si>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</si>
  <si>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</si>
  <si>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</si>
  <si>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</si>
  <si>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</si>
  <si>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</si>
  <si>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</si>
  <si>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</si>
  <si>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</si>
  <si>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</si>
  <si>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</si>
  <si>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</si>
  <si>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แถม 1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</si>
  <si>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</si>
  <si>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</si>
  <si>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</si>
  <si>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</si>
  <si>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</si>
  <si>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</si>
  <si>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</si>
  <si>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</si>
  <si>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</si>
  <si>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</si>
  <si>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</si>
  <si>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</si>
  <si>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</si>
  <si>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</si>
  <si>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</si>
  <si>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</si>
  <si>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</si>
  <si>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</si>
  <si>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</si>
  <si>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</si>
  <si>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</si>
  <si>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</si>
  <si>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</si>
  <si>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</si>
  <si>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</si>
  <si>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</si>
  <si>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ร้านลำ 3</t>
  </si>
  <si>
    <t>ขนมปัง รวมไส้</t>
  </si>
  <si>
    <t>เค้กโบราณคริสมาศ</t>
  </si>
  <si>
    <t>บูธ ลำ 3 วันที่ 1-31/01/2567</t>
  </si>
  <si>
    <t>สรุป บูธ ร้านลำ 3  วันที่ 1-31/01/2567</t>
  </si>
  <si>
    <t>ยอดขายหักส่วนลด</t>
  </si>
  <si>
    <t>ยอดเงินสด</t>
  </si>
  <si>
    <t>ยอดโอน</t>
  </si>
  <si>
    <t>ลด 50%</t>
  </si>
  <si>
    <t>ลด 25%</t>
  </si>
  <si>
    <t>โยกไปลำ3ใหม่ 5</t>
  </si>
  <si>
    <t>แถม</t>
  </si>
  <si>
    <t>โปร 10</t>
  </si>
  <si>
    <t xml:space="preserve">แถม 1 </t>
  </si>
  <si>
    <t>แถม1</t>
  </si>
  <si>
    <t>โปรคู่</t>
  </si>
  <si>
    <t>แถม2</t>
  </si>
  <si>
    <t>1 แถม 1</t>
  </si>
  <si>
    <t>แถม6</t>
  </si>
  <si>
    <t>ลด50%=1</t>
  </si>
  <si>
    <t>ครัฟฟินรูบี้ช็อคโกแลตสตรอเบอร์รี่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</si>
</sst>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0" fontId="2" fillId="0" borderId="0" xfId="0" applyFont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39" xfId="1" applyFont="1" applyBorder="1" applyAlignment="1">
      <alignment horizontal="center"/>
    </xf>
    <xf numFmtId="43" fontId="2" fillId="3" borderId="33" xfId="1" applyFont="1" applyFill="1" applyBorder="1"/>
    <xf numFmtId="0" fontId="2" fillId="0" borderId="42" xfId="0" applyFont="1" applyBorder="1" applyAlignment="1">
      <alignment horizontal="center"/>
    </xf>
    <xf numFmtId="41" fontId="2" fillId="0" borderId="43" xfId="0" applyNumberFormat="1" applyFont="1" applyBorder="1"/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43" fontId="2" fillId="0" borderId="37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7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43" fontId="2" fillId="17" borderId="37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41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44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21;&#3635;%203%20&#3617;.&#3588;.%2067(2).xlsx" TargetMode="External"/><Relationship Id="rId1" Type="http://schemas.openxmlformats.org/officeDocument/2006/relationships/externalLinkPath" Target="file:///D:\Users\PC29\Downloads\&#3610;&#3641;&#3608;&#3621;&#3635;%203%20&#3617;.&#3588;.%2067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 7"/>
      <sheetName val="วันที่  8"/>
      <sheetName val="วันที่  9"/>
      <sheetName val="วันที่  10"/>
      <sheetName val="วันที่  11"/>
      <sheetName val="วันที่  12"/>
      <sheetName val="วันที่  13"/>
      <sheetName val="วันที่ 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1</v>
          </cell>
        </row>
        <row r="6">
          <cell r="G6">
            <v>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5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4</v>
          </cell>
        </row>
        <row r="16">
          <cell r="G16">
            <v>4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9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9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5</v>
          </cell>
        </row>
        <row r="36">
          <cell r="G36">
            <v>0</v>
          </cell>
        </row>
        <row r="37">
          <cell r="G37">
            <v>1</v>
          </cell>
        </row>
        <row r="38">
          <cell r="G38">
            <v>2</v>
          </cell>
        </row>
        <row r="39">
          <cell r="G39">
            <v>0</v>
          </cell>
        </row>
        <row r="40">
          <cell r="G40">
            <v>2</v>
          </cell>
        </row>
        <row r="41">
          <cell r="G41">
            <v>2</v>
          </cell>
        </row>
        <row r="42">
          <cell r="G42">
            <v>6</v>
          </cell>
        </row>
        <row r="43">
          <cell r="G43">
            <v>0</v>
          </cell>
        </row>
        <row r="44">
          <cell r="G44">
            <v>7</v>
          </cell>
        </row>
        <row r="45">
          <cell r="G45">
            <v>0</v>
          </cell>
        </row>
        <row r="46">
          <cell r="G46">
            <v>4</v>
          </cell>
        </row>
        <row r="47">
          <cell r="G47">
            <v>8</v>
          </cell>
        </row>
        <row r="48">
          <cell r="G48">
            <v>5</v>
          </cell>
        </row>
        <row r="49">
          <cell r="G49">
            <v>9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3</v>
          </cell>
        </row>
        <row r="60">
          <cell r="G60">
            <v>2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15</v>
          </cell>
        </row>
        <row r="74">
          <cell r="G74">
            <v>3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4</v>
          </cell>
        </row>
        <row r="78">
          <cell r="G78">
            <v>0</v>
          </cell>
        </row>
        <row r="79">
          <cell r="G79">
            <v>1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9</v>
          </cell>
        </row>
        <row r="86">
          <cell r="G86">
            <v>10</v>
          </cell>
        </row>
        <row r="87">
          <cell r="G87">
            <v>7</v>
          </cell>
        </row>
        <row r="88">
          <cell r="G88">
            <v>5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5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7</v>
          </cell>
        </row>
        <row r="169">
          <cell r="G169">
            <v>23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70" zoomScaleNormal="7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U44" sqref="A1:U44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125" t="s">
        <v>248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43"/>
      <c r="O2" s="43"/>
      <c r="P2" s="43"/>
      <c r="Q2" s="43"/>
      <c r="R2" s="43"/>
      <c r="S2" s="43"/>
      <c r="T2" s="43"/>
    </row>
    <row r="3" spans="1:22" s="5" customFormat="1">
      <c r="A3" s="126" t="s">
        <v>1</v>
      </c>
      <c r="B3" s="126" t="s">
        <v>2</v>
      </c>
      <c r="C3" s="128" t="s">
        <v>3</v>
      </c>
      <c r="D3" s="128" t="s">
        <v>4</v>
      </c>
      <c r="E3" s="128" t="s">
        <v>5</v>
      </c>
      <c r="F3" s="44" t="s">
        <v>6</v>
      </c>
      <c r="G3" s="128" t="s">
        <v>7</v>
      </c>
      <c r="H3" s="129" t="s">
        <v>8</v>
      </c>
      <c r="I3" s="129"/>
      <c r="J3" s="129"/>
      <c r="K3" s="128" t="s">
        <v>9</v>
      </c>
      <c r="L3" s="130" t="s">
        <v>219</v>
      </c>
      <c r="M3" s="130" t="s">
        <v>220</v>
      </c>
      <c r="N3" s="130" t="s">
        <v>10</v>
      </c>
      <c r="O3" s="130" t="s">
        <v>221</v>
      </c>
      <c r="P3" s="130" t="s">
        <v>222</v>
      </c>
      <c r="Q3" s="131" t="s">
        <v>223</v>
      </c>
      <c r="R3" s="131" t="s">
        <v>224</v>
      </c>
      <c r="S3" s="131" t="s">
        <v>225</v>
      </c>
      <c r="T3" s="130" t="s">
        <v>226</v>
      </c>
      <c r="U3" s="133" t="s">
        <v>227</v>
      </c>
    </row>
    <row r="4" spans="1:22" s="5" customFormat="1">
      <c r="A4" s="127"/>
      <c r="B4" s="127"/>
      <c r="C4" s="128"/>
      <c r="D4" s="128"/>
      <c r="E4" s="128"/>
      <c r="F4" s="44" t="s">
        <v>11</v>
      </c>
      <c r="G4" s="128"/>
      <c r="H4" s="44" t="s">
        <v>12</v>
      </c>
      <c r="I4" s="45" t="s">
        <v>13</v>
      </c>
      <c r="J4" s="44" t="s">
        <v>14</v>
      </c>
      <c r="K4" s="128"/>
      <c r="L4" s="130"/>
      <c r="M4" s="130"/>
      <c r="N4" s="130"/>
      <c r="O4" s="130"/>
      <c r="P4" s="130"/>
      <c r="Q4" s="132"/>
      <c r="R4" s="132"/>
      <c r="S4" s="132"/>
      <c r="T4" s="130"/>
      <c r="U4" s="134"/>
    </row>
    <row r="5" spans="1:22">
      <c r="A5" s="10">
        <v>1</v>
      </c>
      <c r="B5" s="11" t="s">
        <v>15</v>
      </c>
      <c r="C5" s="46">
        <f>+'วันที่ 1'!C5</f>
        <v>15</v>
      </c>
      <c r="D5" s="47">
        <f>+'วันที่ 1'!D5+'วันที่ 2'!D5+'วันที่ 3'!D5+'วันที่ 4'!D5+'วันที่ 5'!D5+'วันที่ 6'!D5+'วันที่  7'!D5+'วันที่  8'!D5+'วันที่  9'!D5+'วันที่  10'!D5+'วันที่  11'!D5+'วันที่  12'!D5+'วันที่  13'!D5+'วันที่ 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45</v>
      </c>
      <c r="E5" s="46">
        <f>+C5+D5</f>
        <v>60</v>
      </c>
      <c r="F5" s="47">
        <f>+'วันที่ 1'!F5+'วันที่ 2'!F5+'วันที่ 3'!F5+'วันที่ 4'!F5+'วันที่ 5'!F5+'วันที่ 6'!F5+'วันที่  7'!F5+'วันที่  8'!F5+'วันที่  9'!F5+'วันที่  10'!F5+'วันที่  11'!F5+'วันที่  12'!F5+'วันที่  13'!F5+'วันที่ 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92">
        <f>E5-F5-H5</f>
        <v>9</v>
      </c>
      <c r="H5" s="47">
        <f>+'วันที่ 1'!H5+'วันที่ 2'!H5+'วันที่ 3'!H5+'วันที่ 4'!H5+'วันที่ 5'!H5+'วันที่ 6'!H5+'วันที่  7'!H5+'วันที่  8'!H5+'วันที่  9'!H5+'วันที่  10'!H5+'วันที่  11'!H5+'วันที่  12'!H5+'วันที่  13'!H5+'วันที่ 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51</v>
      </c>
      <c r="I5" s="15">
        <v>50</v>
      </c>
      <c r="J5" s="47">
        <f>+'วันที่ 1'!J5+'วันที่ 2'!J5+'วันที่ 3'!J5+'วันที่ 4'!J5+'วันที่ 5'!J5+'วันที่ 6'!J5+'วันที่  7'!J5+'วันที่  8'!J5+'วันที่  9'!J5+'วันที่  10'!J5+'วันที่  11'!J5+'วันที่  12'!J5+'วันที่  13'!J5+'วันที่ 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2550</v>
      </c>
      <c r="K5" s="15"/>
      <c r="L5" s="49">
        <v>1</v>
      </c>
      <c r="M5" s="50">
        <f>+'วันที่ 1'!K207</f>
        <v>2680</v>
      </c>
      <c r="N5" s="50">
        <f>+'วันที่ 1'!K212</f>
        <v>50</v>
      </c>
      <c r="O5" s="50">
        <f>+'วันที่ 1'!K210</f>
        <v>0</v>
      </c>
      <c r="P5" s="50">
        <f>+'วันที่ 1'!K208</f>
        <v>0</v>
      </c>
      <c r="Q5" s="50">
        <f>+'วันที่ 1'!K211</f>
        <v>0</v>
      </c>
      <c r="R5" s="50">
        <f>+'วันที่ 1'!K209</f>
        <v>650</v>
      </c>
      <c r="S5" s="50">
        <f>+M5-N5-P5-R5-Q5</f>
        <v>1980</v>
      </c>
      <c r="T5" s="50">
        <f>+'วันที่ 1'!K214</f>
        <v>1980</v>
      </c>
      <c r="U5" s="51">
        <f>+T5-S5</f>
        <v>0</v>
      </c>
      <c r="V5" s="5"/>
    </row>
    <row r="6" spans="1:22">
      <c r="A6" s="10">
        <v>2</v>
      </c>
      <c r="B6" s="11" t="s">
        <v>17</v>
      </c>
      <c r="C6" s="46">
        <f>+'วันที่ 1'!C6</f>
        <v>16</v>
      </c>
      <c r="D6" s="47">
        <f>+'วันที่ 1'!D6+'วันที่ 2'!D6+'วันที่ 3'!D6+'วันที่ 4'!D6+'วันที่ 5'!D6+'วันที่ 6'!D6+'วันที่  7'!D6+'วันที่  8'!D6+'วันที่  9'!D6+'วันที่  10'!D6+'วันที่  11'!D6+'วันที่  12'!D6+'วันที่  13'!D6+'วันที่ 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75</v>
      </c>
      <c r="E6" s="46">
        <f t="shared" ref="E6:E69" si="0">+C6+D6</f>
        <v>91</v>
      </c>
      <c r="F6" s="47">
        <f>+'วันที่ 1'!F6+'วันที่ 2'!F6+'วันที่ 3'!F6+'วันที่ 4'!F6+'วันที่ 5'!F6+'วันที่ 6'!F6+'วันที่  7'!F6+'วันที่  8'!F6+'วันที่  9'!F6+'วันที่  10'!F6+'วันที่  11'!F6+'วันที่  12'!F6+'วันที่  13'!F6+'วันที่ 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92">
        <f t="shared" ref="G6:G69" si="1">E6-F6-H6</f>
        <v>22</v>
      </c>
      <c r="H6" s="47">
        <f>+'วันที่ 1'!H6+'วันที่ 2'!H6+'วันที่ 3'!H6+'วันที่ 4'!H6+'วันที่ 5'!H6+'วันที่ 6'!H6+'วันที่  7'!H6+'วันที่  8'!H6+'วันที่  9'!H6+'วันที่  10'!H6+'วันที่  11'!H6+'วันที่  12'!H6+'วันที่  13'!H6+'วันที่ 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69</v>
      </c>
      <c r="I6" s="15">
        <v>100</v>
      </c>
      <c r="J6" s="47">
        <f>+'วันที่ 1'!J6+'วันที่ 2'!J6+'วันที่ 3'!J6+'วันที่ 4'!J6+'วันที่ 5'!J6+'วันที่ 6'!J6+'วันที่  7'!J6+'วันที่  8'!J6+'วันที่  9'!J6+'วันที่  10'!J6+'วันที่  11'!J6+'วันที่  12'!J6+'วันที่  13'!J6+'วันที่ 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6900</v>
      </c>
      <c r="K6" s="15"/>
      <c r="L6" s="49">
        <v>2</v>
      </c>
      <c r="M6" s="50">
        <f>+'วันที่ 2'!K207</f>
        <v>2250</v>
      </c>
      <c r="N6" s="50">
        <f>+'วันที่ 2'!K212</f>
        <v>0</v>
      </c>
      <c r="O6" s="50">
        <f>+'วันที่ 2'!K210</f>
        <v>0</v>
      </c>
      <c r="P6" s="50">
        <f>+'วันที่ 2'!K208</f>
        <v>0</v>
      </c>
      <c r="Q6" s="50">
        <f>+'วันที่ 2'!K211</f>
        <v>0</v>
      </c>
      <c r="R6" s="50">
        <f>+'วันที่ 2'!K209</f>
        <v>485</v>
      </c>
      <c r="S6" s="50">
        <f t="shared" ref="S6:S35" si="2">+M6-N6-P6-R6-Q6</f>
        <v>1765</v>
      </c>
      <c r="T6" s="50">
        <f>+'วันที่ 2'!K214</f>
        <v>1765</v>
      </c>
      <c r="U6" s="51">
        <f t="shared" ref="U6:U35" si="3">+T6-S6</f>
        <v>0</v>
      </c>
      <c r="V6" s="5"/>
    </row>
    <row r="7" spans="1:22">
      <c r="A7" s="10">
        <v>3</v>
      </c>
      <c r="B7" s="11" t="s">
        <v>18</v>
      </c>
      <c r="C7" s="46">
        <f>+'วันที่ 1'!C7</f>
        <v>0</v>
      </c>
      <c r="D7" s="47">
        <f>+'วันที่ 1'!D7+'วันที่ 2'!D7+'วันที่ 3'!D7+'วันที่ 4'!D7+'วันที่ 5'!D7+'วันที่ 6'!D7+'วันที่  7'!D7+'วันที่  8'!D7+'วันที่  9'!D7+'วันที่  10'!D7+'วันที่  11'!D7+'วันที่  12'!D7+'วันที่  13'!D7+'วันที่ 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0"/>
        <v>0</v>
      </c>
      <c r="F7" s="47">
        <f>+'วันที่ 1'!F7+'วันที่ 2'!F7+'วันที่ 3'!F7+'วันที่ 4'!F7+'วันที่ 5'!F7+'วันที่ 6'!F7+'วันที่  7'!F7+'วันที่  8'!F7+'วันที่  9'!F7+'วันที่  10'!F7+'วันที่  11'!F7+'วันที่  12'!F7+'วันที่  13'!F7+'วันที่ 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2">
        <f t="shared" si="1"/>
        <v>0</v>
      </c>
      <c r="H7" s="47">
        <f>+'วันที่ 1'!H7+'วันที่ 2'!H7+'วันที่ 3'!H7+'วันที่ 4'!H7+'วันที่ 5'!H7+'วันที่ 6'!H7+'วันที่  7'!H7+'วันที่  8'!H7+'วันที่  9'!H7+'วันที่  10'!H7+'วันที่  11'!H7+'วันที่  12'!H7+'วันที่  13'!H7+'วันที่ 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5">
        <v>50</v>
      </c>
      <c r="J7" s="47">
        <f>+'วันที่ 1'!J7+'วันที่ 2'!J7+'วันที่ 3'!J7+'วันที่ 4'!J7+'วันที่ 5'!J7+'วันที่ 6'!J7+'วันที่  7'!J7+'วันที่  8'!J7+'วันที่  9'!J7+'วันที่  10'!J7+'วันที่  11'!J7+'วันที่  12'!J7+'วันที่  13'!J7+'วันที่ 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5"/>
      <c r="L7" s="49">
        <v>3</v>
      </c>
      <c r="M7" s="50">
        <f>+'วันที่ 3'!K207</f>
        <v>2775</v>
      </c>
      <c r="N7" s="50">
        <f>+'วันที่ 3'!K212</f>
        <v>100</v>
      </c>
      <c r="O7" s="50">
        <f>+'วันที่ 3'!K210</f>
        <v>0</v>
      </c>
      <c r="P7" s="50">
        <f>+'วันที่ 3'!K208</f>
        <v>0</v>
      </c>
      <c r="Q7" s="50">
        <f>+'วันที่ 3'!K211</f>
        <v>0</v>
      </c>
      <c r="R7" s="50">
        <f>+'วันที่ 3'!K209</f>
        <v>0</v>
      </c>
      <c r="S7" s="50">
        <f t="shared" si="2"/>
        <v>2675</v>
      </c>
      <c r="T7" s="50">
        <f>+'วันที่ 3'!K214</f>
        <v>2675</v>
      </c>
      <c r="U7" s="51">
        <f t="shared" si="3"/>
        <v>0</v>
      </c>
      <c r="V7" s="5"/>
    </row>
    <row r="8" spans="1:22">
      <c r="A8" s="10">
        <v>4</v>
      </c>
      <c r="B8" s="11" t="s">
        <v>19</v>
      </c>
      <c r="C8" s="46">
        <f>+'วันที่ 1'!C8</f>
        <v>0</v>
      </c>
      <c r="D8" s="47">
        <f>+'วันที่ 1'!D8+'วันที่ 2'!D8+'วันที่ 3'!D8+'วันที่ 4'!D8+'วันที่ 5'!D8+'วันที่ 6'!D8+'วันที่  7'!D8+'วันที่  8'!D8+'วันที่  9'!D8+'วันที่  10'!D8+'วันที่  11'!D8+'วันที่  12'!D8+'วันที่  13'!D8+'วันที่ 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0"/>
        <v>0</v>
      </c>
      <c r="F8" s="47">
        <f>+'วันที่ 1'!F8+'วันที่ 2'!F8+'วันที่ 3'!F8+'วันที่ 4'!F8+'วันที่ 5'!F8+'วันที่ 6'!F8+'วันที่  7'!F8+'วันที่  8'!F8+'วันที่  9'!F8+'วันที่  10'!F8+'วันที่  11'!F8+'วันที่  12'!F8+'วันที่  13'!F8+'วันที่ 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2">
        <f t="shared" si="1"/>
        <v>0</v>
      </c>
      <c r="H8" s="47">
        <f>+'วันที่ 1'!H8+'วันที่ 2'!H8+'วันที่ 3'!H8+'วันที่ 4'!H8+'วันที่ 5'!H8+'วันที่ 6'!H8+'วันที่  7'!H8+'วันที่  8'!H8+'วันที่  9'!H8+'วันที่  10'!H8+'วันที่  11'!H8+'วันที่  12'!H8+'วันที่  13'!H8+'วันที่ 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5">
        <v>100</v>
      </c>
      <c r="J8" s="47">
        <f>+'วันที่ 1'!J8+'วันที่ 2'!J8+'วันที่ 3'!J8+'วันที่ 4'!J8+'วันที่ 5'!J8+'วันที่ 6'!J8+'วันที่  7'!J8+'วันที่  8'!J8+'วันที่  9'!J8+'วันที่  10'!J8+'วันที่  11'!J8+'วันที่  12'!J8+'วันที่  13'!J8+'วันที่ 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5"/>
      <c r="L8" s="49">
        <v>4</v>
      </c>
      <c r="M8" s="50">
        <f>+'วันที่ 4'!K207</f>
        <v>6385</v>
      </c>
      <c r="N8" s="50">
        <f>+'วันที่ 4'!K212</f>
        <v>350</v>
      </c>
      <c r="O8" s="50">
        <f>+'วันที่ 4'!K210</f>
        <v>0</v>
      </c>
      <c r="P8" s="50">
        <f>+'วันที่ 4'!K208</f>
        <v>0</v>
      </c>
      <c r="Q8" s="50">
        <f>+'วันที่ 4'!K211</f>
        <v>0</v>
      </c>
      <c r="R8" s="50">
        <f>+'วันที่ 4'!K209</f>
        <v>0</v>
      </c>
      <c r="S8" s="50">
        <f t="shared" si="2"/>
        <v>6035</v>
      </c>
      <c r="T8" s="50">
        <f>+'วันที่ 4'!K214</f>
        <v>6035</v>
      </c>
      <c r="U8" s="51">
        <f t="shared" si="3"/>
        <v>0</v>
      </c>
      <c r="V8" s="5"/>
    </row>
    <row r="9" spans="1:22">
      <c r="A9" s="10">
        <v>5</v>
      </c>
      <c r="B9" s="11" t="s">
        <v>20</v>
      </c>
      <c r="C9" s="46">
        <f>+'วันที่ 1'!C9</f>
        <v>0</v>
      </c>
      <c r="D9" s="47">
        <f>+'วันที่ 1'!D9+'วันที่ 2'!D9+'วันที่ 3'!D9+'วันที่ 4'!D9+'วันที่ 5'!D9+'วันที่ 6'!D9+'วันที่  7'!D9+'วันที่  8'!D9+'วันที่  9'!D9+'วันที่  10'!D9+'วันที่  11'!D9+'วันที่  12'!D9+'วันที่  13'!D9+'วันที่ 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0"/>
        <v>0</v>
      </c>
      <c r="F9" s="47">
        <f>+'วันที่ 1'!F9+'วันที่ 2'!F9+'วันที่ 3'!F9+'วันที่ 4'!F9+'วันที่ 5'!F9+'วันที่ 6'!F9+'วันที่  7'!F9+'วันที่  8'!F9+'วันที่  9'!F9+'วันที่  10'!F9+'วันที่  11'!F9+'วันที่  12'!F9+'วันที่  13'!F9+'วันที่ 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2">
        <f t="shared" si="1"/>
        <v>0</v>
      </c>
      <c r="H9" s="47">
        <f>+'วันที่ 1'!H9+'วันที่ 2'!H9+'วันที่ 3'!H9+'วันที่ 4'!H9+'วันที่ 5'!H9+'วันที่ 6'!H9+'วันที่  7'!H9+'วันที่  8'!H9+'วันที่  9'!H9+'วันที่  10'!H9+'วันที่  11'!H9+'วันที่  12'!H9+'วันที่  13'!H9+'วันที่ 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5">
        <v>10</v>
      </c>
      <c r="J9" s="47">
        <f>+'วันที่ 1'!J9+'วันที่ 2'!J9+'วันที่ 3'!J9+'วันที่ 4'!J9+'วันที่ 5'!J9+'วันที่ 6'!J9+'วันที่  7'!J9+'วันที่  8'!J9+'วันที่  9'!J9+'วันที่  10'!J9+'วันที่  11'!J9+'วันที่  12'!J9+'วันที่  13'!J9+'วันที่ 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5"/>
      <c r="L9" s="49">
        <v>5</v>
      </c>
      <c r="M9" s="50">
        <f>+'วันที่ 5'!K207</f>
        <v>3300</v>
      </c>
      <c r="N9" s="50">
        <f>+'วันที่ 5'!K212</f>
        <v>50</v>
      </c>
      <c r="O9" s="50">
        <f>+'วันที่ 5'!K210</f>
        <v>0</v>
      </c>
      <c r="P9" s="50">
        <f>+'วันที่ 5'!K208</f>
        <v>0</v>
      </c>
      <c r="Q9" s="50">
        <f>+'วันที่ 5'!K211</f>
        <v>0</v>
      </c>
      <c r="R9" s="50">
        <f>+'วันที่ 5'!K209</f>
        <v>150</v>
      </c>
      <c r="S9" s="50">
        <f t="shared" si="2"/>
        <v>3100</v>
      </c>
      <c r="T9" s="50">
        <f>+'วันที่ 5'!K214</f>
        <v>3100</v>
      </c>
      <c r="U9" s="51">
        <f t="shared" si="3"/>
        <v>0</v>
      </c>
      <c r="V9" s="5"/>
    </row>
    <row r="10" spans="1:22">
      <c r="A10" s="10">
        <v>6</v>
      </c>
      <c r="B10" s="11" t="s">
        <v>21</v>
      </c>
      <c r="C10" s="46">
        <f>+'วันที่ 1'!C10</f>
        <v>0</v>
      </c>
      <c r="D10" s="47">
        <f>+'วันที่ 1'!D10+'วันที่ 2'!D10+'วันที่ 3'!D10+'วันที่ 4'!D10+'วันที่ 5'!D10+'วันที่ 6'!D10+'วันที่  7'!D10+'วันที่  8'!D10+'วันที่  9'!D10+'วันที่  10'!D10+'วันที่  11'!D10+'วันที่  12'!D10+'วันที่  13'!D10+'วันที่ 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0"/>
        <v>0</v>
      </c>
      <c r="F10" s="47">
        <f>+'วันที่ 1'!F10+'วันที่ 2'!F10+'วันที่ 3'!F10+'วันที่ 4'!F10+'วันที่ 5'!F10+'วันที่ 6'!F10+'วันที่  7'!F10+'วันที่  8'!F10+'วันที่  9'!F10+'วันที่  10'!F10+'วันที่  11'!F10+'วันที่  12'!F10+'วันที่  13'!F10+'วันที่ 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2">
        <f t="shared" si="1"/>
        <v>0</v>
      </c>
      <c r="H10" s="47">
        <f>+'วันที่ 1'!H10+'วันที่ 2'!H10+'วันที่ 3'!H10+'วันที่ 4'!H10+'วันที่ 5'!H10+'วันที่ 6'!H10+'วันที่  7'!H10+'วันที่  8'!H10+'วันที่  9'!H10+'วันที่  10'!H10+'วันที่  11'!H10+'วันที่  12'!H10+'วันที่  13'!H10+'วันที่ 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5">
        <v>12</v>
      </c>
      <c r="J10" s="47">
        <f>+'วันที่ 1'!J10+'วันที่ 2'!J10+'วันที่ 3'!J10+'วันที่ 4'!J10+'วันที่ 5'!J10+'วันที่ 6'!J10+'วันที่  7'!J10+'วันที่  8'!J10+'วันที่  9'!J10+'วันที่  10'!J10+'วันที่  11'!J10+'วันที่  12'!J10+'วันที่  13'!J10+'วันที่ 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5"/>
      <c r="L10" s="49">
        <v>6</v>
      </c>
      <c r="M10" s="50">
        <f>+'วันที่ 6'!K207</f>
        <v>3230</v>
      </c>
      <c r="N10" s="50">
        <f>+'วันที่ 6'!K212</f>
        <v>100</v>
      </c>
      <c r="O10" s="50">
        <f>+'วันที่ 6'!K210</f>
        <v>0</v>
      </c>
      <c r="P10" s="50">
        <f>+'วันที่ 6'!K208</f>
        <v>0</v>
      </c>
      <c r="Q10" s="50">
        <f>+'วันที่ 6'!K211</f>
        <v>0</v>
      </c>
      <c r="R10" s="50">
        <f>+'วันที่ 6'!K209</f>
        <v>200</v>
      </c>
      <c r="S10" s="50">
        <f t="shared" si="2"/>
        <v>2930</v>
      </c>
      <c r="T10" s="50">
        <f>+'วันที่ 6'!K214</f>
        <v>2930</v>
      </c>
      <c r="U10" s="51">
        <f t="shared" si="3"/>
        <v>0</v>
      </c>
      <c r="V10" s="5"/>
    </row>
    <row r="11" spans="1:22">
      <c r="A11" s="10">
        <v>7</v>
      </c>
      <c r="B11" s="19" t="s">
        <v>22</v>
      </c>
      <c r="C11" s="46">
        <f>+'วันที่ 1'!C11</f>
        <v>0</v>
      </c>
      <c r="D11" s="47">
        <f>+'วันที่ 1'!D11+'วันที่ 2'!D11+'วันที่ 3'!D11+'วันที่ 4'!D11+'วันที่ 5'!D11+'วันที่ 6'!D11+'วันที่  7'!D11+'วันที่  8'!D11+'วันที่  9'!D11+'วันที่  10'!D11+'วันที่  11'!D11+'วันที่  12'!D11+'วันที่  13'!D11+'วันที่ 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0"/>
        <v>0</v>
      </c>
      <c r="F11" s="47">
        <f>+'วันที่ 1'!F11+'วันที่ 2'!F11+'วันที่ 3'!F11+'วันที่ 4'!F11+'วันที่ 5'!F11+'วันที่ 6'!F11+'วันที่  7'!F11+'วันที่  8'!F11+'วันที่  9'!F11+'วันที่  10'!F11+'วันที่  11'!F11+'วันที่  12'!F11+'วันที่  13'!F11+'วันที่ 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2">
        <f t="shared" si="1"/>
        <v>0</v>
      </c>
      <c r="H11" s="47">
        <f>+'วันที่ 1'!H11+'วันที่ 2'!H11+'วันที่ 3'!H11+'วันที่ 4'!H11+'วันที่ 5'!H11+'วันที่ 6'!H11+'วันที่  7'!H11+'วันที่  8'!H11+'วันที่  9'!H11+'วันที่  10'!H11+'วันที่  11'!H11+'วันที่  12'!H11+'วันที่  13'!H11+'วันที่ 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5">
        <v>40</v>
      </c>
      <c r="J11" s="47">
        <f>+'วันที่ 1'!J11+'วันที่ 2'!J11+'วันที่ 3'!J11+'วันที่ 4'!J11+'วันที่ 5'!J11+'วันที่ 6'!J11+'วันที่  7'!J11+'วันที่  8'!J11+'วันที่  9'!J11+'วันที่  10'!J11+'วันที่  11'!J11+'วันที่  12'!J11+'วันที่  13'!J11+'วันที่ 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5"/>
      <c r="L11" s="49">
        <v>7</v>
      </c>
      <c r="M11" s="50">
        <f>+'วันที่  7'!K207</f>
        <v>2435</v>
      </c>
      <c r="N11" s="50">
        <f>+'วันที่  7'!K212</f>
        <v>120</v>
      </c>
      <c r="O11" s="50">
        <f>+'วันที่  7'!K210</f>
        <v>0</v>
      </c>
      <c r="P11" s="50">
        <f>+'วันที่  7'!K208</f>
        <v>0</v>
      </c>
      <c r="Q11" s="50">
        <f>+'วันที่  7'!K211</f>
        <v>0</v>
      </c>
      <c r="R11" s="50">
        <f>+'วันที่  7'!K209</f>
        <v>0</v>
      </c>
      <c r="S11" s="50">
        <f t="shared" si="2"/>
        <v>2315</v>
      </c>
      <c r="T11" s="50">
        <f>+'วันที่  7'!K214</f>
        <v>2315</v>
      </c>
      <c r="U11" s="51">
        <f t="shared" si="3"/>
        <v>0</v>
      </c>
      <c r="V11" s="5"/>
    </row>
    <row r="12" spans="1:22">
      <c r="A12" s="10">
        <v>8</v>
      </c>
      <c r="B12" s="19" t="s">
        <v>23</v>
      </c>
      <c r="C12" s="46">
        <f>+'วันที่ 1'!C12</f>
        <v>12</v>
      </c>
      <c r="D12" s="47">
        <f>+'วันที่ 1'!D12+'วันที่ 2'!D12+'วันที่ 3'!D12+'วันที่ 4'!D12+'วันที่ 5'!D12+'วันที่ 6'!D12+'วันที่  7'!D12+'วันที่  8'!D12+'วันที่  9'!D12+'วันที่  10'!D12+'วันที่  11'!D12+'วันที่  12'!D12+'วันที่  13'!D12+'วันที่ 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40</v>
      </c>
      <c r="E12" s="46">
        <f t="shared" si="0"/>
        <v>52</v>
      </c>
      <c r="F12" s="47">
        <f>+'วันที่ 1'!F12+'วันที่ 2'!F12+'วันที่ 3'!F12+'วันที่ 4'!F12+'วันที่ 5'!F12+'วันที่ 6'!F12+'วันที่  7'!F12+'วันที่  8'!F12+'วันที่  9'!F12+'วันที่  10'!F12+'วันที่  11'!F12+'วันที่  12'!F12+'วันที่  13'!F12+'วันที่ 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2">
        <f t="shared" si="1"/>
        <v>7</v>
      </c>
      <c r="H12" s="47">
        <f>+'วันที่ 1'!H12+'วันที่ 2'!H12+'วันที่ 3'!H12+'วันที่ 4'!H12+'วันที่ 5'!H12+'วันที่ 6'!H12+'วันที่  7'!H12+'วันที่  8'!H12+'วันที่  9'!H12+'วันที่  10'!H12+'วันที่  11'!H12+'วันที่  12'!H12+'วันที่  13'!H12+'วันที่ 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45</v>
      </c>
      <c r="I12" s="15">
        <v>50</v>
      </c>
      <c r="J12" s="47">
        <f>+'วันที่ 1'!J12+'วันที่ 2'!J12+'วันที่ 3'!J12+'วันที่ 4'!J12+'วันที่ 5'!J12+'วันที่ 6'!J12+'วันที่  7'!J12+'วันที่  8'!J12+'วันที่  9'!J12+'วันที่  10'!J12+'วันที่  11'!J12+'วันที่  12'!J12+'วันที่  13'!J12+'วันที่ 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2250</v>
      </c>
      <c r="K12" s="15"/>
      <c r="L12" s="49">
        <v>8</v>
      </c>
      <c r="M12" s="50">
        <f>+'วันที่  8'!K207</f>
        <v>2555</v>
      </c>
      <c r="N12" s="50">
        <f>+'วันที่  8'!K212</f>
        <v>50</v>
      </c>
      <c r="O12" s="50">
        <f>+'วันที่  8'!K210</f>
        <v>0</v>
      </c>
      <c r="P12" s="50">
        <f>+'วันที่  8'!K208</f>
        <v>0</v>
      </c>
      <c r="Q12" s="50">
        <f>+'วันที่  8'!K211</f>
        <v>0</v>
      </c>
      <c r="R12" s="50">
        <f>+'วันที่  8'!K209</f>
        <v>410</v>
      </c>
      <c r="S12" s="50">
        <f t="shared" si="2"/>
        <v>2095</v>
      </c>
      <c r="T12" s="50">
        <f>+'วันที่  8'!K214</f>
        <v>2095</v>
      </c>
      <c r="U12" s="51">
        <f t="shared" si="3"/>
        <v>0</v>
      </c>
      <c r="V12" s="5"/>
    </row>
    <row r="13" spans="1:22">
      <c r="A13" s="10">
        <v>9</v>
      </c>
      <c r="B13" s="19" t="s">
        <v>24</v>
      </c>
      <c r="C13" s="46">
        <f>+'วันที่ 1'!C13</f>
        <v>0</v>
      </c>
      <c r="D13" s="47">
        <f>+'วันที่ 1'!D13+'วันที่ 2'!D13+'วันที่ 3'!D13+'วันที่ 4'!D13+'วันที่ 5'!D13+'วันที่ 6'!D13+'วันที่  7'!D13+'วันที่  8'!D13+'วันที่  9'!D13+'วันที่  10'!D13+'วันที่  11'!D13+'วันที่  12'!D13+'วันที่  13'!D13+'วันที่ 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0"/>
        <v>0</v>
      </c>
      <c r="F13" s="47">
        <f>+'วันที่ 1'!F13+'วันที่ 2'!F13+'วันที่ 3'!F13+'วันที่ 4'!F13+'วันที่ 5'!F13+'วันที่ 6'!F13+'วันที่  7'!F13+'วันที่  8'!F13+'วันที่  9'!F13+'วันที่  10'!F13+'วันที่  11'!F13+'วันที่  12'!F13+'วันที่  13'!F13+'วันที่ 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2">
        <f t="shared" si="1"/>
        <v>0</v>
      </c>
      <c r="H13" s="47">
        <f>+'วันที่ 1'!H13+'วันที่ 2'!H13+'วันที่ 3'!H13+'วันที่ 4'!H13+'วันที่ 5'!H13+'วันที่ 6'!H13+'วันที่  7'!H13+'วันที่  8'!H13+'วันที่  9'!H13+'วันที่  10'!H13+'วันที่  11'!H13+'วันที่  12'!H13+'วันที่  13'!H13+'วันที่ 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15">
        <v>55</v>
      </c>
      <c r="J13" s="47">
        <f>+'วันที่ 1'!J13+'วันที่ 2'!J13+'วันที่ 3'!J13+'วันที่ 4'!J13+'วันที่ 5'!J13+'วันที่ 6'!J13+'วันที่  7'!J13+'วันที่  8'!J13+'วันที่  9'!J13+'วันที่  10'!J13+'วันที่  11'!J13+'วันที่  12'!J13+'วันที่  13'!J13+'วันที่ 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5"/>
      <c r="L13" s="49">
        <v>9</v>
      </c>
      <c r="M13" s="50">
        <f>+'วันที่  9'!K207</f>
        <v>1050</v>
      </c>
      <c r="N13" s="50">
        <f>+'วันที่  9'!K212</f>
        <v>50</v>
      </c>
      <c r="O13" s="50">
        <f>+'วันที่  9'!K210</f>
        <v>0</v>
      </c>
      <c r="P13" s="50">
        <f>+'วันที่  9'!K208</f>
        <v>0</v>
      </c>
      <c r="Q13" s="50">
        <f>+'วันที่  9'!K211</f>
        <v>0</v>
      </c>
      <c r="R13" s="50">
        <f>+'วันที่  9'!K209</f>
        <v>100</v>
      </c>
      <c r="S13" s="50">
        <f t="shared" si="2"/>
        <v>900</v>
      </c>
      <c r="T13" s="50">
        <f>+'วันที่  9'!K214</f>
        <v>900</v>
      </c>
      <c r="U13" s="51">
        <f t="shared" si="3"/>
        <v>0</v>
      </c>
      <c r="V13" s="5"/>
    </row>
    <row r="14" spans="1:22">
      <c r="A14" s="10">
        <v>10</v>
      </c>
      <c r="B14" s="19" t="s">
        <v>25</v>
      </c>
      <c r="C14" s="46">
        <f>+'วันที่ 1'!C14</f>
        <v>0</v>
      </c>
      <c r="D14" s="47">
        <f>+'วันที่ 1'!D14+'วันที่ 2'!D14+'วันที่ 3'!D14+'วันที่ 4'!D14+'วันที่ 5'!D14+'วันที่ 6'!D14+'วันที่  7'!D14+'วันที่  8'!D14+'วันที่  9'!D14+'วันที่  10'!D14+'วันที่  11'!D14+'วันที่  12'!D14+'วันที่  13'!D14+'วันที่ 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10</v>
      </c>
      <c r="E14" s="46">
        <f t="shared" si="0"/>
        <v>10</v>
      </c>
      <c r="F14" s="47">
        <f>+'วันที่ 1'!F14+'วันที่ 2'!F14+'วันที่ 3'!F14+'วันที่ 4'!F14+'วันที่ 5'!F14+'วันที่ 6'!F14+'วันที่  7'!F14+'วันที่  8'!F14+'วันที่  9'!F14+'วันที่  10'!F14+'วันที่  11'!F14+'วันที่  12'!F14+'วันที่  13'!F14+'วันที่ 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92">
        <f t="shared" si="1"/>
        <v>-1</v>
      </c>
      <c r="H14" s="47">
        <f>+'วันที่ 1'!H14+'วันที่ 2'!H14+'วันที่ 3'!H14+'วันที่ 4'!H14+'วันที่ 5'!H14+'วันที่ 6'!H14+'วันที่  7'!H14+'วันที่  8'!H14+'วันที่  9'!H14+'วันที่  10'!H14+'วันที่  11'!H14+'วันที่  12'!H14+'วันที่  13'!H14+'วันที่ 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11</v>
      </c>
      <c r="I14" s="15">
        <v>65</v>
      </c>
      <c r="J14" s="47">
        <f>+'วันที่ 1'!J14+'วันที่ 2'!J14+'วันที่ 3'!J14+'วันที่ 4'!J14+'วันที่ 5'!J14+'วันที่ 6'!J14+'วันที่  7'!J14+'วันที่  8'!J14+'วันที่  9'!J14+'วันที่  10'!J14+'วันที่  11'!J14+'วันที่  12'!J14+'วันที่  13'!J14+'วันที่ 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715</v>
      </c>
      <c r="K14" s="15"/>
      <c r="L14" s="49">
        <v>10</v>
      </c>
      <c r="M14" s="50">
        <f>+'วันที่  10'!K207</f>
        <v>4635</v>
      </c>
      <c r="N14" s="50">
        <f>+'วันที่  10'!K212</f>
        <v>200</v>
      </c>
      <c r="O14" s="50">
        <f>+'วันที่  10'!K210</f>
        <v>0</v>
      </c>
      <c r="P14" s="50">
        <f>+'วันที่  10'!K208</f>
        <v>0</v>
      </c>
      <c r="Q14" s="50">
        <f>+'วันที่  10'!K211</f>
        <v>0</v>
      </c>
      <c r="R14" s="50">
        <f>+'วันที่  10'!K209</f>
        <v>630</v>
      </c>
      <c r="S14" s="50">
        <f t="shared" si="2"/>
        <v>3805</v>
      </c>
      <c r="T14" s="50">
        <f>+'วันที่  10'!K214</f>
        <v>3805</v>
      </c>
      <c r="U14" s="51">
        <f t="shared" si="3"/>
        <v>0</v>
      </c>
      <c r="V14" s="5"/>
    </row>
    <row r="15" spans="1:22">
      <c r="A15" s="10">
        <v>11</v>
      </c>
      <c r="B15" s="81" t="s">
        <v>26</v>
      </c>
      <c r="C15" s="46">
        <f>+'วันที่ 1'!C15</f>
        <v>4</v>
      </c>
      <c r="D15" s="47">
        <f>+'วันที่ 1'!D15+'วันที่ 2'!D15+'วันที่ 3'!D15+'วันที่ 4'!D15+'วันที่ 5'!D15+'วันที่ 6'!D15+'วันที่  7'!D15+'วันที่  8'!D15+'วันที่  9'!D15+'วันที่  10'!D15+'วันที่  11'!D15+'วันที่  12'!D15+'วันที่  13'!D15+'วันที่ 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11</v>
      </c>
      <c r="E15" s="46">
        <f t="shared" si="0"/>
        <v>15</v>
      </c>
      <c r="F15" s="47">
        <f>+'วันที่ 1'!F15+'วันที่ 2'!F15+'วันที่ 3'!F15+'วันที่ 4'!F15+'วันที่ 5'!F15+'วันที่ 6'!F15+'วันที่  7'!F15+'วันที่  8'!F15+'วันที่  9'!F15+'วันที่  10'!F15+'วันที่  11'!F15+'วันที่  12'!F15+'วันที่  13'!F15+'วันที่ 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92">
        <f t="shared" si="1"/>
        <v>5</v>
      </c>
      <c r="H15" s="47">
        <f>+'วันที่ 1'!H15+'วันที่ 2'!H15+'วันที่ 3'!H15+'วันที่ 4'!H15+'วันที่ 5'!H15+'วันที่ 6'!H15+'วันที่  7'!H15+'วันที่  8'!H15+'วันที่  9'!H15+'วันที่  10'!H15+'วันที่  11'!H15+'วันที่  12'!H15+'วันที่  13'!H15+'วันที่ 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10</v>
      </c>
      <c r="I15" s="15">
        <v>50</v>
      </c>
      <c r="J15" s="47">
        <f>+'วันที่ 1'!J15+'วันที่ 2'!J15+'วันที่ 3'!J15+'วันที่ 4'!J15+'วันที่ 5'!J15+'วันที่ 6'!J15+'วันที่  7'!J15+'วันที่  8'!J15+'วันที่  9'!J15+'วันที่  10'!J15+'วันที่  11'!J15+'วันที่  12'!J15+'วันที่  13'!J15+'วันที่ 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500</v>
      </c>
      <c r="K15" s="15"/>
      <c r="L15" s="49">
        <v>11</v>
      </c>
      <c r="M15" s="50">
        <f>+'วันที่  11'!K207</f>
        <v>8805</v>
      </c>
      <c r="N15" s="50">
        <f>+'วันที่  11'!K212</f>
        <v>585</v>
      </c>
      <c r="O15" s="50">
        <f>+'วันที่  11'!K210</f>
        <v>0</v>
      </c>
      <c r="P15" s="50">
        <f>+'วันที่  11'!K208</f>
        <v>0</v>
      </c>
      <c r="Q15" s="50">
        <f>+'วันที่  11'!K211</f>
        <v>0</v>
      </c>
      <c r="R15" s="50">
        <f>+'วันที่  11'!K209</f>
        <v>885</v>
      </c>
      <c r="S15" s="50">
        <f t="shared" si="2"/>
        <v>7335</v>
      </c>
      <c r="T15" s="50">
        <f>+'วันที่  11'!K214</f>
        <v>7335</v>
      </c>
      <c r="U15" s="51">
        <f t="shared" si="3"/>
        <v>0</v>
      </c>
      <c r="V15" s="5"/>
    </row>
    <row r="16" spans="1:22">
      <c r="A16" s="10">
        <v>12</v>
      </c>
      <c r="B16" s="11" t="s">
        <v>27</v>
      </c>
      <c r="C16" s="46">
        <f>+'วันที่ 1'!C16</f>
        <v>4</v>
      </c>
      <c r="D16" s="47">
        <f>+'วันที่ 1'!D16+'วันที่ 2'!D16+'วันที่ 3'!D16+'วันที่ 4'!D16+'วันที่ 5'!D16+'วันที่ 6'!D16+'วันที่  7'!D16+'วันที่  8'!D16+'วันที่  9'!D16+'วันที่  10'!D16+'วันที่  11'!D16+'วันที่  12'!D16+'วันที่  13'!D16+'วันที่ 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2</v>
      </c>
      <c r="E16" s="46">
        <f t="shared" si="0"/>
        <v>6</v>
      </c>
      <c r="F16" s="47">
        <f>+'วันที่ 1'!F16+'วันที่ 2'!F16+'วันที่ 3'!F16+'วันที่ 4'!F16+'วันที่ 5'!F16+'วันที่ 6'!F16+'วันที่  7'!F16+'วันที่  8'!F16+'วันที่  9'!F16+'วันที่  10'!F16+'วันที่  11'!F16+'วันที่  12'!F16+'วันที่  13'!F16+'วันที่ 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1</v>
      </c>
      <c r="G16" s="92">
        <f t="shared" si="1"/>
        <v>0</v>
      </c>
      <c r="H16" s="47">
        <f>+'วันที่ 1'!H16+'วันที่ 2'!H16+'วันที่ 3'!H16+'วันที่ 4'!H16+'วันที่ 5'!H16+'วันที่ 6'!H16+'วันที่  7'!H16+'วันที่  8'!H16+'วันที่  9'!H16+'วันที่  10'!H16+'วันที่  11'!H16+'วันที่  12'!H16+'วันที่  13'!H16+'วันที่ 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5</v>
      </c>
      <c r="I16" s="15">
        <v>50</v>
      </c>
      <c r="J16" s="47">
        <f>+'วันที่ 1'!J16+'วันที่ 2'!J16+'วันที่ 3'!J16+'วันที่ 4'!J16+'วันที่ 5'!J16+'วันที่ 6'!J16+'วันที่  7'!J16+'วันที่  8'!J16+'วันที่  9'!J16+'วันที่  10'!J16+'วันที่  11'!J16+'วันที่  12'!J16+'วันที่  13'!J16+'วันที่ 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250</v>
      </c>
      <c r="K16" s="15"/>
      <c r="L16" s="49">
        <v>12</v>
      </c>
      <c r="M16" s="50">
        <f>+'วันที่  12'!K207</f>
        <v>2850</v>
      </c>
      <c r="N16" s="50">
        <f>+'วันที่  12'!K212</f>
        <v>100</v>
      </c>
      <c r="O16" s="50">
        <f>+'วันที่  12'!K210</f>
        <v>0</v>
      </c>
      <c r="P16" s="50">
        <f>+'วันที่  12'!K208</f>
        <v>0</v>
      </c>
      <c r="Q16" s="50">
        <f>+'วันที่  12'!K211</f>
        <v>0</v>
      </c>
      <c r="R16" s="50">
        <f>+'วันที่  12'!K209</f>
        <v>60</v>
      </c>
      <c r="S16" s="50">
        <f t="shared" si="2"/>
        <v>2690</v>
      </c>
      <c r="T16" s="50">
        <f>+'วันที่  12'!K214</f>
        <v>2690</v>
      </c>
      <c r="U16" s="51">
        <f t="shared" si="3"/>
        <v>0</v>
      </c>
      <c r="V16" s="5"/>
    </row>
    <row r="17" spans="1:22">
      <c r="A17" s="10">
        <v>13</v>
      </c>
      <c r="B17" s="11" t="s">
        <v>28</v>
      </c>
      <c r="C17" s="46">
        <f>+'วันที่ 1'!C17</f>
        <v>0</v>
      </c>
      <c r="D17" s="47">
        <f>+'วันที่ 1'!D17+'วันที่ 2'!D17+'วันที่ 3'!D17+'วันที่ 4'!D17+'วันที่ 5'!D17+'วันที่ 6'!D17+'วันที่  7'!D17+'วันที่  8'!D17+'วันที่  9'!D17+'วันที่  10'!D17+'วันที่  11'!D17+'วันที่  12'!D17+'วันที่  13'!D17+'วันที่ 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11</v>
      </c>
      <c r="E17" s="46">
        <f t="shared" si="0"/>
        <v>11</v>
      </c>
      <c r="F17" s="47">
        <f>+'วันที่ 1'!F17+'วันที่ 2'!F17+'วันที่ 3'!F17+'วันที่ 4'!F17+'วันที่ 5'!F17+'วันที่ 6'!F17+'วันที่  7'!F17+'วันที่  8'!F17+'วันที่  9'!F17+'วันที่  10'!F17+'วันที่  11'!F17+'วันที่  12'!F17+'วันที่  13'!F17+'วันที่ 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92">
        <f t="shared" si="1"/>
        <v>4</v>
      </c>
      <c r="H17" s="47">
        <f>+'วันที่ 1'!H17+'วันที่ 2'!H17+'วันที่ 3'!H17+'วันที่ 4'!H17+'วันที่ 5'!H17+'วันที่ 6'!H17+'วันที่  7'!H17+'วันที่  8'!H17+'วันที่  9'!H17+'วันที่  10'!H17+'วันที่  11'!H17+'วันที่  12'!H17+'วันที่  13'!H17+'วันที่ 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7</v>
      </c>
      <c r="I17" s="15">
        <v>50</v>
      </c>
      <c r="J17" s="47">
        <f>+'วันที่ 1'!J17+'วันที่ 2'!J17+'วันที่ 3'!J17+'วันที่ 4'!J17+'วันที่ 5'!J17+'วันที่ 6'!J17+'วันที่  7'!J17+'วันที่  8'!J17+'วันที่  9'!J17+'วันที่  10'!J17+'วันที่  11'!J17+'วันที่  12'!J17+'วันที่  13'!J17+'วันที่ 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350</v>
      </c>
      <c r="K17" s="15"/>
      <c r="L17" s="49">
        <v>13</v>
      </c>
      <c r="M17" s="50">
        <f>+'วันที่  13'!K207</f>
        <v>2380</v>
      </c>
      <c r="N17" s="50">
        <f>+'วันที่  13'!K212</f>
        <v>50</v>
      </c>
      <c r="O17" s="50">
        <f>+'วันที่  13'!K210</f>
        <v>0</v>
      </c>
      <c r="P17" s="50">
        <f>+'วันที่  13'!K208</f>
        <v>0</v>
      </c>
      <c r="Q17" s="50">
        <f>+'วันที่  13'!K211</f>
        <v>0</v>
      </c>
      <c r="R17" s="50">
        <f>+'วันที่  13'!K209</f>
        <v>250</v>
      </c>
      <c r="S17" s="50">
        <f t="shared" si="2"/>
        <v>2080</v>
      </c>
      <c r="T17" s="50">
        <f>+'วันที่  13'!K214</f>
        <v>2080</v>
      </c>
      <c r="U17" s="51">
        <f t="shared" si="3"/>
        <v>0</v>
      </c>
      <c r="V17" s="5"/>
    </row>
    <row r="18" spans="1:22">
      <c r="A18" s="10">
        <v>14</v>
      </c>
      <c r="B18" s="19" t="s">
        <v>29</v>
      </c>
      <c r="C18" s="46">
        <f>+'วันที่ 1'!C18</f>
        <v>0</v>
      </c>
      <c r="D18" s="47">
        <f>+'วันที่ 1'!D18+'วันที่ 2'!D18+'วันที่ 3'!D18+'วันที่ 4'!D18+'วันที่ 5'!D18+'วันที่ 6'!D18+'วันที่  7'!D18+'วันที่  8'!D18+'วันที่  9'!D18+'วันที่  10'!D18+'วันที่  11'!D18+'วันที่  12'!D18+'วันที่  13'!D18+'วันที่ 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0"/>
        <v>0</v>
      </c>
      <c r="F18" s="47">
        <f>+'วันที่ 1'!F18+'วันที่ 2'!F18+'วันที่ 3'!F18+'วันที่ 4'!F18+'วันที่ 5'!F18+'วันที่ 6'!F18+'วันที่  7'!F18+'วันที่  8'!F18+'วันที่  9'!F18+'วันที่  10'!F18+'วันที่  11'!F18+'วันที่  12'!F18+'วันที่  13'!F18+'วันที่ 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2">
        <f t="shared" si="1"/>
        <v>0</v>
      </c>
      <c r="H18" s="47">
        <f>+'วันที่ 1'!H18+'วันที่ 2'!H18+'วันที่ 3'!H18+'วันที่ 4'!H18+'วันที่ 5'!H18+'วันที่ 6'!H18+'วันที่  7'!H18+'วันที่  8'!H18+'วันที่  9'!H18+'วันที่  10'!H18+'วันที่  11'!H18+'วันที่  12'!H18+'วันที่  13'!H18+'วันที่ 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15">
        <v>50</v>
      </c>
      <c r="J18" s="47">
        <f>+'วันที่ 1'!J18+'วันที่ 2'!J18+'วันที่ 3'!J18+'วันที่ 4'!J18+'วันที่ 5'!J18+'วันที่ 6'!J18+'วันที่  7'!J18+'วันที่  8'!J18+'วันที่  9'!J18+'วันที่  10'!J18+'วันที่  11'!J18+'วันที่  12'!J18+'วันที่  13'!J18+'วันที่ 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5"/>
      <c r="L18" s="49">
        <v>14</v>
      </c>
      <c r="M18" s="50">
        <f>+'วันที่  14'!K207</f>
        <v>2090</v>
      </c>
      <c r="N18" s="50">
        <f>+'วันที่  14'!K212</f>
        <v>50</v>
      </c>
      <c r="O18" s="50">
        <f>+'วันที่  14'!K210</f>
        <v>0</v>
      </c>
      <c r="P18" s="50">
        <f>+'วันที่  14'!K208</f>
        <v>0</v>
      </c>
      <c r="Q18" s="50">
        <f>+'วันที่  14'!K211</f>
        <v>0</v>
      </c>
      <c r="R18" s="50">
        <f>+'วันที่  14'!K209</f>
        <v>220</v>
      </c>
      <c r="S18" s="50">
        <f t="shared" si="2"/>
        <v>1820</v>
      </c>
      <c r="T18" s="50">
        <f>+'วันที่  14'!K214</f>
        <v>1820</v>
      </c>
      <c r="U18" s="51">
        <f t="shared" si="3"/>
        <v>0</v>
      </c>
      <c r="V18" s="5"/>
    </row>
    <row r="19" spans="1:22">
      <c r="A19" s="10">
        <v>15</v>
      </c>
      <c r="B19" s="11" t="s">
        <v>30</v>
      </c>
      <c r="C19" s="46">
        <f>+'วันที่ 1'!C19</f>
        <v>9</v>
      </c>
      <c r="D19" s="47">
        <f>+'วันที่ 1'!D19+'วันที่ 2'!D19+'วันที่ 3'!D19+'วันที่ 4'!D19+'วันที่ 5'!D19+'วันที่ 6'!D19+'วันที่  7'!D19+'วันที่  8'!D19+'วันที่  9'!D19+'วันที่  10'!D19+'วันที่  11'!D19+'วันที่  12'!D19+'วันที่  13'!D19+'วันที่ 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30</v>
      </c>
      <c r="E19" s="46">
        <f t="shared" si="0"/>
        <v>39</v>
      </c>
      <c r="F19" s="47">
        <f>+'วันที่ 1'!F19+'วันที่ 2'!F19+'วันที่ 3'!F19+'วันที่ 4'!F19+'วันที่ 5'!F19+'วันที่ 6'!F19+'วันที่  7'!F19+'วันที่  8'!F19+'วันที่  9'!F19+'วันที่  10'!F19+'วันที่  11'!F19+'วันที่  12'!F19+'วันที่  13'!F19+'วันที่ 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19" s="92">
        <f t="shared" si="1"/>
        <v>14</v>
      </c>
      <c r="H19" s="47">
        <f>+'วันที่ 1'!H19+'วันที่ 2'!H19+'วันที่ 3'!H19+'วันที่ 4'!H19+'วันที่ 5'!H19+'วันที่ 6'!H19+'วันที่  7'!H19+'วันที่  8'!H19+'วันที่  9'!H19+'วันที่  10'!H19+'วันที่  11'!H19+'วันที่  12'!H19+'วันที่  13'!H19+'วันที่ 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25</v>
      </c>
      <c r="I19" s="15">
        <v>50</v>
      </c>
      <c r="J19" s="47">
        <f>+'วันที่ 1'!J19+'วันที่ 2'!J19+'วันที่ 3'!J19+'วันที่ 4'!J19+'วันที่ 5'!J19+'วันที่ 6'!J19+'วันที่  7'!J19+'วันที่  8'!J19+'วันที่  9'!J19+'วันที่  10'!J19+'วันที่  11'!J19+'วันที่  12'!J19+'วันที่  13'!J19+'วันที่ 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1250</v>
      </c>
      <c r="K19" s="15"/>
      <c r="L19" s="49">
        <v>15</v>
      </c>
      <c r="M19" s="50">
        <f>+'วันที่ 15'!K207</f>
        <v>3745</v>
      </c>
      <c r="N19" s="50">
        <f>+'วันที่ 15'!K212</f>
        <v>150</v>
      </c>
      <c r="O19" s="50">
        <f>+'วันที่ 15'!K210</f>
        <v>0</v>
      </c>
      <c r="P19" s="50">
        <f>+'วันที่ 15'!K208</f>
        <v>0</v>
      </c>
      <c r="Q19" s="50">
        <f>+'วันที่ 15'!K211</f>
        <v>0</v>
      </c>
      <c r="R19" s="50">
        <f>+'วันที่ 15'!K209</f>
        <v>420</v>
      </c>
      <c r="S19" s="50">
        <f t="shared" si="2"/>
        <v>3175</v>
      </c>
      <c r="T19" s="50">
        <f>+'วันที่ 15'!K214</f>
        <v>3175</v>
      </c>
      <c r="U19" s="51">
        <f t="shared" si="3"/>
        <v>0</v>
      </c>
      <c r="V19" s="5"/>
    </row>
    <row r="20" spans="1:22">
      <c r="A20" s="10">
        <v>16</v>
      </c>
      <c r="B20" s="11" t="s">
        <v>31</v>
      </c>
      <c r="C20" s="46">
        <f>+'วันที่ 1'!C20</f>
        <v>0</v>
      </c>
      <c r="D20" s="47">
        <f>+'วันที่ 1'!D20+'วันที่ 2'!D20+'วันที่ 3'!D20+'วันที่ 4'!D20+'วันที่ 5'!D20+'วันที่ 6'!D20+'วันที่  7'!D20+'วันที่  8'!D20+'วันที่  9'!D20+'วันที่  10'!D20+'วันที่  11'!D20+'วันที่  12'!D20+'วันที่  13'!D20+'วันที่ 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0"/>
        <v>0</v>
      </c>
      <c r="F20" s="47">
        <f>+'วันที่ 1'!F20+'วันที่ 2'!F20+'วันที่ 3'!F20+'วันที่ 4'!F20+'วันที่ 5'!F20+'วันที่ 6'!F20+'วันที่  7'!F20+'วันที่  8'!F20+'วันที่  9'!F20+'วันที่  10'!F20+'วันที่  11'!F20+'วันที่  12'!F20+'วันที่  13'!F20+'วันที่ 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2">
        <f t="shared" si="1"/>
        <v>0</v>
      </c>
      <c r="H20" s="47">
        <f>+'วันที่ 1'!H20+'วันที่ 2'!H20+'วันที่ 3'!H20+'วันที่ 4'!H20+'วันที่ 5'!H20+'วันที่ 6'!H20+'วันที่  7'!H20+'วันที่  8'!H20+'วันที่  9'!H20+'วันที่  10'!H20+'วันที่  11'!H20+'วันที่  12'!H20+'วันที่  13'!H20+'วันที่ 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5">
        <v>50</v>
      </c>
      <c r="J20" s="47">
        <f>+'วันที่ 1'!J20+'วันที่ 2'!J20+'วันที่ 3'!J20+'วันที่ 4'!J20+'วันที่ 5'!J20+'วันที่ 6'!J20+'วันที่  7'!J20+'วันที่  8'!J20+'วันที่  9'!J20+'วันที่  10'!J20+'วันที่  11'!J20+'วันที่  12'!J20+'วันที่  13'!J20+'วันที่ 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5"/>
      <c r="L20" s="49">
        <v>16</v>
      </c>
      <c r="M20" s="50">
        <f>+'วันที่ 16'!K207</f>
        <v>0</v>
      </c>
      <c r="N20" s="50">
        <f>+'วันที่ 16'!K212</f>
        <v>0</v>
      </c>
      <c r="O20" s="50">
        <f>+'วันที่ 16'!K210</f>
        <v>0</v>
      </c>
      <c r="P20" s="50">
        <f>+'วันที่ 16'!K208</f>
        <v>0</v>
      </c>
      <c r="Q20" s="50">
        <f>+'วันที่ 16'!K211</f>
        <v>0</v>
      </c>
      <c r="R20" s="50">
        <f>+'วันที่ 16'!K209</f>
        <v>0</v>
      </c>
      <c r="S20" s="50">
        <f t="shared" si="2"/>
        <v>0</v>
      </c>
      <c r="T20" s="50">
        <f>+'วันที่ 16'!K214</f>
        <v>0</v>
      </c>
      <c r="U20" s="51">
        <f t="shared" si="3"/>
        <v>0</v>
      </c>
      <c r="V20" s="5"/>
    </row>
    <row r="21" spans="1:22">
      <c r="A21" s="10">
        <v>17</v>
      </c>
      <c r="B21" s="11" t="s">
        <v>32</v>
      </c>
      <c r="C21" s="46">
        <f>+'วันที่ 1'!C21</f>
        <v>0</v>
      </c>
      <c r="D21" s="47">
        <f>+'วันที่ 1'!D21+'วันที่ 2'!D21+'วันที่ 3'!D21+'วันที่ 4'!D21+'วันที่ 5'!D21+'วันที่ 6'!D21+'วันที่  7'!D21+'วันที่  8'!D21+'วันที่  9'!D21+'วันที่  10'!D21+'วันที่  11'!D21+'วันที่  12'!D21+'วันที่  13'!D21+'วันที่ 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0"/>
        <v>0</v>
      </c>
      <c r="F21" s="47">
        <f>+'วันที่ 1'!F21+'วันที่ 2'!F21+'วันที่ 3'!F21+'วันที่ 4'!F21+'วันที่ 5'!F21+'วันที่ 6'!F21+'วันที่  7'!F21+'วันที่  8'!F21+'วันที่  9'!F21+'วันที่  10'!F21+'วันที่  11'!F21+'วันที่  12'!F21+'วันที่  13'!F21+'วันที่ 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2">
        <f t="shared" si="1"/>
        <v>0</v>
      </c>
      <c r="H21" s="47">
        <f>+'วันที่ 1'!H21+'วันที่ 2'!H21+'วันที่ 3'!H21+'วันที่ 4'!H21+'วันที่ 5'!H21+'วันที่ 6'!H21+'วันที่  7'!H21+'วันที่  8'!H21+'วันที่  9'!H21+'วันที่  10'!H21+'วันที่  11'!H21+'วันที่  12'!H21+'วันที่  13'!H21+'วันที่ 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5">
        <v>50</v>
      </c>
      <c r="J21" s="47">
        <f>+'วันที่ 1'!J21+'วันที่ 2'!J21+'วันที่ 3'!J21+'วันที่ 4'!J21+'วันที่ 5'!J21+'วันที่ 6'!J21+'วันที่  7'!J21+'วันที่  8'!J21+'วันที่  9'!J21+'วันที่  10'!J21+'วันที่  11'!J21+'วันที่  12'!J21+'วันที่  13'!J21+'วันที่ 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5"/>
      <c r="L21" s="49">
        <v>17</v>
      </c>
      <c r="M21" s="50">
        <f>+'วันที่ 17'!K207</f>
        <v>0</v>
      </c>
      <c r="N21" s="50">
        <f>+'วันที่ 17'!K212</f>
        <v>0</v>
      </c>
      <c r="O21" s="50">
        <f>+'วันที่ 17'!K210</f>
        <v>0</v>
      </c>
      <c r="P21" s="50">
        <f>+'วันที่ 17'!K208</f>
        <v>0</v>
      </c>
      <c r="Q21" s="50">
        <f>+'วันที่ 17'!K211</f>
        <v>0</v>
      </c>
      <c r="R21" s="50">
        <f>+'วันที่ 17'!K209</f>
        <v>0</v>
      </c>
      <c r="S21" s="50">
        <f t="shared" si="2"/>
        <v>0</v>
      </c>
      <c r="T21" s="50">
        <f>+'วันที่ 17'!K214</f>
        <v>0</v>
      </c>
      <c r="U21" s="51">
        <f t="shared" si="3"/>
        <v>0</v>
      </c>
      <c r="V21" s="5"/>
    </row>
    <row r="22" spans="1:22">
      <c r="A22" s="10">
        <v>18</v>
      </c>
      <c r="B22" s="11" t="s">
        <v>33</v>
      </c>
      <c r="C22" s="46">
        <f>+'วันที่ 1'!C22</f>
        <v>0</v>
      </c>
      <c r="D22" s="47">
        <f>+'วันที่ 1'!D22+'วันที่ 2'!D22+'วันที่ 3'!D22+'วันที่ 4'!D22+'วันที่ 5'!D22+'วันที่ 6'!D22+'วันที่  7'!D22+'วันที่  8'!D22+'วันที่  9'!D22+'วันที่  10'!D22+'วันที่  11'!D22+'วันที่  12'!D22+'วันที่  13'!D22+'วันที่ 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0</v>
      </c>
      <c r="E22" s="46">
        <f t="shared" si="0"/>
        <v>0</v>
      </c>
      <c r="F22" s="47">
        <f>+'วันที่ 1'!F22+'วันที่ 2'!F22+'วันที่ 3'!F22+'วันที่ 4'!F22+'วันที่ 5'!F22+'วันที่ 6'!F22+'วันที่  7'!F22+'วันที่  8'!F22+'วันที่  9'!F22+'วันที่  10'!F22+'วันที่  11'!F22+'วันที่  12'!F22+'วันที่  13'!F22+'วันที่ 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92">
        <f t="shared" si="1"/>
        <v>0</v>
      </c>
      <c r="H22" s="47">
        <f>+'วันที่ 1'!H22+'วันที่ 2'!H22+'วันที่ 3'!H22+'วันที่ 4'!H22+'วันที่ 5'!H22+'วันที่ 6'!H22+'วันที่  7'!H22+'วันที่  8'!H22+'วันที่  9'!H22+'วันที่  10'!H22+'วันที่  11'!H22+'วันที่  12'!H22+'วันที่  13'!H22+'วันที่ 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0</v>
      </c>
      <c r="I22" s="15">
        <v>85</v>
      </c>
      <c r="J22" s="47">
        <f>+'วันที่ 1'!J22+'วันที่ 2'!J22+'วันที่ 3'!J22+'วันที่ 4'!J22+'วันที่ 5'!J22+'วันที่ 6'!J22+'วันที่  7'!J22+'วันที่  8'!J22+'วันที่  9'!J22+'วันที่  10'!J22+'วันที่  11'!J22+'วันที่  12'!J22+'วันที่  13'!J22+'วันที่ 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0</v>
      </c>
      <c r="K22" s="15"/>
      <c r="L22" s="49">
        <v>18</v>
      </c>
      <c r="M22" s="50">
        <f>+'วันที่ 18'!K207</f>
        <v>0</v>
      </c>
      <c r="N22" s="50">
        <f>+'วันที่ 18'!K212</f>
        <v>0</v>
      </c>
      <c r="O22" s="50">
        <f>+'วันที่ 18'!K210</f>
        <v>0</v>
      </c>
      <c r="P22" s="50">
        <f>+'วันที่ 18'!K208</f>
        <v>0</v>
      </c>
      <c r="Q22" s="50">
        <f>+'วันที่ 18'!K211</f>
        <v>0</v>
      </c>
      <c r="R22" s="50">
        <f>+'วันที่ 18'!K209</f>
        <v>0</v>
      </c>
      <c r="S22" s="50">
        <f t="shared" si="2"/>
        <v>0</v>
      </c>
      <c r="T22" s="50">
        <f>+'วันที่ 18'!K214</f>
        <v>0</v>
      </c>
      <c r="U22" s="51">
        <f t="shared" si="3"/>
        <v>0</v>
      </c>
      <c r="V22" s="5"/>
    </row>
    <row r="23" spans="1:22">
      <c r="A23" s="10">
        <v>19</v>
      </c>
      <c r="B23" s="11" t="s">
        <v>34</v>
      </c>
      <c r="C23" s="46">
        <f>+'วันที่ 1'!C23</f>
        <v>16</v>
      </c>
      <c r="D23" s="47">
        <f>+'วันที่ 1'!D23+'วันที่ 2'!D23+'วันที่ 3'!D23+'วันที่ 4'!D23+'วันที่ 5'!D23+'วันที่ 6'!D23+'วันที่  7'!D23+'วันที่  8'!D23+'วันที่  9'!D23+'วันที่  10'!D23+'วันที่  11'!D23+'วันที่  12'!D23+'วันที่  13'!D23+'วันที่ 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65</v>
      </c>
      <c r="E23" s="46">
        <f t="shared" si="0"/>
        <v>81</v>
      </c>
      <c r="F23" s="47">
        <f>+'วันที่ 1'!F23+'วันที่ 2'!F23+'วันที่ 3'!F23+'วันที่ 4'!F23+'วันที่ 5'!F23+'วันที่ 6'!F23+'วันที่  7'!F23+'วันที่  8'!F23+'วันที่  9'!F23+'วันที่  10'!F23+'วันที่  11'!F23+'วันที่  12'!F23+'วันที่  13'!F23+'วันที่ 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15</v>
      </c>
      <c r="G23" s="92">
        <f t="shared" si="1"/>
        <v>13</v>
      </c>
      <c r="H23" s="47">
        <f>+'วันที่ 1'!H23+'วันที่ 2'!H23+'วันที่ 3'!H23+'วันที่ 4'!H23+'วันที่ 5'!H23+'วันที่ 6'!H23+'วันที่  7'!H23+'วันที่  8'!H23+'วันที่  9'!H23+'วันที่  10'!H23+'วันที่  11'!H23+'วันที่  12'!H23+'วันที่  13'!H23+'วันที่ 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53</v>
      </c>
      <c r="I23" s="15">
        <v>100</v>
      </c>
      <c r="J23" s="47">
        <f>+'วันที่ 1'!J23+'วันที่ 2'!J23+'วันที่ 3'!J23+'วันที่ 4'!J23+'วันที่ 5'!J23+'วันที่ 6'!J23+'วันที่  7'!J23+'วันที่  8'!J23+'วันที่  9'!J23+'วันที่  10'!J23+'วันที่  11'!J23+'วันที่  12'!J23+'วันที่  13'!J23+'วันที่ 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5300</v>
      </c>
      <c r="K23" s="15"/>
      <c r="L23" s="49">
        <v>19</v>
      </c>
      <c r="M23" s="50">
        <f>+'วันที่ 19'!K207</f>
        <v>0</v>
      </c>
      <c r="N23" s="50">
        <f>+'วันที่ 19'!K212</f>
        <v>0</v>
      </c>
      <c r="O23" s="50">
        <f>+'วันที่ 19'!K210</f>
        <v>0</v>
      </c>
      <c r="P23" s="50">
        <f>+'วันที่ 19'!K208</f>
        <v>0</v>
      </c>
      <c r="Q23" s="50">
        <f>+'วันที่ 19'!K211</f>
        <v>0</v>
      </c>
      <c r="R23" s="50">
        <f>+'วันที่ 19'!K209</f>
        <v>0</v>
      </c>
      <c r="S23" s="50">
        <f t="shared" si="2"/>
        <v>0</v>
      </c>
      <c r="T23" s="50">
        <f>+'วันที่ 19'!K214</f>
        <v>0</v>
      </c>
      <c r="U23" s="51">
        <f t="shared" si="3"/>
        <v>0</v>
      </c>
      <c r="V23" s="5"/>
    </row>
    <row r="24" spans="1:22">
      <c r="A24" s="10">
        <v>20</v>
      </c>
      <c r="B24" s="11" t="s">
        <v>35</v>
      </c>
      <c r="C24" s="46">
        <f>+'วันที่ 1'!C24</f>
        <v>0</v>
      </c>
      <c r="D24" s="47">
        <f>+'วันที่ 1'!D24+'วันที่ 2'!D24+'วันที่ 3'!D24+'วันที่ 4'!D24+'วันที่ 5'!D24+'วันที่ 6'!D24+'วันที่  7'!D24+'วันที่  8'!D24+'วันที่  9'!D24+'วันที่  10'!D24+'วันที่  11'!D24+'วันที่  12'!D24+'วันที่  13'!D24+'วันที่ 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0</v>
      </c>
      <c r="E24" s="46">
        <f t="shared" si="0"/>
        <v>0</v>
      </c>
      <c r="F24" s="47">
        <f>+'วันที่ 1'!F24+'วันที่ 2'!F24+'วันที่ 3'!F24+'วันที่ 4'!F24+'วันที่ 5'!F24+'วันที่ 6'!F24+'วันที่  7'!F24+'วันที่  8'!F24+'วันที่  9'!F24+'วันที่  10'!F24+'วันที่  11'!F24+'วันที่  12'!F24+'วันที่  13'!F24+'วันที่ 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24" s="92">
        <f t="shared" si="1"/>
        <v>0</v>
      </c>
      <c r="H24" s="47">
        <f>+'วันที่ 1'!H24+'วันที่ 2'!H24+'วันที่ 3'!H24+'วันที่ 4'!H24+'วันที่ 5'!H24+'วันที่ 6'!H24+'วันที่  7'!H24+'วันที่  8'!H24+'วันที่  9'!H24+'วันที่  10'!H24+'วันที่  11'!H24+'วันที่  12'!H24+'วันที่  13'!H24+'วันที่ 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0</v>
      </c>
      <c r="I24" s="15">
        <v>100</v>
      </c>
      <c r="J24" s="47">
        <f>+'วันที่ 1'!J24+'วันที่ 2'!J24+'วันที่ 3'!J24+'วันที่ 4'!J24+'วันที่ 5'!J24+'วันที่ 6'!J24+'วันที่  7'!J24+'วันที่  8'!J24+'วันที่  9'!J24+'วันที่  10'!J24+'วันที่  11'!J24+'วันที่  12'!J24+'วันที่  13'!J24+'วันที่ 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0</v>
      </c>
      <c r="K24" s="15"/>
      <c r="L24" s="49">
        <v>20</v>
      </c>
      <c r="M24" s="50">
        <f>+'วันที่ 20'!K207</f>
        <v>0</v>
      </c>
      <c r="N24" s="50">
        <f>+'วันที่ 20'!K212</f>
        <v>0</v>
      </c>
      <c r="O24" s="50">
        <f>+'วันที่ 20'!K210</f>
        <v>0</v>
      </c>
      <c r="P24" s="50">
        <f>+'วันที่ 20'!K208</f>
        <v>0</v>
      </c>
      <c r="Q24" s="50">
        <f>+'วันที่ 20'!K211</f>
        <v>0</v>
      </c>
      <c r="R24" s="50">
        <f>+'วันที่ 20'!K209</f>
        <v>0</v>
      </c>
      <c r="S24" s="50">
        <f t="shared" si="2"/>
        <v>0</v>
      </c>
      <c r="T24" s="50">
        <f>+'วันที่ 20'!K214</f>
        <v>0</v>
      </c>
      <c r="U24" s="51">
        <f t="shared" si="3"/>
        <v>0</v>
      </c>
      <c r="V24" s="5"/>
    </row>
    <row r="25" spans="1:22">
      <c r="A25" s="10">
        <v>21</v>
      </c>
      <c r="B25" s="11" t="s">
        <v>36</v>
      </c>
      <c r="C25" s="46">
        <f>+'วันที่ 1'!C25</f>
        <v>0</v>
      </c>
      <c r="D25" s="47">
        <f>+'วันที่ 1'!D25+'วันที่ 2'!D25+'วันที่ 3'!D25+'วันที่ 4'!D25+'วันที่ 5'!D25+'วันที่ 6'!D25+'วันที่  7'!D25+'วันที่  8'!D25+'วันที่  9'!D25+'วันที่  10'!D25+'วันที่  11'!D25+'วันที่  12'!D25+'วันที่  13'!D25+'วันที่ 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0"/>
        <v>0</v>
      </c>
      <c r="F25" s="47">
        <f>+'วันที่ 1'!F25+'วันที่ 2'!F25+'วันที่ 3'!F25+'วันที่ 4'!F25+'วันที่ 5'!F25+'วันที่ 6'!F25+'วันที่  7'!F25+'วันที่  8'!F25+'วันที่  9'!F25+'วันที่  10'!F25+'วันที่  11'!F25+'วันที่  12'!F25+'วันที่  13'!F25+'วันที่ 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2">
        <f t="shared" si="1"/>
        <v>0</v>
      </c>
      <c r="H25" s="47">
        <f>+'วันที่ 1'!H25+'วันที่ 2'!H25+'วันที่ 3'!H25+'วันที่ 4'!H25+'วันที่ 5'!H25+'วันที่ 6'!H25+'วันที่  7'!H25+'วันที่  8'!H25+'วันที่  9'!H25+'วันที่  10'!H25+'วันที่  11'!H25+'วันที่  12'!H25+'วันที่  13'!H25+'วันที่ 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15">
        <v>100</v>
      </c>
      <c r="J25" s="47">
        <f>+'วันที่ 1'!J25+'วันที่ 2'!J25+'วันที่ 3'!J25+'วันที่ 4'!J25+'วันที่ 5'!J25+'วันที่ 6'!J25+'วันที่  7'!J25+'วันที่  8'!J25+'วันที่  9'!J25+'วันที่  10'!J25+'วันที่  11'!J25+'วันที่  12'!J25+'วันที่  13'!J25+'วันที่ 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5"/>
      <c r="L25" s="49">
        <v>21</v>
      </c>
      <c r="M25" s="50">
        <f>+'วันที่ 21'!K207</f>
        <v>0</v>
      </c>
      <c r="N25" s="50">
        <f>+'วันที่ 21'!K212</f>
        <v>0</v>
      </c>
      <c r="O25" s="50">
        <f>+'วันที่ 21'!K210</f>
        <v>0</v>
      </c>
      <c r="P25" s="50">
        <f>+'วันที่ 21'!K208</f>
        <v>0</v>
      </c>
      <c r="Q25" s="50">
        <f>+'วันที่ 21'!K211</f>
        <v>0</v>
      </c>
      <c r="R25" s="50">
        <f>+'วันที่ 21'!K209</f>
        <v>0</v>
      </c>
      <c r="S25" s="50">
        <f t="shared" si="2"/>
        <v>0</v>
      </c>
      <c r="T25" s="50">
        <f>+'วันที่ 21'!K214</f>
        <v>0</v>
      </c>
      <c r="U25" s="51">
        <f t="shared" si="3"/>
        <v>0</v>
      </c>
      <c r="V25" s="5"/>
    </row>
    <row r="26" spans="1:22">
      <c r="A26" s="10">
        <v>22</v>
      </c>
      <c r="B26" s="11" t="s">
        <v>37</v>
      </c>
      <c r="C26" s="46">
        <f>+'วันที่ 1'!C26</f>
        <v>0</v>
      </c>
      <c r="D26" s="47">
        <f>+'วันที่ 1'!D26+'วันที่ 2'!D26+'วันที่ 3'!D26+'วันที่ 4'!D26+'วันที่ 5'!D26+'วันที่ 6'!D26+'วันที่  7'!D26+'วันที่  8'!D26+'วันที่  9'!D26+'วันที่  10'!D26+'วันที่  11'!D26+'วันที่  12'!D26+'วันที่  13'!D26+'วันที่ 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0"/>
        <v>0</v>
      </c>
      <c r="F26" s="47">
        <f>+'วันที่ 1'!F26+'วันที่ 2'!F26+'วันที่ 3'!F26+'วันที่ 4'!F26+'วันที่ 5'!F26+'วันที่ 6'!F26+'วันที่  7'!F26+'วันที่  8'!F26+'วันที่  9'!F26+'วันที่  10'!F26+'วันที่  11'!F26+'วันที่  12'!F26+'วันที่  13'!F26+'วันที่ 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2">
        <f t="shared" si="1"/>
        <v>0</v>
      </c>
      <c r="H26" s="47">
        <f>+'วันที่ 1'!H26+'วันที่ 2'!H26+'วันที่ 3'!H26+'วันที่ 4'!H26+'วันที่ 5'!H26+'วันที่ 6'!H26+'วันที่  7'!H26+'วันที่  8'!H26+'วันที่  9'!H26+'วันที่  10'!H26+'วันที่  11'!H26+'วันที่  12'!H26+'วันที่  13'!H26+'วันที่ 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15">
        <v>100</v>
      </c>
      <c r="J26" s="47">
        <f>+'วันที่ 1'!J26+'วันที่ 2'!J26+'วันที่ 3'!J26+'วันที่ 4'!J26+'วันที่ 5'!J26+'วันที่ 6'!J26+'วันที่  7'!J26+'วันที่  8'!J26+'วันที่  9'!J26+'วันที่  10'!J26+'วันที่  11'!J26+'วันที่  12'!J26+'วันที่  13'!J26+'วันที่ 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5"/>
      <c r="L26" s="49">
        <v>22</v>
      </c>
      <c r="M26" s="50">
        <f>+'วันที่ 22'!K207</f>
        <v>0</v>
      </c>
      <c r="N26" s="50">
        <f>+'วันที่ 22'!K212</f>
        <v>0</v>
      </c>
      <c r="O26" s="50">
        <f>+'วันที่ 22'!K210</f>
        <v>0</v>
      </c>
      <c r="P26" s="50">
        <f>+'วันที่ 22'!K208</f>
        <v>0</v>
      </c>
      <c r="Q26" s="50">
        <f>+'วันที่ 22'!K211</f>
        <v>0</v>
      </c>
      <c r="R26" s="50">
        <f>+'วันที่ 22'!K209</f>
        <v>0</v>
      </c>
      <c r="S26" s="50">
        <f t="shared" si="2"/>
        <v>0</v>
      </c>
      <c r="T26" s="50">
        <f>+'วันที่ 22'!K214</f>
        <v>0</v>
      </c>
      <c r="U26" s="51">
        <f t="shared" si="3"/>
        <v>0</v>
      </c>
      <c r="V26" s="5"/>
    </row>
    <row r="27" spans="1:22">
      <c r="A27" s="10">
        <v>23</v>
      </c>
      <c r="B27" s="19" t="s">
        <v>38</v>
      </c>
      <c r="C27" s="46">
        <f>+'วันที่ 1'!C27</f>
        <v>0</v>
      </c>
      <c r="D27" s="47">
        <f>+'วันที่ 1'!D27+'วันที่ 2'!D27+'วันที่ 3'!D27+'วันที่ 4'!D27+'วันที่ 5'!D27+'วันที่ 6'!D27+'วันที่  7'!D27+'วันที่  8'!D27+'วันที่  9'!D27+'วันที่  10'!D27+'วันที่  11'!D27+'วันที่  12'!D27+'วันที่  13'!D27+'วันที่ 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0"/>
        <v>0</v>
      </c>
      <c r="F27" s="47">
        <f>+'วันที่ 1'!F27+'วันที่ 2'!F27+'วันที่ 3'!F27+'วันที่ 4'!F27+'วันที่ 5'!F27+'วันที่ 6'!F27+'วันที่  7'!F27+'วันที่  8'!F27+'วันที่  9'!F27+'วันที่  10'!F27+'วันที่  11'!F27+'วันที่  12'!F27+'วันที่  13'!F27+'วันที่ 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2">
        <f t="shared" si="1"/>
        <v>0</v>
      </c>
      <c r="H27" s="47">
        <f>+'วันที่ 1'!H27+'วันที่ 2'!H27+'วันที่ 3'!H27+'วันที่ 4'!H27+'วันที่ 5'!H27+'วันที่ 6'!H27+'วันที่  7'!H27+'วันที่  8'!H27+'วันที่  9'!H27+'วันที่  10'!H27+'วันที่  11'!H27+'วันที่  12'!H27+'วันที่  13'!H27+'วันที่ 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15">
        <v>100</v>
      </c>
      <c r="J27" s="47">
        <f>+'วันที่ 1'!J27+'วันที่ 2'!J27+'วันที่ 3'!J27+'วันที่ 4'!J27+'วันที่ 5'!J27+'วันที่ 6'!J27+'วันที่  7'!J27+'วันที่  8'!J27+'วันที่  9'!J27+'วันที่  10'!J27+'วันที่  11'!J27+'วันที่  12'!J27+'วันที่  13'!J27+'วันที่ 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5"/>
      <c r="L27" s="49">
        <v>23</v>
      </c>
      <c r="M27" s="50">
        <f>+'วันที่ 23'!K207</f>
        <v>0</v>
      </c>
      <c r="N27" s="50">
        <f>+'วันที่ 23'!K212</f>
        <v>0</v>
      </c>
      <c r="O27" s="50">
        <f>+'วันที่ 23'!K210</f>
        <v>0</v>
      </c>
      <c r="P27" s="50">
        <f>+'วันที่ 23'!K208</f>
        <v>0</v>
      </c>
      <c r="Q27" s="50">
        <f>+'วันที่ 23'!K211</f>
        <v>0</v>
      </c>
      <c r="R27" s="50">
        <f>+'วันที่ 23'!K209</f>
        <v>0</v>
      </c>
      <c r="S27" s="50">
        <f t="shared" si="2"/>
        <v>0</v>
      </c>
      <c r="T27" s="50">
        <f>+'วันที่ 23'!K214</f>
        <v>0</v>
      </c>
      <c r="U27" s="51">
        <f t="shared" si="3"/>
        <v>0</v>
      </c>
      <c r="V27" s="5"/>
    </row>
    <row r="28" spans="1:22">
      <c r="A28" s="10">
        <v>24</v>
      </c>
      <c r="B28" s="19" t="s">
        <v>39</v>
      </c>
      <c r="C28" s="46">
        <f>+'วันที่ 1'!C28</f>
        <v>0</v>
      </c>
      <c r="D28" s="47">
        <f>+'วันที่ 1'!D28+'วันที่ 2'!D28+'วันที่ 3'!D28+'วันที่ 4'!D28+'วันที่ 5'!D28+'วันที่ 6'!D28+'วันที่  7'!D28+'วันที่  8'!D28+'วันที่  9'!D28+'วันที่  10'!D28+'วันที่  11'!D28+'วันที่  12'!D28+'วันที่  13'!D28+'วันที่ 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0"/>
        <v>0</v>
      </c>
      <c r="F28" s="47">
        <f>+'วันที่ 1'!F28+'วันที่ 2'!F28+'วันที่ 3'!F28+'วันที่ 4'!F28+'วันที่ 5'!F28+'วันที่ 6'!F28+'วันที่  7'!F28+'วันที่  8'!F28+'วันที่  9'!F28+'วันที่  10'!F28+'วันที่  11'!F28+'วันที่  12'!F28+'วันที่  13'!F28+'วันที่ 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2">
        <f t="shared" si="1"/>
        <v>0</v>
      </c>
      <c r="H28" s="47">
        <f>+'วันที่ 1'!H28+'วันที่ 2'!H28+'วันที่ 3'!H28+'วันที่ 4'!H28+'วันที่ 5'!H28+'วันที่ 6'!H28+'วันที่  7'!H28+'วันที่  8'!H28+'วันที่  9'!H28+'วันที่  10'!H28+'วันที่  11'!H28+'วันที่  12'!H28+'วันที่  13'!H28+'วันที่ 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15">
        <v>100</v>
      </c>
      <c r="J28" s="47">
        <f>+'วันที่ 1'!J28+'วันที่ 2'!J28+'วันที่ 3'!J28+'วันที่ 4'!J28+'วันที่ 5'!J28+'วันที่ 6'!J28+'วันที่  7'!J28+'วันที่  8'!J28+'วันที่  9'!J28+'วันที่  10'!J28+'วันที่  11'!J28+'วันที่  12'!J28+'วันที่  13'!J28+'วันที่ 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5"/>
      <c r="L28" s="49">
        <v>24</v>
      </c>
      <c r="M28" s="50">
        <f>+'วันที่ 24'!K207</f>
        <v>0</v>
      </c>
      <c r="N28" s="50">
        <f>+'วันที่ 24'!K212</f>
        <v>0</v>
      </c>
      <c r="O28" s="50">
        <f>+'วันที่ 24'!K210</f>
        <v>0</v>
      </c>
      <c r="P28" s="50">
        <f>+'วันที่ 24'!K208</f>
        <v>0</v>
      </c>
      <c r="Q28" s="50">
        <f>+'วันที่ 24'!K211</f>
        <v>0</v>
      </c>
      <c r="R28" s="50">
        <f>+'วันที่ 24'!K209</f>
        <v>0</v>
      </c>
      <c r="S28" s="50">
        <f t="shared" si="2"/>
        <v>0</v>
      </c>
      <c r="T28" s="50">
        <f>+'วันที่ 24'!K214</f>
        <v>0</v>
      </c>
      <c r="U28" s="51">
        <f t="shared" si="3"/>
        <v>0</v>
      </c>
      <c r="V28" s="5"/>
    </row>
    <row r="29" spans="1:22">
      <c r="A29" s="10">
        <v>25</v>
      </c>
      <c r="B29" s="11" t="s">
        <v>40</v>
      </c>
      <c r="C29" s="46">
        <f>+'วันที่ 1'!C29</f>
        <v>0</v>
      </c>
      <c r="D29" s="47">
        <f>+'วันที่ 1'!D29+'วันที่ 2'!D29+'วันที่ 3'!D29+'วันที่ 4'!D29+'วันที่ 5'!D29+'วันที่ 6'!D29+'วันที่  7'!D29+'วันที่  8'!D29+'วันที่  9'!D29+'วันที่  10'!D29+'วันที่  11'!D29+'วันที่  12'!D29+'วันที่  13'!D29+'วันที่ 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0</v>
      </c>
      <c r="E29" s="46">
        <f t="shared" si="0"/>
        <v>0</v>
      </c>
      <c r="F29" s="47">
        <f>+'วันที่ 1'!F29+'วันที่ 2'!F29+'วันที่ 3'!F29+'วันที่ 4'!F29+'วันที่ 5'!F29+'วันที่ 6'!F29+'วันที่  7'!F29+'วันที่  8'!F29+'วันที่  9'!F29+'วันที่  10'!F29+'วันที่  11'!F29+'วันที่  12'!F29+'วันที่  13'!F29+'วันที่ 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92">
        <f t="shared" si="1"/>
        <v>0</v>
      </c>
      <c r="H29" s="47">
        <f>+'วันที่ 1'!H29+'วันที่ 2'!H29+'วันที่ 3'!H29+'วันที่ 4'!H29+'วันที่ 5'!H29+'วันที่ 6'!H29+'วันที่  7'!H29+'วันที่  8'!H29+'วันที่  9'!H29+'วันที่  10'!H29+'วันที่  11'!H29+'วันที่  12'!H29+'วันที่  13'!H29+'วันที่ 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0</v>
      </c>
      <c r="I29" s="15">
        <v>100</v>
      </c>
      <c r="J29" s="47">
        <f>+'วันที่ 1'!J29+'วันที่ 2'!J29+'วันที่ 3'!J29+'วันที่ 4'!J29+'วันที่ 5'!J29+'วันที่ 6'!J29+'วันที่  7'!J29+'วันที่  8'!J29+'วันที่  9'!J29+'วันที่  10'!J29+'วันที่  11'!J29+'วันที่  12'!J29+'วันที่  13'!J29+'วันที่ 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0</v>
      </c>
      <c r="K29" s="15"/>
      <c r="L29" s="49">
        <v>25</v>
      </c>
      <c r="M29" s="50">
        <f>+'วันที่ 25'!K207</f>
        <v>0</v>
      </c>
      <c r="N29" s="50">
        <f>+'วันที่ 25'!K212</f>
        <v>0</v>
      </c>
      <c r="O29" s="50">
        <f>+'วันที่ 25'!K210</f>
        <v>0</v>
      </c>
      <c r="P29" s="50">
        <f>+'วันที่ 25'!K208</f>
        <v>0</v>
      </c>
      <c r="Q29" s="50">
        <f>+'วันที่ 25'!K211</f>
        <v>0</v>
      </c>
      <c r="R29" s="50">
        <f>+'วันที่ 25'!K209</f>
        <v>0</v>
      </c>
      <c r="S29" s="50">
        <f t="shared" si="2"/>
        <v>0</v>
      </c>
      <c r="T29" s="50">
        <f>+'วันที่ 25'!K214</f>
        <v>0</v>
      </c>
      <c r="U29" s="51">
        <f t="shared" si="3"/>
        <v>0</v>
      </c>
      <c r="V29" s="5"/>
    </row>
    <row r="30" spans="1:22">
      <c r="A30" s="10">
        <v>26</v>
      </c>
      <c r="B30" s="11" t="s">
        <v>41</v>
      </c>
      <c r="C30" s="46">
        <f>+'วันที่ 1'!C30</f>
        <v>0</v>
      </c>
      <c r="D30" s="47">
        <f>+'วันที่ 1'!D30+'วันที่ 2'!D30+'วันที่ 3'!D30+'วันที่ 4'!D30+'วันที่ 5'!D30+'วันที่ 6'!D30+'วันที่  7'!D30+'วันที่  8'!D30+'วันที่  9'!D30+'วันที่  10'!D30+'วันที่  11'!D30+'วันที่  12'!D30+'วันที่  13'!D30+'วันที่ 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0"/>
        <v>0</v>
      </c>
      <c r="F30" s="47">
        <f>+'วันที่ 1'!F30+'วันที่ 2'!F30+'วันที่ 3'!F30+'วันที่ 4'!F30+'วันที่ 5'!F30+'วันที่ 6'!F30+'วันที่  7'!F30+'วันที่  8'!F30+'วันที่  9'!F30+'วันที่  10'!F30+'วันที่  11'!F30+'วันที่  12'!F30+'วันที่  13'!F30+'วันที่ 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2">
        <f t="shared" si="1"/>
        <v>0</v>
      </c>
      <c r="H30" s="47">
        <f>+'วันที่ 1'!H30+'วันที่ 2'!H30+'วันที่ 3'!H30+'วันที่ 4'!H30+'วันที่ 5'!H30+'วันที่ 6'!H30+'วันที่  7'!H30+'วันที่  8'!H30+'วันที่  9'!H30+'วันที่  10'!H30+'วันที่  11'!H30+'วันที่  12'!H30+'วันที่  13'!H30+'วันที่ 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5">
        <v>100</v>
      </c>
      <c r="J30" s="47">
        <f>+'วันที่ 1'!J30+'วันที่ 2'!J30+'วันที่ 3'!J30+'วันที่ 4'!J30+'วันที่ 5'!J30+'วันที่ 6'!J30+'วันที่  7'!J30+'วันที่  8'!J30+'วันที่  9'!J30+'วันที่  10'!J30+'วันที่  11'!J30+'วันที่  12'!J30+'วันที่  13'!J30+'วันที่ 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5"/>
      <c r="L30" s="49">
        <v>26</v>
      </c>
      <c r="M30" s="50">
        <f>+'วันที่ 26'!K207</f>
        <v>0</v>
      </c>
      <c r="N30" s="50">
        <f>+'วันที่ 26'!K212</f>
        <v>0</v>
      </c>
      <c r="O30" s="50">
        <f>+'วันที่ 26'!K210</f>
        <v>0</v>
      </c>
      <c r="P30" s="50">
        <f>+'วันที่ 26'!K208</f>
        <v>0</v>
      </c>
      <c r="Q30" s="50">
        <f>+'วันที่ 26'!K211</f>
        <v>0</v>
      </c>
      <c r="R30" s="50">
        <f>+'วันที่ 26'!K209</f>
        <v>0</v>
      </c>
      <c r="S30" s="50">
        <f t="shared" si="2"/>
        <v>0</v>
      </c>
      <c r="T30" s="50">
        <f>+'วันที่ 26'!K214</f>
        <v>0</v>
      </c>
      <c r="U30" s="51">
        <f t="shared" si="3"/>
        <v>0</v>
      </c>
      <c r="V30" s="5"/>
    </row>
    <row r="31" spans="1:22">
      <c r="A31" s="10">
        <v>27</v>
      </c>
      <c r="B31" s="11" t="s">
        <v>42</v>
      </c>
      <c r="C31" s="46">
        <f>+'วันที่ 1'!C31</f>
        <v>0</v>
      </c>
      <c r="D31" s="47">
        <f>+'วันที่ 1'!D31+'วันที่ 2'!D31+'วันที่ 3'!D31+'วันที่ 4'!D31+'วันที่ 5'!D31+'วันที่ 6'!D31+'วันที่  7'!D31+'วันที่  8'!D31+'วันที่  9'!D31+'วันที่  10'!D31+'วันที่  11'!D31+'วันที่  12'!D31+'วันที่  13'!D31+'วันที่ 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0"/>
        <v>0</v>
      </c>
      <c r="F31" s="47">
        <f>+'วันที่ 1'!F31+'วันที่ 2'!F31+'วันที่ 3'!F31+'วันที่ 4'!F31+'วันที่ 5'!F31+'วันที่ 6'!F31+'วันที่  7'!F31+'วันที่  8'!F31+'วันที่  9'!F31+'วันที่  10'!F31+'วันที่  11'!F31+'วันที่  12'!F31+'วันที่  13'!F31+'วันที่ 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2">
        <f t="shared" si="1"/>
        <v>0</v>
      </c>
      <c r="H31" s="47">
        <f>+'วันที่ 1'!H31+'วันที่ 2'!H31+'วันที่ 3'!H31+'วันที่ 4'!H31+'วันที่ 5'!H31+'วันที่ 6'!H31+'วันที่  7'!H31+'วันที่  8'!H31+'วันที่  9'!H31+'วันที่  10'!H31+'วันที่  11'!H31+'วันที่  12'!H31+'วันที่  13'!H31+'วันที่ 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5">
        <v>100</v>
      </c>
      <c r="J31" s="47">
        <f>+'วันที่ 1'!J31+'วันที่ 2'!J31+'วันที่ 3'!J31+'วันที่ 4'!J31+'วันที่ 5'!J31+'วันที่ 6'!J31+'วันที่  7'!J31+'วันที่  8'!J31+'วันที่  9'!J31+'วันที่  10'!J31+'วันที่  11'!J31+'วันที่  12'!J31+'วันที่  13'!J31+'วันที่ 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5"/>
      <c r="L31" s="49">
        <v>27</v>
      </c>
      <c r="M31" s="50">
        <f>+'วันที่ 27'!K207</f>
        <v>0</v>
      </c>
      <c r="N31" s="50">
        <f>+'วันที่ 27'!K212</f>
        <v>0</v>
      </c>
      <c r="O31" s="50">
        <f>+'วันที่ 27'!K210</f>
        <v>0</v>
      </c>
      <c r="P31" s="50">
        <f>+'วันที่ 27'!K208</f>
        <v>0</v>
      </c>
      <c r="Q31" s="50">
        <f>+'วันที่ 27'!K211</f>
        <v>0</v>
      </c>
      <c r="R31" s="50">
        <f>+'วันที่ 27'!K209</f>
        <v>0</v>
      </c>
      <c r="S31" s="50">
        <f t="shared" si="2"/>
        <v>0</v>
      </c>
      <c r="T31" s="50">
        <f>+'วันที่ 27'!K214</f>
        <v>0</v>
      </c>
      <c r="U31" s="51">
        <f t="shared" si="3"/>
        <v>0</v>
      </c>
      <c r="V31" s="5"/>
    </row>
    <row r="32" spans="1:22">
      <c r="A32" s="10">
        <v>28</v>
      </c>
      <c r="B32" s="11" t="s">
        <v>43</v>
      </c>
      <c r="C32" s="46">
        <f>+'วันที่ 1'!C32</f>
        <v>0</v>
      </c>
      <c r="D32" s="47">
        <f>+'วันที่ 1'!D32+'วันที่ 2'!D32+'วันที่ 3'!D32+'วันที่ 4'!D32+'วันที่ 5'!D32+'วันที่ 6'!D32+'วันที่  7'!D32+'วันที่  8'!D32+'วันที่  9'!D32+'วันที่  10'!D32+'วันที่  11'!D32+'วันที่  12'!D32+'วันที่  13'!D32+'วันที่ 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46">
        <f t="shared" si="0"/>
        <v>0</v>
      </c>
      <c r="F32" s="47">
        <f>+'วันที่ 1'!F32+'วันที่ 2'!F32+'วันที่ 3'!F32+'วันที่ 4'!F32+'วันที่ 5'!F32+'วันที่ 6'!F32+'วันที่  7'!F32+'วันที่  8'!F32+'วันที่  9'!F32+'วันที่  10'!F32+'วันที่  11'!F32+'วันที่  12'!F32+'วันที่  13'!F32+'วันที่ 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2">
        <f t="shared" si="1"/>
        <v>0</v>
      </c>
      <c r="H32" s="47">
        <f>+'วันที่ 1'!H32+'วันที่ 2'!H32+'วันที่ 3'!H32+'วันที่ 4'!H32+'วันที่ 5'!H32+'วันที่ 6'!H32+'วันที่  7'!H32+'วันที่  8'!H32+'วันที่  9'!H32+'วันที่  10'!H32+'วันที่  11'!H32+'วันที่  12'!H32+'วันที่  13'!H32+'วันที่ 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15">
        <v>130</v>
      </c>
      <c r="J32" s="47">
        <f>+'วันที่ 1'!J32+'วันที่ 2'!J32+'วันที่ 3'!J32+'วันที่ 4'!J32+'วันที่ 5'!J32+'วันที่ 6'!J32+'วันที่  7'!J32+'วันที่  8'!J32+'วันที่  9'!J32+'วันที่  10'!J32+'วันที่  11'!J32+'วันที่  12'!J32+'วันที่  13'!J32+'วันที่ 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15"/>
      <c r="L32" s="49">
        <v>28</v>
      </c>
      <c r="M32" s="50">
        <f>+'วันที่ 28'!K207</f>
        <v>0</v>
      </c>
      <c r="N32" s="50">
        <f>+'วันที่ 28'!K212</f>
        <v>0</v>
      </c>
      <c r="O32" s="50">
        <f>+'วันที่ 28'!K210</f>
        <v>0</v>
      </c>
      <c r="P32" s="50">
        <f>+'วันที่ 28'!K208</f>
        <v>0</v>
      </c>
      <c r="Q32" s="50">
        <f>+'วันที่ 28'!K211</f>
        <v>0</v>
      </c>
      <c r="R32" s="50">
        <f>+'วันที่ 28'!K209</f>
        <v>0</v>
      </c>
      <c r="S32" s="50">
        <f t="shared" si="2"/>
        <v>0</v>
      </c>
      <c r="T32" s="50">
        <f>+'วันที่ 28'!K214</f>
        <v>0</v>
      </c>
      <c r="U32" s="51">
        <f t="shared" si="3"/>
        <v>0</v>
      </c>
      <c r="V32" s="5"/>
    </row>
    <row r="33" spans="1:22">
      <c r="A33" s="10">
        <v>29</v>
      </c>
      <c r="B33" s="11" t="s">
        <v>44</v>
      </c>
      <c r="C33" s="46">
        <f>+'วันที่ 1'!C33</f>
        <v>0</v>
      </c>
      <c r="D33" s="47">
        <f>+'วันที่ 1'!D33+'วันที่ 2'!D33+'วันที่ 3'!D33+'วันที่ 4'!D33+'วันที่ 5'!D33+'วันที่ 6'!D33+'วันที่  7'!D33+'วันที่  8'!D33+'วันที่  9'!D33+'วันที่  10'!D33+'วันที่  11'!D33+'วันที่  12'!D33+'วันที่  13'!D33+'วันที่ 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0"/>
        <v>0</v>
      </c>
      <c r="F33" s="47">
        <f>+'วันที่ 1'!F33+'วันที่ 2'!F33+'วันที่ 3'!F33+'วันที่ 4'!F33+'วันที่ 5'!F33+'วันที่ 6'!F33+'วันที่  7'!F33+'วันที่  8'!F33+'วันที่  9'!F33+'วันที่  10'!F33+'วันที่  11'!F33+'วันที่  12'!F33+'วันที่  13'!F33+'วันที่ 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2">
        <f t="shared" si="1"/>
        <v>0</v>
      </c>
      <c r="H33" s="47">
        <f>+'วันที่ 1'!H33+'วันที่ 2'!H33+'วันที่ 3'!H33+'วันที่ 4'!H33+'วันที่ 5'!H33+'วันที่ 6'!H33+'วันที่  7'!H33+'วันที่  8'!H33+'วันที่  9'!H33+'วันที่  10'!H33+'วันที่  11'!H33+'วันที่  12'!H33+'วันที่  13'!H33+'วันที่ 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5">
        <v>130</v>
      </c>
      <c r="J33" s="47">
        <f>+'วันที่ 1'!J33+'วันที่ 2'!J33+'วันที่ 3'!J33+'วันที่ 4'!J33+'วันที่ 5'!J33+'วันที่ 6'!J33+'วันที่  7'!J33+'วันที่  8'!J33+'วันที่  9'!J33+'วันที่  10'!J33+'วันที่  11'!J33+'วันที่  12'!J33+'วันที่  13'!J33+'วันที่ 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5"/>
      <c r="L33" s="49">
        <v>29</v>
      </c>
      <c r="M33" s="50">
        <f>+'วันที่ 29'!K207</f>
        <v>0</v>
      </c>
      <c r="N33" s="50">
        <f>+'วันที่ 29'!K212</f>
        <v>0</v>
      </c>
      <c r="O33" s="50">
        <f>+'วันที่ 29'!K210</f>
        <v>0</v>
      </c>
      <c r="P33" s="50">
        <f>+'วันที่ 29'!K208</f>
        <v>0</v>
      </c>
      <c r="Q33" s="50">
        <f>+'วันที่ 29'!K211</f>
        <v>0</v>
      </c>
      <c r="R33" s="50">
        <f>+'วันที่ 29'!K209</f>
        <v>0</v>
      </c>
      <c r="S33" s="50">
        <f t="shared" si="2"/>
        <v>0</v>
      </c>
      <c r="T33" s="50">
        <f>+'วันที่ 29'!K214</f>
        <v>0</v>
      </c>
      <c r="U33" s="51">
        <f t="shared" si="3"/>
        <v>0</v>
      </c>
      <c r="V33" s="5"/>
    </row>
    <row r="34" spans="1:22">
      <c r="A34" s="10">
        <v>30</v>
      </c>
      <c r="B34" s="11" t="s">
        <v>45</v>
      </c>
      <c r="C34" s="46">
        <f>+'วันที่ 1'!C34</f>
        <v>3</v>
      </c>
      <c r="D34" s="47">
        <f>+'วันที่ 1'!D34+'วันที่ 2'!D34+'วันที่ 3'!D34+'วันที่ 4'!D34+'วันที่ 5'!D34+'วันที่ 6'!D34+'วันที่  7'!D34+'วันที่  8'!D34+'วันที่  9'!D34+'วันที่  10'!D34+'วันที่  11'!D34+'วันที่  12'!D34+'วันที่  13'!D34+'วันที่ 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16</v>
      </c>
      <c r="E34" s="46">
        <f t="shared" si="0"/>
        <v>19</v>
      </c>
      <c r="F34" s="47">
        <f>+'วันที่ 1'!F34+'วันที่ 2'!F34+'วันที่ 3'!F34+'วันที่ 4'!F34+'วันที่ 5'!F34+'วันที่ 6'!F34+'วันที่  7'!F34+'วันที่  8'!F34+'วันที่  9'!F34+'วันที่  10'!F34+'วันที่  11'!F34+'วันที่  12'!F34+'วันที่  13'!F34+'วันที่ 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92">
        <f t="shared" si="1"/>
        <v>0</v>
      </c>
      <c r="H34" s="47">
        <f>+'วันที่ 1'!H34+'วันที่ 2'!H34+'วันที่ 3'!H34+'วันที่ 4'!H34+'วันที่ 5'!H34+'วันที่ 6'!H34+'วันที่  7'!H34+'วันที่  8'!H34+'วันที่  9'!H34+'วันที่  10'!H34+'วันที่  11'!H34+'วันที่  12'!H34+'วันที่  13'!H34+'วันที่ 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19</v>
      </c>
      <c r="I34" s="15">
        <v>130</v>
      </c>
      <c r="J34" s="47">
        <f>+'วันที่ 1'!J34+'วันที่ 2'!J34+'วันที่ 3'!J34+'วันที่ 4'!J34+'วันที่ 5'!J34+'วันที่ 6'!J34+'วันที่  7'!J34+'วันที่  8'!J34+'วันที่  9'!J34+'วันที่  10'!J34+'วันที่  11'!J34+'วันที่  12'!J34+'วันที่  13'!J34+'วันที่ 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2470</v>
      </c>
      <c r="K34" s="15"/>
      <c r="L34" s="49">
        <v>30</v>
      </c>
      <c r="M34" s="50">
        <f>+'วันที่ 30'!K207</f>
        <v>0</v>
      </c>
      <c r="N34" s="50">
        <f>+'วันที่ 30'!K212</f>
        <v>0</v>
      </c>
      <c r="O34" s="50">
        <f>+'วันที่ 30'!K210</f>
        <v>0</v>
      </c>
      <c r="P34" s="50">
        <f>+'วันที่ 30'!K208</f>
        <v>0</v>
      </c>
      <c r="Q34" s="50">
        <f>+'วันที่ 30'!K211</f>
        <v>0</v>
      </c>
      <c r="R34" s="50">
        <f>+'วันที่ 30'!K209</f>
        <v>0</v>
      </c>
      <c r="S34" s="50">
        <f t="shared" si="2"/>
        <v>0</v>
      </c>
      <c r="T34" s="50">
        <f>+'วันที่ 30'!K214</f>
        <v>0</v>
      </c>
      <c r="U34" s="51">
        <f t="shared" si="3"/>
        <v>0</v>
      </c>
      <c r="V34" s="5"/>
    </row>
    <row r="35" spans="1:22">
      <c r="A35" s="10">
        <v>31</v>
      </c>
      <c r="B35" s="11" t="s">
        <v>46</v>
      </c>
      <c r="C35" s="46">
        <f>+'วันที่ 1'!C35</f>
        <v>3</v>
      </c>
      <c r="D35" s="47">
        <f>+'วันที่ 1'!D35+'วันที่ 2'!D35+'วันที่ 3'!D35+'วันที่ 4'!D35+'วันที่ 5'!D35+'วันที่ 6'!D35+'วันที่  7'!D35+'วันที่  8'!D35+'วันที่  9'!D35+'วันที่  10'!D35+'วันที่  11'!D35+'วันที่  12'!D35+'วันที่  13'!D35+'วันที่ 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26</v>
      </c>
      <c r="E35" s="46">
        <f t="shared" si="0"/>
        <v>29</v>
      </c>
      <c r="F35" s="47">
        <f>+'วันที่ 1'!F35+'วันที่ 2'!F35+'วันที่ 3'!F35+'วันที่ 4'!F35+'วันที่ 5'!F35+'วันที่ 6'!F35+'วันที่  7'!F35+'วันที่  8'!F35+'วันที่  9'!F35+'วันที่  10'!F35+'วันที่  11'!F35+'วันที่  12'!F35+'วันที่  13'!F35+'วันที่ 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92">
        <f t="shared" si="1"/>
        <v>1</v>
      </c>
      <c r="H35" s="47">
        <f>+'วันที่ 1'!H35+'วันที่ 2'!H35+'วันที่ 3'!H35+'วันที่ 4'!H35+'วันที่ 5'!H35+'วันที่ 6'!H35+'วันที่  7'!H35+'วันที่  8'!H35+'วันที่  9'!H35+'วันที่  10'!H35+'วันที่  11'!H35+'วันที่  12'!H35+'วันที่  13'!H35+'วันที่ 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28</v>
      </c>
      <c r="I35" s="15">
        <v>130</v>
      </c>
      <c r="J35" s="47">
        <f>+'วันที่ 1'!J35+'วันที่ 2'!J35+'วันที่ 3'!J35+'วันที่ 4'!J35+'วันที่ 5'!J35+'วันที่ 6'!J35+'วันที่  7'!J35+'วันที่  8'!J35+'วันที่  9'!J35+'วันที่  10'!J35+'วันที่  11'!J35+'วันที่  12'!J35+'วันที่  13'!J35+'วันที่ 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3640</v>
      </c>
      <c r="K35" s="15"/>
      <c r="L35" s="49">
        <v>31</v>
      </c>
      <c r="M35" s="50">
        <f>+'วันที่ 31'!K207</f>
        <v>0</v>
      </c>
      <c r="N35" s="50">
        <f>+'วันที่ 31'!K212</f>
        <v>0</v>
      </c>
      <c r="O35" s="50">
        <f>+'วันที่ 31'!K210</f>
        <v>0</v>
      </c>
      <c r="P35" s="50">
        <f>+'วันที่ 31'!K208</f>
        <v>0</v>
      </c>
      <c r="Q35" s="50">
        <f>+'วันที่ 31'!K211</f>
        <v>0</v>
      </c>
      <c r="R35" s="50">
        <f>+'วันที่ 31'!K209</f>
        <v>0</v>
      </c>
      <c r="S35" s="50">
        <f t="shared" si="2"/>
        <v>0</v>
      </c>
      <c r="T35" s="50">
        <f>+'วันที่ 31'!K214</f>
        <v>0</v>
      </c>
      <c r="U35" s="51">
        <f t="shared" si="3"/>
        <v>0</v>
      </c>
      <c r="V35" s="5"/>
    </row>
    <row r="36" spans="1:22">
      <c r="A36" s="10">
        <v>32</v>
      </c>
      <c r="B36" s="11" t="s">
        <v>47</v>
      </c>
      <c r="C36" s="46">
        <f>+'วันที่ 1'!C36</f>
        <v>0</v>
      </c>
      <c r="D36" s="47">
        <f>+'วันที่ 1'!D36+'วันที่ 2'!D36+'วันที่ 3'!D36+'วันที่ 4'!D36+'วันที่ 5'!D36+'วันที่ 6'!D36+'วันที่  7'!D36+'วันที่  8'!D36+'วันที่  9'!D36+'วันที่  10'!D36+'วันที่  11'!D36+'วันที่  12'!D36+'วันที่  13'!D36+'วันที่ 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0"/>
        <v>0</v>
      </c>
      <c r="F36" s="47">
        <f>+'วันที่ 1'!F36+'วันที่ 2'!F36+'วันที่ 3'!F36+'วันที่ 4'!F36+'วันที่ 5'!F36+'วันที่ 6'!F36+'วันที่  7'!F36+'วันที่  8'!F36+'วันที่  9'!F36+'วันที่  10'!F36+'วันที่  11'!F36+'วันที่  12'!F36+'วันที่  13'!F36+'วันที่ 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2">
        <f t="shared" si="1"/>
        <v>0</v>
      </c>
      <c r="H36" s="47">
        <f>+'วันที่ 1'!H36+'วันที่ 2'!H36+'วันที่ 3'!H36+'วันที่ 4'!H36+'วันที่ 5'!H36+'วันที่ 6'!H36+'วันที่  7'!H36+'วันที่  8'!H36+'วันที่  9'!H36+'วันที่  10'!H36+'วันที่  11'!H36+'วันที่  12'!H36+'วันที่  13'!H36+'วันที่ 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5">
        <v>100</v>
      </c>
      <c r="J36" s="47">
        <f>+'วันที่ 1'!J36+'วันที่ 2'!J36+'วันที่ 3'!J36+'วันที่ 4'!J36+'วันที่ 5'!J36+'วันที่ 6'!J36+'วันที่  7'!J36+'วันที่  8'!J36+'วันที่  9'!J36+'วันที่  10'!J36+'วันที่  11'!J36+'วันที่  12'!J36+'วันที่  13'!J36+'วันที่ 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5"/>
      <c r="L36" s="52" t="s">
        <v>5</v>
      </c>
      <c r="M36" s="53">
        <f t="shared" ref="M36:T36" si="4">SUM(M5:M35)</f>
        <v>51165</v>
      </c>
      <c r="N36" s="53">
        <f t="shared" si="4"/>
        <v>2005</v>
      </c>
      <c r="O36" s="53">
        <f t="shared" si="4"/>
        <v>0</v>
      </c>
      <c r="P36" s="53">
        <f>SUM(P5:P35)</f>
        <v>0</v>
      </c>
      <c r="Q36" s="53">
        <f t="shared" si="4"/>
        <v>0</v>
      </c>
      <c r="R36" s="53">
        <f>SUM(R5:R35)</f>
        <v>4460</v>
      </c>
      <c r="S36" s="53">
        <f>SUM(S5:S35)</f>
        <v>44700</v>
      </c>
      <c r="T36" s="53">
        <f t="shared" si="4"/>
        <v>44700</v>
      </c>
      <c r="U36" s="53">
        <f>SUM(U5:U35)</f>
        <v>0</v>
      </c>
      <c r="V36" s="5"/>
    </row>
    <row r="37" spans="1:22">
      <c r="A37" s="10">
        <v>33</v>
      </c>
      <c r="B37" s="11" t="s">
        <v>48</v>
      </c>
      <c r="C37" s="46">
        <f>+'วันที่ 1'!C37</f>
        <v>2</v>
      </c>
      <c r="D37" s="47">
        <f>+'วันที่ 1'!D37+'วันที่ 2'!D37+'วันที่ 3'!D37+'วันที่ 4'!D37+'วันที่ 5'!D37+'วันที่ 6'!D37+'วันที่  7'!D37+'วันที่  8'!D37+'วันที่  9'!D37+'วันที่  10'!D37+'วันที่  11'!D37+'วันที่  12'!D37+'วันที่  13'!D37+'วันที่ 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30</v>
      </c>
      <c r="E37" s="46">
        <f t="shared" si="0"/>
        <v>32</v>
      </c>
      <c r="F37" s="47">
        <f>+'วันที่ 1'!F37+'วันที่ 2'!F37+'วันที่ 3'!F37+'วันที่ 4'!F37+'วันที่ 5'!F37+'วันที่ 6'!F37+'วันที่  7'!F37+'วันที่  8'!F37+'วันที่  9'!F37+'วันที่  10'!F37+'วันที่  11'!F37+'วันที่  12'!F37+'วันที่  13'!F37+'วันที่ 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G37" s="92">
        <f t="shared" si="1"/>
        <v>0</v>
      </c>
      <c r="H37" s="47">
        <f>+'วันที่ 1'!H37+'วันที่ 2'!H37+'วันที่ 3'!H37+'วันที่ 4'!H37+'วันที่ 5'!H37+'วันที่ 6'!H37+'วันที่  7'!H37+'วันที่  8'!H37+'วันที่  9'!H37+'วันที่  10'!H37+'วันที่  11'!H37+'วันที่  12'!H37+'วันที่  13'!H37+'วันที่ 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32</v>
      </c>
      <c r="I37" s="15">
        <v>100</v>
      </c>
      <c r="J37" s="47">
        <f>+'วันที่ 1'!J37+'วันที่ 2'!J37+'วันที่ 3'!J37+'วันที่ 4'!J37+'วันที่ 5'!J37+'วันที่ 6'!J37+'วันที่  7'!J37+'วันที่  8'!J37+'วันที่  9'!J37+'วันที่  10'!J37+'วันที่  11'!J37+'วันที่  12'!J37+'วันที่  13'!J37+'วันที่ 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3200</v>
      </c>
      <c r="K37" s="15"/>
      <c r="P37" s="54"/>
      <c r="S37" s="54"/>
      <c r="U37" s="5"/>
    </row>
    <row r="38" spans="1:22">
      <c r="A38" s="10">
        <v>34</v>
      </c>
      <c r="B38" s="11" t="s">
        <v>49</v>
      </c>
      <c r="C38" s="46">
        <f>+'วันที่ 1'!C38</f>
        <v>0</v>
      </c>
      <c r="D38" s="47">
        <f>+'วันที่ 1'!D38+'วันที่ 2'!D38+'วันที่ 3'!D38+'วันที่ 4'!D38+'วันที่ 5'!D38+'วันที่ 6'!D38+'วันที่  7'!D38+'วันที่  8'!D38+'วันที่  9'!D38+'วันที่  10'!D38+'วันที่  11'!D38+'วันที่  12'!D38+'วันที่  13'!D38+'วันที่ 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12</v>
      </c>
      <c r="E38" s="46">
        <f t="shared" si="0"/>
        <v>12</v>
      </c>
      <c r="F38" s="47">
        <f>+'วันที่ 1'!F38+'วันที่ 2'!F38+'วันที่ 3'!F38+'วันที่ 4'!F38+'วันที่ 5'!F38+'วันที่ 6'!F38+'วันที่  7'!F38+'วันที่  8'!F38+'วันที่  9'!F38+'วันที่  10'!F38+'วันที่  11'!F38+'วันที่  12'!F38+'วันที่  13'!F38+'วันที่ 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92">
        <f t="shared" si="1"/>
        <v>3</v>
      </c>
      <c r="H38" s="47">
        <f>+'วันที่ 1'!H38+'วันที่ 2'!H38+'วันที่ 3'!H38+'วันที่ 4'!H38+'วันที่ 5'!H38+'วันที่ 6'!H38+'วันที่  7'!H38+'วันที่  8'!H38+'วันที่  9'!H38+'วันที่  10'!H38+'วันที่  11'!H38+'วันที่  12'!H38+'วันที่  13'!H38+'วันที่ 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9</v>
      </c>
      <c r="I38" s="15">
        <v>50</v>
      </c>
      <c r="J38" s="47">
        <f>+'วันที่ 1'!J38+'วันที่ 2'!J38+'วันที่ 3'!J38+'วันที่ 4'!J38+'วันที่ 5'!J38+'วันที่ 6'!J38+'วันที่  7'!J38+'วันที่  8'!J38+'วันที่  9'!J38+'วันที่  10'!J38+'วันที่  11'!J38+'วันที่  12'!J38+'วันที่  13'!J38+'วันที่ 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450</v>
      </c>
      <c r="K38" s="15"/>
      <c r="M38" s="55"/>
      <c r="N38" s="54"/>
      <c r="U38" s="5"/>
    </row>
    <row r="39" spans="1:22">
      <c r="A39" s="10">
        <v>35</v>
      </c>
      <c r="B39" s="11" t="s">
        <v>50</v>
      </c>
      <c r="C39" s="46">
        <f>+'วันที่ 1'!C39</f>
        <v>0</v>
      </c>
      <c r="D39" s="47">
        <f>+'วันที่ 1'!D39+'วันที่ 2'!D39+'วันที่ 3'!D39+'วันที่ 4'!D39+'วันที่ 5'!D39+'วันที่ 6'!D39+'วันที่  7'!D39+'วันที่  8'!D39+'วันที่  9'!D39+'วันที่  10'!D39+'วันที่  11'!D39+'วันที่  12'!D39+'วันที่  13'!D39+'วันที่ 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2</v>
      </c>
      <c r="E39" s="46">
        <f t="shared" si="0"/>
        <v>2</v>
      </c>
      <c r="F39" s="47">
        <f>+'วันที่ 1'!F39+'วันที่ 2'!F39+'วันที่ 3'!F39+'วันที่ 4'!F39+'วันที่ 5'!F39+'วันที่ 6'!F39+'วันที่  7'!F39+'วันที่  8'!F39+'วันที่  9'!F39+'วันที่  10'!F39+'วันที่  11'!F39+'วันที่  12'!F39+'วันที่  13'!F39+'วันที่ 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92">
        <f t="shared" si="1"/>
        <v>1</v>
      </c>
      <c r="H39" s="47">
        <f>+'วันที่ 1'!H39+'วันที่ 2'!H39+'วันที่ 3'!H39+'วันที่ 4'!H39+'วันที่ 5'!H39+'วันที่ 6'!H39+'วันที่  7'!H39+'วันที่  8'!H39+'วันที่  9'!H39+'วันที่  10'!H39+'วันที่  11'!H39+'วันที่  12'!H39+'วันที่  13'!H39+'วันที่ 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1</v>
      </c>
      <c r="I39" s="15">
        <v>50</v>
      </c>
      <c r="J39" s="47">
        <f>+'วันที่ 1'!J39+'วันที่ 2'!J39+'วันที่ 3'!J39+'วันที่ 4'!J39+'วันที่ 5'!J39+'วันที่ 6'!J39+'วันที่  7'!J39+'วันที่  8'!J39+'วันที่  9'!J39+'วันที่  10'!J39+'วันที่  11'!J39+'วันที่  12'!J39+'วันที่  13'!J39+'วันที่ 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50</v>
      </c>
      <c r="K39" s="15"/>
      <c r="M39" s="56"/>
      <c r="O39" s="54"/>
      <c r="U39" s="5"/>
    </row>
    <row r="40" spans="1:22">
      <c r="A40" s="10">
        <v>36</v>
      </c>
      <c r="B40" s="11" t="s">
        <v>51</v>
      </c>
      <c r="C40" s="46">
        <f>+'วันที่ 1'!C40</f>
        <v>0</v>
      </c>
      <c r="D40" s="47">
        <f>+'วันที่ 1'!D40+'วันที่ 2'!D40+'วันที่ 3'!D40+'วันที่ 4'!D40+'วันที่ 5'!D40+'วันที่ 6'!D40+'วันที่  7'!D40+'วันที่  8'!D40+'วันที่  9'!D40+'วันที่  10'!D40+'วันที่  11'!D40+'วันที่  12'!D40+'วันที่  13'!D40+'วันที่ 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7</v>
      </c>
      <c r="E40" s="46">
        <f t="shared" si="0"/>
        <v>7</v>
      </c>
      <c r="F40" s="47">
        <f>+'วันที่ 1'!F40+'วันที่ 2'!F40+'วันที่ 3'!F40+'วันที่ 4'!F40+'วันที่ 5'!F40+'วันที่ 6'!F40+'วันที่  7'!F40+'วันที่  8'!F40+'วันที่  9'!F40+'วันที่  10'!F40+'วันที่  11'!F40+'วันที่  12'!F40+'วันที่  13'!F40+'วันที่ 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40" s="92">
        <f t="shared" si="1"/>
        <v>3</v>
      </c>
      <c r="H40" s="47">
        <f>+'วันที่ 1'!H40+'วันที่ 2'!H40+'วันที่ 3'!H40+'วันที่ 4'!H40+'วันที่ 5'!H40+'วันที่ 6'!H40+'วันที่  7'!H40+'วันที่  8'!H40+'วันที่  9'!H40+'วันที่  10'!H40+'วันที่  11'!H40+'วันที่  12'!H40+'วันที่  13'!H40+'วันที่ 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4</v>
      </c>
      <c r="I40" s="15">
        <v>50</v>
      </c>
      <c r="J40" s="47">
        <f>+'วันที่ 1'!J40+'วันที่ 2'!J40+'วันที่ 3'!J40+'วันที่ 4'!J40+'วันที่ 5'!J40+'วันที่ 6'!J40+'วันที่  7'!J40+'วันที่  8'!J40+'วันที่  9'!J40+'วันที่  10'!J40+'วันที่  11'!J40+'วันที่  12'!J40+'วันที่  13'!J40+'วันที่ 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200</v>
      </c>
      <c r="K40" s="15"/>
      <c r="M40" s="56"/>
      <c r="U40" s="5"/>
    </row>
    <row r="41" spans="1:22">
      <c r="A41" s="10">
        <v>37</v>
      </c>
      <c r="B41" s="11" t="s">
        <v>52</v>
      </c>
      <c r="C41" s="46">
        <f>+'วันที่ 1'!C41</f>
        <v>7</v>
      </c>
      <c r="D41" s="47">
        <f>+'วันที่ 1'!D41+'วันที่ 2'!D41+'วันที่ 3'!D41+'วันที่ 4'!D41+'วันที่ 5'!D41+'วันที่ 6'!D41+'วันที่  7'!D41+'วันที่  8'!D41+'วันที่  9'!D41+'วันที่  10'!D41+'วันที่  11'!D41+'วันที่  12'!D41+'วันที่  13'!D41+'วันที่ 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10</v>
      </c>
      <c r="E41" s="46">
        <f t="shared" si="0"/>
        <v>17</v>
      </c>
      <c r="F41" s="47">
        <f>+'วันที่ 1'!F41+'วันที่ 2'!F41+'วันที่ 3'!F41+'วันที่ 4'!F41+'วันที่ 5'!F41+'วันที่ 6'!F41+'วันที่  7'!F41+'วันที่  8'!F41+'วันที่  9'!F41+'วันที่  10'!F41+'วันที่  11'!F41+'วันที่  12'!F41+'วันที่  13'!F41+'วันที่ 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1</v>
      </c>
      <c r="G41" s="92">
        <f t="shared" si="1"/>
        <v>4</v>
      </c>
      <c r="H41" s="47">
        <f>+'วันที่ 1'!H41+'วันที่ 2'!H41+'วันที่ 3'!H41+'วันที่ 4'!H41+'วันที่ 5'!H41+'วันที่ 6'!H41+'วันที่  7'!H41+'วันที่  8'!H41+'วันที่  9'!H41+'วันที่  10'!H41+'วันที่  11'!H41+'วันที่  12'!H41+'วันที่  13'!H41+'วันที่ 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12</v>
      </c>
      <c r="I41" s="15">
        <v>50</v>
      </c>
      <c r="J41" s="47">
        <f>+'วันที่ 1'!J41+'วันที่ 2'!J41+'วันที่ 3'!J41+'วันที่ 4'!J41+'วันที่ 5'!J41+'วันที่ 6'!J41+'วันที่  7'!J41+'วันที่  8'!J41+'วันที่  9'!J41+'วันที่  10'!J41+'วันที่  11'!J41+'วันที่  12'!J41+'วันที่  13'!J41+'วันที่ 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600</v>
      </c>
      <c r="K41" s="15"/>
      <c r="M41" s="56"/>
      <c r="U41" s="5"/>
    </row>
    <row r="42" spans="1:22">
      <c r="A42" s="10">
        <v>38</v>
      </c>
      <c r="B42" s="11" t="s">
        <v>53</v>
      </c>
      <c r="C42" s="46">
        <f>+'วันที่ 1'!C42</f>
        <v>11</v>
      </c>
      <c r="D42" s="47">
        <f>+'วันที่ 1'!D42+'วันที่ 2'!D42+'วันที่ 3'!D42+'วันที่ 4'!D42+'วันที่ 5'!D42+'วันที่ 6'!D42+'วันที่  7'!D42+'วันที่  8'!D42+'วันที่  9'!D42+'วันที่  10'!D42+'วันที่  11'!D42+'วันที่  12'!D42+'วันที่  13'!D42+'วันที่ 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30</v>
      </c>
      <c r="E42" s="46">
        <f t="shared" si="0"/>
        <v>41</v>
      </c>
      <c r="F42" s="47">
        <f>+'วันที่ 1'!F42+'วันที่ 2'!F42+'วันที่ 3'!F42+'วันที่ 4'!F42+'วันที่ 5'!F42+'วันที่ 6'!F42+'วันที่  7'!F42+'วันที่  8'!F42+'วันที่  9'!F42+'วันที่  10'!F42+'วันที่  11'!F42+'วันที่  12'!F42+'วันที่  13'!F42+'วันที่ 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9</v>
      </c>
      <c r="G42" s="92">
        <f t="shared" si="1"/>
        <v>8</v>
      </c>
      <c r="H42" s="47">
        <f>+'วันที่ 1'!H42+'วันที่ 2'!H42+'วันที่ 3'!H42+'วันที่ 4'!H42+'วันที่ 5'!H42+'วันที่ 6'!H42+'วันที่  7'!H42+'วันที่  8'!H42+'วันที่  9'!H42+'วันที่  10'!H42+'วันที่  11'!H42+'วันที่  12'!H42+'วันที่  13'!H42+'วันที่ 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24</v>
      </c>
      <c r="I42" s="15">
        <v>50</v>
      </c>
      <c r="J42" s="47">
        <f>+'วันที่ 1'!J42+'วันที่ 2'!J42+'วันที่ 3'!J42+'วันที่ 4'!J42+'วันที่ 5'!J42+'วันที่ 6'!J42+'วันที่  7'!J42+'วันที่  8'!J42+'วันที่  9'!J42+'วันที่  10'!J42+'วันที่  11'!J42+'วันที่  12'!J42+'วันที่  13'!J42+'วันที่ 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1200</v>
      </c>
      <c r="K42" s="15"/>
      <c r="M42" s="56"/>
      <c r="U42" s="5"/>
    </row>
    <row r="43" spans="1:22">
      <c r="A43" s="10">
        <v>39</v>
      </c>
      <c r="B43" s="11" t="s">
        <v>54</v>
      </c>
      <c r="C43" s="46">
        <f>+'วันที่ 1'!C43</f>
        <v>5</v>
      </c>
      <c r="D43" s="47">
        <f>+'วันที่ 1'!D43+'วันที่ 2'!D43+'วันที่ 3'!D43+'วันที่ 4'!D43+'วันที่ 5'!D43+'วันที่ 6'!D43+'วันที่  7'!D43+'วันที่  8'!D43+'วันที่  9'!D43+'วันที่  10'!D43+'วันที่  11'!D43+'วันที่  12'!D43+'วันที่  13'!D43+'วันที่ 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10</v>
      </c>
      <c r="E43" s="46">
        <f t="shared" si="0"/>
        <v>15</v>
      </c>
      <c r="F43" s="47">
        <f>+'วันที่ 1'!F43+'วันที่ 2'!F43+'วันที่ 3'!F43+'วันที่ 4'!F43+'วันที่ 5'!F43+'วันที่ 6'!F43+'วันที่  7'!F43+'วันที่  8'!F43+'วันที่  9'!F43+'วันที่  10'!F43+'วันที่  11'!F43+'วันที่  12'!F43+'วันที่  13'!F43+'วันที่ 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92">
        <f t="shared" si="1"/>
        <v>7</v>
      </c>
      <c r="H43" s="47">
        <f>+'วันที่ 1'!H43+'วันที่ 2'!H43+'วันที่ 3'!H43+'วันที่ 4'!H43+'วันที่ 5'!H43+'วันที่ 6'!H43+'วันที่  7'!H43+'วันที่  8'!H43+'วันที่  9'!H43+'วันที่  10'!H43+'วันที่  11'!H43+'วันที่  12'!H43+'วันที่  13'!H43+'วันที่ 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8</v>
      </c>
      <c r="I43" s="15">
        <v>50</v>
      </c>
      <c r="J43" s="47">
        <f>+'วันที่ 1'!J43+'วันที่ 2'!J43+'วันที่ 3'!J43+'วันที่ 4'!J43+'วันที่ 5'!J43+'วันที่ 6'!J43+'วันที่  7'!J43+'วันที่  8'!J43+'วันที่  9'!J43+'วันที่  10'!J43+'วันที่  11'!J43+'วันที่  12'!J43+'วันที่  13'!J43+'วันที่ 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400</v>
      </c>
      <c r="K43" s="15"/>
      <c r="M43" s="56"/>
      <c r="U43" s="5"/>
    </row>
    <row r="44" spans="1:22">
      <c r="A44" s="10">
        <v>40</v>
      </c>
      <c r="B44" s="11" t="s">
        <v>55</v>
      </c>
      <c r="C44" s="46">
        <f>+'วันที่ 1'!C44</f>
        <v>10</v>
      </c>
      <c r="D44" s="47">
        <f>+'วันที่ 1'!D44+'วันที่ 2'!D44+'วันที่ 3'!D44+'วันที่ 4'!D44+'วันที่ 5'!D44+'วันที่ 6'!D44+'วันที่  7'!D44+'วันที่  8'!D44+'วันที่  9'!D44+'วันที่  10'!D44+'วันที่  11'!D44+'วันที่  12'!D44+'วันที่  13'!D44+'วันที่ 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5</v>
      </c>
      <c r="E44" s="46">
        <f t="shared" si="0"/>
        <v>15</v>
      </c>
      <c r="F44" s="47">
        <f>+'วันที่ 1'!F44+'วันที่ 2'!F44+'วันที่ 3'!F44+'วันที่ 4'!F44+'วันที่ 5'!F44+'วันที่ 6'!F44+'วันที่  7'!F44+'วันที่  8'!F44+'วันที่  9'!F44+'วันที่  10'!F44+'วันที่  11'!F44+'วันที่  12'!F44+'วันที่  13'!F44+'วันที่ 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92">
        <f t="shared" si="1"/>
        <v>3</v>
      </c>
      <c r="H44" s="47">
        <f>+'วันที่ 1'!H44+'วันที่ 2'!H44+'วันที่ 3'!H44+'วันที่ 4'!H44+'วันที่ 5'!H44+'วันที่ 6'!H44+'วันที่  7'!H44+'วันที่  8'!H44+'วันที่  9'!H44+'วันที่  10'!H44+'วันที่  11'!H44+'วันที่  12'!H44+'วันที่  13'!H44+'วันที่ 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12</v>
      </c>
      <c r="I44" s="15">
        <v>50</v>
      </c>
      <c r="J44" s="47">
        <f>+'วันที่ 1'!J44+'วันที่ 2'!J44+'วันที่ 3'!J44+'วันที่ 4'!J44+'วันที่ 5'!J44+'วันที่ 6'!J44+'วันที่  7'!J44+'วันที่  8'!J44+'วันที่  9'!J44+'วันที่  10'!J44+'วันที่  11'!J44+'วันที่  12'!J44+'วันที่  13'!J44+'วันที่ 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600</v>
      </c>
      <c r="K44" s="15"/>
      <c r="M44" s="56"/>
      <c r="U44" s="5"/>
    </row>
    <row r="45" spans="1:22">
      <c r="A45" s="10">
        <v>41</v>
      </c>
      <c r="B45" s="11" t="s">
        <v>56</v>
      </c>
      <c r="C45" s="46">
        <f>+'วันที่ 1'!C45</f>
        <v>0</v>
      </c>
      <c r="D45" s="47">
        <f>+'วันที่ 1'!D45+'วันที่ 2'!D45+'วันที่ 3'!D45+'วันที่ 4'!D45+'วันที่ 5'!D45+'วันที่ 6'!D45+'วันที่  7'!D45+'วันที่  8'!D45+'วันที่  9'!D45+'วันที่  10'!D45+'วันที่  11'!D45+'วันที่  12'!D45+'วันที่  13'!D45+'วันที่ 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0"/>
        <v>0</v>
      </c>
      <c r="F45" s="47">
        <f>+'วันที่ 1'!F45+'วันที่ 2'!F45+'วันที่ 3'!F45+'วันที่ 4'!F45+'วันที่ 5'!F45+'วันที่ 6'!F45+'วันที่  7'!F45+'วันที่  8'!F45+'วันที่  9'!F45+'วันที่  10'!F45+'วันที่  11'!F45+'วันที่  12'!F45+'วันที่  13'!F45+'วันที่ 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2">
        <f t="shared" si="1"/>
        <v>0</v>
      </c>
      <c r="H45" s="47">
        <f>+'วันที่ 1'!H45+'วันที่ 2'!H45+'วันที่ 3'!H45+'วันที่ 4'!H45+'วันที่ 5'!H45+'วันที่ 6'!H45+'วันที่  7'!H45+'วันที่  8'!H45+'วันที่  9'!H45+'วันที่  10'!H45+'วันที่  11'!H45+'วันที่  12'!H45+'วันที่  13'!H45+'วันที่ 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5">
        <v>50</v>
      </c>
      <c r="J45" s="47">
        <f>+'วันที่ 1'!J45+'วันที่ 2'!J45+'วันที่ 3'!J45+'วันที่ 4'!J45+'วันที่ 5'!J45+'วันที่ 6'!J45+'วันที่  7'!J45+'วันที่  8'!J45+'วันที่  9'!J45+'วันที่  10'!J45+'วันที่  11'!J45+'วันที่  12'!J45+'วันที่  13'!J45+'วันที่ 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5"/>
      <c r="M45" s="56"/>
      <c r="O45" s="54"/>
      <c r="U45" s="5"/>
    </row>
    <row r="46" spans="1:22">
      <c r="A46" s="10">
        <v>42</v>
      </c>
      <c r="B46" s="11" t="s">
        <v>57</v>
      </c>
      <c r="C46" s="46">
        <f>+'วันที่ 1'!C46</f>
        <v>2</v>
      </c>
      <c r="D46" s="47">
        <f>+'วันที่ 1'!D46+'วันที่ 2'!D46+'วันที่ 3'!D46+'วันที่ 4'!D46+'วันที่ 5'!D46+'วันที่ 6'!D46+'วันที่  7'!D46+'วันที่  8'!D46+'วันที่  9'!D46+'วันที่  10'!D46+'วันที่  11'!D46+'วันที่  12'!D46+'วันที่  13'!D46+'วันที่ 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30</v>
      </c>
      <c r="E46" s="46">
        <f t="shared" si="0"/>
        <v>32</v>
      </c>
      <c r="F46" s="47">
        <f>+'วันที่ 1'!F46+'วันที่ 2'!F46+'วันที่ 3'!F46+'วันที่ 4'!F46+'วันที่ 5'!F46+'วันที่ 6'!F46+'วันที่  7'!F46+'วันที่  8'!F46+'วันที่  9'!F46+'วันที่  10'!F46+'วันที่  11'!F46+'วันที่  12'!F46+'วันที่  13'!F46+'วันที่ 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92">
        <f t="shared" si="1"/>
        <v>14</v>
      </c>
      <c r="H46" s="47">
        <f>+'วันที่ 1'!H46+'วันที่ 2'!H46+'วันที่ 3'!H46+'วันที่ 4'!H46+'วันที่ 5'!H46+'วันที่ 6'!H46+'วันที่  7'!H46+'วันที่  8'!H46+'วันที่  9'!H46+'วันที่  10'!H46+'วันที่  11'!H46+'วันที่  12'!H46+'วันที่  13'!H46+'วันที่ 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18</v>
      </c>
      <c r="I46" s="15">
        <v>50</v>
      </c>
      <c r="J46" s="47">
        <f>+'วันที่ 1'!J46+'วันที่ 2'!J46+'วันที่ 3'!J46+'วันที่ 4'!J46+'วันที่ 5'!J46+'วันที่ 6'!J46+'วันที่  7'!J46+'วันที่  8'!J46+'วันที่  9'!J46+'วันที่  10'!J46+'วันที่  11'!J46+'วันที่  12'!J46+'วันที่  13'!J46+'วันที่ 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900</v>
      </c>
      <c r="K46" s="23"/>
      <c r="M46" s="56"/>
      <c r="U46" s="5"/>
    </row>
    <row r="47" spans="1:22">
      <c r="A47" s="10">
        <v>43</v>
      </c>
      <c r="B47" s="11" t="s">
        <v>58</v>
      </c>
      <c r="C47" s="46">
        <f>+'วันที่ 1'!C47</f>
        <v>11</v>
      </c>
      <c r="D47" s="47">
        <f>+'วันที่ 1'!D47+'วันที่ 2'!D47+'วันที่ 3'!D47+'วันที่ 4'!D47+'วันที่ 5'!D47+'วันที่ 6'!D47+'วันที่  7'!D47+'วันที่  8'!D47+'วันที่  9'!D47+'วันที่  10'!D47+'วันที่  11'!D47+'วันที่  12'!D47+'วันที่  13'!D47+'วันที่ 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40</v>
      </c>
      <c r="E47" s="46">
        <f t="shared" si="0"/>
        <v>51</v>
      </c>
      <c r="F47" s="47">
        <f>+'วันที่ 1'!F47+'วันที่ 2'!F47+'วันที่ 3'!F47+'วันที่ 4'!F47+'วันที่ 5'!F47+'วันที่ 6'!F47+'วันที่  7'!F47+'วันที่  8'!F47+'วันที่  9'!F47+'วันที่  10'!F47+'วันที่  11'!F47+'วันที่  12'!F47+'วันที่  13'!F47+'วันที่ 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92">
        <f t="shared" si="1"/>
        <v>3</v>
      </c>
      <c r="H47" s="47">
        <f>+'วันที่ 1'!H47+'วันที่ 2'!H47+'วันที่ 3'!H47+'วันที่ 4'!H47+'วันที่ 5'!H47+'วันที่ 6'!H47+'วันที่  7'!H47+'วันที่  8'!H47+'วันที่  9'!H47+'วันที่  10'!H47+'วันที่  11'!H47+'วันที่  12'!H47+'วันที่  13'!H47+'วันที่ 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48</v>
      </c>
      <c r="I47" s="15">
        <v>50</v>
      </c>
      <c r="J47" s="47">
        <f>+'วันที่ 1'!J47+'วันที่ 2'!J47+'วันที่ 3'!J47+'วันที่ 4'!J47+'วันที่ 5'!J47+'วันที่ 6'!J47+'วันที่  7'!J47+'วันที่  8'!J47+'วันที่  9'!J47+'วันที่  10'!J47+'วันที่  11'!J47+'วันที่  12'!J47+'วันที่  13'!J47+'วันที่ 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2400</v>
      </c>
      <c r="K47" s="23"/>
      <c r="M47" s="56"/>
      <c r="U47" s="5"/>
    </row>
    <row r="48" spans="1:22">
      <c r="A48" s="10">
        <v>44</v>
      </c>
      <c r="B48" s="11" t="s">
        <v>59</v>
      </c>
      <c r="C48" s="46">
        <f>+'วันที่ 1'!C48</f>
        <v>5</v>
      </c>
      <c r="D48" s="47">
        <f>+'วันที่ 1'!D48+'วันที่ 2'!D48+'วันที่ 3'!D48+'วันที่ 4'!D48+'วันที่ 5'!D48+'วันที่ 6'!D48+'วันที่  7'!D48+'วันที่  8'!D48+'วันที่  9'!D48+'วันที่  10'!D48+'วันที่  11'!D48+'วันที่  12'!D48+'วันที่  13'!D48+'วันที่ 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5</v>
      </c>
      <c r="E48" s="46">
        <f t="shared" si="0"/>
        <v>10</v>
      </c>
      <c r="F48" s="47">
        <f>+'วันที่ 1'!F48+'วันที่ 2'!F48+'วันที่ 3'!F48+'วันที่ 4'!F48+'วันที่ 5'!F48+'วันที่ 6'!F48+'วันที่  7'!F48+'วันที่  8'!F48+'วันที่  9'!F48+'วันที่  10'!F48+'วันที่  11'!F48+'วันที่  12'!F48+'วันที่  13'!F48+'วันที่ 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48" s="92">
        <f t="shared" si="1"/>
        <v>3</v>
      </c>
      <c r="H48" s="47">
        <f>+'วันที่ 1'!H48+'วันที่ 2'!H48+'วันที่ 3'!H48+'วันที่ 4'!H48+'วันที่ 5'!H48+'วันที่ 6'!H48+'วันที่  7'!H48+'วันที่  8'!H48+'วันที่  9'!H48+'วันที่  10'!H48+'วันที่  11'!H48+'วันที่  12'!H48+'วันที่  13'!H48+'วันที่ 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7</v>
      </c>
      <c r="I48" s="15">
        <v>50</v>
      </c>
      <c r="J48" s="47">
        <f>+'วันที่ 1'!J48+'วันที่ 2'!J48+'วันที่ 3'!J48+'วันที่ 4'!J48+'วันที่ 5'!J48+'วันที่ 6'!J48+'วันที่  7'!J48+'วันที่  8'!J48+'วันที่  9'!J48+'วันที่  10'!J48+'วันที่  11'!J48+'วันที่  12'!J48+'วันที่  13'!J48+'วันที่ 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350</v>
      </c>
      <c r="K48" s="23"/>
      <c r="M48" s="56"/>
      <c r="U48" s="5"/>
    </row>
    <row r="49" spans="1:21">
      <c r="A49" s="10">
        <v>45</v>
      </c>
      <c r="B49" s="11" t="s">
        <v>60</v>
      </c>
      <c r="C49" s="46">
        <f>+'วันที่ 1'!C49</f>
        <v>9</v>
      </c>
      <c r="D49" s="47">
        <f>+'วันที่ 1'!D49+'วันที่ 2'!D49+'วันที่ 3'!D49+'วันที่ 4'!D49+'วันที่ 5'!D49+'วันที่ 6'!D49+'วันที่  7'!D49+'วันที่  8'!D49+'วันที่  9'!D49+'วันที่  10'!D49+'วันที่  11'!D49+'วันที่  12'!D49+'วันที่  13'!D49+'วันที่ 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46">
        <f t="shared" si="0"/>
        <v>9</v>
      </c>
      <c r="F49" s="47">
        <f>+'วันที่ 1'!F49+'วันที่ 2'!F49+'วันที่ 3'!F49+'วันที่ 4'!F49+'วันที่ 5'!F49+'วันที่ 6'!F49+'วันที่  7'!F49+'วันที่  8'!F49+'วันที่  9'!F49+'วันที่  10'!F49+'วันที่  11'!F49+'วันที่  12'!F49+'วันที่  13'!F49+'วันที่ 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92">
        <f t="shared" si="1"/>
        <v>0</v>
      </c>
      <c r="H49" s="47">
        <f>+'วันที่ 1'!H49+'วันที่ 2'!H49+'วันที่ 3'!H49+'วันที่ 4'!H49+'วันที่ 5'!H49+'วันที่ 6'!H49+'วันที่  7'!H49+'วันที่  8'!H49+'วันที่  9'!H49+'วันที่  10'!H49+'วันที่  11'!H49+'วันที่  12'!H49+'วันที่  13'!H49+'วันที่ 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9</v>
      </c>
      <c r="I49" s="15">
        <v>50</v>
      </c>
      <c r="J49" s="47">
        <f>+'วันที่ 1'!J49+'วันที่ 2'!J49+'วันที่ 3'!J49+'วันที่ 4'!J49+'วันที่ 5'!J49+'วันที่ 6'!J49+'วันที่  7'!J49+'วันที่  8'!J49+'วันที่  9'!J49+'วันที่  10'!J49+'วันที่  11'!J49+'วันที่  12'!J49+'วันที่  13'!J49+'วันที่ 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450</v>
      </c>
      <c r="K49" s="23"/>
      <c r="M49" s="56"/>
      <c r="U49" s="5"/>
    </row>
    <row r="50" spans="1:21">
      <c r="A50" s="10">
        <v>46</v>
      </c>
      <c r="B50" s="11" t="s">
        <v>61</v>
      </c>
      <c r="C50" s="46">
        <f>+'วันที่ 1'!C50</f>
        <v>0</v>
      </c>
      <c r="D50" s="47">
        <f>+'วันที่ 1'!D50+'วันที่ 2'!D50+'วันที่ 3'!D50+'วันที่ 4'!D50+'วันที่ 5'!D50+'วันที่ 6'!D50+'วันที่  7'!D50+'วันที่  8'!D50+'วันที่  9'!D50+'วันที่  10'!D50+'วันที่  11'!D50+'วันที่  12'!D50+'วันที่  13'!D50+'วันที่ 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8</v>
      </c>
      <c r="E50" s="46">
        <f t="shared" si="0"/>
        <v>8</v>
      </c>
      <c r="F50" s="47">
        <f>+'วันที่ 1'!F50+'วันที่ 2'!F50+'วันที่ 3'!F50+'วันที่ 4'!F50+'วันที่ 5'!F50+'วันที่ 6'!F50+'วันที่  7'!F50+'วันที่  8'!F50+'วันที่  9'!F50+'วันที่  10'!F50+'วันที่  11'!F50+'วันที่  12'!F50+'วันที่  13'!F50+'วันที่ 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92">
        <f t="shared" si="1"/>
        <v>3</v>
      </c>
      <c r="H50" s="47">
        <f>+'วันที่ 1'!H50+'วันที่ 2'!H50+'วันที่ 3'!H50+'วันที่ 4'!H50+'วันที่ 5'!H50+'วันที่ 6'!H50+'วันที่  7'!H50+'วันที่  8'!H50+'วันที่  9'!H50+'วันที่  10'!H50+'วันที่  11'!H50+'วันที่  12'!H50+'วันที่  13'!H50+'วันที่ 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5</v>
      </c>
      <c r="I50" s="15">
        <v>120</v>
      </c>
      <c r="J50" s="47">
        <f>+'วันที่ 1'!J50+'วันที่ 2'!J50+'วันที่ 3'!J50+'วันที่ 4'!J50+'วันที่ 5'!J50+'วันที่ 6'!J50+'วันที่  7'!J50+'วันที่  8'!J50+'วันที่  9'!J50+'วันที่  10'!J50+'วันที่  11'!J50+'วันที่  12'!J50+'วันที่  13'!J50+'วันที่ 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600</v>
      </c>
      <c r="K50" s="23"/>
      <c r="M50" s="56"/>
      <c r="U50" s="5"/>
    </row>
    <row r="51" spans="1:21">
      <c r="A51" s="10">
        <v>47</v>
      </c>
      <c r="B51" s="11" t="s">
        <v>62</v>
      </c>
      <c r="C51" s="46">
        <f>+'วันที่ 1'!C51</f>
        <v>0</v>
      </c>
      <c r="D51" s="47">
        <f>+'วันที่ 1'!D51+'วันที่ 2'!D51+'วันที่ 3'!D51+'วันที่ 4'!D51+'วันที่ 5'!D51+'วันที่ 6'!D51+'วันที่  7'!D51+'วันที่  8'!D51+'วันที่  9'!D51+'วันที่  10'!D51+'วันที่  11'!D51+'วันที่  12'!D51+'วันที่  13'!D51+'วันที่ 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46">
        <f t="shared" si="0"/>
        <v>0</v>
      </c>
      <c r="F51" s="47">
        <f>+'วันที่ 1'!F51+'วันที่ 2'!F51+'วันที่ 3'!F51+'วันที่ 4'!F51+'วันที่ 5'!F51+'วันที่ 6'!F51+'วันที่  7'!F51+'วันที่  8'!F51+'วันที่  9'!F51+'วันที่  10'!F51+'วันที่  11'!F51+'วันที่  12'!F51+'วันที่  13'!F51+'วันที่ 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2">
        <f t="shared" si="1"/>
        <v>0</v>
      </c>
      <c r="H51" s="47">
        <f>+'วันที่ 1'!H51+'วันที่ 2'!H51+'วันที่ 3'!H51+'วันที่ 4'!H51+'วันที่ 5'!H51+'วันที่ 6'!H51+'วันที่  7'!H51+'วันที่  8'!H51+'วันที่  9'!H51+'วันที่  10'!H51+'วันที่  11'!H51+'วันที่  12'!H51+'วันที่  13'!H51+'วันที่ 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0</v>
      </c>
      <c r="I51" s="15">
        <v>120</v>
      </c>
      <c r="J51" s="47">
        <f>+'วันที่ 1'!J51+'วันที่ 2'!J51+'วันที่ 3'!J51+'วันที่ 4'!J51+'วันที่ 5'!J51+'วันที่ 6'!J51+'วันที่  7'!J51+'วันที่  8'!J51+'วันที่  9'!J51+'วันที่  10'!J51+'วันที่  11'!J51+'วันที่  12'!J51+'วันที่  13'!J51+'วันที่ 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0</v>
      </c>
      <c r="K51" s="23"/>
      <c r="M51" s="56"/>
      <c r="U51" s="5"/>
    </row>
    <row r="52" spans="1:21">
      <c r="A52" s="10">
        <v>48</v>
      </c>
      <c r="B52" s="11" t="s">
        <v>63</v>
      </c>
      <c r="C52" s="46">
        <f>+'วันที่ 1'!C52</f>
        <v>0</v>
      </c>
      <c r="D52" s="47">
        <f>+'วันที่ 1'!D52+'วันที่ 2'!D52+'วันที่ 3'!D52+'วันที่ 4'!D52+'วันที่ 5'!D52+'วันที่ 6'!D52+'วันที่  7'!D52+'วันที่  8'!D52+'วันที่  9'!D52+'วันที่  10'!D52+'วันที่  11'!D52+'วันที่  12'!D52+'วันที่  13'!D52+'วันที่ 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0</v>
      </c>
      <c r="E52" s="46">
        <f t="shared" si="0"/>
        <v>0</v>
      </c>
      <c r="F52" s="47">
        <f>+'วันที่ 1'!F52+'วันที่ 2'!F52+'วันที่ 3'!F52+'วันที่ 4'!F52+'วันที่ 5'!F52+'วันที่ 6'!F52+'วันที่  7'!F52+'วันที่  8'!F52+'วันที่  9'!F52+'วันที่  10'!F52+'วันที่  11'!F52+'วันที่  12'!F52+'วันที่  13'!F52+'วันที่ 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2">
        <f t="shared" si="1"/>
        <v>0</v>
      </c>
      <c r="H52" s="47">
        <f>+'วันที่ 1'!H52+'วันที่ 2'!H52+'วันที่ 3'!H52+'วันที่ 4'!H52+'วันที่ 5'!H52+'วันที่ 6'!H52+'วันที่  7'!H52+'วันที่  8'!H52+'วันที่  9'!H52+'วันที่  10'!H52+'วันที่  11'!H52+'วันที่  12'!H52+'วันที่  13'!H52+'วันที่ 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0</v>
      </c>
      <c r="I52" s="15">
        <v>120</v>
      </c>
      <c r="J52" s="47">
        <f>+'วันที่ 1'!J52+'วันที่ 2'!J52+'วันที่ 3'!J52+'วันที่ 4'!J52+'วันที่ 5'!J52+'วันที่ 6'!J52+'วันที่  7'!J52+'วันที่  8'!J52+'วันที่  9'!J52+'วันที่  10'!J52+'วันที่  11'!J52+'วันที่  12'!J52+'วันที่  13'!J52+'วันที่ 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0</v>
      </c>
      <c r="K52" s="23"/>
      <c r="M52" s="56"/>
      <c r="U52" s="5"/>
    </row>
    <row r="53" spans="1:21">
      <c r="A53" s="10">
        <v>49</v>
      </c>
      <c r="B53" s="11" t="s">
        <v>64</v>
      </c>
      <c r="C53" s="46">
        <f>+'วันที่ 1'!C53</f>
        <v>0</v>
      </c>
      <c r="D53" s="47">
        <f>+'วันที่ 1'!D53+'วันที่ 2'!D53+'วันที่ 3'!D53+'วันที่ 4'!D53+'วันที่ 5'!D53+'วันที่ 6'!D53+'วันที่  7'!D53+'วันที่  8'!D53+'วันที่  9'!D53+'วันที่  10'!D53+'วันที่  11'!D53+'วันที่  12'!D53+'วันที่  13'!D53+'วันที่ 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0"/>
        <v>0</v>
      </c>
      <c r="F53" s="47">
        <f>+'วันที่ 1'!F53+'วันที่ 2'!F53+'วันที่ 3'!F53+'วันที่ 4'!F53+'วันที่ 5'!F53+'วันที่ 6'!F53+'วันที่  7'!F53+'วันที่  8'!F53+'วันที่  9'!F53+'วันที่  10'!F53+'วันที่  11'!F53+'วันที่  12'!F53+'วันที่  13'!F53+'วันที่ 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2">
        <f t="shared" si="1"/>
        <v>0</v>
      </c>
      <c r="H53" s="47">
        <f>+'วันที่ 1'!H53+'วันที่ 2'!H53+'วันที่ 3'!H53+'วันที่ 4'!H53+'วันที่ 5'!H53+'วันที่ 6'!H53+'วันที่  7'!H53+'วันที่  8'!H53+'วันที่  9'!H53+'วันที่  10'!H53+'วันที่  11'!H53+'วันที่  12'!H53+'วันที่  13'!H53+'วันที่ 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5">
        <v>120</v>
      </c>
      <c r="J53" s="47">
        <f>+'วันที่ 1'!J53+'วันที่ 2'!J53+'วันที่ 3'!J53+'วันที่ 4'!J53+'วันที่ 5'!J53+'วันที่ 6'!J53+'วันที่  7'!J53+'วันที่  8'!J53+'วันที่  9'!J53+'วันที่  10'!J53+'วันที่  11'!J53+'วันที่  12'!J53+'วันที่  13'!J53+'วันที่ 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>
      <c r="A54" s="10">
        <v>50</v>
      </c>
      <c r="B54" s="11" t="s">
        <v>65</v>
      </c>
      <c r="C54" s="46">
        <f>+'วันที่ 1'!C54</f>
        <v>0</v>
      </c>
      <c r="D54" s="47">
        <f>+'วันที่ 1'!D54+'วันที่ 2'!D54+'วันที่ 3'!D54+'วันที่ 4'!D54+'วันที่ 5'!D54+'วันที่ 6'!D54+'วันที่  7'!D54+'วันที่  8'!D54+'วันที่  9'!D54+'วันที่  10'!D54+'วันที่  11'!D54+'วันที่  12'!D54+'วันที่  13'!D54+'วันที่ 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46">
        <f t="shared" si="0"/>
        <v>0</v>
      </c>
      <c r="F54" s="47">
        <f>+'วันที่ 1'!F54+'วันที่ 2'!F54+'วันที่ 3'!F54+'วันที่ 4'!F54+'วันที่ 5'!F54+'วันที่ 6'!F54+'วันที่  7'!F54+'วันที่  8'!F54+'วันที่  9'!F54+'วันที่  10'!F54+'วันที่  11'!F54+'วันที่  12'!F54+'วันที่  13'!F54+'วันที่ 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2">
        <f t="shared" si="1"/>
        <v>0</v>
      </c>
      <c r="H54" s="47">
        <f>+'วันที่ 1'!H54+'วันที่ 2'!H54+'วันที่ 3'!H54+'วันที่ 4'!H54+'วันที่ 5'!H54+'วันที่ 6'!H54+'วันที่  7'!H54+'วันที่  8'!H54+'วันที่  9'!H54+'วันที่  10'!H54+'วันที่  11'!H54+'วันที่  12'!H54+'วันที่  13'!H54+'วันที่ 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0</v>
      </c>
      <c r="I54" s="15">
        <v>120</v>
      </c>
      <c r="J54" s="47">
        <f>+'วันที่ 1'!J54+'วันที่ 2'!J54+'วันที่ 3'!J54+'วันที่ 4'!J54+'วันที่ 5'!J54+'วันที่ 6'!J54+'วันที่  7'!J54+'วันที่  8'!J54+'วันที่  9'!J54+'วันที่  10'!J54+'วันที่  11'!J54+'วันที่  12'!J54+'วันที่  13'!J54+'วันที่ 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0</v>
      </c>
      <c r="K54" s="23"/>
      <c r="M54" s="56"/>
      <c r="U54" s="5"/>
    </row>
    <row r="55" spans="1:21">
      <c r="A55" s="10">
        <v>51</v>
      </c>
      <c r="B55" s="11" t="s">
        <v>66</v>
      </c>
      <c r="C55" s="46">
        <f>+'วันที่ 1'!C55</f>
        <v>0</v>
      </c>
      <c r="D55" s="47">
        <f>+'วันที่ 1'!D55+'วันที่ 2'!D55+'วันที่ 3'!D55+'วันที่ 4'!D55+'วันที่ 5'!D55+'วันที่ 6'!D55+'วันที่  7'!D55+'วันที่  8'!D55+'วันที่  9'!D55+'วันที่  10'!D55+'วันที่  11'!D55+'วันที่  12'!D55+'วันที่  13'!D55+'วันที่ 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8</v>
      </c>
      <c r="E55" s="46">
        <f t="shared" si="0"/>
        <v>8</v>
      </c>
      <c r="F55" s="47">
        <f>+'วันที่ 1'!F55+'วันที่ 2'!F55+'วันที่ 3'!F55+'วันที่ 4'!F55+'วันที่ 5'!F55+'วันที่ 6'!F55+'วันที่  7'!F55+'วันที่  8'!F55+'วันที่  9'!F55+'วันที่  10'!F55+'วันที่  11'!F55+'วันที่  12'!F55+'วันที่  13'!F55+'วันที่ 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2">
        <f t="shared" si="1"/>
        <v>3</v>
      </c>
      <c r="H55" s="47">
        <f>+'วันที่ 1'!H55+'วันที่ 2'!H55+'วันที่ 3'!H55+'วันที่ 4'!H55+'วันที่ 5'!H55+'วันที่ 6'!H55+'วันที่  7'!H55+'วันที่  8'!H55+'วันที่  9'!H55+'วันที่  10'!H55+'วันที่  11'!H55+'วันที่  12'!H55+'วันที่  13'!H55+'วันที่ 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5</v>
      </c>
      <c r="I55" s="15">
        <v>120</v>
      </c>
      <c r="J55" s="47">
        <f>+'วันที่ 1'!J55+'วันที่ 2'!J55+'วันที่ 3'!J55+'วันที่ 4'!J55+'วันที่ 5'!J55+'วันที่ 6'!J55+'วันที่  7'!J55+'วันที่  8'!J55+'วันที่  9'!J55+'วันที่  10'!J55+'วันที่  11'!J55+'วันที่  12'!J55+'วันที่  13'!J55+'วันที่ 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600</v>
      </c>
      <c r="K55" s="20"/>
      <c r="M55" s="56"/>
      <c r="U55" s="5"/>
    </row>
    <row r="56" spans="1:21">
      <c r="A56" s="10">
        <v>52</v>
      </c>
      <c r="B56" s="11" t="s">
        <v>67</v>
      </c>
      <c r="C56" s="46">
        <f>+'วันที่ 1'!C56</f>
        <v>0</v>
      </c>
      <c r="D56" s="47">
        <f>+'วันที่ 1'!D56+'วันที่ 2'!D56+'วันที่ 3'!D56+'วันที่ 4'!D56+'วันที่ 5'!D56+'วันที่ 6'!D56+'วันที่  7'!D56+'วันที่  8'!D56+'วันที่  9'!D56+'วันที่  10'!D56+'วันที่  11'!D56+'วันที่  12'!D56+'วันที่  13'!D56+'วันที่ 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0"/>
        <v>0</v>
      </c>
      <c r="F56" s="47">
        <f>+'วันที่ 1'!F56+'วันที่ 2'!F56+'วันที่ 3'!F56+'วันที่ 4'!F56+'วันที่ 5'!F56+'วันที่ 6'!F56+'วันที่  7'!F56+'วันที่  8'!F56+'วันที่  9'!F56+'วันที่  10'!F56+'วันที่  11'!F56+'วันที่  12'!F56+'วันที่  13'!F56+'วันที่ 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2">
        <f t="shared" si="1"/>
        <v>0</v>
      </c>
      <c r="H56" s="47">
        <f>+'วันที่ 1'!H56+'วันที่ 2'!H56+'วันที่ 3'!H56+'วันที่ 4'!H56+'วันที่ 5'!H56+'วันที่ 6'!H56+'วันที่  7'!H56+'วันที่  8'!H56+'วันที่  9'!H56+'วันที่  10'!H56+'วันที่  11'!H56+'วันที่  12'!H56+'วันที่  13'!H56+'วันที่ 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15">
        <v>120</v>
      </c>
      <c r="J56" s="47">
        <f>+'วันที่ 1'!J56+'วันที่ 2'!J56+'วันที่ 3'!J56+'วันที่ 4'!J56+'วันที่ 5'!J56+'วันที่ 6'!J56+'วันที่  7'!J56+'วันที่  8'!J56+'วันที่  9'!J56+'วันที่  10'!J56+'วันที่  11'!J56+'วันที่  12'!J56+'วันที่  13'!J56+'วันที่ 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0"/>
      <c r="M56" s="56"/>
      <c r="U56" s="5"/>
    </row>
    <row r="57" spans="1:21">
      <c r="A57" s="10">
        <v>53</v>
      </c>
      <c r="B57" s="11" t="s">
        <v>68</v>
      </c>
      <c r="C57" s="46">
        <f>+'วันที่ 1'!C57</f>
        <v>0</v>
      </c>
      <c r="D57" s="47">
        <f>+'วันที่ 1'!D57+'วันที่ 2'!D57+'วันที่ 3'!D57+'วันที่ 4'!D57+'วันที่ 5'!D57+'วันที่ 6'!D57+'วันที่  7'!D57+'วันที่  8'!D57+'วันที่  9'!D57+'วันที่  10'!D57+'วันที่  11'!D57+'วันที่  12'!D57+'วันที่  13'!D57+'วันที่ 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0</v>
      </c>
      <c r="E57" s="46">
        <f t="shared" si="0"/>
        <v>0</v>
      </c>
      <c r="F57" s="47">
        <f>+'วันที่ 1'!F57+'วันที่ 2'!F57+'วันที่ 3'!F57+'วันที่ 4'!F57+'วันที่ 5'!F57+'วันที่ 6'!F57+'วันที่  7'!F57+'วันที่  8'!F57+'วันที่  9'!F57+'วันที่  10'!F57+'วันที่  11'!F57+'วันที่  12'!F57+'วันที่  13'!F57+'วันที่ 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57" s="92">
        <f t="shared" si="1"/>
        <v>0</v>
      </c>
      <c r="H57" s="47">
        <f>+'วันที่ 1'!H57+'วันที่ 2'!H57+'วันที่ 3'!H57+'วันที่ 4'!H57+'วันที่ 5'!H57+'วันที่ 6'!H57+'วันที่  7'!H57+'วันที่  8'!H57+'วันที่  9'!H57+'วันที่  10'!H57+'วันที่  11'!H57+'วันที่  12'!H57+'วันที่  13'!H57+'วันที่ 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0</v>
      </c>
      <c r="I57" s="15">
        <v>120</v>
      </c>
      <c r="J57" s="47">
        <f>+'วันที่ 1'!J57+'วันที่ 2'!J57+'วันที่ 3'!J57+'วันที่ 4'!J57+'วันที่ 5'!J57+'วันที่ 6'!J57+'วันที่  7'!J57+'วันที่  8'!J57+'วันที่  9'!J57+'วันที่  10'!J57+'วันที่  11'!J57+'วันที่  12'!J57+'วันที่  13'!J57+'วันที่ 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0</v>
      </c>
      <c r="K57" s="20"/>
      <c r="M57" s="56"/>
      <c r="U57" s="5"/>
    </row>
    <row r="58" spans="1:21">
      <c r="A58" s="10">
        <v>54</v>
      </c>
      <c r="B58" s="11" t="s">
        <v>69</v>
      </c>
      <c r="C58" s="46">
        <f>+'วันที่ 1'!C58</f>
        <v>0</v>
      </c>
      <c r="D58" s="47">
        <f>+'วันที่ 1'!D58+'วันที่ 2'!D58+'วันที่ 3'!D58+'วันที่ 4'!D58+'วันที่ 5'!D58+'วันที่ 6'!D58+'วันที่  7'!D58+'วันที่  8'!D58+'วันที่  9'!D58+'วันที่  10'!D58+'วันที่  11'!D58+'วันที่  12'!D58+'วันที่  13'!D58+'วันที่ 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0"/>
        <v>0</v>
      </c>
      <c r="F58" s="47">
        <f>+'วันที่ 1'!F58+'วันที่ 2'!F58+'วันที่ 3'!F58+'วันที่ 4'!F58+'วันที่ 5'!F58+'วันที่ 6'!F58+'วันที่  7'!F58+'วันที่  8'!F58+'วันที่  9'!F58+'วันที่  10'!F58+'วันที่  11'!F58+'วันที่  12'!F58+'วันที่  13'!F58+'วันที่ 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2">
        <f t="shared" si="1"/>
        <v>0</v>
      </c>
      <c r="H58" s="47">
        <f>+'วันที่ 1'!H58+'วันที่ 2'!H58+'วันที่ 3'!H58+'วันที่ 4'!H58+'วันที่ 5'!H58+'วันที่ 6'!H58+'วันที่  7'!H58+'วันที่  8'!H58+'วันที่  9'!H58+'วันที่  10'!H58+'วันที่  11'!H58+'วันที่  12'!H58+'วันที่  13'!H58+'วันที่ 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15">
        <v>120</v>
      </c>
      <c r="J58" s="47">
        <f>+'วันที่ 1'!J58+'วันที่ 2'!J58+'วันที่ 3'!J58+'วันที่ 4'!J58+'วันที่ 5'!J58+'วันที่ 6'!J58+'วันที่  7'!J58+'วันที่  8'!J58+'วันที่  9'!J58+'วันที่  10'!J58+'วันที่  11'!J58+'วันที่  12'!J58+'วันที่  13'!J58+'วันที่ 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0"/>
      <c r="M58" s="56"/>
      <c r="U58" s="5"/>
    </row>
    <row r="59" spans="1:21">
      <c r="A59" s="10">
        <v>55</v>
      </c>
      <c r="B59" s="11" t="s">
        <v>70</v>
      </c>
      <c r="C59" s="46">
        <f>+'วันที่ 1'!C59</f>
        <v>0</v>
      </c>
      <c r="D59" s="47">
        <f>+'วันที่ 1'!D59+'วันที่ 2'!D59+'วันที่ 3'!D59+'วันที่ 4'!D59+'วันที่ 5'!D59+'วันที่ 6'!D59+'วันที่  7'!D59+'วันที่  8'!D59+'วันที่  9'!D59+'วันที่  10'!D59+'วันที่  11'!D59+'วันที่  12'!D59+'วันที่  13'!D59+'วันที่ 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9</v>
      </c>
      <c r="E59" s="46">
        <f t="shared" si="0"/>
        <v>9</v>
      </c>
      <c r="F59" s="47">
        <f>+'วันที่ 1'!F59+'วันที่ 2'!F59+'วันที่ 3'!F59+'วันที่ 4'!F59+'วันที่ 5'!F59+'วันที่ 6'!F59+'วันที่  7'!F59+'วันที่  8'!F59+'วันที่  9'!F59+'วันที่  10'!F59+'วันที่  11'!F59+'วันที่  12'!F59+'วันที่  13'!F59+'วันที่ 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92">
        <f t="shared" si="1"/>
        <v>4</v>
      </c>
      <c r="H59" s="47">
        <f>+'วันที่ 1'!H59+'วันที่ 2'!H59+'วันที่ 3'!H59+'วันที่ 4'!H59+'วันที่ 5'!H59+'วันที่ 6'!H59+'วันที่  7'!H59+'วันที่  8'!H59+'วันที่  9'!H59+'วันที่  10'!H59+'วันที่  11'!H59+'วันที่  12'!H59+'วันที่  13'!H59+'วันที่ 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5</v>
      </c>
      <c r="I59" s="15">
        <v>70</v>
      </c>
      <c r="J59" s="47">
        <f>+'วันที่ 1'!J59+'วันที่ 2'!J59+'วันที่ 3'!J59+'วันที่ 4'!J59+'วันที่ 5'!J59+'วันที่ 6'!J59+'วันที่  7'!J59+'วันที่  8'!J59+'วันที่  9'!J59+'วันที่  10'!J59+'วันที่  11'!J59+'วันที่  12'!J59+'วันที่  13'!J59+'วันที่ 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350</v>
      </c>
      <c r="K59" s="19"/>
      <c r="M59" s="56"/>
      <c r="U59" s="5"/>
    </row>
    <row r="60" spans="1:21">
      <c r="A60" s="10">
        <v>56</v>
      </c>
      <c r="B60" s="11" t="s">
        <v>71</v>
      </c>
      <c r="C60" s="46">
        <f>+'วันที่ 1'!C60</f>
        <v>1</v>
      </c>
      <c r="D60" s="47">
        <f>+'วันที่ 1'!D60+'วันที่ 2'!D60+'วันที่ 3'!D60+'วันที่ 4'!D60+'วันที่ 5'!D60+'วันที่ 6'!D60+'วันที่  7'!D60+'วันที่  8'!D60+'วันที่  9'!D60+'วันที่  10'!D60+'วันที่  11'!D60+'วันที่  12'!D60+'วันที่  13'!D60+'วันที่ 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8</v>
      </c>
      <c r="E60" s="46">
        <f t="shared" si="0"/>
        <v>9</v>
      </c>
      <c r="F60" s="47">
        <f>+'วันที่ 1'!F60+'วันที่ 2'!F60+'วันที่ 3'!F60+'วันที่ 4'!F60+'วันที่ 5'!F60+'วันที่ 6'!F60+'วันที่  7'!F60+'วันที่  8'!F60+'วันที่  9'!F60+'วันที่  10'!F60+'วันที่  11'!F60+'วันที่  12'!F60+'วันที่  13'!F60+'วันที่ 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2">
        <f t="shared" si="1"/>
        <v>2</v>
      </c>
      <c r="H60" s="47">
        <f>+'วันที่ 1'!H60+'วันที่ 2'!H60+'วันที่ 3'!H60+'วันที่ 4'!H60+'วันที่ 5'!H60+'วันที่ 6'!H60+'วันที่  7'!H60+'วันที่  8'!H60+'วันที่  9'!H60+'วันที่  10'!H60+'วันที่  11'!H60+'วันที่  12'!H60+'วันที่  13'!H60+'วันที่ 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7</v>
      </c>
      <c r="I60" s="15">
        <v>80</v>
      </c>
      <c r="J60" s="47">
        <f>+'วันที่ 1'!J60+'วันที่ 2'!J60+'วันที่ 3'!J60+'วันที่ 4'!J60+'วันที่ 5'!J60+'วันที่ 6'!J60+'วันที่  7'!J60+'วันที่  8'!J60+'วันที่  9'!J60+'วันที่  10'!J60+'วันที่  11'!J60+'วันที่  12'!J60+'วันที่  13'!J60+'วันที่ 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560</v>
      </c>
      <c r="K60" s="19"/>
      <c r="M60" s="56"/>
      <c r="U60" s="5"/>
    </row>
    <row r="61" spans="1:21">
      <c r="A61" s="10">
        <v>57</v>
      </c>
      <c r="B61" s="11" t="s">
        <v>72</v>
      </c>
      <c r="C61" s="46">
        <f>+'วันที่ 1'!C61</f>
        <v>0</v>
      </c>
      <c r="D61" s="47">
        <f>+'วันที่ 1'!D61+'วันที่ 2'!D61+'วันที่ 3'!D61+'วันที่ 4'!D61+'วันที่ 5'!D61+'วันที่ 6'!D61+'วันที่  7'!D61+'วันที่  8'!D61+'วันที่  9'!D61+'วันที่  10'!D61+'วันที่  11'!D61+'วันที่  12'!D61+'วันที่  13'!D61+'วันที่ 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0"/>
        <v>0</v>
      </c>
      <c r="F61" s="47">
        <f>+'วันที่ 1'!F61+'วันที่ 2'!F61+'วันที่ 3'!F61+'วันที่ 4'!F61+'วันที่ 5'!F61+'วันที่ 6'!F61+'วันที่  7'!F61+'วันที่  8'!F61+'วันที่  9'!F61+'วันที่  10'!F61+'วันที่  11'!F61+'วันที่  12'!F61+'วันที่  13'!F61+'วันที่ 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2">
        <f t="shared" si="1"/>
        <v>0</v>
      </c>
      <c r="H61" s="47">
        <f>+'วันที่ 1'!H61+'วันที่ 2'!H61+'วันที่ 3'!H61+'วันที่ 4'!H61+'วันที่ 5'!H61+'วันที่ 6'!H61+'วันที่  7'!H61+'วันที่  8'!H61+'วันที่  9'!H61+'วันที่  10'!H61+'วันที่  11'!H61+'วันที่  12'!H61+'วันที่  13'!H61+'วันที่ 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5">
        <v>50</v>
      </c>
      <c r="J61" s="47">
        <f>+'วันที่ 1'!J61+'วันที่ 2'!J61+'วันที่ 3'!J61+'วันที่ 4'!J61+'วันที่ 5'!J61+'วันที่ 6'!J61+'วันที่  7'!J61+'วันที่  8'!J61+'วันที่  9'!J61+'วันที่  10'!J61+'วันที่  11'!J61+'วันที่  12'!J61+'วันที่  13'!J61+'วันที่ 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19"/>
      <c r="M61" s="56"/>
      <c r="U61" s="5"/>
    </row>
    <row r="62" spans="1:21">
      <c r="A62" s="10">
        <v>58</v>
      </c>
      <c r="B62" s="19" t="s">
        <v>73</v>
      </c>
      <c r="C62" s="46">
        <f>+'วันที่ 1'!C62</f>
        <v>0</v>
      </c>
      <c r="D62" s="47">
        <f>+'วันที่ 1'!D62+'วันที่ 2'!D62+'วันที่ 3'!D62+'วันที่ 4'!D62+'วันที่ 5'!D62+'วันที่ 6'!D62+'วันที่  7'!D62+'วันที่  8'!D62+'วันที่  9'!D62+'วันที่  10'!D62+'วันที่  11'!D62+'วันที่  12'!D62+'วันที่  13'!D62+'วันที่ 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0"/>
        <v>0</v>
      </c>
      <c r="F62" s="47">
        <f>+'วันที่ 1'!F62+'วันที่ 2'!F62+'วันที่ 3'!F62+'วันที่ 4'!F62+'วันที่ 5'!F62+'วันที่ 6'!F62+'วันที่  7'!F62+'วันที่  8'!F62+'วันที่  9'!F62+'วันที่  10'!F62+'วันที่  11'!F62+'วันที่  12'!F62+'วันที่  13'!F62+'วันที่ 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2">
        <f t="shared" si="1"/>
        <v>0</v>
      </c>
      <c r="H62" s="47">
        <f>+'วันที่ 1'!H62+'วันที่ 2'!H62+'วันที่ 3'!H62+'วันที่ 4'!H62+'วันที่ 5'!H62+'วันที่ 6'!H62+'วันที่  7'!H62+'วันที่  8'!H62+'วันที่  9'!H62+'วันที่  10'!H62+'วันที่  11'!H62+'วันที่  12'!H62+'วันที่  13'!H62+'วันที่ 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15">
        <v>50</v>
      </c>
      <c r="J62" s="47">
        <f>+'วันที่ 1'!J62+'วันที่ 2'!J62+'วันที่ 3'!J62+'วันที่ 4'!J62+'วันที่ 5'!J62+'วันที่ 6'!J62+'วันที่  7'!J62+'วันที่  8'!J62+'วันที่  9'!J62+'วันที่  10'!J62+'วันที่  11'!J62+'วันที่  12'!J62+'วันที่  13'!J62+'วันที่ 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9"/>
      <c r="M62" s="56"/>
      <c r="U62" s="5"/>
    </row>
    <row r="63" spans="1:21">
      <c r="A63" s="10">
        <v>59</v>
      </c>
      <c r="B63" s="19" t="s">
        <v>74</v>
      </c>
      <c r="C63" s="46">
        <f>+'วันที่ 1'!C63</f>
        <v>0</v>
      </c>
      <c r="D63" s="47">
        <f>+'วันที่ 1'!D63+'วันที่ 2'!D63+'วันที่ 3'!D63+'วันที่ 4'!D63+'วันที่ 5'!D63+'วันที่ 6'!D63+'วันที่  7'!D63+'วันที่  8'!D63+'วันที่  9'!D63+'วันที่  10'!D63+'วันที่  11'!D63+'วันที่  12'!D63+'วันที่  13'!D63+'วันที่ 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0"/>
        <v>0</v>
      </c>
      <c r="F63" s="47">
        <f>+'วันที่ 1'!F63+'วันที่ 2'!F63+'วันที่ 3'!F63+'วันที่ 4'!F63+'วันที่ 5'!F63+'วันที่ 6'!F63+'วันที่  7'!F63+'วันที่  8'!F63+'วันที่  9'!F63+'วันที่  10'!F63+'วันที่  11'!F63+'วันที่  12'!F63+'วันที่  13'!F63+'วันที่ 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2">
        <f t="shared" si="1"/>
        <v>0</v>
      </c>
      <c r="H63" s="47">
        <f>+'วันที่ 1'!H63+'วันที่ 2'!H63+'วันที่ 3'!H63+'วันที่ 4'!H63+'วันที่ 5'!H63+'วันที่ 6'!H63+'วันที่  7'!H63+'วันที่  8'!H63+'วันที่  9'!H63+'วันที่  10'!H63+'วันที่  11'!H63+'วันที่  12'!H63+'วันที่  13'!H63+'วันที่ 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15">
        <v>50</v>
      </c>
      <c r="J63" s="47">
        <f>+'วันที่ 1'!J63+'วันที่ 2'!J63+'วันที่ 3'!J63+'วันที่ 4'!J63+'วันที่ 5'!J63+'วันที่ 6'!J63+'วันที่  7'!J63+'วันที่  8'!J63+'วันที่  9'!J63+'วันที่  10'!J63+'วันที่  11'!J63+'วันที่  12'!J63+'วันที่  13'!J63+'วันที่ 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19"/>
      <c r="M63" s="56"/>
      <c r="U63" s="5"/>
    </row>
    <row r="64" spans="1:21">
      <c r="A64" s="10">
        <v>60</v>
      </c>
      <c r="B64" s="11" t="s">
        <v>75</v>
      </c>
      <c r="C64" s="46">
        <f>+'วันที่ 1'!C64</f>
        <v>0</v>
      </c>
      <c r="D64" s="47">
        <f>+'วันที่ 1'!D64+'วันที่ 2'!D64+'วันที่ 3'!D64+'วันที่ 4'!D64+'วันที่ 5'!D64+'วันที่ 6'!D64+'วันที่  7'!D64+'วันที่  8'!D64+'วันที่  9'!D64+'วันที่  10'!D64+'วันที่  11'!D64+'วันที่  12'!D64+'วันที่  13'!D64+'วันที่ 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0"/>
        <v>0</v>
      </c>
      <c r="F64" s="47">
        <f>+'วันที่ 1'!F64+'วันที่ 2'!F64+'วันที่ 3'!F64+'วันที่ 4'!F64+'วันที่ 5'!F64+'วันที่ 6'!F64+'วันที่  7'!F64+'วันที่  8'!F64+'วันที่  9'!F64+'วันที่  10'!F64+'วันที่  11'!F64+'วันที่  12'!F64+'วันที่  13'!F64+'วันที่ 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2">
        <f t="shared" si="1"/>
        <v>0</v>
      </c>
      <c r="H64" s="47">
        <f>+'วันที่ 1'!H64+'วันที่ 2'!H64+'วันที่ 3'!H64+'วันที่ 4'!H64+'วันที่ 5'!H64+'วันที่ 6'!H64+'วันที่  7'!H64+'วันที่  8'!H64+'วันที่  9'!H64+'วันที่  10'!H64+'วันที่  11'!H64+'วันที่  12'!H64+'วันที่  13'!H64+'วันที่ 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15">
        <v>30</v>
      </c>
      <c r="J64" s="47">
        <f>+'วันที่ 1'!J64+'วันที่ 2'!J64+'วันที่ 3'!J64+'วันที่ 4'!J64+'วันที่ 5'!J64+'วันที่ 6'!J64+'วันที่  7'!J64+'วันที่  8'!J64+'วันที่  9'!J64+'วันที่  10'!J64+'วันที่  11'!J64+'วันที่  12'!J64+'วันที่  13'!J64+'วันที่ 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9"/>
      <c r="M64" s="56"/>
      <c r="U64" s="5"/>
    </row>
    <row r="65" spans="1:21">
      <c r="A65" s="10">
        <v>61</v>
      </c>
      <c r="B65" s="11" t="s">
        <v>76</v>
      </c>
      <c r="C65" s="46">
        <f>+'วันที่ 1'!C65</f>
        <v>0</v>
      </c>
      <c r="D65" s="47">
        <f>+'วันที่ 1'!D65+'วันที่ 2'!D65+'วันที่ 3'!D65+'วันที่ 4'!D65+'วันที่ 5'!D65+'วันที่ 6'!D65+'วันที่  7'!D65+'วันที่  8'!D65+'วันที่  9'!D65+'วันที่  10'!D65+'วันที่  11'!D65+'วันที่  12'!D65+'วันที่  13'!D65+'วันที่ 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0"/>
        <v>0</v>
      </c>
      <c r="F65" s="47">
        <f>+'วันที่ 1'!F65+'วันที่ 2'!F65+'วันที่ 3'!F65+'วันที่ 4'!F65+'วันที่ 5'!F65+'วันที่ 6'!F65+'วันที่  7'!F65+'วันที่  8'!F65+'วันที่  9'!F65+'วันที่  10'!F65+'วันที่  11'!F65+'วันที่  12'!F65+'วันที่  13'!F65+'วันที่ 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2">
        <f t="shared" si="1"/>
        <v>0</v>
      </c>
      <c r="H65" s="47">
        <f>+'วันที่ 1'!H65+'วันที่ 2'!H65+'วันที่ 3'!H65+'วันที่ 4'!H65+'วันที่ 5'!H65+'วันที่ 6'!H65+'วันที่  7'!H65+'วันที่  8'!H65+'วันที่  9'!H65+'วันที่  10'!H65+'วันที่  11'!H65+'วันที่  12'!H65+'วันที่  13'!H65+'วันที่ 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15">
        <v>30</v>
      </c>
      <c r="J65" s="47">
        <f>+'วันที่ 1'!J65+'วันที่ 2'!J65+'วันที่ 3'!J65+'วันที่ 4'!J65+'วันที่ 5'!J65+'วันที่ 6'!J65+'วันที่  7'!J65+'วันที่  8'!J65+'วันที่  9'!J65+'วันที่  10'!J65+'วันที่  11'!J65+'วันที่  12'!J65+'วันที่  13'!J65+'วันที่ 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9"/>
      <c r="M65" s="56"/>
      <c r="U65" s="5"/>
    </row>
    <row r="66" spans="1:21">
      <c r="A66" s="10">
        <v>62</v>
      </c>
      <c r="B66" s="11" t="s">
        <v>77</v>
      </c>
      <c r="C66" s="46">
        <f>+'วันที่ 1'!C66</f>
        <v>0</v>
      </c>
      <c r="D66" s="47">
        <f>+'วันที่ 1'!D66+'วันที่ 2'!D66+'วันที่ 3'!D66+'วันที่ 4'!D66+'วันที่ 5'!D66+'วันที่ 6'!D66+'วันที่  7'!D66+'วันที่  8'!D66+'วันที่  9'!D66+'วันที่  10'!D66+'วันที่  11'!D66+'วันที่  12'!D66+'วันที่  13'!D66+'วันที่ 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0</v>
      </c>
      <c r="E66" s="46">
        <f t="shared" si="0"/>
        <v>0</v>
      </c>
      <c r="F66" s="47">
        <f>+'วันที่ 1'!F66+'วันที่ 2'!F66+'วันที่ 3'!F66+'วันที่ 4'!F66+'วันที่ 5'!F66+'วันที่ 6'!F66+'วันที่  7'!F66+'วันที่  8'!F66+'วันที่  9'!F66+'วันที่  10'!F66+'วันที่  11'!F66+'วันที่  12'!F66+'วันที่  13'!F66+'วันที่ 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2">
        <f t="shared" si="1"/>
        <v>0</v>
      </c>
      <c r="H66" s="47">
        <f>+'วันที่ 1'!H66+'วันที่ 2'!H66+'วันที่ 3'!H66+'วันที่ 4'!H66+'วันที่ 5'!H66+'วันที่ 6'!H66+'วันที่  7'!H66+'วันที่  8'!H66+'วันที่  9'!H66+'วันที่  10'!H66+'วันที่  11'!H66+'วันที่  12'!H66+'วันที่  13'!H66+'วันที่ 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0</v>
      </c>
      <c r="I66" s="15">
        <v>50</v>
      </c>
      <c r="J66" s="47">
        <f>+'วันที่ 1'!J66+'วันที่ 2'!J66+'วันที่ 3'!J66+'วันที่ 4'!J66+'วันที่ 5'!J66+'วันที่ 6'!J66+'วันที่  7'!J66+'วันที่  8'!J66+'วันที่  9'!J66+'วันที่  10'!J66+'วันที่  11'!J66+'วันที่  12'!J66+'วันที่  13'!J66+'วันที่ 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0</v>
      </c>
      <c r="K66" s="19"/>
      <c r="M66" s="56"/>
      <c r="U66" s="5"/>
    </row>
    <row r="67" spans="1:21">
      <c r="A67" s="10">
        <v>63</v>
      </c>
      <c r="B67" s="11" t="s">
        <v>78</v>
      </c>
      <c r="C67" s="46">
        <f>+'วันที่ 1'!C67</f>
        <v>0</v>
      </c>
      <c r="D67" s="47">
        <f>+'วันที่ 1'!D67+'วันที่ 2'!D67+'วันที่ 3'!D67+'วันที่ 4'!D67+'วันที่ 5'!D67+'วันที่ 6'!D67+'วันที่  7'!D67+'วันที่  8'!D67+'วันที่  9'!D67+'วันที่  10'!D67+'วันที่  11'!D67+'วันที่  12'!D67+'วันที่  13'!D67+'วันที่ 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0</v>
      </c>
      <c r="E67" s="46">
        <f t="shared" si="0"/>
        <v>0</v>
      </c>
      <c r="F67" s="47">
        <f>+'วันที่ 1'!F67+'วันที่ 2'!F67+'วันที่ 3'!F67+'วันที่ 4'!F67+'วันที่ 5'!F67+'วันที่ 6'!F67+'วันที่  7'!F67+'วันที่  8'!F67+'วันที่  9'!F67+'วันที่  10'!F67+'วันที่  11'!F67+'วันที่  12'!F67+'วันที่  13'!F67+'วันที่ 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2</v>
      </c>
      <c r="G67" s="92">
        <f t="shared" si="1"/>
        <v>-2</v>
      </c>
      <c r="H67" s="47">
        <f>+'วันที่ 1'!H67+'วันที่ 2'!H67+'วันที่ 3'!H67+'วันที่ 4'!H67+'วันที่ 5'!H67+'วันที่ 6'!H67+'วันที่  7'!H67+'วันที่  8'!H67+'วันที่  9'!H67+'วันที่  10'!H67+'วันที่  11'!H67+'วันที่  12'!H67+'วันที่  13'!H67+'วันที่ 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0</v>
      </c>
      <c r="I67" s="15">
        <v>50</v>
      </c>
      <c r="J67" s="47">
        <f>+'วันที่ 1'!J67+'วันที่ 2'!J67+'วันที่ 3'!J67+'วันที่ 4'!J67+'วันที่ 5'!J67+'วันที่ 6'!J67+'วันที่  7'!J67+'วันที่  8'!J67+'วันที่  9'!J67+'วันที่  10'!J67+'วันที่  11'!J67+'วันที่  12'!J67+'วันที่  13'!J67+'วันที่ 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0</v>
      </c>
      <c r="K67" s="19"/>
      <c r="M67" s="56"/>
      <c r="U67" s="5"/>
    </row>
    <row r="68" spans="1:21">
      <c r="A68" s="10">
        <v>64</v>
      </c>
      <c r="B68" s="19" t="s">
        <v>79</v>
      </c>
      <c r="C68" s="46">
        <f>+'วันที่ 1'!C68</f>
        <v>0</v>
      </c>
      <c r="D68" s="47">
        <f>+'วันที่ 1'!D68+'วันที่ 2'!D68+'วันที่ 3'!D68+'วันที่ 4'!D68+'วันที่ 5'!D68+'วันที่ 6'!D68+'วันที่  7'!D68+'วันที่  8'!D68+'วันที่  9'!D68+'วันที่  10'!D68+'วันที่  11'!D68+'วันที่  12'!D68+'วันที่  13'!D68+'วันที่ 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0"/>
        <v>0</v>
      </c>
      <c r="F68" s="47">
        <f>+'วันที่ 1'!F68+'วันที่ 2'!F68+'วันที่ 3'!F68+'วันที่ 4'!F68+'วันที่ 5'!F68+'วันที่ 6'!F68+'วันที่  7'!F68+'วันที่  8'!F68+'วันที่  9'!F68+'วันที่  10'!F68+'วันที่  11'!F68+'วันที่  12'!F68+'วันที่  13'!F68+'วันที่ 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2">
        <f t="shared" si="1"/>
        <v>0</v>
      </c>
      <c r="H68" s="47">
        <f>+'วันที่ 1'!H68+'วันที่ 2'!H68+'วันที่ 3'!H68+'วันที่ 4'!H68+'วันที่ 5'!H68+'วันที่ 6'!H68+'วันที่  7'!H68+'วันที่  8'!H68+'วันที่  9'!H68+'วันที่  10'!H68+'วันที่  11'!H68+'วันที่  12'!H68+'วันที่  13'!H68+'วันที่ 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15">
        <v>35</v>
      </c>
      <c r="J68" s="47">
        <f>+'วันที่ 1'!J68+'วันที่ 2'!J68+'วันที่ 3'!J68+'วันที่ 4'!J68+'วันที่ 5'!J68+'วันที่ 6'!J68+'วันที่  7'!J68+'วันที่  8'!J68+'วันที่  9'!J68+'วันที่  10'!J68+'วันที่  11'!J68+'วันที่  12'!J68+'วันที่  13'!J68+'วันที่ 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9"/>
      <c r="M68" s="56"/>
      <c r="U68" s="5"/>
    </row>
    <row r="69" spans="1:21">
      <c r="A69" s="10">
        <v>65</v>
      </c>
      <c r="B69" s="19" t="s">
        <v>80</v>
      </c>
      <c r="C69" s="46">
        <f>+'วันที่ 1'!C69</f>
        <v>0</v>
      </c>
      <c r="D69" s="47">
        <f>+'วันที่ 1'!D69+'วันที่ 2'!D69+'วันที่ 3'!D69+'วันที่ 4'!D69+'วันที่ 5'!D69+'วันที่ 6'!D69+'วันที่  7'!D69+'วันที่  8'!D69+'วันที่  9'!D69+'วันที่  10'!D69+'วันที่  11'!D69+'วันที่  12'!D69+'วันที่  13'!D69+'วันที่ 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0"/>
        <v>0</v>
      </c>
      <c r="F69" s="47">
        <f>+'วันที่ 1'!F69+'วันที่ 2'!F69+'วันที่ 3'!F69+'วันที่ 4'!F69+'วันที่ 5'!F69+'วันที่ 6'!F69+'วันที่  7'!F69+'วันที่  8'!F69+'วันที่  9'!F69+'วันที่  10'!F69+'วันที่  11'!F69+'วันที่  12'!F69+'วันที่  13'!F69+'วันที่ 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2">
        <f t="shared" si="1"/>
        <v>0</v>
      </c>
      <c r="H69" s="47">
        <f>+'วันที่ 1'!H69+'วันที่ 2'!H69+'วันที่ 3'!H69+'วันที่ 4'!H69+'วันที่ 5'!H69+'วันที่ 6'!H69+'วันที่  7'!H69+'วันที่  8'!H69+'วันที่  9'!H69+'วันที่  10'!H69+'วันที่  11'!H69+'วันที่  12'!H69+'วันที่  13'!H69+'วันที่ 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15">
        <v>25</v>
      </c>
      <c r="J69" s="47">
        <f>+'วันที่ 1'!J69+'วันที่ 2'!J69+'วันที่ 3'!J69+'วันที่ 4'!J69+'วันที่ 5'!J69+'วันที่ 6'!J69+'วันที่  7'!J69+'วันที่  8'!J69+'วันที่  9'!J69+'วันที่  10'!J69+'วันที่  11'!J69+'วันที่  12'!J69+'วันที่  13'!J69+'วันที่ 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19"/>
      <c r="M69" s="56"/>
      <c r="U69" s="5"/>
    </row>
    <row r="70" spans="1:21">
      <c r="A70" s="10">
        <v>66</v>
      </c>
      <c r="B70" s="19" t="s">
        <v>81</v>
      </c>
      <c r="C70" s="46">
        <f>+'วันที่ 1'!C70</f>
        <v>0</v>
      </c>
      <c r="D70" s="47">
        <f>+'วันที่ 1'!D70+'วันที่ 2'!D70+'วันที่ 3'!D70+'วันที่ 4'!D70+'วันที่ 5'!D70+'วันที่ 6'!D70+'วันที่  7'!D70+'วันที่  8'!D70+'วันที่  9'!D70+'วันที่  10'!D70+'วันที่  11'!D70+'วันที่  12'!D70+'วันที่  13'!D70+'วันที่ 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0</v>
      </c>
      <c r="E70" s="46">
        <f t="shared" ref="E70:E202" si="5">+C70+D70</f>
        <v>0</v>
      </c>
      <c r="F70" s="47">
        <f>+'วันที่ 1'!F70+'วันที่ 2'!F70+'วันที่ 3'!F70+'วันที่ 4'!F70+'วันที่ 5'!F70+'วันที่ 6'!F70+'วันที่  7'!F70+'วันที่  8'!F70+'วันที่  9'!F70+'วันที่  10'!F70+'วันที่  11'!F70+'วันที่  12'!F70+'วันที่  13'!F70+'วันที่ 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92">
        <f t="shared" ref="G70:G133" si="6">E70-F70-H70</f>
        <v>0</v>
      </c>
      <c r="H70" s="47">
        <f>+'วันที่ 1'!H70+'วันที่ 2'!H70+'วันที่ 3'!H70+'วันที่ 4'!H70+'วันที่ 5'!H70+'วันที่ 6'!H70+'วันที่  7'!H70+'วันที่  8'!H70+'วันที่  9'!H70+'วันที่  10'!H70+'วันที่  11'!H70+'วันที่  12'!H70+'วันที่  13'!H70+'วันที่ 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0</v>
      </c>
      <c r="I70" s="15">
        <v>50</v>
      </c>
      <c r="J70" s="47">
        <f>+'วันที่ 1'!J70+'วันที่ 2'!J70+'วันที่ 3'!J70+'วันที่ 4'!J70+'วันที่ 5'!J70+'วันที่ 6'!J70+'วันที่  7'!J70+'วันที่  8'!J70+'วันที่  9'!J70+'วันที่  10'!J70+'วันที่  11'!J70+'วันที่  12'!J70+'วันที่  13'!J70+'วันที่ 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0</v>
      </c>
      <c r="K70" s="19"/>
      <c r="M70" s="56"/>
      <c r="U70" s="5"/>
    </row>
    <row r="71" spans="1:21">
      <c r="A71" s="10">
        <v>67</v>
      </c>
      <c r="B71" s="19" t="s">
        <v>82</v>
      </c>
      <c r="C71" s="46">
        <f>+'วันที่ 1'!C71</f>
        <v>1</v>
      </c>
      <c r="D71" s="47">
        <f>+'วันที่ 1'!D71+'วันที่ 2'!D71+'วันที่ 3'!D71+'วันที่ 4'!D71+'วันที่ 5'!D71+'วันที่ 6'!D71+'วันที่  7'!D71+'วันที่  8'!D71+'วันที่  9'!D71+'วันที่  10'!D71+'วันที่  11'!D71+'วันที่  12'!D71+'วันที่  13'!D71+'วันที่ 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6</v>
      </c>
      <c r="E71" s="46">
        <f t="shared" si="5"/>
        <v>7</v>
      </c>
      <c r="F71" s="47">
        <f>+'วันที่ 1'!F71+'วันที่ 2'!F71+'วันที่ 3'!F71+'วันที่ 4'!F71+'วันที่ 5'!F71+'วันที่ 6'!F71+'วันที่  7'!F71+'วันที่  8'!F71+'วันที่  9'!F71+'วันที่  10'!F71+'วันที่  11'!F71+'วันที่  12'!F71+'วันที่  13'!F71+'วันที่ 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1</v>
      </c>
      <c r="G71" s="92">
        <f t="shared" si="6"/>
        <v>-1</v>
      </c>
      <c r="H71" s="47">
        <f>+'วันที่ 1'!H71+'วันที่ 2'!H71+'วันที่ 3'!H71+'วันที่ 4'!H71+'วันที่ 5'!H71+'วันที่ 6'!H71+'วันที่  7'!H71+'วันที่  8'!H71+'วันที่  9'!H71+'วันที่  10'!H71+'วันที่  11'!H71+'วันที่  12'!H71+'วันที่  13'!H71+'วันที่ 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7</v>
      </c>
      <c r="I71" s="15">
        <v>60</v>
      </c>
      <c r="J71" s="47">
        <f>+'วันที่ 1'!J71+'วันที่ 2'!J71+'วันที่ 3'!J71+'วันที่ 4'!J71+'วันที่ 5'!J71+'วันที่ 6'!J71+'วันที่  7'!J71+'วันที่  8'!J71+'วันที่  9'!J71+'วันที่  10'!J71+'วันที่  11'!J71+'วันที่  12'!J71+'วันที่  13'!J71+'วันที่ 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420</v>
      </c>
      <c r="K71" s="19"/>
      <c r="M71" s="56"/>
      <c r="U71" s="5"/>
    </row>
    <row r="72" spans="1:21">
      <c r="A72" s="10">
        <v>68</v>
      </c>
      <c r="B72" s="19" t="s">
        <v>83</v>
      </c>
      <c r="C72" s="46">
        <f>+'วันที่ 1'!C72</f>
        <v>0</v>
      </c>
      <c r="D72" s="47">
        <f>+'วันที่ 1'!D72+'วันที่ 2'!D72+'วันที่ 3'!D72+'วันที่ 4'!D72+'วันที่ 5'!D72+'วันที่ 6'!D72+'วันที่  7'!D72+'วันที่  8'!D72+'วันที่  9'!D72+'วันที่  10'!D72+'วันที่  11'!D72+'วันที่  12'!D72+'วันที่  13'!D72+'วันที่ 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5"/>
        <v>0</v>
      </c>
      <c r="F72" s="47">
        <f>+'วันที่ 1'!F72+'วันที่ 2'!F72+'วันที่ 3'!F72+'วันที่ 4'!F72+'วันที่ 5'!F72+'วันที่ 6'!F72+'วันที่  7'!F72+'วันที่  8'!F72+'วันที่  9'!F72+'วันที่  10'!F72+'วันที่  11'!F72+'วันที่  12'!F72+'วันที่  13'!F72+'วันที่ 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2">
        <f t="shared" si="6"/>
        <v>0</v>
      </c>
      <c r="H72" s="47">
        <f>+'วันที่ 1'!H72+'วันที่ 2'!H72+'วันที่ 3'!H72+'วันที่ 4'!H72+'วันที่ 5'!H72+'วันที่ 6'!H72+'วันที่  7'!H72+'วันที่  8'!H72+'วันที่  9'!H72+'วันที่  10'!H72+'วันที่  11'!H72+'วันที่  12'!H72+'วันที่  13'!H72+'วันที่ 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15">
        <v>50</v>
      </c>
      <c r="J72" s="47">
        <f>+'วันที่ 1'!J72+'วันที่ 2'!J72+'วันที่ 3'!J72+'วันที่ 4'!J72+'วันที่ 5'!J72+'วันที่ 6'!J72+'วันที่  7'!J72+'วันที่  8'!J72+'วันที่  9'!J72+'วันที่  10'!J72+'วันที่  11'!J72+'วันที่  12'!J72+'วันที่  13'!J72+'วันที่ 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19"/>
      <c r="M72" s="56"/>
      <c r="U72" s="5"/>
    </row>
    <row r="73" spans="1:21">
      <c r="A73" s="10">
        <v>69</v>
      </c>
      <c r="B73" s="19" t="s">
        <v>84</v>
      </c>
      <c r="C73" s="46">
        <f>+'วันที่ 1'!C73</f>
        <v>15</v>
      </c>
      <c r="D73" s="47">
        <f>+'วันที่ 1'!D73+'วันที่ 2'!D73+'วันที่ 3'!D73+'วันที่ 4'!D73+'วันที่ 5'!D73+'วันที่ 6'!D73+'วันที่  7'!D73+'วันที่  8'!D73+'วันที่  9'!D73+'วันที่  10'!D73+'วันที่  11'!D73+'วันที่  12'!D73+'วันที่  13'!D73+'วันที่ 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15</v>
      </c>
      <c r="E73" s="46">
        <f t="shared" si="5"/>
        <v>30</v>
      </c>
      <c r="F73" s="47">
        <f>+'วันที่ 1'!F73+'วันที่ 2'!F73+'วันที่ 3'!F73+'วันที่ 4'!F73+'วันที่ 5'!F73+'วันที่ 6'!F73+'วันที่  7'!F73+'วันที่  8'!F73+'วันที่  9'!F73+'วันที่  10'!F73+'วันที่  11'!F73+'วันที่  12'!F73+'วันที่  13'!F73+'วันที่ 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92">
        <f t="shared" si="6"/>
        <v>17</v>
      </c>
      <c r="H73" s="47">
        <f>+'วันที่ 1'!H73+'วันที่ 2'!H73+'วันที่ 3'!H73+'วันที่ 4'!H73+'วันที่ 5'!H73+'วันที่ 6'!H73+'วันที่  7'!H73+'วันที่  8'!H73+'วันที่  9'!H73+'วันที่  10'!H73+'วันที่  11'!H73+'วันที่  12'!H73+'วันที่  13'!H73+'วันที่ 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13</v>
      </c>
      <c r="I73" s="15">
        <v>60</v>
      </c>
      <c r="J73" s="47">
        <f>+'วันที่ 1'!J73+'วันที่ 2'!J73+'วันที่ 3'!J73+'วันที่ 4'!J73+'วันที่ 5'!J73+'วันที่ 6'!J73+'วันที่  7'!J73+'วันที่  8'!J73+'วันที่  9'!J73+'วันที่  10'!J73+'วันที่  11'!J73+'วันที่  12'!J73+'วันที่  13'!J73+'วันที่ 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780</v>
      </c>
      <c r="K73" s="19"/>
      <c r="M73" s="56"/>
      <c r="U73" s="5"/>
    </row>
    <row r="74" spans="1:21">
      <c r="A74" s="10">
        <v>70</v>
      </c>
      <c r="B74" s="19" t="s">
        <v>85</v>
      </c>
      <c r="C74" s="46">
        <f>+'วันที่ 1'!C74</f>
        <v>13</v>
      </c>
      <c r="D74" s="47">
        <f>+'วันที่ 1'!D74+'วันที่ 2'!D74+'วันที่ 3'!D74+'วันที่ 4'!D74+'วันที่ 5'!D74+'วันที่ 6'!D74+'วันที่  7'!D74+'วันที่  8'!D74+'วันที่  9'!D74+'วันที่  10'!D74+'วันที่  11'!D74+'วันที่  12'!D74+'วันที่  13'!D74+'วันที่ 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30</v>
      </c>
      <c r="E74" s="46">
        <f t="shared" si="5"/>
        <v>43</v>
      </c>
      <c r="F74" s="47">
        <f>+'วันที่ 1'!F74+'วันที่ 2'!F74+'วันที่ 3'!F74+'วันที่ 4'!F74+'วันที่ 5'!F74+'วันที่ 6'!F74+'วันที่  7'!F74+'วันที่  8'!F74+'วันที่  9'!F74+'วันที่  10'!F74+'วันที่  11'!F74+'วันที่  12'!F74+'วันที่  13'!F74+'วันที่ 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5</v>
      </c>
      <c r="G74" s="92">
        <f t="shared" si="6"/>
        <v>7</v>
      </c>
      <c r="H74" s="47">
        <f>+'วันที่ 1'!H74+'วันที่ 2'!H74+'วันที่ 3'!H74+'วันที่ 4'!H74+'วันที่ 5'!H74+'วันที่ 6'!H74+'วันที่  7'!H74+'วันที่  8'!H74+'วันที่  9'!H74+'วันที่  10'!H74+'วันที่  11'!H74+'วันที่  12'!H74+'วันที่  13'!H74+'วันที่ 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31</v>
      </c>
      <c r="I74" s="15">
        <v>120</v>
      </c>
      <c r="J74" s="47">
        <f>+'วันที่ 1'!J74+'วันที่ 2'!J74+'วันที่ 3'!J74+'วันที่ 4'!J74+'วันที่ 5'!J74+'วันที่ 6'!J74+'วันที่  7'!J74+'วันที่  8'!J74+'วันที่  9'!J74+'วันที่  10'!J74+'วันที่  11'!J74+'วันที่  12'!J74+'วันที่  13'!J74+'วันที่ 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3720</v>
      </c>
      <c r="K74" s="19"/>
      <c r="M74" s="56"/>
      <c r="U74" s="5"/>
    </row>
    <row r="75" spans="1:21">
      <c r="A75" s="10">
        <v>71</v>
      </c>
      <c r="B75" s="19" t="s">
        <v>86</v>
      </c>
      <c r="C75" s="46">
        <f>+'วันที่ 1'!C75</f>
        <v>0</v>
      </c>
      <c r="D75" s="47">
        <f>+'วันที่ 1'!D75+'วันที่ 2'!D75+'วันที่ 3'!D75+'วันที่ 4'!D75+'วันที่ 5'!D75+'วันที่ 6'!D75+'วันที่  7'!D75+'วันที่  8'!D75+'วันที่  9'!D75+'วันที่  10'!D75+'วันที่  11'!D75+'วันที่  12'!D75+'วันที่  13'!D75+'วันที่ 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5"/>
        <v>0</v>
      </c>
      <c r="F75" s="47">
        <f>+'วันที่ 1'!F75+'วันที่ 2'!F75+'วันที่ 3'!F75+'วันที่ 4'!F75+'วันที่ 5'!F75+'วันที่ 6'!F75+'วันที่  7'!F75+'วันที่  8'!F75+'วันที่  9'!F75+'วันที่  10'!F75+'วันที่  11'!F75+'วันที่  12'!F75+'วันที่  13'!F75+'วันที่ 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2">
        <f t="shared" si="6"/>
        <v>0</v>
      </c>
      <c r="H75" s="47">
        <f>+'วันที่ 1'!H75+'วันที่ 2'!H75+'วันที่ 3'!H75+'วันที่ 4'!H75+'วันที่ 5'!H75+'วันที่ 6'!H75+'วันที่  7'!H75+'วันที่  8'!H75+'วันที่  9'!H75+'วันที่  10'!H75+'วันที่  11'!H75+'วันที่  12'!H75+'วันที่  13'!H75+'วันที่ 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15">
        <v>60</v>
      </c>
      <c r="J75" s="47">
        <f>+'วันที่ 1'!J75+'วันที่ 2'!J75+'วันที่ 3'!J75+'วันที่ 4'!J75+'วันที่ 5'!J75+'วันที่ 6'!J75+'วันที่  7'!J75+'วันที่  8'!J75+'วันที่  9'!J75+'วันที่  10'!J75+'วันที่  11'!J75+'วันที่  12'!J75+'วันที่  13'!J75+'วันที่ 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9"/>
      <c r="M75" s="56"/>
      <c r="U75" s="5"/>
    </row>
    <row r="76" spans="1:21">
      <c r="A76" s="10">
        <v>72</v>
      </c>
      <c r="B76" s="19" t="s">
        <v>87</v>
      </c>
      <c r="C76" s="46">
        <f>+'วันที่ 1'!C76</f>
        <v>0</v>
      </c>
      <c r="D76" s="47">
        <f>+'วันที่ 1'!D76+'วันที่ 2'!D76+'วันที่ 3'!D76+'วันที่ 4'!D76+'วันที่ 5'!D76+'วันที่ 6'!D76+'วันที่  7'!D76+'วันที่  8'!D76+'วันที่  9'!D76+'วันที่  10'!D76+'วันที่  11'!D76+'วันที่  12'!D76+'วันที่  13'!D76+'วันที่ 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5"/>
        <v>0</v>
      </c>
      <c r="F76" s="47">
        <f>+'วันที่ 1'!F76+'วันที่ 2'!F76+'วันที่ 3'!F76+'วันที่ 4'!F76+'วันที่ 5'!F76+'วันที่ 6'!F76+'วันที่  7'!F76+'วันที่  8'!F76+'วันที่  9'!F76+'วันที่  10'!F76+'วันที่  11'!F76+'วันที่  12'!F76+'วันที่  13'!F76+'วันที่ 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2">
        <f t="shared" si="6"/>
        <v>0</v>
      </c>
      <c r="H76" s="47">
        <f>+'วันที่ 1'!H76+'วันที่ 2'!H76+'วันที่ 3'!H76+'วันที่ 4'!H76+'วันที่ 5'!H76+'วันที่ 6'!H76+'วันที่  7'!H76+'วันที่  8'!H76+'วันที่  9'!H76+'วันที่  10'!H76+'วันที่  11'!H76+'วันที่  12'!H76+'วันที่  13'!H76+'วันที่ 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15">
        <v>120</v>
      </c>
      <c r="J76" s="47">
        <f>+'วันที่ 1'!J76+'วันที่ 2'!J76+'วันที่ 3'!J76+'วันที่ 4'!J76+'วันที่ 5'!J76+'วันที่ 6'!J76+'วันที่  7'!J76+'วันที่  8'!J76+'วันที่  9'!J76+'วันที่  10'!J76+'วันที่  11'!J76+'วันที่  12'!J76+'วันที่  13'!J76+'วันที่ 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9"/>
      <c r="M76" s="56"/>
      <c r="U76" s="5"/>
    </row>
    <row r="77" spans="1:21">
      <c r="A77" s="10">
        <v>73</v>
      </c>
      <c r="B77" s="19" t="s">
        <v>88</v>
      </c>
      <c r="C77" s="46">
        <f>+'วันที่ 1'!C77</f>
        <v>5</v>
      </c>
      <c r="D77" s="47">
        <f>+'วันที่ 1'!D77+'วันที่ 2'!D77+'วันที่ 3'!D77+'วันที่ 4'!D77+'วันที่ 5'!D77+'วันที่ 6'!D77+'วันที่  7'!D77+'วันที่  8'!D77+'วันที่  9'!D77+'วันที่  10'!D77+'วันที่  11'!D77+'วันที่  12'!D77+'วันที่  13'!D77+'วันที่ 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11</v>
      </c>
      <c r="E77" s="46">
        <f t="shared" si="5"/>
        <v>16</v>
      </c>
      <c r="F77" s="47">
        <f>+'วันที่ 1'!F77+'วันที่ 2'!F77+'วันที่ 3'!F77+'วันที่ 4'!F77+'วันที่ 5'!F77+'วันที่ 6'!F77+'วันที่  7'!F77+'วันที่  8'!F77+'วันที่  9'!F77+'วันที่  10'!F77+'วันที่  11'!F77+'วันที่  12'!F77+'วันที่  13'!F77+'วันที่ 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2</v>
      </c>
      <c r="G77" s="92">
        <f t="shared" si="6"/>
        <v>0</v>
      </c>
      <c r="H77" s="47">
        <f>+'วันที่ 1'!H77+'วันที่ 2'!H77+'วันที่ 3'!H77+'วันที่ 4'!H77+'วันที่ 5'!H77+'วันที่ 6'!H77+'วันที่  7'!H77+'วันที่  8'!H77+'วันที่  9'!H77+'วันที่  10'!H77+'วันที่  11'!H77+'วันที่  12'!H77+'วันที่  13'!H77+'วันที่ 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14</v>
      </c>
      <c r="I77" s="15">
        <v>50</v>
      </c>
      <c r="J77" s="47">
        <f>+'วันที่ 1'!J77+'วันที่ 2'!J77+'วันที่ 3'!J77+'วันที่ 4'!J77+'วันที่ 5'!J77+'วันที่ 6'!J77+'วันที่  7'!J77+'วันที่  8'!J77+'วันที่  9'!J77+'วันที่  10'!J77+'วันที่  11'!J77+'วันที่  12'!J77+'วันที่  13'!J77+'วันที่ 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700</v>
      </c>
      <c r="K77" s="19"/>
      <c r="M77" s="56"/>
      <c r="U77" s="5"/>
    </row>
    <row r="78" spans="1:21">
      <c r="A78" s="10">
        <v>74</v>
      </c>
      <c r="B78" s="19" t="s">
        <v>89</v>
      </c>
      <c r="C78" s="46">
        <f>+'วันที่ 1'!C78</f>
        <v>0</v>
      </c>
      <c r="D78" s="47">
        <f>+'วันที่ 1'!D78+'วันที่ 2'!D78+'วันที่ 3'!D78+'วันที่ 4'!D78+'วันที่ 5'!D78+'วันที่ 6'!D78+'วันที่  7'!D78+'วันที่  8'!D78+'วันที่  9'!D78+'วันที่  10'!D78+'วันที่  11'!D78+'วันที่  12'!D78+'วันที่  13'!D78+'วันที่ 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5"/>
        <v>0</v>
      </c>
      <c r="F78" s="47">
        <f>+'วันที่ 1'!F78+'วันที่ 2'!F78+'วันที่ 3'!F78+'วันที่ 4'!F78+'วันที่ 5'!F78+'วันที่ 6'!F78+'วันที่  7'!F78+'วันที่  8'!F78+'วันที่  9'!F78+'วันที่  10'!F78+'วันที่  11'!F78+'วันที่  12'!F78+'วันที่  13'!F78+'วันที่ 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2">
        <f t="shared" si="6"/>
        <v>0</v>
      </c>
      <c r="H78" s="47">
        <f>+'วันที่ 1'!H78+'วันที่ 2'!H78+'วันที่ 3'!H78+'วันที่ 4'!H78+'วันที่ 5'!H78+'วันที่ 6'!H78+'วันที่  7'!H78+'วันที่  8'!H78+'วันที่  9'!H78+'วันที่  10'!H78+'วันที่  11'!H78+'วันที่  12'!H78+'วันที่  13'!H78+'วันที่ 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15">
        <v>120</v>
      </c>
      <c r="J78" s="47">
        <f>+'วันที่ 1'!J78+'วันที่ 2'!J78+'วันที่ 3'!J78+'วันที่ 4'!J78+'วันที่ 5'!J78+'วันที่ 6'!J78+'วันที่  7'!J78+'วันที่  8'!J78+'วันที่  9'!J78+'วันที่  10'!J78+'วันที่  11'!J78+'วันที่  12'!J78+'วันที่  13'!J78+'วันที่ 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9"/>
      <c r="M78" s="56"/>
      <c r="T78" s="5"/>
    </row>
    <row r="79" spans="1:21">
      <c r="A79" s="10">
        <v>75</v>
      </c>
      <c r="B79" s="19" t="s">
        <v>90</v>
      </c>
      <c r="C79" s="46">
        <f>+'วันที่ 1'!C79</f>
        <v>3</v>
      </c>
      <c r="D79" s="47">
        <f>+'วันที่ 1'!D79+'วันที่ 2'!D79+'วันที่ 3'!D79+'วันที่ 4'!D79+'วันที่ 5'!D79+'วันที่ 6'!D79+'วันที่  7'!D79+'วันที่  8'!D79+'วันที่  9'!D79+'วันที่  10'!D79+'วันที่  11'!D79+'วันที่  12'!D79+'วันที่  13'!D79+'วันที่ 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9</v>
      </c>
      <c r="E79" s="46">
        <f t="shared" si="5"/>
        <v>12</v>
      </c>
      <c r="F79" s="47">
        <f>+'วันที่ 1'!F79+'วันที่ 2'!F79+'วันที่ 3'!F79+'วันที่ 4'!F79+'วันที่ 5'!F79+'วันที่ 6'!F79+'วันที่  7'!F79+'วันที่  8'!F79+'วันที่  9'!F79+'วันที่  10'!F79+'วันที่  11'!F79+'วันที่  12'!F79+'วันที่  13'!F79+'วันที่ 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1</v>
      </c>
      <c r="G79" s="92">
        <f t="shared" si="6"/>
        <v>3</v>
      </c>
      <c r="H79" s="47">
        <f>+'วันที่ 1'!H79+'วันที่ 2'!H79+'วันที่ 3'!H79+'วันที่ 4'!H79+'วันที่ 5'!H79+'วันที่ 6'!H79+'วันที่  7'!H79+'วันที่  8'!H79+'วันที่  9'!H79+'วันที่  10'!H79+'วันที่  11'!H79+'วันที่  12'!H79+'วันที่  13'!H79+'วันที่ 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8</v>
      </c>
      <c r="I79" s="15">
        <v>50</v>
      </c>
      <c r="J79" s="47">
        <f>+'วันที่ 1'!J79+'วันที่ 2'!J79+'วันที่ 3'!J79+'วันที่ 4'!J79+'วันที่ 5'!J79+'วันที่ 6'!J79+'วันที่  7'!J79+'วันที่  8'!J79+'วันที่  9'!J79+'วันที่  10'!J79+'วันที่  11'!J79+'วันที่  12'!J79+'วันที่  13'!J79+'วันที่ 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400</v>
      </c>
      <c r="K79" s="19"/>
      <c r="M79" s="56"/>
      <c r="T79" s="5"/>
    </row>
    <row r="80" spans="1:21">
      <c r="A80" s="10">
        <v>76</v>
      </c>
      <c r="B80" s="19" t="s">
        <v>91</v>
      </c>
      <c r="C80" s="46">
        <f>+'วันที่ 1'!C80</f>
        <v>0</v>
      </c>
      <c r="D80" s="47">
        <f>+'วันที่ 1'!D80+'วันที่ 2'!D80+'วันที่ 3'!D80+'วันที่ 4'!D80+'วันที่ 5'!D80+'วันที่ 6'!D80+'วันที่  7'!D80+'วันที่  8'!D80+'วันที่  9'!D80+'วันที่  10'!D80+'วันที่  11'!D80+'วันที่  12'!D80+'วันที่  13'!D80+'วันที่ 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5"/>
        <v>0</v>
      </c>
      <c r="F80" s="47">
        <f>+'วันที่ 1'!F80+'วันที่ 2'!F80+'วันที่ 3'!F80+'วันที่ 4'!F80+'วันที่ 5'!F80+'วันที่ 6'!F80+'วันที่  7'!F80+'วันที่  8'!F80+'วันที่  9'!F80+'วันที่  10'!F80+'วันที่  11'!F80+'วันที่  12'!F80+'วันที่  13'!F80+'วันที่ 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2">
        <f t="shared" si="6"/>
        <v>0</v>
      </c>
      <c r="H80" s="47">
        <f>+'วันที่ 1'!H80+'วันที่ 2'!H80+'วันที่ 3'!H80+'วันที่ 4'!H80+'วันที่ 5'!H80+'วันที่ 6'!H80+'วันที่  7'!H80+'วันที่  8'!H80+'วันที่  9'!H80+'วันที่  10'!H80+'วันที่  11'!H80+'วันที่  12'!H80+'วันที่  13'!H80+'วันที่ 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15">
        <v>50</v>
      </c>
      <c r="J80" s="47">
        <f>+'วันที่ 1'!J80+'วันที่ 2'!J80+'วันที่ 3'!J80+'วันที่ 4'!J80+'วันที่ 5'!J80+'วันที่ 6'!J80+'วันที่  7'!J80+'วันที่  8'!J80+'วันที่  9'!J80+'วันที่  10'!J80+'วันที่  11'!J80+'วันที่  12'!J80+'วันที่  13'!J80+'วันที่ 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9"/>
      <c r="M80" s="56"/>
      <c r="T80" s="5"/>
    </row>
    <row r="81" spans="1:21">
      <c r="A81" s="10">
        <v>77</v>
      </c>
      <c r="B81" s="19" t="s">
        <v>92</v>
      </c>
      <c r="C81" s="46">
        <f>+'วันที่ 1'!C81</f>
        <v>0</v>
      </c>
      <c r="D81" s="47">
        <f>+'วันที่ 1'!D81+'วันที่ 2'!D81+'วันที่ 3'!D81+'วันที่ 4'!D81+'วันที่ 5'!D81+'วันที่ 6'!D81+'วันที่  7'!D81+'วันที่  8'!D81+'วันที่  9'!D81+'วันที่  10'!D81+'วันที่  11'!D81+'วันที่  12'!D81+'วันที่  13'!D81+'วันที่ 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5"/>
        <v>0</v>
      </c>
      <c r="F81" s="47">
        <f>+'วันที่ 1'!F81+'วันที่ 2'!F81+'วันที่ 3'!F81+'วันที่ 4'!F81+'วันที่ 5'!F81+'วันที่ 6'!F81+'วันที่  7'!F81+'วันที่  8'!F81+'วันที่  9'!F81+'วันที่  10'!F81+'วันที่  11'!F81+'วันที่  12'!F81+'วันที่  13'!F81+'วันที่ 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2">
        <f t="shared" si="6"/>
        <v>0</v>
      </c>
      <c r="H81" s="47">
        <f>+'วันที่ 1'!H81+'วันที่ 2'!H81+'วันที่ 3'!H81+'วันที่ 4'!H81+'วันที่ 5'!H81+'วันที่ 6'!H81+'วันที่  7'!H81+'วันที่  8'!H81+'วันที่  9'!H81+'วันที่  10'!H81+'วันที่  11'!H81+'วันที่  12'!H81+'วันที่  13'!H81+'วันที่ 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15">
        <v>55</v>
      </c>
      <c r="J81" s="47">
        <f>+'วันที่ 1'!J81+'วันที่ 2'!J81+'วันที่ 3'!J81+'วันที่ 4'!J81+'วันที่ 5'!J81+'วันที่ 6'!J81+'วันที่  7'!J81+'วันที่  8'!J81+'วันที่  9'!J81+'วันที่  10'!J81+'วันที่  11'!J81+'วันที่  12'!J81+'วันที่  13'!J81+'วันที่ 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19"/>
      <c r="M81" s="56"/>
      <c r="T81" s="5"/>
    </row>
    <row r="82" spans="1:21">
      <c r="A82" s="10">
        <v>78</v>
      </c>
      <c r="B82" s="19" t="s">
        <v>93</v>
      </c>
      <c r="C82" s="46">
        <f>+'วันที่ 1'!C82</f>
        <v>0</v>
      </c>
      <c r="D82" s="47">
        <f>+'วันที่ 1'!D82+'วันที่ 2'!D82+'วันที่ 3'!D82+'วันที่ 4'!D82+'วันที่ 5'!D82+'วันที่ 6'!D82+'วันที่  7'!D82+'วันที่  8'!D82+'วันที่  9'!D82+'วันที่  10'!D82+'วันที่  11'!D82+'วันที่  12'!D82+'วันที่  13'!D82+'วันที่ 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5"/>
        <v>0</v>
      </c>
      <c r="F82" s="47">
        <f>+'วันที่ 1'!F82+'วันที่ 2'!F82+'วันที่ 3'!F82+'วันที่ 4'!F82+'วันที่ 5'!F82+'วันที่ 6'!F82+'วันที่  7'!F82+'วันที่  8'!F82+'วันที่  9'!F82+'วันที่  10'!F82+'วันที่  11'!F82+'วันที่  12'!F82+'วันที่  13'!F82+'วันที่ 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2">
        <f t="shared" si="6"/>
        <v>0</v>
      </c>
      <c r="H82" s="47">
        <f>+'วันที่ 1'!H82+'วันที่ 2'!H82+'วันที่ 3'!H82+'วันที่ 4'!H82+'วันที่ 5'!H82+'วันที่ 6'!H82+'วันที่  7'!H82+'วันที่  8'!H82+'วันที่  9'!H82+'วันที่  10'!H82+'วันที่  11'!H82+'วันที่  12'!H82+'วันที่  13'!H82+'วันที่ 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15">
        <v>55</v>
      </c>
      <c r="J82" s="47">
        <f>+'วันที่ 1'!J82+'วันที่ 2'!J82+'วันที่ 3'!J82+'วันที่ 4'!J82+'วันที่ 5'!J82+'วันที่ 6'!J82+'วันที่  7'!J82+'วันที่  8'!J82+'วันที่  9'!J82+'วันที่  10'!J82+'วันที่  11'!J82+'วันที่  12'!J82+'วันที่  13'!J82+'วันที่ 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19"/>
      <c r="M82" s="56"/>
      <c r="U82" s="5"/>
    </row>
    <row r="83" spans="1:21">
      <c r="A83" s="10">
        <v>79</v>
      </c>
      <c r="B83" s="19" t="s">
        <v>94</v>
      </c>
      <c r="C83" s="46">
        <f>+'วันที่ 1'!C83</f>
        <v>0</v>
      </c>
      <c r="D83" s="47">
        <f>+'วันที่ 1'!D83+'วันที่ 2'!D83+'วันที่ 3'!D83+'วันที่ 4'!D83+'วันที่ 5'!D83+'วันที่ 6'!D83+'วันที่  7'!D83+'วันที่  8'!D83+'วันที่  9'!D83+'วันที่  10'!D83+'วันที่  11'!D83+'วันที่  12'!D83+'วันที่  13'!D83+'วันที่ 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5"/>
        <v>0</v>
      </c>
      <c r="F83" s="47">
        <f>+'วันที่ 1'!F83+'วันที่ 2'!F83+'วันที่ 3'!F83+'วันที่ 4'!F83+'วันที่ 5'!F83+'วันที่ 6'!F83+'วันที่  7'!F83+'วันที่  8'!F83+'วันที่  9'!F83+'วันที่  10'!F83+'วันที่  11'!F83+'วันที่  12'!F83+'วันที่  13'!F83+'วันที่ 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2">
        <f t="shared" si="6"/>
        <v>0</v>
      </c>
      <c r="H83" s="47">
        <f>+'วันที่ 1'!H83+'วันที่ 2'!H83+'วันที่ 3'!H83+'วันที่ 4'!H83+'วันที่ 5'!H83+'วันที่ 6'!H83+'วันที่  7'!H83+'วันที่  8'!H83+'วันที่  9'!H83+'วันที่  10'!H83+'วันที่  11'!H83+'วันที่  12'!H83+'วันที่  13'!H83+'วันที่ 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15">
        <v>55</v>
      </c>
      <c r="J83" s="47">
        <f>+'วันที่ 1'!J83+'วันที่ 2'!J83+'วันที่ 3'!J83+'วันที่ 4'!J83+'วันที่ 5'!J83+'วันที่ 6'!J83+'วันที่  7'!J83+'วันที่  8'!J83+'วันที่  9'!J83+'วันที่  10'!J83+'วันที่  11'!J83+'วันที่  12'!J83+'วันที่  13'!J83+'วันที่ 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9"/>
      <c r="M83" s="56"/>
      <c r="U83" s="5"/>
    </row>
    <row r="84" spans="1:21">
      <c r="A84" s="10">
        <v>80</v>
      </c>
      <c r="B84" s="19" t="s">
        <v>95</v>
      </c>
      <c r="C84" s="46">
        <f>+'วันที่ 1'!C84</f>
        <v>0</v>
      </c>
      <c r="D84" s="47">
        <f>+'วันที่ 1'!D84+'วันที่ 2'!D84+'วันที่ 3'!D84+'วันที่ 4'!D84+'วันที่ 5'!D84+'วันที่ 6'!D84+'วันที่  7'!D84+'วันที่  8'!D84+'วันที่  9'!D84+'วันที่  10'!D84+'วันที่  11'!D84+'วันที่  12'!D84+'วันที่  13'!D84+'วันที่ 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5"/>
        <v>0</v>
      </c>
      <c r="F84" s="47">
        <f>+'วันที่ 1'!F84+'วันที่ 2'!F84+'วันที่ 3'!F84+'วันที่ 4'!F84+'วันที่ 5'!F84+'วันที่ 6'!F84+'วันที่  7'!F84+'วันที่  8'!F84+'วันที่  9'!F84+'วันที่  10'!F84+'วันที่  11'!F84+'วันที่  12'!F84+'วันที่  13'!F84+'วันที่ 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2">
        <f t="shared" si="6"/>
        <v>0</v>
      </c>
      <c r="H84" s="47">
        <f>+'วันที่ 1'!H84+'วันที่ 2'!H84+'วันที่ 3'!H84+'วันที่ 4'!H84+'วันที่ 5'!H84+'วันที่ 6'!H84+'วันที่  7'!H84+'วันที่  8'!H84+'วันที่  9'!H84+'วันที่  10'!H84+'วันที่  11'!H84+'วันที่  12'!H84+'วันที่  13'!H84+'วันที่ 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15">
        <v>55</v>
      </c>
      <c r="J84" s="47">
        <f>+'วันที่ 1'!J84+'วันที่ 2'!J84+'วันที่ 3'!J84+'วันที่ 4'!J84+'วันที่ 5'!J84+'วันที่ 6'!J84+'วันที่  7'!J84+'วันที่  8'!J84+'วันที่  9'!J84+'วันที่  10'!J84+'วันที่  11'!J84+'วันที่  12'!J84+'วันที่  13'!J84+'วันที่ 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9"/>
      <c r="M84" s="56"/>
      <c r="U84" s="5"/>
    </row>
    <row r="85" spans="1:21">
      <c r="A85" s="10">
        <v>81</v>
      </c>
      <c r="B85" s="19" t="s">
        <v>96</v>
      </c>
      <c r="C85" s="46">
        <f>+'วันที่ 1'!C85</f>
        <v>8</v>
      </c>
      <c r="D85" s="47">
        <f>+'วันที่ 1'!D85+'วันที่ 2'!D85+'วันที่ 3'!D85+'วันที่ 4'!D85+'วันที่ 5'!D85+'วันที่ 6'!D85+'วันที่  7'!D85+'วันที่  8'!D85+'วันที่  9'!D85+'วันที่  10'!D85+'วันที่  11'!D85+'วันที่  12'!D85+'วันที่  13'!D85+'วันที่ 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0</v>
      </c>
      <c r="E85" s="46">
        <f t="shared" si="5"/>
        <v>8</v>
      </c>
      <c r="F85" s="47">
        <f>+'วันที่ 1'!F85+'วันที่ 2'!F85+'วันที่ 3'!F85+'วันที่ 4'!F85+'วันที่ 5'!F85+'วันที่ 6'!F85+'วันที่  7'!F85+'วันที่  8'!F85+'วันที่  9'!F85+'วันที่  10'!F85+'วันที่  11'!F85+'วันที่  12'!F85+'วันที่  13'!F85+'วันที่ 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2">
        <f t="shared" si="6"/>
        <v>1</v>
      </c>
      <c r="H85" s="47">
        <f>+'วันที่ 1'!H85+'วันที่ 2'!H85+'วันที่ 3'!H85+'วันที่ 4'!H85+'วันที่ 5'!H85+'วันที่ 6'!H85+'วันที่  7'!H85+'วันที่  8'!H85+'วันที่  9'!H85+'วันที่  10'!H85+'วันที่  11'!H85+'วันที่  12'!H85+'วันที่  13'!H85+'วันที่ 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7</v>
      </c>
      <c r="I85" s="15">
        <v>100</v>
      </c>
      <c r="J85" s="47">
        <f>+'วันที่ 1'!J85+'วันที่ 2'!J85+'วันที่ 3'!J85+'วันที่ 4'!J85+'วันที่ 5'!J85+'วันที่ 6'!J85+'วันที่  7'!J85+'วันที่  8'!J85+'วันที่  9'!J85+'วันที่  10'!J85+'วันที่  11'!J85+'วันที่  12'!J85+'วันที่  13'!J85+'วันที่ 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700</v>
      </c>
      <c r="K85" s="19"/>
      <c r="M85" s="56"/>
      <c r="U85" s="5"/>
    </row>
    <row r="86" spans="1:21">
      <c r="A86" s="10">
        <v>82</v>
      </c>
      <c r="B86" s="19" t="s">
        <v>97</v>
      </c>
      <c r="C86" s="46">
        <f>+'วันที่ 1'!C86</f>
        <v>10</v>
      </c>
      <c r="D86" s="47">
        <f>+'วันที่ 1'!D86+'วันที่ 2'!D86+'วันที่ 3'!D86+'วันที่ 4'!D86+'วันที่ 5'!D86+'วันที่ 6'!D86+'วันที่  7'!D86+'วันที่  8'!D86+'วันที่  9'!D86+'วันที่  10'!D86+'วันที่  11'!D86+'วันที่  12'!D86+'วันที่  13'!D86+'วันที่ 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5</v>
      </c>
      <c r="E86" s="46">
        <f t="shared" si="5"/>
        <v>15</v>
      </c>
      <c r="F86" s="47">
        <f>+'วันที่ 1'!F86+'วันที่ 2'!F86+'วันที่ 3'!F86+'วันที่ 4'!F86+'วันที่ 5'!F86+'วันที่ 6'!F86+'วันที่  7'!F86+'วันที่  8'!F86+'วันที่  9'!F86+'วันที่  10'!F86+'วันที่  11'!F86+'วันที่  12'!F86+'วันที่  13'!F86+'วันที่ 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2">
        <f t="shared" si="6"/>
        <v>7</v>
      </c>
      <c r="H86" s="47">
        <f>+'วันที่ 1'!H86+'วันที่ 2'!H86+'วันที่ 3'!H86+'วันที่ 4'!H86+'วันที่ 5'!H86+'วันที่ 6'!H86+'วันที่  7'!H86+'วันที่  8'!H86+'วันที่  9'!H86+'วันที่  10'!H86+'วันที่  11'!H86+'วันที่  12'!H86+'วันที่  13'!H86+'วันที่ 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8</v>
      </c>
      <c r="I86" s="15">
        <v>55</v>
      </c>
      <c r="J86" s="47">
        <f>+'วันที่ 1'!J86+'วันที่ 2'!J86+'วันที่ 3'!J86+'วันที่ 4'!J86+'วันที่ 5'!J86+'วันที่ 6'!J86+'วันที่  7'!J86+'วันที่  8'!J86+'วันที่  9'!J86+'วันที่  10'!J86+'วันที่  11'!J86+'วันที่  12'!J86+'วันที่  13'!J86+'วันที่ 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440</v>
      </c>
      <c r="K86" s="19"/>
      <c r="M86" s="56"/>
      <c r="U86" s="5"/>
    </row>
    <row r="87" spans="1:21">
      <c r="A87" s="10">
        <v>83</v>
      </c>
      <c r="B87" s="19" t="s">
        <v>98</v>
      </c>
      <c r="C87" s="46">
        <f>+'วันที่ 1'!C87</f>
        <v>16</v>
      </c>
      <c r="D87" s="47">
        <f>+'วันที่ 1'!D87+'วันที่ 2'!D87+'วันที่ 3'!D87+'วันที่ 4'!D87+'วันที่ 5'!D87+'วันที่ 6'!D87+'วันที่  7'!D87+'วันที่  8'!D87+'วันที่  9'!D87+'วันที่  10'!D87+'วันที่  11'!D87+'วันที่  12'!D87+'วันที่  13'!D87+'วันที่ 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20</v>
      </c>
      <c r="E87" s="46">
        <f t="shared" si="5"/>
        <v>36</v>
      </c>
      <c r="F87" s="47">
        <f>+'วันที่ 1'!F87+'วันที่ 2'!F87+'วันที่ 3'!F87+'วันที่ 4'!F87+'วันที่ 5'!F87+'วันที่ 6'!F87+'วันที่  7'!F87+'วันที่  8'!F87+'วันที่  9'!F87+'วันที่  10'!F87+'วันที่  11'!F87+'วันที่  12'!F87+'วันที่  13'!F87+'วันที่ 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2">
        <f t="shared" si="6"/>
        <v>17</v>
      </c>
      <c r="H87" s="47">
        <f>+'วันที่ 1'!H87+'วันที่ 2'!H87+'วันที่ 3'!H87+'วันที่ 4'!H87+'วันที่ 5'!H87+'วันที่ 6'!H87+'วันที่  7'!H87+'วันที่  8'!H87+'วันที่  9'!H87+'วันที่  10'!H87+'วันที่  11'!H87+'วันที่  12'!H87+'วันที่  13'!H87+'วันที่ 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19</v>
      </c>
      <c r="I87" s="15">
        <v>60</v>
      </c>
      <c r="J87" s="47">
        <f>+'วันที่ 1'!J87+'วันที่ 2'!J87+'วันที่ 3'!J87+'วันที่ 4'!J87+'วันที่ 5'!J87+'วันที่ 6'!J87+'วันที่  7'!J87+'วันที่  8'!J87+'วันที่  9'!J87+'วันที่  10'!J87+'วันที่  11'!J87+'วันที่  12'!J87+'วันที่  13'!J87+'วันที่ 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1140</v>
      </c>
      <c r="K87" s="19"/>
      <c r="M87" s="56"/>
      <c r="U87" s="5"/>
    </row>
    <row r="88" spans="1:21">
      <c r="A88" s="10">
        <v>84</v>
      </c>
      <c r="B88" s="19" t="s">
        <v>99</v>
      </c>
      <c r="C88" s="46">
        <f>+'วันที่ 1'!C88</f>
        <v>5</v>
      </c>
      <c r="D88" s="47">
        <f>+'วันที่ 1'!D88+'วันที่ 2'!D88+'วันที่ 3'!D88+'วันที่ 4'!D88+'วันที่ 5'!D88+'วันที่ 6'!D88+'วันที่  7'!D88+'วันที่  8'!D88+'วันที่  9'!D88+'วันที่  10'!D88+'วันที่  11'!D88+'วันที่  12'!D88+'วันที่  13'!D88+'วันที่ 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5</v>
      </c>
      <c r="E88" s="46">
        <f t="shared" si="5"/>
        <v>10</v>
      </c>
      <c r="F88" s="47">
        <f>+'วันที่ 1'!F88+'วันที่ 2'!F88+'วันที่ 3'!F88+'วันที่ 4'!F88+'วันที่ 5'!F88+'วันที่ 6'!F88+'วันที่  7'!F88+'วันที่  8'!F88+'วันที่  9'!F88+'วันที่  10'!F88+'วันที่  11'!F88+'วันที่  12'!F88+'วันที่  13'!F88+'วันที่ 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92">
        <f t="shared" si="6"/>
        <v>5</v>
      </c>
      <c r="H88" s="47">
        <f>+'วันที่ 1'!H88+'วันที่ 2'!H88+'วันที่ 3'!H88+'วันที่ 4'!H88+'วันที่ 5'!H88+'วันที่ 6'!H88+'วันที่  7'!H88+'วันที่  8'!H88+'วันที่  9'!H88+'วันที่  10'!H88+'วันที่  11'!H88+'วันที่  12'!H88+'วันที่  13'!H88+'วันที่ 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5</v>
      </c>
      <c r="I88" s="15">
        <v>100</v>
      </c>
      <c r="J88" s="47">
        <f>+'วันที่ 1'!J88+'วันที่ 2'!J88+'วันที่ 3'!J88+'วันที่ 4'!J88+'วันที่ 5'!J88+'วันที่ 6'!J88+'วันที่  7'!J88+'วันที่  8'!J88+'วันที่  9'!J88+'วันที่  10'!J88+'วันที่  11'!J88+'วันที่  12'!J88+'วันที่  13'!J88+'วันที่ 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500</v>
      </c>
      <c r="K88" s="19"/>
      <c r="M88" s="56"/>
      <c r="U88" s="5"/>
    </row>
    <row r="89" spans="1:21">
      <c r="A89" s="10">
        <v>85</v>
      </c>
      <c r="B89" s="19" t="s">
        <v>100</v>
      </c>
      <c r="C89" s="46">
        <f>+'วันที่ 1'!C89</f>
        <v>0</v>
      </c>
      <c r="D89" s="47">
        <f>+'วันที่ 1'!D89+'วันที่ 2'!D89+'วันที่ 3'!D89+'วันที่ 4'!D89+'วันที่ 5'!D89+'วันที่ 6'!D89+'วันที่  7'!D89+'วันที่  8'!D89+'วันที่  9'!D89+'วันที่  10'!D89+'วันที่  11'!D89+'วันที่  12'!D89+'วันที่  13'!D89+'วันที่ 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5"/>
        <v>0</v>
      </c>
      <c r="F89" s="47">
        <f>+'วันที่ 1'!F89+'วันที่ 2'!F89+'วันที่ 3'!F89+'วันที่ 4'!F89+'วันที่ 5'!F89+'วันที่ 6'!F89+'วันที่  7'!F89+'วันที่  8'!F89+'วันที่  9'!F89+'วันที่  10'!F89+'วันที่  11'!F89+'วันที่  12'!F89+'วันที่  13'!F89+'วันที่ 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2">
        <f t="shared" si="6"/>
        <v>0</v>
      </c>
      <c r="H89" s="47">
        <f>+'วันที่ 1'!H89+'วันที่ 2'!H89+'วันที่ 3'!H89+'วันที่ 4'!H89+'วันที่ 5'!H89+'วันที่ 6'!H89+'วันที่  7'!H89+'วันที่  8'!H89+'วันที่  9'!H89+'วันที่  10'!H89+'วันที่  11'!H89+'วันที่  12'!H89+'วันที่  13'!H89+'วันที่ 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15">
        <v>55</v>
      </c>
      <c r="J89" s="47">
        <f>+'วันที่ 1'!J89+'วันที่ 2'!J89+'วันที่ 3'!J89+'วันที่ 4'!J89+'วันที่ 5'!J89+'วันที่ 6'!J89+'วันที่  7'!J89+'วันที่  8'!J89+'วันที่  9'!J89+'วันที่  10'!J89+'วันที่  11'!J89+'วันที่  12'!J89+'วันที่  13'!J89+'วันที่ 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19"/>
      <c r="M89" s="56"/>
      <c r="U89" s="5"/>
    </row>
    <row r="90" spans="1:21">
      <c r="A90" s="10">
        <v>86</v>
      </c>
      <c r="B90" s="19" t="s">
        <v>101</v>
      </c>
      <c r="C90" s="46">
        <f>+'วันที่ 1'!C90</f>
        <v>0</v>
      </c>
      <c r="D90" s="47">
        <f>+'วันที่ 1'!D90+'วันที่ 2'!D90+'วันที่ 3'!D90+'วันที่ 4'!D90+'วันที่ 5'!D90+'วันที่ 6'!D90+'วันที่  7'!D90+'วันที่  8'!D90+'วันที่  9'!D90+'วันที่  10'!D90+'วันที่  11'!D90+'วันที่  12'!D90+'วันที่  13'!D90+'วันที่ 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5"/>
        <v>0</v>
      </c>
      <c r="F90" s="47">
        <f>+'วันที่ 1'!F90+'วันที่ 2'!F90+'วันที่ 3'!F90+'วันที่ 4'!F90+'วันที่ 5'!F90+'วันที่ 6'!F90+'วันที่  7'!F90+'วันที่  8'!F90+'วันที่  9'!F90+'วันที่  10'!F90+'วันที่  11'!F90+'วันที่  12'!F90+'วันที่  13'!F90+'วันที่ 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2">
        <f t="shared" si="6"/>
        <v>0</v>
      </c>
      <c r="H90" s="47">
        <f>+'วันที่ 1'!H90+'วันที่ 2'!H90+'วันที่ 3'!H90+'วันที่ 4'!H90+'วันที่ 5'!H90+'วันที่ 6'!H90+'วันที่  7'!H90+'วันที่  8'!H90+'วันที่  9'!H90+'วันที่  10'!H90+'วันที่  11'!H90+'วันที่  12'!H90+'วันที่  13'!H90+'วันที่ 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15">
        <v>50</v>
      </c>
      <c r="J90" s="47">
        <f>+'วันที่ 1'!J90+'วันที่ 2'!J90+'วันที่ 3'!J90+'วันที่ 4'!J90+'วันที่ 5'!J90+'วันที่ 6'!J90+'วันที่  7'!J90+'วันที่  8'!J90+'วันที่  9'!J90+'วันที่  10'!J90+'วันที่  11'!J90+'วันที่  12'!J90+'วันที่  13'!J90+'วันที่ 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19"/>
      <c r="M90" s="56"/>
      <c r="U90" s="5"/>
    </row>
    <row r="91" spans="1:21">
      <c r="A91" s="10">
        <v>87</v>
      </c>
      <c r="B91" s="19" t="s">
        <v>102</v>
      </c>
      <c r="C91" s="46">
        <f>+'วันที่ 1'!C91</f>
        <v>0</v>
      </c>
      <c r="D91" s="47">
        <f>+'วันที่ 1'!D91+'วันที่ 2'!D91+'วันที่ 3'!D91+'วันที่ 4'!D91+'วันที่ 5'!D91+'วันที่ 6'!D91+'วันที่  7'!D91+'วันที่  8'!D91+'วันที่  9'!D91+'วันที่  10'!D91+'วันที่  11'!D91+'วันที่  12'!D91+'วันที่  13'!D91+'วันที่ 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5"/>
        <v>0</v>
      </c>
      <c r="F91" s="47">
        <f>+'วันที่ 1'!F91+'วันที่ 2'!F91+'วันที่ 3'!F91+'วันที่ 4'!F91+'วันที่ 5'!F91+'วันที่ 6'!F91+'วันที่  7'!F91+'วันที่  8'!F91+'วันที่  9'!F91+'วันที่  10'!F91+'วันที่  11'!F91+'วันที่  12'!F91+'วันที่  13'!F91+'วันที่ 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2">
        <f t="shared" si="6"/>
        <v>0</v>
      </c>
      <c r="H91" s="47">
        <f>+'วันที่ 1'!H91+'วันที่ 2'!H91+'วันที่ 3'!H91+'วันที่ 4'!H91+'วันที่ 5'!H91+'วันที่ 6'!H91+'วันที่  7'!H91+'วันที่  8'!H91+'วันที่  9'!H91+'วันที่  10'!H91+'วันที่  11'!H91+'วันที่  12'!H91+'วันที่  13'!H91+'วันที่ 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15">
        <v>50</v>
      </c>
      <c r="J91" s="47">
        <f>+'วันที่ 1'!J91+'วันที่ 2'!J91+'วันที่ 3'!J91+'วันที่ 4'!J91+'วันที่ 5'!J91+'วันที่ 6'!J91+'วันที่  7'!J91+'วันที่  8'!J91+'วันที่  9'!J91+'วันที่  10'!J91+'วันที่  11'!J91+'วันที่  12'!J91+'วันที่  13'!J91+'วันที่ 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19"/>
      <c r="M91" s="56"/>
      <c r="U91" s="5"/>
    </row>
    <row r="92" spans="1:21">
      <c r="A92" s="10">
        <v>88</v>
      </c>
      <c r="B92" s="19" t="s">
        <v>103</v>
      </c>
      <c r="C92" s="46">
        <f>+'วันที่ 1'!C92</f>
        <v>0</v>
      </c>
      <c r="D92" s="47">
        <f>+'วันที่ 1'!D92+'วันที่ 2'!D92+'วันที่ 3'!D92+'วันที่ 4'!D92+'วันที่ 5'!D92+'วันที่ 6'!D92+'วันที่  7'!D92+'วันที่  8'!D92+'วันที่  9'!D92+'วันที่  10'!D92+'วันที่  11'!D92+'วันที่  12'!D92+'วันที่  13'!D92+'วันที่ 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5"/>
        <v>0</v>
      </c>
      <c r="F92" s="47">
        <f>+'วันที่ 1'!F92+'วันที่ 2'!F92+'วันที่ 3'!F92+'วันที่ 4'!F92+'วันที่ 5'!F92+'วันที่ 6'!F92+'วันที่  7'!F92+'วันที่  8'!F92+'วันที่  9'!F92+'วันที่  10'!F92+'วันที่  11'!F92+'วันที่  12'!F92+'วันที่  13'!F92+'วันที่ 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2">
        <f t="shared" si="6"/>
        <v>0</v>
      </c>
      <c r="H92" s="47">
        <f>+'วันที่ 1'!H92+'วันที่ 2'!H92+'วันที่ 3'!H92+'วันที่ 4'!H92+'วันที่ 5'!H92+'วันที่ 6'!H92+'วันที่  7'!H92+'วันที่  8'!H92+'วันที่  9'!H92+'วันที่  10'!H92+'วันที่  11'!H92+'วันที่  12'!H92+'วันที่  13'!H92+'วันที่ 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15">
        <v>120</v>
      </c>
      <c r="J92" s="47">
        <f>+'วันที่ 1'!J92+'วันที่ 2'!J92+'วันที่ 3'!J92+'วันที่ 4'!J92+'วันที่ 5'!J92+'วันที่ 6'!J92+'วันที่  7'!J92+'วันที่  8'!J92+'วันที่  9'!J92+'วันที่  10'!J92+'วันที่  11'!J92+'วันที่  12'!J92+'วันที่  13'!J92+'วันที่ 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19"/>
      <c r="M92" s="56"/>
      <c r="U92" s="5"/>
    </row>
    <row r="93" spans="1:21">
      <c r="A93" s="10">
        <v>89</v>
      </c>
      <c r="B93" s="19" t="s">
        <v>104</v>
      </c>
      <c r="C93" s="46">
        <f>+'วันที่ 1'!C93</f>
        <v>0</v>
      </c>
      <c r="D93" s="47">
        <f>+'วันที่ 1'!D93+'วันที่ 2'!D93+'วันที่ 3'!D93+'วันที่ 4'!D93+'วันที่ 5'!D93+'วันที่ 6'!D93+'วันที่  7'!D93+'วันที่  8'!D93+'วันที่  9'!D93+'วันที่  10'!D93+'วันที่  11'!D93+'วันที่  12'!D93+'วันที่  13'!D93+'วันที่ 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5"/>
        <v>0</v>
      </c>
      <c r="F93" s="47">
        <f>+'วันที่ 1'!F93+'วันที่ 2'!F93+'วันที่ 3'!F93+'วันที่ 4'!F93+'วันที่ 5'!F93+'วันที่ 6'!F93+'วันที่  7'!F93+'วันที่  8'!F93+'วันที่  9'!F93+'วันที่  10'!F93+'วันที่  11'!F93+'วันที่  12'!F93+'วันที่  13'!F93+'วันที่ 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2">
        <f t="shared" si="6"/>
        <v>0</v>
      </c>
      <c r="H93" s="47">
        <f>+'วันที่ 1'!H93+'วันที่ 2'!H93+'วันที่ 3'!H93+'วันที่ 4'!H93+'วันที่ 5'!H93+'วันที่ 6'!H93+'วันที่  7'!H93+'วันที่  8'!H93+'วันที่  9'!H93+'วันที่  10'!H93+'วันที่  11'!H93+'วันที่  12'!H93+'วันที่  13'!H93+'วันที่ 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15">
        <v>250</v>
      </c>
      <c r="J93" s="47">
        <f>+'วันที่ 1'!J93+'วันที่ 2'!J93+'วันที่ 3'!J93+'วันที่ 4'!J93+'วันที่ 5'!J93+'วันที่ 6'!J93+'วันที่  7'!J93+'วันที่  8'!J93+'วันที่  9'!J93+'วันที่  10'!J93+'วันที่  11'!J93+'วันที่  12'!J93+'วันที่  13'!J93+'วันที่ 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9"/>
      <c r="M93" s="56"/>
      <c r="U93" s="5"/>
    </row>
    <row r="94" spans="1:21">
      <c r="A94" s="10">
        <v>90</v>
      </c>
      <c r="B94" s="19" t="s">
        <v>105</v>
      </c>
      <c r="C94" s="46">
        <f>+'วันที่ 1'!C94</f>
        <v>0</v>
      </c>
      <c r="D94" s="47">
        <f>+'วันที่ 1'!D94+'วันที่ 2'!D94+'วันที่ 3'!D94+'วันที่ 4'!D94+'วันที่ 5'!D94+'วันที่ 6'!D94+'วันที่  7'!D94+'วันที่  8'!D94+'วันที่  9'!D94+'วันที่  10'!D94+'วันที่  11'!D94+'วันที่  12'!D94+'วันที่  13'!D94+'วันที่ 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5"/>
        <v>0</v>
      </c>
      <c r="F94" s="47">
        <f>+'วันที่ 1'!F94+'วันที่ 2'!F94+'วันที่ 3'!F94+'วันที่ 4'!F94+'วันที่ 5'!F94+'วันที่ 6'!F94+'วันที่  7'!F94+'วันที่  8'!F94+'วันที่  9'!F94+'วันที่  10'!F94+'วันที่  11'!F94+'วันที่  12'!F94+'วันที่  13'!F94+'วันที่ 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2">
        <f t="shared" si="6"/>
        <v>0</v>
      </c>
      <c r="H94" s="47">
        <f>+'วันที่ 1'!H94+'วันที่ 2'!H94+'วันที่ 3'!H94+'วันที่ 4'!H94+'วันที่ 5'!H94+'วันที่ 6'!H94+'วันที่  7'!H94+'วันที่  8'!H94+'วันที่  9'!H94+'วันที่  10'!H94+'วันที่  11'!H94+'วันที่  12'!H94+'วันที่  13'!H94+'วันที่ 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15">
        <v>120</v>
      </c>
      <c r="J94" s="47">
        <f>+'วันที่ 1'!J94+'วันที่ 2'!J94+'วันที่ 3'!J94+'วันที่ 4'!J94+'วันที่ 5'!J94+'วันที่ 6'!J94+'วันที่  7'!J94+'วันที่  8'!J94+'วันที่  9'!J94+'วันที่  10'!J94+'วันที่  11'!J94+'วันที่  12'!J94+'วันที่  13'!J94+'วันที่ 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19"/>
      <c r="M94" s="56"/>
      <c r="U94" s="5"/>
    </row>
    <row r="95" spans="1:21">
      <c r="A95" s="10">
        <v>91</v>
      </c>
      <c r="B95" s="19" t="s">
        <v>106</v>
      </c>
      <c r="C95" s="46">
        <f>+'วันที่ 1'!C95</f>
        <v>0</v>
      </c>
      <c r="D95" s="47">
        <f>+'วันที่ 1'!D95+'วันที่ 2'!D95+'วันที่ 3'!D95+'วันที่ 4'!D95+'วันที่ 5'!D95+'วันที่ 6'!D95+'วันที่  7'!D95+'วันที่  8'!D95+'วันที่  9'!D95+'วันที่  10'!D95+'วันที่  11'!D95+'วันที่  12'!D95+'วันที่  13'!D95+'วันที่ 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5"/>
        <v>0</v>
      </c>
      <c r="F95" s="47">
        <f>+'วันที่ 1'!F95+'วันที่ 2'!F95+'วันที่ 3'!F95+'วันที่ 4'!F95+'วันที่ 5'!F95+'วันที่ 6'!F95+'วันที่  7'!F95+'วันที่  8'!F95+'วันที่  9'!F95+'วันที่  10'!F95+'วันที่  11'!F95+'วันที่  12'!F95+'วันที่  13'!F95+'วันที่ 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2">
        <f t="shared" si="6"/>
        <v>0</v>
      </c>
      <c r="H95" s="47">
        <f>+'วันที่ 1'!H95+'วันที่ 2'!H95+'วันที่ 3'!H95+'วันที่ 4'!H95+'วันที่ 5'!H95+'วันที่ 6'!H95+'วันที่  7'!H95+'วันที่  8'!H95+'วันที่  9'!H95+'วันที่  10'!H95+'วันที่  11'!H95+'วันที่  12'!H95+'วันที่  13'!H95+'วันที่ 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15">
        <v>120</v>
      </c>
      <c r="J95" s="47">
        <f>+'วันที่ 1'!J95+'วันที่ 2'!J95+'วันที่ 3'!J95+'วันที่ 4'!J95+'วันที่ 5'!J95+'วันที่ 6'!J95+'วันที่  7'!J95+'วันที่  8'!J95+'วันที่  9'!J95+'วันที่  10'!J95+'วันที่  11'!J95+'วันที่  12'!J95+'วันที่  13'!J95+'วันที่ 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19"/>
      <c r="M95" s="56"/>
      <c r="U95" s="5"/>
    </row>
    <row r="96" spans="1:21">
      <c r="A96" s="10">
        <v>92</v>
      </c>
      <c r="B96" s="19" t="s">
        <v>107</v>
      </c>
      <c r="C96" s="46">
        <f>+'วันที่ 1'!C96</f>
        <v>0</v>
      </c>
      <c r="D96" s="47">
        <f>+'วันที่ 1'!D96+'วันที่ 2'!D96+'วันที่ 3'!D96+'วันที่ 4'!D96+'วันที่ 5'!D96+'วันที่ 6'!D96+'วันที่  7'!D96+'วันที่  8'!D96+'วันที่  9'!D96+'วันที่  10'!D96+'วันที่  11'!D96+'วันที่  12'!D96+'วันที่  13'!D96+'วันที่ 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5"/>
        <v>0</v>
      </c>
      <c r="F96" s="47">
        <f>+'วันที่ 1'!F96+'วันที่ 2'!F96+'วันที่ 3'!F96+'วันที่ 4'!F96+'วันที่ 5'!F96+'วันที่ 6'!F96+'วันที่  7'!F96+'วันที่  8'!F96+'วันที่  9'!F96+'วันที่  10'!F96+'วันที่  11'!F96+'วันที่  12'!F96+'วันที่  13'!F96+'วันที่ 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2">
        <f t="shared" si="6"/>
        <v>0</v>
      </c>
      <c r="H96" s="47">
        <f>+'วันที่ 1'!H96+'วันที่ 2'!H96+'วันที่ 3'!H96+'วันที่ 4'!H96+'วันที่ 5'!H96+'วันที่ 6'!H96+'วันที่  7'!H96+'วันที่  8'!H96+'วันที่  9'!H96+'วันที่  10'!H96+'วันที่  11'!H96+'วันที่  12'!H96+'วันที่  13'!H96+'วันที่ 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15">
        <v>120</v>
      </c>
      <c r="J96" s="47">
        <f>+'วันที่ 1'!J96+'วันที่ 2'!J96+'วันที่ 3'!J96+'วันที่ 4'!J96+'วันที่ 5'!J96+'วันที่ 6'!J96+'วันที่  7'!J96+'วันที่  8'!J96+'วันที่  9'!J96+'วันที่  10'!J96+'วันที่  11'!J96+'วันที่  12'!J96+'วันที่  13'!J96+'วันที่ 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19"/>
      <c r="M96" s="56"/>
      <c r="U96" s="5"/>
    </row>
    <row r="97" spans="1:21">
      <c r="A97" s="10">
        <v>93</v>
      </c>
      <c r="B97" s="19" t="s">
        <v>108</v>
      </c>
      <c r="C97" s="46">
        <f>+'วันที่ 1'!C97</f>
        <v>0</v>
      </c>
      <c r="D97" s="47">
        <f>+'วันที่ 1'!D97+'วันที่ 2'!D97+'วันที่ 3'!D97+'วันที่ 4'!D97+'วันที่ 5'!D97+'วันที่ 6'!D97+'วันที่  7'!D97+'วันที่  8'!D97+'วันที่  9'!D97+'วันที่  10'!D97+'วันที่  11'!D97+'วันที่  12'!D97+'วันที่  13'!D97+'วันที่ 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5"/>
        <v>0</v>
      </c>
      <c r="F97" s="47">
        <f>+'วันที่ 1'!F97+'วันที่ 2'!F97+'วันที่ 3'!F97+'วันที่ 4'!F97+'วันที่ 5'!F97+'วันที่ 6'!F97+'วันที่  7'!F97+'วันที่  8'!F97+'วันที่  9'!F97+'วันที่  10'!F97+'วันที่  11'!F97+'วันที่  12'!F97+'วันที่  13'!F97+'วันที่ 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2">
        <f t="shared" si="6"/>
        <v>0</v>
      </c>
      <c r="H97" s="47">
        <f>+'วันที่ 1'!H97+'วันที่ 2'!H97+'วันที่ 3'!H97+'วันที่ 4'!H97+'วันที่ 5'!H97+'วันที่ 6'!H97+'วันที่  7'!H97+'วันที่  8'!H97+'วันที่  9'!H97+'วันที่  10'!H97+'วันที่  11'!H97+'วันที่  12'!H97+'วันที่  13'!H97+'วันที่ 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15">
        <v>45</v>
      </c>
      <c r="J97" s="47">
        <f>+'วันที่ 1'!J97+'วันที่ 2'!J97+'วันที่ 3'!J97+'วันที่ 4'!J97+'วันที่ 5'!J97+'วันที่ 6'!J97+'วันที่  7'!J97+'วันที่  8'!J97+'วันที่  9'!J97+'วันที่  10'!J97+'วันที่  11'!J97+'วันที่  12'!J97+'วันที่  13'!J97+'วันที่ 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9"/>
      <c r="M97" s="56"/>
      <c r="U97" s="5"/>
    </row>
    <row r="98" spans="1:21">
      <c r="A98" s="10">
        <v>94</v>
      </c>
      <c r="B98" s="19" t="s">
        <v>109</v>
      </c>
      <c r="C98" s="46">
        <f>+'วันที่ 1'!C98</f>
        <v>0</v>
      </c>
      <c r="D98" s="47">
        <f>+'วันที่ 1'!D98+'วันที่ 2'!D98+'วันที่ 3'!D98+'วันที่ 4'!D98+'วันที่ 5'!D98+'วันที่ 6'!D98+'วันที่  7'!D98+'วันที่  8'!D98+'วันที่  9'!D98+'วันที่  10'!D98+'วันที่  11'!D98+'วันที่  12'!D98+'วันที่  13'!D98+'วันที่ 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5"/>
        <v>0</v>
      </c>
      <c r="F98" s="47">
        <f>+'วันที่ 1'!F98+'วันที่ 2'!F98+'วันที่ 3'!F98+'วันที่ 4'!F98+'วันที่ 5'!F98+'วันที่ 6'!F98+'วันที่  7'!F98+'วันที่  8'!F98+'วันที่  9'!F98+'วันที่  10'!F98+'วันที่  11'!F98+'วันที่  12'!F98+'วันที่  13'!F98+'วันที่ 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2">
        <f t="shared" si="6"/>
        <v>0</v>
      </c>
      <c r="H98" s="47">
        <f>+'วันที่ 1'!H98+'วันที่ 2'!H98+'วันที่ 3'!H98+'วันที่ 4'!H98+'วันที่ 5'!H98+'วันที่ 6'!H98+'วันที่  7'!H98+'วันที่  8'!H98+'วันที่  9'!H98+'วันที่  10'!H98+'วันที่  11'!H98+'วันที่  12'!H98+'วันที่  13'!H98+'วันที่ 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15">
        <v>50</v>
      </c>
      <c r="J98" s="47">
        <f>+'วันที่ 1'!J98+'วันที่ 2'!J98+'วันที่ 3'!J98+'วันที่ 4'!J98+'วันที่ 5'!J98+'วันที่ 6'!J98+'วันที่  7'!J98+'วันที่  8'!J98+'วันที่  9'!J98+'วันที่  10'!J98+'วันที่  11'!J98+'วันที่  12'!J98+'วันที่  13'!J98+'วันที่ 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9"/>
      <c r="M98" s="56"/>
      <c r="U98" s="5"/>
    </row>
    <row r="99" spans="1:21">
      <c r="A99" s="10">
        <v>95</v>
      </c>
      <c r="B99" s="19" t="s">
        <v>110</v>
      </c>
      <c r="C99" s="46">
        <f>+'วันที่ 1'!C99</f>
        <v>0</v>
      </c>
      <c r="D99" s="47">
        <f>+'วันที่ 1'!D99+'วันที่ 2'!D99+'วันที่ 3'!D99+'วันที่ 4'!D99+'วันที่ 5'!D99+'วันที่ 6'!D99+'วันที่  7'!D99+'วันที่  8'!D99+'วันที่  9'!D99+'วันที่  10'!D99+'วันที่  11'!D99+'วันที่  12'!D99+'วันที่  13'!D99+'วันที่ 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5"/>
        <v>0</v>
      </c>
      <c r="F99" s="47">
        <f>+'วันที่ 1'!F99+'วันที่ 2'!F99+'วันที่ 3'!F99+'วันที่ 4'!F99+'วันที่ 5'!F99+'วันที่ 6'!F99+'วันที่  7'!F99+'วันที่  8'!F99+'วันที่  9'!F99+'วันที่  10'!F99+'วันที่  11'!F99+'วันที่  12'!F99+'วันที่  13'!F99+'วันที่ 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2">
        <f t="shared" si="6"/>
        <v>0</v>
      </c>
      <c r="H99" s="47">
        <f>+'วันที่ 1'!H99+'วันที่ 2'!H99+'วันที่ 3'!H99+'วันที่ 4'!H99+'วันที่ 5'!H99+'วันที่ 6'!H99+'วันที่  7'!H99+'วันที่  8'!H99+'วันที่  9'!H99+'วันที่  10'!H99+'วันที่  11'!H99+'วันที่  12'!H99+'วันที่  13'!H99+'วันที่ 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15">
        <v>50</v>
      </c>
      <c r="J99" s="47">
        <f>+'วันที่ 1'!J99+'วันที่ 2'!J99+'วันที่ 3'!J99+'วันที่ 4'!J99+'วันที่ 5'!J99+'วันที่ 6'!J99+'วันที่  7'!J99+'วันที่  8'!J99+'วันที่  9'!J99+'วันที่  10'!J99+'วันที่  11'!J99+'วันที่  12'!J99+'วันที่  13'!J99+'วันที่ 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9"/>
      <c r="M99" s="56"/>
      <c r="U99" s="5"/>
    </row>
    <row r="100" spans="1:21">
      <c r="A100" s="10">
        <v>96</v>
      </c>
      <c r="B100" s="19" t="s">
        <v>111</v>
      </c>
      <c r="C100" s="46">
        <f>+'วันที่ 1'!C100</f>
        <v>0</v>
      </c>
      <c r="D100" s="47">
        <f>+'วันที่ 1'!D100+'วันที่ 2'!D100+'วันที่ 3'!D100+'วันที่ 4'!D100+'วันที่ 5'!D100+'วันที่ 6'!D100+'วันที่  7'!D100+'วันที่  8'!D100+'วันที่  9'!D100+'วันที่  10'!D100+'วันที่  11'!D100+'วันที่  12'!D100+'วันที่  13'!D100+'วันที่ 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5"/>
        <v>0</v>
      </c>
      <c r="F100" s="47">
        <f>+'วันที่ 1'!F100+'วันที่ 2'!F100+'วันที่ 3'!F100+'วันที่ 4'!F100+'วันที่ 5'!F100+'วันที่ 6'!F100+'วันที่  7'!F100+'วันที่  8'!F100+'วันที่  9'!F100+'วันที่  10'!F100+'วันที่  11'!F100+'วันที่  12'!F100+'วันที่  13'!F100+'วันที่ 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2">
        <f t="shared" si="6"/>
        <v>0</v>
      </c>
      <c r="H100" s="47">
        <f>+'วันที่ 1'!H100+'วันที่ 2'!H100+'วันที่ 3'!H100+'วันที่ 4'!H100+'วันที่ 5'!H100+'วันที่ 6'!H100+'วันที่  7'!H100+'วันที่  8'!H100+'วันที่  9'!H100+'วันที่  10'!H100+'วันที่  11'!H100+'วันที่  12'!H100+'วันที่  13'!H100+'วันที่ 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15">
        <v>60</v>
      </c>
      <c r="J100" s="47">
        <f>+'วันที่ 1'!J100+'วันที่ 2'!J100+'วันที่ 3'!J100+'วันที่ 4'!J100+'วันที่ 5'!J100+'วันที่ 6'!J100+'วันที่  7'!J100+'วันที่  8'!J100+'วันที่  9'!J100+'วันที่  10'!J100+'วันที่  11'!J100+'วันที่  12'!J100+'วันที่  13'!J100+'วันที่ 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9"/>
      <c r="M100" s="56"/>
      <c r="U100" s="5"/>
    </row>
    <row r="101" spans="1:21">
      <c r="A101" s="10">
        <v>97</v>
      </c>
      <c r="B101" s="19" t="s">
        <v>218</v>
      </c>
      <c r="C101" s="46">
        <f>+'วันที่ 1'!C101</f>
        <v>0</v>
      </c>
      <c r="D101" s="47">
        <f>+'วันที่ 1'!D101+'วันที่ 2'!D101+'วันที่ 3'!D101+'วันที่ 4'!D101+'วันที่ 5'!D101+'วันที่ 6'!D101+'วันที่  7'!D101+'วันที่  8'!D101+'วันที่  9'!D101+'วันที่  10'!D101+'วันที่  11'!D101+'วันที่  12'!D101+'วันที่  13'!D101+'วันที่ 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20</v>
      </c>
      <c r="E101" s="46">
        <f t="shared" si="5"/>
        <v>20</v>
      </c>
      <c r="F101" s="47">
        <f>+'วันที่ 1'!F101+'วันที่ 2'!F101+'วันที่ 3'!F101+'วันที่ 4'!F101+'วันที่ 5'!F101+'วันที่ 6'!F101+'วันที่  7'!F101+'วันที่  8'!F101+'วันที่  9'!F101+'วันที่  10'!F101+'วันที่  11'!F101+'วันที่  12'!F101+'วันที่  13'!F101+'วันที่ 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2">
        <f t="shared" si="6"/>
        <v>13</v>
      </c>
      <c r="H101" s="47">
        <f>+'วันที่ 1'!H101+'วันที่ 2'!H101+'วันที่ 3'!H101+'วันที่ 4'!H101+'วันที่ 5'!H101+'วันที่ 6'!H101+'วันที่  7'!H101+'วันที่  8'!H101+'วันที่  9'!H101+'วันที่  10'!H101+'วันที่  11'!H101+'วันที่  12'!H101+'วันที่  13'!H101+'วันที่ 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7</v>
      </c>
      <c r="I101" s="15">
        <v>55</v>
      </c>
      <c r="J101" s="47">
        <f>+'วันที่ 1'!J101+'วันที่ 2'!J101+'วันที่ 3'!J101+'วันที่ 4'!J101+'วันที่ 5'!J101+'วันที่ 6'!J101+'วันที่  7'!J101+'วันที่  8'!J101+'วันที่  9'!J101+'วันที่  10'!J101+'วันที่  11'!J101+'วันที่  12'!J101+'วันที่  13'!J101+'วันที่ 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385</v>
      </c>
      <c r="K101" s="19"/>
      <c r="M101" s="56"/>
      <c r="U101" s="5"/>
    </row>
    <row r="102" spans="1:21">
      <c r="A102" s="10">
        <v>98</v>
      </c>
      <c r="B102" s="19" t="s">
        <v>112</v>
      </c>
      <c r="C102" s="46">
        <f>+'วันที่ 1'!C102</f>
        <v>5</v>
      </c>
      <c r="D102" s="47">
        <f>+'วันที่ 1'!D102+'วันที่ 2'!D102+'วันที่ 3'!D102+'วันที่ 4'!D102+'วันที่ 5'!D102+'วันที่ 6'!D102+'วันที่  7'!D102+'วันที่  8'!D102+'วันที่  9'!D102+'วันที่  10'!D102+'วันที่  11'!D102+'วันที่  12'!D102+'วันที่  13'!D102+'วันที่ 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10</v>
      </c>
      <c r="E102" s="46">
        <f t="shared" si="5"/>
        <v>15</v>
      </c>
      <c r="F102" s="47">
        <f>+'วันที่ 1'!F102+'วันที่ 2'!F102+'วันที่ 3'!F102+'วันที่ 4'!F102+'วันที่ 5'!F102+'วันที่ 6'!F102+'วันที่  7'!F102+'วันที่  8'!F102+'วันที่  9'!F102+'วันที่  10'!F102+'วันที่  11'!F102+'วันที่  12'!F102+'วันที่  13'!F102+'วันที่ 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2">
        <f t="shared" si="6"/>
        <v>7</v>
      </c>
      <c r="H102" s="47">
        <f>+'วันที่ 1'!H102+'วันที่ 2'!H102+'วันที่ 3'!H102+'วันที่ 4'!H102+'วันที่ 5'!H102+'วันที่ 6'!H102+'วันที่  7'!H102+'วันที่  8'!H102+'วันที่  9'!H102+'วันที่  10'!H102+'วันที่  11'!H102+'วันที่  12'!H102+'วันที่  13'!H102+'วันที่ 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8</v>
      </c>
      <c r="I102" s="15">
        <v>50</v>
      </c>
      <c r="J102" s="47">
        <f>+'วันที่ 1'!J102+'วันที่ 2'!J102+'วันที่ 3'!J102+'วันที่ 4'!J102+'วันที่ 5'!J102+'วันที่ 6'!J102+'วันที่  7'!J102+'วันที่  8'!J102+'วันที่  9'!J102+'วันที่  10'!J102+'วันที่  11'!J102+'วันที่  12'!J102+'วันที่  13'!J102+'วันที่ 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400</v>
      </c>
      <c r="K102" s="19"/>
      <c r="M102" s="56"/>
      <c r="U102" s="5"/>
    </row>
    <row r="103" spans="1:21">
      <c r="A103" s="10">
        <v>99</v>
      </c>
      <c r="B103" s="19" t="s">
        <v>113</v>
      </c>
      <c r="C103" s="46">
        <f>+'วันที่ 1'!C103</f>
        <v>0</v>
      </c>
      <c r="D103" s="47">
        <f>+'วันที่ 1'!D103+'วันที่ 2'!D103+'วันที่ 3'!D103+'วันที่ 4'!D103+'วันที่ 5'!D103+'วันที่ 6'!D103+'วันที่  7'!D103+'วันที่  8'!D103+'วันที่  9'!D103+'วันที่  10'!D103+'วันที่  11'!D103+'วันที่  12'!D103+'วันที่  13'!D103+'วันที่ 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46">
        <f t="shared" si="5"/>
        <v>0</v>
      </c>
      <c r="F103" s="47">
        <f>+'วันที่ 1'!F103+'วันที่ 2'!F103+'วันที่ 3'!F103+'วันที่ 4'!F103+'วันที่ 5'!F103+'วันที่ 6'!F103+'วันที่  7'!F103+'วันที่  8'!F103+'วันที่  9'!F103+'วันที่  10'!F103+'วันที่  11'!F103+'วันที่  12'!F103+'วันที่  13'!F103+'วันที่ 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2">
        <f t="shared" si="6"/>
        <v>0</v>
      </c>
      <c r="H103" s="47">
        <f>+'วันที่ 1'!H103+'วันที่ 2'!H103+'วันที่ 3'!H103+'วันที่ 4'!H103+'วันที่ 5'!H103+'วันที่ 6'!H103+'วันที่  7'!H103+'วันที่  8'!H103+'วันที่  9'!H103+'วันที่  10'!H103+'วันที่  11'!H103+'วันที่  12'!H103+'วันที่  13'!H103+'วันที่ 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15">
        <v>100</v>
      </c>
      <c r="J103" s="47">
        <f>+'วันที่ 1'!J103+'วันที่ 2'!J103+'วันที่ 3'!J103+'วันที่ 4'!J103+'วันที่ 5'!J103+'วันที่ 6'!J103+'วันที่  7'!J103+'วันที่  8'!J103+'วันที่  9'!J103+'วันที่  10'!J103+'วันที่  11'!J103+'วันที่  12'!J103+'วันที่  13'!J103+'วันที่ 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9"/>
      <c r="M103" s="56"/>
      <c r="U103" s="5"/>
    </row>
    <row r="104" spans="1:21">
      <c r="A104" s="10">
        <v>100</v>
      </c>
      <c r="B104" s="19" t="s">
        <v>114</v>
      </c>
      <c r="C104" s="46">
        <f>+'วันที่ 1'!C104</f>
        <v>0</v>
      </c>
      <c r="D104" s="47">
        <f>+'วันที่ 1'!D104+'วันที่ 2'!D104+'วันที่ 3'!D104+'วันที่ 4'!D104+'วันที่ 5'!D104+'วันที่ 6'!D104+'วันที่  7'!D104+'วันที่  8'!D104+'วันที่  9'!D104+'วันที่  10'!D104+'วันที่  11'!D104+'วันที่  12'!D104+'วันที่  13'!D104+'วันที่ 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5"/>
        <v>0</v>
      </c>
      <c r="F104" s="47">
        <f>+'วันที่ 1'!F104+'วันที่ 2'!F104+'วันที่ 3'!F104+'วันที่ 4'!F104+'วันที่ 5'!F104+'วันที่ 6'!F104+'วันที่  7'!F104+'วันที่  8'!F104+'วันที่  9'!F104+'วันที่  10'!F104+'วันที่  11'!F104+'วันที่  12'!F104+'วันที่  13'!F104+'วันที่ 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2">
        <f t="shared" si="6"/>
        <v>0</v>
      </c>
      <c r="H104" s="47">
        <f>+'วันที่ 1'!H104+'วันที่ 2'!H104+'วันที่ 3'!H104+'วันที่ 4'!H104+'วันที่ 5'!H104+'วันที่ 6'!H104+'วันที่  7'!H104+'วันที่  8'!H104+'วันที่  9'!H104+'วันที่  10'!H104+'วันที่  11'!H104+'วันที่  12'!H104+'วันที่  13'!H104+'วันที่ 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15">
        <v>100</v>
      </c>
      <c r="J104" s="47">
        <f>+'วันที่ 1'!J104+'วันที่ 2'!J104+'วันที่ 3'!J104+'วันที่ 4'!J104+'วันที่ 5'!J104+'วันที่ 6'!J104+'วันที่  7'!J104+'วันที่  8'!J104+'วันที่  9'!J104+'วันที่  10'!J104+'วันที่  11'!J104+'วันที่  12'!J104+'วันที่  13'!J104+'วันที่ 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9"/>
      <c r="M104" s="56"/>
      <c r="U104" s="5"/>
    </row>
    <row r="105" spans="1:21">
      <c r="A105" s="10">
        <v>101</v>
      </c>
      <c r="B105" s="19" t="s">
        <v>115</v>
      </c>
      <c r="C105" s="46">
        <f>+'วันที่ 1'!C105</f>
        <v>0</v>
      </c>
      <c r="D105" s="47">
        <f>+'วันที่ 1'!D105+'วันที่ 2'!D105+'วันที่ 3'!D105+'วันที่ 4'!D105+'วันที่ 5'!D105+'วันที่ 6'!D105+'วันที่  7'!D105+'วันที่  8'!D105+'วันที่  9'!D105+'วันที่  10'!D105+'วันที่  11'!D105+'วันที่  12'!D105+'วันที่  13'!D105+'วันที่ 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5"/>
        <v>0</v>
      </c>
      <c r="F105" s="47">
        <f>+'วันที่ 1'!F105+'วันที่ 2'!F105+'วันที่ 3'!F105+'วันที่ 4'!F105+'วันที่ 5'!F105+'วันที่ 6'!F105+'วันที่  7'!F105+'วันที่  8'!F105+'วันที่  9'!F105+'วันที่  10'!F105+'วันที่  11'!F105+'วันที่  12'!F105+'วันที่  13'!F105+'วันที่ 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2">
        <f t="shared" si="6"/>
        <v>0</v>
      </c>
      <c r="H105" s="47">
        <f>+'วันที่ 1'!H105+'วันที่ 2'!H105+'วันที่ 3'!H105+'วันที่ 4'!H105+'วันที่ 5'!H105+'วันที่ 6'!H105+'วันที่  7'!H105+'วันที่  8'!H105+'วันที่  9'!H105+'วันที่  10'!H105+'วันที่  11'!H105+'วันที่  12'!H105+'วันที่  13'!H105+'วันที่ 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15">
        <v>30</v>
      </c>
      <c r="J105" s="47">
        <f>+'วันที่ 1'!J105+'วันที่ 2'!J105+'วันที่ 3'!J105+'วันที่ 4'!J105+'วันที่ 5'!J105+'วันที่ 6'!J105+'วันที่  7'!J105+'วันที่  8'!J105+'วันที่  9'!J105+'วันที่  10'!J105+'วันที่  11'!J105+'วันที่  12'!J105+'วันที่  13'!J105+'วันที่ 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9"/>
      <c r="M105" s="56"/>
      <c r="U105" s="5"/>
    </row>
    <row r="106" spans="1:21">
      <c r="A106" s="10">
        <v>102</v>
      </c>
      <c r="B106" s="19" t="s">
        <v>116</v>
      </c>
      <c r="C106" s="46">
        <f>+'วันที่ 1'!C106</f>
        <v>0</v>
      </c>
      <c r="D106" s="47">
        <f>+'วันที่ 1'!D106+'วันที่ 2'!D106+'วันที่ 3'!D106+'วันที่ 4'!D106+'วันที่ 5'!D106+'วันที่ 6'!D106+'วันที่  7'!D106+'วันที่  8'!D106+'วันที่  9'!D106+'วันที่  10'!D106+'วันที่  11'!D106+'วันที่  12'!D106+'วันที่  13'!D106+'วันที่ 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5"/>
        <v>0</v>
      </c>
      <c r="F106" s="47">
        <f>+'วันที่ 1'!F106+'วันที่ 2'!F106+'วันที่ 3'!F106+'วันที่ 4'!F106+'วันที่ 5'!F106+'วันที่ 6'!F106+'วันที่  7'!F106+'วันที่  8'!F106+'วันที่  9'!F106+'วันที่  10'!F106+'วันที่  11'!F106+'วันที่  12'!F106+'วันที่  13'!F106+'วันที่ 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2">
        <f t="shared" si="6"/>
        <v>0</v>
      </c>
      <c r="H106" s="47">
        <f>+'วันที่ 1'!H106+'วันที่ 2'!H106+'วันที่ 3'!H106+'วันที่ 4'!H106+'วันที่ 5'!H106+'วันที่ 6'!H106+'วันที่  7'!H106+'วันที่  8'!H106+'วันที่  9'!H106+'วันที่  10'!H106+'วันที่  11'!H106+'วันที่  12'!H106+'วันที่  13'!H106+'วันที่ 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15">
        <v>20</v>
      </c>
      <c r="J106" s="47">
        <f>+'วันที่ 1'!J106+'วันที่ 2'!J106+'วันที่ 3'!J106+'วันที่ 4'!J106+'วันที่ 5'!J106+'วันที่ 6'!J106+'วันที่  7'!J106+'วันที่  8'!J106+'วันที่  9'!J106+'วันที่  10'!J106+'วันที่  11'!J106+'วันที่  12'!J106+'วันที่  13'!J106+'วันที่ 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9"/>
      <c r="M106" s="56"/>
      <c r="U106" s="5"/>
    </row>
    <row r="107" spans="1:21">
      <c r="A107" s="10">
        <v>103</v>
      </c>
      <c r="B107" s="19" t="s">
        <v>117</v>
      </c>
      <c r="C107" s="46">
        <f>+'วันที่ 1'!C107</f>
        <v>0</v>
      </c>
      <c r="D107" s="47">
        <f>+'วันที่ 1'!D107+'วันที่ 2'!D107+'วันที่ 3'!D107+'วันที่ 4'!D107+'วันที่ 5'!D107+'วันที่ 6'!D107+'วันที่  7'!D107+'วันที่  8'!D107+'วันที่  9'!D107+'วันที่  10'!D107+'วันที่  11'!D107+'วันที่  12'!D107+'วันที่  13'!D107+'วันที่ 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5"/>
        <v>0</v>
      </c>
      <c r="F107" s="47">
        <f>+'วันที่ 1'!F107+'วันที่ 2'!F107+'วันที่ 3'!F107+'วันที่ 4'!F107+'วันที่ 5'!F107+'วันที่ 6'!F107+'วันที่  7'!F107+'วันที่  8'!F107+'วันที่  9'!F107+'วันที่  10'!F107+'วันที่  11'!F107+'วันที่  12'!F107+'วันที่  13'!F107+'วันที่ 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2">
        <f t="shared" si="6"/>
        <v>0</v>
      </c>
      <c r="H107" s="47">
        <f>+'วันที่ 1'!H107+'วันที่ 2'!H107+'วันที่ 3'!H107+'วันที่ 4'!H107+'วันที่ 5'!H107+'วันที่ 6'!H107+'วันที่  7'!H107+'วันที่  8'!H107+'วันที่  9'!H107+'วันที่  10'!H107+'วันที่  11'!H107+'วันที่  12'!H107+'วันที่  13'!H107+'วันที่ 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15">
        <v>100</v>
      </c>
      <c r="J107" s="47">
        <f>+'วันที่ 1'!J107+'วันที่ 2'!J107+'วันที่ 3'!J107+'วันที่ 4'!J107+'วันที่ 5'!J107+'วันที่ 6'!J107+'วันที่  7'!J107+'วันที่  8'!J107+'วันที่  9'!J107+'วันที่  10'!J107+'วันที่  11'!J107+'วันที่  12'!J107+'วันที่  13'!J107+'วันที่ 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9"/>
      <c r="M107" s="56"/>
      <c r="U107" s="5"/>
    </row>
    <row r="108" spans="1:21">
      <c r="A108" s="10">
        <v>104</v>
      </c>
      <c r="B108" s="19" t="s">
        <v>119</v>
      </c>
      <c r="C108" s="46">
        <f>+'วันที่ 1'!C108</f>
        <v>0</v>
      </c>
      <c r="D108" s="47">
        <f>+'วันที่ 1'!D108+'วันที่ 2'!D108+'วันที่ 3'!D108+'วันที่ 4'!D108+'วันที่ 5'!D108+'วันที่ 6'!D108+'วันที่  7'!D108+'วันที่  8'!D108+'วันที่  9'!D108+'วันที่  10'!D108+'วันที่  11'!D108+'วันที่  12'!D108+'วันที่  13'!D108+'วันที่ 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5"/>
        <v>0</v>
      </c>
      <c r="F108" s="47">
        <f>+'วันที่ 1'!F108+'วันที่ 2'!F108+'วันที่ 3'!F108+'วันที่ 4'!F108+'วันที่ 5'!F108+'วันที่ 6'!F108+'วันที่  7'!F108+'วันที่  8'!F108+'วันที่  9'!F108+'วันที่  10'!F108+'วันที่  11'!F108+'วันที่  12'!F108+'วันที่  13'!F108+'วันที่ 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2">
        <f t="shared" si="6"/>
        <v>0</v>
      </c>
      <c r="H108" s="47">
        <f>+'วันที่ 1'!H108+'วันที่ 2'!H108+'วันที่ 3'!H108+'วันที่ 4'!H108+'วันที่ 5'!H108+'วันที่ 6'!H108+'วันที่  7'!H108+'วันที่  8'!H108+'วันที่  9'!H108+'วันที่  10'!H108+'วันที่  11'!H108+'วันที่  12'!H108+'วันที่  13'!H108+'วันที่ 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15">
        <v>80</v>
      </c>
      <c r="J108" s="47">
        <f>+'วันที่ 1'!J108+'วันที่ 2'!J108+'วันที่ 3'!J108+'วันที่ 4'!J108+'วันที่ 5'!J108+'วันที่ 6'!J108+'วันที่  7'!J108+'วันที่  8'!J108+'วันที่  9'!J108+'วันที่  10'!J108+'วันที่  11'!J108+'วันที่  12'!J108+'วันที่  13'!J108+'วันที่ 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9"/>
      <c r="M108" s="56"/>
      <c r="U108" s="5"/>
    </row>
    <row r="109" spans="1:21">
      <c r="A109" s="10">
        <v>105</v>
      </c>
      <c r="B109" s="19" t="s">
        <v>120</v>
      </c>
      <c r="C109" s="46">
        <f>+'วันที่ 1'!C109</f>
        <v>0</v>
      </c>
      <c r="D109" s="47">
        <f>+'วันที่ 1'!D109+'วันที่ 2'!D109+'วันที่ 3'!D109+'วันที่ 4'!D109+'วันที่ 5'!D109+'วันที่ 6'!D109+'วันที่  7'!D109+'วันที่  8'!D109+'วันที่  9'!D109+'วันที่  10'!D109+'วันที่  11'!D109+'วันที่  12'!D109+'วันที่  13'!D109+'วันที่ 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5"/>
        <v>0</v>
      </c>
      <c r="F109" s="47">
        <f>+'วันที่ 1'!F109+'วันที่ 2'!F109+'วันที่ 3'!F109+'วันที่ 4'!F109+'วันที่ 5'!F109+'วันที่ 6'!F109+'วันที่  7'!F109+'วันที่  8'!F109+'วันที่  9'!F109+'วันที่  10'!F109+'วันที่  11'!F109+'วันที่  12'!F109+'วันที่  13'!F109+'วันที่ 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2">
        <f t="shared" si="6"/>
        <v>0</v>
      </c>
      <c r="H109" s="47">
        <f>+'วันที่ 1'!H109+'วันที่ 2'!H109+'วันที่ 3'!H109+'วันที่ 4'!H109+'วันที่ 5'!H109+'วันที่ 6'!H109+'วันที่  7'!H109+'วันที่  8'!H109+'วันที่  9'!H109+'วันที่  10'!H109+'วันที่  11'!H109+'วันที่  12'!H109+'วันที่  13'!H109+'วันที่ 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15">
        <v>60</v>
      </c>
      <c r="J109" s="47">
        <f>+'วันที่ 1'!J109+'วันที่ 2'!J109+'วันที่ 3'!J109+'วันที่ 4'!J109+'วันที่ 5'!J109+'วันที่ 6'!J109+'วันที่  7'!J109+'วันที่  8'!J109+'วันที่  9'!J109+'วันที่  10'!J109+'วันที่  11'!J109+'วันที่  12'!J109+'วันที่  13'!J109+'วันที่ 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9"/>
      <c r="M109" s="56"/>
      <c r="U109" s="5"/>
    </row>
    <row r="110" spans="1:21">
      <c r="A110" s="10">
        <v>106</v>
      </c>
      <c r="B110" s="19" t="s">
        <v>121</v>
      </c>
      <c r="C110" s="46">
        <f>+'วันที่ 1'!C110</f>
        <v>0</v>
      </c>
      <c r="D110" s="47">
        <f>+'วันที่ 1'!D110+'วันที่ 2'!D110+'วันที่ 3'!D110+'วันที่ 4'!D110+'วันที่ 5'!D110+'วันที่ 6'!D110+'วันที่  7'!D110+'วันที่  8'!D110+'วันที่  9'!D110+'วันที่  10'!D110+'วันที่  11'!D110+'วันที่  12'!D110+'วันที่  13'!D110+'วันที่ 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5"/>
        <v>0</v>
      </c>
      <c r="F110" s="47">
        <f>+'วันที่ 1'!F110+'วันที่ 2'!F110+'วันที่ 3'!F110+'วันที่ 4'!F110+'วันที่ 5'!F110+'วันที่ 6'!F110+'วันที่  7'!F110+'วันที่  8'!F110+'วันที่  9'!F110+'วันที่  10'!F110+'วันที่  11'!F110+'วันที่  12'!F110+'วันที่  13'!F110+'วันที่ 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2">
        <f t="shared" si="6"/>
        <v>0</v>
      </c>
      <c r="H110" s="47">
        <f>+'วันที่ 1'!H110+'วันที่ 2'!H110+'วันที่ 3'!H110+'วันที่ 4'!H110+'วันที่ 5'!H110+'วันที่ 6'!H110+'วันที่  7'!H110+'วันที่  8'!H110+'วันที่  9'!H110+'วันที่  10'!H110+'วันที่  11'!H110+'วันที่  12'!H110+'วันที่  13'!H110+'วันที่ 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15">
        <v>35</v>
      </c>
      <c r="J110" s="47">
        <f>+'วันที่ 1'!J110+'วันที่ 2'!J110+'วันที่ 3'!J110+'วันที่ 4'!J110+'วันที่ 5'!J110+'วันที่ 6'!J110+'วันที่  7'!J110+'วันที่  8'!J110+'วันที่  9'!J110+'วันที่  10'!J110+'วันที่  11'!J110+'วันที่  12'!J110+'วันที่  13'!J110+'วันที่ 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19"/>
      <c r="M110" s="56"/>
      <c r="U110" s="5"/>
    </row>
    <row r="111" spans="1:21">
      <c r="A111" s="10">
        <v>107</v>
      </c>
      <c r="B111" s="19" t="s">
        <v>122</v>
      </c>
      <c r="C111" s="46">
        <f>+'วันที่ 1'!C111</f>
        <v>0</v>
      </c>
      <c r="D111" s="47">
        <f>+'วันที่ 1'!D111+'วันที่ 2'!D111+'วันที่ 3'!D111+'วันที่ 4'!D111+'วันที่ 5'!D111+'วันที่ 6'!D111+'วันที่  7'!D111+'วันที่  8'!D111+'วันที่  9'!D111+'วันที่  10'!D111+'วันที่  11'!D111+'วันที่  12'!D111+'วันที่  13'!D111+'วันที่ 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5"/>
        <v>0</v>
      </c>
      <c r="F111" s="47">
        <f>+'วันที่ 1'!F111+'วันที่ 2'!F111+'วันที่ 3'!F111+'วันที่ 4'!F111+'วันที่ 5'!F111+'วันที่ 6'!F111+'วันที่  7'!F111+'วันที่  8'!F111+'วันที่  9'!F111+'วันที่  10'!F111+'วันที่  11'!F111+'วันที่  12'!F111+'วันที่  13'!F111+'วันที่ 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2">
        <f t="shared" si="6"/>
        <v>0</v>
      </c>
      <c r="H111" s="47">
        <f>+'วันที่ 1'!H111+'วันที่ 2'!H111+'วันที่ 3'!H111+'วันที่ 4'!H111+'วันที่ 5'!H111+'วันที่ 6'!H111+'วันที่  7'!H111+'วันที่  8'!H111+'วันที่  9'!H111+'วันที่  10'!H111+'วันที่  11'!H111+'วันที่  12'!H111+'วันที่  13'!H111+'วันที่ 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15">
        <v>35</v>
      </c>
      <c r="J111" s="47">
        <f>+'วันที่ 1'!J111+'วันที่ 2'!J111+'วันที่ 3'!J111+'วันที่ 4'!J111+'วันที่ 5'!J111+'วันที่ 6'!J111+'วันที่  7'!J111+'วันที่  8'!J111+'วันที่  9'!J111+'วันที่  10'!J111+'วันที่  11'!J111+'วันที่  12'!J111+'วันที่  13'!J111+'วันที่ 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9"/>
      <c r="M111" s="56"/>
      <c r="U111" s="5"/>
    </row>
    <row r="112" spans="1:21">
      <c r="A112" s="10">
        <v>108</v>
      </c>
      <c r="B112" s="19" t="s">
        <v>123</v>
      </c>
      <c r="C112" s="46">
        <f>+'วันที่ 1'!C112</f>
        <v>0</v>
      </c>
      <c r="D112" s="47">
        <f>+'วันที่ 1'!D112+'วันที่ 2'!D112+'วันที่ 3'!D112+'วันที่ 4'!D112+'วันที่ 5'!D112+'วันที่ 6'!D112+'วันที่  7'!D112+'วันที่  8'!D112+'วันที่  9'!D112+'วันที่  10'!D112+'วันที่  11'!D112+'วันที่  12'!D112+'วันที่  13'!D112+'วันที่ 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5"/>
        <v>0</v>
      </c>
      <c r="F112" s="47">
        <f>+'วันที่ 1'!F112+'วันที่ 2'!F112+'วันที่ 3'!F112+'วันที่ 4'!F112+'วันที่ 5'!F112+'วันที่ 6'!F112+'วันที่  7'!F112+'วันที่  8'!F112+'วันที่  9'!F112+'วันที่  10'!F112+'วันที่  11'!F112+'วันที่  12'!F112+'วันที่  13'!F112+'วันที่ 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2">
        <f t="shared" si="6"/>
        <v>0</v>
      </c>
      <c r="H112" s="47">
        <f>+'วันที่ 1'!H112+'วันที่ 2'!H112+'วันที่ 3'!H112+'วันที่ 4'!H112+'วันที่ 5'!H112+'วันที่ 6'!H112+'วันที่  7'!H112+'วันที่  8'!H112+'วันที่  9'!H112+'วันที่  10'!H112+'วันที่  11'!H112+'วันที่  12'!H112+'วันที่  13'!H112+'วันที่ 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15">
        <v>35</v>
      </c>
      <c r="J112" s="47">
        <f>+'วันที่ 1'!J112+'วันที่ 2'!J112+'วันที่ 3'!J112+'วันที่ 4'!J112+'วันที่ 5'!J112+'วันที่ 6'!J112+'วันที่  7'!J112+'วันที่  8'!J112+'วันที่  9'!J112+'วันที่  10'!J112+'วันที่  11'!J112+'วันที่  12'!J112+'วันที่  13'!J112+'วันที่ 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9"/>
      <c r="M112" s="56"/>
      <c r="U112" s="5"/>
    </row>
    <row r="113" spans="1:21">
      <c r="A113" s="10">
        <v>109</v>
      </c>
      <c r="B113" s="19" t="s">
        <v>124</v>
      </c>
      <c r="C113" s="46">
        <f>+'วันที่ 1'!C113</f>
        <v>0</v>
      </c>
      <c r="D113" s="47">
        <f>+'วันที่ 1'!D113+'วันที่ 2'!D113+'วันที่ 3'!D113+'วันที่ 4'!D113+'วันที่ 5'!D113+'วันที่ 6'!D113+'วันที่  7'!D113+'วันที่  8'!D113+'วันที่  9'!D113+'วันที่  10'!D113+'วันที่  11'!D113+'วันที่  12'!D113+'วันที่  13'!D113+'วันที่ 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5"/>
        <v>0</v>
      </c>
      <c r="F113" s="47">
        <f>+'วันที่ 1'!F113+'วันที่ 2'!F113+'วันที่ 3'!F113+'วันที่ 4'!F113+'วันที่ 5'!F113+'วันที่ 6'!F113+'วันที่  7'!F113+'วันที่  8'!F113+'วันที่  9'!F113+'วันที่  10'!F113+'วันที่  11'!F113+'วันที่  12'!F113+'วันที่  13'!F113+'วันที่ 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2">
        <f t="shared" si="6"/>
        <v>0</v>
      </c>
      <c r="H113" s="47">
        <f>+'วันที่ 1'!H113+'วันที่ 2'!H113+'วันที่ 3'!H113+'วันที่ 4'!H113+'วันที่ 5'!H113+'วันที่ 6'!H113+'วันที่  7'!H113+'วันที่  8'!H113+'วันที่  9'!H113+'วันที่  10'!H113+'วันที่  11'!H113+'วันที่  12'!H113+'วันที่  13'!H113+'วันที่ 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15">
        <v>35</v>
      </c>
      <c r="J113" s="47">
        <f>+'วันที่ 1'!J113+'วันที่ 2'!J113+'วันที่ 3'!J113+'วันที่ 4'!J113+'วันที่ 5'!J113+'วันที่ 6'!J113+'วันที่  7'!J113+'วันที่  8'!J113+'วันที่  9'!J113+'วันที่  10'!J113+'วันที่  11'!J113+'วันที่  12'!J113+'วันที่  13'!J113+'วันที่ 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9"/>
      <c r="M113" s="56"/>
      <c r="U113" s="5"/>
    </row>
    <row r="114" spans="1:21">
      <c r="A114" s="10">
        <v>110</v>
      </c>
      <c r="B114" s="19" t="s">
        <v>125</v>
      </c>
      <c r="C114" s="46">
        <f>+'วันที่ 1'!C114</f>
        <v>0</v>
      </c>
      <c r="D114" s="47">
        <f>+'วันที่ 1'!D114+'วันที่ 2'!D114+'วันที่ 3'!D114+'วันที่ 4'!D114+'วันที่ 5'!D114+'วันที่ 6'!D114+'วันที่  7'!D114+'วันที่  8'!D114+'วันที่  9'!D114+'วันที่  10'!D114+'วันที่  11'!D114+'วันที่  12'!D114+'วันที่  13'!D114+'วันที่ 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5"/>
        <v>0</v>
      </c>
      <c r="F114" s="47">
        <f>+'วันที่ 1'!F114+'วันที่ 2'!F114+'วันที่ 3'!F114+'วันที่ 4'!F114+'วันที่ 5'!F114+'วันที่ 6'!F114+'วันที่  7'!F114+'วันที่  8'!F114+'วันที่  9'!F114+'วันที่  10'!F114+'วันที่  11'!F114+'วันที่  12'!F114+'วันที่  13'!F114+'วันที่ 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2">
        <f t="shared" si="6"/>
        <v>0</v>
      </c>
      <c r="H114" s="47">
        <f>+'วันที่ 1'!H114+'วันที่ 2'!H114+'วันที่ 3'!H114+'วันที่ 4'!H114+'วันที่ 5'!H114+'วันที่ 6'!H114+'วันที่  7'!H114+'วันที่  8'!H114+'วันที่  9'!H114+'วันที่  10'!H114+'วันที่  11'!H114+'วันที่  12'!H114+'วันที่  13'!H114+'วันที่ 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15">
        <v>35</v>
      </c>
      <c r="J114" s="47">
        <f>+'วันที่ 1'!J114+'วันที่ 2'!J114+'วันที่ 3'!J114+'วันที่ 4'!J114+'วันที่ 5'!J114+'วันที่ 6'!J114+'วันที่  7'!J114+'วันที่  8'!J114+'วันที่  9'!J114+'วันที่  10'!J114+'วันที่  11'!J114+'วันที่  12'!J114+'วันที่  13'!J114+'วันที่ 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19"/>
      <c r="M114" s="56"/>
      <c r="U114" s="5"/>
    </row>
    <row r="115" spans="1:21">
      <c r="A115" s="10">
        <v>111</v>
      </c>
      <c r="B115" s="19" t="s">
        <v>126</v>
      </c>
      <c r="C115" s="46">
        <f>+'วันที่ 1'!C115</f>
        <v>0</v>
      </c>
      <c r="D115" s="47">
        <f>+'วันที่ 1'!D115+'วันที่ 2'!D115+'วันที่ 3'!D115+'วันที่ 4'!D115+'วันที่ 5'!D115+'วันที่ 6'!D115+'วันที่  7'!D115+'วันที่  8'!D115+'วันที่  9'!D115+'วันที่  10'!D115+'วันที่  11'!D115+'วันที่  12'!D115+'วันที่  13'!D115+'วันที่ 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5"/>
        <v>0</v>
      </c>
      <c r="F115" s="47">
        <f>+'วันที่ 1'!F115+'วันที่ 2'!F115+'วันที่ 3'!F115+'วันที่ 4'!F115+'วันที่ 5'!F115+'วันที่ 6'!F115+'วันที่  7'!F115+'วันที่  8'!F115+'วันที่  9'!F115+'วันที่  10'!F115+'วันที่  11'!F115+'วันที่  12'!F115+'วันที่  13'!F115+'วันที่ 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2">
        <f t="shared" si="6"/>
        <v>0</v>
      </c>
      <c r="H115" s="47">
        <f>+'วันที่ 1'!H115+'วันที่ 2'!H115+'วันที่ 3'!H115+'วันที่ 4'!H115+'วันที่ 5'!H115+'วันที่ 6'!H115+'วันที่  7'!H115+'วันที่  8'!H115+'วันที่  9'!H115+'วันที่  10'!H115+'วันที่  11'!H115+'วันที่  12'!H115+'วันที่  13'!H115+'วันที่ 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15">
        <v>50</v>
      </c>
      <c r="J115" s="47">
        <f>+'วันที่ 1'!J115+'วันที่ 2'!J115+'วันที่ 3'!J115+'วันที่ 4'!J115+'วันที่ 5'!J115+'วันที่ 6'!J115+'วันที่  7'!J115+'วันที่  8'!J115+'วันที่  9'!J115+'วันที่  10'!J115+'วันที่  11'!J115+'วันที่  12'!J115+'วันที่  13'!J115+'วันที่ 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9"/>
      <c r="M115" s="56"/>
      <c r="U115" s="5"/>
    </row>
    <row r="116" spans="1:21">
      <c r="A116" s="10">
        <v>112</v>
      </c>
      <c r="B116" s="19" t="s">
        <v>127</v>
      </c>
      <c r="C116" s="46">
        <f>+'วันที่ 1'!C116</f>
        <v>0</v>
      </c>
      <c r="D116" s="47">
        <f>+'วันที่ 1'!D116+'วันที่ 2'!D116+'วันที่ 3'!D116+'วันที่ 4'!D116+'วันที่ 5'!D116+'วันที่ 6'!D116+'วันที่  7'!D116+'วันที่  8'!D116+'วันที่  9'!D116+'วันที่  10'!D116+'วันที่  11'!D116+'วันที่  12'!D116+'วันที่  13'!D116+'วันที่ 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5"/>
        <v>0</v>
      </c>
      <c r="F116" s="47">
        <f>+'วันที่ 1'!F116+'วันที่ 2'!F116+'วันที่ 3'!F116+'วันที่ 4'!F116+'วันที่ 5'!F116+'วันที่ 6'!F116+'วันที่  7'!F116+'วันที่  8'!F116+'วันที่  9'!F116+'วันที่  10'!F116+'วันที่  11'!F116+'วันที่  12'!F116+'วันที่  13'!F116+'วันที่ 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2">
        <f t="shared" si="6"/>
        <v>0</v>
      </c>
      <c r="H116" s="47">
        <f>+'วันที่ 1'!H116+'วันที่ 2'!H116+'วันที่ 3'!H116+'วันที่ 4'!H116+'วันที่ 5'!H116+'วันที่ 6'!H116+'วันที่  7'!H116+'วันที่  8'!H116+'วันที่  9'!H116+'วันที่  10'!H116+'วันที่  11'!H116+'วันที่  12'!H116+'วันที่  13'!H116+'วันที่ 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15">
        <v>50</v>
      </c>
      <c r="J116" s="47">
        <f>+'วันที่ 1'!J116+'วันที่ 2'!J116+'วันที่ 3'!J116+'วันที่ 4'!J116+'วันที่ 5'!J116+'วันที่ 6'!J116+'วันที่  7'!J116+'วันที่  8'!J116+'วันที่  9'!J116+'วันที่  10'!J116+'วันที่  11'!J116+'วันที่  12'!J116+'วันที่  13'!J116+'วันที่ 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9"/>
      <c r="M116" s="56"/>
      <c r="U116" s="5"/>
    </row>
    <row r="117" spans="1:21">
      <c r="A117" s="10">
        <v>113</v>
      </c>
      <c r="B117" s="19" t="s">
        <v>128</v>
      </c>
      <c r="C117" s="46">
        <f>+'วันที่ 1'!C117</f>
        <v>0</v>
      </c>
      <c r="D117" s="47">
        <f>+'วันที่ 1'!D117+'วันที่ 2'!D117+'วันที่ 3'!D117+'วันที่ 4'!D117+'วันที่ 5'!D117+'วันที่ 6'!D117+'วันที่  7'!D117+'วันที่  8'!D117+'วันที่  9'!D117+'วันที่  10'!D117+'วันที่  11'!D117+'วันที่  12'!D117+'วันที่  13'!D117+'วันที่ 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5"/>
        <v>0</v>
      </c>
      <c r="F117" s="47">
        <f>+'วันที่ 1'!F117+'วันที่ 2'!F117+'วันที่ 3'!F117+'วันที่ 4'!F117+'วันที่ 5'!F117+'วันที่ 6'!F117+'วันที่  7'!F117+'วันที่  8'!F117+'วันที่  9'!F117+'วันที่  10'!F117+'วันที่  11'!F117+'วันที่  12'!F117+'วันที่  13'!F117+'วันที่ 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2">
        <f t="shared" si="6"/>
        <v>0</v>
      </c>
      <c r="H117" s="47">
        <f>+'วันที่ 1'!H117+'วันที่ 2'!H117+'วันที่ 3'!H117+'วันที่ 4'!H117+'วันที่ 5'!H117+'วันที่ 6'!H117+'วันที่  7'!H117+'วันที่  8'!H117+'วันที่  9'!H117+'วันที่  10'!H117+'วันที่  11'!H117+'วันที่  12'!H117+'วันที่  13'!H117+'วันที่ 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15">
        <v>50</v>
      </c>
      <c r="J117" s="47">
        <f>+'วันที่ 1'!J117+'วันที่ 2'!J117+'วันที่ 3'!J117+'วันที่ 4'!J117+'วันที่ 5'!J117+'วันที่ 6'!J117+'วันที่  7'!J117+'วันที่  8'!J117+'วันที่  9'!J117+'วันที่  10'!J117+'วันที่  11'!J117+'วันที่  12'!J117+'วันที่  13'!J117+'วันที่ 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9"/>
      <c r="M117" s="56"/>
      <c r="U117" s="5"/>
    </row>
    <row r="118" spans="1:21">
      <c r="A118" s="10">
        <v>114</v>
      </c>
      <c r="B118" s="19" t="s">
        <v>129</v>
      </c>
      <c r="C118" s="46">
        <f>+'วันที่ 1'!C118</f>
        <v>0</v>
      </c>
      <c r="D118" s="47">
        <f>+'วันที่ 1'!D118+'วันที่ 2'!D118+'วันที่ 3'!D118+'วันที่ 4'!D118+'วันที่ 5'!D118+'วันที่ 6'!D118+'วันที่  7'!D118+'วันที่  8'!D118+'วันที่  9'!D118+'วันที่  10'!D118+'วันที่  11'!D118+'วันที่  12'!D118+'วันที่  13'!D118+'วันที่ 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5"/>
        <v>0</v>
      </c>
      <c r="F118" s="47">
        <f>+'วันที่ 1'!F118+'วันที่ 2'!F118+'วันที่ 3'!F118+'วันที่ 4'!F118+'วันที่ 5'!F118+'วันที่ 6'!F118+'วันที่  7'!F118+'วันที่  8'!F118+'วันที่  9'!F118+'วันที่  10'!F118+'วันที่  11'!F118+'วันที่  12'!F118+'วันที่  13'!F118+'วันที่ 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2">
        <f t="shared" si="6"/>
        <v>0</v>
      </c>
      <c r="H118" s="47">
        <f>+'วันที่ 1'!H118+'วันที่ 2'!H118+'วันที่ 3'!H118+'วันที่ 4'!H118+'วันที่ 5'!H118+'วันที่ 6'!H118+'วันที่  7'!H118+'วันที่  8'!H118+'วันที่  9'!H118+'วันที่  10'!H118+'วันที่  11'!H118+'วันที่  12'!H118+'วันที่  13'!H118+'วันที่ 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15">
        <v>50</v>
      </c>
      <c r="J118" s="47">
        <f>+'วันที่ 1'!J118+'วันที่ 2'!J118+'วันที่ 3'!J118+'วันที่ 4'!J118+'วันที่ 5'!J118+'วันที่ 6'!J118+'วันที่  7'!J118+'วันที่  8'!J118+'วันที่  9'!J118+'วันที่  10'!J118+'วันที่  11'!J118+'วันที่  12'!J118+'วันที่  13'!J118+'วันที่ 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9"/>
      <c r="M118" s="56"/>
      <c r="U118" s="5"/>
    </row>
    <row r="119" spans="1:21">
      <c r="A119" s="10">
        <v>115</v>
      </c>
      <c r="B119" s="19" t="s">
        <v>130</v>
      </c>
      <c r="C119" s="46">
        <f>+'วันที่ 1'!C119</f>
        <v>0</v>
      </c>
      <c r="D119" s="47">
        <f>+'วันที่ 1'!D119+'วันที่ 2'!D119+'วันที่ 3'!D119+'วันที่ 4'!D119+'วันที่ 5'!D119+'วันที่ 6'!D119+'วันที่  7'!D119+'วันที่  8'!D119+'วันที่  9'!D119+'วันที่  10'!D119+'วันที่  11'!D119+'วันที่  12'!D119+'วันที่  13'!D119+'วันที่ 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5"/>
        <v>0</v>
      </c>
      <c r="F119" s="47">
        <f>+'วันที่ 1'!F119+'วันที่ 2'!F119+'วันที่ 3'!F119+'วันที่ 4'!F119+'วันที่ 5'!F119+'วันที่ 6'!F119+'วันที่  7'!F119+'วันที่  8'!F119+'วันที่  9'!F119+'วันที่  10'!F119+'วันที่  11'!F119+'วันที่  12'!F119+'วันที่  13'!F119+'วันที่ 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2">
        <f t="shared" si="6"/>
        <v>0</v>
      </c>
      <c r="H119" s="47">
        <f>+'วันที่ 1'!H119+'วันที่ 2'!H119+'วันที่ 3'!H119+'วันที่ 4'!H119+'วันที่ 5'!H119+'วันที่ 6'!H119+'วันที่  7'!H119+'วันที่  8'!H119+'วันที่  9'!H119+'วันที่  10'!H119+'วันที่  11'!H119+'วันที่  12'!H119+'วันที่  13'!H119+'วันที่ 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15">
        <v>50</v>
      </c>
      <c r="J119" s="47">
        <f>+'วันที่ 1'!J119+'วันที่ 2'!J119+'วันที่ 3'!J119+'วันที่ 4'!J119+'วันที่ 5'!J119+'วันที่ 6'!J119+'วันที่  7'!J119+'วันที่  8'!J119+'วันที่  9'!J119+'วันที่  10'!J119+'วันที่  11'!J119+'วันที่  12'!J119+'วันที่  13'!J119+'วันที่ 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9"/>
      <c r="M119" s="56"/>
      <c r="U119" s="5"/>
    </row>
    <row r="120" spans="1:21">
      <c r="A120" s="10">
        <v>116</v>
      </c>
      <c r="B120" s="19" t="s">
        <v>131</v>
      </c>
      <c r="C120" s="46">
        <f>+'วันที่ 1'!C120</f>
        <v>0</v>
      </c>
      <c r="D120" s="47">
        <f>+'วันที่ 1'!D120+'วันที่ 2'!D120+'วันที่ 3'!D120+'วันที่ 4'!D120+'วันที่ 5'!D120+'วันที่ 6'!D120+'วันที่  7'!D120+'วันที่  8'!D120+'วันที่  9'!D120+'วันที่  10'!D120+'วันที่  11'!D120+'วันที่  12'!D120+'วันที่  13'!D120+'วันที่ 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5"/>
        <v>0</v>
      </c>
      <c r="F120" s="47">
        <f>+'วันที่ 1'!F120+'วันที่ 2'!F120+'วันที่ 3'!F120+'วันที่ 4'!F120+'วันที่ 5'!F120+'วันที่ 6'!F120+'วันที่  7'!F120+'วันที่  8'!F120+'วันที่  9'!F120+'วันที่  10'!F120+'วันที่  11'!F120+'วันที่  12'!F120+'วันที่  13'!F120+'วันที่ 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2">
        <f t="shared" si="6"/>
        <v>0</v>
      </c>
      <c r="H120" s="47">
        <f>+'วันที่ 1'!H120+'วันที่ 2'!H120+'วันที่ 3'!H120+'วันที่ 4'!H120+'วันที่ 5'!H120+'วันที่ 6'!H120+'วันที่  7'!H120+'วันที่  8'!H120+'วันที่  9'!H120+'วันที่  10'!H120+'วันที่  11'!H120+'วันที่  12'!H120+'วันที่  13'!H120+'วันที่ 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15">
        <v>50</v>
      </c>
      <c r="J120" s="47">
        <f>+'วันที่ 1'!J120+'วันที่ 2'!J120+'วันที่ 3'!J120+'วันที่ 4'!J120+'วันที่ 5'!J120+'วันที่ 6'!J120+'วันที่  7'!J120+'วันที่  8'!J120+'วันที่  9'!J120+'วันที่  10'!J120+'วันที่  11'!J120+'วันที่  12'!J120+'วันที่  13'!J120+'วันที่ 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9"/>
      <c r="M120" s="56"/>
      <c r="U120" s="5"/>
    </row>
    <row r="121" spans="1:21">
      <c r="A121" s="10">
        <v>117</v>
      </c>
      <c r="B121" s="19" t="s">
        <v>132</v>
      </c>
      <c r="C121" s="46">
        <f>+'วันที่ 1'!C121</f>
        <v>0</v>
      </c>
      <c r="D121" s="47">
        <f>+'วันที่ 1'!D121+'วันที่ 2'!D121+'วันที่ 3'!D121+'วันที่ 4'!D121+'วันที่ 5'!D121+'วันที่ 6'!D121+'วันที่  7'!D121+'วันที่  8'!D121+'วันที่  9'!D121+'วันที่  10'!D121+'วันที่  11'!D121+'วันที่  12'!D121+'วันที่  13'!D121+'วันที่ 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5"/>
        <v>0</v>
      </c>
      <c r="F121" s="47">
        <f>+'วันที่ 1'!F121+'วันที่ 2'!F121+'วันที่ 3'!F121+'วันที่ 4'!F121+'วันที่ 5'!F121+'วันที่ 6'!F121+'วันที่  7'!F121+'วันที่  8'!F121+'วันที่  9'!F121+'วันที่  10'!F121+'วันที่  11'!F121+'วันที่  12'!F121+'วันที่  13'!F121+'วันที่ 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2">
        <f t="shared" si="6"/>
        <v>0</v>
      </c>
      <c r="H121" s="47">
        <f>+'วันที่ 1'!H121+'วันที่ 2'!H121+'วันที่ 3'!H121+'วันที่ 4'!H121+'วันที่ 5'!H121+'วันที่ 6'!H121+'วันที่  7'!H121+'วันที่  8'!H121+'วันที่  9'!H121+'วันที่  10'!H121+'วันที่  11'!H121+'วันที่  12'!H121+'วันที่  13'!H121+'วันที่ 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15">
        <v>40</v>
      </c>
      <c r="J121" s="47">
        <f>+'วันที่ 1'!J121+'วันที่ 2'!J121+'วันที่ 3'!J121+'วันที่ 4'!J121+'วันที่ 5'!J121+'วันที่ 6'!J121+'วันที่  7'!J121+'วันที่  8'!J121+'วันที่  9'!J121+'วันที่  10'!J121+'วันที่  11'!J121+'วันที่  12'!J121+'วันที่  13'!J121+'วันที่ 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9"/>
      <c r="M121" s="56"/>
      <c r="U121" s="5"/>
    </row>
    <row r="122" spans="1:21">
      <c r="A122" s="10">
        <v>118</v>
      </c>
      <c r="B122" s="19" t="s">
        <v>133</v>
      </c>
      <c r="C122" s="46">
        <f>+'วันที่ 1'!C122</f>
        <v>0</v>
      </c>
      <c r="D122" s="47">
        <f>+'วันที่ 1'!D122+'วันที่ 2'!D122+'วันที่ 3'!D122+'วันที่ 4'!D122+'วันที่ 5'!D122+'วันที่ 6'!D122+'วันที่  7'!D122+'วันที่  8'!D122+'วันที่  9'!D122+'วันที่  10'!D122+'วันที่  11'!D122+'วันที่  12'!D122+'วันที่  13'!D122+'วันที่ 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5"/>
        <v>0</v>
      </c>
      <c r="F122" s="47">
        <f>+'วันที่ 1'!F122+'วันที่ 2'!F122+'วันที่ 3'!F122+'วันที่ 4'!F122+'วันที่ 5'!F122+'วันที่ 6'!F122+'วันที่  7'!F122+'วันที่  8'!F122+'วันที่  9'!F122+'วันที่  10'!F122+'วันที่  11'!F122+'วันที่  12'!F122+'วันที่  13'!F122+'วันที่ 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2">
        <f t="shared" si="6"/>
        <v>0</v>
      </c>
      <c r="H122" s="47">
        <f>+'วันที่ 1'!H122+'วันที่ 2'!H122+'วันที่ 3'!H122+'วันที่ 4'!H122+'วันที่ 5'!H122+'วันที่ 6'!H122+'วันที่  7'!H122+'วันที่  8'!H122+'วันที่  9'!H122+'วันที่  10'!H122+'วันที่  11'!H122+'วันที่  12'!H122+'วันที่  13'!H122+'วันที่ 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15">
        <v>35</v>
      </c>
      <c r="J122" s="47">
        <f>+'วันที่ 1'!J122+'วันที่ 2'!J122+'วันที่ 3'!J122+'วันที่ 4'!J122+'วันที่ 5'!J122+'วันที่ 6'!J122+'วันที่  7'!J122+'วันที่  8'!J122+'วันที่  9'!J122+'วันที่  10'!J122+'วันที่  11'!J122+'วันที่  12'!J122+'วันที่  13'!J122+'วันที่ 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9"/>
      <c r="M122" s="56"/>
      <c r="U122" s="5"/>
    </row>
    <row r="123" spans="1:21">
      <c r="A123" s="10">
        <v>119</v>
      </c>
      <c r="B123" s="19" t="s">
        <v>134</v>
      </c>
      <c r="C123" s="46">
        <f>+'วันที่ 1'!C123</f>
        <v>0</v>
      </c>
      <c r="D123" s="47">
        <f>+'วันที่ 1'!D123+'วันที่ 2'!D123+'วันที่ 3'!D123+'วันที่ 4'!D123+'วันที่ 5'!D123+'วันที่ 6'!D123+'วันที่  7'!D123+'วันที่  8'!D123+'วันที่  9'!D123+'วันที่  10'!D123+'วันที่  11'!D123+'วันที่  12'!D123+'วันที่  13'!D123+'วันที่ 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5"/>
        <v>0</v>
      </c>
      <c r="F123" s="47">
        <f>+'วันที่ 1'!F123+'วันที่ 2'!F123+'วันที่ 3'!F123+'วันที่ 4'!F123+'วันที่ 5'!F123+'วันที่ 6'!F123+'วันที่  7'!F123+'วันที่  8'!F123+'วันที่  9'!F123+'วันที่  10'!F123+'วันที่  11'!F123+'วันที่  12'!F123+'วันที่  13'!F123+'วันที่ 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2">
        <f t="shared" si="6"/>
        <v>0</v>
      </c>
      <c r="H123" s="47">
        <f>+'วันที่ 1'!H123+'วันที่ 2'!H123+'วันที่ 3'!H123+'วันที่ 4'!H123+'วันที่ 5'!H123+'วันที่ 6'!H123+'วันที่  7'!H123+'วันที่  8'!H123+'วันที่  9'!H123+'วันที่  10'!H123+'วันที่  11'!H123+'วันที่  12'!H123+'วันที่  13'!H123+'วันที่ 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15">
        <v>40</v>
      </c>
      <c r="J123" s="47">
        <f>+'วันที่ 1'!J123+'วันที่ 2'!J123+'วันที่ 3'!J123+'วันที่ 4'!J123+'วันที่ 5'!J123+'วันที่ 6'!J123+'วันที่  7'!J123+'วันที่  8'!J123+'วันที่  9'!J123+'วันที่  10'!J123+'วันที่  11'!J123+'วันที่  12'!J123+'วันที่  13'!J123+'วันที่ 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9"/>
      <c r="M123" s="56"/>
      <c r="U123" s="5"/>
    </row>
    <row r="124" spans="1:21">
      <c r="A124" s="10">
        <v>120</v>
      </c>
      <c r="B124" s="19" t="s">
        <v>135</v>
      </c>
      <c r="C124" s="46">
        <f>+'วันที่ 1'!C124</f>
        <v>0</v>
      </c>
      <c r="D124" s="47">
        <f>+'วันที่ 1'!D124+'วันที่ 2'!D124+'วันที่ 3'!D124+'วันที่ 4'!D124+'วันที่ 5'!D124+'วันที่ 6'!D124+'วันที่  7'!D124+'วันที่  8'!D124+'วันที่  9'!D124+'วันที่  10'!D124+'วันที่  11'!D124+'วันที่  12'!D124+'วันที่  13'!D124+'วันที่ 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5"/>
        <v>0</v>
      </c>
      <c r="F124" s="47">
        <f>+'วันที่ 1'!F124+'วันที่ 2'!F124+'วันที่ 3'!F124+'วันที่ 4'!F124+'วันที่ 5'!F124+'วันที่ 6'!F124+'วันที่  7'!F124+'วันที่  8'!F124+'วันที่  9'!F124+'วันที่  10'!F124+'วันที่  11'!F124+'วันที่  12'!F124+'วันที่  13'!F124+'วันที่ 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2">
        <f t="shared" si="6"/>
        <v>0</v>
      </c>
      <c r="H124" s="47">
        <f>+'วันที่ 1'!H124+'วันที่ 2'!H124+'วันที่ 3'!H124+'วันที่ 4'!H124+'วันที่ 5'!H124+'วันที่ 6'!H124+'วันที่  7'!H124+'วันที่  8'!H124+'วันที่  9'!H124+'วันที่  10'!H124+'วันที่  11'!H124+'วันที่  12'!H124+'วันที่  13'!H124+'วันที่ 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15">
        <v>40</v>
      </c>
      <c r="J124" s="47">
        <f>+'วันที่ 1'!J124+'วันที่ 2'!J124+'วันที่ 3'!J124+'วันที่ 4'!J124+'วันที่ 5'!J124+'วันที่ 6'!J124+'วันที่  7'!J124+'วันที่  8'!J124+'วันที่  9'!J124+'วันที่  10'!J124+'วันที่  11'!J124+'วันที่  12'!J124+'วันที่  13'!J124+'วันที่ 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9"/>
      <c r="M124" s="56"/>
      <c r="U124" s="5"/>
    </row>
    <row r="125" spans="1:21">
      <c r="A125" s="10">
        <v>121</v>
      </c>
      <c r="B125" s="19" t="s">
        <v>136</v>
      </c>
      <c r="C125" s="46">
        <f>+'วันที่ 1'!C125</f>
        <v>0</v>
      </c>
      <c r="D125" s="47">
        <f>+'วันที่ 1'!D125+'วันที่ 2'!D125+'วันที่ 3'!D125+'วันที่ 4'!D125+'วันที่ 5'!D125+'วันที่ 6'!D125+'วันที่  7'!D125+'วันที่  8'!D125+'วันที่  9'!D125+'วันที่  10'!D125+'วันที่  11'!D125+'วันที่  12'!D125+'วันที่  13'!D125+'วันที่ 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5"/>
        <v>0</v>
      </c>
      <c r="F125" s="47">
        <f>+'วันที่ 1'!F125+'วันที่ 2'!F125+'วันที่ 3'!F125+'วันที่ 4'!F125+'วันที่ 5'!F125+'วันที่ 6'!F125+'วันที่  7'!F125+'วันที่  8'!F125+'วันที่  9'!F125+'วันที่  10'!F125+'วันที่  11'!F125+'วันที่  12'!F125+'วันที่  13'!F125+'วันที่ 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2">
        <f t="shared" si="6"/>
        <v>0</v>
      </c>
      <c r="H125" s="47">
        <f>+'วันที่ 1'!H125+'วันที่ 2'!H125+'วันที่ 3'!H125+'วันที่ 4'!H125+'วันที่ 5'!H125+'วันที่ 6'!H125+'วันที่  7'!H125+'วันที่  8'!H125+'วันที่  9'!H125+'วันที่  10'!H125+'วันที่  11'!H125+'วันที่  12'!H125+'วันที่  13'!H125+'วันที่ 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15">
        <v>30</v>
      </c>
      <c r="J125" s="47">
        <f>+'วันที่ 1'!J125+'วันที่ 2'!J125+'วันที่ 3'!J125+'วันที่ 4'!J125+'วันที่ 5'!J125+'วันที่ 6'!J125+'วันที่  7'!J125+'วันที่  8'!J125+'วันที่  9'!J125+'วันที่  10'!J125+'วันที่  11'!J125+'วันที่  12'!J125+'วันที่  13'!J125+'วันที่ 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9"/>
      <c r="M125" s="56"/>
      <c r="U125" s="5"/>
    </row>
    <row r="126" spans="1:21">
      <c r="A126" s="10">
        <v>122</v>
      </c>
      <c r="B126" s="19" t="s">
        <v>137</v>
      </c>
      <c r="C126" s="46">
        <f>+'วันที่ 1'!C126</f>
        <v>0</v>
      </c>
      <c r="D126" s="47">
        <f>+'วันที่ 1'!D126+'วันที่ 2'!D126+'วันที่ 3'!D126+'วันที่ 4'!D126+'วันที่ 5'!D126+'วันที่ 6'!D126+'วันที่  7'!D126+'วันที่  8'!D126+'วันที่  9'!D126+'วันที่  10'!D126+'วันที่  11'!D126+'วันที่  12'!D126+'วันที่  13'!D126+'วันที่ 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5"/>
        <v>0</v>
      </c>
      <c r="F126" s="47">
        <f>+'วันที่ 1'!F126+'วันที่ 2'!F126+'วันที่ 3'!F126+'วันที่ 4'!F126+'วันที่ 5'!F126+'วันที่ 6'!F126+'วันที่  7'!F126+'วันที่  8'!F126+'วันที่  9'!F126+'วันที่  10'!F126+'วันที่  11'!F126+'วันที่  12'!F126+'วันที่  13'!F126+'วันที่ 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2">
        <f t="shared" si="6"/>
        <v>0</v>
      </c>
      <c r="H126" s="47">
        <f>+'วันที่ 1'!H126+'วันที่ 2'!H126+'วันที่ 3'!H126+'วันที่ 4'!H126+'วันที่ 5'!H126+'วันที่ 6'!H126+'วันที่  7'!H126+'วันที่  8'!H126+'วันที่  9'!H126+'วันที่  10'!H126+'วันที่  11'!H126+'วันที่  12'!H126+'วันที่  13'!H126+'วันที่ 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15">
        <v>40</v>
      </c>
      <c r="J126" s="47">
        <f>+'วันที่ 1'!J126+'วันที่ 2'!J126+'วันที่ 3'!J126+'วันที่ 4'!J126+'วันที่ 5'!J126+'วันที่ 6'!J126+'วันที่  7'!J126+'วันที่  8'!J126+'วันที่  9'!J126+'วันที่  10'!J126+'วันที่  11'!J126+'วันที่  12'!J126+'วันที่  13'!J126+'วันที่ 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9"/>
      <c r="M126" s="56"/>
      <c r="U126" s="5"/>
    </row>
    <row r="127" spans="1:21">
      <c r="A127" s="10">
        <v>123</v>
      </c>
      <c r="B127" s="19" t="s">
        <v>138</v>
      </c>
      <c r="C127" s="46">
        <f>+'วันที่ 1'!C127</f>
        <v>0</v>
      </c>
      <c r="D127" s="47">
        <f>+'วันที่ 1'!D127+'วันที่ 2'!D127+'วันที่ 3'!D127+'วันที่ 4'!D127+'วันที่ 5'!D127+'วันที่ 6'!D127+'วันที่  7'!D127+'วันที่  8'!D127+'วันที่  9'!D127+'วันที่  10'!D127+'วันที่  11'!D127+'วันที่  12'!D127+'วันที่  13'!D127+'วันที่ 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5"/>
        <v>0</v>
      </c>
      <c r="F127" s="47">
        <f>+'วันที่ 1'!F127+'วันที่ 2'!F127+'วันที่ 3'!F127+'วันที่ 4'!F127+'วันที่ 5'!F127+'วันที่ 6'!F127+'วันที่  7'!F127+'วันที่  8'!F127+'วันที่  9'!F127+'วันที่  10'!F127+'วันที่  11'!F127+'วันที่  12'!F127+'วันที่  13'!F127+'วันที่ 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2">
        <f t="shared" si="6"/>
        <v>0</v>
      </c>
      <c r="H127" s="47">
        <f>+'วันที่ 1'!H127+'วันที่ 2'!H127+'วันที่ 3'!H127+'วันที่ 4'!H127+'วันที่ 5'!H127+'วันที่ 6'!H127+'วันที่  7'!H127+'วันที่  8'!H127+'วันที่  9'!H127+'วันที่  10'!H127+'วันที่  11'!H127+'วันที่  12'!H127+'วันที่  13'!H127+'วันที่ 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15">
        <v>20</v>
      </c>
      <c r="J127" s="47">
        <f>+'วันที่ 1'!J127+'วันที่ 2'!J127+'วันที่ 3'!J127+'วันที่ 4'!J127+'วันที่ 5'!J127+'วันที่ 6'!J127+'วันที่  7'!J127+'วันที่  8'!J127+'วันที่  9'!J127+'วันที่  10'!J127+'วันที่  11'!J127+'วันที่  12'!J127+'วันที่  13'!J127+'วันที่ 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9"/>
      <c r="M127" s="56"/>
      <c r="U127" s="5"/>
    </row>
    <row r="128" spans="1:21">
      <c r="A128" s="10">
        <v>124</v>
      </c>
      <c r="B128" s="19" t="s">
        <v>139</v>
      </c>
      <c r="C128" s="46">
        <f>+'วันที่ 1'!C128</f>
        <v>0</v>
      </c>
      <c r="D128" s="47">
        <f>+'วันที่ 1'!D128+'วันที่ 2'!D128+'วันที่ 3'!D128+'วันที่ 4'!D128+'วันที่ 5'!D128+'วันที่ 6'!D128+'วันที่  7'!D128+'วันที่  8'!D128+'วันที่  9'!D128+'วันที่  10'!D128+'วันที่  11'!D128+'วันที่  12'!D128+'วันที่  13'!D128+'วันที่ 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5"/>
        <v>0</v>
      </c>
      <c r="F128" s="47">
        <f>+'วันที่ 1'!F128+'วันที่ 2'!F128+'วันที่ 3'!F128+'วันที่ 4'!F128+'วันที่ 5'!F128+'วันที่ 6'!F128+'วันที่  7'!F128+'วันที่  8'!F128+'วันที่  9'!F128+'วันที่  10'!F128+'วันที่  11'!F128+'วันที่  12'!F128+'วันที่  13'!F128+'วันที่ 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2">
        <f t="shared" si="6"/>
        <v>0</v>
      </c>
      <c r="H128" s="47">
        <f>+'วันที่ 1'!H128+'วันที่ 2'!H128+'วันที่ 3'!H128+'วันที่ 4'!H128+'วันที่ 5'!H128+'วันที่ 6'!H128+'วันที่  7'!H128+'วันที่  8'!H128+'วันที่  9'!H128+'วันที่  10'!H128+'วันที่  11'!H128+'วันที่  12'!H128+'วันที่  13'!H128+'วันที่ 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15">
        <v>35</v>
      </c>
      <c r="J128" s="47">
        <f>+'วันที่ 1'!J128+'วันที่ 2'!J128+'วันที่ 3'!J128+'วันที่ 4'!J128+'วันที่ 5'!J128+'วันที่ 6'!J128+'วันที่  7'!J128+'วันที่  8'!J128+'วันที่  9'!J128+'วันที่  10'!J128+'วันที่  11'!J128+'วันที่  12'!J128+'วันที่  13'!J128+'วันที่ 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9"/>
      <c r="M128" s="56"/>
      <c r="U128" s="5"/>
    </row>
    <row r="129" spans="1:21">
      <c r="A129" s="10">
        <v>125</v>
      </c>
      <c r="B129" s="19" t="s">
        <v>140</v>
      </c>
      <c r="C129" s="46">
        <f>+'วันที่ 1'!C129</f>
        <v>0</v>
      </c>
      <c r="D129" s="47">
        <f>+'วันที่ 1'!D129+'วันที่ 2'!D129+'วันที่ 3'!D129+'วันที่ 4'!D129+'วันที่ 5'!D129+'วันที่ 6'!D129+'วันที่  7'!D129+'วันที่  8'!D129+'วันที่  9'!D129+'วันที่  10'!D129+'วันที่  11'!D129+'วันที่  12'!D129+'วันที่  13'!D129+'วันที่ 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5"/>
        <v>0</v>
      </c>
      <c r="F129" s="47">
        <f>+'วันที่ 1'!F129+'วันที่ 2'!F129+'วันที่ 3'!F129+'วันที่ 4'!F129+'วันที่ 5'!F129+'วันที่ 6'!F129+'วันที่  7'!F129+'วันที่  8'!F129+'วันที่  9'!F129+'วันที่  10'!F129+'วันที่  11'!F129+'วันที่  12'!F129+'วันที่  13'!F129+'วันที่ 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2">
        <f t="shared" si="6"/>
        <v>0</v>
      </c>
      <c r="H129" s="47">
        <f>+'วันที่ 1'!H129+'วันที่ 2'!H129+'วันที่ 3'!H129+'วันที่ 4'!H129+'วันที่ 5'!H129+'วันที่ 6'!H129+'วันที่  7'!H129+'วันที่  8'!H129+'วันที่  9'!H129+'วันที่  10'!H129+'วันที่  11'!H129+'วันที่  12'!H129+'วันที่  13'!H129+'วันที่ 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15">
        <v>40</v>
      </c>
      <c r="J129" s="47">
        <f>+'วันที่ 1'!J129+'วันที่ 2'!J129+'วันที่ 3'!J129+'วันที่ 4'!J129+'วันที่ 5'!J129+'วันที่ 6'!J129+'วันที่  7'!J129+'วันที่  8'!J129+'วันที่  9'!J129+'วันที่  10'!J129+'วันที่  11'!J129+'วันที่  12'!J129+'วันที่  13'!J129+'วันที่ 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9"/>
      <c r="M129" s="56"/>
      <c r="U129" s="5"/>
    </row>
    <row r="130" spans="1:21">
      <c r="A130" s="10">
        <v>126</v>
      </c>
      <c r="B130" s="19" t="s">
        <v>141</v>
      </c>
      <c r="C130" s="46">
        <f>+'วันที่ 1'!C130</f>
        <v>0</v>
      </c>
      <c r="D130" s="47">
        <f>+'วันที่ 1'!D130+'วันที่ 2'!D130+'วันที่ 3'!D130+'วันที่ 4'!D130+'วันที่ 5'!D130+'วันที่ 6'!D130+'วันที่  7'!D130+'วันที่  8'!D130+'วันที่  9'!D130+'วันที่  10'!D130+'วันที่  11'!D130+'วันที่  12'!D130+'วันที่  13'!D130+'วันที่ 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5"/>
        <v>0</v>
      </c>
      <c r="F130" s="47">
        <f>+'วันที่ 1'!F130+'วันที่ 2'!F130+'วันที่ 3'!F130+'วันที่ 4'!F130+'วันที่ 5'!F130+'วันที่ 6'!F130+'วันที่  7'!F130+'วันที่  8'!F130+'วันที่  9'!F130+'วันที่  10'!F130+'วันที่  11'!F130+'วันที่  12'!F130+'วันที่  13'!F130+'วันที่ 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2">
        <f t="shared" si="6"/>
        <v>0</v>
      </c>
      <c r="H130" s="47">
        <f>+'วันที่ 1'!H130+'วันที่ 2'!H130+'วันที่ 3'!H130+'วันที่ 4'!H130+'วันที่ 5'!H130+'วันที่ 6'!H130+'วันที่  7'!H130+'วันที่  8'!H130+'วันที่  9'!H130+'วันที่  10'!H130+'วันที่  11'!H130+'วันที่  12'!H130+'วันที่  13'!H130+'วันที่ 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15">
        <v>50</v>
      </c>
      <c r="J130" s="47">
        <f>+'วันที่ 1'!J130+'วันที่ 2'!J130+'วันที่ 3'!J130+'วันที่ 4'!J130+'วันที่ 5'!J130+'วันที่ 6'!J130+'วันที่  7'!J130+'วันที่  8'!J130+'วันที่  9'!J130+'วันที่  10'!J130+'วันที่  11'!J130+'วันที่  12'!J130+'วันที่  13'!J130+'วันที่ 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9"/>
      <c r="M130" s="56"/>
      <c r="U130" s="5"/>
    </row>
    <row r="131" spans="1:21">
      <c r="A131" s="10">
        <v>127</v>
      </c>
      <c r="B131" s="19" t="s">
        <v>142</v>
      </c>
      <c r="C131" s="46">
        <f>+'วันที่ 1'!C131</f>
        <v>0</v>
      </c>
      <c r="D131" s="47">
        <f>+'วันที่ 1'!D131+'วันที่ 2'!D131+'วันที่ 3'!D131+'วันที่ 4'!D131+'วันที่ 5'!D131+'วันที่ 6'!D131+'วันที่  7'!D131+'วันที่  8'!D131+'วันที่  9'!D131+'วันที่  10'!D131+'วันที่  11'!D131+'วันที่  12'!D131+'วันที่  13'!D131+'วันที่ 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5"/>
        <v>0</v>
      </c>
      <c r="F131" s="47">
        <f>+'วันที่ 1'!F131+'วันที่ 2'!F131+'วันที่ 3'!F131+'วันที่ 4'!F131+'วันที่ 5'!F131+'วันที่ 6'!F131+'วันที่  7'!F131+'วันที่  8'!F131+'วันที่  9'!F131+'วันที่  10'!F131+'วันที่  11'!F131+'วันที่  12'!F131+'วันที่  13'!F131+'วันที่ 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2">
        <f t="shared" si="6"/>
        <v>0</v>
      </c>
      <c r="H131" s="47">
        <f>+'วันที่ 1'!H131+'วันที่ 2'!H131+'วันที่ 3'!H131+'วันที่ 4'!H131+'วันที่ 5'!H131+'วันที่ 6'!H131+'วันที่  7'!H131+'วันที่  8'!H131+'วันที่  9'!H131+'วันที่  10'!H131+'วันที่  11'!H131+'วันที่  12'!H131+'วันที่  13'!H131+'วันที่ 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15">
        <v>55</v>
      </c>
      <c r="J131" s="47">
        <f>+'วันที่ 1'!J131+'วันที่ 2'!J131+'วันที่ 3'!J131+'วันที่ 4'!J131+'วันที่ 5'!J131+'วันที่ 6'!J131+'วันที่  7'!J131+'วันที่  8'!J131+'วันที่  9'!J131+'วันที่  10'!J131+'วันที่  11'!J131+'วันที่  12'!J131+'วันที่  13'!J131+'วันที่ 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9"/>
      <c r="M131" s="56"/>
      <c r="U131" s="5"/>
    </row>
    <row r="132" spans="1:21">
      <c r="A132" s="10">
        <v>128</v>
      </c>
      <c r="B132" s="19" t="s">
        <v>143</v>
      </c>
      <c r="C132" s="46">
        <f>+'วันที่ 1'!C132</f>
        <v>0</v>
      </c>
      <c r="D132" s="47">
        <f>+'วันที่ 1'!D132+'วันที่ 2'!D132+'วันที่ 3'!D132+'วันที่ 4'!D132+'วันที่ 5'!D132+'วันที่ 6'!D132+'วันที่  7'!D132+'วันที่  8'!D132+'วันที่  9'!D132+'วันที่  10'!D132+'วันที่  11'!D132+'วันที่  12'!D132+'วันที่  13'!D132+'วันที่ 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5"/>
        <v>0</v>
      </c>
      <c r="F132" s="47">
        <f>+'วันที่ 1'!F132+'วันที่ 2'!F132+'วันที่ 3'!F132+'วันที่ 4'!F132+'วันที่ 5'!F132+'วันที่ 6'!F132+'วันที่  7'!F132+'วันที่  8'!F132+'วันที่  9'!F132+'วันที่  10'!F132+'วันที่  11'!F132+'วันที่  12'!F132+'วันที่  13'!F132+'วันที่ 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2">
        <f t="shared" si="6"/>
        <v>0</v>
      </c>
      <c r="H132" s="47">
        <f>+'วันที่ 1'!H132+'วันที่ 2'!H132+'วันที่ 3'!H132+'วันที่ 4'!H132+'วันที่ 5'!H132+'วันที่ 6'!H132+'วันที่  7'!H132+'วันที่  8'!H132+'วันที่  9'!H132+'วันที่  10'!H132+'วันที่  11'!H132+'วันที่  12'!H132+'วันที่  13'!H132+'วันที่ 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15">
        <v>55</v>
      </c>
      <c r="J132" s="47">
        <f>+'วันที่ 1'!J132+'วันที่ 2'!J132+'วันที่ 3'!J132+'วันที่ 4'!J132+'วันที่ 5'!J132+'วันที่ 6'!J132+'วันที่  7'!J132+'วันที่  8'!J132+'วันที่  9'!J132+'วันที่  10'!J132+'วันที่  11'!J132+'วันที่  12'!J132+'วันที่  13'!J132+'วันที่ 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9"/>
      <c r="M132" s="56"/>
      <c r="U132" s="5"/>
    </row>
    <row r="133" spans="1:21">
      <c r="A133" s="10">
        <v>129</v>
      </c>
      <c r="B133" s="19" t="s">
        <v>144</v>
      </c>
      <c r="C133" s="46">
        <f>+'วันที่ 1'!C133</f>
        <v>0</v>
      </c>
      <c r="D133" s="47">
        <f>+'วันที่ 1'!D133+'วันที่ 2'!D133+'วันที่ 3'!D133+'วันที่ 4'!D133+'วันที่ 5'!D133+'วันที่ 6'!D133+'วันที่  7'!D133+'วันที่  8'!D133+'วันที่  9'!D133+'วันที่  10'!D133+'วันที่  11'!D133+'วันที่  12'!D133+'วันที่  13'!D133+'วันที่ 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5"/>
        <v>0</v>
      </c>
      <c r="F133" s="47">
        <f>+'วันที่ 1'!F133+'วันที่ 2'!F133+'วันที่ 3'!F133+'วันที่ 4'!F133+'วันที่ 5'!F133+'วันที่ 6'!F133+'วันที่  7'!F133+'วันที่  8'!F133+'วันที่  9'!F133+'วันที่  10'!F133+'วันที่  11'!F133+'วันที่  12'!F133+'วันที่  13'!F133+'วันที่ 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2">
        <f t="shared" si="6"/>
        <v>0</v>
      </c>
      <c r="H133" s="47">
        <f>+'วันที่ 1'!H133+'วันที่ 2'!H133+'วันที่ 3'!H133+'วันที่ 4'!H133+'วันที่ 5'!H133+'วันที่ 6'!H133+'วันที่  7'!H133+'วันที่  8'!H133+'วันที่  9'!H133+'วันที่  10'!H133+'วันที่  11'!H133+'วันที่  12'!H133+'วันที่  13'!H133+'วันที่ 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15">
        <v>45</v>
      </c>
      <c r="J133" s="47">
        <f>+'วันที่ 1'!J133+'วันที่ 2'!J133+'วันที่ 3'!J133+'วันที่ 4'!J133+'วันที่ 5'!J133+'วันที่ 6'!J133+'วันที่  7'!J133+'วันที่  8'!J133+'วันที่  9'!J133+'วันที่  10'!J133+'วันที่  11'!J133+'วันที่  12'!J133+'วันที่  13'!J133+'วันที่ 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9"/>
      <c r="M133" s="56"/>
      <c r="U133" s="5"/>
    </row>
    <row r="134" spans="1:21">
      <c r="A134" s="10">
        <v>130</v>
      </c>
      <c r="B134" s="19" t="s">
        <v>145</v>
      </c>
      <c r="C134" s="46">
        <f>+'วันที่ 1'!C134</f>
        <v>0</v>
      </c>
      <c r="D134" s="47">
        <f>+'วันที่ 1'!D134+'วันที่ 2'!D134+'วันที่ 3'!D134+'วันที่ 4'!D134+'วันที่ 5'!D134+'วันที่ 6'!D134+'วันที่  7'!D134+'วันที่  8'!D134+'วันที่  9'!D134+'วันที่  10'!D134+'วันที่  11'!D134+'วันที่  12'!D134+'วันที่  13'!D134+'วันที่ 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5"/>
        <v>0</v>
      </c>
      <c r="F134" s="47">
        <f>+'วันที่ 1'!F134+'วันที่ 2'!F134+'วันที่ 3'!F134+'วันที่ 4'!F134+'วันที่ 5'!F134+'วันที่ 6'!F134+'วันที่  7'!F134+'วันที่  8'!F134+'วันที่  9'!F134+'วันที่  10'!F134+'วันที่  11'!F134+'วันที่  12'!F134+'วันที่  13'!F134+'วันที่ 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2">
        <f t="shared" ref="G134:G197" si="7">E134-F134-H134</f>
        <v>0</v>
      </c>
      <c r="H134" s="47">
        <f>+'วันที่ 1'!H134+'วันที่ 2'!H134+'วันที่ 3'!H134+'วันที่ 4'!H134+'วันที่ 5'!H134+'วันที่ 6'!H134+'วันที่  7'!H134+'วันที่  8'!H134+'วันที่  9'!H134+'วันที่  10'!H134+'วันที่  11'!H134+'วันที่  12'!H134+'วันที่  13'!H134+'วันที่ 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15">
        <v>45</v>
      </c>
      <c r="J134" s="47">
        <f>+'วันที่ 1'!J134+'วันที่ 2'!J134+'วันที่ 3'!J134+'วันที่ 4'!J134+'วันที่ 5'!J134+'วันที่ 6'!J134+'วันที่  7'!J134+'วันที่  8'!J134+'วันที่  9'!J134+'วันที่  10'!J134+'วันที่  11'!J134+'วันที่  12'!J134+'วันที่  13'!J134+'วันที่ 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9"/>
      <c r="M134" s="56"/>
      <c r="U134" s="5"/>
    </row>
    <row r="135" spans="1:21">
      <c r="A135" s="10">
        <v>131</v>
      </c>
      <c r="B135" s="19" t="s">
        <v>146</v>
      </c>
      <c r="C135" s="46">
        <f>+'วันที่ 1'!C135</f>
        <v>0</v>
      </c>
      <c r="D135" s="47">
        <f>+'วันที่ 1'!D135+'วันที่ 2'!D135+'วันที่ 3'!D135+'วันที่ 4'!D135+'วันที่ 5'!D135+'วันที่ 6'!D135+'วันที่  7'!D135+'วันที่  8'!D135+'วันที่  9'!D135+'วันที่  10'!D135+'วันที่  11'!D135+'วันที่  12'!D135+'วันที่  13'!D135+'วันที่ 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5"/>
        <v>0</v>
      </c>
      <c r="F135" s="47">
        <f>+'วันที่ 1'!F135+'วันที่ 2'!F135+'วันที่ 3'!F135+'วันที่ 4'!F135+'วันที่ 5'!F135+'วันที่ 6'!F135+'วันที่  7'!F135+'วันที่  8'!F135+'วันที่  9'!F135+'วันที่  10'!F135+'วันที่  11'!F135+'วันที่  12'!F135+'วันที่  13'!F135+'วันที่ 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2">
        <f t="shared" si="7"/>
        <v>0</v>
      </c>
      <c r="H135" s="47">
        <f>+'วันที่ 1'!H135+'วันที่ 2'!H135+'วันที่ 3'!H135+'วันที่ 4'!H135+'วันที่ 5'!H135+'วันที่ 6'!H135+'วันที่  7'!H135+'วันที่  8'!H135+'วันที่  9'!H135+'วันที่  10'!H135+'วันที่  11'!H135+'วันที่  12'!H135+'วันที่  13'!H135+'วันที่ 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15">
        <v>55</v>
      </c>
      <c r="J135" s="47">
        <f>+'วันที่ 1'!J135+'วันที่ 2'!J135+'วันที่ 3'!J135+'วันที่ 4'!J135+'วันที่ 5'!J135+'วันที่ 6'!J135+'วันที่  7'!J135+'วันที่  8'!J135+'วันที่  9'!J135+'วันที่  10'!J135+'วันที่  11'!J135+'วันที่  12'!J135+'วันที่  13'!J135+'วันที่ 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9"/>
      <c r="M135" s="56"/>
      <c r="U135" s="5"/>
    </row>
    <row r="136" spans="1:21">
      <c r="A136" s="10">
        <v>132</v>
      </c>
      <c r="B136" s="19" t="s">
        <v>147</v>
      </c>
      <c r="C136" s="46">
        <f>+'วันที่ 1'!C136</f>
        <v>0</v>
      </c>
      <c r="D136" s="47">
        <f>+'วันที่ 1'!D136+'วันที่ 2'!D136+'วันที่ 3'!D136+'วันที่ 4'!D136+'วันที่ 5'!D136+'วันที่ 6'!D136+'วันที่  7'!D136+'วันที่  8'!D136+'วันที่  9'!D136+'วันที่  10'!D136+'วันที่  11'!D136+'วันที่  12'!D136+'วันที่  13'!D136+'วันที่ 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5"/>
        <v>0</v>
      </c>
      <c r="F136" s="47">
        <f>+'วันที่ 1'!F136+'วันที่ 2'!F136+'วันที่ 3'!F136+'วันที่ 4'!F136+'วันที่ 5'!F136+'วันที่ 6'!F136+'วันที่  7'!F136+'วันที่  8'!F136+'วันที่  9'!F136+'วันที่  10'!F136+'วันที่  11'!F136+'วันที่  12'!F136+'วันที่  13'!F136+'วันที่ 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2">
        <f t="shared" si="7"/>
        <v>0</v>
      </c>
      <c r="H136" s="47">
        <f>+'วันที่ 1'!H136+'วันที่ 2'!H136+'วันที่ 3'!H136+'วันที่ 4'!H136+'วันที่ 5'!H136+'วันที่ 6'!H136+'วันที่  7'!H136+'วันที่  8'!H136+'วันที่  9'!H136+'วันที่  10'!H136+'วันที่  11'!H136+'วันที่  12'!H136+'วันที่  13'!H136+'วันที่ 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15">
        <v>45</v>
      </c>
      <c r="J136" s="47">
        <f>+'วันที่ 1'!J136+'วันที่ 2'!J136+'วันที่ 3'!J136+'วันที่ 4'!J136+'วันที่ 5'!J136+'วันที่ 6'!J136+'วันที่  7'!J136+'วันที่  8'!J136+'วันที่  9'!J136+'วันที่  10'!J136+'วันที่  11'!J136+'วันที่  12'!J136+'วันที่  13'!J136+'วันที่ 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9"/>
      <c r="M136" s="56"/>
      <c r="U136" s="5"/>
    </row>
    <row r="137" spans="1:21">
      <c r="A137" s="10">
        <v>133</v>
      </c>
      <c r="B137" s="19" t="s">
        <v>148</v>
      </c>
      <c r="C137" s="46">
        <f>+'วันที่ 1'!C137</f>
        <v>0</v>
      </c>
      <c r="D137" s="47">
        <f>+'วันที่ 1'!D137+'วันที่ 2'!D137+'วันที่ 3'!D137+'วันที่ 4'!D137+'วันที่ 5'!D137+'วันที่ 6'!D137+'วันที่  7'!D137+'วันที่  8'!D137+'วันที่  9'!D137+'วันที่  10'!D137+'วันที่  11'!D137+'วันที่  12'!D137+'วันที่  13'!D137+'วันที่ 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5"/>
        <v>0</v>
      </c>
      <c r="F137" s="47">
        <f>+'วันที่ 1'!F137+'วันที่ 2'!F137+'วันที่ 3'!F137+'วันที่ 4'!F137+'วันที่ 5'!F137+'วันที่ 6'!F137+'วันที่  7'!F137+'วันที่  8'!F137+'วันที่  9'!F137+'วันที่  10'!F137+'วันที่  11'!F137+'วันที่  12'!F137+'วันที่  13'!F137+'วันที่ 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2">
        <f t="shared" si="7"/>
        <v>0</v>
      </c>
      <c r="H137" s="47">
        <f>+'วันที่ 1'!H137+'วันที่ 2'!H137+'วันที่ 3'!H137+'วันที่ 4'!H137+'วันที่ 5'!H137+'วันที่ 6'!H137+'วันที่  7'!H137+'วันที่  8'!H137+'วันที่  9'!H137+'วันที่  10'!H137+'วันที่  11'!H137+'วันที่  12'!H137+'วันที่  13'!H137+'วันที่ 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15">
        <v>45</v>
      </c>
      <c r="J137" s="47">
        <f>+'วันที่ 1'!J137+'วันที่ 2'!J137+'วันที่ 3'!J137+'วันที่ 4'!J137+'วันที่ 5'!J137+'วันที่ 6'!J137+'วันที่  7'!J137+'วันที่  8'!J137+'วันที่  9'!J137+'วันที่  10'!J137+'วันที่  11'!J137+'วันที่  12'!J137+'วันที่  13'!J137+'วันที่ 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19"/>
      <c r="M137" s="56"/>
      <c r="U137" s="5"/>
    </row>
    <row r="138" spans="1:21">
      <c r="A138" s="10">
        <v>134</v>
      </c>
      <c r="B138" s="19" t="s">
        <v>149</v>
      </c>
      <c r="C138" s="46">
        <f>+'วันที่ 1'!C138</f>
        <v>0</v>
      </c>
      <c r="D138" s="47">
        <f>+'วันที่ 1'!D138+'วันที่ 2'!D138+'วันที่ 3'!D138+'วันที่ 4'!D138+'วันที่ 5'!D138+'วันที่ 6'!D138+'วันที่  7'!D138+'วันที่  8'!D138+'วันที่  9'!D138+'วันที่  10'!D138+'วันที่  11'!D138+'วันที่  12'!D138+'วันที่  13'!D138+'วันที่ 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5"/>
        <v>0</v>
      </c>
      <c r="F138" s="47">
        <f>+'วันที่ 1'!F138+'วันที่ 2'!F138+'วันที่ 3'!F138+'วันที่ 4'!F138+'วันที่ 5'!F138+'วันที่ 6'!F138+'วันที่  7'!F138+'วันที่  8'!F138+'วันที่  9'!F138+'วันที่  10'!F138+'วันที่  11'!F138+'วันที่  12'!F138+'วันที่  13'!F138+'วันที่ 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2">
        <f t="shared" si="7"/>
        <v>0</v>
      </c>
      <c r="H138" s="47">
        <f>+'วันที่ 1'!H138+'วันที่ 2'!H138+'วันที่ 3'!H138+'วันที่ 4'!H138+'วันที่ 5'!H138+'วันที่ 6'!H138+'วันที่  7'!H138+'วันที่  8'!H138+'วันที่  9'!H138+'วันที่  10'!H138+'วันที่  11'!H138+'วันที่  12'!H138+'วันที่  13'!H138+'วันที่ 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15">
        <v>45</v>
      </c>
      <c r="J138" s="47">
        <f>+'วันที่ 1'!J138+'วันที่ 2'!J138+'วันที่ 3'!J138+'วันที่ 4'!J138+'วันที่ 5'!J138+'วันที่ 6'!J138+'วันที่  7'!J138+'วันที่  8'!J138+'วันที่  9'!J138+'วันที่  10'!J138+'วันที่  11'!J138+'วันที่  12'!J138+'วันที่  13'!J138+'วันที่ 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19"/>
      <c r="M138" s="56"/>
      <c r="U138" s="5"/>
    </row>
    <row r="139" spans="1:21">
      <c r="A139" s="10">
        <v>135</v>
      </c>
      <c r="B139" s="19" t="s">
        <v>150</v>
      </c>
      <c r="C139" s="46">
        <f>+'วันที่ 1'!C139</f>
        <v>0</v>
      </c>
      <c r="D139" s="47">
        <f>+'วันที่ 1'!D139+'วันที่ 2'!D139+'วันที่ 3'!D139+'วันที่ 4'!D139+'วันที่ 5'!D139+'วันที่ 6'!D139+'วันที่  7'!D139+'วันที่  8'!D139+'วันที่  9'!D139+'วันที่  10'!D139+'วันที่  11'!D139+'วันที่  12'!D139+'วันที่  13'!D139+'วันที่ 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5"/>
        <v>0</v>
      </c>
      <c r="F139" s="47">
        <f>+'วันที่ 1'!F139+'วันที่ 2'!F139+'วันที่ 3'!F139+'วันที่ 4'!F139+'วันที่ 5'!F139+'วันที่ 6'!F139+'วันที่  7'!F139+'วันที่  8'!F139+'วันที่  9'!F139+'วันที่  10'!F139+'วันที่  11'!F139+'วันที่  12'!F139+'วันที่  13'!F139+'วันที่ 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2">
        <f t="shared" si="7"/>
        <v>0</v>
      </c>
      <c r="H139" s="47">
        <f>+'วันที่ 1'!H139+'วันที่ 2'!H139+'วันที่ 3'!H139+'วันที่ 4'!H139+'วันที่ 5'!H139+'วันที่ 6'!H139+'วันที่  7'!H139+'วันที่  8'!H139+'วันที่  9'!H139+'วันที่  10'!H139+'วันที่  11'!H139+'วันที่  12'!H139+'วันที่  13'!H139+'วันที่ 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15">
        <v>45</v>
      </c>
      <c r="J139" s="47">
        <f>+'วันที่ 1'!J139+'วันที่ 2'!J139+'วันที่ 3'!J139+'วันที่ 4'!J139+'วันที่ 5'!J139+'วันที่ 6'!J139+'วันที่  7'!J139+'วันที่  8'!J139+'วันที่  9'!J139+'วันที่  10'!J139+'วันที่  11'!J139+'วันที่  12'!J139+'วันที่  13'!J139+'วันที่ 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19"/>
      <c r="M139" s="56"/>
      <c r="U139" s="5"/>
    </row>
    <row r="140" spans="1:21">
      <c r="A140" s="10">
        <v>136</v>
      </c>
      <c r="B140" s="19" t="s">
        <v>151</v>
      </c>
      <c r="C140" s="46">
        <f>+'วันที่ 1'!C140</f>
        <v>0</v>
      </c>
      <c r="D140" s="47">
        <f>+'วันที่ 1'!D140+'วันที่ 2'!D140+'วันที่ 3'!D140+'วันที่ 4'!D140+'วันที่ 5'!D140+'วันที่ 6'!D140+'วันที่  7'!D140+'วันที่  8'!D140+'วันที่  9'!D140+'วันที่  10'!D140+'วันที่  11'!D140+'วันที่  12'!D140+'วันที่  13'!D140+'วันที่ 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5"/>
        <v>0</v>
      </c>
      <c r="F140" s="47">
        <f>+'วันที่ 1'!F140+'วันที่ 2'!F140+'วันที่ 3'!F140+'วันที่ 4'!F140+'วันที่ 5'!F140+'วันที่ 6'!F140+'วันที่  7'!F140+'วันที่  8'!F140+'วันที่  9'!F140+'วันที่  10'!F140+'วันที่  11'!F140+'วันที่  12'!F140+'วันที่  13'!F140+'วันที่ 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2">
        <f t="shared" si="7"/>
        <v>0</v>
      </c>
      <c r="H140" s="47">
        <f>+'วันที่ 1'!H140+'วันที่ 2'!H140+'วันที่ 3'!H140+'วันที่ 4'!H140+'วันที่ 5'!H140+'วันที่ 6'!H140+'วันที่  7'!H140+'วันที่  8'!H140+'วันที่  9'!H140+'วันที่  10'!H140+'วันที่  11'!H140+'วันที่  12'!H140+'วันที่  13'!H140+'วันที่ 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15">
        <v>45</v>
      </c>
      <c r="J140" s="47">
        <f>+'วันที่ 1'!J140+'วันที่ 2'!J140+'วันที่ 3'!J140+'วันที่ 4'!J140+'วันที่ 5'!J140+'วันที่ 6'!J140+'วันที่  7'!J140+'วันที่  8'!J140+'วันที่  9'!J140+'วันที่  10'!J140+'วันที่  11'!J140+'วันที่  12'!J140+'วันที่  13'!J140+'วันที่ 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19"/>
      <c r="M140" s="56"/>
      <c r="U140" s="5"/>
    </row>
    <row r="141" spans="1:21">
      <c r="A141" s="10">
        <v>137</v>
      </c>
      <c r="B141" s="19" t="s">
        <v>152</v>
      </c>
      <c r="C141" s="46">
        <f>+'วันที่ 1'!C141</f>
        <v>0</v>
      </c>
      <c r="D141" s="47">
        <f>+'วันที่ 1'!D141+'วันที่ 2'!D141+'วันที่ 3'!D141+'วันที่ 4'!D141+'วันที่ 5'!D141+'วันที่ 6'!D141+'วันที่  7'!D141+'วันที่  8'!D141+'วันที่  9'!D141+'วันที่  10'!D141+'วันที่  11'!D141+'วันที่  12'!D141+'วันที่  13'!D141+'วันที่ 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5"/>
        <v>0</v>
      </c>
      <c r="F141" s="47">
        <f>+'วันที่ 1'!F141+'วันที่ 2'!F141+'วันที่ 3'!F141+'วันที่ 4'!F141+'วันที่ 5'!F141+'วันที่ 6'!F141+'วันที่  7'!F141+'วันที่  8'!F141+'วันที่  9'!F141+'วันที่  10'!F141+'วันที่  11'!F141+'วันที่  12'!F141+'วันที่  13'!F141+'วันที่ 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2">
        <f t="shared" si="7"/>
        <v>0</v>
      </c>
      <c r="H141" s="47">
        <f>+'วันที่ 1'!H141+'วันที่ 2'!H141+'วันที่ 3'!H141+'วันที่ 4'!H141+'วันที่ 5'!H141+'วันที่ 6'!H141+'วันที่  7'!H141+'วันที่  8'!H141+'วันที่  9'!H141+'วันที่  10'!H141+'วันที่  11'!H141+'วันที่  12'!H141+'วันที่  13'!H141+'วันที่ 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15">
        <v>45</v>
      </c>
      <c r="J141" s="47">
        <f>+'วันที่ 1'!J141+'วันที่ 2'!J141+'วันที่ 3'!J141+'วันที่ 4'!J141+'วันที่ 5'!J141+'วันที่ 6'!J141+'วันที่  7'!J141+'วันที่  8'!J141+'วันที่  9'!J141+'วันที่  10'!J141+'วันที่  11'!J141+'วันที่  12'!J141+'วันที่  13'!J141+'วันที่ 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9"/>
      <c r="M141" s="56"/>
      <c r="U141" s="5"/>
    </row>
    <row r="142" spans="1:21">
      <c r="A142" s="10">
        <v>138</v>
      </c>
      <c r="B142" s="19" t="s">
        <v>153</v>
      </c>
      <c r="C142" s="46">
        <f>+'วันที่ 1'!C142</f>
        <v>0</v>
      </c>
      <c r="D142" s="47">
        <f>+'วันที่ 1'!D142+'วันที่ 2'!D142+'วันที่ 3'!D142+'วันที่ 4'!D142+'วันที่ 5'!D142+'วันที่ 6'!D142+'วันที่  7'!D142+'วันที่  8'!D142+'วันที่  9'!D142+'วันที่  10'!D142+'วันที่  11'!D142+'วันที่  12'!D142+'วันที่  13'!D142+'วันที่ 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5"/>
        <v>0</v>
      </c>
      <c r="F142" s="47">
        <f>+'วันที่ 1'!F142+'วันที่ 2'!F142+'วันที่ 3'!F142+'วันที่ 4'!F142+'วันที่ 5'!F142+'วันที่ 6'!F142+'วันที่  7'!F142+'วันที่  8'!F142+'วันที่  9'!F142+'วันที่  10'!F142+'วันที่  11'!F142+'วันที่  12'!F142+'วันที่  13'!F142+'วันที่ 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2">
        <f t="shared" si="7"/>
        <v>0</v>
      </c>
      <c r="H142" s="47">
        <f>+'วันที่ 1'!H142+'วันที่ 2'!H142+'วันที่ 3'!H142+'วันที่ 4'!H142+'วันที่ 5'!H142+'วันที่ 6'!H142+'วันที่  7'!H142+'วันที่  8'!H142+'วันที่  9'!H142+'วันที่  10'!H142+'วันที่  11'!H142+'วันที่  12'!H142+'วันที่  13'!H142+'วันที่ 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15">
        <v>120</v>
      </c>
      <c r="J142" s="47">
        <f>+'วันที่ 1'!J142+'วันที่ 2'!J142+'วันที่ 3'!J142+'วันที่ 4'!J142+'วันที่ 5'!J142+'วันที่ 6'!J142+'วันที่  7'!J142+'วันที่  8'!J142+'วันที่  9'!J142+'วันที่  10'!J142+'วันที่  11'!J142+'วันที่  12'!J142+'วันที่  13'!J142+'วันที่ 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9"/>
      <c r="M142" s="56"/>
      <c r="U142" s="5"/>
    </row>
    <row r="143" spans="1:21">
      <c r="A143" s="10">
        <v>139</v>
      </c>
      <c r="B143" s="19" t="s">
        <v>154</v>
      </c>
      <c r="C143" s="46">
        <f>+'วันที่ 1'!C143</f>
        <v>0</v>
      </c>
      <c r="D143" s="47">
        <f>+'วันที่ 1'!D143+'วันที่ 2'!D143+'วันที่ 3'!D143+'วันที่ 4'!D143+'วันที่ 5'!D143+'วันที่ 6'!D143+'วันที่  7'!D143+'วันที่  8'!D143+'วันที่  9'!D143+'วันที่  10'!D143+'วันที่  11'!D143+'วันที่  12'!D143+'วันที่  13'!D143+'วันที่ 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5"/>
        <v>0</v>
      </c>
      <c r="F143" s="47">
        <f>+'วันที่ 1'!F143+'วันที่ 2'!F143+'วันที่ 3'!F143+'วันที่ 4'!F143+'วันที่ 5'!F143+'วันที่ 6'!F143+'วันที่  7'!F143+'วันที่  8'!F143+'วันที่  9'!F143+'วันที่  10'!F143+'วันที่  11'!F143+'วันที่  12'!F143+'วันที่  13'!F143+'วันที่ 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2">
        <f t="shared" si="7"/>
        <v>0</v>
      </c>
      <c r="H143" s="47">
        <f>+'วันที่ 1'!H143+'วันที่ 2'!H143+'วันที่ 3'!H143+'วันที่ 4'!H143+'วันที่ 5'!H143+'วันที่ 6'!H143+'วันที่  7'!H143+'วันที่  8'!H143+'วันที่  9'!H143+'วันที่  10'!H143+'วันที่  11'!H143+'วันที่  12'!H143+'วันที่  13'!H143+'วันที่ 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15">
        <v>120</v>
      </c>
      <c r="J143" s="47">
        <f>+'วันที่ 1'!J143+'วันที่ 2'!J143+'วันที่ 3'!J143+'วันที่ 4'!J143+'วันที่ 5'!J143+'วันที่ 6'!J143+'วันที่  7'!J143+'วันที่  8'!J143+'วันที่  9'!J143+'วันที่  10'!J143+'วันที่  11'!J143+'วันที่  12'!J143+'วันที่  13'!J143+'วันที่ 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9"/>
      <c r="M143" s="56"/>
      <c r="U143" s="5"/>
    </row>
    <row r="144" spans="1:21">
      <c r="A144" s="10">
        <v>140</v>
      </c>
      <c r="B144" s="19" t="s">
        <v>155</v>
      </c>
      <c r="C144" s="46">
        <f>+'วันที่ 1'!C144</f>
        <v>0</v>
      </c>
      <c r="D144" s="47">
        <f>+'วันที่ 1'!D144+'วันที่ 2'!D144+'วันที่ 3'!D144+'วันที่ 4'!D144+'วันที่ 5'!D144+'วันที่ 6'!D144+'วันที่  7'!D144+'วันที่  8'!D144+'วันที่  9'!D144+'วันที่  10'!D144+'วันที่  11'!D144+'วันที่  12'!D144+'วันที่  13'!D144+'วันที่ 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5"/>
        <v>0</v>
      </c>
      <c r="F144" s="47">
        <f>+'วันที่ 1'!F144+'วันที่ 2'!F144+'วันที่ 3'!F144+'วันที่ 4'!F144+'วันที่ 5'!F144+'วันที่ 6'!F144+'วันที่  7'!F144+'วันที่  8'!F144+'วันที่  9'!F144+'วันที่  10'!F144+'วันที่  11'!F144+'วันที่  12'!F144+'วันที่  13'!F144+'วันที่ 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2">
        <f t="shared" si="7"/>
        <v>0</v>
      </c>
      <c r="H144" s="47">
        <f>+'วันที่ 1'!H144+'วันที่ 2'!H144+'วันที่ 3'!H144+'วันที่ 4'!H144+'วันที่ 5'!H144+'วันที่ 6'!H144+'วันที่  7'!H144+'วันที่  8'!H144+'วันที่  9'!H144+'วันที่  10'!H144+'วันที่  11'!H144+'วันที่  12'!H144+'วันที่  13'!H144+'วันที่ 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15">
        <v>120</v>
      </c>
      <c r="J144" s="47">
        <f>+'วันที่ 1'!J144+'วันที่ 2'!J144+'วันที่ 3'!J144+'วันที่ 4'!J144+'วันที่ 5'!J144+'วันที่ 6'!J144+'วันที่  7'!J144+'วันที่  8'!J144+'วันที่  9'!J144+'วันที่  10'!J144+'วันที่  11'!J144+'วันที่  12'!J144+'วันที่  13'!J144+'วันที่ 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9"/>
      <c r="M144" s="56"/>
      <c r="U144" s="5"/>
    </row>
    <row r="145" spans="1:21">
      <c r="A145" s="10">
        <v>141</v>
      </c>
      <c r="B145" s="19" t="s">
        <v>156</v>
      </c>
      <c r="C145" s="46">
        <f>+'วันที่ 1'!C145</f>
        <v>0</v>
      </c>
      <c r="D145" s="47">
        <f>+'วันที่ 1'!D145+'วันที่ 2'!D145+'วันที่ 3'!D145+'วันที่ 4'!D145+'วันที่ 5'!D145+'วันที่ 6'!D145+'วันที่  7'!D145+'วันที่  8'!D145+'วันที่  9'!D145+'วันที่  10'!D145+'วันที่  11'!D145+'วันที่  12'!D145+'วันที่  13'!D145+'วันที่ 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5"/>
        <v>0</v>
      </c>
      <c r="F145" s="47">
        <f>+'วันที่ 1'!F145+'วันที่ 2'!F145+'วันที่ 3'!F145+'วันที่ 4'!F145+'วันที่ 5'!F145+'วันที่ 6'!F145+'วันที่  7'!F145+'วันที่  8'!F145+'วันที่  9'!F145+'วันที่  10'!F145+'วันที่  11'!F145+'วันที่  12'!F145+'วันที่  13'!F145+'วันที่ 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2">
        <f t="shared" si="7"/>
        <v>0</v>
      </c>
      <c r="H145" s="47">
        <f>+'วันที่ 1'!H145+'วันที่ 2'!H145+'วันที่ 3'!H145+'วันที่ 4'!H145+'วันที่ 5'!H145+'วันที่ 6'!H145+'วันที่  7'!H145+'วันที่  8'!H145+'วันที่  9'!H145+'วันที่  10'!H145+'วันที่  11'!H145+'วันที่  12'!H145+'วันที่  13'!H145+'วันที่ 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15">
        <v>120</v>
      </c>
      <c r="J145" s="47">
        <f>+'วันที่ 1'!J145+'วันที่ 2'!J145+'วันที่ 3'!J145+'วันที่ 4'!J145+'วันที่ 5'!J145+'วันที่ 6'!J145+'วันที่  7'!J145+'วันที่  8'!J145+'วันที่  9'!J145+'วันที่  10'!J145+'วันที่  11'!J145+'วันที่  12'!J145+'วันที่  13'!J145+'วันที่ 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9"/>
      <c r="M145" s="56"/>
      <c r="U145" s="5"/>
    </row>
    <row r="146" spans="1:21">
      <c r="A146" s="10">
        <v>142</v>
      </c>
      <c r="B146" s="19" t="s">
        <v>157</v>
      </c>
      <c r="C146" s="46">
        <f>+'วันที่ 1'!C146</f>
        <v>0</v>
      </c>
      <c r="D146" s="47">
        <f>+'วันที่ 1'!D146+'วันที่ 2'!D146+'วันที่ 3'!D146+'วันที่ 4'!D146+'วันที่ 5'!D146+'วันที่ 6'!D146+'วันที่  7'!D146+'วันที่  8'!D146+'วันที่  9'!D146+'วันที่  10'!D146+'วันที่  11'!D146+'วันที่  12'!D146+'วันที่  13'!D146+'วันที่ 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5"/>
        <v>0</v>
      </c>
      <c r="F146" s="47">
        <f>+'วันที่ 1'!F146+'วันที่ 2'!F146+'วันที่ 3'!F146+'วันที่ 4'!F146+'วันที่ 5'!F146+'วันที่ 6'!F146+'วันที่  7'!F146+'วันที่  8'!F146+'วันที่  9'!F146+'วันที่  10'!F146+'วันที่  11'!F146+'วันที่  12'!F146+'วันที่  13'!F146+'วันที่ 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2">
        <f t="shared" si="7"/>
        <v>0</v>
      </c>
      <c r="H146" s="47">
        <f>+'วันที่ 1'!H146+'วันที่ 2'!H146+'วันที่ 3'!H146+'วันที่ 4'!H146+'วันที่ 5'!H146+'วันที่ 6'!H146+'วันที่  7'!H146+'วันที่  8'!H146+'วันที่  9'!H146+'วันที่  10'!H146+'วันที่  11'!H146+'วันที่  12'!H146+'วันที่  13'!H146+'วันที่ 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15">
        <v>185</v>
      </c>
      <c r="J146" s="47">
        <f>+'วันที่ 1'!J146+'วันที่ 2'!J146+'วันที่ 3'!J146+'วันที่ 4'!J146+'วันที่ 5'!J146+'วันที่ 6'!J146+'วันที่  7'!J146+'วันที่  8'!J146+'วันที่  9'!J146+'วันที่  10'!J146+'วันที่  11'!J146+'วันที่  12'!J146+'วันที่  13'!J146+'วันที่ 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9"/>
      <c r="M146" s="56"/>
      <c r="U146" s="5"/>
    </row>
    <row r="147" spans="1:21">
      <c r="A147" s="10">
        <v>143</v>
      </c>
      <c r="B147" s="19" t="s">
        <v>158</v>
      </c>
      <c r="C147" s="46">
        <f>+'วันที่ 1'!C147</f>
        <v>0</v>
      </c>
      <c r="D147" s="47">
        <f>+'วันที่ 1'!D147+'วันที่ 2'!D147+'วันที่ 3'!D147+'วันที่ 4'!D147+'วันที่ 5'!D147+'วันที่ 6'!D147+'วันที่  7'!D147+'วันที่  8'!D147+'วันที่  9'!D147+'วันที่  10'!D147+'วันที่  11'!D147+'วันที่  12'!D147+'วันที่  13'!D147+'วันที่ 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5"/>
        <v>0</v>
      </c>
      <c r="F147" s="47">
        <f>+'วันที่ 1'!F147+'วันที่ 2'!F147+'วันที่ 3'!F147+'วันที่ 4'!F147+'วันที่ 5'!F147+'วันที่ 6'!F147+'วันที่  7'!F147+'วันที่  8'!F147+'วันที่  9'!F147+'วันที่  10'!F147+'วันที่  11'!F147+'วันที่  12'!F147+'วันที่  13'!F147+'วันที่ 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2">
        <f t="shared" si="7"/>
        <v>0</v>
      </c>
      <c r="H147" s="47">
        <f>+'วันที่ 1'!H147+'วันที่ 2'!H147+'วันที่ 3'!H147+'วันที่ 4'!H147+'วันที่ 5'!H147+'วันที่ 6'!H147+'วันที่  7'!H147+'วันที่  8'!H147+'วันที่  9'!H147+'วันที่  10'!H147+'วันที่  11'!H147+'วันที่  12'!H147+'วันที่  13'!H147+'วันที่ 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15">
        <v>185</v>
      </c>
      <c r="J147" s="47">
        <f>+'วันที่ 1'!J147+'วันที่ 2'!J147+'วันที่ 3'!J147+'วันที่ 4'!J147+'วันที่ 5'!J147+'วันที่ 6'!J147+'วันที่  7'!J147+'วันที่  8'!J147+'วันที่  9'!J147+'วันที่  10'!J147+'วันที่  11'!J147+'วันที่  12'!J147+'วันที่  13'!J147+'วันที่ 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9"/>
      <c r="M147" s="56"/>
      <c r="U147" s="5"/>
    </row>
    <row r="148" spans="1:21">
      <c r="A148" s="10">
        <v>144</v>
      </c>
      <c r="B148" s="19" t="s">
        <v>159</v>
      </c>
      <c r="C148" s="46">
        <f>+'วันที่ 1'!C148</f>
        <v>0</v>
      </c>
      <c r="D148" s="47">
        <f>+'วันที่ 1'!D148+'วันที่ 2'!D148+'วันที่ 3'!D148+'วันที่ 4'!D148+'วันที่ 5'!D148+'วันที่ 6'!D148+'วันที่  7'!D148+'วันที่  8'!D148+'วันที่  9'!D148+'วันที่  10'!D148+'วันที่  11'!D148+'วันที่  12'!D148+'วันที่  13'!D148+'วันที่ 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5"/>
        <v>0</v>
      </c>
      <c r="F148" s="47">
        <f>+'วันที่ 1'!F148+'วันที่ 2'!F148+'วันที่ 3'!F148+'วันที่ 4'!F148+'วันที่ 5'!F148+'วันที่ 6'!F148+'วันที่  7'!F148+'วันที่  8'!F148+'วันที่  9'!F148+'วันที่  10'!F148+'วันที่  11'!F148+'วันที่  12'!F148+'วันที่  13'!F148+'วันที่ 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2">
        <f t="shared" si="7"/>
        <v>0</v>
      </c>
      <c r="H148" s="47">
        <f>+'วันที่ 1'!H148+'วันที่ 2'!H148+'วันที่ 3'!H148+'วันที่ 4'!H148+'วันที่ 5'!H148+'วันที่ 6'!H148+'วันที่  7'!H148+'วันที่  8'!H148+'วันที่  9'!H148+'วันที่  10'!H148+'วันที่  11'!H148+'วันที่  12'!H148+'วันที่  13'!H148+'วันที่ 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15">
        <v>185</v>
      </c>
      <c r="J148" s="47">
        <f>+'วันที่ 1'!J148+'วันที่ 2'!J148+'วันที่ 3'!J148+'วันที่ 4'!J148+'วันที่ 5'!J148+'วันที่ 6'!J148+'วันที่  7'!J148+'วันที่  8'!J148+'วันที่  9'!J148+'วันที่  10'!J148+'วันที่  11'!J148+'วันที่  12'!J148+'วันที่  13'!J148+'วันที่ 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9"/>
      <c r="M148" s="56"/>
      <c r="U148" s="5"/>
    </row>
    <row r="149" spans="1:21">
      <c r="A149" s="10">
        <v>145</v>
      </c>
      <c r="B149" s="19" t="s">
        <v>160</v>
      </c>
      <c r="C149" s="46">
        <f>+'วันที่ 1'!C149</f>
        <v>0</v>
      </c>
      <c r="D149" s="47">
        <f>+'วันที่ 1'!D149+'วันที่ 2'!D149+'วันที่ 3'!D149+'วันที่ 4'!D149+'วันที่ 5'!D149+'วันที่ 6'!D149+'วันที่  7'!D149+'วันที่  8'!D149+'วันที่  9'!D149+'วันที่  10'!D149+'วันที่  11'!D149+'วันที่  12'!D149+'วันที่  13'!D149+'วันที่ 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5"/>
        <v>0</v>
      </c>
      <c r="F149" s="47">
        <f>+'วันที่ 1'!F149+'วันที่ 2'!F149+'วันที่ 3'!F149+'วันที่ 4'!F149+'วันที่ 5'!F149+'วันที่ 6'!F149+'วันที่  7'!F149+'วันที่  8'!F149+'วันที่  9'!F149+'วันที่  10'!F149+'วันที่  11'!F149+'วันที่  12'!F149+'วันที่  13'!F149+'วันที่ 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2">
        <f t="shared" si="7"/>
        <v>0</v>
      </c>
      <c r="H149" s="47">
        <f>+'วันที่ 1'!H149+'วันที่ 2'!H149+'วันที่ 3'!H149+'วันที่ 4'!H149+'วันที่ 5'!H149+'วันที่ 6'!H149+'วันที่  7'!H149+'วันที่  8'!H149+'วันที่  9'!H149+'วันที่  10'!H149+'วันที่  11'!H149+'วันที่  12'!H149+'วันที่  13'!H149+'วันที่ 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15">
        <v>185</v>
      </c>
      <c r="J149" s="47">
        <f>+'วันที่ 1'!J149+'วันที่ 2'!J149+'วันที่ 3'!J149+'วันที่ 4'!J149+'วันที่ 5'!J149+'วันที่ 6'!J149+'วันที่  7'!J149+'วันที่  8'!J149+'วันที่  9'!J149+'วันที่  10'!J149+'วันที่  11'!J149+'วันที่  12'!J149+'วันที่  13'!J149+'วันที่ 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9"/>
      <c r="M149" s="56"/>
      <c r="U149" s="5"/>
    </row>
    <row r="150" spans="1:21">
      <c r="A150" s="10">
        <v>146</v>
      </c>
      <c r="B150" s="19" t="s">
        <v>161</v>
      </c>
      <c r="C150" s="46">
        <f>+'วันที่ 1'!C150</f>
        <v>0</v>
      </c>
      <c r="D150" s="47">
        <f>+'วันที่ 1'!D150+'วันที่ 2'!D150+'วันที่ 3'!D150+'วันที่ 4'!D150+'วันที่ 5'!D150+'วันที่ 6'!D150+'วันที่  7'!D150+'วันที่  8'!D150+'วันที่  9'!D150+'วันที่  10'!D150+'วันที่  11'!D150+'วันที่  12'!D150+'วันที่  13'!D150+'วันที่ 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0</v>
      </c>
      <c r="E150" s="46">
        <f t="shared" si="5"/>
        <v>0</v>
      </c>
      <c r="F150" s="47">
        <f>+'วันที่ 1'!F150+'วันที่ 2'!F150+'วันที่ 3'!F150+'วันที่ 4'!F150+'วันที่ 5'!F150+'วันที่ 6'!F150+'วันที่  7'!F150+'วันที่  8'!F150+'วันที่  9'!F150+'วันที่  10'!F150+'วันที่  11'!F150+'วันที่  12'!F150+'วันที่  13'!F150+'วันที่ 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2">
        <f t="shared" si="7"/>
        <v>0</v>
      </c>
      <c r="H150" s="47">
        <f>+'วันที่ 1'!H150+'วันที่ 2'!H150+'วันที่ 3'!H150+'วันที่ 4'!H150+'วันที่ 5'!H150+'วันที่ 6'!H150+'วันที่  7'!H150+'วันที่  8'!H150+'วันที่  9'!H150+'วันที่  10'!H150+'วันที่  11'!H150+'วันที่  12'!H150+'วันที่  13'!H150+'วันที่ 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0</v>
      </c>
      <c r="I150" s="15">
        <v>120</v>
      </c>
      <c r="J150" s="47">
        <f>+'วันที่ 1'!J150+'วันที่ 2'!J150+'วันที่ 3'!J150+'วันที่ 4'!J150+'วันที่ 5'!J150+'วันที่ 6'!J150+'วันที่  7'!J150+'วันที่  8'!J150+'วันที่  9'!J150+'วันที่  10'!J150+'วันที่  11'!J150+'วันที่  12'!J150+'วันที่  13'!J150+'วันที่ 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0</v>
      </c>
      <c r="K150" s="19"/>
      <c r="M150" s="56"/>
      <c r="U150" s="5"/>
    </row>
    <row r="151" spans="1:21">
      <c r="A151" s="10">
        <v>147</v>
      </c>
      <c r="B151" s="19" t="s">
        <v>162</v>
      </c>
      <c r="C151" s="46">
        <f>+'วันที่ 1'!C151</f>
        <v>0</v>
      </c>
      <c r="D151" s="47">
        <f>+'วันที่ 1'!D151+'วันที่ 2'!D151+'วันที่ 3'!D151+'วันที่ 4'!D151+'วันที่ 5'!D151+'วันที่ 6'!D151+'วันที่  7'!D151+'วันที่  8'!D151+'วันที่  9'!D151+'วันที่  10'!D151+'วันที่  11'!D151+'วันที่  12'!D151+'วันที่  13'!D151+'วันที่ 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5"/>
        <v>0</v>
      </c>
      <c r="F151" s="47">
        <f>+'วันที่ 1'!F151+'วันที่ 2'!F151+'วันที่ 3'!F151+'วันที่ 4'!F151+'วันที่ 5'!F151+'วันที่ 6'!F151+'วันที่  7'!F151+'วันที่  8'!F151+'วันที่  9'!F151+'วันที่  10'!F151+'วันที่  11'!F151+'วันที่  12'!F151+'วันที่  13'!F151+'วันที่ 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2">
        <f t="shared" si="7"/>
        <v>0</v>
      </c>
      <c r="H151" s="47">
        <f>+'วันที่ 1'!H151+'วันที่ 2'!H151+'วันที่ 3'!H151+'วันที่ 4'!H151+'วันที่ 5'!H151+'วันที่ 6'!H151+'วันที่  7'!H151+'วันที่  8'!H151+'วันที่  9'!H151+'วันที่  10'!H151+'วันที่  11'!H151+'วันที่  12'!H151+'วันที่  13'!H151+'วันที่ 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15">
        <v>120</v>
      </c>
      <c r="J151" s="47">
        <f>+'วันที่ 1'!J151+'วันที่ 2'!J151+'วันที่ 3'!J151+'วันที่ 4'!J151+'วันที่ 5'!J151+'วันที่ 6'!J151+'วันที่  7'!J151+'วันที่  8'!J151+'วันที่  9'!J151+'วันที่  10'!J151+'วันที่  11'!J151+'วันที่  12'!J151+'วันที่  13'!J151+'วันที่ 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19"/>
      <c r="M151" s="56"/>
      <c r="U151" s="5"/>
    </row>
    <row r="152" spans="1:21">
      <c r="A152" s="10">
        <v>148</v>
      </c>
      <c r="B152" s="19" t="s">
        <v>163</v>
      </c>
      <c r="C152" s="46">
        <f>+'วันที่ 1'!C152</f>
        <v>0</v>
      </c>
      <c r="D152" s="47">
        <f>+'วันที่ 1'!D152+'วันที่ 2'!D152+'วันที่ 3'!D152+'วันที่ 4'!D152+'วันที่ 5'!D152+'วันที่ 6'!D152+'วันที่  7'!D152+'วันที่  8'!D152+'วันที่  9'!D152+'วันที่  10'!D152+'วันที่  11'!D152+'วันที่  12'!D152+'วันที่  13'!D152+'วันที่ 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5"/>
        <v>0</v>
      </c>
      <c r="F152" s="47">
        <f>+'วันที่ 1'!F152+'วันที่ 2'!F152+'วันที่ 3'!F152+'วันที่ 4'!F152+'วันที่ 5'!F152+'วันที่ 6'!F152+'วันที่  7'!F152+'วันที่  8'!F152+'วันที่  9'!F152+'วันที่  10'!F152+'วันที่  11'!F152+'วันที่  12'!F152+'วันที่  13'!F152+'วันที่ 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2">
        <f t="shared" si="7"/>
        <v>0</v>
      </c>
      <c r="H152" s="47">
        <f>+'วันที่ 1'!H152+'วันที่ 2'!H152+'วันที่ 3'!H152+'วันที่ 4'!H152+'วันที่ 5'!H152+'วันที่ 6'!H152+'วันที่  7'!H152+'วันที่  8'!H152+'วันที่  9'!H152+'วันที่  10'!H152+'วันที่  11'!H152+'วันที่  12'!H152+'วันที่  13'!H152+'วันที่ 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15">
        <v>120</v>
      </c>
      <c r="J152" s="47">
        <f>+'วันที่ 1'!J152+'วันที่ 2'!J152+'วันที่ 3'!J152+'วันที่ 4'!J152+'วันที่ 5'!J152+'วันที่ 6'!J152+'วันที่  7'!J152+'วันที่  8'!J152+'วันที่  9'!J152+'วันที่  10'!J152+'วันที่  11'!J152+'วันที่  12'!J152+'วันที่  13'!J152+'วันที่ 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19"/>
      <c r="M152" s="56"/>
      <c r="U152" s="5"/>
    </row>
    <row r="153" spans="1:21">
      <c r="A153" s="10">
        <v>149</v>
      </c>
      <c r="B153" s="19" t="s">
        <v>164</v>
      </c>
      <c r="C153" s="46">
        <f>+'วันที่ 1'!C153</f>
        <v>0</v>
      </c>
      <c r="D153" s="47">
        <f>+'วันที่ 1'!D153+'วันที่ 2'!D153+'วันที่ 3'!D153+'วันที่ 4'!D153+'วันที่ 5'!D153+'วันที่ 6'!D153+'วันที่  7'!D153+'วันที่  8'!D153+'วันที่  9'!D153+'วันที่  10'!D153+'วันที่  11'!D153+'วันที่  12'!D153+'วันที่  13'!D153+'วันที่ 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5"/>
        <v>0</v>
      </c>
      <c r="F153" s="47">
        <f>+'วันที่ 1'!F153+'วันที่ 2'!F153+'วันที่ 3'!F153+'วันที่ 4'!F153+'วันที่ 5'!F153+'วันที่ 6'!F153+'วันที่  7'!F153+'วันที่  8'!F153+'วันที่  9'!F153+'วันที่  10'!F153+'วันที่  11'!F153+'วันที่  12'!F153+'วันที่  13'!F153+'วันที่ 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2">
        <f t="shared" si="7"/>
        <v>0</v>
      </c>
      <c r="H153" s="47">
        <f>+'วันที่ 1'!H153+'วันที่ 2'!H153+'วันที่ 3'!H153+'วันที่ 4'!H153+'วันที่ 5'!H153+'วันที่ 6'!H153+'วันที่  7'!H153+'วันที่  8'!H153+'วันที่  9'!H153+'วันที่  10'!H153+'วันที่  11'!H153+'วันที่  12'!H153+'วันที่  13'!H153+'วันที่ 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15">
        <v>120</v>
      </c>
      <c r="J153" s="47">
        <f>+'วันที่ 1'!J153+'วันที่ 2'!J153+'วันที่ 3'!J153+'วันที่ 4'!J153+'วันที่ 5'!J153+'วันที่ 6'!J153+'วันที่  7'!J153+'วันที่  8'!J153+'วันที่  9'!J153+'วันที่  10'!J153+'วันที่  11'!J153+'วันที่  12'!J153+'วันที่  13'!J153+'วันที่ 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19"/>
      <c r="M153" s="56"/>
      <c r="U153" s="5"/>
    </row>
    <row r="154" spans="1:21">
      <c r="A154" s="10">
        <v>150</v>
      </c>
      <c r="B154" s="19" t="s">
        <v>165</v>
      </c>
      <c r="C154" s="46">
        <f>+'วันที่ 1'!C154</f>
        <v>0</v>
      </c>
      <c r="D154" s="47">
        <f>+'วันที่ 1'!D154+'วันที่ 2'!D154+'วันที่ 3'!D154+'วันที่ 4'!D154+'วันที่ 5'!D154+'วันที่ 6'!D154+'วันที่  7'!D154+'วันที่  8'!D154+'วันที่  9'!D154+'วันที่  10'!D154+'วันที่  11'!D154+'วันที่  12'!D154+'วันที่  13'!D154+'วันที่ 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5"/>
        <v>0</v>
      </c>
      <c r="F154" s="47">
        <f>+'วันที่ 1'!F154+'วันที่ 2'!F154+'วันที่ 3'!F154+'วันที่ 4'!F154+'วันที่ 5'!F154+'วันที่ 6'!F154+'วันที่  7'!F154+'วันที่  8'!F154+'วันที่  9'!F154+'วันที่  10'!F154+'วันที่  11'!F154+'วันที่  12'!F154+'วันที่  13'!F154+'วันที่ 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2">
        <f t="shared" si="7"/>
        <v>0</v>
      </c>
      <c r="H154" s="47">
        <f>+'วันที่ 1'!H154+'วันที่ 2'!H154+'วันที่ 3'!H154+'วันที่ 4'!H154+'วันที่ 5'!H154+'วันที่ 6'!H154+'วันที่  7'!H154+'วันที่  8'!H154+'วันที่  9'!H154+'วันที่  10'!H154+'วันที่  11'!H154+'วันที่  12'!H154+'วันที่  13'!H154+'วันที่ 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15">
        <v>185</v>
      </c>
      <c r="J154" s="47">
        <f>+'วันที่ 1'!J154+'วันที่ 2'!J154+'วันที่ 3'!J154+'วันที่ 4'!J154+'วันที่ 5'!J154+'วันที่ 6'!J154+'วันที่  7'!J154+'วันที่  8'!J154+'วันที่  9'!J154+'วันที่  10'!J154+'วันที่  11'!J154+'วันที่  12'!J154+'วันที่  13'!J154+'วันที่ 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9"/>
      <c r="M154" s="56"/>
      <c r="U154" s="5"/>
    </row>
    <row r="155" spans="1:21">
      <c r="A155" s="10">
        <v>151</v>
      </c>
      <c r="B155" s="19" t="s">
        <v>166</v>
      </c>
      <c r="C155" s="46">
        <f>+'วันที่ 1'!C155</f>
        <v>0</v>
      </c>
      <c r="D155" s="47">
        <f>+'วันที่ 1'!D155+'วันที่ 2'!D155+'วันที่ 3'!D155+'วันที่ 4'!D155+'วันที่ 5'!D155+'วันที่ 6'!D155+'วันที่  7'!D155+'วันที่  8'!D155+'วันที่  9'!D155+'วันที่  10'!D155+'วันที่  11'!D155+'วันที่  12'!D155+'วันที่  13'!D155+'วันที่ 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5"/>
        <v>0</v>
      </c>
      <c r="F155" s="47">
        <f>+'วันที่ 1'!F155+'วันที่ 2'!F155+'วันที่ 3'!F155+'วันที่ 4'!F155+'วันที่ 5'!F155+'วันที่ 6'!F155+'วันที่  7'!F155+'วันที่  8'!F155+'วันที่  9'!F155+'วันที่  10'!F155+'วันที่  11'!F155+'วันที่  12'!F155+'วันที่  13'!F155+'วันที่ 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2">
        <f t="shared" si="7"/>
        <v>0</v>
      </c>
      <c r="H155" s="47">
        <f>+'วันที่ 1'!H155+'วันที่ 2'!H155+'วันที่ 3'!H155+'วันที่ 4'!H155+'วันที่ 5'!H155+'วันที่ 6'!H155+'วันที่  7'!H155+'วันที่  8'!H155+'วันที่  9'!H155+'วันที่  10'!H155+'วันที่  11'!H155+'วันที่  12'!H155+'วันที่  13'!H155+'วันที่ 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15">
        <v>185</v>
      </c>
      <c r="J155" s="47">
        <f>+'วันที่ 1'!J155+'วันที่ 2'!J155+'วันที่ 3'!J155+'วันที่ 4'!J155+'วันที่ 5'!J155+'วันที่ 6'!J155+'วันที่  7'!J155+'วันที่  8'!J155+'วันที่  9'!J155+'วันที่  10'!J155+'วันที่  11'!J155+'วันที่  12'!J155+'วันที่  13'!J155+'วันที่ 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9"/>
      <c r="M155" s="56"/>
      <c r="U155" s="5"/>
    </row>
    <row r="156" spans="1:21">
      <c r="A156" s="10">
        <v>152</v>
      </c>
      <c r="B156" s="19" t="s">
        <v>167</v>
      </c>
      <c r="C156" s="46">
        <f>+'วันที่ 1'!C156</f>
        <v>0</v>
      </c>
      <c r="D156" s="47">
        <f>+'วันที่ 1'!D156+'วันที่ 2'!D156+'วันที่ 3'!D156+'วันที่ 4'!D156+'วันที่ 5'!D156+'วันที่ 6'!D156+'วันที่  7'!D156+'วันที่  8'!D156+'วันที่  9'!D156+'วันที่  10'!D156+'วันที่  11'!D156+'วันที่  12'!D156+'วันที่  13'!D156+'วันที่ 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5"/>
        <v>0</v>
      </c>
      <c r="F156" s="47">
        <f>+'วันที่ 1'!F156+'วันที่ 2'!F156+'วันที่ 3'!F156+'วันที่ 4'!F156+'วันที่ 5'!F156+'วันที่ 6'!F156+'วันที่  7'!F156+'วันที่  8'!F156+'วันที่  9'!F156+'วันที่  10'!F156+'วันที่  11'!F156+'วันที่  12'!F156+'วันที่  13'!F156+'วันที่ 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2">
        <f t="shared" si="7"/>
        <v>0</v>
      </c>
      <c r="H156" s="47">
        <f>+'วันที่ 1'!H156+'วันที่ 2'!H156+'วันที่ 3'!H156+'วันที่ 4'!H156+'วันที่ 5'!H156+'วันที่ 6'!H156+'วันที่  7'!H156+'วันที่  8'!H156+'วันที่  9'!H156+'วันที่  10'!H156+'วันที่  11'!H156+'วันที่  12'!H156+'วันที่  13'!H156+'วันที่ 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15">
        <v>185</v>
      </c>
      <c r="J156" s="47">
        <f>+'วันที่ 1'!J156+'วันที่ 2'!J156+'วันที่ 3'!J156+'วันที่ 4'!J156+'วันที่ 5'!J156+'วันที่ 6'!J156+'วันที่  7'!J156+'วันที่  8'!J156+'วันที่  9'!J156+'วันที่  10'!J156+'วันที่  11'!J156+'วันที่  12'!J156+'วันที่  13'!J156+'วันที่ 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19"/>
      <c r="M156" s="56"/>
      <c r="U156" s="5"/>
    </row>
    <row r="157" spans="1:21">
      <c r="A157" s="10">
        <v>153</v>
      </c>
      <c r="B157" s="19" t="s">
        <v>168</v>
      </c>
      <c r="C157" s="46">
        <f>+'วันที่ 1'!C157</f>
        <v>0</v>
      </c>
      <c r="D157" s="47">
        <f>+'วันที่ 1'!D157+'วันที่ 2'!D157+'วันที่ 3'!D157+'วันที่ 4'!D157+'วันที่ 5'!D157+'วันที่ 6'!D157+'วันที่  7'!D157+'วันที่  8'!D157+'วันที่  9'!D157+'วันที่  10'!D157+'วันที่  11'!D157+'วันที่  12'!D157+'วันที่  13'!D157+'วันที่ 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5"/>
        <v>0</v>
      </c>
      <c r="F157" s="47">
        <f>+'วันที่ 1'!F157+'วันที่ 2'!F157+'วันที่ 3'!F157+'วันที่ 4'!F157+'วันที่ 5'!F157+'วันที่ 6'!F157+'วันที่  7'!F157+'วันที่  8'!F157+'วันที่  9'!F157+'วันที่  10'!F157+'วันที่  11'!F157+'วันที่  12'!F157+'วันที่  13'!F157+'วันที่ 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2">
        <f t="shared" si="7"/>
        <v>0</v>
      </c>
      <c r="H157" s="47">
        <f>+'วันที่ 1'!H157+'วันที่ 2'!H157+'วันที่ 3'!H157+'วันที่ 4'!H157+'วันที่ 5'!H157+'วันที่ 6'!H157+'วันที่  7'!H157+'วันที่  8'!H157+'วันที่  9'!H157+'วันที่  10'!H157+'วันที่  11'!H157+'วันที่  12'!H157+'วันที่  13'!H157+'วันที่ 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15">
        <v>185</v>
      </c>
      <c r="J157" s="47">
        <f>+'วันที่ 1'!J157+'วันที่ 2'!J157+'วันที่ 3'!J157+'วันที่ 4'!J157+'วันที่ 5'!J157+'วันที่ 6'!J157+'วันที่  7'!J157+'วันที่  8'!J157+'วันที่  9'!J157+'วันที่  10'!J157+'วันที่  11'!J157+'วันที่  12'!J157+'วันที่  13'!J157+'วันที่ 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9"/>
      <c r="M157" s="56"/>
      <c r="U157" s="5"/>
    </row>
    <row r="158" spans="1:21">
      <c r="A158" s="10">
        <v>154</v>
      </c>
      <c r="B158" s="19" t="s">
        <v>169</v>
      </c>
      <c r="C158" s="46">
        <f>+'วันที่ 1'!C158</f>
        <v>0</v>
      </c>
      <c r="D158" s="47">
        <f>+'วันที่ 1'!D158+'วันที่ 2'!D158+'วันที่ 3'!D158+'วันที่ 4'!D158+'วันที่ 5'!D158+'วันที่ 6'!D158+'วันที่  7'!D158+'วันที่  8'!D158+'วันที่  9'!D158+'วันที่  10'!D158+'วันที่  11'!D158+'วันที่  12'!D158+'วันที่  13'!D158+'วันที่ 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5"/>
        <v>0</v>
      </c>
      <c r="F158" s="47">
        <f>+'วันที่ 1'!F158+'วันที่ 2'!F158+'วันที่ 3'!F158+'วันที่ 4'!F158+'วันที่ 5'!F158+'วันที่ 6'!F158+'วันที่  7'!F158+'วันที่  8'!F158+'วันที่  9'!F158+'วันที่  10'!F158+'วันที่  11'!F158+'วันที่  12'!F158+'วันที่  13'!F158+'วันที่ 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2">
        <f t="shared" si="7"/>
        <v>0</v>
      </c>
      <c r="H158" s="47">
        <f>+'วันที่ 1'!H158+'วันที่ 2'!H158+'วันที่ 3'!H158+'วันที่ 4'!H158+'วันที่ 5'!H158+'วันที่ 6'!H158+'วันที่  7'!H158+'วันที่  8'!H158+'วันที่  9'!H158+'วันที่  10'!H158+'วันที่  11'!H158+'วันที่  12'!H158+'วันที่  13'!H158+'วันที่ 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15">
        <v>135</v>
      </c>
      <c r="J158" s="47">
        <f>+'วันที่ 1'!J158+'วันที่ 2'!J158+'วันที่ 3'!J158+'วันที่ 4'!J158+'วันที่ 5'!J158+'วันที่ 6'!J158+'วันที่  7'!J158+'วันที่  8'!J158+'วันที่  9'!J158+'วันที่  10'!J158+'วันที่  11'!J158+'วันที่  12'!J158+'วันที่  13'!J158+'วันที่ 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9"/>
      <c r="M158" s="56"/>
      <c r="U158" s="5"/>
    </row>
    <row r="159" spans="1:21">
      <c r="A159" s="10">
        <v>155</v>
      </c>
      <c r="B159" s="19" t="s">
        <v>170</v>
      </c>
      <c r="C159" s="46">
        <f>+'วันที่ 1'!C159</f>
        <v>0</v>
      </c>
      <c r="D159" s="47">
        <f>+'วันที่ 1'!D159+'วันที่ 2'!D159+'วันที่ 3'!D159+'วันที่ 4'!D159+'วันที่ 5'!D159+'วันที่ 6'!D159+'วันที่  7'!D159+'วันที่  8'!D159+'วันที่  9'!D159+'วันที่  10'!D159+'วันที่  11'!D159+'วันที่  12'!D159+'วันที่  13'!D159+'วันที่ 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5"/>
        <v>0</v>
      </c>
      <c r="F159" s="47">
        <f>+'วันที่ 1'!F159+'วันที่ 2'!F159+'วันที่ 3'!F159+'วันที่ 4'!F159+'วันที่ 5'!F159+'วันที่ 6'!F159+'วันที่  7'!F159+'วันที่  8'!F159+'วันที่  9'!F159+'วันที่  10'!F159+'วันที่  11'!F159+'วันที่  12'!F159+'วันที่  13'!F159+'วันที่ 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2">
        <f t="shared" si="7"/>
        <v>0</v>
      </c>
      <c r="H159" s="47">
        <f>+'วันที่ 1'!H159+'วันที่ 2'!H159+'วันที่ 3'!H159+'วันที่ 4'!H159+'วันที่ 5'!H159+'วันที่ 6'!H159+'วันที่  7'!H159+'วันที่  8'!H159+'วันที่  9'!H159+'วันที่  10'!H159+'วันที่  11'!H159+'วันที่  12'!H159+'วันที่  13'!H159+'วันที่ 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15">
        <v>90</v>
      </c>
      <c r="J159" s="47">
        <f>+'วันที่ 1'!J159+'วันที่ 2'!J159+'วันที่ 3'!J159+'วันที่ 4'!J159+'วันที่ 5'!J159+'วันที่ 6'!J159+'วันที่  7'!J159+'วันที่  8'!J159+'วันที่  9'!J159+'วันที่  10'!J159+'วันที่  11'!J159+'วันที่  12'!J159+'วันที่  13'!J159+'วันที่ 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9"/>
      <c r="M159" s="56"/>
      <c r="U159" s="5"/>
    </row>
    <row r="160" spans="1:21">
      <c r="A160" s="10">
        <v>156</v>
      </c>
      <c r="B160" s="19" t="s">
        <v>171</v>
      </c>
      <c r="C160" s="46">
        <f>+'วันที่ 1'!C160</f>
        <v>0</v>
      </c>
      <c r="D160" s="47">
        <f>+'วันที่ 1'!D160+'วันที่ 2'!D160+'วันที่ 3'!D160+'วันที่ 4'!D160+'วันที่ 5'!D160+'วันที่ 6'!D160+'วันที่  7'!D160+'วันที่  8'!D160+'วันที่  9'!D160+'วันที่  10'!D160+'วันที่  11'!D160+'วันที่  12'!D160+'วันที่  13'!D160+'วันที่ 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5"/>
        <v>0</v>
      </c>
      <c r="F160" s="47">
        <f>+'วันที่ 1'!F160+'วันที่ 2'!F160+'วันที่ 3'!F160+'วันที่ 4'!F160+'วันที่ 5'!F160+'วันที่ 6'!F160+'วันที่  7'!F160+'วันที่  8'!F160+'วันที่  9'!F160+'วันที่  10'!F160+'วันที่  11'!F160+'วันที่  12'!F160+'วันที่  13'!F160+'วันที่ 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2">
        <f t="shared" si="7"/>
        <v>0</v>
      </c>
      <c r="H160" s="47">
        <f>+'วันที่ 1'!H160+'วันที่ 2'!H160+'วันที่ 3'!H160+'วันที่ 4'!H160+'วันที่ 5'!H160+'วันที่ 6'!H160+'วันที่  7'!H160+'วันที่  8'!H160+'วันที่  9'!H160+'วันที่  10'!H160+'วันที่  11'!H160+'วันที่  12'!H160+'วันที่  13'!H160+'วันที่ 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15">
        <v>90</v>
      </c>
      <c r="J160" s="47">
        <f>+'วันที่ 1'!J160+'วันที่ 2'!J160+'วันที่ 3'!J160+'วันที่ 4'!J160+'วันที่ 5'!J160+'วันที่ 6'!J160+'วันที่  7'!J160+'วันที่  8'!J160+'วันที่  9'!J160+'วันที่  10'!J160+'วันที่  11'!J160+'วันที่  12'!J160+'วันที่  13'!J160+'วันที่ 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9"/>
      <c r="M160" s="56"/>
      <c r="U160" s="5"/>
    </row>
    <row r="161" spans="1:21">
      <c r="A161" s="10">
        <v>157</v>
      </c>
      <c r="B161" s="19" t="s">
        <v>172</v>
      </c>
      <c r="C161" s="46">
        <f>+'วันที่ 1'!C161</f>
        <v>0</v>
      </c>
      <c r="D161" s="47">
        <f>+'วันที่ 1'!D161+'วันที่ 2'!D161+'วันที่ 3'!D161+'วันที่ 4'!D161+'วันที่ 5'!D161+'วันที่ 6'!D161+'วันที่  7'!D161+'วันที่  8'!D161+'วันที่  9'!D161+'วันที่  10'!D161+'วันที่  11'!D161+'วันที่  12'!D161+'วันที่  13'!D161+'วันที่ 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5"/>
        <v>0</v>
      </c>
      <c r="F161" s="47">
        <f>+'วันที่ 1'!F161+'วันที่ 2'!F161+'วันที่ 3'!F161+'วันที่ 4'!F161+'วันที่ 5'!F161+'วันที่ 6'!F161+'วันที่  7'!F161+'วันที่  8'!F161+'วันที่  9'!F161+'วันที่  10'!F161+'วันที่  11'!F161+'วันที่  12'!F161+'วันที่  13'!F161+'วันที่ 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2">
        <f t="shared" si="7"/>
        <v>0</v>
      </c>
      <c r="H161" s="47">
        <f>+'วันที่ 1'!H161+'วันที่ 2'!H161+'วันที่ 3'!H161+'วันที่ 4'!H161+'วันที่ 5'!H161+'วันที่ 6'!H161+'วันที่  7'!H161+'วันที่  8'!H161+'วันที่  9'!H161+'วันที่  10'!H161+'วันที่  11'!H161+'วันที่  12'!H161+'วันที่  13'!H161+'วันที่ 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15">
        <v>90</v>
      </c>
      <c r="J161" s="47">
        <f>+'วันที่ 1'!J161+'วันที่ 2'!J161+'วันที่ 3'!J161+'วันที่ 4'!J161+'วันที่ 5'!J161+'วันที่ 6'!J161+'วันที่  7'!J161+'วันที่  8'!J161+'วันที่  9'!J161+'วันที่  10'!J161+'วันที่  11'!J161+'วันที่  12'!J161+'วันที่  13'!J161+'วันที่ 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9"/>
      <c r="M161" s="56"/>
      <c r="U161" s="5"/>
    </row>
    <row r="162" spans="1:21">
      <c r="A162" s="10">
        <v>158</v>
      </c>
      <c r="B162" s="19" t="s">
        <v>173</v>
      </c>
      <c r="C162" s="46">
        <f>+'วันที่ 1'!C162</f>
        <v>0</v>
      </c>
      <c r="D162" s="47">
        <f>+'วันที่ 1'!D162+'วันที่ 2'!D162+'วันที่ 3'!D162+'วันที่ 4'!D162+'วันที่ 5'!D162+'วันที่ 6'!D162+'วันที่  7'!D162+'วันที่  8'!D162+'วันที่  9'!D162+'วันที่  10'!D162+'วันที่  11'!D162+'วันที่  12'!D162+'วันที่  13'!D162+'วันที่ 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5"/>
        <v>0</v>
      </c>
      <c r="F162" s="47">
        <f>+'วันที่ 1'!F162+'วันที่ 2'!F162+'วันที่ 3'!F162+'วันที่ 4'!F162+'วันที่ 5'!F162+'วันที่ 6'!F162+'วันที่  7'!F162+'วันที่  8'!F162+'วันที่  9'!F162+'วันที่  10'!F162+'วันที่  11'!F162+'วันที่  12'!F162+'วันที่  13'!F162+'วันที่ 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2">
        <f t="shared" si="7"/>
        <v>0</v>
      </c>
      <c r="H162" s="47">
        <f>+'วันที่ 1'!H162+'วันที่ 2'!H162+'วันที่ 3'!H162+'วันที่ 4'!H162+'วันที่ 5'!H162+'วันที่ 6'!H162+'วันที่  7'!H162+'วันที่  8'!H162+'วันที่  9'!H162+'วันที่  10'!H162+'วันที่  11'!H162+'วันที่  12'!H162+'วันที่  13'!H162+'วันที่ 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15">
        <v>90</v>
      </c>
      <c r="J162" s="47">
        <f>+'วันที่ 1'!J162+'วันที่ 2'!J162+'วันที่ 3'!J162+'วันที่ 4'!J162+'วันที่ 5'!J162+'วันที่ 6'!J162+'วันที่  7'!J162+'วันที่  8'!J162+'วันที่  9'!J162+'วันที่  10'!J162+'วันที่  11'!J162+'วันที่  12'!J162+'วันที่  13'!J162+'วันที่ 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9"/>
      <c r="M162" s="56"/>
      <c r="U162" s="5"/>
    </row>
    <row r="163" spans="1:21">
      <c r="A163" s="10">
        <v>159</v>
      </c>
      <c r="B163" s="19" t="s">
        <v>174</v>
      </c>
      <c r="C163" s="46">
        <f>+'วันที่ 1'!C163</f>
        <v>0</v>
      </c>
      <c r="D163" s="47">
        <f>+'วันที่ 1'!D163+'วันที่ 2'!D163+'วันที่ 3'!D163+'วันที่ 4'!D163+'วันที่ 5'!D163+'วันที่ 6'!D163+'วันที่  7'!D163+'วันที่  8'!D163+'วันที่  9'!D163+'วันที่  10'!D163+'วันที่  11'!D163+'วันที่  12'!D163+'วันที่  13'!D163+'วันที่ 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63" s="46">
        <f t="shared" si="5"/>
        <v>0</v>
      </c>
      <c r="F163" s="47">
        <f>+'วันที่ 1'!F163+'วันที่ 2'!F163+'วันที่ 3'!F163+'วันที่ 4'!F163+'วันที่ 5'!F163+'วันที่ 6'!F163+'วันที่  7'!F163+'วันที่  8'!F163+'วันที่  9'!F163+'วันที่  10'!F163+'วันที่  11'!F163+'วันที่  12'!F163+'วันที่  13'!F163+'วันที่ 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2">
        <f t="shared" si="7"/>
        <v>0</v>
      </c>
      <c r="H163" s="47">
        <f>+'วันที่ 1'!H163+'วันที่ 2'!H163+'วันที่ 3'!H163+'วันที่ 4'!H163+'วันที่ 5'!H163+'วันที่ 6'!H163+'วันที่  7'!H163+'วันที่  8'!H163+'วันที่  9'!H163+'วันที่  10'!H163+'วันที่  11'!H163+'วันที่  12'!H163+'วันที่  13'!H163+'วันที่ 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63" s="15">
        <v>25</v>
      </c>
      <c r="J163" s="47">
        <f>+'วันที่ 1'!J163+'วันที่ 2'!J163+'วันที่ 3'!J163+'วันที่ 4'!J163+'วันที่ 5'!J163+'วันที่ 6'!J163+'วันที่  7'!J163+'วันที่  8'!J163+'วันที่  9'!J163+'วันที่  10'!J163+'วันที่  11'!J163+'วันที่  12'!J163+'วันที่  13'!J163+'วันที่ 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63" s="19"/>
      <c r="M163" s="56"/>
      <c r="U163" s="5"/>
    </row>
    <row r="164" spans="1:21">
      <c r="A164" s="10">
        <v>160</v>
      </c>
      <c r="B164" s="19" t="s">
        <v>175</v>
      </c>
      <c r="C164" s="46">
        <f>+'วันที่ 1'!C164</f>
        <v>0</v>
      </c>
      <c r="D164" s="47">
        <f>+'วันที่ 1'!D164+'วันที่ 2'!D164+'วันที่ 3'!D164+'วันที่ 4'!D164+'วันที่ 5'!D164+'วันที่ 6'!D164+'วันที่  7'!D164+'วันที่  8'!D164+'วันที่  9'!D164+'วันที่  10'!D164+'วันที่  11'!D164+'วันที่  12'!D164+'วันที่  13'!D164+'วันที่ 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5"/>
        <v>0</v>
      </c>
      <c r="F164" s="47">
        <f>+'วันที่ 1'!F164+'วันที่ 2'!F164+'วันที่ 3'!F164+'วันที่ 4'!F164+'วันที่ 5'!F164+'วันที่ 6'!F164+'วันที่  7'!F164+'วันที่  8'!F164+'วันที่  9'!F164+'วันที่  10'!F164+'วันที่  11'!F164+'วันที่  12'!F164+'วันที่  13'!F164+'วันที่ 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2">
        <f t="shared" si="7"/>
        <v>0</v>
      </c>
      <c r="H164" s="47">
        <f>+'วันที่ 1'!H164+'วันที่ 2'!H164+'วันที่ 3'!H164+'วันที่ 4'!H164+'วันที่ 5'!H164+'วันที่ 6'!H164+'วันที่  7'!H164+'วันที่  8'!H164+'วันที่  9'!H164+'วันที่  10'!H164+'วันที่  11'!H164+'วันที่  12'!H164+'วันที่  13'!H164+'วันที่ 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15">
        <v>50</v>
      </c>
      <c r="J164" s="47">
        <f>+'วันที่ 1'!J164+'วันที่ 2'!J164+'วันที่ 3'!J164+'วันที่ 4'!J164+'วันที่ 5'!J164+'วันที่ 6'!J164+'วันที่  7'!J164+'วันที่  8'!J164+'วันที่  9'!J164+'วันที่  10'!J164+'วันที่  11'!J164+'วันที่  12'!J164+'วันที่  13'!J164+'วันที่ 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9"/>
      <c r="M164" s="56"/>
      <c r="U164" s="5"/>
    </row>
    <row r="165" spans="1:21">
      <c r="A165" s="10">
        <v>161</v>
      </c>
      <c r="B165" s="19" t="s">
        <v>176</v>
      </c>
      <c r="C165" s="46">
        <f>+'วันที่ 1'!C165</f>
        <v>0</v>
      </c>
      <c r="D165" s="47">
        <f>+'วันที่ 1'!D165+'วันที่ 2'!D165+'วันที่ 3'!D165+'วันที่ 4'!D165+'วันที่ 5'!D165+'วันที่ 6'!D165+'วันที่  7'!D165+'วันที่  8'!D165+'วันที่  9'!D165+'วันที่  10'!D165+'วันที่  11'!D165+'วันที่  12'!D165+'วันที่  13'!D165+'วันที่ 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5"/>
        <v>0</v>
      </c>
      <c r="F165" s="47">
        <f>+'วันที่ 1'!F165+'วันที่ 2'!F165+'วันที่ 3'!F165+'วันที่ 4'!F165+'วันที่ 5'!F165+'วันที่ 6'!F165+'วันที่  7'!F165+'วันที่  8'!F165+'วันที่  9'!F165+'วันที่  10'!F165+'วันที่  11'!F165+'วันที่  12'!F165+'วันที่  13'!F165+'วันที่ 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2">
        <f t="shared" si="7"/>
        <v>0</v>
      </c>
      <c r="H165" s="47">
        <f>+'วันที่ 1'!H165+'วันที่ 2'!H165+'วันที่ 3'!H165+'วันที่ 4'!H165+'วันที่ 5'!H165+'วันที่ 6'!H165+'วันที่  7'!H165+'วันที่  8'!H165+'วันที่  9'!H165+'วันที่  10'!H165+'วันที่  11'!H165+'วันที่  12'!H165+'วันที่  13'!H165+'วันที่ 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15">
        <v>50</v>
      </c>
      <c r="J165" s="47">
        <f>+'วันที่ 1'!J165+'วันที่ 2'!J165+'วันที่ 3'!J165+'วันที่ 4'!J165+'วันที่ 5'!J165+'วันที่ 6'!J165+'วันที่  7'!J165+'วันที่  8'!J165+'วันที่  9'!J165+'วันที่  10'!J165+'วันที่  11'!J165+'วันที่  12'!J165+'วันที่  13'!J165+'วันที่ 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9"/>
      <c r="M165" s="56"/>
      <c r="U165" s="5"/>
    </row>
    <row r="166" spans="1:21">
      <c r="A166" s="10">
        <v>162</v>
      </c>
      <c r="B166" s="19" t="s">
        <v>177</v>
      </c>
      <c r="C166" s="46">
        <f>+'วันที่ 1'!C166</f>
        <v>0</v>
      </c>
      <c r="D166" s="47">
        <f>+'วันที่ 1'!D166+'วันที่ 2'!D166+'วันที่ 3'!D166+'วันที่ 4'!D166+'วันที่ 5'!D166+'วันที่ 6'!D166+'วันที่  7'!D166+'วันที่  8'!D166+'วันที่  9'!D166+'วันที่  10'!D166+'วันที่  11'!D166+'วันที่  12'!D166+'วันที่  13'!D166+'วันที่ 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5"/>
        <v>0</v>
      </c>
      <c r="F166" s="47">
        <f>+'วันที่ 1'!F166+'วันที่ 2'!F166+'วันที่ 3'!F166+'วันที่ 4'!F166+'วันที่ 5'!F166+'วันที่ 6'!F166+'วันที่  7'!F166+'วันที่  8'!F166+'วันที่  9'!F166+'วันที่  10'!F166+'วันที่  11'!F166+'วันที่  12'!F166+'วันที่  13'!F166+'วันที่ 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2">
        <f t="shared" si="7"/>
        <v>0</v>
      </c>
      <c r="H166" s="47">
        <f>+'วันที่ 1'!H166+'วันที่ 2'!H166+'วันที่ 3'!H166+'วันที่ 4'!H166+'วันที่ 5'!H166+'วันที่ 6'!H166+'วันที่  7'!H166+'วันที่  8'!H166+'วันที่  9'!H166+'วันที่  10'!H166+'วันที่  11'!H166+'วันที่  12'!H166+'วันที่  13'!H166+'วันที่ 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15">
        <v>50</v>
      </c>
      <c r="J166" s="47">
        <f>+'วันที่ 1'!J166+'วันที่ 2'!J166+'วันที่ 3'!J166+'วันที่ 4'!J166+'วันที่ 5'!J166+'วันที่ 6'!J166+'วันที่  7'!J166+'วันที่  8'!J166+'วันที่  9'!J166+'วันที่  10'!J166+'วันที่  11'!J166+'วันที่  12'!J166+'วันที่  13'!J166+'วันที่ 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9"/>
      <c r="M166" s="56"/>
      <c r="U166" s="5"/>
    </row>
    <row r="167" spans="1:21">
      <c r="A167" s="10">
        <v>163</v>
      </c>
      <c r="B167" s="19" t="s">
        <v>178</v>
      </c>
      <c r="C167" s="46">
        <f>+'วันที่ 1'!C167</f>
        <v>0</v>
      </c>
      <c r="D167" s="47">
        <f>+'วันที่ 1'!D167+'วันที่ 2'!D167+'วันที่ 3'!D167+'วันที่ 4'!D167+'วันที่ 5'!D167+'วันที่ 6'!D167+'วันที่  7'!D167+'วันที่  8'!D167+'วันที่  9'!D167+'วันที่  10'!D167+'วันที่  11'!D167+'วันที่  12'!D167+'วันที่  13'!D167+'วันที่ 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5"/>
        <v>0</v>
      </c>
      <c r="F167" s="47">
        <f>+'วันที่ 1'!F167+'วันที่ 2'!F167+'วันที่ 3'!F167+'วันที่ 4'!F167+'วันที่ 5'!F167+'วันที่ 6'!F167+'วันที่  7'!F167+'วันที่  8'!F167+'วันที่  9'!F167+'วันที่  10'!F167+'วันที่  11'!F167+'วันที่  12'!F167+'วันที่  13'!F167+'วันที่ 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2">
        <f t="shared" si="7"/>
        <v>0</v>
      </c>
      <c r="H167" s="47">
        <f>+'วันที่ 1'!H167+'วันที่ 2'!H167+'วันที่ 3'!H167+'วันที่ 4'!H167+'วันที่ 5'!H167+'วันที่ 6'!H167+'วันที่  7'!H167+'วันที่  8'!H167+'วันที่  9'!H167+'วันที่  10'!H167+'วันที่  11'!H167+'วันที่  12'!H167+'วันที่  13'!H167+'วันที่ 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15">
        <v>50</v>
      </c>
      <c r="J167" s="47">
        <f>+'วันที่ 1'!J167+'วันที่ 2'!J167+'วันที่ 3'!J167+'วันที่ 4'!J167+'วันที่ 5'!J167+'วันที่ 6'!J167+'วันที่  7'!J167+'วันที่  8'!J167+'วันที่  9'!J167+'วันที่  10'!J167+'วันที่  11'!J167+'วันที่  12'!J167+'วันที่  13'!J167+'วันที่ 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19"/>
      <c r="M167" s="56"/>
      <c r="U167" s="5"/>
    </row>
    <row r="168" spans="1:21">
      <c r="A168" s="10">
        <v>164</v>
      </c>
      <c r="B168" s="19" t="s">
        <v>179</v>
      </c>
      <c r="C168" s="46">
        <f>+'วันที่ 1'!C168</f>
        <v>7</v>
      </c>
      <c r="D168" s="47">
        <f>+'วันที่ 1'!D168+'วันที่ 2'!D168+'วันที่ 3'!D168+'วันที่ 4'!D168+'วันที่ 5'!D168+'วันที่ 6'!D168+'วันที่  7'!D168+'วันที่  8'!D168+'วันที่  9'!D168+'วันที่  10'!D168+'วันที่  11'!D168+'วันที่  12'!D168+'วันที่  13'!D168+'วันที่ 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30</v>
      </c>
      <c r="E168" s="46">
        <f t="shared" si="5"/>
        <v>37</v>
      </c>
      <c r="F168" s="47">
        <f>+'วันที่ 1'!F168+'วันที่ 2'!F168+'วันที่ 3'!F168+'วันที่ 4'!F168+'วันที่ 5'!F168+'วันที่ 6'!F168+'วันที่  7'!F168+'วันที่  8'!F168+'วันที่  9'!F168+'วันที่  10'!F168+'วันที่  11'!F168+'วันที่  12'!F168+'วันที่  13'!F168+'วันที่ 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92">
        <f t="shared" si="7"/>
        <v>33</v>
      </c>
      <c r="H168" s="47">
        <f>+'วันที่ 1'!H168+'วันที่ 2'!H168+'วันที่ 3'!H168+'วันที่ 4'!H168+'วันที่ 5'!H168+'วันที่ 6'!H168+'วันที่  7'!H168+'วันที่  8'!H168+'วันที่  9'!H168+'วันที่  10'!H168+'วันที่  11'!H168+'วันที่  12'!H168+'วันที่  13'!H168+'วันที่ 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4</v>
      </c>
      <c r="I168" s="15">
        <v>55</v>
      </c>
      <c r="J168" s="47">
        <f>+'วันที่ 1'!J168+'วันที่ 2'!J168+'วันที่ 3'!J168+'วันที่ 4'!J168+'วันที่ 5'!J168+'วันที่ 6'!J168+'วันที่  7'!J168+'วันที่  8'!J168+'วันที่  9'!J168+'วันที่  10'!J168+'วันที่  11'!J168+'วันที่  12'!J168+'วันที่  13'!J168+'วันที่ 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220</v>
      </c>
      <c r="K168" s="19"/>
      <c r="M168" s="56"/>
      <c r="U168" s="5"/>
    </row>
    <row r="169" spans="1:21">
      <c r="A169" s="10">
        <v>165</v>
      </c>
      <c r="B169" s="19" t="s">
        <v>180</v>
      </c>
      <c r="C169" s="46">
        <f>+'วันที่ 1'!C169</f>
        <v>22</v>
      </c>
      <c r="D169" s="47">
        <f>+'วันที่ 1'!D169+'วันที่ 2'!D169+'วันที่ 3'!D169+'วันที่ 4'!D169+'วันที่ 5'!D169+'วันที่ 6'!D169+'วันที่  7'!D169+'วันที่  8'!D169+'วันที่  9'!D169+'วันที่  10'!D169+'วันที่  11'!D169+'วันที่  12'!D169+'วันที่  13'!D169+'วันที่ 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5"/>
        <v>22</v>
      </c>
      <c r="F169" s="47">
        <f>+'วันที่ 1'!F169+'วันที่ 2'!F169+'วันที่ 3'!F169+'วันที่ 4'!F169+'วันที่ 5'!F169+'วันที่ 6'!F169+'วันที่  7'!F169+'วันที่  8'!F169+'วันที่  9'!F169+'วันที่  10'!F169+'วันที่  11'!F169+'วันที่  12'!F169+'วันที่  13'!F169+'วันที่ 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92">
        <f t="shared" si="7"/>
        <v>15</v>
      </c>
      <c r="H169" s="47">
        <f>+'วันที่ 1'!H169+'วันที่ 2'!H169+'วันที่ 3'!H169+'วันที่ 4'!H169+'วันที่ 5'!H169+'วันที่ 6'!H169+'วันที่  7'!H169+'วันที่  8'!H169+'วันที่  9'!H169+'วันที่  10'!H169+'วันที่  11'!H169+'วันที่  12'!H169+'วันที่  13'!H169+'วันที่ 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7</v>
      </c>
      <c r="I169" s="15">
        <v>85</v>
      </c>
      <c r="J169" s="47">
        <f>+'วันที่ 1'!J169+'วันที่ 2'!J169+'วันที่ 3'!J169+'วันที่ 4'!J169+'วันที่ 5'!J169+'วันที่ 6'!J169+'วันที่  7'!J169+'วันที่  8'!J169+'วันที่  9'!J169+'วันที่  10'!J169+'วันที่  11'!J169+'วันที่  12'!J169+'วันที่  13'!J169+'วันที่ 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595</v>
      </c>
      <c r="K169" s="19"/>
      <c r="M169" s="56"/>
      <c r="U169" s="5"/>
    </row>
    <row r="170" spans="1:21">
      <c r="A170" s="10">
        <v>166</v>
      </c>
      <c r="B170" s="19" t="s">
        <v>181</v>
      </c>
      <c r="C170" s="46">
        <f>+'วันที่ 1'!C170</f>
        <v>0</v>
      </c>
      <c r="D170" s="47">
        <f>+'วันที่ 1'!D170+'วันที่ 2'!D170+'วันที่ 3'!D170+'วันที่ 4'!D170+'วันที่ 5'!D170+'วันที่ 6'!D170+'วันที่  7'!D170+'วันที่  8'!D170+'วันที่  9'!D170+'วันที่  10'!D170+'วันที่  11'!D170+'วันที่  12'!D170+'วันที่  13'!D170+'วันที่ 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5"/>
        <v>0</v>
      </c>
      <c r="F170" s="47">
        <f>+'วันที่ 1'!F170+'วันที่ 2'!F170+'วันที่ 3'!F170+'วันที่ 4'!F170+'วันที่ 5'!F170+'วันที่ 6'!F170+'วันที่  7'!F170+'วันที่  8'!F170+'วันที่  9'!F170+'วันที่  10'!F170+'วันที่  11'!F170+'วันที่  12'!F170+'วันที่  13'!F170+'วันที่ 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2">
        <f t="shared" si="7"/>
        <v>0</v>
      </c>
      <c r="H170" s="47">
        <f>+'วันที่ 1'!H170+'วันที่ 2'!H170+'วันที่ 3'!H170+'วันที่ 4'!H170+'วันที่ 5'!H170+'วันที่ 6'!H170+'วันที่  7'!H170+'วันที่  8'!H170+'วันที่  9'!H170+'วันที่  10'!H170+'วันที่  11'!H170+'วันที่  12'!H170+'วันที่  13'!H170+'วันที่ 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15">
        <v>80</v>
      </c>
      <c r="J170" s="47">
        <f>+'วันที่ 1'!J170+'วันที่ 2'!J170+'วันที่ 3'!J170+'วันที่ 4'!J170+'วันที่ 5'!J170+'วันที่ 6'!J170+'วันที่  7'!J170+'วันที่  8'!J170+'วันที่  9'!J170+'วันที่  10'!J170+'วันที่  11'!J170+'วันที่  12'!J170+'วันที่  13'!J170+'วันที่ 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19"/>
      <c r="M170" s="56"/>
      <c r="U170" s="5"/>
    </row>
    <row r="171" spans="1:21">
      <c r="A171" s="10">
        <v>167</v>
      </c>
      <c r="B171" s="19" t="s">
        <v>182</v>
      </c>
      <c r="C171" s="46">
        <f>+'วันที่ 1'!C171</f>
        <v>0</v>
      </c>
      <c r="D171" s="47">
        <f>+'วันที่ 1'!D171+'วันที่ 2'!D171+'วันที่ 3'!D171+'วันที่ 4'!D171+'วันที่ 5'!D171+'วันที่ 6'!D171+'วันที่  7'!D171+'วันที่  8'!D171+'วันที่  9'!D171+'วันที่  10'!D171+'วันที่  11'!D171+'วันที่  12'!D171+'วันที่  13'!D171+'วันที่ 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5"/>
        <v>0</v>
      </c>
      <c r="F171" s="47">
        <f>+'วันที่ 1'!F171+'วันที่ 2'!F171+'วันที่ 3'!F171+'วันที่ 4'!F171+'วันที่ 5'!F171+'วันที่ 6'!F171+'วันที่  7'!F171+'วันที่  8'!F171+'วันที่  9'!F171+'วันที่  10'!F171+'วันที่  11'!F171+'วันที่  12'!F171+'วันที่  13'!F171+'วันที่ 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2">
        <f t="shared" si="7"/>
        <v>0</v>
      </c>
      <c r="H171" s="47">
        <f>+'วันที่ 1'!H171+'วันที่ 2'!H171+'วันที่ 3'!H171+'วันที่ 4'!H171+'วันที่ 5'!H171+'วันที่ 6'!H171+'วันที่  7'!H171+'วันที่  8'!H171+'วันที่  9'!H171+'วันที่  10'!H171+'วันที่  11'!H171+'วันที่  12'!H171+'วันที่  13'!H171+'วันที่ 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15">
        <v>40</v>
      </c>
      <c r="J171" s="47">
        <f>+'วันที่ 1'!J171+'วันที่ 2'!J171+'วันที่ 3'!J171+'วันที่ 4'!J171+'วันที่ 5'!J171+'วันที่ 6'!J171+'วันที่  7'!J171+'วันที่  8'!J171+'วันที่  9'!J171+'วันที่  10'!J171+'วันที่  11'!J171+'วันที่  12'!J171+'วันที่  13'!J171+'วันที่ 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9"/>
      <c r="M171" s="56"/>
      <c r="U171" s="5"/>
    </row>
    <row r="172" spans="1:21">
      <c r="A172" s="10">
        <v>168</v>
      </c>
      <c r="B172" s="19" t="s">
        <v>183</v>
      </c>
      <c r="C172" s="46">
        <f>+'วันที่ 1'!C172</f>
        <v>0</v>
      </c>
      <c r="D172" s="47">
        <f>+'วันที่ 1'!D172+'วันที่ 2'!D172+'วันที่ 3'!D172+'วันที่ 4'!D172+'วันที่ 5'!D172+'วันที่ 6'!D172+'วันที่  7'!D172+'วันที่  8'!D172+'วันที่  9'!D172+'วันที่  10'!D172+'วันที่  11'!D172+'วันที่  12'!D172+'วันที่  13'!D172+'วันที่ 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5"/>
        <v>0</v>
      </c>
      <c r="F172" s="47">
        <f>+'วันที่ 1'!F172+'วันที่ 2'!F172+'วันที่ 3'!F172+'วันที่ 4'!F172+'วันที่ 5'!F172+'วันที่ 6'!F172+'วันที่  7'!F172+'วันที่  8'!F172+'วันที่  9'!F172+'วันที่  10'!F172+'วันที่  11'!F172+'วันที่  12'!F172+'วันที่  13'!F172+'วันที่ 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2">
        <f t="shared" si="7"/>
        <v>0</v>
      </c>
      <c r="H172" s="47">
        <f>+'วันที่ 1'!H172+'วันที่ 2'!H172+'วันที่ 3'!H172+'วันที่ 4'!H172+'วันที่ 5'!H172+'วันที่ 6'!H172+'วันที่  7'!H172+'วันที่  8'!H172+'วันที่  9'!H172+'วันที่  10'!H172+'วันที่  11'!H172+'วันที่  12'!H172+'วันที่  13'!H172+'วันที่ 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15">
        <v>120</v>
      </c>
      <c r="J172" s="47">
        <f>+'วันที่ 1'!J172+'วันที่ 2'!J172+'วันที่ 3'!J172+'วันที่ 4'!J172+'วันที่ 5'!J172+'วันที่ 6'!J172+'วันที่  7'!J172+'วันที่  8'!J172+'วันที่  9'!J172+'วันที่  10'!J172+'วันที่  11'!J172+'วันที่  12'!J172+'วันที่  13'!J172+'วันที่ 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9"/>
      <c r="M172" s="56"/>
      <c r="U172" s="5"/>
    </row>
    <row r="173" spans="1:21">
      <c r="A173" s="10">
        <v>169</v>
      </c>
      <c r="B173" s="19" t="s">
        <v>184</v>
      </c>
      <c r="C173" s="46">
        <f>+'วันที่ 1'!C173</f>
        <v>0</v>
      </c>
      <c r="D173" s="47">
        <f>+'วันที่ 1'!D173+'วันที่ 2'!D173+'วันที่ 3'!D173+'วันที่ 4'!D173+'วันที่ 5'!D173+'วันที่ 6'!D173+'วันที่  7'!D173+'วันที่  8'!D173+'วันที่  9'!D173+'วันที่  10'!D173+'วันที่  11'!D173+'วันที่  12'!D173+'วันที่  13'!D173+'วันที่ 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5"/>
        <v>0</v>
      </c>
      <c r="F173" s="47">
        <f>+'วันที่ 1'!F173+'วันที่ 2'!F173+'วันที่ 3'!F173+'วันที่ 4'!F173+'วันที่ 5'!F173+'วันที่ 6'!F173+'วันที่  7'!F173+'วันที่  8'!F173+'วันที่  9'!F173+'วันที่  10'!F173+'วันที่  11'!F173+'วันที่  12'!F173+'วันที่  13'!F173+'วันที่ 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2">
        <f t="shared" si="7"/>
        <v>0</v>
      </c>
      <c r="H173" s="47">
        <f>+'วันที่ 1'!H173+'วันที่ 2'!H173+'วันที่ 3'!H173+'วันที่ 4'!H173+'วันที่ 5'!H173+'วันที่ 6'!H173+'วันที่  7'!H173+'วันที่  8'!H173+'วันที่  9'!H173+'วันที่  10'!H173+'วันที่  11'!H173+'วันที่  12'!H173+'วันที่  13'!H173+'วันที่ 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15">
        <v>120</v>
      </c>
      <c r="J173" s="47">
        <f>+'วันที่ 1'!J173+'วันที่ 2'!J173+'วันที่ 3'!J173+'วันที่ 4'!J173+'วันที่ 5'!J173+'วันที่ 6'!J173+'วันที่  7'!J173+'วันที่  8'!J173+'วันที่  9'!J173+'วันที่  10'!J173+'วันที่  11'!J173+'วันที่  12'!J173+'วันที่  13'!J173+'วันที่ 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9"/>
      <c r="M173" s="56"/>
      <c r="U173" s="5"/>
    </row>
    <row r="174" spans="1:21">
      <c r="A174" s="10">
        <v>170</v>
      </c>
      <c r="B174" s="19" t="s">
        <v>185</v>
      </c>
      <c r="C174" s="46">
        <f>+'วันที่ 1'!C174</f>
        <v>0</v>
      </c>
      <c r="D174" s="47">
        <f>+'วันที่ 1'!D174+'วันที่ 2'!D174+'วันที่ 3'!D174+'วันที่ 4'!D174+'วันที่ 5'!D174+'วันที่ 6'!D174+'วันที่  7'!D174+'วันที่  8'!D174+'วันที่  9'!D174+'วันที่  10'!D174+'วันที่  11'!D174+'วันที่  12'!D174+'วันที่  13'!D174+'วันที่ 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5"/>
        <v>0</v>
      </c>
      <c r="F174" s="47">
        <f>+'วันที่ 1'!F174+'วันที่ 2'!F174+'วันที่ 3'!F174+'วันที่ 4'!F174+'วันที่ 5'!F174+'วันที่ 6'!F174+'วันที่  7'!F174+'วันที่  8'!F174+'วันที่  9'!F174+'วันที่  10'!F174+'วันที่  11'!F174+'วันที่  12'!F174+'วันที่  13'!F174+'วันที่ 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2">
        <f t="shared" si="7"/>
        <v>0</v>
      </c>
      <c r="H174" s="47">
        <f>+'วันที่ 1'!H174+'วันที่ 2'!H174+'วันที่ 3'!H174+'วันที่ 4'!H174+'วันที่ 5'!H174+'วันที่ 6'!H174+'วันที่  7'!H174+'วันที่  8'!H174+'วันที่  9'!H174+'วันที่  10'!H174+'วันที่  11'!H174+'วันที่  12'!H174+'วันที่  13'!H174+'วันที่ 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15">
        <v>55</v>
      </c>
      <c r="J174" s="47">
        <f>+'วันที่ 1'!J174+'วันที่ 2'!J174+'วันที่ 3'!J174+'วันที่ 4'!J174+'วันที่ 5'!J174+'วันที่ 6'!J174+'วันที่  7'!J174+'วันที่  8'!J174+'วันที่  9'!J174+'วันที่  10'!J174+'วันที่  11'!J174+'วันที่  12'!J174+'วันที่  13'!J174+'วันที่ 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9"/>
      <c r="M174" s="56"/>
      <c r="U174" s="5"/>
    </row>
    <row r="175" spans="1:21">
      <c r="A175" s="10">
        <v>171</v>
      </c>
      <c r="B175" s="19" t="s">
        <v>186</v>
      </c>
      <c r="C175" s="46">
        <f>+'วันที่ 1'!C175</f>
        <v>0</v>
      </c>
      <c r="D175" s="47">
        <f>+'วันที่ 1'!D175+'วันที่ 2'!D175+'วันที่ 3'!D175+'วันที่ 4'!D175+'วันที่ 5'!D175+'วันที่ 6'!D175+'วันที่  7'!D175+'วันที่  8'!D175+'วันที่  9'!D175+'วันที่  10'!D175+'วันที่  11'!D175+'วันที่  12'!D175+'วันที่  13'!D175+'วันที่ 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5"/>
        <v>0</v>
      </c>
      <c r="F175" s="47">
        <f>+'วันที่ 1'!F175+'วันที่ 2'!F175+'วันที่ 3'!F175+'วันที่ 4'!F175+'วันที่ 5'!F175+'วันที่ 6'!F175+'วันที่  7'!F175+'วันที่  8'!F175+'วันที่  9'!F175+'วันที่  10'!F175+'วันที่  11'!F175+'วันที่  12'!F175+'วันที่  13'!F175+'วันที่ 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2">
        <f t="shared" si="7"/>
        <v>0</v>
      </c>
      <c r="H175" s="47">
        <f>+'วันที่ 1'!H175+'วันที่ 2'!H175+'วันที่ 3'!H175+'วันที่ 4'!H175+'วันที่ 5'!H175+'วันที่ 6'!H175+'วันที่  7'!H175+'วันที่  8'!H175+'วันที่  9'!H175+'วันที่  10'!H175+'วันที่  11'!H175+'วันที่  12'!H175+'วันที่  13'!H175+'วันที่ 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15">
        <v>50</v>
      </c>
      <c r="J175" s="47">
        <f>+'วันที่ 1'!J175+'วันที่ 2'!J175+'วันที่ 3'!J175+'วันที่ 4'!J175+'วันที่ 5'!J175+'วันที่ 6'!J175+'วันที่  7'!J175+'วันที่  8'!J175+'วันที่  9'!J175+'วันที่  10'!J175+'วันที่  11'!J175+'วันที่  12'!J175+'วันที่  13'!J175+'วันที่ 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9"/>
      <c r="M175" s="56"/>
      <c r="U175" s="5"/>
    </row>
    <row r="176" spans="1:21">
      <c r="A176" s="10">
        <v>172</v>
      </c>
      <c r="B176" s="19" t="s">
        <v>187</v>
      </c>
      <c r="C176" s="46">
        <f>+'วันที่ 1'!C176</f>
        <v>0</v>
      </c>
      <c r="D176" s="47">
        <f>+'วันที่ 1'!D176+'วันที่ 2'!D176+'วันที่ 3'!D176+'วันที่ 4'!D176+'วันที่ 5'!D176+'วันที่ 6'!D176+'วันที่  7'!D176+'วันที่  8'!D176+'วันที่  9'!D176+'วันที่  10'!D176+'วันที่  11'!D176+'วันที่  12'!D176+'วันที่  13'!D176+'วันที่ 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46">
        <f t="shared" si="5"/>
        <v>0</v>
      </c>
      <c r="F176" s="47">
        <f>+'วันที่ 1'!F176+'วันที่ 2'!F176+'วันที่ 3'!F176+'วันที่ 4'!F176+'วันที่ 5'!F176+'วันที่ 6'!F176+'วันที่  7'!F176+'วันที่  8'!F176+'วันที่  9'!F176+'วันที่  10'!F176+'วันที่  11'!F176+'วันที่  12'!F176+'วันที่  13'!F176+'วันที่ 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2">
        <f t="shared" si="7"/>
        <v>0</v>
      </c>
      <c r="H176" s="47">
        <f>+'วันที่ 1'!H176+'วันที่ 2'!H176+'วันที่ 3'!H176+'วันที่ 4'!H176+'วันที่ 5'!H176+'วันที่ 6'!H176+'วันที่  7'!H176+'วันที่  8'!H176+'วันที่  9'!H176+'วันที่  10'!H176+'วันที่  11'!H176+'วันที่  12'!H176+'วันที่  13'!H176+'วันที่ 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15">
        <v>50</v>
      </c>
      <c r="J176" s="47">
        <f>+'วันที่ 1'!J176+'วันที่ 2'!J176+'วันที่ 3'!J176+'วันที่ 4'!J176+'วันที่ 5'!J176+'วันที่ 6'!J176+'วันที่  7'!J176+'วันที่  8'!J176+'วันที่  9'!J176+'วันที่  10'!J176+'วันที่  11'!J176+'วันที่  12'!J176+'วันที่  13'!J176+'วันที่ 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19"/>
      <c r="M176" s="56"/>
      <c r="U176" s="5"/>
    </row>
    <row r="177" spans="1:21">
      <c r="A177" s="10">
        <v>173</v>
      </c>
      <c r="B177" s="19" t="s">
        <v>188</v>
      </c>
      <c r="C177" s="46">
        <f>+'วันที่ 1'!C177</f>
        <v>0</v>
      </c>
      <c r="D177" s="47">
        <f>+'วันที่ 1'!D177+'วันที่ 2'!D177+'วันที่ 3'!D177+'วันที่ 4'!D177+'วันที่ 5'!D177+'วันที่ 6'!D177+'วันที่  7'!D177+'วันที่  8'!D177+'วันที่  9'!D177+'วันที่  10'!D177+'วันที่  11'!D177+'วันที่  12'!D177+'วันที่  13'!D177+'วันที่ 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77" s="46">
        <f t="shared" si="5"/>
        <v>0</v>
      </c>
      <c r="F177" s="47">
        <f>+'วันที่ 1'!F177+'วันที่ 2'!F177+'วันที่ 3'!F177+'วันที่ 4'!F177+'วันที่ 5'!F177+'วันที่ 6'!F177+'วันที่  7'!F177+'วันที่  8'!F177+'วันที่  9'!F177+'วันที่  10'!F177+'วันที่  11'!F177+'วันที่  12'!F177+'วันที่  13'!F177+'วันที่ 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92">
        <f t="shared" si="7"/>
        <v>0</v>
      </c>
      <c r="H177" s="47">
        <f>+'วันที่ 1'!H177+'วันที่ 2'!H177+'วันที่ 3'!H177+'วันที่ 4'!H177+'วันที่ 5'!H177+'วันที่ 6'!H177+'วันที่  7'!H177+'วันที่  8'!H177+'วันที่  9'!H177+'วันที่  10'!H177+'วันที่  11'!H177+'วันที่  12'!H177+'วันที่  13'!H177+'วันที่ 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77" s="15">
        <v>120</v>
      </c>
      <c r="J177" s="47">
        <f>+'วันที่ 1'!J177+'วันที่ 2'!J177+'วันที่ 3'!J177+'วันที่ 4'!J177+'วันที่ 5'!J177+'วันที่ 6'!J177+'วันที่  7'!J177+'วันที่  8'!J177+'วันที่  9'!J177+'วันที่  10'!J177+'วันที่  11'!J177+'วันที่  12'!J177+'วันที่  13'!J177+'วันที่ 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77" s="19"/>
      <c r="M177" s="56"/>
      <c r="U177" s="5"/>
    </row>
    <row r="178" spans="1:21">
      <c r="A178" s="10">
        <v>174</v>
      </c>
      <c r="B178" s="19" t="s">
        <v>189</v>
      </c>
      <c r="C178" s="46">
        <f>+'วันที่ 1'!C178</f>
        <v>5</v>
      </c>
      <c r="D178" s="47">
        <f>+'วันที่ 1'!D178+'วันที่ 2'!D178+'วันที่ 3'!D178+'วันที่ 4'!D178+'วันที่ 5'!D178+'วันที่ 6'!D178+'วันที่  7'!D178+'วันที่  8'!D178+'วันที่  9'!D178+'วันที่  10'!D178+'วันที่  11'!D178+'วันที่  12'!D178+'วันที่  13'!D178+'วันที่ 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13</v>
      </c>
      <c r="E178" s="46">
        <f t="shared" si="5"/>
        <v>18</v>
      </c>
      <c r="F178" s="47">
        <f>+'วันที่ 1'!F178+'วันที่ 2'!F178+'วันที่ 3'!F178+'วันที่ 4'!F178+'วันที่ 5'!F178+'วันที่ 6'!F178+'วันที่  7'!F178+'วันที่  8'!F178+'วันที่  9'!F178+'วันที่  10'!F178+'วันที่  11'!F178+'วันที่  12'!F178+'วันที่  13'!F178+'วันที่ 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92">
        <f t="shared" si="7"/>
        <v>5</v>
      </c>
      <c r="H178" s="47">
        <f>+'วันที่ 1'!H178+'วันที่ 2'!H178+'วันที่ 3'!H178+'วันที่ 4'!H178+'วันที่ 5'!H178+'วันที่ 6'!H178+'วันที่  7'!H178+'วันที่  8'!H178+'วันที่  9'!H178+'วันที่  10'!H178+'วันที่  11'!H178+'วันที่  12'!H178+'วันที่  13'!H178+'วันที่ 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13</v>
      </c>
      <c r="I178" s="15">
        <v>120</v>
      </c>
      <c r="J178" s="47">
        <f>+'วันที่ 1'!J178+'วันที่ 2'!J178+'วันที่ 3'!J178+'วันที่ 4'!J178+'วันที่ 5'!J178+'วันที่ 6'!J178+'วันที่  7'!J178+'วันที่  8'!J178+'วันที่  9'!J178+'วันที่  10'!J178+'วันที่  11'!J178+'วันที่  12'!J178+'วันที่  13'!J178+'วันที่ 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1560</v>
      </c>
      <c r="K178" s="19"/>
      <c r="M178" s="56"/>
      <c r="U178" s="5"/>
    </row>
    <row r="179" spans="1:21">
      <c r="A179" s="10">
        <v>175</v>
      </c>
      <c r="B179" s="19" t="s">
        <v>190</v>
      </c>
      <c r="C179" s="46">
        <f>+'วันที่ 1'!C179</f>
        <v>0</v>
      </c>
      <c r="D179" s="47">
        <f>+'วันที่ 1'!D179+'วันที่ 2'!D179+'วันที่ 3'!D179+'วันที่ 4'!D179+'วันที่ 5'!D179+'วันที่ 6'!D179+'วันที่  7'!D179+'วันที่  8'!D179+'วันที่  9'!D179+'วันที่  10'!D179+'วันที่  11'!D179+'วันที่  12'!D179+'วันที่  13'!D179+'วันที่ 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5"/>
        <v>0</v>
      </c>
      <c r="F179" s="47">
        <f>+'วันที่ 1'!F179+'วันที่ 2'!F179+'วันที่ 3'!F179+'วันที่ 4'!F179+'วันที่ 5'!F179+'วันที่ 6'!F179+'วันที่  7'!F179+'วันที่  8'!F179+'วันที่  9'!F179+'วันที่  10'!F179+'วันที่  11'!F179+'วันที่  12'!F179+'วันที่  13'!F179+'วันที่ 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2">
        <f t="shared" si="7"/>
        <v>0</v>
      </c>
      <c r="H179" s="47">
        <f>+'วันที่ 1'!H179+'วันที่ 2'!H179+'วันที่ 3'!H179+'วันที่ 4'!H179+'วันที่ 5'!H179+'วันที่ 6'!H179+'วันที่  7'!H179+'วันที่  8'!H179+'วันที่  9'!H179+'วันที่  10'!H179+'วันที่  11'!H179+'วันที่  12'!H179+'วันที่  13'!H179+'วันที่ 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15">
        <v>10</v>
      </c>
      <c r="J179" s="47">
        <f>+'วันที่ 1'!J179+'วันที่ 2'!J179+'วันที่ 3'!J179+'วันที่ 4'!J179+'วันที่ 5'!J179+'วันที่ 6'!J179+'วันที่  7'!J179+'วันที่  8'!J179+'วันที่  9'!J179+'วันที่  10'!J179+'วันที่  11'!J179+'วันที่  12'!J179+'วันที่  13'!J179+'วันที่ 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9"/>
      <c r="M179" s="56"/>
      <c r="U179" s="5"/>
    </row>
    <row r="180" spans="1:21">
      <c r="A180" s="10">
        <v>176</v>
      </c>
      <c r="B180" s="19" t="s">
        <v>191</v>
      </c>
      <c r="C180" s="46">
        <f>+'วันที่ 1'!C180</f>
        <v>0</v>
      </c>
      <c r="D180" s="47">
        <f>+'วันที่ 1'!D180+'วันที่ 2'!D180+'วันที่ 3'!D180+'วันที่ 4'!D180+'วันที่ 5'!D180+'วันที่ 6'!D180+'วันที่  7'!D180+'วันที่  8'!D180+'วันที่  9'!D180+'วันที่  10'!D180+'วันที่  11'!D180+'วันที่  12'!D180+'วันที่  13'!D180+'วันที่ 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5"/>
        <v>0</v>
      </c>
      <c r="F180" s="47">
        <f>+'วันที่ 1'!F180+'วันที่ 2'!F180+'วันที่ 3'!F180+'วันที่ 4'!F180+'วันที่ 5'!F180+'วันที่ 6'!F180+'วันที่  7'!F180+'วันที่  8'!F180+'วันที่  9'!F180+'วันที่  10'!F180+'วันที่  11'!F180+'วันที่  12'!F180+'วันที่  13'!F180+'วันที่ 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2">
        <f t="shared" si="7"/>
        <v>0</v>
      </c>
      <c r="H180" s="47">
        <f>+'วันที่ 1'!H180+'วันที่ 2'!H180+'วันที่ 3'!H180+'วันที่ 4'!H180+'วันที่ 5'!H180+'วันที่ 6'!H180+'วันที่  7'!H180+'วันที่  8'!H180+'วันที่  9'!H180+'วันที่  10'!H180+'วันที่  11'!H180+'วันที่  12'!H180+'วันที่  13'!H180+'วันที่ 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15">
        <v>35</v>
      </c>
      <c r="J180" s="47">
        <f>+'วันที่ 1'!J180+'วันที่ 2'!J180+'วันที่ 3'!J180+'วันที่ 4'!J180+'วันที่ 5'!J180+'วันที่ 6'!J180+'วันที่  7'!J180+'วันที่  8'!J180+'วันที่  9'!J180+'วันที่  10'!J180+'วันที่  11'!J180+'วันที่  12'!J180+'วันที่  13'!J180+'วันที่ 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9"/>
      <c r="M180" s="56"/>
      <c r="U180" s="5"/>
    </row>
    <row r="181" spans="1:21">
      <c r="A181" s="10">
        <v>177</v>
      </c>
      <c r="B181" s="19" t="s">
        <v>192</v>
      </c>
      <c r="C181" s="46">
        <f>+'วันที่ 1'!C181</f>
        <v>0</v>
      </c>
      <c r="D181" s="47">
        <f>+'วันที่ 1'!D181+'วันที่ 2'!D181+'วันที่ 3'!D181+'วันที่ 4'!D181+'วันที่ 5'!D181+'วันที่ 6'!D181+'วันที่  7'!D181+'วันที่  8'!D181+'วันที่  9'!D181+'วันที่  10'!D181+'วันที่  11'!D181+'วันที่  12'!D181+'วันที่  13'!D181+'วันที่ 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5"/>
        <v>0</v>
      </c>
      <c r="F181" s="47">
        <f>+'วันที่ 1'!F181+'วันที่ 2'!F181+'วันที่ 3'!F181+'วันที่ 4'!F181+'วันที่ 5'!F181+'วันที่ 6'!F181+'วันที่  7'!F181+'วันที่  8'!F181+'วันที่  9'!F181+'วันที่  10'!F181+'วันที่  11'!F181+'วันที่  12'!F181+'วันที่  13'!F181+'วันที่ 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2">
        <f t="shared" si="7"/>
        <v>0</v>
      </c>
      <c r="H181" s="47">
        <f>+'วันที่ 1'!H181+'วันที่ 2'!H181+'วันที่ 3'!H181+'วันที่ 4'!H181+'วันที่ 5'!H181+'วันที่ 6'!H181+'วันที่  7'!H181+'วันที่  8'!H181+'วันที่  9'!H181+'วันที่  10'!H181+'วันที่  11'!H181+'วันที่  12'!H181+'วันที่  13'!H181+'วันที่ 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15">
        <v>10</v>
      </c>
      <c r="J181" s="47">
        <f>+'วันที่ 1'!J181+'วันที่ 2'!J181+'วันที่ 3'!J181+'วันที่ 4'!J181+'วันที่ 5'!J181+'วันที่ 6'!J181+'วันที่  7'!J181+'วันที่  8'!J181+'วันที่  9'!J181+'วันที่  10'!J181+'วันที่  11'!J181+'วันที่  12'!J181+'วันที่  13'!J181+'วันที่ 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9"/>
      <c r="M181" s="56"/>
      <c r="U181" s="5"/>
    </row>
    <row r="182" spans="1:21">
      <c r="A182" s="10">
        <v>178</v>
      </c>
      <c r="B182" s="19" t="s">
        <v>193</v>
      </c>
      <c r="C182" s="46">
        <f>+'วันที่ 1'!C182</f>
        <v>0</v>
      </c>
      <c r="D182" s="47">
        <f>+'วันที่ 1'!D182+'วันที่ 2'!D182+'วันที่ 3'!D182+'วันที่ 4'!D182+'วันที่ 5'!D182+'วันที่ 6'!D182+'วันที่  7'!D182+'วันที่  8'!D182+'วันที่  9'!D182+'วันที่  10'!D182+'วันที่  11'!D182+'วันที่  12'!D182+'วันที่  13'!D182+'วันที่ 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5"/>
        <v>0</v>
      </c>
      <c r="F182" s="47">
        <f>+'วันที่ 1'!F182+'วันที่ 2'!F182+'วันที่ 3'!F182+'วันที่ 4'!F182+'วันที่ 5'!F182+'วันที่ 6'!F182+'วันที่  7'!F182+'วันที่  8'!F182+'วันที่  9'!F182+'วันที่  10'!F182+'วันที่  11'!F182+'วันที่  12'!F182+'วันที่  13'!F182+'วันที่ 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2">
        <f t="shared" si="7"/>
        <v>0</v>
      </c>
      <c r="H182" s="47">
        <f>+'วันที่ 1'!H182+'วันที่ 2'!H182+'วันที่ 3'!H182+'วันที่ 4'!H182+'วันที่ 5'!H182+'วันที่ 6'!H182+'วันที่  7'!H182+'วันที่  8'!H182+'วันที่  9'!H182+'วันที่  10'!H182+'วันที่  11'!H182+'วันที่  12'!H182+'วันที่  13'!H182+'วันที่ 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15">
        <v>10</v>
      </c>
      <c r="J182" s="47">
        <f>+'วันที่ 1'!J182+'วันที่ 2'!J182+'วันที่ 3'!J182+'วันที่ 4'!J182+'วันที่ 5'!J182+'วันที่ 6'!J182+'วันที่  7'!J182+'วันที่  8'!J182+'วันที่  9'!J182+'วันที่  10'!J182+'วันที่  11'!J182+'วันที่  12'!J182+'วันที่  13'!J182+'วันที่ 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9"/>
      <c r="M182" s="56"/>
      <c r="U182" s="5"/>
    </row>
    <row r="183" spans="1:21">
      <c r="A183" s="10">
        <v>179</v>
      </c>
      <c r="B183" s="19" t="s">
        <v>194</v>
      </c>
      <c r="C183" s="46">
        <f>+'วันที่ 1'!C183</f>
        <v>0</v>
      </c>
      <c r="D183" s="47">
        <f>+'วันที่ 1'!D183+'วันที่ 2'!D183+'วันที่ 3'!D183+'วันที่ 4'!D183+'วันที่ 5'!D183+'วันที่ 6'!D183+'วันที่  7'!D183+'วันที่  8'!D183+'วันที่  9'!D183+'วันที่  10'!D183+'วันที่  11'!D183+'วันที่  12'!D183+'วันที่  13'!D183+'วันที่ 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5"/>
        <v>0</v>
      </c>
      <c r="F183" s="47">
        <f>+'วันที่ 1'!F183+'วันที่ 2'!F183+'วันที่ 3'!F183+'วันที่ 4'!F183+'วันที่ 5'!F183+'วันที่ 6'!F183+'วันที่  7'!F183+'วันที่  8'!F183+'วันที่  9'!F183+'วันที่  10'!F183+'วันที่  11'!F183+'วันที่  12'!F183+'วันที่  13'!F183+'วันที่ 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2">
        <f t="shared" si="7"/>
        <v>0</v>
      </c>
      <c r="H183" s="47">
        <f>+'วันที่ 1'!H183+'วันที่ 2'!H183+'วันที่ 3'!H183+'วันที่ 4'!H183+'วันที่ 5'!H183+'วันที่ 6'!H183+'วันที่  7'!H183+'วันที่  8'!H183+'วันที่  9'!H183+'วันที่  10'!H183+'วันที่  11'!H183+'วันที่  12'!H183+'วันที่  13'!H183+'วันที่ 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15">
        <v>10</v>
      </c>
      <c r="J183" s="47">
        <f>+'วันที่ 1'!J183+'วันที่ 2'!J183+'วันที่ 3'!J183+'วันที่ 4'!J183+'วันที่ 5'!J183+'วันที่ 6'!J183+'วันที่  7'!J183+'วันที่  8'!J183+'วันที่  9'!J183+'วันที่  10'!J183+'วันที่  11'!J183+'วันที่  12'!J183+'วันที่  13'!J183+'วันที่ 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9"/>
      <c r="M183" s="56"/>
      <c r="U183" s="5"/>
    </row>
    <row r="184" spans="1:21">
      <c r="A184" s="10">
        <v>180</v>
      </c>
      <c r="B184" s="19" t="s">
        <v>195</v>
      </c>
      <c r="C184" s="46">
        <f>+'วันที่ 1'!C184</f>
        <v>0</v>
      </c>
      <c r="D184" s="47">
        <f>+'วันที่ 1'!D184+'วันที่ 2'!D184+'วันที่ 3'!D184+'วันที่ 4'!D184+'วันที่ 5'!D184+'วันที่ 6'!D184+'วันที่  7'!D184+'วันที่  8'!D184+'วันที่  9'!D184+'วันที่  10'!D184+'วันที่  11'!D184+'วันที่  12'!D184+'วันที่  13'!D184+'วันที่ 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5"/>
        <v>0</v>
      </c>
      <c r="F184" s="47">
        <f>+'วันที่ 1'!F184+'วันที่ 2'!F184+'วันที่ 3'!F184+'วันที่ 4'!F184+'วันที่ 5'!F184+'วันที่ 6'!F184+'วันที่  7'!F184+'วันที่  8'!F184+'วันที่  9'!F184+'วันที่  10'!F184+'วันที่  11'!F184+'วันที่  12'!F184+'วันที่  13'!F184+'วันที่ 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2">
        <f t="shared" si="7"/>
        <v>0</v>
      </c>
      <c r="H184" s="47">
        <f>+'วันที่ 1'!H184+'วันที่ 2'!H184+'วันที่ 3'!H184+'วันที่ 4'!H184+'วันที่ 5'!H184+'วันที่ 6'!H184+'วันที่  7'!H184+'วันที่  8'!H184+'วันที่  9'!H184+'วันที่  10'!H184+'วันที่  11'!H184+'วันที่  12'!H184+'วันที่  13'!H184+'วันที่ 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15">
        <v>10</v>
      </c>
      <c r="J184" s="47">
        <f>+'วันที่ 1'!J184+'วันที่ 2'!J184+'วันที่ 3'!J184+'วันที่ 4'!J184+'วันที่ 5'!J184+'วันที่ 6'!J184+'วันที่  7'!J184+'วันที่  8'!J184+'วันที่  9'!J184+'วันที่  10'!J184+'วันที่  11'!J184+'วันที่  12'!J184+'วันที่  13'!J184+'วันที่ 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9"/>
      <c r="M184" s="56"/>
      <c r="U184" s="5"/>
    </row>
    <row r="185" spans="1:21">
      <c r="A185" s="10">
        <v>181</v>
      </c>
      <c r="B185" s="19" t="s">
        <v>196</v>
      </c>
      <c r="C185" s="46">
        <f>+'วันที่ 1'!C185</f>
        <v>0</v>
      </c>
      <c r="D185" s="47">
        <f>+'วันที่ 1'!D185+'วันที่ 2'!D185+'วันที่ 3'!D185+'วันที่ 4'!D185+'วันที่ 5'!D185+'วันที่ 6'!D185+'วันที่  7'!D185+'วันที่  8'!D185+'วันที่  9'!D185+'วันที่  10'!D185+'วันที่  11'!D185+'วันที่  12'!D185+'วันที่  13'!D185+'วันที่ 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5"/>
        <v>0</v>
      </c>
      <c r="F185" s="47">
        <f>+'วันที่ 1'!F185+'วันที่ 2'!F185+'วันที่ 3'!F185+'วันที่ 4'!F185+'วันที่ 5'!F185+'วันที่ 6'!F185+'วันที่  7'!F185+'วันที่  8'!F185+'วันที่  9'!F185+'วันที่  10'!F185+'วันที่  11'!F185+'วันที่  12'!F185+'วันที่  13'!F185+'วันที่ 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2">
        <f t="shared" si="7"/>
        <v>0</v>
      </c>
      <c r="H185" s="47">
        <f>+'วันที่ 1'!H185+'วันที่ 2'!H185+'วันที่ 3'!H185+'วันที่ 4'!H185+'วันที่ 5'!H185+'วันที่ 6'!H185+'วันที่  7'!H185+'วันที่  8'!H185+'วันที่  9'!H185+'วันที่  10'!H185+'วันที่  11'!H185+'วันที่  12'!H185+'วันที่  13'!H185+'วันที่ 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15">
        <v>10</v>
      </c>
      <c r="J185" s="47">
        <f>+'วันที่ 1'!J185+'วันที่ 2'!J185+'วันที่ 3'!J185+'วันที่ 4'!J185+'วันที่ 5'!J185+'วันที่ 6'!J185+'วันที่  7'!J185+'วันที่  8'!J185+'วันที่  9'!J185+'วันที่  10'!J185+'วันที่  11'!J185+'วันที่  12'!J185+'วันที่  13'!J185+'วันที่ 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9"/>
      <c r="M185" s="56"/>
      <c r="U185" s="5"/>
    </row>
    <row r="186" spans="1:21">
      <c r="A186" s="10">
        <v>182</v>
      </c>
      <c r="B186" s="19" t="s">
        <v>197</v>
      </c>
      <c r="C186" s="46">
        <f>+'วันที่ 1'!C186</f>
        <v>0</v>
      </c>
      <c r="D186" s="47">
        <f>+'วันที่ 1'!D186+'วันที่ 2'!D186+'วันที่ 3'!D186+'วันที่ 4'!D186+'วันที่ 5'!D186+'วันที่ 6'!D186+'วันที่  7'!D186+'วันที่  8'!D186+'วันที่  9'!D186+'วันที่  10'!D186+'วันที่  11'!D186+'วันที่  12'!D186+'วันที่  13'!D186+'วันที่ 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5"/>
        <v>0</v>
      </c>
      <c r="F186" s="47">
        <f>+'วันที่ 1'!F186+'วันที่ 2'!F186+'วันที่ 3'!F186+'วันที่ 4'!F186+'วันที่ 5'!F186+'วันที่ 6'!F186+'วันที่  7'!F186+'วันที่  8'!F186+'วันที่  9'!F186+'วันที่  10'!F186+'วันที่  11'!F186+'วันที่  12'!F186+'วันที่  13'!F186+'วันที่ 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2">
        <f t="shared" si="7"/>
        <v>0</v>
      </c>
      <c r="H186" s="47">
        <f>+'วันที่ 1'!H186+'วันที่ 2'!H186+'วันที่ 3'!H186+'วันที่ 4'!H186+'วันที่ 5'!H186+'วันที่ 6'!H186+'วันที่  7'!H186+'วันที่  8'!H186+'วันที่  9'!H186+'วันที่  10'!H186+'วันที่  11'!H186+'วันที่  12'!H186+'วันที่  13'!H186+'วันที่ 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15">
        <v>25</v>
      </c>
      <c r="J186" s="47">
        <f>+'วันที่ 1'!J186+'วันที่ 2'!J186+'วันที่ 3'!J186+'วันที่ 4'!J186+'วันที่ 5'!J186+'วันที่ 6'!J186+'วันที่  7'!J186+'วันที่  8'!J186+'วันที่  9'!J186+'วันที่  10'!J186+'วันที่  11'!J186+'วันที่  12'!J186+'วันที่  13'!J186+'วันที่ 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9"/>
      <c r="M186" s="56"/>
      <c r="U186" s="5"/>
    </row>
    <row r="187" spans="1:21">
      <c r="A187" s="10">
        <v>183</v>
      </c>
      <c r="B187" s="19" t="s">
        <v>198</v>
      </c>
      <c r="C187" s="46">
        <f>+'วันที่ 1'!C187</f>
        <v>0</v>
      </c>
      <c r="D187" s="47">
        <f>+'วันที่ 1'!D187+'วันที่ 2'!D187+'วันที่ 3'!D187+'วันที่ 4'!D187+'วันที่ 5'!D187+'วันที่ 6'!D187+'วันที่  7'!D187+'วันที่  8'!D187+'วันที่  9'!D187+'วันที่  10'!D187+'วันที่  11'!D187+'วันที่  12'!D187+'วันที่  13'!D187+'วันที่ 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5"/>
        <v>0</v>
      </c>
      <c r="F187" s="47">
        <f>+'วันที่ 1'!F187+'วันที่ 2'!F187+'วันที่ 3'!F187+'วันที่ 4'!F187+'วันที่ 5'!F187+'วันที่ 6'!F187+'วันที่  7'!F187+'วันที่  8'!F187+'วันที่  9'!F187+'วันที่  10'!F187+'วันที่  11'!F187+'วันที่  12'!F187+'วันที่  13'!F187+'วันที่ 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2">
        <f t="shared" si="7"/>
        <v>0</v>
      </c>
      <c r="H187" s="47">
        <f>+'วันที่ 1'!H187+'วันที่ 2'!H187+'วันที่ 3'!H187+'วันที่ 4'!H187+'วันที่ 5'!H187+'วันที่ 6'!H187+'วันที่  7'!H187+'วันที่  8'!H187+'วันที่  9'!H187+'วันที่  10'!H187+'วันที่  11'!H187+'วันที่  12'!H187+'วันที่  13'!H187+'วันที่ 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5">
        <v>15</v>
      </c>
      <c r="J187" s="47">
        <f>+'วันที่ 1'!J187+'วันที่ 2'!J187+'วันที่ 3'!J187+'วันที่ 4'!J187+'วันที่ 5'!J187+'วันที่ 6'!J187+'วันที่  7'!J187+'วันที่  8'!J187+'วันที่  9'!J187+'วันที่  10'!J187+'วันที่  11'!J187+'วันที่  12'!J187+'วันที่  13'!J187+'วันที่ 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9"/>
      <c r="M187" s="56"/>
      <c r="U187" s="5"/>
    </row>
    <row r="188" spans="1:21">
      <c r="A188" s="10">
        <v>184</v>
      </c>
      <c r="B188" s="19" t="s">
        <v>199</v>
      </c>
      <c r="C188" s="46">
        <f>+'วันที่ 1'!C188</f>
        <v>0</v>
      </c>
      <c r="D188" s="47">
        <f>+'วันที่ 1'!D188+'วันที่ 2'!D188+'วันที่ 3'!D188+'วันที่ 4'!D188+'วันที่ 5'!D188+'วันที่ 6'!D188+'วันที่  7'!D188+'วันที่  8'!D188+'วันที่  9'!D188+'วันที่  10'!D188+'วันที่  11'!D188+'วันที่  12'!D188+'วันที่  13'!D188+'วันที่ 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5"/>
        <v>0</v>
      </c>
      <c r="F188" s="47">
        <f>+'วันที่ 1'!F188+'วันที่ 2'!F188+'วันที่ 3'!F188+'วันที่ 4'!F188+'วันที่ 5'!F188+'วันที่ 6'!F188+'วันที่  7'!F188+'วันที่  8'!F188+'วันที่  9'!F188+'วันที่  10'!F188+'วันที่  11'!F188+'วันที่  12'!F188+'วันที่  13'!F188+'วันที่ 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2">
        <f t="shared" si="7"/>
        <v>0</v>
      </c>
      <c r="H188" s="47">
        <f>+'วันที่ 1'!H188+'วันที่ 2'!H188+'วันที่ 3'!H188+'วันที่ 4'!H188+'วันที่ 5'!H188+'วันที่ 6'!H188+'วันที่  7'!H188+'วันที่  8'!H188+'วันที่  9'!H188+'วันที่  10'!H188+'วันที่  11'!H188+'วันที่  12'!H188+'วันที่  13'!H188+'วันที่ 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5">
        <v>25</v>
      </c>
      <c r="J188" s="47">
        <f>+'วันที่ 1'!J188+'วันที่ 2'!J188+'วันที่ 3'!J188+'วันที่ 4'!J188+'วันที่ 5'!J188+'วันที่ 6'!J188+'วันที่  7'!J188+'วันที่  8'!J188+'วันที่  9'!J188+'วันที่  10'!J188+'วันที่  11'!J188+'วันที่  12'!J188+'วันที่  13'!J188+'วันที่ 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9"/>
      <c r="M188" s="56"/>
      <c r="U188" s="5"/>
    </row>
    <row r="189" spans="1:21">
      <c r="A189" s="10">
        <v>185</v>
      </c>
      <c r="B189" s="19" t="s">
        <v>200</v>
      </c>
      <c r="C189" s="46">
        <f>+'วันที่ 1'!C189</f>
        <v>0</v>
      </c>
      <c r="D189" s="47">
        <f>+'วันที่ 1'!D189+'วันที่ 2'!D189+'วันที่ 3'!D189+'วันที่ 4'!D189+'วันที่ 5'!D189+'วันที่ 6'!D189+'วันที่  7'!D189+'วันที่  8'!D189+'วันที่  9'!D189+'วันที่  10'!D189+'วันที่  11'!D189+'วันที่  12'!D189+'วันที่  13'!D189+'วันที่ 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5"/>
        <v>0</v>
      </c>
      <c r="F189" s="47">
        <f>+'วันที่ 1'!F189+'วันที่ 2'!F189+'วันที่ 3'!F189+'วันที่ 4'!F189+'วันที่ 5'!F189+'วันที่ 6'!F189+'วันที่  7'!F189+'วันที่  8'!F189+'วันที่  9'!F189+'วันที่  10'!F189+'วันที่  11'!F189+'วันที่  12'!F189+'วันที่  13'!F189+'วันที่ 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2">
        <f t="shared" si="7"/>
        <v>0</v>
      </c>
      <c r="H189" s="47">
        <f>+'วันที่ 1'!H189+'วันที่ 2'!H189+'วันที่ 3'!H189+'วันที่ 4'!H189+'วันที่ 5'!H189+'วันที่ 6'!H189+'วันที่  7'!H189+'วันที่  8'!H189+'วันที่  9'!H189+'วันที่  10'!H189+'วันที่  11'!H189+'วันที่  12'!H189+'วันที่  13'!H189+'วันที่ 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5">
        <v>45</v>
      </c>
      <c r="J189" s="47">
        <f>+'วันที่ 1'!J189+'วันที่ 2'!J189+'วันที่ 3'!J189+'วันที่ 4'!J189+'วันที่ 5'!J189+'วันที่ 6'!J189+'วันที่  7'!J189+'วันที่  8'!J189+'วันที่  9'!J189+'วันที่  10'!J189+'วันที่  11'!J189+'วันที่  12'!J189+'วันที่  13'!J189+'วันที่ 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9"/>
      <c r="M189" s="56"/>
      <c r="U189" s="5"/>
    </row>
    <row r="190" spans="1:21">
      <c r="A190" s="10">
        <v>186</v>
      </c>
      <c r="B190" s="19" t="s">
        <v>201</v>
      </c>
      <c r="C190" s="46">
        <f>+'วันที่ 1'!C190</f>
        <v>0</v>
      </c>
      <c r="D190" s="47">
        <f>+'วันที่ 1'!D190+'วันที่ 2'!D190+'วันที่ 3'!D190+'วันที่ 4'!D190+'วันที่ 5'!D190+'วันที่ 6'!D190+'วันที่  7'!D190+'วันที่  8'!D190+'วันที่  9'!D190+'วันที่  10'!D190+'วันที่  11'!D190+'วันที่  12'!D190+'วันที่  13'!D190+'วันที่ 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5"/>
        <v>0</v>
      </c>
      <c r="F190" s="47">
        <f>+'วันที่ 1'!F190+'วันที่ 2'!F190+'วันที่ 3'!F190+'วันที่ 4'!F190+'วันที่ 5'!F190+'วันที่ 6'!F190+'วันที่  7'!F190+'วันที่  8'!F190+'วันที่  9'!F190+'วันที่  10'!F190+'วันที่  11'!F190+'วันที่  12'!F190+'วันที่  13'!F190+'วันที่ 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2">
        <f t="shared" si="7"/>
        <v>0</v>
      </c>
      <c r="H190" s="47">
        <f>+'วันที่ 1'!H190+'วันที่ 2'!H190+'วันที่ 3'!H190+'วันที่ 4'!H190+'วันที่ 5'!H190+'วันที่ 6'!H190+'วันที่  7'!H190+'วันที่  8'!H190+'วันที่  9'!H190+'วันที่  10'!H190+'วันที่  11'!H190+'วันที่  12'!H190+'วันที่  13'!H190+'วันที่ 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5">
        <v>150</v>
      </c>
      <c r="J190" s="47">
        <f>+'วันที่ 1'!J190+'วันที่ 2'!J190+'วันที่ 3'!J190+'วันที่ 4'!J190+'วันที่ 5'!J190+'วันที่ 6'!J190+'วันที่  7'!J190+'วันที่  8'!J190+'วันที่  9'!J190+'วันที่  10'!J190+'วันที่  11'!J190+'วันที่  12'!J190+'วันที่  13'!J190+'วันที่ 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9"/>
      <c r="M190" s="56"/>
      <c r="U190" s="5"/>
    </row>
    <row r="191" spans="1:21">
      <c r="A191" s="10">
        <v>187</v>
      </c>
      <c r="B191" s="19" t="s">
        <v>202</v>
      </c>
      <c r="C191" s="46">
        <f>+'วันที่ 1'!C191</f>
        <v>0</v>
      </c>
      <c r="D191" s="47">
        <f>+'วันที่ 1'!D191+'วันที่ 2'!D191+'วันที่ 3'!D191+'วันที่ 4'!D191+'วันที่ 5'!D191+'วันที่ 6'!D191+'วันที่  7'!D191+'วันที่  8'!D191+'วันที่  9'!D191+'วันที่  10'!D191+'วันที่  11'!D191+'วันที่  12'!D191+'วันที่  13'!D191+'วันที่ 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5"/>
        <v>0</v>
      </c>
      <c r="F191" s="47">
        <f>+'วันที่ 1'!F191+'วันที่ 2'!F191+'วันที่ 3'!F191+'วันที่ 4'!F191+'วันที่ 5'!F191+'วันที่ 6'!F191+'วันที่  7'!F191+'วันที่  8'!F191+'วันที่  9'!F191+'วันที่  10'!F191+'วันที่  11'!F191+'วันที่  12'!F191+'วันที่  13'!F191+'วันที่ 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2">
        <f t="shared" si="7"/>
        <v>0</v>
      </c>
      <c r="H191" s="47">
        <f>+'วันที่ 1'!H191+'วันที่ 2'!H191+'วันที่ 3'!H191+'วันที่ 4'!H191+'วันที่ 5'!H191+'วันที่ 6'!H191+'วันที่  7'!H191+'วันที่  8'!H191+'วันที่  9'!H191+'วันที่  10'!H191+'วันที่  11'!H191+'วันที่  12'!H191+'วันที่  13'!H191+'วันที่ 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5">
        <v>150</v>
      </c>
      <c r="J191" s="47">
        <f>+'วันที่ 1'!J191+'วันที่ 2'!J191+'วันที่ 3'!J191+'วันที่ 4'!J191+'วันที่ 5'!J191+'วันที่ 6'!J191+'วันที่  7'!J191+'วันที่  8'!J191+'วันที่  9'!J191+'วันที่  10'!J191+'วันที่  11'!J191+'วันที่  12'!J191+'วันที่  13'!J191+'วันที่ 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9"/>
      <c r="M191" s="56"/>
      <c r="U191" s="5"/>
    </row>
    <row r="192" spans="1:21">
      <c r="A192" s="10">
        <v>188</v>
      </c>
      <c r="B192" s="19" t="s">
        <v>203</v>
      </c>
      <c r="C192" s="46">
        <f>+'วันที่ 1'!C192</f>
        <v>0</v>
      </c>
      <c r="D192" s="47">
        <f>+'วันที่ 1'!D192+'วันที่ 2'!D192+'วันที่ 3'!D192+'วันที่ 4'!D192+'วันที่ 5'!D192+'วันที่ 6'!D192+'วันที่  7'!D192+'วันที่  8'!D192+'วันที่  9'!D192+'วันที่  10'!D192+'วันที่  11'!D192+'วันที่  12'!D192+'วันที่  13'!D192+'วันที่ 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5"/>
        <v>0</v>
      </c>
      <c r="F192" s="47">
        <f>+'วันที่ 1'!F192+'วันที่ 2'!F192+'วันที่ 3'!F192+'วันที่ 4'!F192+'วันที่ 5'!F192+'วันที่ 6'!F192+'วันที่  7'!F192+'วันที่  8'!F192+'วันที่  9'!F192+'วันที่  10'!F192+'วันที่  11'!F192+'วันที่  12'!F192+'วันที่  13'!F192+'วันที่ 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2">
        <f t="shared" si="7"/>
        <v>0</v>
      </c>
      <c r="H192" s="47">
        <f>+'วันที่ 1'!H192+'วันที่ 2'!H192+'วันที่ 3'!H192+'วันที่ 4'!H192+'วันที่ 5'!H192+'วันที่ 6'!H192+'วันที่  7'!H192+'วันที่  8'!H192+'วันที่  9'!H192+'วันที่  10'!H192+'วันที่  11'!H192+'วันที่  12'!H192+'วันที่  13'!H192+'วันที่ 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5">
        <v>150</v>
      </c>
      <c r="J192" s="47">
        <f>+'วันที่ 1'!J192+'วันที่ 2'!J192+'วันที่ 3'!J192+'วันที่ 4'!J192+'วันที่ 5'!J192+'วันที่ 6'!J192+'วันที่  7'!J192+'วันที่  8'!J192+'วันที่  9'!J192+'วันที่  10'!J192+'วันที่  11'!J192+'วันที่  12'!J192+'วันที่  13'!J192+'วันที่ 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9"/>
      <c r="M192" s="56"/>
      <c r="U192" s="5"/>
    </row>
    <row r="193" spans="1:21">
      <c r="A193" s="10">
        <v>189</v>
      </c>
      <c r="B193" s="19" t="s">
        <v>204</v>
      </c>
      <c r="C193" s="46">
        <f>+'วันที่ 1'!C193</f>
        <v>0</v>
      </c>
      <c r="D193" s="47">
        <f>+'วันที่ 1'!D193+'วันที่ 2'!D193+'วันที่ 3'!D193+'วันที่ 4'!D193+'วันที่ 5'!D193+'วันที่ 6'!D193+'วันที่  7'!D193+'วันที่  8'!D193+'วันที่  9'!D193+'วันที่  10'!D193+'วันที่  11'!D193+'วันที่  12'!D193+'วันที่  13'!D193+'วันที่ 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5"/>
        <v>0</v>
      </c>
      <c r="F193" s="47">
        <f>+'วันที่ 1'!F193+'วันที่ 2'!F193+'วันที่ 3'!F193+'วันที่ 4'!F193+'วันที่ 5'!F193+'วันที่ 6'!F193+'วันที่  7'!F193+'วันที่  8'!F193+'วันที่  9'!F193+'วันที่  10'!F193+'วันที่  11'!F193+'วันที่  12'!F193+'วันที่  13'!F193+'วันที่ 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2">
        <f t="shared" si="7"/>
        <v>0</v>
      </c>
      <c r="H193" s="47">
        <f>+'วันที่ 1'!H193+'วันที่ 2'!H193+'วันที่ 3'!H193+'วันที่ 4'!H193+'วันที่ 5'!H193+'วันที่ 6'!H193+'วันที่  7'!H193+'วันที่  8'!H193+'วันที่  9'!H193+'วันที่  10'!H193+'วันที่  11'!H193+'วันที่  12'!H193+'วันที่  13'!H193+'วันที่ 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5">
        <v>220</v>
      </c>
      <c r="J193" s="47">
        <f>+'วันที่ 1'!J193+'วันที่ 2'!J193+'วันที่ 3'!J193+'วันที่ 4'!J193+'วันที่ 5'!J193+'วันที่ 6'!J193+'วันที่  7'!J193+'วันที่  8'!J193+'วันที่  9'!J193+'วันที่  10'!J193+'วันที่  11'!J193+'วันที่  12'!J193+'วันที่  13'!J193+'วันที่ 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9"/>
      <c r="M193" s="56"/>
      <c r="U193" s="5"/>
    </row>
    <row r="194" spans="1:21">
      <c r="A194" s="10">
        <v>190</v>
      </c>
      <c r="B194" s="19" t="s">
        <v>246</v>
      </c>
      <c r="C194" s="46">
        <f>+'วันที่ 1'!C194</f>
        <v>0</v>
      </c>
      <c r="D194" s="47">
        <f>+'วันที่ 1'!D194+'วันที่ 2'!D194+'วันที่ 3'!D194+'วันที่ 4'!D194+'วันที่ 5'!D194+'วันที่ 6'!D194+'วันที่  7'!D194+'วันที่  8'!D194+'วันที่  9'!D194+'วันที่  10'!D194+'วันที่  11'!D194+'วันที่  12'!D194+'วันที่  13'!D194+'วันที่ 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5"/>
        <v>0</v>
      </c>
      <c r="F194" s="47">
        <f>+'วันที่ 1'!F194+'วันที่ 2'!F194+'วันที่ 3'!F194+'วันที่ 4'!F194+'วันที่ 5'!F194+'วันที่ 6'!F194+'วันที่  7'!F194+'วันที่  8'!F194+'วันที่  9'!F194+'วันที่  10'!F194+'วันที่  11'!F194+'วันที่  12'!F194+'วันที่  13'!F194+'วันที่ 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2">
        <f t="shared" si="7"/>
        <v>0</v>
      </c>
      <c r="H194" s="47">
        <f>+'วันที่ 1'!H194+'วันที่ 2'!H194+'วันที่ 3'!H194+'วันที่ 4'!H194+'วันที่ 5'!H194+'วันที่ 6'!H194+'วันที่  7'!H194+'วันที่  8'!H194+'วันที่  9'!H194+'วันที่  10'!H194+'วันที่  11'!H194+'วันที่  12'!H194+'วันที่  13'!H194+'วันที่ 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15">
        <v>30</v>
      </c>
      <c r="J194" s="47">
        <f>+'วันที่ 1'!J194+'วันที่ 2'!J194+'วันที่ 3'!J194+'วันที่ 4'!J194+'วันที่ 5'!J194+'วันที่ 6'!J194+'วันที่  7'!J194+'วันที่  8'!J194+'วันที่  9'!J194+'วันที่  10'!J194+'วันที่  11'!J194+'วันที่  12'!J194+'วันที่  13'!J194+'วันที่ 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19"/>
      <c r="M194" s="56"/>
      <c r="U194" s="5"/>
    </row>
    <row r="195" spans="1:21">
      <c r="A195" s="10">
        <v>191</v>
      </c>
      <c r="B195" s="11" t="s">
        <v>245</v>
      </c>
      <c r="C195" s="46">
        <f>+'วันที่ 1'!C195</f>
        <v>0</v>
      </c>
      <c r="D195" s="47">
        <f>+'วันที่ 1'!D195+'วันที่ 2'!D195+'วันที่ 3'!D195+'วันที่ 4'!D195+'วันที่ 5'!D195+'วันที่ 6'!D195+'วันที่  7'!D195+'วันที่  8'!D195+'วันที่  9'!D195+'วันที่  10'!D195+'วันที่  11'!D195+'วันที่  12'!D195+'วันที่  13'!D195+'วันที่ 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15</v>
      </c>
      <c r="E195" s="46">
        <f t="shared" si="5"/>
        <v>15</v>
      </c>
      <c r="F195" s="47">
        <f>+'วันที่ 1'!F195+'วันที่ 2'!F195+'วันที่ 3'!F195+'วันที่ 4'!F195+'วันที่ 5'!F195+'วันที่ 6'!F195+'วันที่  7'!F195+'วันที่  8'!F195+'วันที่  9'!F195+'วันที่  10'!F195+'วันที่  11'!F195+'วันที่  12'!F195+'วันที่  13'!F195+'วันที่ 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92">
        <f t="shared" si="7"/>
        <v>11</v>
      </c>
      <c r="H195" s="47">
        <f>+'วันที่ 1'!H195+'วันที่ 2'!H195+'วันที่ 3'!H195+'วันที่ 4'!H195+'วันที่ 5'!H195+'วันที่ 6'!H195+'วันที่  7'!H195+'วันที่  8'!H195+'วันที่  9'!H195+'วันที่  10'!H195+'วันที่  11'!H195+'วันที่  12'!H195+'วันที่  13'!H195+'วันที่ 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4</v>
      </c>
      <c r="I195" s="48">
        <v>0</v>
      </c>
      <c r="J195" s="47">
        <f>+'วันที่ 1'!J195+'วันที่ 2'!J195+'วันที่ 3'!J195+'วันที่ 4'!J195+'วันที่ 5'!J195+'วันที่ 6'!J195+'วันที่  7'!J195+'วันที่  8'!J195+'วันที่  9'!J195+'วันที่  10'!J195+'วันที่  11'!J195+'วันที่  12'!J195+'วันที่  13'!J195+'วันที่ 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120</v>
      </c>
      <c r="K195" s="19"/>
      <c r="M195" s="56"/>
      <c r="U195" s="5"/>
    </row>
    <row r="196" spans="1:21">
      <c r="A196" s="10">
        <v>192</v>
      </c>
      <c r="B196" s="11"/>
      <c r="C196" s="46">
        <f>+'วันที่ 1'!C196</f>
        <v>0</v>
      </c>
      <c r="D196" s="47">
        <f>+'วันที่ 1'!D196+'วันที่ 2'!D196+'วันที่ 3'!D196+'วันที่ 4'!D196+'วันที่ 5'!D196+'วันที่ 6'!D196+'วันที่  7'!D196+'วันที่  8'!D196+'วันที่  9'!D196+'วันที่  10'!D196+'วันที่  11'!D196+'วันที่  12'!D196+'วันที่  13'!D196+'วันที่ 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46">
        <f t="shared" si="5"/>
        <v>0</v>
      </c>
      <c r="F196" s="47">
        <f>+'วันที่ 1'!F196+'วันที่ 2'!F196+'วันที่ 3'!F196+'วันที่ 4'!F196+'วันที่ 5'!F196+'วันที่ 6'!F196+'วันที่  7'!F196+'วันที่  8'!F196+'วันที่  9'!F196+'วันที่  10'!F196+'วันที่  11'!F196+'วันที่  12'!F196+'วันที่  13'!F196+'วันที่ 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2">
        <f t="shared" si="7"/>
        <v>0</v>
      </c>
      <c r="H196" s="47">
        <f>+'วันที่ 1'!H196+'วันที่ 2'!H196+'วันที่ 3'!H196+'วันที่ 4'!H196+'วันที่ 5'!H196+'วันที่ 6'!H196+'วันที่  7'!H196+'วันที่  8'!H196+'วันที่  9'!H196+'วันที่  10'!H196+'วันที่  11'!H196+'วันที่  12'!H196+'วันที่  13'!H196+'วันที่ 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8">
        <v>0</v>
      </c>
      <c r="J196" s="47">
        <f>+'วันที่ 1'!J196+'วันที่ 2'!J196+'วันที่ 3'!J196+'วันที่ 4'!J196+'วันที่ 5'!J196+'วันที่ 6'!J196+'วันที่  7'!J196+'วันที่  8'!J196+'วันที่  9'!J196+'วันที่  10'!J196+'วันที่  11'!J196+'วันที่  12'!J196+'วันที่  13'!J196+'วันที่ 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9"/>
      <c r="M196" s="56"/>
      <c r="U196" s="5"/>
    </row>
    <row r="197" spans="1:21">
      <c r="A197" s="10">
        <v>193</v>
      </c>
      <c r="B197" s="11"/>
      <c r="C197" s="46">
        <f>+'วันที่ 1'!C197</f>
        <v>0</v>
      </c>
      <c r="D197" s="47">
        <f>+'วันที่ 1'!D197+'วันที่ 2'!D197+'วันที่ 3'!D197+'วันที่ 4'!D197+'วันที่ 5'!D197+'วันที่ 6'!D197+'วันที่  7'!D197+'วันที่  8'!D197+'วันที่  9'!D197+'วันที่  10'!D197+'วันที่  11'!D197+'วันที่  12'!D197+'วันที่  13'!D197+'วันที่ 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5"/>
        <v>0</v>
      </c>
      <c r="F197" s="47">
        <f>+'วันที่ 1'!F197+'วันที่ 2'!F197+'วันที่ 3'!F197+'วันที่ 4'!F197+'วันที่ 5'!F197+'วันที่ 6'!F197+'วันที่  7'!F197+'วันที่  8'!F197+'วันที่  9'!F197+'วันที่  10'!F197+'วันที่  11'!F197+'วันที่  12'!F197+'วันที่  13'!F197+'วันที่ 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2">
        <f t="shared" si="7"/>
        <v>0</v>
      </c>
      <c r="H197" s="47">
        <f>+'วันที่ 1'!H197+'วันที่ 2'!H197+'วันที่ 3'!H197+'วันที่ 4'!H197+'วันที่ 5'!H197+'วันที่ 6'!H197+'วันที่  7'!H197+'วันที่  8'!H197+'วันที่  9'!H197+'วันที่  10'!H197+'วันที่  11'!H197+'วันที่  12'!H197+'วันที่  13'!H197+'วันที่ 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 7'!J197+'วันที่  8'!J197+'วันที่  9'!J197+'วันที่  10'!J197+'วันที่  11'!J197+'วันที่  12'!J197+'วันที่  13'!J197+'วันที่ 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19"/>
      <c r="M197" s="56"/>
      <c r="U197" s="5"/>
    </row>
    <row r="198" spans="1:21">
      <c r="A198" s="10">
        <v>194</v>
      </c>
      <c r="B198" s="11"/>
      <c r="C198" s="46">
        <f>+'วันที่ 1'!C198</f>
        <v>0</v>
      </c>
      <c r="D198" s="47">
        <f>+'วันที่ 1'!D198+'วันที่ 2'!D198+'วันที่ 3'!D198+'วันที่ 4'!D198+'วันที่ 5'!D198+'วันที่ 6'!D198+'วันที่  7'!D198+'วันที่  8'!D198+'วันที่  9'!D198+'วันที่  10'!D198+'วันที่  11'!D198+'วันที่  12'!D198+'วันที่  13'!D198+'วันที่ 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5"/>
        <v>0</v>
      </c>
      <c r="F198" s="47">
        <f>+'วันที่ 1'!F198+'วันที่ 2'!F198+'วันที่ 3'!F198+'วันที่ 4'!F198+'วันที่ 5'!F198+'วันที่ 6'!F198+'วันที่  7'!F198+'วันที่  8'!F198+'วันที่  9'!F198+'วันที่  10'!F198+'วันที่  11'!F198+'วันที่  12'!F198+'วันที่  13'!F198+'วันที่ 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2">
        <f t="shared" ref="G198:G224" si="8">E198-F198-H198</f>
        <v>0</v>
      </c>
      <c r="H198" s="47">
        <f>+'วันที่ 1'!H198+'วันที่ 2'!H198+'วันที่ 3'!H198+'วันที่ 4'!H198+'วันที่ 5'!H198+'วันที่ 6'!H198+'วันที่  7'!H198+'วันที่  8'!H198+'วันที่  9'!H198+'วันที่  10'!H198+'วันที่  11'!H198+'วันที่  12'!H198+'วันที่  13'!H198+'วันที่ 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 7'!J198+'วันที่  8'!J198+'วันที่  9'!J198+'วันที่  10'!J198+'วันที่  11'!J198+'วันที่  12'!J198+'วันที่  13'!J198+'วันที่ 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19"/>
      <c r="M198" s="56"/>
      <c r="U198" s="5"/>
    </row>
    <row r="199" spans="1:21">
      <c r="A199" s="10">
        <v>195</v>
      </c>
      <c r="B199" s="11"/>
      <c r="C199" s="46">
        <f>+'วันที่ 1'!C199</f>
        <v>0</v>
      </c>
      <c r="D199" s="47">
        <f>+'วันที่ 1'!D199+'วันที่ 2'!D199+'วันที่ 3'!D199+'วันที่ 4'!D199+'วันที่ 5'!D199+'วันที่ 6'!D199+'วันที่  7'!D199+'วันที่  8'!D199+'วันที่  9'!D199+'วันที่  10'!D199+'วันที่  11'!D199+'วันที่  12'!D199+'วันที่  13'!D199+'วันที่ 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5"/>
        <v>0</v>
      </c>
      <c r="F199" s="47">
        <f>+'วันที่ 1'!F199+'วันที่ 2'!F199+'วันที่ 3'!F199+'วันที่ 4'!F199+'วันที่ 5'!F199+'วันที่ 6'!F199+'วันที่  7'!F199+'วันที่  8'!F199+'วันที่  9'!F199+'วันที่  10'!F199+'วันที่  11'!F199+'วันที่  12'!F199+'วันที่  13'!F199+'วันที่ 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2">
        <f t="shared" si="8"/>
        <v>0</v>
      </c>
      <c r="H199" s="47">
        <f>+'วันที่ 1'!H199+'วันที่ 2'!H199+'วันที่ 3'!H199+'วันที่ 4'!H199+'วันที่ 5'!H199+'วันที่ 6'!H199+'วันที่  7'!H199+'วันที่  8'!H199+'วันที่  9'!H199+'วันที่  10'!H199+'วันที่  11'!H199+'วันที่  12'!H199+'วันที่  13'!H199+'วันที่ 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 7'!J199+'วันที่  8'!J199+'วันที่  9'!J199+'วันที่  10'!J199+'วันที่  11'!J199+'วันที่  12'!J199+'วันที่  13'!J199+'วันที่ 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19"/>
      <c r="M199" s="56"/>
      <c r="U199" s="5"/>
    </row>
    <row r="200" spans="1:21">
      <c r="A200" s="10">
        <v>196</v>
      </c>
      <c r="B200" s="11"/>
      <c r="C200" s="46">
        <f>+'วันที่ 1'!C200</f>
        <v>0</v>
      </c>
      <c r="D200" s="47">
        <f>+'วันที่ 1'!D200+'วันที่ 2'!D200+'วันที่ 3'!D200+'วันที่ 4'!D200+'วันที่ 5'!D200+'วันที่ 6'!D200+'วันที่  7'!D200+'วันที่  8'!D200+'วันที่  9'!D200+'วันที่  10'!D200+'วันที่  11'!D200+'วันที่  12'!D200+'วันที่  13'!D200+'วันที่ 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5"/>
        <v>0</v>
      </c>
      <c r="F200" s="47">
        <f>+'วันที่ 1'!F200+'วันที่ 2'!F200+'วันที่ 3'!F200+'วันที่ 4'!F200+'วันที่ 5'!F200+'วันที่ 6'!F200+'วันที่  7'!F200+'วันที่  8'!F200+'วันที่  9'!F200+'วันที่  10'!F200+'วันที่  11'!F200+'วันที่  12'!F200+'วันที่  13'!F200+'วันที่ 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2">
        <f t="shared" si="8"/>
        <v>0</v>
      </c>
      <c r="H200" s="47">
        <f>+'วันที่ 1'!H200+'วันที่ 2'!H200+'วันที่ 3'!H200+'วันที่ 4'!H200+'วันที่ 5'!H200+'วันที่ 6'!H200+'วันที่  7'!H200+'วันที่  8'!H200+'วันที่  9'!H200+'วันที่  10'!H200+'วันที่  11'!H200+'วันที่  12'!H200+'วันที่  13'!H200+'วันที่ 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 7'!J200+'วันที่  8'!J200+'วันที่  9'!J200+'วันที่  10'!J200+'วันที่  11'!J200+'วันที่  12'!J200+'วันที่  13'!J200+'วันที่ 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19"/>
      <c r="M200" s="56"/>
      <c r="U200" s="5"/>
    </row>
    <row r="201" spans="1:21">
      <c r="A201" s="10">
        <v>197</v>
      </c>
      <c r="B201" s="11"/>
      <c r="C201" s="46">
        <f>+'วันที่ 1'!C201</f>
        <v>0</v>
      </c>
      <c r="D201" s="47">
        <f>+'วันที่ 1'!D201+'วันที่ 2'!D201+'วันที่ 3'!D201+'วันที่ 4'!D201+'วันที่ 5'!D201+'วันที่ 6'!D201+'วันที่  7'!D201+'วันที่  8'!D201+'วันที่  9'!D201+'วันที่  10'!D201+'วันที่  11'!D201+'วันที่  12'!D201+'วันที่  13'!D201+'วันที่ 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5"/>
        <v>0</v>
      </c>
      <c r="F201" s="47">
        <f>+'วันที่ 1'!F201+'วันที่ 2'!F201+'วันที่ 3'!F201+'วันที่ 4'!F201+'วันที่ 5'!F201+'วันที่ 6'!F201+'วันที่  7'!F201+'วันที่  8'!F201+'วันที่  9'!F201+'วันที่  10'!F201+'วันที่  11'!F201+'วันที่  12'!F201+'วันที่  13'!F201+'วันที่ 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2">
        <f t="shared" si="8"/>
        <v>0</v>
      </c>
      <c r="H201" s="47">
        <f>+'วันที่ 1'!H201+'วันที่ 2'!H201+'วันที่ 3'!H201+'วันที่ 4'!H201+'วันที่ 5'!H201+'วันที่ 6'!H201+'วันที่  7'!H201+'วันที่  8'!H201+'วันที่  9'!H201+'วันที่  10'!H201+'วันที่  11'!H201+'วันที่  12'!H201+'วันที่  13'!H201+'วันที่ 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 7'!J201+'วันที่  8'!J201+'วันที่  9'!J201+'วันที่  10'!J201+'วันที่  11'!J201+'วันที่  12'!J201+'วันที่  13'!J201+'วันที่ 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19"/>
      <c r="M201" s="56"/>
      <c r="U201" s="5"/>
    </row>
    <row r="202" spans="1:21">
      <c r="A202" s="10">
        <v>198</v>
      </c>
      <c r="B202" s="11"/>
      <c r="C202" s="46">
        <f>+'วันที่ 1'!C202</f>
        <v>0</v>
      </c>
      <c r="D202" s="47">
        <f>+'วันที่ 1'!D202+'วันที่ 2'!D202+'วันที่ 3'!D202+'วันที่ 4'!D202+'วันที่ 5'!D202+'วันที่ 6'!D202+'วันที่  7'!D202+'วันที่  8'!D202+'วันที่  9'!D202+'วันที่  10'!D202+'วันที่  11'!D202+'วันที่  12'!D202+'วันที่  13'!D202+'วันที่ 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5"/>
        <v>0</v>
      </c>
      <c r="F202" s="47">
        <f>+'วันที่ 1'!F202+'วันที่ 2'!F202+'วันที่ 3'!F202+'วันที่ 4'!F202+'วันที่ 5'!F202+'วันที่ 6'!F202+'วันที่  7'!F202+'วันที่  8'!F202+'วันที่  9'!F202+'วันที่  10'!F202+'วันที่  11'!F202+'วันที่  12'!F202+'วันที่  13'!F202+'วันที่ 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2">
        <f t="shared" si="8"/>
        <v>0</v>
      </c>
      <c r="H202" s="47">
        <f>+'วันที่ 1'!H202+'วันที่ 2'!H202+'วันที่ 3'!H202+'วันที่ 4'!H202+'วันที่ 5'!H202+'วันที่ 6'!H202+'วันที่  7'!H202+'วันที่  8'!H202+'วันที่  9'!H202+'วันที่  10'!H202+'วันที่  11'!H202+'วันที่  12'!H202+'วันที่  13'!H202+'วันที่ 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 7'!J202+'วันที่  8'!J202+'วันที่  9'!J202+'วันที่  10'!J202+'วันที่  11'!J202+'วันที่  12'!J202+'วันที่  13'!J202+'วันที่ 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9"/>
      <c r="M202" s="56"/>
      <c r="U202" s="5"/>
    </row>
    <row r="203" spans="1:21">
      <c r="A203" s="10">
        <v>199</v>
      </c>
      <c r="B203" s="11"/>
      <c r="C203" s="46">
        <f>+'วันที่ 1'!C203</f>
        <v>0</v>
      </c>
      <c r="D203" s="47">
        <f>+'วันที่ 1'!D203+'วันที่ 2'!D203+'วันที่ 3'!D203+'วันที่ 4'!D203+'วันที่ 5'!D203+'วันที่ 6'!D203+'วันที่  7'!D203+'วันที่  8'!D203+'วันที่  9'!D203+'วันที่  10'!D203+'วันที่  11'!D203+'วันที่  12'!D203+'วันที่  13'!D203+'วันที่ 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4" si="9">+C203+D203</f>
        <v>0</v>
      </c>
      <c r="F203" s="47">
        <f>+'วันที่ 1'!F203+'วันที่ 2'!F203+'วันที่ 3'!F203+'วันที่ 4'!F203+'วันที่ 5'!F203+'วันที่ 6'!F203+'วันที่  7'!F203+'วันที่  8'!F203+'วันที่  9'!F203+'วันที่  10'!F203+'วันที่  11'!F203+'วันที่  12'!F203+'วันที่  13'!F203+'วันที่ 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2">
        <f t="shared" si="8"/>
        <v>0</v>
      </c>
      <c r="H203" s="47">
        <f>+'วันที่ 1'!H203+'วันที่ 2'!H203+'วันที่ 3'!H203+'วันที่ 4'!H203+'วันที่ 5'!H203+'วันที่ 6'!H203+'วันที่  7'!H203+'วันที่  8'!H203+'วันที่  9'!H203+'วันที่  10'!H203+'วันที่  11'!H203+'วันที่  12'!H203+'วันที่  13'!H203+'วันที่ 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 7'!J203+'วันที่  8'!J203+'วันที่  9'!J203+'วันที่  10'!J203+'วันที่  11'!J203+'วันที่  12'!J203+'วันที่  13'!J203+'วันที่ 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19"/>
      <c r="M203" s="56"/>
      <c r="U203" s="5"/>
    </row>
    <row r="204" spans="1:21">
      <c r="A204" s="10">
        <v>200</v>
      </c>
      <c r="B204" s="11"/>
      <c r="C204" s="46">
        <f>+'วันที่ 1'!C204</f>
        <v>0</v>
      </c>
      <c r="D204" s="47">
        <f>+'วันที่ 1'!D204+'วันที่ 2'!D204+'วันที่ 3'!D204+'วันที่ 4'!D204+'วันที่ 5'!D204+'วันที่ 6'!D204+'วันที่  7'!D204+'วันที่  8'!D204+'วันที่  9'!D204+'วันที่  10'!D204+'วันที่  11'!D204+'วันที่  12'!D204+'วันที่  13'!D204+'วันที่ 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9"/>
        <v>0</v>
      </c>
      <c r="F204" s="47">
        <f>+'วันที่ 1'!F204+'วันที่ 2'!F204+'วันที่ 3'!F204+'วันที่ 4'!F204+'วันที่ 5'!F204+'วันที่ 6'!F204+'วันที่  7'!F204+'วันที่  8'!F204+'วันที่  9'!F204+'วันที่  10'!F204+'วันที่  11'!F204+'วันที่  12'!F204+'วันที่  13'!F204+'วันที่ 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2">
        <f t="shared" si="8"/>
        <v>0</v>
      </c>
      <c r="H204" s="47">
        <f>+'วันที่ 1'!H204+'วันที่ 2'!H204+'วันที่ 3'!H204+'วันที่ 4'!H204+'วันที่ 5'!H204+'วันที่ 6'!H204+'วันที่  7'!H204+'วันที่  8'!H204+'วันที่  9'!H204+'วันที่  10'!H204+'วันที่  11'!H204+'วันที่  12'!H204+'วันที่  13'!H204+'วันที่ 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 7'!J204+'วันที่  8'!J204+'วันที่  9'!J204+'วันที่  10'!J204+'วันที่  11'!J204+'วันที่  12'!J204+'วันที่  13'!J204+'วันที่ 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19"/>
      <c r="M204" s="56"/>
      <c r="U204" s="5"/>
    </row>
    <row r="205" spans="1:21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 7'!D205+'วันที่  8'!D205+'วันที่  9'!D205+'วันที่  10'!D205+'วันที่  11'!D205+'วันที่  12'!D205+'วันที่  13'!D205+'วันที่ 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9"/>
        <v>0</v>
      </c>
      <c r="F205" s="47">
        <f>+'วันที่ 1'!F205+'วันที่ 2'!F205+'วันที่ 3'!F205+'วันที่ 4'!F205+'วันที่ 5'!F205+'วันที่ 6'!F205+'วันที่  7'!F205+'วันที่  8'!F205+'วันที่  9'!F205+'วันที่  10'!F205+'วันที่  11'!F205+'วันที่  12'!F205+'วันที่  13'!F205+'วันที่ 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2">
        <f t="shared" si="8"/>
        <v>0</v>
      </c>
      <c r="H205" s="47">
        <f>+'วันที่ 1'!H205+'วันที่ 2'!H205+'วันที่ 3'!H205+'วันที่ 4'!H205+'วันที่ 5'!H205+'วันที่ 6'!H205+'วันที่  7'!H205+'วันที่  8'!H205+'วันที่  9'!H205+'วันที่  10'!H205+'วันที่  11'!H205+'วันที่  12'!H205+'วันที่  13'!H205+'วันที่  14'!H205+'วันที่ 15'!H205+'วันที่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 7'!J205+'วันที่  8'!J205+'วันที่  9'!J205+'วันที่  10'!J205+'วันที่  11'!J205+'วันที่  12'!J205+'วันที่  13'!J205+'วันที่ 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19"/>
      <c r="M205" s="56"/>
      <c r="U205" s="5"/>
    </row>
    <row r="206" spans="1:21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 7'!D206+'วันที่  8'!D206+'วันที่  9'!D206+'วันที่  10'!D206+'วันที่  11'!D206+'วันที่  12'!D206+'วันที่  13'!D206+'วันที่ 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9"/>
        <v>0</v>
      </c>
      <c r="F206" s="47">
        <f>+'วันที่ 1'!F206+'วันที่ 2'!F206+'วันที่ 3'!F206+'วันที่ 4'!F206+'วันที่ 5'!F206+'วันที่ 6'!F206+'วันที่  7'!F206+'วันที่  8'!F206+'วันที่  9'!F206+'วันที่  10'!F206+'วันที่  11'!F206+'วันที่  12'!F206+'วันที่  13'!F206+'วันที่ 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2" t="e">
        <f t="shared" si="8"/>
        <v>#VALUE!</v>
      </c>
      <c r="H206" s="47" t="e">
        <f>+'วันที่ 1'!H206+'วันที่ 2'!H206+'วันที่ 3'!H206+'วันที่ 4'!H206+'วันที่ 5'!H206+'วันที่ 6'!H206+'วันที่  7'!H206+'วันที่  8'!H206+'วันที่  9'!H206+'วันที่  10'!H206+'วันที่  11'!H206+'วันที่  12'!H206+'วันที่  13'!H206+'วันที่  14'!H206+'วันที่ 15'!H206+'วันที่ 16'!H206+'วันที่ 17'!H206+'วันที่ 18'!H206+'วันที่ 19'!H206+'วันที่ 20'!H206+'วันที่ 21'!H206+'วันที่ 22'!H206+'วันที่ 23'!H206+'วันที่ 24'!H206+'วันที่ 25'!H206+'วันที่ 26'!H206+'วันที่ 27'!H206+'วันที่ 28'!H206+'วันที่ 29'!H206+'วันที่ 30'!H206+'วันที่ 31'!H206</f>
        <v>#VALUE!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 7'!J206+'วันที่  8'!J206+'วันที่  9'!J206+'วันที่  10'!J206+'วันที่  11'!J206+'วันที่  12'!J206+'วันที่  13'!J206+'วันที่ 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19"/>
      <c r="M206" s="56"/>
      <c r="U206" s="5"/>
    </row>
    <row r="207" spans="1:21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 7'!D207+'วันที่  8'!D207+'วันที่  9'!D207+'วันที่  10'!D207+'วันที่  11'!D207+'วันที่  12'!D207+'วันที่  13'!D207+'วันที่ 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9"/>
        <v>0</v>
      </c>
      <c r="F207" s="47">
        <f>+'วันที่ 1'!F207+'วันที่ 2'!F207+'วันที่ 3'!F207+'วันที่ 4'!F207+'วันที่ 5'!F207+'วันที่ 6'!F207+'วันที่  7'!F207+'วันที่  8'!F207+'วันที่  9'!F207+'วันที่  10'!F207+'วันที่  11'!F207+'วันที่  12'!F207+'วันที่  13'!F207+'วันที่ 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2">
        <f t="shared" si="8"/>
        <v>0</v>
      </c>
      <c r="H207" s="47">
        <f>+'วันที่ 1'!H207+'วันที่ 2'!H207+'วันที่ 3'!H207+'วันที่ 4'!H207+'วันที่ 5'!H207+'วันที่ 6'!H207+'วันที่  7'!H207+'วันที่  8'!H207+'วันที่  9'!H207+'วันที่  10'!H207+'วันที่  11'!H207+'วันที่  12'!H207+'วันที่  13'!H207+'วันที่ 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 7'!J207+'วันที่  8'!J207+'วันที่  9'!J207+'วันที่  10'!J207+'วันที่  11'!J207+'วันที่  12'!J207+'วันที่  13'!J207+'วันที่ 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19"/>
      <c r="M207" s="56"/>
      <c r="U207" s="5"/>
    </row>
    <row r="208" spans="1:21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 7'!D208+'วันที่  8'!D208+'วันที่  9'!D208+'วันที่  10'!D208+'วันที่  11'!D208+'วันที่  12'!D208+'วันที่  13'!D208+'วันที่ 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9"/>
        <v>0</v>
      </c>
      <c r="F208" s="47">
        <f>+'วันที่ 1'!F208+'วันที่ 2'!F208+'วันที่ 3'!F208+'วันที่ 4'!F208+'วันที่ 5'!F208+'วันที่ 6'!F208+'วันที่  7'!F208+'วันที่  8'!F208+'วันที่  9'!F208+'วันที่  10'!F208+'วันที่  11'!F208+'วันที่  12'!F208+'วันที่  13'!F208+'วันที่ 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2">
        <f t="shared" si="8"/>
        <v>0</v>
      </c>
      <c r="H208" s="47">
        <f>+'วันที่ 1'!H208+'วันที่ 2'!H208+'วันที่ 3'!H208+'วันที่ 4'!H208+'วันที่ 5'!H208+'วันที่ 6'!H208+'วันที่  7'!H208+'วันที่  8'!H208+'วันที่  9'!H208+'วันที่  10'!H208+'วันที่  11'!H208+'วันที่  12'!H208+'วันที่  13'!H208+'วันที่ 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 7'!J208+'วันที่  8'!J208+'วันที่  9'!J208+'วันที่  10'!J208+'วันที่  11'!J208+'วันที่  12'!J208+'วันที่  13'!J208+'วันที่ 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19"/>
      <c r="M208" s="56"/>
      <c r="U208" s="5"/>
    </row>
    <row r="209" spans="1:21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 7'!D209+'วันที่  8'!D209+'วันที่  9'!D209+'วันที่  10'!D209+'วันที่  11'!D209+'วันที่  12'!D209+'วันที่  13'!D209+'วันที่ 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9"/>
        <v>0</v>
      </c>
      <c r="F209" s="47">
        <f>+'วันที่ 1'!F209+'วันที่ 2'!F209+'วันที่ 3'!F209+'วันที่ 4'!F209+'วันที่ 5'!F209+'วันที่ 6'!F209+'วันที่  7'!F209+'วันที่  8'!F209+'วันที่  9'!F209+'วันที่  10'!F209+'วันที่  11'!F209+'วันที่  12'!F209+'วันที่  13'!F209+'วันที่ 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2">
        <f t="shared" si="8"/>
        <v>0</v>
      </c>
      <c r="H209" s="47">
        <f>+'วันที่ 1'!H209+'วันที่ 2'!H209+'วันที่ 3'!H209+'วันที่ 4'!H209+'วันที่ 5'!H209+'วันที่ 6'!H209+'วันที่  7'!H209+'วันที่  8'!H209+'วันที่  9'!H209+'วันที่  10'!H209+'วันที่  11'!H209+'วันที่  12'!H209+'วันที่  13'!H209+'วันที่ 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 7'!J209+'วันที่  8'!J209+'วันที่  9'!J209+'วันที่  10'!J209+'วันที่  11'!J209+'วันที่  12'!J209+'วันที่  13'!J209+'วันที่ 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19"/>
      <c r="M209" s="56"/>
      <c r="U209" s="5"/>
    </row>
    <row r="210" spans="1:21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 7'!D210+'วันที่  8'!D210+'วันที่  9'!D210+'วันที่  10'!D210+'วันที่  11'!D210+'วันที่  12'!D210+'วันที่  13'!D210+'วันที่ 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9"/>
        <v>0</v>
      </c>
      <c r="F210" s="47">
        <f>+'วันที่ 1'!F210+'วันที่ 2'!F210+'วันที่ 3'!F210+'วันที่ 4'!F210+'วันที่ 5'!F210+'วันที่ 6'!F210+'วันที่  7'!F210+'วันที่  8'!F210+'วันที่  9'!F210+'วันที่  10'!F210+'วันที่  11'!F210+'วันที่  12'!F210+'วันที่  13'!F210+'วันที่ 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2">
        <f t="shared" si="8"/>
        <v>0</v>
      </c>
      <c r="H210" s="47">
        <f>+'วันที่ 1'!H210+'วันที่ 2'!H210+'วันที่ 3'!H210+'วันที่ 4'!H210+'วันที่ 5'!H210+'วันที่ 6'!H210+'วันที่  7'!H210+'วันที่  8'!H210+'วันที่  9'!H210+'วันที่  10'!H210+'วันที่  11'!H210+'วันที่  12'!H210+'วันที่  13'!H210+'วันที่ 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 7'!J210+'วันที่  8'!J210+'วันที่  9'!J210+'วันที่  10'!J210+'วันที่  11'!J210+'วันที่  12'!J210+'วันที่  13'!J210+'วันที่ 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19"/>
      <c r="M210" s="56"/>
      <c r="U210" s="5"/>
    </row>
    <row r="211" spans="1:21">
      <c r="A211" s="10">
        <v>207</v>
      </c>
      <c r="B211" s="11"/>
      <c r="C211" s="46">
        <f>+'วันที่ 1'!C211</f>
        <v>0</v>
      </c>
      <c r="D211" s="47">
        <f>+'วันที่ 1'!D211+'วันที่ 2'!D211+'วันที่ 3'!D211+'วันที่ 4'!D211+'วันที่ 5'!D211+'วันที่ 6'!D211+'วันที่  7'!D211+'วันที่  8'!D211+'วันที่  9'!D211+'วันที่  10'!D211+'วันที่  11'!D211+'วันที่  12'!D211+'วันที่  13'!D211+'วันที่ 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46">
        <f t="shared" si="9"/>
        <v>0</v>
      </c>
      <c r="F211" s="47">
        <f>+'วันที่ 1'!F211+'วันที่ 2'!F211+'วันที่ 3'!F211+'วันที่ 4'!F211+'วันที่ 5'!F211+'วันที่ 6'!F211+'วันที่  7'!F211+'วันที่  8'!F211+'วันที่  9'!F211+'วันที่  10'!F211+'วันที่  11'!F211+'วันที่  12'!F211+'วันที่  13'!F211+'วันที่ 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2">
        <f t="shared" si="8"/>
        <v>0</v>
      </c>
      <c r="H211" s="47">
        <f>+'วันที่ 1'!H211+'วันที่ 2'!H211+'วันที่ 3'!H211+'วันที่ 4'!H211+'วันที่ 5'!H211+'วันที่ 6'!H211+'วันที่  7'!H211+'วันที่  8'!H211+'วันที่  9'!H211+'วันที่  10'!H211+'วันที่  11'!H211+'วันที่  12'!H211+'วันที่  13'!H211+'วันที่ 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 7'!J211+'วันที่  8'!J211+'วันที่  9'!J211+'วันที่  10'!J211+'วันที่  11'!J211+'วันที่  12'!J211+'วันที่  13'!J211+'วันที่ 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19"/>
      <c r="M211" s="56"/>
      <c r="U211" s="5"/>
    </row>
    <row r="212" spans="1:21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 7'!D212+'วันที่  8'!D212+'วันที่  9'!D212+'วันที่  10'!D212+'วันที่  11'!D212+'วันที่  12'!D212+'วันที่  13'!D212+'วันที่ 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9"/>
        <v>0</v>
      </c>
      <c r="F212" s="47">
        <f>+'วันที่ 1'!F212+'วันที่ 2'!F212+'วันที่ 3'!F212+'วันที่ 4'!F212+'วันที่ 5'!F212+'วันที่ 6'!F212+'วันที่  7'!F212+'วันที่  8'!F212+'วันที่  9'!F212+'วันที่  10'!F212+'วันที่  11'!F212+'วันที่  12'!F212+'วันที่  13'!F212+'วันที่ 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2">
        <f t="shared" si="8"/>
        <v>0</v>
      </c>
      <c r="H212" s="47">
        <f>+'วันที่ 1'!H212+'วันที่ 2'!H212+'วันที่ 3'!H212+'วันที่ 4'!H212+'วันที่ 5'!H212+'วันที่ 6'!H212+'วันที่  7'!H212+'วันที่  8'!H212+'วันที่  9'!H212+'วันที่  10'!H212+'วันที่  11'!H212+'วันที่  12'!H212+'วันที่  13'!H212+'วันที่ 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 7'!J212+'วันที่  8'!J212+'วันที่  9'!J212+'วันที่  10'!J212+'วันที่  11'!J212+'วันที่  12'!J212+'วันที่  13'!J212+'วันที่ 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19"/>
      <c r="M212" s="56"/>
      <c r="U212" s="5"/>
    </row>
    <row r="213" spans="1:21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 7'!D213+'วันที่  8'!D213+'วันที่  9'!D213+'วันที่  10'!D213+'วันที่  11'!D213+'วันที่  12'!D213+'วันที่  13'!D213+'วันที่ 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9"/>
        <v>0</v>
      </c>
      <c r="F213" s="47">
        <f>+'วันที่ 1'!F213+'วันที่ 2'!F213+'วันที่ 3'!F213+'วันที่ 4'!F213+'วันที่ 5'!F213+'วันที่ 6'!F213+'วันที่  7'!F213+'วันที่  8'!F213+'วันที่  9'!F213+'วันที่  10'!F213+'วันที่  11'!F213+'วันที่  12'!F213+'วันที่  13'!F213+'วันที่ 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2">
        <f t="shared" si="8"/>
        <v>0</v>
      </c>
      <c r="H213" s="47">
        <f>+'วันที่ 1'!H213+'วันที่ 2'!H213+'วันที่ 3'!H213+'วันที่ 4'!H213+'วันที่ 5'!H213+'วันที่ 6'!H213+'วันที่  7'!H213+'วันที่  8'!H213+'วันที่  9'!H213+'วันที่  10'!H213+'วันที่  11'!H213+'วันที่  12'!H213+'วันที่  13'!H213+'วันที่ 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 7'!J213+'วันที่  8'!J213+'วันที่  9'!J213+'วันที่  10'!J213+'วันที่  11'!J213+'วันที่  12'!J213+'วันที่  13'!J213+'วันที่ 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19"/>
      <c r="M213" s="56"/>
      <c r="U213" s="5"/>
    </row>
    <row r="214" spans="1:21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 7'!D214+'วันที่  8'!D214+'วันที่  9'!D214+'วันที่  10'!D214+'วันที่  11'!D214+'วันที่  12'!D214+'วันที่  13'!D214+'วันที่ 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9"/>
        <v>0</v>
      </c>
      <c r="F214" s="47">
        <f>+'วันที่ 1'!F214+'วันที่ 2'!F214+'วันที่ 3'!F214+'วันที่ 4'!F214+'วันที่ 5'!F214+'วันที่ 6'!F214+'วันที่  7'!F214+'วันที่  8'!F214+'วันที่  9'!F214+'วันที่  10'!F214+'วันที่  11'!F214+'วันที่  12'!F214+'วันที่  13'!F214+'วันที่ 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2">
        <f t="shared" si="8"/>
        <v>0</v>
      </c>
      <c r="H214" s="47">
        <f>+'วันที่ 1'!H214+'วันที่ 2'!H214+'วันที่ 3'!H214+'วันที่ 4'!H214+'วันที่ 5'!H214+'วันที่ 6'!H214+'วันที่  7'!H214+'วันที่  8'!H214+'วันที่  9'!H214+'วันที่  10'!H214+'วันที่  11'!H214+'วันที่  12'!H214+'วันที่  13'!H214+'วันที่ 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 7'!J214+'วันที่  8'!J214+'วันที่  9'!J214+'วันที่  10'!J214+'วันที่  11'!J214+'วันที่  12'!J214+'วันที่  13'!J214+'วันที่ 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19"/>
      <c r="M214" s="56"/>
      <c r="U214" s="5"/>
    </row>
    <row r="215" spans="1:21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 7'!D215+'วันที่  8'!D215+'วันที่  9'!D215+'วันที่  10'!D215+'วันที่  11'!D215+'วันที่  12'!D215+'วันที่  13'!D215+'วันที่ 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9"/>
        <v>0</v>
      </c>
      <c r="F215" s="47">
        <f>+'วันที่ 1'!F215+'วันที่ 2'!F215+'วันที่ 3'!F215+'วันที่ 4'!F215+'วันที่ 5'!F215+'วันที่ 6'!F215+'วันที่  7'!F215+'วันที่  8'!F215+'วันที่  9'!F215+'วันที่  10'!F215+'วันที่  11'!F215+'วันที่  12'!F215+'วันที่  13'!F215+'วันที่ 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2">
        <f t="shared" si="8"/>
        <v>0</v>
      </c>
      <c r="H215" s="47">
        <f>+'วันที่ 1'!H215+'วันที่ 2'!H215+'วันที่ 3'!H215+'วันที่ 4'!H215+'วันที่ 5'!H215+'วันที่ 6'!H215+'วันที่  7'!H215+'วันที่  8'!H215+'วันที่  9'!H215+'วันที่  10'!H215+'วันที่  11'!H215+'วันที่  12'!H215+'วันที่  13'!H215+'วันที่ 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 7'!J215+'วันที่  8'!J215+'วันที่  9'!J215+'วันที่  10'!J215+'วันที่  11'!J215+'วันที่  12'!J215+'วันที่  13'!J215+'วันที่ 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19"/>
      <c r="M215" s="56"/>
      <c r="U215" s="5"/>
    </row>
    <row r="216" spans="1:21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 7'!D216+'วันที่  8'!D216+'วันที่  9'!D216+'วันที่  10'!D216+'วันที่  11'!D216+'วันที่  12'!D216+'วันที่  13'!D216+'วันที่ 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9"/>
        <v>0</v>
      </c>
      <c r="F216" s="47">
        <f>+'วันที่ 1'!F216+'วันที่ 2'!F216+'วันที่ 3'!F216+'วันที่ 4'!F216+'วันที่ 5'!F216+'วันที่ 6'!F216+'วันที่  7'!F216+'วันที่  8'!F216+'วันที่  9'!F216+'วันที่  10'!F216+'วันที่  11'!F216+'วันที่  12'!F216+'วันที่  13'!F216+'วันที่ 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2">
        <f t="shared" si="8"/>
        <v>0</v>
      </c>
      <c r="H216" s="47">
        <f>+'วันที่ 1'!H216+'วันที่ 2'!H216+'วันที่ 3'!H216+'วันที่ 4'!H216+'วันที่ 5'!H216+'วันที่ 6'!H216+'วันที่  7'!H216+'วันที่  8'!H216+'วันที่  9'!H216+'วันที่  10'!H216+'วันที่  11'!H216+'วันที่  12'!H216+'วันที่  13'!H216+'วันที่ 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 7'!J216+'วันที่  8'!J216+'วันที่  9'!J216+'วันที่  10'!J216+'วันที่  11'!J216+'วันที่  12'!J216+'วันที่  13'!J216+'วันที่ 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19"/>
      <c r="M216" s="56"/>
      <c r="U216" s="5"/>
    </row>
    <row r="217" spans="1:21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 7'!D217+'วันที่  8'!D217+'วันที่  9'!D217+'วันที่  10'!D217+'วันที่  11'!D217+'วันที่  12'!D217+'วันที่  13'!D217+'วันที่ 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9"/>
        <v>0</v>
      </c>
      <c r="F217" s="47">
        <f>+'วันที่ 1'!F217+'วันที่ 2'!F217+'วันที่ 3'!F217+'วันที่ 4'!F217+'วันที่ 5'!F217+'วันที่ 6'!F217+'วันที่  7'!F217+'วันที่  8'!F217+'วันที่  9'!F217+'วันที่  10'!F217+'วันที่  11'!F217+'วันที่  12'!F217+'วันที่  13'!F217+'วันที่ 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2">
        <f t="shared" si="8"/>
        <v>0</v>
      </c>
      <c r="H217" s="47">
        <f>+'วันที่ 1'!H217+'วันที่ 2'!H217+'วันที่ 3'!H217+'วันที่ 4'!H217+'วันที่ 5'!H217+'วันที่ 6'!H217+'วันที่  7'!H217+'วันที่  8'!H217+'วันที่  9'!H217+'วันที่  10'!H217+'วันที่  11'!H217+'วันที่  12'!H217+'วันที่  13'!H217+'วันที่ 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 7'!J217+'วันที่  8'!J217+'วันที่  9'!J217+'วันที่  10'!J217+'วันที่  11'!J217+'วันที่  12'!J217+'วันที่  13'!J217+'วันที่ 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19"/>
      <c r="M217" s="56"/>
      <c r="U217" s="5"/>
    </row>
    <row r="218" spans="1:21">
      <c r="A218" s="10">
        <v>214</v>
      </c>
      <c r="B218" s="11"/>
      <c r="C218" s="46">
        <f>+'วันที่ 1'!C218</f>
        <v>0</v>
      </c>
      <c r="D218" s="47">
        <f>+'วันที่ 1'!D218+'วันที่ 2'!D218+'วันที่ 3'!D218+'วันที่ 4'!D218+'วันที่ 5'!D218+'วันที่ 6'!D218+'วันที่  7'!D218+'วันที่  8'!D218+'วันที่  9'!D218+'วันที่  10'!D218+'วันที่  11'!D218+'วันที่  12'!D218+'วันที่  13'!D218+'วันที่  14'!D218+'วันที่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46">
        <f t="shared" si="9"/>
        <v>0</v>
      </c>
      <c r="F218" s="47">
        <f>+'วันที่ 1'!F218+'วันที่ 2'!F218+'วันที่ 3'!F218+'วันที่ 4'!F218+'วันที่ 5'!F218+'วันที่ 6'!F218+'วันที่  7'!F218+'วันที่  8'!F218+'วันที่  9'!F218+'วันที่  10'!F218+'วันที่  11'!F218+'วันที่  12'!F218+'วันที่  13'!F218+'วันที่  14'!F218+'วันที่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92">
        <f t="shared" si="8"/>
        <v>0</v>
      </c>
      <c r="H218" s="47">
        <f>+'วันที่ 1'!H218+'วันที่ 2'!H218+'วันที่ 3'!H218+'วันที่ 4'!H218+'วันที่ 5'!H218+'วันที่ 6'!H218+'วันที่  7'!H218+'วันที่  8'!H218+'วันที่  9'!H218+'วันที่  10'!H218+'วันที่  11'!H218+'วันที่  12'!H218+'วันที่  13'!H218+'วันที่  14'!H218+'วันที่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8">
        <v>0</v>
      </c>
      <c r="J218" s="47" t="e">
        <f>+'วันที่ 1'!J218+'วันที่ 2'!J218+'วันที่ 3'!J218+'วันที่ 4'!J218+'วันที่ 5'!J218+'วันที่ 6'!J218+'วันที่  7'!J218+'วันที่  8'!J218+'วันที่  9'!J218+'วันที่  10'!J218+'วันที่  11'!J218+'วันที่  12'!J218+'วันที่  13'!J218+'วันที่  14'!J218+'วันที่ 15'!J218+'วันที่ 16'!J218+'วันที่ 17'!J218+'วันที่ 18'!J218+'วันที่ 19'!J218+'วันที่ 20'!J218+'วันที่ 21'!J218+'วันที่ 22'!J218+'วันที่ 23'!J218+'วันที่ 24'!J218+'วันที่ 25'!J218+'วันที่ 26'!J218+'วันที่ 27'!J218+'วันที่ 28'!J218+'วันที่ 29'!J218+'วันที่ 30'!J218+'วันที่ 31'!J218</f>
        <v>#VALUE!</v>
      </c>
      <c r="K218" s="19"/>
      <c r="M218" s="56"/>
      <c r="U218" s="5"/>
    </row>
    <row r="219" spans="1:21">
      <c r="A219" s="10">
        <v>215</v>
      </c>
      <c r="B219" s="11"/>
      <c r="C219" s="46">
        <f>+'วันที่ 1'!C219</f>
        <v>0</v>
      </c>
      <c r="D219" s="47">
        <f>+'วันที่ 1'!D219+'วันที่ 2'!D219+'วันที่ 3'!D219+'วันที่ 4'!D219+'วันที่ 5'!D219+'วันที่ 6'!D219+'วันที่  7'!D219+'วันที่  8'!D219+'วันที่  9'!D219+'วันที่  10'!D219+'วันที่  11'!D219+'วันที่  12'!D219+'วันที่  13'!D219+'วันที่  14'!D219+'วันที่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46">
        <f t="shared" si="9"/>
        <v>0</v>
      </c>
      <c r="F219" s="47">
        <f>+'วันที่ 1'!F219+'วันที่ 2'!F219+'วันที่ 3'!F219+'วันที่ 4'!F219+'วันที่ 5'!F219+'วันที่ 6'!F219+'วันที่  7'!F219+'วันที่  8'!F219+'วันที่  9'!F219+'วันที่  10'!F219+'วันที่  11'!F219+'วันที่  12'!F219+'วันที่  13'!F219+'วันที่  14'!F219+'วันที่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92">
        <f t="shared" si="8"/>
        <v>0</v>
      </c>
      <c r="H219" s="47">
        <f>+'วันที่ 1'!H219+'วันที่ 2'!H219+'วันที่ 3'!H219+'วันที่ 4'!H219+'วันที่ 5'!H219+'วันที่ 6'!H219+'วันที่  7'!H219+'วันที่  8'!H219+'วันที่  9'!H219+'วันที่  10'!H219+'วันที่  11'!H219+'วันที่  12'!H219+'วันที่  13'!H219+'วันที่  14'!H219+'วันที่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8">
        <v>0</v>
      </c>
      <c r="J219" s="47" t="e">
        <f>+'วันที่ 1'!J219+'วันที่ 2'!J219+'วันที่ 3'!J219+'วันที่ 4'!J219+'วันที่ 5'!J219+'วันที่ 6'!J219+'วันที่  7'!J219+'วันที่  8'!J219+'วันที่  9'!J219+'วันที่  10'!J219+'วันที่  11'!J219+'วันที่  12'!J219+'วันที่  13'!J219+'วันที่  14'!J219+'วันที่ 15'!J219+'วันที่ 16'!J219+'วันที่ 17'!J219+'วันที่ 18'!J219+'วันที่ 19'!J219+'วันที่ 20'!J219+'วันที่ 21'!J219+'วันที่ 22'!J219+'วันที่ 23'!J219+'วันที่ 24'!J219+'วันที่ 25'!J219+'วันที่ 26'!J219+'วันที่ 27'!J219+'วันที่ 28'!J219+'วันที่ 29'!J219+'วันที่ 30'!J219+'วันที่ 31'!J219</f>
        <v>#VALUE!</v>
      </c>
      <c r="K219" s="19"/>
      <c r="M219" s="56"/>
      <c r="U219" s="5"/>
    </row>
    <row r="220" spans="1:21">
      <c r="A220" s="10">
        <v>216</v>
      </c>
      <c r="B220" s="11"/>
      <c r="C220" s="46">
        <f>+'วันที่ 1'!C220</f>
        <v>0</v>
      </c>
      <c r="D220" s="47">
        <f>+'วันที่ 1'!D220+'วันที่ 2'!D220+'วันที่ 3'!D220+'วันที่ 4'!D220+'วันที่ 5'!D220+'วันที่ 6'!D220+'วันที่  7'!D220+'วันที่  8'!D220+'วันที่  9'!D220+'วันที่  10'!D220+'วันที่  11'!D220+'วันที่  12'!D220+'วันที่  13'!D220+'วันที่  14'!D220+'วันที่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46">
        <f t="shared" si="9"/>
        <v>0</v>
      </c>
      <c r="F220" s="47">
        <f>+'วันที่ 1'!F220+'วันที่ 2'!F220+'วันที่ 3'!F220+'วันที่ 4'!F220+'วันที่ 5'!F220+'วันที่ 6'!F220+'วันที่  7'!F220+'วันที่  8'!F220+'วันที่  9'!F220+'วันที่  10'!F220+'วันที่  11'!F220+'วันที่  12'!F220+'วันที่  13'!F220+'วันที่  14'!F220+'วันที่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92">
        <f t="shared" si="8"/>
        <v>0</v>
      </c>
      <c r="H220" s="47">
        <f>+'วันที่ 1'!H220+'วันที่ 2'!H220+'วันที่ 3'!H220+'วันที่ 4'!H220+'วันที่ 5'!H220+'วันที่ 6'!H220+'วันที่  7'!H220+'วันที่  8'!H220+'วันที่  9'!H220+'วันที่  10'!H220+'วันที่  11'!H220+'วันที่  12'!H220+'วันที่  13'!H220+'วันที่  14'!H220+'วันที่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8">
        <v>0</v>
      </c>
      <c r="J220" s="47" t="e">
        <f>+'วันที่ 1'!J220+'วันที่ 2'!J220+'วันที่ 3'!J220+'วันที่ 4'!J220+'วันที่ 5'!J220+'วันที่ 6'!J220+'วันที่  7'!J220+'วันที่  8'!J220+'วันที่  9'!J220+'วันที่  10'!J220+'วันที่  11'!J220+'วันที่  12'!J220+'วันที่  13'!J220+'วันที่  14'!J220+'วันที่ 15'!J220+'วันที่ 16'!J220+'วันที่ 17'!J220+'วันที่ 18'!J220+'วันที่ 19'!J220+'วันที่ 20'!J220+'วันที่ 21'!J220+'วันที่ 22'!J220+'วันที่ 23'!J220+'วันที่ 24'!J220+'วันที่ 25'!J220+'วันที่ 26'!J220+'วันที่ 27'!J220+'วันที่ 28'!J220+'วันที่ 29'!J220+'วันที่ 30'!J220+'วันที่ 31'!J220</f>
        <v>#VALUE!</v>
      </c>
      <c r="K220" s="19"/>
      <c r="M220" s="56"/>
      <c r="U220" s="5"/>
    </row>
    <row r="221" spans="1:21">
      <c r="A221" s="10">
        <v>217</v>
      </c>
      <c r="B221" s="11"/>
      <c r="C221" s="46">
        <f>+'วันที่ 1'!C221</f>
        <v>0</v>
      </c>
      <c r="D221" s="47">
        <f>+'วันที่ 1'!D221+'วันที่ 2'!D221+'วันที่ 3'!D221+'วันที่ 4'!D221+'วันที่ 5'!D221+'วันที่ 6'!D221+'วันที่  7'!D221+'วันที่  8'!D221+'วันที่  9'!D221+'วันที่  10'!D221+'วันที่  11'!D221+'วันที่  12'!D221+'วันที่  13'!D221+'วันที่ 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46">
        <f t="shared" si="9"/>
        <v>0</v>
      </c>
      <c r="F221" s="47">
        <f>+'วันที่ 1'!F221+'วันที่ 2'!F221+'วันที่ 3'!F221+'วันที่ 4'!F221+'วันที่ 5'!F221+'วันที่ 6'!F221+'วันที่  7'!F221+'วันที่  8'!F221+'วันที่  9'!F221+'วันที่  10'!F221+'วันที่  11'!F221+'วันที่  12'!F221+'วันที่  13'!F221+'วันที่ 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92">
        <f t="shared" si="8"/>
        <v>0</v>
      </c>
      <c r="H221" s="47">
        <f>+'วันที่ 1'!H221+'วันที่ 2'!H221+'วันที่ 3'!H221+'วันที่ 4'!H221+'วันที่ 5'!H221+'วันที่ 6'!H221+'วันที่  7'!H221+'วันที่  8'!H221+'วันที่  9'!H221+'วันที่  10'!H221+'วันที่  11'!H221+'วันที่  12'!H221+'วันที่  13'!H221+'วันที่ 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8">
        <v>0</v>
      </c>
      <c r="J221" s="47">
        <f>+'วันที่ 1'!J221+'วันที่ 2'!J221+'วันที่ 3'!J221+'วันที่ 4'!J221+'วันที่ 5'!J221+'วันที่ 6'!J221+'วันที่  7'!J221+'วันที่  8'!J221+'วันที่  9'!J221+'วันที่  10'!J221+'วันที่  11'!J221+'วันที่  12'!J221+'วันที่  13'!J221+'วันที่ 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19"/>
      <c r="M221" s="56"/>
      <c r="U221" s="5"/>
    </row>
    <row r="222" spans="1:21">
      <c r="A222" s="10">
        <v>218</v>
      </c>
      <c r="B222" s="11"/>
      <c r="C222" s="46">
        <f>+'วันที่ 1'!C222</f>
        <v>0</v>
      </c>
      <c r="D222" s="47">
        <f>+'วันที่ 1'!D222+'วันที่ 2'!D222+'วันที่ 3'!D222+'วันที่ 4'!D222+'วันที่ 5'!D222+'วันที่ 6'!D222+'วันที่  7'!D222+'วันที่  8'!D222+'วันที่  9'!D222+'วันที่  10'!D222+'วันที่  11'!D222+'วันที่  12'!D222+'วันที่  13'!D222+'วันที่ 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46">
        <f t="shared" si="9"/>
        <v>0</v>
      </c>
      <c r="F222" s="47">
        <f>+'วันที่ 1'!F222+'วันที่ 2'!F222+'วันที่ 3'!F222+'วันที่ 4'!F222+'วันที่ 5'!F222+'วันที่ 6'!F222+'วันที่  7'!F222+'วันที่  8'!F222+'วันที่  9'!F222+'วันที่  10'!F222+'วันที่  11'!F222+'วันที่  12'!F222+'วันที่  13'!F222+'วันที่ 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92">
        <f t="shared" si="8"/>
        <v>0</v>
      </c>
      <c r="H222" s="47">
        <f>+'วันที่ 1'!H222+'วันที่ 2'!H222+'วันที่ 3'!H222+'วันที่ 4'!H222+'วันที่ 5'!H222+'วันที่ 6'!H222+'วันที่  7'!H222+'วันที่  8'!H222+'วันที่  9'!H222+'วันที่  10'!H222+'วันที่  11'!H222+'วันที่  12'!H222+'วันที่  13'!H222+'วันที่ 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8">
        <v>0</v>
      </c>
      <c r="J222" s="47">
        <f>+'วันที่ 1'!J222+'วันที่ 2'!J222+'วันที่ 3'!J222+'วันที่ 4'!J222+'วันที่ 5'!J222+'วันที่ 6'!J222+'วันที่  7'!J222+'วันที่  8'!J222+'วันที่  9'!J222+'วันที่  10'!J222+'วันที่  11'!J222+'วันที่  12'!J222+'วันที่  13'!J222+'วันที่ 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19"/>
      <c r="M222" s="56"/>
      <c r="U222" s="5"/>
    </row>
    <row r="223" spans="1:21">
      <c r="A223" s="10">
        <v>219</v>
      </c>
      <c r="B223" s="11"/>
      <c r="C223" s="46">
        <f>+'วันที่ 1'!C223</f>
        <v>0</v>
      </c>
      <c r="D223" s="47">
        <f>+'วันที่ 1'!D223+'วันที่ 2'!D223+'วันที่ 3'!D223+'วันที่ 4'!D223+'วันที่ 5'!D223+'วันที่ 6'!D223+'วันที่  7'!D223+'วันที่  8'!D223+'วันที่  9'!D223+'วันที่  10'!D223+'วันที่  11'!D223+'วันที่  12'!D223+'วันที่  13'!D223+'วันที่ 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46">
        <f t="shared" si="9"/>
        <v>0</v>
      </c>
      <c r="F223" s="47">
        <f>+'วันที่ 1'!F223+'วันที่ 2'!F223+'วันที่ 3'!F223+'วันที่ 4'!F223+'วันที่ 5'!F223+'วันที่ 6'!F223+'วันที่  7'!F223+'วันที่  8'!F223+'วันที่  9'!F223+'วันที่  10'!F223+'วันที่  11'!F223+'วันที่  12'!F223+'วันที่  13'!F223+'วันที่ 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92">
        <f t="shared" si="8"/>
        <v>0</v>
      </c>
      <c r="H223" s="47">
        <f>+'วันที่ 1'!H223+'วันที่ 2'!H223+'วันที่ 3'!H223+'วันที่ 4'!H223+'วันที่ 5'!H223+'วันที่ 6'!H223+'วันที่  7'!H223+'วันที่  8'!H223+'วันที่  9'!H223+'วันที่  10'!H223+'วันที่  11'!H223+'วันที่  12'!H223+'วันที่  13'!H223+'วันที่ 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8">
        <v>0</v>
      </c>
      <c r="J223" s="47">
        <f>+'วันที่ 1'!J223+'วันที่ 2'!J223+'วันที่ 3'!J223+'วันที่ 4'!J223+'วันที่ 5'!J223+'วันที่ 6'!J223+'วันที่  7'!J223+'วันที่  8'!J223+'วันที่  9'!J223+'วันที่  10'!J223+'วันที่  11'!J223+'วันที่  12'!J223+'วันที่  13'!J223+'วันที่ 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19"/>
      <c r="M223" s="56"/>
      <c r="U223" s="5"/>
    </row>
    <row r="224" spans="1:21">
      <c r="A224" s="10">
        <v>220</v>
      </c>
      <c r="B224" s="11"/>
      <c r="C224" s="46"/>
      <c r="D224" s="47">
        <f>+'วันที่ 1'!D224+'วันที่ 2'!D224+'วันที่ 3'!D224+'วันที่ 4'!D224+'วันที่ 5'!D224+'วันที่ 6'!D224+'วันที่  7'!D224+'วันที่  8'!D224+'วันที่  9'!D224+'วันที่  10'!D224+'วันที่  11'!D224+'วันที่  12'!D224+'วันที่  13'!D224+'วันที่ 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46">
        <f t="shared" si="9"/>
        <v>0</v>
      </c>
      <c r="F224" s="47">
        <f>+'วันที่ 1'!F224+'วันที่ 2'!F224+'วันที่ 3'!F224+'วันที่ 4'!F224+'วันที่ 5'!F224+'วันที่ 6'!F224+'วันที่  7'!F224+'วันที่  8'!F224+'วันที่  9'!F224+'วันที่  10'!F224+'วันที่  11'!F224+'วันที่  12'!F224+'วันที่  13'!F224+'วันที่ 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92">
        <f t="shared" si="8"/>
        <v>0</v>
      </c>
      <c r="H224" s="47">
        <f>+'วันที่ 1'!H224+'วันที่ 2'!H224+'วันที่ 3'!H224+'วันที่ 4'!H224+'วันที่ 5'!H224+'วันที่ 6'!H224+'วันที่  7'!H224+'วันที่  8'!H224+'วันที่  9'!H224+'วันที่  10'!H224+'วันที่  11'!H224+'วันที่  12'!H224+'วันที่  13'!H224+'วันที่ 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8">
        <v>0</v>
      </c>
      <c r="J224" s="47">
        <f>+'วันที่ 1'!J224+'วันที่ 2'!J224+'วันที่ 3'!J224+'วันที่ 4'!J224+'วันที่ 5'!J224+'วันที่ 6'!J224+'วันที่  7'!J224+'วันที่  8'!J224+'วันที่  9'!J224+'วันที่  10'!J224+'วันที่  11'!J224+'วันที่  12'!J224+'วันที่  13'!J224+'วันที่ 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19"/>
      <c r="M224" s="56"/>
      <c r="U224" s="5"/>
    </row>
    <row r="225" spans="1:22" ht="29.25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7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138" t="s">
        <v>229</v>
      </c>
      <c r="B227" s="139"/>
      <c r="C227" s="140" t="s">
        <v>244</v>
      </c>
      <c r="D227" s="141"/>
      <c r="E227" s="142" t="s">
        <v>230</v>
      </c>
      <c r="F227" s="143"/>
      <c r="G227" s="144" t="s">
        <v>231</v>
      </c>
      <c r="H227" s="144"/>
      <c r="I227" s="144"/>
      <c r="J227" s="61" t="e">
        <f>SUM(J5:J225)</f>
        <v>#VALUE!</v>
      </c>
      <c r="K227" s="62" t="s">
        <v>224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232</v>
      </c>
      <c r="B228" s="66" t="e">
        <f>+J230</f>
        <v>#VALUE!</v>
      </c>
      <c r="C228" s="67" t="s">
        <v>233</v>
      </c>
      <c r="D228" s="68" t="e">
        <f>+J227</f>
        <v>#VALUE!</v>
      </c>
      <c r="E228" s="69" t="s">
        <v>222</v>
      </c>
      <c r="F228" s="70">
        <f>SUM(P36)</f>
        <v>0</v>
      </c>
      <c r="G228" s="152"/>
      <c r="H228" s="152"/>
      <c r="I228" s="152"/>
      <c r="J228" s="72"/>
      <c r="K228" s="72">
        <f>+R36</f>
        <v>4460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234</v>
      </c>
      <c r="D229" s="68">
        <f>K230</f>
        <v>2005</v>
      </c>
      <c r="E229" s="69"/>
      <c r="F229" s="73">
        <v>0</v>
      </c>
      <c r="G229" s="152" t="s">
        <v>235</v>
      </c>
      <c r="H229" s="152"/>
      <c r="I229" s="152"/>
      <c r="J229" s="72">
        <f>-O36</f>
        <v>0</v>
      </c>
      <c r="K229" s="72" t="s">
        <v>234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2005</v>
      </c>
      <c r="C230" s="67"/>
      <c r="D230" s="68"/>
      <c r="E230" s="69" t="s">
        <v>236</v>
      </c>
      <c r="F230" s="73">
        <f>+Q36</f>
        <v>0</v>
      </c>
      <c r="G230" s="153" t="s">
        <v>237</v>
      </c>
      <c r="H230" s="154"/>
      <c r="I230" s="155"/>
      <c r="J230" s="72" t="e">
        <f>+J227-J228</f>
        <v>#VALUE!</v>
      </c>
      <c r="K230" s="75">
        <f>+N36</f>
        <v>2005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238</v>
      </c>
      <c r="B231" s="66" t="e">
        <f>B228-B230</f>
        <v>#VALUE!</v>
      </c>
      <c r="C231" s="67" t="s">
        <v>238</v>
      </c>
      <c r="D231" s="68" t="e">
        <f>+D228-D229</f>
        <v>#VALUE!</v>
      </c>
      <c r="E231" s="69" t="s">
        <v>239</v>
      </c>
      <c r="F231" s="73">
        <f>SUM(F228:F230)</f>
        <v>0</v>
      </c>
      <c r="G231" s="152" t="s">
        <v>209</v>
      </c>
      <c r="H231" s="152"/>
      <c r="I231" s="152"/>
      <c r="J231" s="72">
        <f>F231</f>
        <v>0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240</v>
      </c>
      <c r="D232" s="68">
        <v>100000</v>
      </c>
      <c r="G232" s="145" t="s">
        <v>211</v>
      </c>
      <c r="H232" s="146"/>
      <c r="I232" s="147"/>
      <c r="J232" s="72" t="e">
        <f>J230-J231-K228-K230</f>
        <v>#VALUE!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241</v>
      </c>
      <c r="D233" s="68" t="e">
        <f>D231-D232</f>
        <v>#VALUE!</v>
      </c>
      <c r="G233" s="145" t="s">
        <v>212</v>
      </c>
      <c r="H233" s="146"/>
      <c r="I233" s="147"/>
      <c r="J233" s="72">
        <f>+T36</f>
        <v>44700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242</v>
      </c>
      <c r="D234" s="68">
        <v>0</v>
      </c>
      <c r="G234" s="145" t="s">
        <v>213</v>
      </c>
      <c r="H234" s="146"/>
      <c r="I234" s="147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48" t="s">
        <v>214</v>
      </c>
      <c r="H235" s="148"/>
      <c r="I235" s="148"/>
      <c r="J235" s="79" t="e">
        <f>+J233-J232</f>
        <v>#VALUE!</v>
      </c>
      <c r="K235" s="90"/>
    </row>
    <row r="236" spans="1:22" ht="24.75" customHeight="1" thickBot="1">
      <c r="F236" s="149" t="s">
        <v>243</v>
      </c>
      <c r="G236" s="150"/>
      <c r="H236" s="150"/>
      <c r="I236" s="150"/>
      <c r="J236" s="150"/>
      <c r="K236" s="151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5" sqref="C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+'[1]วันที่ 30'!G5</f>
        <v>1</v>
      </c>
      <c r="D5" s="110">
        <v>15</v>
      </c>
      <c r="E5" s="92">
        <f t="shared" ref="E5:E94" si="0">C5+D5</f>
        <v>16</v>
      </c>
      <c r="F5" s="97">
        <v>0</v>
      </c>
      <c r="G5" s="98">
        <f t="shared" ref="G5:G94" si="1">E5-F5-H5</f>
        <v>15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2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+'[1]วันที่ 30'!G6</f>
        <v>2</v>
      </c>
      <c r="D6" s="110">
        <v>15</v>
      </c>
      <c r="E6" s="107">
        <f t="shared" si="0"/>
        <v>17</v>
      </c>
      <c r="F6" s="97">
        <v>0</v>
      </c>
      <c r="G6" s="100">
        <f t="shared" si="1"/>
        <v>16</v>
      </c>
      <c r="H6" s="14">
        <v>1</v>
      </c>
      <c r="I6" s="117">
        <v>100</v>
      </c>
      <c r="J6" s="118">
        <f t="shared" si="2"/>
        <v>100</v>
      </c>
      <c r="K6" s="17" t="s">
        <v>16</v>
      </c>
      <c r="L6" s="112">
        <v>0</v>
      </c>
      <c r="M6" s="119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+'[1]วันที่ 30'!G7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+'[1]วันที่ 30'!G8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+'[1]วันที่ 30'!G9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+'[1]วันที่ 30'!G10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+'[1]วันที่ 30'!G11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+'[1]วันที่ 30'!G12</f>
        <v>5</v>
      </c>
      <c r="D12" s="110">
        <v>10</v>
      </c>
      <c r="E12" s="92">
        <f t="shared" si="0"/>
        <v>15</v>
      </c>
      <c r="F12" s="97">
        <v>0</v>
      </c>
      <c r="G12" s="99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217</v>
      </c>
      <c r="L12" s="112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+'[1]วันที่ 30'!G13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+'[1]วันที่ 30'!G14</f>
        <v>0</v>
      </c>
      <c r="D14" s="110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+'[1]วันที่ 30'!G15</f>
        <v>4</v>
      </c>
      <c r="D15" s="110">
        <v>0</v>
      </c>
      <c r="E15" s="107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+'[1]วันที่ 30'!G16</f>
        <v>4</v>
      </c>
      <c r="D16" s="110">
        <v>0</v>
      </c>
      <c r="E16" s="92">
        <f t="shared" si="0"/>
        <v>4</v>
      </c>
      <c r="F16" s="97">
        <v>0</v>
      </c>
      <c r="G16" s="99">
        <f t="shared" si="1"/>
        <v>4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+'[1]วันที่ 30'!G17</f>
        <v>0</v>
      </c>
      <c r="D17" s="110">
        <v>0</v>
      </c>
      <c r="E17" s="92">
        <f t="shared" si="0"/>
        <v>0</v>
      </c>
      <c r="F17" s="97">
        <v>0</v>
      </c>
      <c r="G17" s="99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+'[1]วันที่ 30'!G18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+'[1]วันที่ 30'!G19</f>
        <v>9</v>
      </c>
      <c r="D19" s="110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+'[1]วันที่ 30'!G20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+'[1]วันที่ 30'!G21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+'[1]วันที่ 30'!G22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+'[1]วันที่ 30'!G23</f>
        <v>9</v>
      </c>
      <c r="D23" s="110">
        <v>10</v>
      </c>
      <c r="E23" s="92">
        <f t="shared" si="0"/>
        <v>19</v>
      </c>
      <c r="F23" s="97">
        <v>0</v>
      </c>
      <c r="G23" s="99">
        <f t="shared" si="1"/>
        <v>16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12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+'[1]วันที่ 30'!G24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+'[1]วันที่ 30'!G25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+'[1]วันที่ 30'!G26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+'[1]วันที่ 30'!G27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+'[1]วันที่ 30'!G28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+'[1]วันที่ 30'!G29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+'[1]วันที่ 30'!G30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+'[1]วันที่ 30'!G31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+'[1]วันที่ 30'!G32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+'[1]วันที่ 30'!G33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+'[1]วันที่ 30'!G34</f>
        <v>0</v>
      </c>
      <c r="D34" s="110">
        <v>3</v>
      </c>
      <c r="E34" s="92">
        <f t="shared" si="0"/>
        <v>3</v>
      </c>
      <c r="F34" s="97">
        <v>0</v>
      </c>
      <c r="G34" s="98">
        <f t="shared" si="1"/>
        <v>3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+'[1]วันที่ 30'!G35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3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2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+'[1]วันที่ 30'!G36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+'[1]วันที่ 30'!G37</f>
        <v>1</v>
      </c>
      <c r="D37" s="110">
        <v>5</v>
      </c>
      <c r="E37" s="92">
        <f t="shared" si="0"/>
        <v>6</v>
      </c>
      <c r="F37" s="97">
        <v>0</v>
      </c>
      <c r="G37" s="99">
        <f t="shared" si="1"/>
        <v>2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+'[1]วันที่ 30'!G38</f>
        <v>2</v>
      </c>
      <c r="D38" s="110">
        <v>0</v>
      </c>
      <c r="E38" s="92">
        <f t="shared" si="0"/>
        <v>2</v>
      </c>
      <c r="F38" s="97">
        <v>0</v>
      </c>
      <c r="G38" s="99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12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+'[1]วันที่ 30'!G39</f>
        <v>0</v>
      </c>
      <c r="D39" s="110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+'[1]วันที่ 30'!G40</f>
        <v>2</v>
      </c>
      <c r="D40" s="110">
        <v>0</v>
      </c>
      <c r="E40" s="92">
        <f t="shared" si="0"/>
        <v>2</v>
      </c>
      <c r="F40" s="97">
        <v>0</v>
      </c>
      <c r="G40" s="98">
        <f t="shared" si="1"/>
        <v>0</v>
      </c>
      <c r="H40" s="14">
        <v>2</v>
      </c>
      <c r="I40" s="15">
        <v>50</v>
      </c>
      <c r="J40" s="91">
        <f t="shared" si="2"/>
        <v>100</v>
      </c>
      <c r="K40" s="17" t="s">
        <v>16</v>
      </c>
      <c r="L40" s="112">
        <v>0</v>
      </c>
      <c r="M40" s="30">
        <f t="shared" si="4"/>
        <v>100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+'[1]วันที่ 30'!G41</f>
        <v>2</v>
      </c>
      <c r="D41" s="110">
        <v>5</v>
      </c>
      <c r="E41" s="92">
        <f t="shared" si="0"/>
        <v>7</v>
      </c>
      <c r="F41" s="97">
        <v>0</v>
      </c>
      <c r="G41" s="99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+'[1]วันที่ 30'!G42</f>
        <v>6</v>
      </c>
      <c r="D42" s="110">
        <v>5</v>
      </c>
      <c r="E42" s="92">
        <f t="shared" si="0"/>
        <v>11</v>
      </c>
      <c r="F42" s="97">
        <v>0</v>
      </c>
      <c r="G42" s="99">
        <f t="shared" si="1"/>
        <v>11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+'[1]วันที่ 30'!G43</f>
        <v>0</v>
      </c>
      <c r="D43" s="110">
        <v>5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+'[1]วันที่ 30'!G44</f>
        <v>7</v>
      </c>
      <c r="D44" s="110">
        <v>5</v>
      </c>
      <c r="E44" s="92">
        <f t="shared" si="0"/>
        <v>12</v>
      </c>
      <c r="F44" s="97">
        <v>0</v>
      </c>
      <c r="G44" s="99">
        <f t="shared" si="1"/>
        <v>10</v>
      </c>
      <c r="H44" s="14">
        <v>2</v>
      </c>
      <c r="I44" s="15">
        <v>50</v>
      </c>
      <c r="J44" s="91">
        <f t="shared" si="2"/>
        <v>100</v>
      </c>
      <c r="K44" s="17" t="s">
        <v>217</v>
      </c>
      <c r="L44" s="112">
        <v>50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+'[1]วันที่ 30'!G45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+'[1]วันที่ 30'!G46</f>
        <v>4</v>
      </c>
      <c r="D46" s="110">
        <v>0</v>
      </c>
      <c r="E46" s="92">
        <f t="shared" si="0"/>
        <v>4</v>
      </c>
      <c r="F46" s="97">
        <v>0</v>
      </c>
      <c r="G46" s="99">
        <f t="shared" si="1"/>
        <v>2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2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+'[1]วันที่ 30'!G47</f>
        <v>8</v>
      </c>
      <c r="D47" s="110">
        <v>5</v>
      </c>
      <c r="E47" s="92">
        <f t="shared" si="0"/>
        <v>13</v>
      </c>
      <c r="F47" s="97">
        <v>0</v>
      </c>
      <c r="G47" s="98">
        <f t="shared" si="1"/>
        <v>11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+'[1]วันที่ 30'!G48</f>
        <v>5</v>
      </c>
      <c r="D48" s="110">
        <v>0</v>
      </c>
      <c r="E48" s="92">
        <f t="shared" si="0"/>
        <v>5</v>
      </c>
      <c r="F48" s="97">
        <v>0</v>
      </c>
      <c r="G48" s="98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+'[1]วันที่ 30'!G49</f>
        <v>9</v>
      </c>
      <c r="D49" s="110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+'[1]วันที่ 30'!G50</f>
        <v>0</v>
      </c>
      <c r="D50" s="110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+'[1]วันที่ 30'!G51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+'[1]วันที่ 30'!G52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+'[1]วันที่ 30'!G53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+'[1]วันที่ 30'!G54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+'[1]วันที่ 30'!G55</f>
        <v>0</v>
      </c>
      <c r="D55" s="110">
        <v>0</v>
      </c>
      <c r="E55" s="92">
        <f t="shared" si="0"/>
        <v>0</v>
      </c>
      <c r="F55" s="97">
        <v>0</v>
      </c>
      <c r="G55" s="98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+'[1]วันที่ 30'!G56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+'[1]วันที่ 30'!G57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+'[1]วันที่ 30'!G58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+'[1]วันที่ 30'!G59</f>
        <v>3</v>
      </c>
      <c r="D59" s="110">
        <v>0</v>
      </c>
      <c r="E59" s="92">
        <f t="shared" si="0"/>
        <v>3</v>
      </c>
      <c r="F59" s="97">
        <v>0</v>
      </c>
      <c r="G59" s="99">
        <f t="shared" si="1"/>
        <v>0</v>
      </c>
      <c r="H59" s="14">
        <v>3</v>
      </c>
      <c r="I59" s="15">
        <v>70</v>
      </c>
      <c r="J59" s="91">
        <f t="shared" si="2"/>
        <v>210</v>
      </c>
      <c r="K59" s="17" t="s">
        <v>252</v>
      </c>
      <c r="L59" s="112">
        <v>105</v>
      </c>
      <c r="M59" s="30">
        <f t="shared" si="4"/>
        <v>105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+'[1]วันที่ 30'!G60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2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+'[1]วันที่ 30'!G61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+'[1]วันที่ 30'!G62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+'[1]วันที่ 30'!G63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+'[1]วันที่ 30'!G64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+'[1]วันที่ 30'!G65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+'[1]วันที่ 30'!G66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+'[1]วันที่ 30'!G67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+'[1]วันที่ 30'!G68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+'[1]วันที่ 30'!G69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+'[1]วันที่ 30'!G70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+'[1]วันที่ 30'!G71</f>
        <v>0</v>
      </c>
      <c r="D71" s="110">
        <v>2</v>
      </c>
      <c r="E71" s="92">
        <f t="shared" si="0"/>
        <v>2</v>
      </c>
      <c r="F71" s="97">
        <v>0</v>
      </c>
      <c r="G71" s="99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+'[1]วันที่ 30'!G72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+'[1]วันที่ 30'!G73</f>
        <v>15</v>
      </c>
      <c r="D73" s="110">
        <v>0</v>
      </c>
      <c r="E73" s="92">
        <f t="shared" si="0"/>
        <v>15</v>
      </c>
      <c r="F73" s="97">
        <v>0</v>
      </c>
      <c r="G73" s="99">
        <f t="shared" si="1"/>
        <v>15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+'[1]วันที่ 30'!G74</f>
        <v>3</v>
      </c>
      <c r="D74" s="110">
        <v>10</v>
      </c>
      <c r="E74" s="92">
        <f t="shared" si="0"/>
        <v>13</v>
      </c>
      <c r="F74" s="97">
        <v>0</v>
      </c>
      <c r="G74" s="98">
        <f t="shared" si="1"/>
        <v>13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+'[1]วันที่ 30'!G75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+'[1]วันที่ 30'!G76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+'[1]วันที่ 30'!G77</f>
        <v>4</v>
      </c>
      <c r="D77" s="110">
        <v>3</v>
      </c>
      <c r="E77" s="92">
        <f t="shared" si="0"/>
        <v>7</v>
      </c>
      <c r="F77" s="97">
        <v>0</v>
      </c>
      <c r="G77" s="98">
        <f t="shared" si="1"/>
        <v>5</v>
      </c>
      <c r="H77" s="14">
        <v>2</v>
      </c>
      <c r="I77" s="15">
        <v>50</v>
      </c>
      <c r="J77" s="91">
        <f t="shared" si="8"/>
        <v>100</v>
      </c>
      <c r="K77" s="17" t="s">
        <v>253</v>
      </c>
      <c r="L77" s="112">
        <v>25</v>
      </c>
      <c r="M77" s="30">
        <f t="shared" si="9"/>
        <v>75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+'[1]วันที่ 30'!G78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+'[1]วันที่ 30'!G79</f>
        <v>1</v>
      </c>
      <c r="D79" s="110">
        <v>2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+'[1]วันที่ 30'!G80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+'[1]วันที่ 30'!G81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+'[1]วันที่ 30'!G82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+'[1]วันที่ 30'!G83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+'[1]วันที่ 30'!G84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+'[1]วันที่ 30'!G85</f>
        <v>9</v>
      </c>
      <c r="D85" s="110">
        <v>0</v>
      </c>
      <c r="E85" s="92">
        <f t="shared" si="0"/>
        <v>9</v>
      </c>
      <c r="F85" s="97">
        <v>0</v>
      </c>
      <c r="G85" s="99">
        <f t="shared" si="1"/>
        <v>8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2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+'[1]วันที่ 30'!G86</f>
        <v>10</v>
      </c>
      <c r="D86" s="110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+'[1]วันที่ 30'!G87</f>
        <v>7</v>
      </c>
      <c r="D87" s="110">
        <v>10</v>
      </c>
      <c r="E87" s="92">
        <f t="shared" si="0"/>
        <v>17</v>
      </c>
      <c r="F87" s="97">
        <v>0</v>
      </c>
      <c r="G87" s="99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+'[1]วันที่ 30'!G88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+'[1]วันที่ 30'!G89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+'[1]วันที่ 30'!G90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+'[1]วันที่ 30'!G91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+'[1]วันที่ 30'!G92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+'[1]วันที่ 30'!G93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+'[1]วันที่ 30'!G94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+'[1]วันที่ 30'!G95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+'[1]วันที่ 30'!G96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+'[1]วันที่ 30'!G97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+'[1]วันที่ 30'!G98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+'[1]วันที่ 30'!G99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+'[1]วันที่ 30'!G100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+'[1]วันที่ 30'!G101</f>
        <v>0</v>
      </c>
      <c r="D101" s="110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+'[1]วันที่ 30'!G102</f>
        <v>5</v>
      </c>
      <c r="D102" s="110">
        <v>0</v>
      </c>
      <c r="E102" s="92">
        <f t="shared" si="12"/>
        <v>5</v>
      </c>
      <c r="F102" s="97">
        <v>0</v>
      </c>
      <c r="G102" s="99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+'[1]วันที่ 30'!G103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+'[1]วันที่ 30'!G104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+'[1]วันที่ 30'!G105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+'[1]วันที่ 30'!G106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+'[1]วันที่ 30'!G107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+'[1]วันที่ 30'!G108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+'[1]วันที่ 30'!G109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+'[1]วันที่ 30'!G110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+'[1]วันที่ 30'!G111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+'[1]วันที่ 30'!G112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+'[1]วันที่ 30'!G113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+'[1]วันที่ 30'!G114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+'[1]วันที่ 30'!G115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+'[1]วันที่ 30'!G116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+'[1]วันที่ 30'!G117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+'[1]วันที่ 30'!G118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+'[1]วันที่ 30'!G119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+'[1]วันที่ 30'!G120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+'[1]วันที่ 30'!G121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+'[1]วันที่ 30'!G122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+'[1]วันที่ 30'!G123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+'[1]วันที่ 30'!G124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+'[1]วันที่ 30'!G125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+'[1]วันที่ 30'!G126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+'[1]วันที่ 30'!G127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+'[1]วันที่ 30'!G128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+'[1]วันที่ 30'!G129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+'[1]วันที่ 30'!G130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+'[1]วันที่ 30'!G131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+'[1]วันที่ 30'!G132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+'[1]วันที่ 30'!G133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+'[1]วันที่ 30'!G134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+'[1]วันที่ 30'!G135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+'[1]วันที่ 30'!G136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+'[1]วันที่ 30'!G137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+'[1]วันที่ 30'!G138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+'[1]วันที่ 30'!G139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+'[1]วันที่ 30'!G140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+'[1]วันที่ 30'!G141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+'[1]วันที่ 30'!G142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+'[1]วันที่ 30'!G143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+'[1]วันที่ 30'!G144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+'[1]วันที่ 30'!G145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+'[1]วันที่ 30'!G146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+'[1]วันที่ 30'!G147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+'[1]วันที่ 30'!G148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+'[1]วันที่ 30'!G149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+'[1]วันที่ 30'!G150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+'[1]วันที่ 30'!G151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+'[1]วันที่ 30'!G152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+'[1]วันที่ 30'!G153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+'[1]วันที่ 30'!G154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+'[1]วันที่ 30'!G155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+'[1]วันที่ 30'!G156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+'[1]วันที่ 30'!G157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+'[1]วันที่ 30'!G158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+'[1]วันที่ 30'!G159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+'[1]วันที่ 30'!G160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+'[1]วันที่ 30'!G161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+'[1]วันที่ 30'!G162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+'[1]วันที่ 30'!G163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+'[1]วันที่ 30'!G164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+'[1]วันที่ 30'!G165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+'[1]วันที่ 30'!G166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+'[1]วันที่ 30'!G167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+'[1]วันที่ 30'!G168</f>
        <v>7</v>
      </c>
      <c r="D168" s="110">
        <v>0</v>
      </c>
      <c r="E168" s="92">
        <f t="shared" si="16"/>
        <v>7</v>
      </c>
      <c r="F168" s="97">
        <v>0</v>
      </c>
      <c r="G168" s="99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+'[1]วันที่ 30'!G169</f>
        <v>23</v>
      </c>
      <c r="D169" s="110">
        <v>0</v>
      </c>
      <c r="E169" s="92">
        <f t="shared" si="16"/>
        <v>23</v>
      </c>
      <c r="F169" s="97">
        <v>0</v>
      </c>
      <c r="G169" s="99">
        <f t="shared" si="17"/>
        <v>22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12">
        <v>0</v>
      </c>
      <c r="M169" s="30">
        <f t="shared" si="15"/>
        <v>85</v>
      </c>
    </row>
    <row r="170" spans="1:13" ht="25.5">
      <c r="A170" s="111">
        <v>166</v>
      </c>
      <c r="B170" s="11" t="s">
        <v>181</v>
      </c>
      <c r="C170" s="105">
        <f>+'[1]วันที่ 30'!G170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+'[1]วันที่ 30'!G171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+'[1]วันที่ 30'!G172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+'[1]วันที่ 30'!G173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+'[1]วันที่ 30'!G174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+'[1]วันที่ 30'!G175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+'[1]วันที่ 30'!G176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+'[1]วันที่ 30'!G177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+'[1]วันที่ 30'!G178</f>
        <v>0</v>
      </c>
      <c r="D178" s="110">
        <v>5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+'[1]วันที่ 30'!G179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+'[1]วันที่ 30'!G180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+'[1]วันที่ 30'!G181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+'[1]วันที่ 30'!G182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+'[1]วันที่ 30'!G183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+'[1]วันที่ 30'!G184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+'[1]วันที่ 30'!G185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+'[1]วันที่ 30'!G186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+'[1]วันที่ 30'!G187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+'[1]วันที่ 30'!G188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+'[1]วันที่ 30'!G189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+'[1]วันที่ 30'!G190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+'[1]วันที่ 30'!G191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+'[1]วันที่ 30'!G192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+'[1]วันที่ 30'!G193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+'[1]วันที่ 30'!G194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+'[1]วันที่ 30'!G195</f>
        <v>0</v>
      </c>
      <c r="D195" s="110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+'[1]วันที่ 30'!G196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+'[1]วันที่ 30'!G197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+'[1]วันที่ 30'!G198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+'[1]วันที่ 30'!G199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+'[1]วันที่ 30'!G200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+'[1]วันที่ 30'!G201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+'[1]วันที่ 30'!G202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+'[1]วันที่ 30'!G203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+'[1]วันที่ 30'!G204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2455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230</v>
      </c>
      <c r="L209" s="2">
        <v>150</v>
      </c>
      <c r="M209" s="2">
        <v>80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230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1995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1995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2225</v>
      </c>
    </row>
    <row r="219" spans="1:14">
      <c r="G219" s="2"/>
      <c r="I219" s="2"/>
      <c r="J219" s="2" t="s">
        <v>250</v>
      </c>
      <c r="K219" s="24">
        <f>SUM(K208:K211)</f>
        <v>230</v>
      </c>
    </row>
    <row r="220" spans="1:14">
      <c r="G220" s="2"/>
      <c r="I220" s="2"/>
      <c r="J220" s="2" t="s">
        <v>251</v>
      </c>
      <c r="K220" s="24">
        <f>+K214</f>
        <v>1995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C17" sqref="C1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31.1'!G5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12</v>
      </c>
      <c r="H5" s="14">
        <v>3</v>
      </c>
      <c r="I5" s="15">
        <v>50</v>
      </c>
      <c r="J5" s="91">
        <f t="shared" ref="J5:J69" si="2">+I5*H5</f>
        <v>150</v>
      </c>
      <c r="K5" s="17" t="s">
        <v>217</v>
      </c>
      <c r="L5" s="18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31.1'!G6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15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31.1'!G7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31.1'!G8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31.1'!G9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31.1'!G10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31.1'!G11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31.1'!G12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9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8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31.1'!G13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31.1'!G14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31.1'!G15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2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8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31.1'!G16</f>
        <v>4</v>
      </c>
      <c r="D16" s="13">
        <v>0</v>
      </c>
      <c r="E16" s="12">
        <f t="shared" si="0"/>
        <v>4</v>
      </c>
      <c r="F16" s="13">
        <v>0</v>
      </c>
      <c r="G16" s="122">
        <f t="shared" si="1"/>
        <v>3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31.1'!G17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31.1'!G18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31.1'!G19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31.1'!G20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31.1'!G21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31.1'!G22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31.1'!G23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14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31.1'!G24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31.1'!G25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31.1'!G26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31.1'!G27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31.1'!G28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31.1'!G29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31.1'!G30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31.1'!G31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31.1'!G32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31.1'!G33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31.1'!G34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8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31.1'!G35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0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31.1'!G36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31.1'!G37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0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123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31.1'!G38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31.1'!G39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31.1'!G40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31.1'!G41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31.1'!G42</f>
        <v>11</v>
      </c>
      <c r="D42" s="13">
        <v>0</v>
      </c>
      <c r="E42" s="12">
        <f t="shared" si="0"/>
        <v>11</v>
      </c>
      <c r="F42" s="13">
        <v>0</v>
      </c>
      <c r="G42" s="12">
        <f t="shared" si="1"/>
        <v>10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31.1'!G43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31.1'!G44</f>
        <v>10</v>
      </c>
      <c r="D44" s="13">
        <v>0</v>
      </c>
      <c r="E44" s="12">
        <f t="shared" si="0"/>
        <v>10</v>
      </c>
      <c r="F44" s="13">
        <v>0</v>
      </c>
      <c r="G44" s="12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31.1'!G45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31.1'!G46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31.1'!G47</f>
        <v>11</v>
      </c>
      <c r="D47" s="13">
        <v>0</v>
      </c>
      <c r="E47" s="12">
        <f t="shared" si="0"/>
        <v>11</v>
      </c>
      <c r="F47" s="13">
        <v>0</v>
      </c>
      <c r="G47" s="12">
        <f t="shared" si="1"/>
        <v>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31.1'!G48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31.1'!G49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31.1'!G50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31.1'!G51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31.1'!G52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31.1'!G53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31.1'!G54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31.1'!G55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31.1'!G56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31.1'!G57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31.1'!G58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31.1'!G59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31.1'!G60</f>
        <v>1</v>
      </c>
      <c r="D60" s="13">
        <v>0</v>
      </c>
      <c r="E60" s="12">
        <f t="shared" si="0"/>
        <v>1</v>
      </c>
      <c r="F60" s="13">
        <v>0</v>
      </c>
      <c r="G60" s="12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31.1'!G61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31.1'!G62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31.1'!G63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31.1'!G64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31.1'!G65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31.1'!G66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31.1'!G67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31.1'!G68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31.1'!G69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31.1'!G70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31.1'!G71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31.1'!G72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31.1'!G73</f>
        <v>15</v>
      </c>
      <c r="D73" s="13">
        <v>0</v>
      </c>
      <c r="E73" s="12">
        <f t="shared" si="0"/>
        <v>15</v>
      </c>
      <c r="F73" s="13">
        <v>0</v>
      </c>
      <c r="G73" s="12">
        <f t="shared" si="1"/>
        <v>14</v>
      </c>
      <c r="H73" s="14">
        <v>1</v>
      </c>
      <c r="I73" s="15">
        <v>60</v>
      </c>
      <c r="J73" s="91">
        <f t="shared" si="9"/>
        <v>60</v>
      </c>
      <c r="K73" s="17" t="s">
        <v>16</v>
      </c>
      <c r="L73" s="18">
        <v>0</v>
      </c>
      <c r="M73" s="30">
        <f t="shared" si="10"/>
        <v>60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31.1'!G74</f>
        <v>13</v>
      </c>
      <c r="D74" s="13">
        <v>0</v>
      </c>
      <c r="E74" s="12">
        <f t="shared" si="0"/>
        <v>13</v>
      </c>
      <c r="F74" s="13">
        <v>0</v>
      </c>
      <c r="G74" s="22">
        <f t="shared" si="1"/>
        <v>12</v>
      </c>
      <c r="H74" s="14">
        <v>1</v>
      </c>
      <c r="I74" s="15">
        <v>120</v>
      </c>
      <c r="J74" s="91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31.1'!G75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31.1'!G76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31.1'!G77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3</v>
      </c>
      <c r="H77" s="14">
        <v>2</v>
      </c>
      <c r="I77" s="15">
        <v>50</v>
      </c>
      <c r="J77" s="91">
        <f t="shared" si="9"/>
        <v>100</v>
      </c>
      <c r="K77" s="17" t="s">
        <v>16</v>
      </c>
      <c r="L77" s="18">
        <v>0</v>
      </c>
      <c r="M77" s="30">
        <f t="shared" si="10"/>
        <v>100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31.1'!G78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31.1'!G79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31.1'!G80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31.1'!G81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31.1'!G82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31.1'!G83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31.1'!G84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31.1'!G85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7</v>
      </c>
      <c r="H85" s="14">
        <v>1</v>
      </c>
      <c r="I85" s="15">
        <v>100</v>
      </c>
      <c r="J85" s="91">
        <f t="shared" si="9"/>
        <v>100</v>
      </c>
      <c r="K85" s="17" t="s">
        <v>16</v>
      </c>
      <c r="L85" s="18">
        <v>0</v>
      </c>
      <c r="M85" s="30">
        <f t="shared" si="10"/>
        <v>100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31.1'!G86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9</v>
      </c>
      <c r="H86" s="14">
        <v>1</v>
      </c>
      <c r="I86" s="15">
        <v>55</v>
      </c>
      <c r="J86" s="91">
        <f t="shared" si="9"/>
        <v>55</v>
      </c>
      <c r="K86" s="17" t="s">
        <v>16</v>
      </c>
      <c r="L86" s="18">
        <v>0</v>
      </c>
      <c r="M86" s="30">
        <f t="shared" si="10"/>
        <v>55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31.1'!G87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15</v>
      </c>
      <c r="H87" s="14">
        <v>1</v>
      </c>
      <c r="I87" s="15">
        <v>60</v>
      </c>
      <c r="J87" s="91">
        <f t="shared" si="9"/>
        <v>60</v>
      </c>
      <c r="K87" s="17" t="s">
        <v>16</v>
      </c>
      <c r="L87" s="18">
        <v>0</v>
      </c>
      <c r="M87" s="30">
        <f t="shared" si="10"/>
        <v>60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31.1'!G88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5</v>
      </c>
      <c r="H88" s="14">
        <v>0</v>
      </c>
      <c r="I88" s="15">
        <v>100</v>
      </c>
      <c r="J88" s="91">
        <f t="shared" si="9"/>
        <v>0</v>
      </c>
      <c r="K88" s="17" t="s">
        <v>16</v>
      </c>
      <c r="L88" s="18">
        <v>0</v>
      </c>
      <c r="M88" s="30">
        <f t="shared" si="10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31.1'!G89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31.1'!G90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31.1'!G91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31.1'!G92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31.1'!G93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31.1'!G94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31.1'!G95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31.1'!G96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31.1'!G97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31.1'!G98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31.1'!G99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31.1'!G100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218</v>
      </c>
      <c r="C101" s="12">
        <f>+'วันที่ 31.1'!G101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31.1'!G102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15">
        <v>50</v>
      </c>
      <c r="J102" s="91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31.1'!G103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31.1'!G104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31.1'!G105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31.1'!G106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>
      <c r="A107" s="10">
        <v>103</v>
      </c>
      <c r="B107" s="19" t="s">
        <v>117</v>
      </c>
      <c r="C107" s="12">
        <f>+'วันที่ 31.1'!G107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31.1'!G108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19" t="s">
        <v>120</v>
      </c>
      <c r="C109" s="12">
        <f>+'วันที่ 31.1'!G109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19" t="s">
        <v>121</v>
      </c>
      <c r="C110" s="12">
        <f>+'วันที่ 31.1'!G110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19" t="s">
        <v>122</v>
      </c>
      <c r="C111" s="12">
        <f>+'วันที่ 31.1'!G111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19" t="s">
        <v>123</v>
      </c>
      <c r="C112" s="12">
        <f>+'วันที่ 31.1'!G112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19" t="s">
        <v>124</v>
      </c>
      <c r="C113" s="12">
        <f>+'วันที่ 31.1'!G113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19" t="s">
        <v>125</v>
      </c>
      <c r="C114" s="12">
        <f>+'วันที่ 31.1'!G114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19" t="s">
        <v>126</v>
      </c>
      <c r="C115" s="12">
        <f>+'วันที่ 31.1'!G115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19" t="s">
        <v>127</v>
      </c>
      <c r="C116" s="12">
        <f>+'วันที่ 31.1'!G116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19" t="s">
        <v>128</v>
      </c>
      <c r="C117" s="12">
        <f>+'วันที่ 31.1'!G117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19" t="s">
        <v>129</v>
      </c>
      <c r="C118" s="12">
        <f>+'วันที่ 31.1'!G118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19" t="s">
        <v>130</v>
      </c>
      <c r="C119" s="12">
        <f>+'วันที่ 31.1'!G119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19" t="s">
        <v>131</v>
      </c>
      <c r="C120" s="12">
        <f>+'วันที่ 31.1'!G120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19" t="s">
        <v>132</v>
      </c>
      <c r="C121" s="12">
        <f>+'วันที่ 31.1'!G121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19" t="s">
        <v>133</v>
      </c>
      <c r="C122" s="12">
        <f>+'วันที่ 31.1'!G122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19" t="s">
        <v>134</v>
      </c>
      <c r="C123" s="12">
        <f>+'วันที่ 31.1'!G123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19" t="s">
        <v>135</v>
      </c>
      <c r="C124" s="12">
        <f>+'วันที่ 31.1'!G124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19" t="s">
        <v>136</v>
      </c>
      <c r="C125" s="12">
        <f>+'วันที่ 31.1'!G125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19" t="s">
        <v>137</v>
      </c>
      <c r="C126" s="12">
        <f>+'วันที่ 31.1'!G126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19" t="s">
        <v>138</v>
      </c>
      <c r="C127" s="12">
        <f>+'วันที่ 31.1'!G127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19" t="s">
        <v>139</v>
      </c>
      <c r="C128" s="12">
        <f>+'วันที่ 31.1'!G128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19" t="s">
        <v>140</v>
      </c>
      <c r="C129" s="12">
        <f>+'วันที่ 31.1'!G129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19" t="s">
        <v>141</v>
      </c>
      <c r="C130" s="12">
        <f>+'วันที่ 31.1'!G130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19" t="s">
        <v>142</v>
      </c>
      <c r="C131" s="12">
        <f>+'วันที่ 31.1'!G131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19" t="s">
        <v>143</v>
      </c>
      <c r="C132" s="12">
        <f>+'วันที่ 31.1'!G132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19" t="s">
        <v>144</v>
      </c>
      <c r="C133" s="12">
        <f>+'วันที่ 31.1'!G133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19" t="s">
        <v>145</v>
      </c>
      <c r="C134" s="12">
        <f>+'วันที่ 31.1'!G134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31.1'!G135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31.1'!G136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31.1'!G137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31.1'!G138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31.1'!G139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31.1'!G140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31.1'!G141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31.1'!G142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31.1'!G143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31.1'!G144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31.1'!G145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31.1'!G146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31.1'!G147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31.1'!G148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31.1'!G149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31.1'!G150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31.1'!G151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31.1'!G152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31.1'!G153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31.1'!G154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31.1'!G155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31.1'!G156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31.1'!G157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31.1'!G158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31.1'!G159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31.1'!G160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31.1'!G161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31.1'!G162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31.1'!G163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31.1'!G164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31.1'!G165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31.1'!G166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31.1'!G167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31.1'!G168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31.1'!G169</f>
        <v>22</v>
      </c>
      <c r="D169" s="13">
        <v>0</v>
      </c>
      <c r="E169" s="12">
        <f t="shared" si="16"/>
        <v>22</v>
      </c>
      <c r="F169" s="13">
        <v>0</v>
      </c>
      <c r="G169" s="12">
        <f t="shared" si="17"/>
        <v>21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31.1'!G170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31.1'!G171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31.1'!G172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31.1'!G173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31.1'!G174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31.1'!G175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31.1'!G176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31.1'!G177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31.1'!G178</f>
        <v>5</v>
      </c>
      <c r="D178" s="13">
        <v>0</v>
      </c>
      <c r="E178" s="12">
        <f t="shared" si="16"/>
        <v>5</v>
      </c>
      <c r="F178" s="13">
        <v>0</v>
      </c>
      <c r="G178" s="12">
        <f t="shared" si="17"/>
        <v>4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>
      <c r="A179" s="10">
        <v>175</v>
      </c>
      <c r="B179" s="19" t="s">
        <v>190</v>
      </c>
      <c r="C179" s="12">
        <f>+'วันที่ 31.1'!G179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31.1'!G180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31.1'!G181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31.1'!G182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31.1'!G183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31.1'!G184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31.1'!G185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31.1'!G186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31.1'!G187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31.1'!G188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31.1'!G189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31.1'!G190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31.1'!G191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31.1'!G192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31.1'!G193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31.1'!G194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31.1'!G195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31.1'!G196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31.1'!G197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31.1'!G198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31.1'!G199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31.1'!G200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31.1'!G201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31.1'!G202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31.1'!G203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31.1'!G204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2680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650</v>
      </c>
      <c r="L209" s="2">
        <v>520</v>
      </c>
      <c r="M209" s="2">
        <v>130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1980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1980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2630</v>
      </c>
    </row>
    <row r="219" spans="1:13">
      <c r="G219" s="2"/>
      <c r="I219" s="2"/>
      <c r="J219" s="2" t="s">
        <v>250</v>
      </c>
      <c r="K219" s="24">
        <f>SUM(K208:K209)</f>
        <v>650</v>
      </c>
    </row>
    <row r="220" spans="1:13">
      <c r="G220" s="2"/>
      <c r="I220" s="2"/>
      <c r="J220" s="2" t="s">
        <v>251</v>
      </c>
      <c r="K220" s="24">
        <f>+K214</f>
        <v>1980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rgb="FFFFCCFF"/>
  </sheetPr>
  <dimension ref="A1:Z291"/>
  <sheetViews>
    <sheetView zoomScale="80" zoomScaleNormal="80" workbookViewId="0">
      <pane ySplit="4" topLeftCell="A5" activePane="bottomLeft" state="frozen"/>
      <selection pane="bottomLeft" activeCell="D16" sqref="D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1'!G5</f>
        <v>12</v>
      </c>
      <c r="D5" s="13">
        <v>10</v>
      </c>
      <c r="E5" s="12">
        <f t="shared" ref="E5:E94" si="0">C5+D5</f>
        <v>22</v>
      </c>
      <c r="F5" s="13">
        <v>0</v>
      </c>
      <c r="G5" s="12">
        <f t="shared" ref="G5:G94" si="1">E5-F5-H5</f>
        <v>21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1'!G6</f>
        <v>15</v>
      </c>
      <c r="D6" s="13">
        <v>15</v>
      </c>
      <c r="E6" s="12">
        <f t="shared" si="0"/>
        <v>30</v>
      </c>
      <c r="F6" s="13">
        <v>0</v>
      </c>
      <c r="G6" s="12">
        <f t="shared" si="1"/>
        <v>25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1'!G12</f>
        <v>9</v>
      </c>
      <c r="D12" s="13">
        <v>10</v>
      </c>
      <c r="E12" s="12">
        <f t="shared" si="0"/>
        <v>19</v>
      </c>
      <c r="F12" s="13">
        <v>0</v>
      </c>
      <c r="G12" s="12">
        <f t="shared" si="1"/>
        <v>14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8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1'!G14</f>
        <v>0</v>
      </c>
      <c r="D14" s="13">
        <v>5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1'!G15</f>
        <v>2</v>
      </c>
      <c r="D15" s="13">
        <v>2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1'!G16</f>
        <v>3</v>
      </c>
      <c r="D16" s="13">
        <v>2</v>
      </c>
      <c r="E16" s="12">
        <f t="shared" si="0"/>
        <v>5</v>
      </c>
      <c r="F16" s="13">
        <v>0</v>
      </c>
      <c r="G16" s="12">
        <f t="shared" si="1"/>
        <v>5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1'!G19</f>
        <v>8</v>
      </c>
      <c r="D19" s="13">
        <v>10</v>
      </c>
      <c r="E19" s="12">
        <f t="shared" si="0"/>
        <v>18</v>
      </c>
      <c r="F19" s="13">
        <v>0</v>
      </c>
      <c r="G19" s="12">
        <f t="shared" si="1"/>
        <v>15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1'!G23</f>
        <v>14</v>
      </c>
      <c r="D23" s="13">
        <v>15</v>
      </c>
      <c r="E23" s="12">
        <f t="shared" si="0"/>
        <v>29</v>
      </c>
      <c r="F23" s="13">
        <v>0</v>
      </c>
      <c r="G23" s="12">
        <f t="shared" si="1"/>
        <v>23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8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1'!G35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1'!G37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1'!G38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1'!G40</f>
        <v>0</v>
      </c>
      <c r="D40" s="13">
        <v>3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1'!G41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1'!G42</f>
        <v>10</v>
      </c>
      <c r="D42" s="13">
        <v>10</v>
      </c>
      <c r="E42" s="12">
        <f t="shared" si="0"/>
        <v>20</v>
      </c>
      <c r="F42" s="13">
        <v>0</v>
      </c>
      <c r="G42" s="12">
        <f t="shared" si="1"/>
        <v>20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1'!G44</f>
        <v>10</v>
      </c>
      <c r="D44" s="13">
        <v>5</v>
      </c>
      <c r="E44" s="12">
        <f t="shared" si="0"/>
        <v>15</v>
      </c>
      <c r="F44" s="13">
        <v>0</v>
      </c>
      <c r="G44" s="12">
        <f t="shared" si="1"/>
        <v>15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1'!G46</f>
        <v>1</v>
      </c>
      <c r="D46" s="13">
        <v>10</v>
      </c>
      <c r="E46" s="12">
        <f t="shared" si="0"/>
        <v>11</v>
      </c>
      <c r="F46" s="13">
        <v>0</v>
      </c>
      <c r="G46" s="12">
        <f t="shared" si="1"/>
        <v>11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1'!G47</f>
        <v>9</v>
      </c>
      <c r="D47" s="13">
        <v>10</v>
      </c>
      <c r="E47" s="12">
        <f t="shared" si="0"/>
        <v>19</v>
      </c>
      <c r="F47" s="13">
        <v>0</v>
      </c>
      <c r="G47" s="12">
        <f t="shared" si="1"/>
        <v>19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1'!G49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1'!G59</f>
        <v>0</v>
      </c>
      <c r="D59" s="13">
        <v>2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1'!G60</f>
        <v>1</v>
      </c>
      <c r="D60" s="13">
        <v>4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1'!G67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1'!G71</f>
        <v>1</v>
      </c>
      <c r="D71" s="13">
        <v>2</v>
      </c>
      <c r="E71" s="12">
        <f t="shared" si="0"/>
        <v>3</v>
      </c>
      <c r="F71" s="13">
        <v>0</v>
      </c>
      <c r="G71" s="12">
        <f t="shared" si="1"/>
        <v>1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8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1'!G73</f>
        <v>14</v>
      </c>
      <c r="D73" s="13">
        <v>0</v>
      </c>
      <c r="E73" s="12">
        <f t="shared" si="0"/>
        <v>14</v>
      </c>
      <c r="F73" s="13">
        <v>0</v>
      </c>
      <c r="G73" s="12">
        <f t="shared" si="1"/>
        <v>12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1'!G74</f>
        <v>12</v>
      </c>
      <c r="D74" s="13">
        <v>10</v>
      </c>
      <c r="E74" s="12">
        <f t="shared" si="0"/>
        <v>22</v>
      </c>
      <c r="F74" s="13">
        <v>0</v>
      </c>
      <c r="G74" s="22">
        <f t="shared" si="1"/>
        <v>22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1'!G77</f>
        <v>3</v>
      </c>
      <c r="D77" s="13">
        <v>2</v>
      </c>
      <c r="E77" s="12">
        <f t="shared" si="0"/>
        <v>5</v>
      </c>
      <c r="F77" s="13">
        <v>0</v>
      </c>
      <c r="G77" s="22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1'!G79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1'!G85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1'!G86</f>
        <v>9</v>
      </c>
      <c r="D86" s="13">
        <v>0</v>
      </c>
      <c r="E86" s="12">
        <f t="shared" si="0"/>
        <v>9</v>
      </c>
      <c r="F86" s="13">
        <v>0</v>
      </c>
      <c r="G86" s="12">
        <f t="shared" si="1"/>
        <v>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1'!G87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13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8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1'!G88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1'!G95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1'!G96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1'!G97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1'!G98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1'!G99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1'!G100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218</v>
      </c>
      <c r="C101" s="12">
        <f>+'วันที่ 1'!G101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1'!G102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5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1'!G103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1'!G104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1'!G105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1'!G106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1'!G107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1'!G108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1'!G109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1'!G110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1'!G111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1'!G112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1'!G113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1'!G114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1'!G115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1'!G116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1'!G117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1'!G118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1'!G119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1'!G120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1'!G121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1'!G122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1'!G123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1'!G124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1'!G125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1'!G126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1'!G127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1'!G128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1'!G129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1'!G130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1'!G131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1'!G132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1'!G133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1'!G134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1'!G135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1'!G136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1'!G137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1'!G138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1'!G139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1'!G140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1'!G141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1'!G142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1'!G143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1'!G144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1'!G145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1'!G146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1'!G147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1'!G148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1'!G149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1'!G150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1'!G151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1'!G152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1'!G153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1'!G154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1'!G155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1'!G156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1'!G157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1'!G158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1'!G159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1'!G160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1'!G161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1'!G162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1'!G163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1'!G164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1'!G165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1'!G166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1'!G167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1'!G168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1'!G169</f>
        <v>21</v>
      </c>
      <c r="D169" s="13">
        <v>0</v>
      </c>
      <c r="E169" s="12">
        <f t="shared" si="16"/>
        <v>21</v>
      </c>
      <c r="F169" s="13">
        <v>0</v>
      </c>
      <c r="G169" s="12">
        <f t="shared" si="17"/>
        <v>20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1'!G170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1'!G171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1'!G172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1'!G173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1'!G174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1'!G175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1'!G176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1'!G177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1'!G178</f>
        <v>4</v>
      </c>
      <c r="D178" s="13">
        <v>2</v>
      </c>
      <c r="E178" s="12">
        <f>C178+D178</f>
        <v>6</v>
      </c>
      <c r="F178" s="13">
        <v>0</v>
      </c>
      <c r="G178" s="12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1'!G179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1'!G180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1'!G181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1'!G182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1'!G183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1'!G184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1'!G185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1'!G186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1'!G187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1'!G188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1'!G189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1'!G190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1'!G191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1'!G192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1'!G193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1'!G194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1'!G195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1'!G196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1'!G197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1'!G198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1'!G199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1'!G200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1'!G201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1'!G202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1'!G203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1'!G204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2250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485</v>
      </c>
      <c r="L209" s="2">
        <v>85</v>
      </c>
      <c r="M209" s="2">
        <v>50</v>
      </c>
      <c r="N209" s="2">
        <v>150</v>
      </c>
      <c r="O209" s="2">
        <v>200</v>
      </c>
    </row>
    <row r="210" spans="1:15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5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5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5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1765</v>
      </c>
      <c r="M213" s="24"/>
    </row>
    <row r="214" spans="1:15" ht="25.5">
      <c r="A214" s="1"/>
      <c r="C214" s="32"/>
      <c r="E214" s="32"/>
      <c r="G214" s="32"/>
      <c r="I214" s="182" t="s">
        <v>212</v>
      </c>
      <c r="J214" s="183"/>
      <c r="K214" s="38">
        <v>1765</v>
      </c>
    </row>
    <row r="215" spans="1:15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5" ht="25.5">
      <c r="G216" s="2"/>
      <c r="I216" s="182" t="s">
        <v>214</v>
      </c>
      <c r="J216" s="183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4" t="s">
        <v>249</v>
      </c>
      <c r="K218" s="24">
        <f>+K207-K212+K215</f>
        <v>2250</v>
      </c>
    </row>
    <row r="219" spans="1:15">
      <c r="G219" s="2"/>
      <c r="I219" s="2"/>
      <c r="J219" s="2" t="s">
        <v>250</v>
      </c>
      <c r="K219" s="24">
        <f>SUM(K208:K209)</f>
        <v>485</v>
      </c>
    </row>
    <row r="220" spans="1:15">
      <c r="G220" s="2"/>
      <c r="I220" s="2"/>
      <c r="J220" s="2" t="s">
        <v>251</v>
      </c>
      <c r="K220" s="24">
        <f>+K214</f>
        <v>1765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rgb="FFFFCCFF"/>
  </sheetPr>
  <dimension ref="A1:Z291"/>
  <sheetViews>
    <sheetView zoomScale="85" zoomScaleNormal="85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C16" sqref="C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2'!G5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18</v>
      </c>
      <c r="H5" s="14">
        <v>3</v>
      </c>
      <c r="I5" s="15">
        <v>50</v>
      </c>
      <c r="J5" s="91">
        <f t="shared" ref="J5:J69" si="2">+I5*H5</f>
        <v>150</v>
      </c>
      <c r="K5" s="17" t="s">
        <v>217</v>
      </c>
      <c r="L5" s="18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2'!G6</f>
        <v>25</v>
      </c>
      <c r="D6" s="13">
        <v>0</v>
      </c>
      <c r="E6" s="12">
        <f t="shared" si="0"/>
        <v>25</v>
      </c>
      <c r="F6" s="13">
        <v>0</v>
      </c>
      <c r="G6" s="12">
        <f t="shared" si="1"/>
        <v>22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2'!G12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12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2'!G15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22">
        <f>+'วันที่ 2'!G16</f>
        <v>5</v>
      </c>
      <c r="D16" s="13">
        <v>0</v>
      </c>
      <c r="E16" s="12">
        <f t="shared" si="0"/>
        <v>5</v>
      </c>
      <c r="F16" s="13">
        <v>0</v>
      </c>
      <c r="G16" s="12">
        <f t="shared" si="1"/>
        <v>4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2'!G19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2'!G22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2'!G23</f>
        <v>23</v>
      </c>
      <c r="D23" s="13">
        <v>0</v>
      </c>
      <c r="E23" s="12">
        <f t="shared" si="0"/>
        <v>23</v>
      </c>
      <c r="F23" s="13">
        <v>5</v>
      </c>
      <c r="G23" s="12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254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2'!G29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2'!G35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2'!G37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7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91">
        <f t="shared" si="2"/>
        <v>50</v>
      </c>
      <c r="K38" s="17" t="s">
        <v>16</v>
      </c>
      <c r="L38" s="18">
        <v>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2'!G40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2'!G41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2'!G42</f>
        <v>20</v>
      </c>
      <c r="D42" s="13">
        <v>0</v>
      </c>
      <c r="E42" s="12">
        <f t="shared" si="0"/>
        <v>20</v>
      </c>
      <c r="F42" s="13">
        <v>0</v>
      </c>
      <c r="G42" s="12">
        <f t="shared" si="1"/>
        <v>18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2'!G44</f>
        <v>15</v>
      </c>
      <c r="D44" s="13">
        <v>0</v>
      </c>
      <c r="E44" s="12">
        <f t="shared" si="0"/>
        <v>15</v>
      </c>
      <c r="F44" s="13">
        <v>0</v>
      </c>
      <c r="G44" s="12">
        <f t="shared" si="1"/>
        <v>13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8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2'!G46</f>
        <v>11</v>
      </c>
      <c r="D46" s="13">
        <v>0</v>
      </c>
      <c r="E46" s="12">
        <f t="shared" si="0"/>
        <v>11</v>
      </c>
      <c r="F46" s="13">
        <v>0</v>
      </c>
      <c r="G46" s="12">
        <f t="shared" si="1"/>
        <v>10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2'!G47</f>
        <v>19</v>
      </c>
      <c r="D47" s="13">
        <v>0</v>
      </c>
      <c r="E47" s="12">
        <f t="shared" si="0"/>
        <v>19</v>
      </c>
      <c r="F47" s="13">
        <v>0</v>
      </c>
      <c r="G47" s="12">
        <f t="shared" si="1"/>
        <v>17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2'!G49</f>
        <v>9</v>
      </c>
      <c r="D49" s="13">
        <v>0</v>
      </c>
      <c r="E49" s="12">
        <f t="shared" si="0"/>
        <v>9</v>
      </c>
      <c r="F49" s="13">
        <v>0</v>
      </c>
      <c r="G49" s="12">
        <f t="shared" si="1"/>
        <v>8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2'!G50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2'!G59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2'!G60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2'!G67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2'!G73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1"/>
        <v>12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2'!G74</f>
        <v>22</v>
      </c>
      <c r="D74" s="13">
        <v>0</v>
      </c>
      <c r="E74" s="12">
        <f t="shared" si="0"/>
        <v>22</v>
      </c>
      <c r="F74" s="13">
        <v>0</v>
      </c>
      <c r="G74" s="22">
        <f t="shared" si="1"/>
        <v>21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2'!G77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2'!G79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217</v>
      </c>
      <c r="L79" s="18">
        <v>50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8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2'!G86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2'!G87</f>
        <v>13</v>
      </c>
      <c r="D87" s="13">
        <v>0</v>
      </c>
      <c r="E87" s="12">
        <f t="shared" si="0"/>
        <v>13</v>
      </c>
      <c r="F87" s="13">
        <v>0</v>
      </c>
      <c r="G87" s="12">
        <f t="shared" si="1"/>
        <v>10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2'!G88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4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218</v>
      </c>
      <c r="C101" s="12">
        <f>+'วันที่ 2'!G101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2'!G102</f>
        <v>5</v>
      </c>
      <c r="D102" s="13">
        <v>0</v>
      </c>
      <c r="E102" s="12">
        <f t="shared" si="12"/>
        <v>5</v>
      </c>
      <c r="F102" s="13">
        <v>0</v>
      </c>
      <c r="G102" s="12">
        <f t="shared" si="13"/>
        <v>3</v>
      </c>
      <c r="H102" s="14">
        <v>2</v>
      </c>
      <c r="I102" s="15">
        <v>50</v>
      </c>
      <c r="J102" s="91">
        <f t="shared" si="8"/>
        <v>100</v>
      </c>
      <c r="K102" s="17" t="s">
        <v>16</v>
      </c>
      <c r="L102" s="18">
        <v>0</v>
      </c>
      <c r="M102" s="30">
        <f t="shared" si="9"/>
        <v>100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2'!G159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2'!G168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2'!G169</f>
        <v>20</v>
      </c>
      <c r="D169" s="13">
        <v>0</v>
      </c>
      <c r="E169" s="12">
        <f t="shared" si="16"/>
        <v>20</v>
      </c>
      <c r="F169" s="13">
        <v>0</v>
      </c>
      <c r="G169" s="12">
        <f t="shared" si="17"/>
        <v>19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2'!G176</f>
        <v>0</v>
      </c>
      <c r="D176" s="13">
        <v>0</v>
      </c>
      <c r="E176" s="1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22">
        <f>+'วันที่ 2'!G178</f>
        <v>6</v>
      </c>
      <c r="D178" s="13">
        <v>0</v>
      </c>
      <c r="E178" s="22">
        <f t="shared" si="16"/>
        <v>6</v>
      </c>
      <c r="F178" s="13">
        <v>0</v>
      </c>
      <c r="G178" s="22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2775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100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2675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2675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2675</v>
      </c>
    </row>
    <row r="219" spans="1:13">
      <c r="G219" s="2"/>
      <c r="I219" s="2"/>
      <c r="J219" s="2" t="s">
        <v>250</v>
      </c>
      <c r="K219" s="24">
        <f>SUM(K208:K211)</f>
        <v>0</v>
      </c>
    </row>
    <row r="220" spans="1:13">
      <c r="G220" s="2"/>
      <c r="I220" s="2"/>
      <c r="J220" s="2" t="s">
        <v>251</v>
      </c>
      <c r="K220" s="24">
        <f>+K214</f>
        <v>2675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rgb="FFFFCCFF"/>
  </sheetPr>
  <dimension ref="A1:Z291"/>
  <sheetViews>
    <sheetView zoomScale="85" zoomScaleNormal="85" workbookViewId="0">
      <pane xSplit="5" ySplit="4" topLeftCell="F186" activePane="bottomRight" state="frozen"/>
      <selection activeCell="G29" sqref="G29"/>
      <selection pane="topRight" activeCell="G29" sqref="G29"/>
      <selection pane="bottomLeft" activeCell="G29" sqref="G29"/>
      <selection pane="bottomRight" activeCell="N3" sqref="N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3'!G5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16</v>
      </c>
      <c r="H5" s="14">
        <v>2</v>
      </c>
      <c r="I5" s="15">
        <v>50</v>
      </c>
      <c r="J5" s="91">
        <f t="shared" ref="J5:J69" si="2">+I5*H5</f>
        <v>100</v>
      </c>
      <c r="K5" s="17" t="s">
        <v>255</v>
      </c>
      <c r="L5" s="18">
        <v>100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3'!G6</f>
        <v>22</v>
      </c>
      <c r="D6" s="13">
        <v>0</v>
      </c>
      <c r="E6" s="12">
        <f t="shared" si="0"/>
        <v>22</v>
      </c>
      <c r="F6" s="13">
        <v>0</v>
      </c>
      <c r="G6" s="12">
        <f t="shared" si="1"/>
        <v>7</v>
      </c>
      <c r="H6" s="14">
        <v>15</v>
      </c>
      <c r="I6" s="15">
        <v>100</v>
      </c>
      <c r="J6" s="91">
        <f t="shared" si="2"/>
        <v>1500</v>
      </c>
      <c r="K6" s="17" t="s">
        <v>256</v>
      </c>
      <c r="L6" s="18">
        <v>100</v>
      </c>
      <c r="M6" s="30">
        <f t="shared" ref="M6:M69" si="4">+J6-L6</f>
        <v>1400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3'!G12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9</v>
      </c>
      <c r="H12" s="14">
        <v>3</v>
      </c>
      <c r="I12" s="15">
        <v>50</v>
      </c>
      <c r="J12" s="91">
        <f t="shared" si="2"/>
        <v>150</v>
      </c>
      <c r="K12" s="17" t="s">
        <v>257</v>
      </c>
      <c r="L12" s="18">
        <v>50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1"/>
        <v>0</v>
      </c>
      <c r="H14" s="14">
        <v>5</v>
      </c>
      <c r="I14" s="15">
        <v>65</v>
      </c>
      <c r="J14" s="91">
        <f t="shared" si="2"/>
        <v>325</v>
      </c>
      <c r="K14" s="17" t="s">
        <v>16</v>
      </c>
      <c r="L14" s="18">
        <v>0</v>
      </c>
      <c r="M14" s="30">
        <f t="shared" si="4"/>
        <v>325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3'!G15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22">
        <f>+'วันที่ 3'!G16</f>
        <v>4</v>
      </c>
      <c r="D16" s="13">
        <v>0</v>
      </c>
      <c r="E16" s="12">
        <f t="shared" si="0"/>
        <v>4</v>
      </c>
      <c r="F16" s="13">
        <v>0</v>
      </c>
      <c r="G16" s="12">
        <f t="shared" si="1"/>
        <v>2</v>
      </c>
      <c r="H16" s="14">
        <v>2</v>
      </c>
      <c r="I16" s="15">
        <v>50</v>
      </c>
      <c r="J16" s="91">
        <f t="shared" si="2"/>
        <v>100</v>
      </c>
      <c r="K16" s="17" t="s">
        <v>257</v>
      </c>
      <c r="L16" s="18">
        <v>50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3'!G19</f>
        <v>14</v>
      </c>
      <c r="D19" s="13">
        <v>0</v>
      </c>
      <c r="E19" s="12">
        <f t="shared" si="0"/>
        <v>14</v>
      </c>
      <c r="F19" s="13">
        <v>0</v>
      </c>
      <c r="G19" s="12">
        <f t="shared" si="1"/>
        <v>12</v>
      </c>
      <c r="H19" s="14">
        <v>2</v>
      </c>
      <c r="I19" s="15">
        <v>50</v>
      </c>
      <c r="J19" s="91">
        <f t="shared" si="2"/>
        <v>100</v>
      </c>
      <c r="K19" s="17" t="s">
        <v>257</v>
      </c>
      <c r="L19" s="18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3'!G22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3'!G23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13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3'!G29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8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3'!G35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4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8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3'!G37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2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3'!G38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3'!G41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3'!G42</f>
        <v>18</v>
      </c>
      <c r="D42" s="13">
        <v>0</v>
      </c>
      <c r="E42" s="12">
        <f t="shared" si="0"/>
        <v>18</v>
      </c>
      <c r="F42" s="13">
        <v>0</v>
      </c>
      <c r="G42" s="12">
        <f t="shared" si="1"/>
        <v>12</v>
      </c>
      <c r="H42" s="14">
        <v>6</v>
      </c>
      <c r="I42" s="15">
        <v>50</v>
      </c>
      <c r="J42" s="91">
        <f t="shared" si="2"/>
        <v>300</v>
      </c>
      <c r="K42" s="17" t="s">
        <v>16</v>
      </c>
      <c r="L42" s="18">
        <v>0</v>
      </c>
      <c r="M42" s="30">
        <f t="shared" si="4"/>
        <v>300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3'!G44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12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3'!G46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4</v>
      </c>
      <c r="H46" s="14">
        <v>6</v>
      </c>
      <c r="I46" s="15">
        <v>50</v>
      </c>
      <c r="J46" s="91">
        <f t="shared" si="2"/>
        <v>300</v>
      </c>
      <c r="K46" s="17" t="s">
        <v>16</v>
      </c>
      <c r="L46" s="18">
        <v>0</v>
      </c>
      <c r="M46" s="30">
        <f t="shared" si="4"/>
        <v>300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3'!G47</f>
        <v>17</v>
      </c>
      <c r="D47" s="13">
        <v>0</v>
      </c>
      <c r="E47" s="12">
        <f t="shared" si="0"/>
        <v>17</v>
      </c>
      <c r="F47" s="13">
        <v>0</v>
      </c>
      <c r="G47" s="12">
        <f t="shared" si="1"/>
        <v>9</v>
      </c>
      <c r="H47" s="14">
        <v>8</v>
      </c>
      <c r="I47" s="15">
        <v>50</v>
      </c>
      <c r="J47" s="91">
        <f t="shared" si="2"/>
        <v>400</v>
      </c>
      <c r="K47" s="17" t="s">
        <v>16</v>
      </c>
      <c r="L47" s="18">
        <v>0</v>
      </c>
      <c r="M47" s="30">
        <f t="shared" si="4"/>
        <v>400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3'!G49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4</v>
      </c>
      <c r="H49" s="14">
        <v>4</v>
      </c>
      <c r="I49" s="15">
        <v>50</v>
      </c>
      <c r="J49" s="91">
        <f t="shared" si="2"/>
        <v>200</v>
      </c>
      <c r="K49" s="17" t="s">
        <v>16</v>
      </c>
      <c r="L49" s="18">
        <v>0</v>
      </c>
      <c r="M49" s="30">
        <f t="shared" si="4"/>
        <v>200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3'!G50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3'!G59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3'!G60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3'!G67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3'!G73</f>
        <v>12</v>
      </c>
      <c r="D73" s="13">
        <v>0</v>
      </c>
      <c r="E73" s="12">
        <f t="shared" si="0"/>
        <v>12</v>
      </c>
      <c r="F73" s="13">
        <v>0</v>
      </c>
      <c r="G73" s="12">
        <f t="shared" si="1"/>
        <v>10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3'!G74</f>
        <v>21</v>
      </c>
      <c r="D74" s="13">
        <v>0</v>
      </c>
      <c r="E74" s="12">
        <f t="shared" si="0"/>
        <v>21</v>
      </c>
      <c r="F74" s="13">
        <v>0</v>
      </c>
      <c r="G74" s="22">
        <f t="shared" si="1"/>
        <v>19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8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3'!G77</f>
        <v>4</v>
      </c>
      <c r="D77" s="13">
        <v>0</v>
      </c>
      <c r="E77" s="12">
        <f t="shared" si="0"/>
        <v>4</v>
      </c>
      <c r="F77" s="13">
        <v>0</v>
      </c>
      <c r="G77" s="22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3'!G79</f>
        <v>2</v>
      </c>
      <c r="D79" s="13">
        <v>0</v>
      </c>
      <c r="E79" s="12">
        <f t="shared" si="0"/>
        <v>2</v>
      </c>
      <c r="F79" s="13">
        <v>0</v>
      </c>
      <c r="G79" s="22">
        <f t="shared" si="1"/>
        <v>2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3'!G86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3'!G87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3'!G88</f>
        <v>4</v>
      </c>
      <c r="D88" s="13">
        <v>0</v>
      </c>
      <c r="E88" s="12">
        <f t="shared" si="0"/>
        <v>4</v>
      </c>
      <c r="F88" s="13">
        <v>0</v>
      </c>
      <c r="G88" s="22">
        <f t="shared" si="1"/>
        <v>3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218</v>
      </c>
      <c r="C101" s="12">
        <f>+'วันที่ 3'!G101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3'!G102</f>
        <v>3</v>
      </c>
      <c r="D102" s="13">
        <v>0</v>
      </c>
      <c r="E102" s="12">
        <f t="shared" si="12"/>
        <v>3</v>
      </c>
      <c r="F102" s="13">
        <v>0</v>
      </c>
      <c r="G102" s="12">
        <f t="shared" si="13"/>
        <v>2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3'!G159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3'!G168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3'!G169</f>
        <v>19</v>
      </c>
      <c r="D169" s="13">
        <v>0</v>
      </c>
      <c r="E169" s="12">
        <f t="shared" si="16"/>
        <v>19</v>
      </c>
      <c r="F169" s="13">
        <v>0</v>
      </c>
      <c r="G169" s="12">
        <f t="shared" si="17"/>
        <v>19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3'!G176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3'!G178</f>
        <v>6</v>
      </c>
      <c r="D178" s="13">
        <v>0</v>
      </c>
      <c r="E178" s="22">
        <f t="shared" si="16"/>
        <v>6</v>
      </c>
      <c r="F178" s="13">
        <v>0</v>
      </c>
      <c r="G178" s="22">
        <f t="shared" si="17"/>
        <v>3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8">
        <v>0</v>
      </c>
      <c r="M178" s="30">
        <f t="shared" si="15"/>
        <v>360</v>
      </c>
    </row>
    <row r="179" spans="1:13" ht="25.5">
      <c r="A179" s="10">
        <v>175</v>
      </c>
      <c r="B179" s="19" t="s">
        <v>190</v>
      </c>
      <c r="C179" s="12">
        <f>+'วันที่ 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3'!G204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6385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350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6035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6035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6035</v>
      </c>
    </row>
    <row r="219" spans="1:13">
      <c r="G219" s="2"/>
      <c r="I219" s="2"/>
      <c r="J219" s="2" t="s">
        <v>250</v>
      </c>
      <c r="K219" s="24">
        <f>SUM(K208:K211)</f>
        <v>0</v>
      </c>
    </row>
    <row r="220" spans="1:13">
      <c r="G220" s="2"/>
      <c r="I220" s="2"/>
      <c r="J220" s="2" t="s">
        <v>251</v>
      </c>
      <c r="K220" s="24">
        <f>+K214</f>
        <v>6035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rgb="FFFFCCFF"/>
  </sheetPr>
  <dimension ref="A1:Z291"/>
  <sheetViews>
    <sheetView zoomScale="85" zoomScaleNormal="85" workbookViewId="0">
      <pane xSplit="5" ySplit="4" topLeftCell="F77" activePane="bottomRight" state="frozen"/>
      <selection activeCell="G29" sqref="G29"/>
      <selection pane="topRight" activeCell="G29" sqref="G29"/>
      <selection pane="bottomLeft" activeCell="G29" sqref="G29"/>
      <selection pane="bottomRight" activeCell="B87" sqref="B8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4'!G5</f>
        <v>16</v>
      </c>
      <c r="D5" s="13">
        <v>5</v>
      </c>
      <c r="E5" s="12">
        <f t="shared" ref="E5:E94" si="0">C5+D5</f>
        <v>21</v>
      </c>
      <c r="F5" s="13">
        <v>0</v>
      </c>
      <c r="G5" s="12">
        <f t="shared" ref="G5:G94" si="1">E5-F5-H5</f>
        <v>12</v>
      </c>
      <c r="H5" s="14">
        <v>9</v>
      </c>
      <c r="I5" s="15">
        <v>50</v>
      </c>
      <c r="J5" s="91">
        <f t="shared" ref="J5:J69" si="2">+I5*H5</f>
        <v>450</v>
      </c>
      <c r="K5" s="17" t="s">
        <v>16</v>
      </c>
      <c r="L5" s="18">
        <v>0</v>
      </c>
      <c r="M5" s="30">
        <f>+J5-L5</f>
        <v>450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4'!G6</f>
        <v>7</v>
      </c>
      <c r="D6" s="13">
        <v>10</v>
      </c>
      <c r="E6" s="12">
        <f t="shared" si="0"/>
        <v>17</v>
      </c>
      <c r="F6" s="13">
        <v>0</v>
      </c>
      <c r="G6" s="12">
        <f t="shared" si="1"/>
        <v>15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4'!G12</f>
        <v>9</v>
      </c>
      <c r="D12" s="13">
        <v>5</v>
      </c>
      <c r="E12" s="12">
        <f t="shared" si="0"/>
        <v>14</v>
      </c>
      <c r="F12" s="13">
        <v>0</v>
      </c>
      <c r="G12" s="12">
        <f t="shared" si="1"/>
        <v>12</v>
      </c>
      <c r="H12" s="14">
        <v>2</v>
      </c>
      <c r="I12" s="15">
        <v>50</v>
      </c>
      <c r="J12" s="91">
        <f t="shared" si="2"/>
        <v>100</v>
      </c>
      <c r="K12" s="17" t="s">
        <v>217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4'!G15</f>
        <v>3</v>
      </c>
      <c r="D15" s="13">
        <v>2</v>
      </c>
      <c r="E15" s="82">
        <f t="shared" si="0"/>
        <v>5</v>
      </c>
      <c r="F15" s="13">
        <v>0</v>
      </c>
      <c r="G15" s="82">
        <f t="shared" si="1"/>
        <v>2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8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4'!G16</f>
        <v>2</v>
      </c>
      <c r="D16" s="13">
        <v>0</v>
      </c>
      <c r="E16" s="12">
        <f t="shared" si="0"/>
        <v>2</v>
      </c>
      <c r="F16" s="13">
        <v>1</v>
      </c>
      <c r="G16" s="12">
        <f t="shared" si="1"/>
        <v>0</v>
      </c>
      <c r="H16" s="14">
        <v>1</v>
      </c>
      <c r="I16" s="15">
        <v>50</v>
      </c>
      <c r="J16" s="91">
        <f t="shared" si="2"/>
        <v>50</v>
      </c>
      <c r="K16" s="17" t="s">
        <v>16</v>
      </c>
      <c r="L16" s="18">
        <v>0</v>
      </c>
      <c r="M16" s="30">
        <f t="shared" si="4"/>
        <v>50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4'!G17</f>
        <v>0</v>
      </c>
      <c r="D17" s="13">
        <v>2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4'!G19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5</v>
      </c>
      <c r="H19" s="14">
        <v>7</v>
      </c>
      <c r="I19" s="15">
        <v>50</v>
      </c>
      <c r="J19" s="91">
        <f t="shared" si="2"/>
        <v>350</v>
      </c>
      <c r="K19" s="17" t="s">
        <v>16</v>
      </c>
      <c r="L19" s="18">
        <v>0</v>
      </c>
      <c r="M19" s="30">
        <f t="shared" si="4"/>
        <v>350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4'!G22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4'!G23</f>
        <v>13</v>
      </c>
      <c r="D23" s="13">
        <v>10</v>
      </c>
      <c r="E23" s="12">
        <f t="shared" si="0"/>
        <v>23</v>
      </c>
      <c r="F23" s="13">
        <v>0</v>
      </c>
      <c r="G23" s="12">
        <f t="shared" si="1"/>
        <v>19</v>
      </c>
      <c r="H23" s="14">
        <v>4</v>
      </c>
      <c r="I23" s="15">
        <v>100</v>
      </c>
      <c r="J23" s="91">
        <f t="shared" si="2"/>
        <v>400</v>
      </c>
      <c r="K23" s="17" t="s">
        <v>16</v>
      </c>
      <c r="L23" s="18">
        <v>0</v>
      </c>
      <c r="M23" s="30">
        <f t="shared" si="4"/>
        <v>400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4'!G29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4'!G34</f>
        <v>2</v>
      </c>
      <c r="D34" s="13">
        <v>3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4'!G35</f>
        <v>4</v>
      </c>
      <c r="D35" s="13">
        <v>3</v>
      </c>
      <c r="E35" s="12">
        <f t="shared" si="0"/>
        <v>7</v>
      </c>
      <c r="F35" s="13">
        <v>0</v>
      </c>
      <c r="G35" s="12">
        <f t="shared" si="1"/>
        <v>6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4'!G37</f>
        <v>2</v>
      </c>
      <c r="D37" s="13">
        <v>5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4'!G38</f>
        <v>2</v>
      </c>
      <c r="D38" s="13">
        <v>2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91">
        <f t="shared" si="2"/>
        <v>100</v>
      </c>
      <c r="K38" s="17" t="s">
        <v>16</v>
      </c>
      <c r="L38" s="18">
        <v>0</v>
      </c>
      <c r="M38" s="30">
        <f t="shared" si="4"/>
        <v>100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4'!G40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4'!G42</f>
        <v>12</v>
      </c>
      <c r="D42" s="13">
        <v>0</v>
      </c>
      <c r="E42" s="12">
        <f t="shared" si="0"/>
        <v>12</v>
      </c>
      <c r="F42" s="13">
        <v>3</v>
      </c>
      <c r="G42" s="12">
        <f t="shared" si="1"/>
        <v>7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4'!G44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6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4'!G48</f>
        <v>3</v>
      </c>
      <c r="D48" s="13">
        <v>5</v>
      </c>
      <c r="E48" s="12">
        <f t="shared" si="0"/>
        <v>8</v>
      </c>
      <c r="F48" s="13">
        <v>0</v>
      </c>
      <c r="G48" s="12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4'!G49</f>
        <v>4</v>
      </c>
      <c r="D49" s="13">
        <v>0</v>
      </c>
      <c r="E49" s="12">
        <f t="shared" si="0"/>
        <v>4</v>
      </c>
      <c r="F49" s="13">
        <v>0</v>
      </c>
      <c r="G49" s="12">
        <f t="shared" si="1"/>
        <v>3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4'!G50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4'!G59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4'!G60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4'!G67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4'!G71</f>
        <v>1</v>
      </c>
      <c r="D71" s="13">
        <v>2</v>
      </c>
      <c r="E71" s="12">
        <f t="shared" si="0"/>
        <v>3</v>
      </c>
      <c r="F71" s="13">
        <v>0</v>
      </c>
      <c r="G71" s="12">
        <f t="shared" si="1"/>
        <v>2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8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4'!G73</f>
        <v>10</v>
      </c>
      <c r="D73" s="13">
        <v>0</v>
      </c>
      <c r="E73" s="12">
        <f t="shared" si="0"/>
        <v>10</v>
      </c>
      <c r="F73" s="13">
        <v>0</v>
      </c>
      <c r="G73" s="12">
        <f t="shared" si="1"/>
        <v>8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4'!G74</f>
        <v>19</v>
      </c>
      <c r="D74" s="13">
        <v>0</v>
      </c>
      <c r="E74" s="12">
        <f t="shared" si="0"/>
        <v>19</v>
      </c>
      <c r="F74" s="13">
        <v>5</v>
      </c>
      <c r="G74" s="22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4'!G77</f>
        <v>3</v>
      </c>
      <c r="D77" s="13">
        <v>3</v>
      </c>
      <c r="E77" s="12">
        <f t="shared" si="0"/>
        <v>6</v>
      </c>
      <c r="F77" s="13">
        <v>0</v>
      </c>
      <c r="G77" s="22">
        <f t="shared" si="1"/>
        <v>4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4'!G79</f>
        <v>2</v>
      </c>
      <c r="D79" s="13">
        <v>3</v>
      </c>
      <c r="E79" s="12">
        <f t="shared" si="0"/>
        <v>5</v>
      </c>
      <c r="F79" s="13">
        <v>1</v>
      </c>
      <c r="G79" s="22">
        <f t="shared" si="1"/>
        <v>3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4'!G86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4'!G87</f>
        <v>9</v>
      </c>
      <c r="D87" s="13">
        <v>10</v>
      </c>
      <c r="E87" s="12">
        <f t="shared" si="0"/>
        <v>19</v>
      </c>
      <c r="F87" s="13">
        <v>0</v>
      </c>
      <c r="G87" s="12">
        <f t="shared" si="1"/>
        <v>19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4'!G88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218</v>
      </c>
      <c r="C101" s="12">
        <f>+'วันที่ 4'!G101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4'!G102</f>
        <v>2</v>
      </c>
      <c r="D102" s="13">
        <v>0</v>
      </c>
      <c r="E102" s="12">
        <f t="shared" si="12"/>
        <v>2</v>
      </c>
      <c r="F102" s="13">
        <v>0</v>
      </c>
      <c r="G102" s="12">
        <f t="shared" si="13"/>
        <v>1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4'!G159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+'วันที่ 4'!G168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4'!G169</f>
        <v>19</v>
      </c>
      <c r="D169" s="13">
        <v>0</v>
      </c>
      <c r="E169" s="12">
        <f t="shared" si="16"/>
        <v>19</v>
      </c>
      <c r="F169" s="13">
        <v>0</v>
      </c>
      <c r="G169" s="12">
        <f t="shared" si="17"/>
        <v>18</v>
      </c>
      <c r="H169" s="14">
        <v>1</v>
      </c>
      <c r="I169" s="15">
        <v>85</v>
      </c>
      <c r="J169" s="91">
        <f t="shared" si="14"/>
        <v>85</v>
      </c>
      <c r="K169" s="17" t="s">
        <v>16</v>
      </c>
      <c r="L169" s="18">
        <v>0</v>
      </c>
      <c r="M169" s="30">
        <f t="shared" si="15"/>
        <v>85</v>
      </c>
    </row>
    <row r="170" spans="1:13" ht="25.5">
      <c r="A170" s="10">
        <v>166</v>
      </c>
      <c r="B170" s="19" t="s">
        <v>181</v>
      </c>
      <c r="C170" s="12">
        <f>+'วันที่ 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4'!G176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4'!G177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4'!G178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4'!G179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4'!G180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4'!G204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3300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150</v>
      </c>
      <c r="L209" s="2">
        <v>150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3100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3100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3250</v>
      </c>
    </row>
    <row r="219" spans="1:13">
      <c r="G219" s="2"/>
      <c r="I219" s="2"/>
      <c r="J219" s="2" t="s">
        <v>250</v>
      </c>
      <c r="K219" s="24">
        <f>SUM(K208:K211)</f>
        <v>150</v>
      </c>
    </row>
    <row r="220" spans="1:13">
      <c r="G220" s="2"/>
      <c r="I220" s="2"/>
      <c r="J220" s="2" t="s">
        <v>251</v>
      </c>
      <c r="K220" s="24">
        <f>+K214</f>
        <v>3100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rgb="FFFFCCFF"/>
  </sheetPr>
  <dimension ref="A1:Z291"/>
  <sheetViews>
    <sheetView zoomScale="80" zoomScaleNormal="80" workbookViewId="0">
      <pane xSplit="5" ySplit="4" topLeftCell="F188" activePane="bottomRight" state="frozen"/>
      <selection activeCell="G29" sqref="G29"/>
      <selection pane="topRight" activeCell="G29" sqref="G29"/>
      <selection pane="bottomLeft" activeCell="G29" sqref="G29"/>
      <selection pane="bottomRight" activeCell="N164" sqref="N16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5'!G5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7</v>
      </c>
      <c r="H5" s="14">
        <v>5</v>
      </c>
      <c r="I5" s="15">
        <v>50</v>
      </c>
      <c r="J5" s="91">
        <f t="shared" ref="J5:J69" si="2">+I5*H5</f>
        <v>250</v>
      </c>
      <c r="K5" s="17" t="s">
        <v>217</v>
      </c>
      <c r="L5" s="18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5'!G6</f>
        <v>15</v>
      </c>
      <c r="D6" s="13">
        <v>0</v>
      </c>
      <c r="E6" s="12">
        <f t="shared" si="0"/>
        <v>15</v>
      </c>
      <c r="F6" s="13">
        <v>0</v>
      </c>
      <c r="G6" s="12">
        <f t="shared" si="1"/>
        <v>10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5'!G12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1"/>
        <v>10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5'!G15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5'!G17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5'!G22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5'!G23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14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8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5'!G29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5'!G35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3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5'!G38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91">
        <f t="shared" si="2"/>
        <v>100</v>
      </c>
      <c r="K38" s="17" t="s">
        <v>217</v>
      </c>
      <c r="L38" s="18">
        <v>50</v>
      </c>
      <c r="M38" s="30">
        <f t="shared" si="4"/>
        <v>50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5'!G40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5'!G42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5'!G44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5'!G47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5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5'!G49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5'!G50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5'!G59</f>
        <v>1</v>
      </c>
      <c r="D59" s="13">
        <v>0</v>
      </c>
      <c r="E59" s="12">
        <f t="shared" si="0"/>
        <v>1</v>
      </c>
      <c r="F59" s="13">
        <v>0</v>
      </c>
      <c r="G59" s="12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5'!G60</f>
        <v>5</v>
      </c>
      <c r="D60" s="13">
        <v>0</v>
      </c>
      <c r="E60" s="12">
        <f t="shared" si="0"/>
        <v>5</v>
      </c>
      <c r="F60" s="13">
        <v>0</v>
      </c>
      <c r="G60" s="1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5'!G67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5'!G71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5'!G73</f>
        <v>8</v>
      </c>
      <c r="D73" s="13">
        <v>0</v>
      </c>
      <c r="E73" s="12">
        <f t="shared" si="0"/>
        <v>8</v>
      </c>
      <c r="F73" s="13">
        <v>0</v>
      </c>
      <c r="G73" s="12">
        <f t="shared" si="1"/>
        <v>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5'!G74</f>
        <v>14</v>
      </c>
      <c r="D74" s="13">
        <v>0</v>
      </c>
      <c r="E74" s="12">
        <f t="shared" si="0"/>
        <v>14</v>
      </c>
      <c r="F74" s="13">
        <v>0</v>
      </c>
      <c r="G74" s="22">
        <f t="shared" si="1"/>
        <v>8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8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5'!G77</f>
        <v>4</v>
      </c>
      <c r="D77" s="13">
        <v>0</v>
      </c>
      <c r="E77" s="12">
        <f t="shared" si="0"/>
        <v>4</v>
      </c>
      <c r="F77" s="13">
        <v>0</v>
      </c>
      <c r="G77" s="22">
        <f t="shared" si="1"/>
        <v>4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5'!G79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1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30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5'!G86</f>
        <v>7</v>
      </c>
      <c r="D86" s="13">
        <v>0</v>
      </c>
      <c r="E86" s="12">
        <f t="shared" si="0"/>
        <v>7</v>
      </c>
      <c r="F86" s="13">
        <v>0</v>
      </c>
      <c r="G86" s="12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5'!G87</f>
        <v>19</v>
      </c>
      <c r="D87" s="13">
        <v>0</v>
      </c>
      <c r="E87" s="12">
        <f t="shared" si="0"/>
        <v>19</v>
      </c>
      <c r="F87" s="13">
        <v>0</v>
      </c>
      <c r="G87" s="12">
        <f t="shared" si="1"/>
        <v>16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5'!G88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5'!G101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5'!G102</f>
        <v>1</v>
      </c>
      <c r="D102" s="13">
        <v>0</v>
      </c>
      <c r="E102" s="12">
        <f t="shared" si="12"/>
        <v>1</v>
      </c>
      <c r="F102" s="13">
        <v>0</v>
      </c>
      <c r="G102" s="12">
        <f t="shared" si="13"/>
        <v>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5'!G159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5'!G168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5'!G169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5'!G176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5'!G177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5'!G178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1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>
      <c r="A179" s="10">
        <v>175</v>
      </c>
      <c r="B179" s="19" t="s">
        <v>190</v>
      </c>
      <c r="C179" s="12">
        <f>+'วันที่ 5'!G179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5'!G180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3230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200</v>
      </c>
      <c r="L209" s="2">
        <v>100</v>
      </c>
      <c r="M209" s="2">
        <v>100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100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2930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2930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3130</v>
      </c>
    </row>
    <row r="219" spans="1:13">
      <c r="G219" s="2"/>
      <c r="I219" s="2"/>
      <c r="J219" s="2" t="s">
        <v>250</v>
      </c>
      <c r="K219" s="24">
        <f>SUM(K208:K211)</f>
        <v>200</v>
      </c>
    </row>
    <row r="220" spans="1:13">
      <c r="G220" s="2"/>
      <c r="I220" s="2"/>
      <c r="J220" s="2" t="s">
        <v>251</v>
      </c>
      <c r="K220" s="24">
        <f>+K214</f>
        <v>2930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rgb="FFFFCCFF"/>
  </sheetPr>
  <dimension ref="A1:Z291"/>
  <sheetViews>
    <sheetView zoomScale="85" zoomScaleNormal="85" workbookViewId="0">
      <pane xSplit="5" ySplit="4" topLeftCell="F188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6'!G5</f>
        <v>7</v>
      </c>
      <c r="D5" s="13">
        <v>10</v>
      </c>
      <c r="E5" s="12">
        <f t="shared" ref="E5:E94" si="0">C5+D5</f>
        <v>17</v>
      </c>
      <c r="F5" s="13">
        <v>0</v>
      </c>
      <c r="G5" s="22">
        <f t="shared" ref="G5:G94" si="1">E5-F5-H5</f>
        <v>15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6'!G6</f>
        <v>10</v>
      </c>
      <c r="D6" s="13">
        <v>0</v>
      </c>
      <c r="E6" s="12">
        <f t="shared" si="0"/>
        <v>10</v>
      </c>
      <c r="F6" s="13">
        <v>0</v>
      </c>
      <c r="G6" s="12">
        <f t="shared" si="1"/>
        <v>3</v>
      </c>
      <c r="H6" s="14">
        <v>7</v>
      </c>
      <c r="I6" s="15">
        <v>100</v>
      </c>
      <c r="J6" s="91">
        <f t="shared" si="2"/>
        <v>700</v>
      </c>
      <c r="K6" s="17" t="s">
        <v>16</v>
      </c>
      <c r="L6" s="18">
        <v>0</v>
      </c>
      <c r="M6" s="30">
        <f t="shared" ref="M6:M69" si="4">+J6-L6</f>
        <v>700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6'!G12</f>
        <v>10</v>
      </c>
      <c r="D12" s="13">
        <v>5</v>
      </c>
      <c r="E12" s="12">
        <f t="shared" si="0"/>
        <v>15</v>
      </c>
      <c r="F12" s="13">
        <v>0</v>
      </c>
      <c r="G12" s="12">
        <f t="shared" si="1"/>
        <v>13</v>
      </c>
      <c r="H12" s="14">
        <v>2</v>
      </c>
      <c r="I12" s="15">
        <v>50</v>
      </c>
      <c r="J12" s="91">
        <f t="shared" si="2"/>
        <v>100</v>
      </c>
      <c r="K12" s="17" t="s">
        <v>258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6'!G14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6'!G15</f>
        <v>2</v>
      </c>
      <c r="D15" s="13">
        <v>2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6'!G17</f>
        <v>2</v>
      </c>
      <c r="D17" s="13">
        <v>2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6'!G19</f>
        <v>4</v>
      </c>
      <c r="D19" s="13">
        <v>10</v>
      </c>
      <c r="E19" s="12">
        <f t="shared" si="0"/>
        <v>14</v>
      </c>
      <c r="F19" s="13">
        <v>0</v>
      </c>
      <c r="G19" s="12">
        <f t="shared" si="1"/>
        <v>12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6'!G22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6'!G23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14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6'!G29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6'!G35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1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6'!G37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6'!G41</f>
        <v>6</v>
      </c>
      <c r="D41" s="13">
        <v>5</v>
      </c>
      <c r="E41" s="12">
        <f t="shared" si="0"/>
        <v>11</v>
      </c>
      <c r="F41" s="13">
        <v>0</v>
      </c>
      <c r="G41" s="12">
        <f t="shared" si="1"/>
        <v>10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6'!G42</f>
        <v>6</v>
      </c>
      <c r="D42" s="13">
        <v>10</v>
      </c>
      <c r="E42" s="12">
        <f t="shared" si="0"/>
        <v>16</v>
      </c>
      <c r="F42" s="13">
        <v>0</v>
      </c>
      <c r="G42" s="12">
        <f t="shared" si="1"/>
        <v>14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6'!G43</f>
        <v>3</v>
      </c>
      <c r="D43" s="13">
        <v>5</v>
      </c>
      <c r="E43" s="12">
        <f t="shared" si="0"/>
        <v>8</v>
      </c>
      <c r="F43" s="13">
        <v>0</v>
      </c>
      <c r="G43" s="12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6'!G44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11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6'!G46</f>
        <v>3</v>
      </c>
      <c r="D46" s="13">
        <v>10</v>
      </c>
      <c r="E46" s="12">
        <f t="shared" si="0"/>
        <v>13</v>
      </c>
      <c r="F46" s="13">
        <v>0</v>
      </c>
      <c r="G46" s="12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6'!G47</f>
        <v>5</v>
      </c>
      <c r="D47" s="13">
        <v>10</v>
      </c>
      <c r="E47" s="12">
        <f t="shared" si="0"/>
        <v>15</v>
      </c>
      <c r="F47" s="13">
        <v>0</v>
      </c>
      <c r="G47" s="12">
        <f t="shared" si="1"/>
        <v>12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6'!G50</f>
        <v>0</v>
      </c>
      <c r="D50" s="13">
        <v>5</v>
      </c>
      <c r="E50" s="12">
        <f t="shared" si="0"/>
        <v>5</v>
      </c>
      <c r="F50" s="13">
        <v>0</v>
      </c>
      <c r="G50" s="12">
        <f t="shared" si="1"/>
        <v>3</v>
      </c>
      <c r="H50" s="14">
        <v>2</v>
      </c>
      <c r="I50" s="15">
        <v>120</v>
      </c>
      <c r="J50" s="91">
        <f t="shared" si="2"/>
        <v>240</v>
      </c>
      <c r="K50" s="17" t="s">
        <v>259</v>
      </c>
      <c r="L50" s="18">
        <v>70</v>
      </c>
      <c r="M50" s="30">
        <f t="shared" si="4"/>
        <v>170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6'!G52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6'!G53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6'!G54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6'!G55</f>
        <v>0</v>
      </c>
      <c r="D55" s="13">
        <v>0</v>
      </c>
      <c r="E55" s="12">
        <f t="shared" si="0"/>
        <v>0</v>
      </c>
      <c r="F55" s="13">
        <v>0</v>
      </c>
      <c r="G55" s="2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6'!G56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6'!G57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6'!G58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6'!G59</f>
        <v>1</v>
      </c>
      <c r="D59" s="13">
        <v>3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6'!G60</f>
        <v>5</v>
      </c>
      <c r="D60" s="13">
        <v>0</v>
      </c>
      <c r="E60" s="12">
        <f t="shared" si="0"/>
        <v>5</v>
      </c>
      <c r="F60" s="13">
        <v>0</v>
      </c>
      <c r="G60" s="22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6'!G61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6'!G62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6'!G66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6'!G67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6'!G68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6'!G69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6'!G73</f>
        <v>8</v>
      </c>
      <c r="D73" s="13">
        <v>15</v>
      </c>
      <c r="E73" s="12">
        <f t="shared" si="0"/>
        <v>23</v>
      </c>
      <c r="F73" s="13">
        <v>0</v>
      </c>
      <c r="G73" s="12">
        <f t="shared" si="1"/>
        <v>22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6'!G74</f>
        <v>8</v>
      </c>
      <c r="D74" s="13">
        <v>0</v>
      </c>
      <c r="E74" s="12">
        <f t="shared" si="0"/>
        <v>8</v>
      </c>
      <c r="F74" s="13">
        <v>0</v>
      </c>
      <c r="G74" s="22">
        <f t="shared" si="1"/>
        <v>8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6'!G77</f>
        <v>4</v>
      </c>
      <c r="D77" s="13">
        <v>3</v>
      </c>
      <c r="E77" s="12">
        <f t="shared" si="0"/>
        <v>7</v>
      </c>
      <c r="F77" s="13">
        <v>0</v>
      </c>
      <c r="G77" s="22">
        <f t="shared" si="1"/>
        <v>6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6'!G79</f>
        <v>1</v>
      </c>
      <c r="D79" s="13">
        <v>0</v>
      </c>
      <c r="E79" s="12">
        <f t="shared" si="0"/>
        <v>1</v>
      </c>
      <c r="F79" s="13">
        <v>0</v>
      </c>
      <c r="G79" s="22">
        <f t="shared" si="1"/>
        <v>0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6'!G86</f>
        <v>7</v>
      </c>
      <c r="D86" s="13">
        <v>5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6'!G87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15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6'!G88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6'!G101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6'!G102</f>
        <v>1</v>
      </c>
      <c r="D102" s="13">
        <v>10</v>
      </c>
      <c r="E102" s="12">
        <f t="shared" si="12"/>
        <v>11</v>
      </c>
      <c r="F102" s="13">
        <v>0</v>
      </c>
      <c r="G102" s="12">
        <f t="shared" si="13"/>
        <v>11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6'!G159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6'!G168</f>
        <v>7</v>
      </c>
      <c r="D168" s="13">
        <v>0</v>
      </c>
      <c r="E168" s="12">
        <f t="shared" si="16"/>
        <v>7</v>
      </c>
      <c r="F168" s="13">
        <v>0</v>
      </c>
      <c r="G168" s="12">
        <f t="shared" si="17"/>
        <v>7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6'!G169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6'!G176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6'!G178</f>
        <v>1</v>
      </c>
      <c r="D178" s="13">
        <v>3</v>
      </c>
      <c r="E178" s="22">
        <f t="shared" si="16"/>
        <v>4</v>
      </c>
      <c r="F178" s="13">
        <v>0</v>
      </c>
      <c r="G178" s="22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2435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120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2315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2315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2315</v>
      </c>
    </row>
    <row r="219" spans="1:13">
      <c r="G219" s="2"/>
      <c r="I219" s="2"/>
      <c r="J219" s="2" t="s">
        <v>250</v>
      </c>
      <c r="K219" s="24">
        <f>SUM(K208:K211)</f>
        <v>0</v>
      </c>
    </row>
    <row r="220" spans="1:13">
      <c r="G220" s="2"/>
      <c r="I220" s="2"/>
      <c r="J220" s="2" t="s">
        <v>251</v>
      </c>
      <c r="K220" s="24">
        <f>+K214</f>
        <v>2315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4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rgb="FFFFCCFF"/>
  </sheetPr>
  <dimension ref="A1:Z291"/>
  <sheetViews>
    <sheetView zoomScale="90" zoomScaleNormal="90" workbookViewId="0">
      <pane xSplit="5" ySplit="4" topLeftCell="I206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 7'!G5</f>
        <v>15</v>
      </c>
      <c r="D5" s="13">
        <v>10</v>
      </c>
      <c r="E5" s="12">
        <f t="shared" ref="E5:E94" si="0">C5+D5</f>
        <v>25</v>
      </c>
      <c r="F5" s="13">
        <v>0</v>
      </c>
      <c r="G5" s="22">
        <f t="shared" ref="G5:G94" si="1">E5-F5-H5</f>
        <v>19</v>
      </c>
      <c r="H5" s="14">
        <v>6</v>
      </c>
      <c r="I5" s="15">
        <v>50</v>
      </c>
      <c r="J5" s="91">
        <f t="shared" ref="J5:J69" si="2">+I5*H5</f>
        <v>300</v>
      </c>
      <c r="K5" s="17" t="s">
        <v>258</v>
      </c>
      <c r="L5" s="18">
        <v>50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7'!G6</f>
        <v>3</v>
      </c>
      <c r="D6" s="13">
        <v>20</v>
      </c>
      <c r="E6" s="12">
        <f t="shared" si="0"/>
        <v>23</v>
      </c>
      <c r="F6" s="13">
        <v>0</v>
      </c>
      <c r="G6" s="12">
        <f t="shared" si="1"/>
        <v>21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7'!G12</f>
        <v>13</v>
      </c>
      <c r="D12" s="13">
        <v>10</v>
      </c>
      <c r="E12" s="12">
        <f t="shared" si="0"/>
        <v>23</v>
      </c>
      <c r="F12" s="13">
        <v>0</v>
      </c>
      <c r="G12" s="12">
        <f t="shared" si="1"/>
        <v>22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7'!G15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7'!G17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7'!G19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7'!G23</f>
        <v>14</v>
      </c>
      <c r="D23" s="13">
        <v>20</v>
      </c>
      <c r="E23" s="12">
        <f t="shared" si="0"/>
        <v>34</v>
      </c>
      <c r="F23" s="13">
        <v>0</v>
      </c>
      <c r="G23" s="12">
        <f t="shared" si="1"/>
        <v>31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7'!G29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0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7'!G35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7'!G37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5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7'!G38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91">
        <f t="shared" si="2"/>
        <v>50</v>
      </c>
      <c r="K40" s="17" t="s">
        <v>16</v>
      </c>
      <c r="L40" s="18">
        <v>0</v>
      </c>
      <c r="M40" s="30">
        <f t="shared" si="4"/>
        <v>50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1"/>
        <v>7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8">
        <v>0</v>
      </c>
      <c r="M41" s="30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7'!G42</f>
        <v>14</v>
      </c>
      <c r="D42" s="13">
        <v>0</v>
      </c>
      <c r="E42" s="12">
        <f t="shared" si="0"/>
        <v>14</v>
      </c>
      <c r="F42" s="13">
        <v>0</v>
      </c>
      <c r="G42" s="12">
        <f t="shared" si="1"/>
        <v>13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7'!G43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7'!G44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7'!G46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12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7'!G47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7'!G48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7'!G49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2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7'!G50</f>
        <v>3</v>
      </c>
      <c r="D50" s="13">
        <v>0</v>
      </c>
      <c r="E50" s="12">
        <f t="shared" si="0"/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7'!G52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7'!G53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7'!G54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7'!G55</f>
        <v>0</v>
      </c>
      <c r="D55" s="13">
        <v>0</v>
      </c>
      <c r="E55" s="12">
        <f t="shared" si="0"/>
        <v>0</v>
      </c>
      <c r="F55" s="13">
        <v>0</v>
      </c>
      <c r="G55" s="22">
        <f t="shared" si="1"/>
        <v>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7'!G56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7'!G57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7'!G58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7'!G59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7'!G60</f>
        <v>5</v>
      </c>
      <c r="D60" s="13">
        <v>0</v>
      </c>
      <c r="E60" s="12">
        <f t="shared" si="0"/>
        <v>5</v>
      </c>
      <c r="F60" s="13">
        <v>0</v>
      </c>
      <c r="G60" s="22">
        <f t="shared" si="1"/>
        <v>4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7'!G61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7'!G62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7'!G63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7'!G64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7'!G65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7'!G66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7'!G67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7'!G68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7'!G69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7'!G70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7'!G71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7'!G73</f>
        <v>22</v>
      </c>
      <c r="D73" s="13">
        <v>0</v>
      </c>
      <c r="E73" s="12">
        <f t="shared" si="0"/>
        <v>22</v>
      </c>
      <c r="F73" s="13">
        <v>0</v>
      </c>
      <c r="G73" s="12">
        <f t="shared" si="1"/>
        <v>22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7'!G74</f>
        <v>8</v>
      </c>
      <c r="D74" s="13">
        <v>10</v>
      </c>
      <c r="E74" s="12">
        <f t="shared" si="0"/>
        <v>18</v>
      </c>
      <c r="F74" s="13">
        <v>0</v>
      </c>
      <c r="G74" s="22">
        <f t="shared" si="1"/>
        <v>17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7'!G77</f>
        <v>6</v>
      </c>
      <c r="D77" s="13">
        <v>0</v>
      </c>
      <c r="E77" s="12">
        <f t="shared" si="0"/>
        <v>6</v>
      </c>
      <c r="F77" s="13">
        <v>0</v>
      </c>
      <c r="G77" s="22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7'!G79</f>
        <v>0</v>
      </c>
      <c r="D79" s="13">
        <v>3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7'!G86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7'!G87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7'!G88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3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 7'!G101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7'!G102</f>
        <v>11</v>
      </c>
      <c r="D102" s="13">
        <v>0</v>
      </c>
      <c r="E102" s="12">
        <f t="shared" si="12"/>
        <v>11</v>
      </c>
      <c r="F102" s="13">
        <v>0</v>
      </c>
      <c r="G102" s="12">
        <f t="shared" si="13"/>
        <v>11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7'!G159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7'!G168</f>
        <v>7</v>
      </c>
      <c r="D168" s="13">
        <v>30</v>
      </c>
      <c r="E168" s="12">
        <f t="shared" si="16"/>
        <v>37</v>
      </c>
      <c r="F168" s="13">
        <v>0</v>
      </c>
      <c r="G168" s="12">
        <f t="shared" si="17"/>
        <v>36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19" t="s">
        <v>180</v>
      </c>
      <c r="C169" s="12">
        <f>+'วันที่  7'!G169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7'!G176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7'!G178</f>
        <v>4</v>
      </c>
      <c r="D178" s="13">
        <v>3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 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2555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410</v>
      </c>
      <c r="L209" s="2">
        <v>150</v>
      </c>
      <c r="M209" s="2">
        <v>260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2095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2095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2505</v>
      </c>
    </row>
    <row r="219" spans="1:13">
      <c r="G219" s="2"/>
      <c r="I219" s="2"/>
      <c r="J219" s="2" t="s">
        <v>250</v>
      </c>
      <c r="K219" s="24">
        <f>SUM(K208:K211)</f>
        <v>410</v>
      </c>
    </row>
    <row r="220" spans="1:13">
      <c r="G220" s="2"/>
      <c r="I220" s="2"/>
      <c r="J220" s="2" t="s">
        <v>251</v>
      </c>
      <c r="K220" s="24">
        <f>+K214</f>
        <v>2095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rgb="FFFFCCFF"/>
  </sheetPr>
  <dimension ref="A1:Z291"/>
  <sheetViews>
    <sheetView zoomScale="90" zoomScaleNormal="90" workbookViewId="0">
      <pane xSplit="5" ySplit="4" topLeftCell="F5" activePane="bottomRight" state="frozen"/>
      <selection activeCell="G29" sqref="G29"/>
      <selection pane="topRight" activeCell="G29" sqref="G29"/>
      <selection pane="bottomLeft" activeCell="G29" sqref="G29"/>
      <selection pane="bottomRight" activeCell="K216" sqref="K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 8'!G5</f>
        <v>19</v>
      </c>
      <c r="D5" s="13">
        <v>10</v>
      </c>
      <c r="E5" s="12">
        <f t="shared" ref="E5:E94" si="0">C5+D5</f>
        <v>29</v>
      </c>
      <c r="F5" s="13">
        <v>0</v>
      </c>
      <c r="G5" s="22">
        <f t="shared" ref="G5:G94" si="1">E5-F5-H5</f>
        <v>28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8'!G6</f>
        <v>21</v>
      </c>
      <c r="D6" s="13">
        <v>10</v>
      </c>
      <c r="E6" s="12">
        <f t="shared" si="0"/>
        <v>31</v>
      </c>
      <c r="F6" s="13">
        <v>0</v>
      </c>
      <c r="G6" s="12">
        <f t="shared" si="1"/>
        <v>28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8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8'!G12</f>
        <v>22</v>
      </c>
      <c r="D12" s="13">
        <v>5</v>
      </c>
      <c r="E12" s="12">
        <f t="shared" si="0"/>
        <v>27</v>
      </c>
      <c r="F12" s="13">
        <v>0</v>
      </c>
      <c r="G12" s="12">
        <f t="shared" si="1"/>
        <v>26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8'!G15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8'!G17</f>
        <v>1</v>
      </c>
      <c r="D17" s="13">
        <v>5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8'!G19</f>
        <v>12</v>
      </c>
      <c r="D19" s="13">
        <v>10</v>
      </c>
      <c r="E19" s="12">
        <f t="shared" si="0"/>
        <v>22</v>
      </c>
      <c r="F19" s="13">
        <v>0</v>
      </c>
      <c r="G19" s="12">
        <f t="shared" si="1"/>
        <v>22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8'!G23</f>
        <v>31</v>
      </c>
      <c r="D23" s="13">
        <v>0</v>
      </c>
      <c r="E23" s="12">
        <f t="shared" si="0"/>
        <v>31</v>
      </c>
      <c r="F23" s="13">
        <v>0</v>
      </c>
      <c r="G23" s="12">
        <f t="shared" si="1"/>
        <v>30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8'!G29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8'!G34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8'!G35</f>
        <v>0</v>
      </c>
      <c r="D35" s="13">
        <v>10</v>
      </c>
      <c r="E35" s="12">
        <f t="shared" si="0"/>
        <v>10</v>
      </c>
      <c r="F35" s="13">
        <v>0</v>
      </c>
      <c r="G35" s="12">
        <f t="shared" si="1"/>
        <v>10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8'!G37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8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8'!G38</f>
        <v>3</v>
      </c>
      <c r="D38" s="13">
        <v>2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8'!G40</f>
        <v>1</v>
      </c>
      <c r="D40" s="13">
        <v>2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8'!G41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91">
        <f t="shared" si="2"/>
        <v>50</v>
      </c>
      <c r="K41" s="17" t="s">
        <v>255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8'!G42</f>
        <v>13</v>
      </c>
      <c r="D42" s="13">
        <v>10</v>
      </c>
      <c r="E42" s="12">
        <f t="shared" si="0"/>
        <v>23</v>
      </c>
      <c r="F42" s="13">
        <v>0</v>
      </c>
      <c r="G42" s="12">
        <f t="shared" si="1"/>
        <v>22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8'!G43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8'!G44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8'!G46</f>
        <v>12</v>
      </c>
      <c r="D46" s="13">
        <v>10</v>
      </c>
      <c r="E46" s="12">
        <f t="shared" si="0"/>
        <v>22</v>
      </c>
      <c r="F46" s="13">
        <v>0</v>
      </c>
      <c r="G46" s="12">
        <f t="shared" si="1"/>
        <v>22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8'!G47</f>
        <v>12</v>
      </c>
      <c r="D47" s="13">
        <v>10</v>
      </c>
      <c r="E47" s="12">
        <f t="shared" si="0"/>
        <v>22</v>
      </c>
      <c r="F47" s="13">
        <v>0</v>
      </c>
      <c r="G47" s="12">
        <f t="shared" si="1"/>
        <v>22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8'!G48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8'!G49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8'!G50</f>
        <v>3</v>
      </c>
      <c r="D50" s="13">
        <v>3</v>
      </c>
      <c r="E50" s="12">
        <f t="shared" si="0"/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8'!G52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8'!G53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8'!G54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8'!G55</f>
        <v>0</v>
      </c>
      <c r="D55" s="13">
        <v>5</v>
      </c>
      <c r="E55" s="12">
        <f t="shared" si="0"/>
        <v>5</v>
      </c>
      <c r="F55" s="13">
        <v>0</v>
      </c>
      <c r="G55" s="2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8'!G56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8'!G57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8'!G58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8'!G59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8'!G60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8'!G61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8'!G62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8'!G63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8'!G64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8'!G65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8'!G66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8'!G67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8'!G68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8'!G69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8'!G70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8'!G71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8'!G72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8'!G73</f>
        <v>22</v>
      </c>
      <c r="D73" s="13">
        <v>0</v>
      </c>
      <c r="E73" s="12">
        <f t="shared" si="0"/>
        <v>22</v>
      </c>
      <c r="F73" s="13">
        <v>0</v>
      </c>
      <c r="G73" s="22">
        <f t="shared" si="1"/>
        <v>22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8'!G74</f>
        <v>17</v>
      </c>
      <c r="D74" s="13">
        <v>10</v>
      </c>
      <c r="E74" s="12">
        <f t="shared" si="0"/>
        <v>27</v>
      </c>
      <c r="F74" s="13">
        <v>0</v>
      </c>
      <c r="G74" s="22">
        <f t="shared" si="1"/>
        <v>27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8'!G75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8'!G76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8'!G77</f>
        <v>5</v>
      </c>
      <c r="D77" s="13">
        <v>0</v>
      </c>
      <c r="E77" s="12">
        <f t="shared" si="0"/>
        <v>5</v>
      </c>
      <c r="F77" s="13">
        <v>0</v>
      </c>
      <c r="G77" s="22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8'!G78</f>
        <v>0</v>
      </c>
      <c r="D78" s="13">
        <v>0</v>
      </c>
      <c r="E78" s="12">
        <f t="shared" si="0"/>
        <v>0</v>
      </c>
      <c r="F78" s="13">
        <v>0</v>
      </c>
      <c r="G78" s="2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8'!G79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8'!G80</f>
        <v>0</v>
      </c>
      <c r="D80" s="13">
        <v>0</v>
      </c>
      <c r="E80" s="12">
        <f t="shared" si="0"/>
        <v>0</v>
      </c>
      <c r="F80" s="13">
        <v>0</v>
      </c>
      <c r="G80" s="2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8'!G81</f>
        <v>0</v>
      </c>
      <c r="D81" s="13">
        <v>0</v>
      </c>
      <c r="E81" s="12">
        <f t="shared" si="0"/>
        <v>0</v>
      </c>
      <c r="F81" s="13">
        <v>0</v>
      </c>
      <c r="G81" s="2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8'!G82</f>
        <v>0</v>
      </c>
      <c r="D82" s="13">
        <v>0</v>
      </c>
      <c r="E82" s="12">
        <f t="shared" si="0"/>
        <v>0</v>
      </c>
      <c r="F82" s="13">
        <v>0</v>
      </c>
      <c r="G82" s="2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8'!G83</f>
        <v>0</v>
      </c>
      <c r="D83" s="13">
        <v>0</v>
      </c>
      <c r="E83" s="12">
        <f t="shared" si="0"/>
        <v>0</v>
      </c>
      <c r="F83" s="13">
        <v>0</v>
      </c>
      <c r="G83" s="2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8'!G84</f>
        <v>0</v>
      </c>
      <c r="D84" s="13">
        <v>0</v>
      </c>
      <c r="E84" s="12">
        <f t="shared" si="0"/>
        <v>0</v>
      </c>
      <c r="F84" s="13">
        <v>0</v>
      </c>
      <c r="G84" s="2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8'!G85</f>
        <v>4</v>
      </c>
      <c r="D85" s="13">
        <v>0</v>
      </c>
      <c r="E85" s="12">
        <f t="shared" si="0"/>
        <v>4</v>
      </c>
      <c r="F85" s="13">
        <v>0</v>
      </c>
      <c r="G85" s="2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8'!G86</f>
        <v>12</v>
      </c>
      <c r="D86" s="13">
        <v>0</v>
      </c>
      <c r="E86" s="12">
        <f t="shared" si="0"/>
        <v>12</v>
      </c>
      <c r="F86" s="13">
        <v>0</v>
      </c>
      <c r="G86" s="22">
        <f t="shared" si="1"/>
        <v>12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8'!G87</f>
        <v>15</v>
      </c>
      <c r="D87" s="13">
        <v>0</v>
      </c>
      <c r="E87" s="12">
        <f t="shared" si="0"/>
        <v>15</v>
      </c>
      <c r="F87" s="13">
        <v>0</v>
      </c>
      <c r="G87" s="2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8'!G88</f>
        <v>3</v>
      </c>
      <c r="D88" s="13">
        <v>0</v>
      </c>
      <c r="E88" s="12">
        <f t="shared" si="0"/>
        <v>3</v>
      </c>
      <c r="F88" s="13">
        <v>0</v>
      </c>
      <c r="G88" s="22">
        <f t="shared" si="1"/>
        <v>1</v>
      </c>
      <c r="H88" s="14">
        <v>2</v>
      </c>
      <c r="I88" s="15">
        <v>100</v>
      </c>
      <c r="J88" s="91">
        <f t="shared" si="8"/>
        <v>200</v>
      </c>
      <c r="K88" s="17" t="s">
        <v>16</v>
      </c>
      <c r="L88" s="18">
        <v>0</v>
      </c>
      <c r="M88" s="30">
        <f t="shared" si="9"/>
        <v>200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 8'!G101</f>
        <v>0</v>
      </c>
      <c r="D101" s="13">
        <v>0</v>
      </c>
      <c r="E101" s="12">
        <f t="shared" si="12"/>
        <v>0</v>
      </c>
      <c r="F101" s="13">
        <v>0</v>
      </c>
      <c r="G101" s="12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8'!G102</f>
        <v>11</v>
      </c>
      <c r="D102" s="13">
        <v>0</v>
      </c>
      <c r="E102" s="12">
        <f t="shared" si="12"/>
        <v>11</v>
      </c>
      <c r="F102" s="13">
        <v>0</v>
      </c>
      <c r="G102" s="12">
        <f t="shared" si="13"/>
        <v>10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8'!G159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8'!G168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 8'!G169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8'!G176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8'!G178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 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8'!G204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1050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100</v>
      </c>
      <c r="L209" s="2">
        <v>100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900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900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1000</v>
      </c>
    </row>
    <row r="219" spans="1:13">
      <c r="G219" s="2"/>
      <c r="I219" s="2"/>
      <c r="J219" s="2" t="s">
        <v>250</v>
      </c>
      <c r="K219" s="24">
        <f>SUM(K208:K211)</f>
        <v>100</v>
      </c>
    </row>
    <row r="220" spans="1:13">
      <c r="G220" s="2"/>
      <c r="I220" s="2"/>
      <c r="J220" s="2" t="s">
        <v>251</v>
      </c>
      <c r="K220" s="24">
        <f>+K214</f>
        <v>900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rgb="FFFFCCFF"/>
  </sheetPr>
  <dimension ref="A1:Z291"/>
  <sheetViews>
    <sheetView zoomScale="85" zoomScaleNormal="85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L212" sqref="L2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 9'!G5</f>
        <v>28</v>
      </c>
      <c r="D5" s="13">
        <v>0</v>
      </c>
      <c r="E5" s="12">
        <f t="shared" ref="E5:E94" si="0">C5+D5</f>
        <v>28</v>
      </c>
      <c r="F5" s="13">
        <v>0</v>
      </c>
      <c r="G5" s="22">
        <f t="shared" ref="G5:G94" si="1">E5-F5-H5</f>
        <v>27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8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9'!G6</f>
        <v>28</v>
      </c>
      <c r="D6" s="13">
        <v>0</v>
      </c>
      <c r="E6" s="12">
        <f t="shared" si="0"/>
        <v>28</v>
      </c>
      <c r="F6" s="13">
        <v>0</v>
      </c>
      <c r="G6" s="12">
        <f t="shared" si="1"/>
        <v>23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8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9'!G12</f>
        <v>26</v>
      </c>
      <c r="D12" s="13">
        <v>0</v>
      </c>
      <c r="E12" s="12">
        <f t="shared" si="0"/>
        <v>26</v>
      </c>
      <c r="F12" s="13">
        <v>0</v>
      </c>
      <c r="G12" s="12">
        <f t="shared" si="1"/>
        <v>24</v>
      </c>
      <c r="H12" s="14">
        <v>2</v>
      </c>
      <c r="I12" s="15">
        <v>50</v>
      </c>
      <c r="J12" s="91">
        <f t="shared" si="2"/>
        <v>100</v>
      </c>
      <c r="K12" s="17" t="s">
        <v>258</v>
      </c>
      <c r="L12" s="18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9'!G15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9'!G19</f>
        <v>22</v>
      </c>
      <c r="D19" s="13">
        <v>0</v>
      </c>
      <c r="E19" s="12">
        <f t="shared" si="0"/>
        <v>22</v>
      </c>
      <c r="F19" s="13">
        <v>0</v>
      </c>
      <c r="G19" s="12">
        <f t="shared" si="1"/>
        <v>19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9'!G23</f>
        <v>30</v>
      </c>
      <c r="D23" s="13">
        <v>0</v>
      </c>
      <c r="E23" s="12">
        <f t="shared" si="0"/>
        <v>30</v>
      </c>
      <c r="F23" s="13">
        <v>10</v>
      </c>
      <c r="G23" s="12">
        <f t="shared" si="1"/>
        <v>17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1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9'!G35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9'!G40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9'!G41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9'!G42</f>
        <v>22</v>
      </c>
      <c r="D42" s="13">
        <v>0</v>
      </c>
      <c r="E42" s="12">
        <f t="shared" si="0"/>
        <v>22</v>
      </c>
      <c r="F42" s="13">
        <v>0</v>
      </c>
      <c r="G42" s="12">
        <f t="shared" si="1"/>
        <v>20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9'!G43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6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9'!G44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9'!G46</f>
        <v>22</v>
      </c>
      <c r="D46" s="13">
        <v>0</v>
      </c>
      <c r="E46" s="12">
        <f t="shared" si="0"/>
        <v>22</v>
      </c>
      <c r="F46" s="13">
        <v>0</v>
      </c>
      <c r="G46" s="12">
        <f t="shared" si="1"/>
        <v>18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8">
        <v>0</v>
      </c>
      <c r="M46" s="30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9'!G47</f>
        <v>22</v>
      </c>
      <c r="D47" s="13">
        <v>0</v>
      </c>
      <c r="E47" s="12">
        <f t="shared" si="0"/>
        <v>22</v>
      </c>
      <c r="F47" s="13">
        <v>0</v>
      </c>
      <c r="G47" s="12">
        <f t="shared" si="1"/>
        <v>12</v>
      </c>
      <c r="H47" s="14">
        <v>10</v>
      </c>
      <c r="I47" s="15">
        <v>50</v>
      </c>
      <c r="J47" s="91">
        <f t="shared" si="2"/>
        <v>500</v>
      </c>
      <c r="K47" s="17" t="s">
        <v>260</v>
      </c>
      <c r="L47" s="18">
        <v>100</v>
      </c>
      <c r="M47" s="30">
        <f t="shared" si="4"/>
        <v>400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9'!G48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9'!G49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0</v>
      </c>
      <c r="H49" s="14">
        <v>2</v>
      </c>
      <c r="I49" s="15">
        <v>50</v>
      </c>
      <c r="J49" s="91">
        <f t="shared" si="2"/>
        <v>100</v>
      </c>
      <c r="K49" s="17" t="s">
        <v>261</v>
      </c>
      <c r="L49" s="18">
        <v>50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9'!G50</f>
        <v>6</v>
      </c>
      <c r="D50" s="13">
        <v>0</v>
      </c>
      <c r="E50" s="12">
        <f t="shared" si="0"/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9'!G53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9'!G54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9'!G55</f>
        <v>5</v>
      </c>
      <c r="D55" s="13">
        <v>0</v>
      </c>
      <c r="E55" s="12">
        <f t="shared" si="0"/>
        <v>5</v>
      </c>
      <c r="F55" s="13">
        <v>0</v>
      </c>
      <c r="G55" s="22">
        <f t="shared" si="1"/>
        <v>5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9'!G56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9'!G57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9'!G58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9'!G59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9'!G60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9'!G61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9'!G62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9'!G65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9'!G66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9'!G67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9'!G68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9'!G69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9'!G70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9'!G71</f>
        <v>2</v>
      </c>
      <c r="D71" s="13">
        <v>0</v>
      </c>
      <c r="E71" s="12">
        <f t="shared" si="0"/>
        <v>2</v>
      </c>
      <c r="F71" s="13">
        <v>0</v>
      </c>
      <c r="G71" s="22">
        <f t="shared" si="1"/>
        <v>0</v>
      </c>
      <c r="H71" s="14">
        <v>2</v>
      </c>
      <c r="I71" s="15">
        <v>60</v>
      </c>
      <c r="J71" s="91">
        <f t="shared" si="8"/>
        <v>120</v>
      </c>
      <c r="K71" s="17" t="s">
        <v>16</v>
      </c>
      <c r="L71" s="18">
        <v>0</v>
      </c>
      <c r="M71" s="30">
        <f t="shared" si="9"/>
        <v>120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9'!G73</f>
        <v>22</v>
      </c>
      <c r="D73" s="13">
        <v>0</v>
      </c>
      <c r="E73" s="12">
        <f t="shared" si="0"/>
        <v>22</v>
      </c>
      <c r="F73" s="13">
        <v>0</v>
      </c>
      <c r="G73" s="12">
        <f t="shared" si="1"/>
        <v>21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8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9'!G74</f>
        <v>27</v>
      </c>
      <c r="D74" s="13">
        <v>0</v>
      </c>
      <c r="E74" s="12">
        <f t="shared" si="0"/>
        <v>27</v>
      </c>
      <c r="F74" s="13">
        <v>0</v>
      </c>
      <c r="G74" s="22">
        <f t="shared" si="1"/>
        <v>23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8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9'!G77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9'!G79</f>
        <v>3</v>
      </c>
      <c r="D79" s="13">
        <v>0</v>
      </c>
      <c r="E79" s="12">
        <f t="shared" si="0"/>
        <v>3</v>
      </c>
      <c r="F79" s="13">
        <v>0</v>
      </c>
      <c r="G79" s="22">
        <f t="shared" si="1"/>
        <v>2</v>
      </c>
      <c r="H79" s="14">
        <v>1</v>
      </c>
      <c r="I79" s="15">
        <v>50</v>
      </c>
      <c r="J79" s="91">
        <f t="shared" si="8"/>
        <v>50</v>
      </c>
      <c r="K79" s="17" t="s">
        <v>16</v>
      </c>
      <c r="L79" s="18">
        <v>0</v>
      </c>
      <c r="M79" s="30">
        <f t="shared" si="9"/>
        <v>50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9'!G86</f>
        <v>12</v>
      </c>
      <c r="D86" s="13">
        <v>0</v>
      </c>
      <c r="E86" s="12">
        <f t="shared" si="0"/>
        <v>12</v>
      </c>
      <c r="F86" s="13">
        <v>0</v>
      </c>
      <c r="G86" s="12">
        <f t="shared" si="1"/>
        <v>10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9'!G87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8</v>
      </c>
      <c r="H87" s="14">
        <v>7</v>
      </c>
      <c r="I87" s="15">
        <v>60</v>
      </c>
      <c r="J87" s="91">
        <f t="shared" si="8"/>
        <v>420</v>
      </c>
      <c r="K87" s="17" t="s">
        <v>16</v>
      </c>
      <c r="L87" s="18">
        <v>0</v>
      </c>
      <c r="M87" s="30">
        <f t="shared" si="9"/>
        <v>420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9'!G88</f>
        <v>1</v>
      </c>
      <c r="D88" s="13">
        <v>0</v>
      </c>
      <c r="E88" s="12">
        <f t="shared" si="0"/>
        <v>1</v>
      </c>
      <c r="F88" s="13">
        <v>0</v>
      </c>
      <c r="G88" s="22">
        <f t="shared" si="1"/>
        <v>0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 9'!G101</f>
        <v>0</v>
      </c>
      <c r="D101" s="13">
        <v>20</v>
      </c>
      <c r="E101" s="12">
        <f t="shared" si="12"/>
        <v>20</v>
      </c>
      <c r="F101" s="13">
        <v>0</v>
      </c>
      <c r="G101" s="12">
        <f t="shared" si="13"/>
        <v>20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9'!G102</f>
        <v>10</v>
      </c>
      <c r="D102" s="13">
        <v>0</v>
      </c>
      <c r="E102" s="12">
        <f t="shared" si="12"/>
        <v>10</v>
      </c>
      <c r="F102" s="13">
        <v>0</v>
      </c>
      <c r="G102" s="12">
        <f t="shared" si="13"/>
        <v>9</v>
      </c>
      <c r="H102" s="14">
        <v>1</v>
      </c>
      <c r="I102" s="15">
        <v>50</v>
      </c>
      <c r="J102" s="91">
        <f t="shared" si="8"/>
        <v>50</v>
      </c>
      <c r="K102" s="17" t="s">
        <v>16</v>
      </c>
      <c r="L102" s="18">
        <v>0</v>
      </c>
      <c r="M102" s="30">
        <f t="shared" si="9"/>
        <v>50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9'!G159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9'!G168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+'วันที่  9'!G169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9'!G176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9'!G178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7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+'วันที่  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 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9'!G204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4635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6" ht="25.5">
      <c r="A209" s="1"/>
      <c r="C209" s="32"/>
      <c r="E209" s="32"/>
      <c r="G209" s="32"/>
      <c r="I209" s="35" t="s">
        <v>207</v>
      </c>
      <c r="J209" s="36"/>
      <c r="K209" s="37">
        <f>SUM(L209:BO209)</f>
        <v>630</v>
      </c>
      <c r="L209" s="2">
        <v>120</v>
      </c>
      <c r="M209" s="2">
        <v>130</v>
      </c>
      <c r="N209" s="2">
        <v>130</v>
      </c>
      <c r="O209" s="2">
        <v>200</v>
      </c>
      <c r="P209" s="2">
        <v>50</v>
      </c>
    </row>
    <row r="210" spans="1:16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6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6" ht="25.5">
      <c r="A212" s="1"/>
      <c r="C212" s="32"/>
      <c r="E212" s="32"/>
      <c r="G212" s="32"/>
      <c r="I212" s="182" t="s">
        <v>210</v>
      </c>
      <c r="J212" s="183"/>
      <c r="K212" s="38">
        <f>SUM(L5:L205)</f>
        <v>200</v>
      </c>
    </row>
    <row r="213" spans="1:16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3805</v>
      </c>
      <c r="M213" s="24"/>
    </row>
    <row r="214" spans="1:16" ht="25.5">
      <c r="A214" s="1"/>
      <c r="C214" s="32"/>
      <c r="E214" s="32"/>
      <c r="G214" s="32"/>
      <c r="I214" s="182" t="s">
        <v>212</v>
      </c>
      <c r="J214" s="183"/>
      <c r="K214" s="38">
        <v>3805</v>
      </c>
    </row>
    <row r="215" spans="1:16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6" ht="25.5">
      <c r="G216" s="2"/>
      <c r="I216" s="182" t="s">
        <v>214</v>
      </c>
      <c r="J216" s="183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4" t="s">
        <v>249</v>
      </c>
      <c r="K218" s="24">
        <f>+K207-K212+K215</f>
        <v>4435</v>
      </c>
    </row>
    <row r="219" spans="1:16">
      <c r="G219" s="2"/>
      <c r="I219" s="2"/>
      <c r="J219" s="2" t="s">
        <v>250</v>
      </c>
      <c r="K219" s="24">
        <f>SUM(K208:K211)</f>
        <v>630</v>
      </c>
    </row>
    <row r="220" spans="1:16">
      <c r="G220" s="2"/>
      <c r="I220" s="2"/>
      <c r="J220" s="2" t="s">
        <v>251</v>
      </c>
      <c r="K220" s="24">
        <f>+K214</f>
        <v>3805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rgb="FFFFCCFF"/>
  </sheetPr>
  <dimension ref="A1:Z291"/>
  <sheetViews>
    <sheetView zoomScale="85" zoomScaleNormal="85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P209" sqref="P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87" t="s">
        <v>1</v>
      </c>
      <c r="B3" s="187" t="s">
        <v>2</v>
      </c>
      <c r="C3" s="180" t="s">
        <v>3</v>
      </c>
      <c r="D3" s="180" t="s">
        <v>4</v>
      </c>
      <c r="E3" s="180" t="s">
        <v>5</v>
      </c>
      <c r="F3" s="4" t="s">
        <v>6</v>
      </c>
      <c r="G3" s="172" t="s">
        <v>7</v>
      </c>
      <c r="H3" s="167" t="s">
        <v>8</v>
      </c>
      <c r="I3" s="168"/>
      <c r="J3" s="169"/>
      <c r="K3" s="174" t="s">
        <v>9</v>
      </c>
      <c r="L3" s="176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87"/>
      <c r="B4" s="187"/>
      <c r="C4" s="181"/>
      <c r="D4" s="181"/>
      <c r="E4" s="181"/>
      <c r="F4" s="6" t="s">
        <v>11</v>
      </c>
      <c r="G4" s="173"/>
      <c r="H4" s="7" t="s">
        <v>12</v>
      </c>
      <c r="I4" s="8" t="s">
        <v>13</v>
      </c>
      <c r="J4" s="9" t="s">
        <v>14</v>
      </c>
      <c r="K4" s="171"/>
      <c r="L4" s="17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0">
        <v>1</v>
      </c>
      <c r="B5" s="11" t="s">
        <v>15</v>
      </c>
      <c r="C5" s="12">
        <f>+'วันที่  10'!G5</f>
        <v>27</v>
      </c>
      <c r="D5" s="13">
        <v>0</v>
      </c>
      <c r="E5" s="12">
        <f t="shared" ref="E5:E94" si="0">C5+D5</f>
        <v>27</v>
      </c>
      <c r="F5" s="13">
        <v>0</v>
      </c>
      <c r="G5" s="22">
        <f t="shared" ref="G5:G94" si="1">E5-F5-H5</f>
        <v>23</v>
      </c>
      <c r="H5" s="14">
        <v>4</v>
      </c>
      <c r="I5" s="15">
        <v>50</v>
      </c>
      <c r="J5" s="91">
        <f t="shared" ref="J5:J69" si="2">+I5*H5</f>
        <v>200</v>
      </c>
      <c r="K5" s="17" t="s">
        <v>258</v>
      </c>
      <c r="L5" s="18">
        <v>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+'วันที่  10'!G6</f>
        <v>23</v>
      </c>
      <c r="D6" s="13">
        <v>0</v>
      </c>
      <c r="E6" s="12">
        <f t="shared" si="0"/>
        <v>23</v>
      </c>
      <c r="F6" s="13">
        <v>0</v>
      </c>
      <c r="G6" s="12">
        <f t="shared" si="1"/>
        <v>19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+'วันที่  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+'วันที่  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+'วันที่  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+'วันที่  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+'วันที่  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+'วันที่  10'!G12</f>
        <v>24</v>
      </c>
      <c r="D12" s="13">
        <v>0</v>
      </c>
      <c r="E12" s="12">
        <f t="shared" si="0"/>
        <v>24</v>
      </c>
      <c r="F12" s="13">
        <v>0</v>
      </c>
      <c r="G12" s="12">
        <f t="shared" si="1"/>
        <v>10</v>
      </c>
      <c r="H12" s="14">
        <v>14</v>
      </c>
      <c r="I12" s="15">
        <v>50</v>
      </c>
      <c r="J12" s="91">
        <f t="shared" si="2"/>
        <v>700</v>
      </c>
      <c r="K12" s="17" t="s">
        <v>262</v>
      </c>
      <c r="L12" s="18">
        <v>300</v>
      </c>
      <c r="M12" s="30">
        <f t="shared" si="4"/>
        <v>400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+'วันที่  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+'วันที่  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-3</v>
      </c>
      <c r="H14" s="14">
        <v>4</v>
      </c>
      <c r="I14" s="15">
        <v>65</v>
      </c>
      <c r="J14" s="91">
        <f t="shared" si="2"/>
        <v>260</v>
      </c>
      <c r="K14" s="17" t="s">
        <v>16</v>
      </c>
      <c r="L14" s="18">
        <v>0</v>
      </c>
      <c r="M14" s="30">
        <f t="shared" si="4"/>
        <v>260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+'วันที่  10'!G15</f>
        <v>3</v>
      </c>
      <c r="D15" s="13">
        <v>0</v>
      </c>
      <c r="E15" s="82">
        <f t="shared" si="0"/>
        <v>3</v>
      </c>
      <c r="F15" s="13">
        <v>0</v>
      </c>
      <c r="G15" s="82">
        <f t="shared" si="1"/>
        <v>0</v>
      </c>
      <c r="H15" s="14">
        <v>3</v>
      </c>
      <c r="I15" s="15">
        <v>50</v>
      </c>
      <c r="J15" s="91">
        <f t="shared" si="2"/>
        <v>150</v>
      </c>
      <c r="K15" s="17" t="s">
        <v>16</v>
      </c>
      <c r="L15" s="18">
        <v>0</v>
      </c>
      <c r="M15" s="30">
        <f t="shared" si="4"/>
        <v>150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+'วันที่  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+'วันที่  10'!G17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2</v>
      </c>
      <c r="H17" s="14">
        <v>4</v>
      </c>
      <c r="I17" s="15">
        <v>50</v>
      </c>
      <c r="J17" s="91">
        <f t="shared" si="2"/>
        <v>200</v>
      </c>
      <c r="K17" s="17" t="s">
        <v>16</v>
      </c>
      <c r="L17" s="18">
        <v>0</v>
      </c>
      <c r="M17" s="30">
        <f t="shared" si="4"/>
        <v>200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+'วันที่  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+'วันที่  10'!G19</f>
        <v>19</v>
      </c>
      <c r="D19" s="13">
        <v>0</v>
      </c>
      <c r="E19" s="12">
        <f t="shared" si="0"/>
        <v>19</v>
      </c>
      <c r="F19" s="13">
        <v>0</v>
      </c>
      <c r="G19" s="12">
        <f t="shared" si="1"/>
        <v>16</v>
      </c>
      <c r="H19" s="14">
        <v>3</v>
      </c>
      <c r="I19" s="15">
        <v>50</v>
      </c>
      <c r="J19" s="91">
        <f t="shared" si="2"/>
        <v>150</v>
      </c>
      <c r="K19" s="17" t="s">
        <v>16</v>
      </c>
      <c r="L19" s="18">
        <v>0</v>
      </c>
      <c r="M19" s="30">
        <f t="shared" si="4"/>
        <v>150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+'วันที่  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+'วันที่  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+'วันที่  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+'วันที่  10'!G23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8</v>
      </c>
      <c r="H23" s="14">
        <v>9</v>
      </c>
      <c r="I23" s="15">
        <v>100</v>
      </c>
      <c r="J23" s="91">
        <f t="shared" si="2"/>
        <v>900</v>
      </c>
      <c r="K23" s="17" t="s">
        <v>16</v>
      </c>
      <c r="L23" s="18">
        <v>0</v>
      </c>
      <c r="M23" s="30">
        <f t="shared" si="4"/>
        <v>900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+'วันที่  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+'วันที่ 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+'วันที่ 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+'วันที่ 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+'วันที่ 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+'วันที่  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+'วันที่ 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+'วันที่  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+'วันที่  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+'วันที่  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+'วันที่  10'!G34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+'วันที่  10'!G35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2</v>
      </c>
      <c r="H35" s="14">
        <v>6</v>
      </c>
      <c r="I35" s="15">
        <v>130</v>
      </c>
      <c r="J35" s="91">
        <f t="shared" si="2"/>
        <v>780</v>
      </c>
      <c r="K35" s="17" t="s">
        <v>16</v>
      </c>
      <c r="L35" s="18">
        <v>0</v>
      </c>
      <c r="M35" s="30">
        <f t="shared" si="4"/>
        <v>780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+'วันที่  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+'วันที่  10'!G37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2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8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+'วันที่  10'!G38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1</v>
      </c>
      <c r="H38" s="14">
        <v>4</v>
      </c>
      <c r="I38" s="15">
        <v>50</v>
      </c>
      <c r="J38" s="91">
        <f t="shared" si="2"/>
        <v>200</v>
      </c>
      <c r="K38" s="17" t="s">
        <v>16</v>
      </c>
      <c r="L38" s="18">
        <v>0</v>
      </c>
      <c r="M38" s="30">
        <f t="shared" si="4"/>
        <v>200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+'วันที่  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+'วันที่  10'!G40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1</v>
      </c>
      <c r="H40" s="14">
        <v>2</v>
      </c>
      <c r="I40" s="15">
        <v>50</v>
      </c>
      <c r="J40" s="91">
        <f t="shared" si="2"/>
        <v>100</v>
      </c>
      <c r="K40" s="17" t="s">
        <v>263</v>
      </c>
      <c r="L40" s="18">
        <v>25</v>
      </c>
      <c r="M40" s="30">
        <f t="shared" si="4"/>
        <v>75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+'วันที่  10'!G41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4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8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+'วันที่  10'!G42</f>
        <v>20</v>
      </c>
      <c r="D42" s="13">
        <v>0</v>
      </c>
      <c r="E42" s="12">
        <f t="shared" si="0"/>
        <v>20</v>
      </c>
      <c r="F42" s="13">
        <v>0</v>
      </c>
      <c r="G42" s="12">
        <f t="shared" si="1"/>
        <v>16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+'วันที่  10'!G43</f>
        <v>6</v>
      </c>
      <c r="D43" s="13">
        <v>0</v>
      </c>
      <c r="E43" s="12">
        <f t="shared" si="0"/>
        <v>6</v>
      </c>
      <c r="F43" s="13">
        <v>0</v>
      </c>
      <c r="G43" s="12">
        <f t="shared" si="1"/>
        <v>4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8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+'วันที่  10'!G44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7</v>
      </c>
      <c r="H44" s="14">
        <v>4</v>
      </c>
      <c r="I44" s="15">
        <v>50</v>
      </c>
      <c r="J44" s="91">
        <f t="shared" si="2"/>
        <v>200</v>
      </c>
      <c r="K44" s="17" t="s">
        <v>16</v>
      </c>
      <c r="L44" s="18">
        <v>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+'วันที่  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+'วันที่  10'!G46</f>
        <v>18</v>
      </c>
      <c r="D46" s="13">
        <v>0</v>
      </c>
      <c r="E46" s="12">
        <f t="shared" si="0"/>
        <v>18</v>
      </c>
      <c r="F46" s="13">
        <v>0</v>
      </c>
      <c r="G46" s="12">
        <f t="shared" si="1"/>
        <v>16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+'วันที่  10'!G47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7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8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+'วันที่  10'!G48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+'วันที่  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+'วันที่  10'!G50</f>
        <v>6</v>
      </c>
      <c r="D50" s="13">
        <v>0</v>
      </c>
      <c r="E50" s="12">
        <f t="shared" si="0"/>
        <v>6</v>
      </c>
      <c r="F50" s="13">
        <v>0</v>
      </c>
      <c r="G50" s="12">
        <f t="shared" si="1"/>
        <v>4</v>
      </c>
      <c r="H50" s="14">
        <v>2</v>
      </c>
      <c r="I50" s="15">
        <v>120</v>
      </c>
      <c r="J50" s="91">
        <f t="shared" si="2"/>
        <v>240</v>
      </c>
      <c r="K50" s="17" t="s">
        <v>259</v>
      </c>
      <c r="L50" s="18">
        <v>70</v>
      </c>
      <c r="M50" s="30">
        <f t="shared" si="4"/>
        <v>170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+'วันที่  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+'วันที่  10'!G52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+'วันที่  10'!G53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+'วันที่  10'!G54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+'วันที่  10'!G55</f>
        <v>5</v>
      </c>
      <c r="D55" s="13">
        <v>0</v>
      </c>
      <c r="E55" s="12">
        <f t="shared" si="0"/>
        <v>5</v>
      </c>
      <c r="F55" s="13">
        <v>0</v>
      </c>
      <c r="G55" s="22">
        <f t="shared" si="1"/>
        <v>1</v>
      </c>
      <c r="H55" s="14">
        <v>4</v>
      </c>
      <c r="I55" s="15">
        <v>120</v>
      </c>
      <c r="J55" s="91">
        <f t="shared" si="2"/>
        <v>480</v>
      </c>
      <c r="K55" s="17" t="s">
        <v>259</v>
      </c>
      <c r="L55" s="18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+'วันที่  10'!G56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+'วันที่  10'!G57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+'วันที่  10'!G58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+'วันที่  10'!G59</f>
        <v>4</v>
      </c>
      <c r="D59" s="13">
        <v>0</v>
      </c>
      <c r="E59" s="12">
        <f t="shared" si="0"/>
        <v>4</v>
      </c>
      <c r="F59" s="13">
        <v>0</v>
      </c>
      <c r="G59" s="22">
        <f t="shared" si="1"/>
        <v>1</v>
      </c>
      <c r="H59" s="14">
        <v>3</v>
      </c>
      <c r="I59" s="15">
        <v>70</v>
      </c>
      <c r="J59" s="91">
        <f t="shared" si="2"/>
        <v>210</v>
      </c>
      <c r="K59" s="17" t="s">
        <v>16</v>
      </c>
      <c r="L59" s="18">
        <v>0</v>
      </c>
      <c r="M59" s="30">
        <f t="shared" si="4"/>
        <v>210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+'วันที่  10'!G60</f>
        <v>4</v>
      </c>
      <c r="D60" s="13">
        <v>0</v>
      </c>
      <c r="E60" s="12">
        <f t="shared" si="0"/>
        <v>4</v>
      </c>
      <c r="F60" s="13">
        <v>0</v>
      </c>
      <c r="G60" s="22">
        <f t="shared" si="1"/>
        <v>1</v>
      </c>
      <c r="H60" s="14">
        <v>3</v>
      </c>
      <c r="I60" s="15">
        <v>80</v>
      </c>
      <c r="J60" s="91">
        <f t="shared" si="2"/>
        <v>240</v>
      </c>
      <c r="K60" s="17" t="s">
        <v>16</v>
      </c>
      <c r="L60" s="18">
        <v>0</v>
      </c>
      <c r="M60" s="30">
        <f t="shared" si="4"/>
        <v>240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+'วันที่  10'!G61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+'วันที่  10'!G62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+'วันที่  10'!G63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+'วันที่  10'!G64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+'วันที่  10'!G65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+'วันที่  10'!G66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+'วันที่  10'!G67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+'วันที่  10'!G68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+'วันที่  10'!G69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+'วันที่  10'!G70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+'วันที่  10'!G71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+'วันที่  10'!G72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+'วันที่  10'!G73</f>
        <v>21</v>
      </c>
      <c r="D73" s="13">
        <v>0</v>
      </c>
      <c r="E73" s="12">
        <f t="shared" si="0"/>
        <v>21</v>
      </c>
      <c r="F73" s="13">
        <v>0</v>
      </c>
      <c r="G73" s="22">
        <f t="shared" si="1"/>
        <v>19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+'วันที่  10'!G74</f>
        <v>23</v>
      </c>
      <c r="D74" s="13">
        <v>0</v>
      </c>
      <c r="E74" s="12">
        <f t="shared" si="0"/>
        <v>23</v>
      </c>
      <c r="F74" s="13">
        <v>0</v>
      </c>
      <c r="G74" s="22">
        <f t="shared" si="1"/>
        <v>14</v>
      </c>
      <c r="H74" s="14">
        <v>9</v>
      </c>
      <c r="I74" s="15">
        <v>120</v>
      </c>
      <c r="J74" s="91">
        <f t="shared" si="8"/>
        <v>1080</v>
      </c>
      <c r="K74" s="17" t="s">
        <v>16</v>
      </c>
      <c r="L74" s="18">
        <v>0</v>
      </c>
      <c r="M74" s="30">
        <f t="shared" si="9"/>
        <v>1080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+'วันที่  10'!G75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+'วันที่  10'!G76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+'วันที่  10'!G77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2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+'วันที่  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+'วันที่  10'!G79</f>
        <v>2</v>
      </c>
      <c r="D79" s="13">
        <v>0</v>
      </c>
      <c r="E79" s="12">
        <f t="shared" si="0"/>
        <v>2</v>
      </c>
      <c r="F79" s="13">
        <v>0</v>
      </c>
      <c r="G79" s="22">
        <f t="shared" si="1"/>
        <v>0</v>
      </c>
      <c r="H79" s="14">
        <v>2</v>
      </c>
      <c r="I79" s="15">
        <v>50</v>
      </c>
      <c r="J79" s="91">
        <f t="shared" si="8"/>
        <v>100</v>
      </c>
      <c r="K79" s="17" t="s">
        <v>16</v>
      </c>
      <c r="L79" s="18">
        <v>0</v>
      </c>
      <c r="M79" s="30">
        <f t="shared" si="9"/>
        <v>100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+'วันที่  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+'วันที่  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+'วันที่  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+'วันที่  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+'วันที่  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+'วันที่  10'!G85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8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+'วันที่  10'!G86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+'วันที่  10'!G87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+'วันที่  10'!G88</f>
        <v>0</v>
      </c>
      <c r="D88" s="13">
        <v>0</v>
      </c>
      <c r="E88" s="12">
        <f t="shared" si="0"/>
        <v>0</v>
      </c>
      <c r="F88" s="13">
        <v>0</v>
      </c>
      <c r="G88" s="22">
        <f t="shared" si="1"/>
        <v>0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+'วันที่  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+'วันที่  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+'วันที่  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+'วันที่  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+'วันที่  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+'วันที่  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+'วันที่  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+'วันที่  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+'วันที่  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+'วันที่  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+'วันที่  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+'วันที่  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218</v>
      </c>
      <c r="C101" s="12">
        <f>+'วันที่  10'!G101</f>
        <v>20</v>
      </c>
      <c r="D101" s="13">
        <v>0</v>
      </c>
      <c r="E101" s="12">
        <f t="shared" si="12"/>
        <v>20</v>
      </c>
      <c r="F101" s="13">
        <v>0</v>
      </c>
      <c r="G101" s="12">
        <f t="shared" si="13"/>
        <v>17</v>
      </c>
      <c r="H101" s="14">
        <v>3</v>
      </c>
      <c r="I101" s="15">
        <v>55</v>
      </c>
      <c r="J101" s="91">
        <f t="shared" si="8"/>
        <v>165</v>
      </c>
      <c r="K101" s="17" t="s">
        <v>16</v>
      </c>
      <c r="L101" s="18">
        <v>0</v>
      </c>
      <c r="M101" s="30">
        <f t="shared" si="9"/>
        <v>165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+'วันที่  10'!G102</f>
        <v>9</v>
      </c>
      <c r="D102" s="13">
        <v>0</v>
      </c>
      <c r="E102" s="12">
        <f t="shared" si="12"/>
        <v>9</v>
      </c>
      <c r="F102" s="13">
        <v>0</v>
      </c>
      <c r="G102" s="12">
        <f t="shared" si="13"/>
        <v>7</v>
      </c>
      <c r="H102" s="14">
        <v>2</v>
      </c>
      <c r="I102" s="15">
        <v>50</v>
      </c>
      <c r="J102" s="91">
        <f t="shared" si="8"/>
        <v>100</v>
      </c>
      <c r="K102" s="17" t="s">
        <v>16</v>
      </c>
      <c r="L102" s="18">
        <v>0</v>
      </c>
      <c r="M102" s="30">
        <f t="shared" si="9"/>
        <v>100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+'วันที่  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+'วันที่  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+'วันที่  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+'วันที่  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+'วันที่  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+'วันที่  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+'วันที่  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+'วันที่  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+'วันที่  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+'วันที่  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+'วันที่  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+'วันที่  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+'วันที่  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+'วันที่  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+'วันที่  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+'วันที่  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+'วันที่  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+'วันที่  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+'วันที่  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+'วันที่  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+'วันที่  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+'วันที่  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+'วันที่  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+'วันที่  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+'วันที่  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+'วันที่  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+'วันที่  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+'วันที่  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+'วันที่  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+'วันที่  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+'วันที่  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+'วันที่  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+'วันที่  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+'วันที่  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+'วันที่  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+'วันที่  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+'วันที่  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+'วันที่  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+'วันที่  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+'วันที่  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+'วันที่  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+'วันที่  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+'วันที่  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+'วันที่  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+'วันที่  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+'วันที่  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+'วันที่  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+'วันที่  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+'วันที่  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+'วันที่  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+'วันที่  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+'วันที่  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+'วันที่  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+'วันที่  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+'วันที่  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+'วันที่  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+'วันที่  10'!G159</f>
        <v>0</v>
      </c>
      <c r="D159" s="13">
        <v>0</v>
      </c>
      <c r="E159" s="12">
        <f t="shared" ref="E159:E204" si="16">C159+D159</f>
        <v>0</v>
      </c>
      <c r="F159" s="13">
        <v>0</v>
      </c>
      <c r="G159" s="12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+'วันที่  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+'วันที่  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+'วันที่  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+'วันที่  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+'วันที่  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+'วันที่  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+'วันที่  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+'วันที่  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+'วันที่  10'!G168</f>
        <v>36</v>
      </c>
      <c r="D168" s="13">
        <v>0</v>
      </c>
      <c r="E168" s="12">
        <f t="shared" si="16"/>
        <v>36</v>
      </c>
      <c r="F168" s="13">
        <v>0</v>
      </c>
      <c r="G168" s="12">
        <f t="shared" si="17"/>
        <v>35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8">
        <v>0</v>
      </c>
      <c r="M168" s="30">
        <f t="shared" si="15"/>
        <v>55</v>
      </c>
    </row>
    <row r="169" spans="1:13" ht="25.5">
      <c r="A169" s="10">
        <v>165</v>
      </c>
      <c r="B169" s="19" t="s">
        <v>180</v>
      </c>
      <c r="C169" s="12">
        <f>+'วันที่  10'!G169</f>
        <v>18</v>
      </c>
      <c r="D169" s="13">
        <v>0</v>
      </c>
      <c r="E169" s="12">
        <f t="shared" si="16"/>
        <v>18</v>
      </c>
      <c r="F169" s="13">
        <v>0</v>
      </c>
      <c r="G169" s="12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+'วันที่  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+'วันที่  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+'วันที่  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+'วันที่  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+'วันที่  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+'วันที่  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+'วันที่  10'!G176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+'วันที่  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+'วันที่  10'!G178</f>
        <v>7</v>
      </c>
      <c r="D178" s="13">
        <v>0</v>
      </c>
      <c r="E178" s="22">
        <f t="shared" si="16"/>
        <v>7</v>
      </c>
      <c r="F178" s="13">
        <v>0</v>
      </c>
      <c r="G178" s="22">
        <f t="shared" si="17"/>
        <v>5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>
      <c r="A179" s="10">
        <v>175</v>
      </c>
      <c r="B179" s="19" t="s">
        <v>190</v>
      </c>
      <c r="C179" s="12">
        <f>+'วันที่  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+'วันที่  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+'วันที่  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+'วันที่  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+'วันที่  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+'วันที่  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+'วันที่  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+'วันที่  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+'วันที่  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+'วันที่  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+'วันที่  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+'วันที่  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+'วันที่  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+'วันที่  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+'วันที่  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246</v>
      </c>
      <c r="C194" s="12">
        <f>+'วันที่  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/>
      <c r="C195" s="12">
        <f>+'วันที่  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/>
      <c r="C196" s="12">
        <f>+'วันที่  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/>
      <c r="C197" s="12">
        <f>+'วันที่  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/>
      <c r="C198" s="12">
        <f>+'วันที่  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8">
        <v>0</v>
      </c>
      <c r="M198" s="30">
        <f t="shared" ref="M198:M204" si="19">+J198-L198</f>
        <v>0</v>
      </c>
    </row>
    <row r="199" spans="1:26" ht="25.5">
      <c r="A199" s="10">
        <v>195</v>
      </c>
      <c r="B199" s="19"/>
      <c r="C199" s="12">
        <f>+'วันที่  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/>
      <c r="C200" s="12">
        <f>+'วันที่  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/>
      <c r="C201" s="12">
        <f>+'วันที่  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/>
      <c r="C202" s="12">
        <f>+'วันที่  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/>
      <c r="C203" s="12">
        <f>+'วันที่  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+'วันที่  10'!G204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8805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5" ht="25.5">
      <c r="A209" s="1"/>
      <c r="C209" s="32"/>
      <c r="E209" s="32"/>
      <c r="G209" s="32"/>
      <c r="I209" s="35" t="s">
        <v>207</v>
      </c>
      <c r="J209" s="36"/>
      <c r="K209" s="37">
        <f>SUM(L209:BO209)</f>
        <v>885</v>
      </c>
      <c r="L209" s="2">
        <v>105</v>
      </c>
      <c r="M209" s="2">
        <v>560</v>
      </c>
      <c r="N209" s="2">
        <v>120</v>
      </c>
      <c r="O209" s="2">
        <v>100</v>
      </c>
    </row>
    <row r="210" spans="1:15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5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5" ht="25.5">
      <c r="A212" s="1"/>
      <c r="C212" s="32"/>
      <c r="E212" s="32"/>
      <c r="G212" s="32"/>
      <c r="I212" s="182" t="s">
        <v>210</v>
      </c>
      <c r="J212" s="183"/>
      <c r="K212" s="38">
        <f>SUM(L5:L205)</f>
        <v>585</v>
      </c>
    </row>
    <row r="213" spans="1:15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7335</v>
      </c>
      <c r="M213" s="24"/>
    </row>
    <row r="214" spans="1:15" ht="25.5">
      <c r="A214" s="1"/>
      <c r="C214" s="32"/>
      <c r="E214" s="32"/>
      <c r="G214" s="32"/>
      <c r="I214" s="182" t="s">
        <v>212</v>
      </c>
      <c r="J214" s="183"/>
      <c r="K214" s="38">
        <v>7335</v>
      </c>
    </row>
    <row r="215" spans="1:15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5" ht="25.5">
      <c r="G216" s="2"/>
      <c r="I216" s="182" t="s">
        <v>214</v>
      </c>
      <c r="J216" s="183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94" t="s">
        <v>249</v>
      </c>
      <c r="K218" s="24">
        <f>+K207-K212+K215</f>
        <v>8220</v>
      </c>
    </row>
    <row r="219" spans="1:15">
      <c r="G219" s="2"/>
      <c r="I219" s="2"/>
      <c r="J219" s="2" t="s">
        <v>250</v>
      </c>
      <c r="K219" s="24">
        <f>SUM(K208:K211)</f>
        <v>885</v>
      </c>
    </row>
    <row r="220" spans="1:15">
      <c r="G220" s="2"/>
      <c r="I220" s="2"/>
      <c r="J220" s="2" t="s">
        <v>251</v>
      </c>
      <c r="K220" s="24">
        <f>+K214</f>
        <v>7335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rgb="FFFFCCFF"/>
  </sheetPr>
  <dimension ref="A1:Z291"/>
  <sheetViews>
    <sheetView zoomScale="90" zoomScaleNormal="90" workbookViewId="0">
      <pane xSplit="5" ySplit="4" topLeftCell="F36" activePane="bottomRight" state="frozen"/>
      <selection activeCell="G29" sqref="G29"/>
      <selection pane="topRight" activeCell="G29" sqref="G29"/>
      <selection pane="bottomLeft" activeCell="G29" sqref="G29"/>
      <selection pane="bottomRight" activeCell="B195" sqref="B19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 11'!G5</f>
        <v>23</v>
      </c>
      <c r="D5" s="110">
        <v>0</v>
      </c>
      <c r="E5" s="92">
        <f t="shared" ref="E5:E94" si="0">C5+D5</f>
        <v>23</v>
      </c>
      <c r="F5" s="97">
        <v>0</v>
      </c>
      <c r="G5" s="98">
        <f t="shared" ref="G5:G94" si="1">E5-F5-H5</f>
        <v>18</v>
      </c>
      <c r="H5" s="14">
        <v>5</v>
      </c>
      <c r="I5" s="15">
        <v>50</v>
      </c>
      <c r="J5" s="91">
        <f t="shared" ref="J5:J69" si="2">+I5*H5</f>
        <v>250</v>
      </c>
      <c r="K5" s="17" t="s">
        <v>258</v>
      </c>
      <c r="L5" s="112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1">
        <v>2</v>
      </c>
      <c r="B6" s="11" t="s">
        <v>17</v>
      </c>
      <c r="C6" s="105">
        <f>+'วันที่  11'!G6</f>
        <v>19</v>
      </c>
      <c r="D6" s="110">
        <v>10</v>
      </c>
      <c r="E6" s="92">
        <f t="shared" si="0"/>
        <v>29</v>
      </c>
      <c r="F6" s="97">
        <v>0</v>
      </c>
      <c r="G6" s="99">
        <f t="shared" si="1"/>
        <v>19</v>
      </c>
      <c r="H6" s="14">
        <v>10</v>
      </c>
      <c r="I6" s="15">
        <v>100</v>
      </c>
      <c r="J6" s="91">
        <f t="shared" si="2"/>
        <v>1000</v>
      </c>
      <c r="K6" s="17" t="s">
        <v>16</v>
      </c>
      <c r="L6" s="112">
        <v>0</v>
      </c>
      <c r="M6" s="30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1">
        <v>3</v>
      </c>
      <c r="B7" s="11" t="s">
        <v>18</v>
      </c>
      <c r="C7" s="105">
        <f>+'วันที่  11'!G7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 11'!G8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 11'!G9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 11'!G10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 11'!G11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 11'!G12</f>
        <v>10</v>
      </c>
      <c r="D12" s="110">
        <v>0</v>
      </c>
      <c r="E12" s="92">
        <f t="shared" si="0"/>
        <v>10</v>
      </c>
      <c r="F12" s="97">
        <v>0</v>
      </c>
      <c r="G12" s="99">
        <f t="shared" si="1"/>
        <v>8</v>
      </c>
      <c r="H12" s="14">
        <v>2</v>
      </c>
      <c r="I12" s="15">
        <v>50</v>
      </c>
      <c r="J12" s="91">
        <f t="shared" si="2"/>
        <v>100</v>
      </c>
      <c r="K12" s="17" t="s">
        <v>258</v>
      </c>
      <c r="L12" s="112">
        <v>50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 11'!G13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 11'!G14</f>
        <v>-3</v>
      </c>
      <c r="D14" s="110">
        <v>2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 11'!G15</f>
        <v>0</v>
      </c>
      <c r="D15" s="110">
        <v>0</v>
      </c>
      <c r="E15" s="107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 11'!G16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 11'!G17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 11'!G18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 11'!G19</f>
        <v>16</v>
      </c>
      <c r="D19" s="110">
        <v>0</v>
      </c>
      <c r="E19" s="92">
        <f t="shared" si="0"/>
        <v>16</v>
      </c>
      <c r="F19" s="97">
        <v>0</v>
      </c>
      <c r="G19" s="99">
        <f t="shared" si="1"/>
        <v>14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2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 11'!G20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 11'!G21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 11'!G22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 11'!G23</f>
        <v>8</v>
      </c>
      <c r="D23" s="110">
        <v>10</v>
      </c>
      <c r="E23" s="92">
        <f t="shared" si="0"/>
        <v>18</v>
      </c>
      <c r="F23" s="97">
        <v>0</v>
      </c>
      <c r="G23" s="99">
        <f t="shared" si="1"/>
        <v>16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 11'!G24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 11'!G25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 11'!G26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 11'!G27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 11'!G28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 11'!G29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 11'!G30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 11'!G31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 11'!G32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 11'!G33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 11'!G34</f>
        <v>0</v>
      </c>
      <c r="D34" s="110">
        <v>3</v>
      </c>
      <c r="E34" s="92">
        <f t="shared" si="0"/>
        <v>3</v>
      </c>
      <c r="F34" s="97">
        <v>0</v>
      </c>
      <c r="G34" s="98">
        <f t="shared" si="1"/>
        <v>3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 11'!G35</f>
        <v>2</v>
      </c>
      <c r="D35" s="110">
        <v>3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 11'!G36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 11'!G37</f>
        <v>2</v>
      </c>
      <c r="D37" s="110">
        <v>5</v>
      </c>
      <c r="E37" s="92">
        <f t="shared" si="0"/>
        <v>7</v>
      </c>
      <c r="F37" s="97">
        <v>0</v>
      </c>
      <c r="G37" s="99">
        <f t="shared" si="1"/>
        <v>6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2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 11'!G38</f>
        <v>1</v>
      </c>
      <c r="D38" s="110">
        <v>0</v>
      </c>
      <c r="E38" s="92">
        <f t="shared" si="0"/>
        <v>1</v>
      </c>
      <c r="F38" s="97">
        <v>0</v>
      </c>
      <c r="G38" s="99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 11'!G39</f>
        <v>0</v>
      </c>
      <c r="D39" s="110">
        <v>2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 11'!G40</f>
        <v>1</v>
      </c>
      <c r="D40" s="110">
        <v>0</v>
      </c>
      <c r="E40" s="92">
        <f t="shared" si="0"/>
        <v>1</v>
      </c>
      <c r="F40" s="97">
        <v>0</v>
      </c>
      <c r="G40" s="99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 11'!G41</f>
        <v>4</v>
      </c>
      <c r="D41" s="110">
        <v>5</v>
      </c>
      <c r="E41" s="92">
        <f t="shared" si="0"/>
        <v>9</v>
      </c>
      <c r="F41" s="97">
        <v>1</v>
      </c>
      <c r="G41" s="99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 11'!G42</f>
        <v>16</v>
      </c>
      <c r="D42" s="110">
        <v>0</v>
      </c>
      <c r="E42" s="92">
        <f t="shared" si="0"/>
        <v>16</v>
      </c>
      <c r="F42" s="97">
        <v>6</v>
      </c>
      <c r="G42" s="99">
        <f t="shared" si="1"/>
        <v>9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 11'!G43</f>
        <v>4</v>
      </c>
      <c r="D43" s="110">
        <v>0</v>
      </c>
      <c r="E43" s="92">
        <f t="shared" si="0"/>
        <v>4</v>
      </c>
      <c r="F43" s="97">
        <v>0</v>
      </c>
      <c r="G43" s="99">
        <f t="shared" si="1"/>
        <v>3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 11'!G44</f>
        <v>7</v>
      </c>
      <c r="D44" s="110">
        <v>0</v>
      </c>
      <c r="E44" s="92">
        <f t="shared" si="0"/>
        <v>7</v>
      </c>
      <c r="F44" s="97">
        <v>0</v>
      </c>
      <c r="G44" s="99">
        <f t="shared" si="1"/>
        <v>6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 11'!G45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 11'!G46</f>
        <v>16</v>
      </c>
      <c r="D46" s="110">
        <v>0</v>
      </c>
      <c r="E46" s="92">
        <f t="shared" si="0"/>
        <v>16</v>
      </c>
      <c r="F46" s="97">
        <v>0</v>
      </c>
      <c r="G46" s="99">
        <f t="shared" si="1"/>
        <v>16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 11'!G47</f>
        <v>7</v>
      </c>
      <c r="D47" s="110">
        <v>10</v>
      </c>
      <c r="E47" s="92">
        <f t="shared" si="0"/>
        <v>17</v>
      </c>
      <c r="F47" s="97">
        <v>0</v>
      </c>
      <c r="G47" s="99">
        <f t="shared" si="1"/>
        <v>12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12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 11'!G48</f>
        <v>4</v>
      </c>
      <c r="D48" s="110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 11'!G49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 11'!G50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 11'!G51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 11'!G52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 11'!G53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 11'!G54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 11'!G55</f>
        <v>1</v>
      </c>
      <c r="D55" s="110">
        <v>3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 11'!G56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 11'!G57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 11'!G58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 11'!G59</f>
        <v>1</v>
      </c>
      <c r="D59" s="110">
        <v>0</v>
      </c>
      <c r="E59" s="92">
        <f t="shared" si="0"/>
        <v>1</v>
      </c>
      <c r="F59" s="97">
        <v>0</v>
      </c>
      <c r="G59" s="98">
        <f t="shared" si="1"/>
        <v>1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 11'!G60</f>
        <v>1</v>
      </c>
      <c r="D60" s="110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 11'!G61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 11'!G62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 11'!G63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 11'!G64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 11'!G65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 11'!G66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 11'!G67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 11'!G68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 11'!G69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 11'!G70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 11'!G71</f>
        <v>0</v>
      </c>
      <c r="D71" s="110">
        <v>2</v>
      </c>
      <c r="E71" s="92">
        <f t="shared" si="0"/>
        <v>2</v>
      </c>
      <c r="F71" s="97">
        <v>0</v>
      </c>
      <c r="G71" s="98">
        <f t="shared" si="1"/>
        <v>2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 11'!G72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 11'!G73</f>
        <v>19</v>
      </c>
      <c r="D73" s="110">
        <v>0</v>
      </c>
      <c r="E73" s="92">
        <f t="shared" si="0"/>
        <v>19</v>
      </c>
      <c r="F73" s="97">
        <v>0</v>
      </c>
      <c r="G73" s="98">
        <f t="shared" si="1"/>
        <v>17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2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 11'!G74</f>
        <v>14</v>
      </c>
      <c r="D74" s="110">
        <v>0</v>
      </c>
      <c r="E74" s="92">
        <f t="shared" si="0"/>
        <v>14</v>
      </c>
      <c r="F74" s="97">
        <v>0</v>
      </c>
      <c r="G74" s="98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 11'!G75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 11'!G76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 11'!G77</f>
        <v>2</v>
      </c>
      <c r="D77" s="110">
        <v>3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 11'!G78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 11'!G79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 11'!G80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 11'!G81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 11'!G82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 11'!G83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 11'!G84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 11'!G85</f>
        <v>4</v>
      </c>
      <c r="D85" s="110">
        <v>0</v>
      </c>
      <c r="E85" s="92">
        <f t="shared" si="0"/>
        <v>4</v>
      </c>
      <c r="F85" s="97">
        <v>0</v>
      </c>
      <c r="G85" s="98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 11'!G86</f>
        <v>9</v>
      </c>
      <c r="D86" s="110">
        <v>0</v>
      </c>
      <c r="E86" s="92">
        <f t="shared" si="0"/>
        <v>9</v>
      </c>
      <c r="F86" s="97">
        <v>0</v>
      </c>
      <c r="G86" s="98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 11'!G87</f>
        <v>8</v>
      </c>
      <c r="D87" s="110">
        <v>10</v>
      </c>
      <c r="E87" s="92">
        <f t="shared" si="0"/>
        <v>18</v>
      </c>
      <c r="F87" s="97">
        <v>0</v>
      </c>
      <c r="G87" s="98">
        <f t="shared" si="1"/>
        <v>17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2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 11'!G88</f>
        <v>0</v>
      </c>
      <c r="D88" s="110">
        <v>5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 11'!G89</f>
        <v>0</v>
      </c>
      <c r="D89" s="110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 11'!G90</f>
        <v>0</v>
      </c>
      <c r="D90" s="110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 11'!G91</f>
        <v>0</v>
      </c>
      <c r="D91" s="110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 11'!G92</f>
        <v>0</v>
      </c>
      <c r="D92" s="110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 11'!G93</f>
        <v>0</v>
      </c>
      <c r="D93" s="110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 11'!G94</f>
        <v>0</v>
      </c>
      <c r="D94" s="110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 11'!G95</f>
        <v>0</v>
      </c>
      <c r="D95" s="110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 11'!G96</f>
        <v>0</v>
      </c>
      <c r="D96" s="110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 11'!G97</f>
        <v>0</v>
      </c>
      <c r="D97" s="110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 11'!G98</f>
        <v>0</v>
      </c>
      <c r="D98" s="110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 11'!G99</f>
        <v>0</v>
      </c>
      <c r="D99" s="110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 11'!G100</f>
        <v>0</v>
      </c>
      <c r="D100" s="110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 11'!G101</f>
        <v>17</v>
      </c>
      <c r="D101" s="110">
        <v>0</v>
      </c>
      <c r="E101" s="92">
        <f t="shared" si="12"/>
        <v>17</v>
      </c>
      <c r="F101" s="97">
        <v>0</v>
      </c>
      <c r="G101" s="98">
        <f t="shared" si="13"/>
        <v>15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2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 11'!G102</f>
        <v>7</v>
      </c>
      <c r="D102" s="110">
        <v>0</v>
      </c>
      <c r="E102" s="92">
        <f t="shared" si="12"/>
        <v>7</v>
      </c>
      <c r="F102" s="97">
        <v>0</v>
      </c>
      <c r="G102" s="98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 11'!G103</f>
        <v>0</v>
      </c>
      <c r="D103" s="110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 11'!G104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 11'!G105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 11'!G106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 11'!G107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 11'!G108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 11'!G109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 11'!G110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 11'!G111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 11'!G112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 11'!G113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 11'!G114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 11'!G115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 11'!G116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 11'!G117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 11'!G118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 11'!G119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 11'!G120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 11'!G121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 11'!G122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 11'!G123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 11'!G124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 11'!G125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 11'!G126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 11'!G127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 11'!G128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 11'!G129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 11'!G130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 11'!G131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 11'!G132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 11'!G133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 11'!G134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 11'!G135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 11'!G136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 11'!G137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 11'!G138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 11'!G139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 11'!G140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 11'!G141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 11'!G142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 11'!G143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 11'!G144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 11'!G145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 11'!G146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 11'!G147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 11'!G148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 11'!G149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 11'!G150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 11'!G151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 11'!G152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 11'!G153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 11'!G154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 11'!G155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 11'!G156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 11'!G157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 11'!G158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 11'!G159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 11'!G160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 11'!G161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 11'!G162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 11'!G163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 11'!G164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 11'!G165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 11'!G166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 11'!G167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 11'!G168</f>
        <v>35</v>
      </c>
      <c r="D168" s="110">
        <v>0</v>
      </c>
      <c r="E168" s="92">
        <f t="shared" si="16"/>
        <v>35</v>
      </c>
      <c r="F168" s="97">
        <v>0</v>
      </c>
      <c r="G168" s="99">
        <f t="shared" si="17"/>
        <v>35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 11'!G169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 11'!G170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 11'!G171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 11'!G172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 11'!G173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 11'!G174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 11'!G175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 11'!G176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 11'!G177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 11'!G178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2</v>
      </c>
      <c r="H178" s="14">
        <v>3</v>
      </c>
      <c r="I178" s="15">
        <v>120</v>
      </c>
      <c r="J178" s="91">
        <f t="shared" si="14"/>
        <v>360</v>
      </c>
      <c r="K178" s="17" t="s">
        <v>16</v>
      </c>
      <c r="L178" s="112">
        <v>0</v>
      </c>
      <c r="M178" s="30">
        <f t="shared" si="15"/>
        <v>360</v>
      </c>
    </row>
    <row r="179" spans="1:13" ht="25.5">
      <c r="A179" s="111">
        <v>175</v>
      </c>
      <c r="B179" s="11" t="s">
        <v>190</v>
      </c>
      <c r="C179" s="105">
        <f>+'วันที่  11'!G179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 11'!G180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 11'!G181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 11'!G182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 11'!G183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 11'!G184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 11'!G185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 11'!G186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 11'!G187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 11'!G188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 11'!G189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 11'!G190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 11'!G191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 11'!G192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 11'!G193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 11'!G194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 t="s">
        <v>264</v>
      </c>
      <c r="C195" s="105">
        <f>+'วันที่  11'!G195</f>
        <v>0</v>
      </c>
      <c r="D195" s="110">
        <v>5</v>
      </c>
      <c r="E195" s="92">
        <f t="shared" si="16"/>
        <v>5</v>
      </c>
      <c r="F195" s="97">
        <v>0</v>
      </c>
      <c r="G195" s="99">
        <f t="shared" si="17"/>
        <v>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 11'!G196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 11'!G197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 11'!G198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 11'!G199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 11'!G200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 11'!G201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 11'!G202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 11'!G203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6">
        <f>+'วันที่  11'!G204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2850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60</v>
      </c>
      <c r="L209" s="2">
        <v>60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100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2690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2690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2750</v>
      </c>
    </row>
    <row r="219" spans="1:13">
      <c r="G219" s="2"/>
      <c r="I219" s="2"/>
      <c r="J219" s="2" t="s">
        <v>250</v>
      </c>
      <c r="K219" s="24">
        <f>SUM(K208:K211)</f>
        <v>60</v>
      </c>
    </row>
    <row r="220" spans="1:13">
      <c r="G220" s="2"/>
      <c r="I220" s="2"/>
      <c r="J220" s="2" t="s">
        <v>251</v>
      </c>
      <c r="K220" s="24">
        <f>+K214</f>
        <v>2690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rgb="FFFFCCFF"/>
  </sheetPr>
  <dimension ref="A1:Z291"/>
  <sheetViews>
    <sheetView zoomScale="90" zoomScaleNormal="90" workbookViewId="0">
      <pane xSplit="5" ySplit="4" topLeftCell="G188" activePane="bottomRight" state="frozen"/>
      <selection activeCell="G29" sqref="G29"/>
      <selection pane="topRight" activeCell="G29" sqref="G29"/>
      <selection pane="bottomLeft" activeCell="G29" sqref="G29"/>
      <selection pane="bottomRight" activeCell="B195" sqref="B19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91" t="s">
        <v>247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 12'!G5</f>
        <v>18</v>
      </c>
      <c r="D5" s="110">
        <v>0</v>
      </c>
      <c r="E5" s="92">
        <f t="shared" ref="E5:E94" si="0">C5+D5</f>
        <v>18</v>
      </c>
      <c r="F5" s="97">
        <v>0</v>
      </c>
      <c r="G5" s="98">
        <f t="shared" ref="G5:G94" si="1">E5-F5-H5</f>
        <v>15</v>
      </c>
      <c r="H5" s="14">
        <v>3</v>
      </c>
      <c r="I5" s="15">
        <v>50</v>
      </c>
      <c r="J5" s="91">
        <f t="shared" ref="J5:J69" si="2">+I5*H5</f>
        <v>150</v>
      </c>
      <c r="K5" s="17" t="s">
        <v>258</v>
      </c>
      <c r="L5" s="112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1">
        <v>2</v>
      </c>
      <c r="B6" s="11" t="s">
        <v>17</v>
      </c>
      <c r="C6" s="105">
        <f>+'วันที่  12'!G6</f>
        <v>19</v>
      </c>
      <c r="D6" s="110">
        <v>0</v>
      </c>
      <c r="E6" s="92">
        <f t="shared" si="0"/>
        <v>19</v>
      </c>
      <c r="F6" s="97">
        <v>0</v>
      </c>
      <c r="G6" s="99">
        <f t="shared" si="1"/>
        <v>17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2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1">
        <v>3</v>
      </c>
      <c r="B7" s="11" t="s">
        <v>18</v>
      </c>
      <c r="C7" s="105">
        <f>+'วันที่  12'!G7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 12'!G8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 12'!G9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 12'!G10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 12'!G11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 12'!G12</f>
        <v>8</v>
      </c>
      <c r="D12" s="110">
        <v>0</v>
      </c>
      <c r="E12" s="92">
        <f t="shared" si="0"/>
        <v>8</v>
      </c>
      <c r="F12" s="97">
        <v>0</v>
      </c>
      <c r="G12" s="99">
        <f t="shared" si="1"/>
        <v>8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 12'!G13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 12'!G14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 12'!G15</f>
        <v>0</v>
      </c>
      <c r="D15" s="110">
        <v>0</v>
      </c>
      <c r="E15" s="107">
        <f t="shared" si="0"/>
        <v>0</v>
      </c>
      <c r="F15" s="97">
        <v>0</v>
      </c>
      <c r="G15" s="100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 12'!G16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 12'!G17</f>
        <v>2</v>
      </c>
      <c r="D17" s="110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 12'!G18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 12'!G19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 12'!G20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 12'!G21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 12'!G22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 12'!G23</f>
        <v>16</v>
      </c>
      <c r="D23" s="110">
        <v>0</v>
      </c>
      <c r="E23" s="92">
        <f t="shared" si="0"/>
        <v>16</v>
      </c>
      <c r="F23" s="97">
        <v>0</v>
      </c>
      <c r="G23" s="99">
        <f t="shared" si="1"/>
        <v>10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12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 12'!G24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 12'!G25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 12'!G26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 12'!G27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 12'!G28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 12'!G29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 12'!G30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 12'!G31</f>
        <v>0</v>
      </c>
      <c r="D31" s="110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 12'!G32</f>
        <v>0</v>
      </c>
      <c r="D32" s="110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 12'!G33</f>
        <v>0</v>
      </c>
      <c r="D33" s="110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 12'!G34</f>
        <v>3</v>
      </c>
      <c r="D34" s="110">
        <v>0</v>
      </c>
      <c r="E34" s="92">
        <f t="shared" si="0"/>
        <v>3</v>
      </c>
      <c r="F34" s="97">
        <v>0</v>
      </c>
      <c r="G34" s="98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 12'!G35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 12'!G36</f>
        <v>0</v>
      </c>
      <c r="D36" s="110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 12'!G37</f>
        <v>6</v>
      </c>
      <c r="D37" s="110">
        <v>0</v>
      </c>
      <c r="E37" s="92">
        <f t="shared" si="0"/>
        <v>6</v>
      </c>
      <c r="F37" s="97">
        <v>0</v>
      </c>
      <c r="G37" s="98">
        <f t="shared" si="1"/>
        <v>4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2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 12'!G38</f>
        <v>1</v>
      </c>
      <c r="D38" s="110">
        <v>0</v>
      </c>
      <c r="E38" s="92">
        <f t="shared" si="0"/>
        <v>1</v>
      </c>
      <c r="F38" s="97">
        <v>0</v>
      </c>
      <c r="G38" s="98">
        <f t="shared" si="1"/>
        <v>1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 12'!G39</f>
        <v>2</v>
      </c>
      <c r="D39" s="110">
        <v>0</v>
      </c>
      <c r="E39" s="92">
        <f t="shared" si="0"/>
        <v>2</v>
      </c>
      <c r="F39" s="97">
        <v>0</v>
      </c>
      <c r="G39" s="98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 12'!G40</f>
        <v>1</v>
      </c>
      <c r="D40" s="110">
        <v>0</v>
      </c>
      <c r="E40" s="92">
        <f t="shared" si="0"/>
        <v>1</v>
      </c>
      <c r="F40" s="97">
        <v>0</v>
      </c>
      <c r="G40" s="98">
        <f t="shared" si="1"/>
        <v>1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 12'!G41</f>
        <v>7</v>
      </c>
      <c r="D41" s="110">
        <v>0</v>
      </c>
      <c r="E41" s="92">
        <f t="shared" si="0"/>
        <v>7</v>
      </c>
      <c r="F41" s="97">
        <v>0</v>
      </c>
      <c r="G41" s="98">
        <f t="shared" si="1"/>
        <v>5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12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 12'!G42</f>
        <v>9</v>
      </c>
      <c r="D42" s="110">
        <v>0</v>
      </c>
      <c r="E42" s="92">
        <f t="shared" si="0"/>
        <v>9</v>
      </c>
      <c r="F42" s="97">
        <v>0</v>
      </c>
      <c r="G42" s="98">
        <f t="shared" si="1"/>
        <v>9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 12'!G43</f>
        <v>3</v>
      </c>
      <c r="D43" s="110">
        <v>0</v>
      </c>
      <c r="E43" s="92">
        <f t="shared" si="0"/>
        <v>3</v>
      </c>
      <c r="F43" s="97">
        <v>0</v>
      </c>
      <c r="G43" s="98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 12'!G44</f>
        <v>6</v>
      </c>
      <c r="D44" s="110">
        <v>0</v>
      </c>
      <c r="E44" s="92">
        <f t="shared" si="0"/>
        <v>6</v>
      </c>
      <c r="F44" s="97">
        <v>0</v>
      </c>
      <c r="G44" s="98">
        <f t="shared" si="1"/>
        <v>5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 12'!G45</f>
        <v>0</v>
      </c>
      <c r="D45" s="110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 12'!G46</f>
        <v>16</v>
      </c>
      <c r="D46" s="110">
        <v>0</v>
      </c>
      <c r="E46" s="92">
        <f t="shared" si="0"/>
        <v>16</v>
      </c>
      <c r="F46" s="97">
        <v>0</v>
      </c>
      <c r="G46" s="98">
        <f t="shared" si="1"/>
        <v>15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 12'!G47</f>
        <v>12</v>
      </c>
      <c r="D47" s="110">
        <v>0</v>
      </c>
      <c r="E47" s="92">
        <f t="shared" si="0"/>
        <v>12</v>
      </c>
      <c r="F47" s="97">
        <v>0</v>
      </c>
      <c r="G47" s="98">
        <f t="shared" si="1"/>
        <v>10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 12'!G48</f>
        <v>4</v>
      </c>
      <c r="D48" s="110">
        <v>0</v>
      </c>
      <c r="E48" s="92">
        <f t="shared" si="0"/>
        <v>4</v>
      </c>
      <c r="F48" s="97">
        <v>0</v>
      </c>
      <c r="G48" s="98">
        <f t="shared" si="1"/>
        <v>3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2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 12'!G49</f>
        <v>0</v>
      </c>
      <c r="D49" s="110">
        <v>0</v>
      </c>
      <c r="E49" s="92">
        <f t="shared" si="0"/>
        <v>0</v>
      </c>
      <c r="F49" s="97">
        <v>0</v>
      </c>
      <c r="G49" s="98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 12'!G50</f>
        <v>4</v>
      </c>
      <c r="D50" s="110">
        <v>0</v>
      </c>
      <c r="E50" s="92">
        <f t="shared" si="0"/>
        <v>4</v>
      </c>
      <c r="F50" s="97">
        <v>0</v>
      </c>
      <c r="G50" s="98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 12'!G51</f>
        <v>0</v>
      </c>
      <c r="D51" s="110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 12'!G52</f>
        <v>0</v>
      </c>
      <c r="D52" s="110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 12'!G53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 12'!G54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 12'!G55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 12'!G56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 12'!G57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 12'!G58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 12'!G59</f>
        <v>1</v>
      </c>
      <c r="D59" s="110">
        <v>0</v>
      </c>
      <c r="E59" s="92">
        <f t="shared" si="0"/>
        <v>1</v>
      </c>
      <c r="F59" s="97">
        <v>0</v>
      </c>
      <c r="G59" s="98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2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 12'!G60</f>
        <v>1</v>
      </c>
      <c r="D60" s="110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 12'!G61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 12'!G62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 12'!G63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 12'!G64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 12'!G65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 12'!G66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 12'!G67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 12'!G68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 12'!G69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 12'!G70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 12'!G71</f>
        <v>2</v>
      </c>
      <c r="D71" s="110">
        <v>0</v>
      </c>
      <c r="E71" s="92">
        <f t="shared" si="0"/>
        <v>2</v>
      </c>
      <c r="F71" s="97">
        <v>0</v>
      </c>
      <c r="G71" s="98">
        <f t="shared" si="1"/>
        <v>1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 12'!G72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 12'!G73</f>
        <v>17</v>
      </c>
      <c r="D73" s="110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 12'!G74</f>
        <v>14</v>
      </c>
      <c r="D74" s="110">
        <v>0</v>
      </c>
      <c r="E74" s="92">
        <f t="shared" si="0"/>
        <v>14</v>
      </c>
      <c r="F74" s="97">
        <v>0</v>
      </c>
      <c r="G74" s="98">
        <f t="shared" si="1"/>
        <v>12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 12'!G75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 12'!G76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 12'!G77</f>
        <v>5</v>
      </c>
      <c r="D77" s="110">
        <v>0</v>
      </c>
      <c r="E77" s="92">
        <f t="shared" si="0"/>
        <v>5</v>
      </c>
      <c r="F77" s="97">
        <v>0</v>
      </c>
      <c r="G77" s="98">
        <f t="shared" si="1"/>
        <v>2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12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 12'!G78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 12'!G79</f>
        <v>0</v>
      </c>
      <c r="D79" s="110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 12'!G80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 12'!G81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 12'!G82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 12'!G83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 12'!G84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 12'!G85</f>
        <v>4</v>
      </c>
      <c r="D85" s="110">
        <v>0</v>
      </c>
      <c r="E85" s="92">
        <f t="shared" si="0"/>
        <v>4</v>
      </c>
      <c r="F85" s="97">
        <v>0</v>
      </c>
      <c r="G85" s="99">
        <f t="shared" si="1"/>
        <v>4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 12'!G86</f>
        <v>9</v>
      </c>
      <c r="D86" s="110">
        <v>0</v>
      </c>
      <c r="E86" s="92">
        <f t="shared" si="0"/>
        <v>9</v>
      </c>
      <c r="F86" s="97">
        <v>0</v>
      </c>
      <c r="G86" s="99">
        <f t="shared" si="1"/>
        <v>8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 12'!G87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 12'!G88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 12'!G89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 12'!G90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 12'!G91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 12'!G92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 12'!G93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 12'!G94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 12'!G95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 12'!G96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 12'!G97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 12'!G98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 12'!G99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 12'!G100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 12'!G101</f>
        <v>15</v>
      </c>
      <c r="D101" s="110">
        <v>0</v>
      </c>
      <c r="E101" s="92">
        <f t="shared" si="12"/>
        <v>15</v>
      </c>
      <c r="F101" s="97">
        <v>0</v>
      </c>
      <c r="G101" s="99">
        <f t="shared" si="13"/>
        <v>15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 12'!G102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 12'!G103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 12'!G104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 12'!G105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 12'!G106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 12'!G107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 12'!G108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 12'!G109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 12'!G110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 12'!G111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 12'!G112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 12'!G113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 12'!G114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 12'!G115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 12'!G116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 12'!G117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 12'!G118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 12'!G119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 12'!G120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 12'!G121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 12'!G122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 12'!G123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 12'!G124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 12'!G125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 12'!G126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 12'!G127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 12'!G128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 12'!G129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 12'!G130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 12'!G131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 12'!G132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 12'!G133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 12'!G134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 12'!G135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 12'!G136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 12'!G137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 12'!G138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 12'!G139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 12'!G140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 12'!G141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 12'!G142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 12'!G143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 12'!G144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 12'!G145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 12'!G146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 12'!G147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 12'!G148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 12'!G149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 12'!G150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 12'!G151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 12'!G152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 12'!G153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 12'!G154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 12'!G155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 12'!G156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 12'!G157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 12'!G158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 12'!G159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 12'!G160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 12'!G161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 12'!G162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 12'!G163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 12'!G164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 12'!G165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 12'!G166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 12'!G167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 12'!G168</f>
        <v>35</v>
      </c>
      <c r="D168" s="110">
        <v>0</v>
      </c>
      <c r="E168" s="92">
        <f t="shared" si="16"/>
        <v>35</v>
      </c>
      <c r="F168" s="97">
        <v>0</v>
      </c>
      <c r="G168" s="99">
        <f t="shared" si="17"/>
        <v>34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>
      <c r="A169" s="111">
        <v>165</v>
      </c>
      <c r="B169" s="11" t="s">
        <v>180</v>
      </c>
      <c r="C169" s="105">
        <f>+'วันที่  12'!G169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18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 12'!G170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 12'!G171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 12'!G172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 12'!G173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 12'!G174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 12'!G175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 12'!G176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 12'!G177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 12'!G178</f>
        <v>2</v>
      </c>
      <c r="D178" s="110">
        <v>0</v>
      </c>
      <c r="E178" s="108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>
      <c r="A179" s="111">
        <v>175</v>
      </c>
      <c r="B179" s="11" t="s">
        <v>190</v>
      </c>
      <c r="C179" s="105">
        <f>+'วันที่  12'!G179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 12'!G180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 12'!G181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 12'!G182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 12'!G183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 12'!G184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 12'!G185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 12'!G186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 12'!G187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 12'!G188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 12'!G189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 12'!G190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 12'!G191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 12'!G192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 12'!G193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 12'!G194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 t="s">
        <v>264</v>
      </c>
      <c r="C195" s="105">
        <f>+'วันที่  12'!G195</f>
        <v>5</v>
      </c>
      <c r="D195" s="110">
        <v>0</v>
      </c>
      <c r="E195" s="92">
        <f t="shared" si="16"/>
        <v>5</v>
      </c>
      <c r="F195" s="97">
        <v>0</v>
      </c>
      <c r="G195" s="99">
        <f t="shared" si="17"/>
        <v>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 12'!G196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 12'!G197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 12'!G198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 12'!G199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 12'!G200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 12'!G201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 12'!G202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 12'!G203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 12'!G204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2380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3" ht="25.5">
      <c r="A209" s="1"/>
      <c r="C209" s="32"/>
      <c r="E209" s="32"/>
      <c r="G209" s="32"/>
      <c r="I209" s="35" t="s">
        <v>207</v>
      </c>
      <c r="J209" s="36"/>
      <c r="K209" s="37">
        <f>SUM(L209:BO209)</f>
        <v>250</v>
      </c>
      <c r="L209" s="2">
        <v>250</v>
      </c>
    </row>
    <row r="210" spans="1:13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3" ht="25.5">
      <c r="A211" s="1"/>
      <c r="C211" s="32"/>
      <c r="E211" s="32"/>
      <c r="G211" s="2"/>
      <c r="I211" s="182" t="s">
        <v>209</v>
      </c>
      <c r="J211" s="183"/>
      <c r="K211" s="37">
        <v>0</v>
      </c>
    </row>
    <row r="212" spans="1:13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3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2080</v>
      </c>
      <c r="M213" s="24"/>
    </row>
    <row r="214" spans="1:13" ht="25.5">
      <c r="A214" s="1"/>
      <c r="C214" s="32"/>
      <c r="E214" s="32"/>
      <c r="G214" s="32"/>
      <c r="I214" s="182" t="s">
        <v>212</v>
      </c>
      <c r="J214" s="183"/>
      <c r="K214" s="38">
        <v>2080</v>
      </c>
    </row>
    <row r="215" spans="1:13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3" ht="25.5">
      <c r="G216" s="2"/>
      <c r="I216" s="182" t="s">
        <v>214</v>
      </c>
      <c r="J216" s="183"/>
      <c r="K216" s="34">
        <f>+K214-K213</f>
        <v>0</v>
      </c>
    </row>
    <row r="217" spans="1:13">
      <c r="G217" s="2"/>
      <c r="I217" s="2"/>
    </row>
    <row r="218" spans="1:13">
      <c r="G218" s="2"/>
      <c r="I218" s="2"/>
      <c r="J218" s="94" t="s">
        <v>249</v>
      </c>
      <c r="K218" s="24">
        <f>+K207-K212+K215</f>
        <v>2330</v>
      </c>
    </row>
    <row r="219" spans="1:13">
      <c r="G219" s="2"/>
      <c r="I219" s="2"/>
      <c r="J219" s="2" t="s">
        <v>250</v>
      </c>
      <c r="K219" s="24">
        <f>SUM(K208:K211)</f>
        <v>250</v>
      </c>
    </row>
    <row r="220" spans="1:13">
      <c r="G220" s="2"/>
      <c r="I220" s="2"/>
      <c r="J220" s="2" t="s">
        <v>251</v>
      </c>
      <c r="K220" s="24">
        <f>+K214</f>
        <v>2080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rgb="FFFFCCFF"/>
  </sheetPr>
  <dimension ref="A1:Z291"/>
  <sheetViews>
    <sheetView zoomScale="90" zoomScaleNormal="90" workbookViewId="0">
      <pane xSplit="5" ySplit="4" topLeftCell="G58" activePane="bottomRight" state="frozen"/>
      <selection activeCell="G29" sqref="G29"/>
      <selection pane="topRight" activeCell="G29" sqref="G29"/>
      <selection pane="bottomLeft" activeCell="G29" sqref="G29"/>
      <selection pane="bottomRight" activeCell="B195" sqref="B195"/>
    </sheetView>
  </sheetViews>
  <sheetFormatPr defaultColWidth="9" defaultRowHeight="24.75"/>
  <cols>
    <col min="1" max="1" width="5.42578125" style="2" customWidth="1"/>
    <col min="2" max="2" width="39.7109375" style="2" bestFit="1" customWidth="1"/>
    <col min="3" max="3" width="8.7109375" style="2" customWidth="1"/>
    <col min="4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 13'!G5</f>
        <v>15</v>
      </c>
      <c r="D5" s="110">
        <v>0</v>
      </c>
      <c r="E5" s="92">
        <f t="shared" ref="E5:E94" si="0">C5+D5</f>
        <v>15</v>
      </c>
      <c r="F5" s="97">
        <v>0</v>
      </c>
      <c r="G5" s="98">
        <f t="shared" ref="G5:G94" si="1">E5-F5-H5</f>
        <v>9</v>
      </c>
      <c r="H5" s="14">
        <v>6</v>
      </c>
      <c r="I5" s="15">
        <v>50</v>
      </c>
      <c r="J5" s="91">
        <f t="shared" ref="J5:J69" si="2">+I5*H5</f>
        <v>300</v>
      </c>
      <c r="K5" s="17" t="s">
        <v>258</v>
      </c>
      <c r="L5" s="112">
        <v>50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1">
        <v>2</v>
      </c>
      <c r="B6" s="11" t="s">
        <v>17</v>
      </c>
      <c r="C6" s="105">
        <f>+'วันที่  13'!G6</f>
        <v>17</v>
      </c>
      <c r="D6" s="110">
        <v>10</v>
      </c>
      <c r="E6" s="92">
        <f t="shared" si="0"/>
        <v>27</v>
      </c>
      <c r="F6" s="97">
        <v>0</v>
      </c>
      <c r="G6" s="99">
        <f t="shared" si="1"/>
        <v>25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12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1">
        <v>3</v>
      </c>
      <c r="B7" s="11" t="s">
        <v>18</v>
      </c>
      <c r="C7" s="105">
        <f>+'วันที่  13'!G7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 13'!G8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 13'!G9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 13'!G10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 13'!G11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 13'!G12</f>
        <v>8</v>
      </c>
      <c r="D12" s="110">
        <v>5</v>
      </c>
      <c r="E12" s="92">
        <f t="shared" si="0"/>
        <v>13</v>
      </c>
      <c r="F12" s="97">
        <v>0</v>
      </c>
      <c r="G12" s="99">
        <f t="shared" si="1"/>
        <v>12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2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 13'!G13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 13'!G14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 13'!G15</f>
        <v>0</v>
      </c>
      <c r="D15" s="110">
        <v>5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 13'!G16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 13'!G17</f>
        <v>2</v>
      </c>
      <c r="D17" s="110">
        <v>2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 13'!G18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 13'!G19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 13'!G20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 13'!G21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 13'!G22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 13'!G23</f>
        <v>10</v>
      </c>
      <c r="D23" s="110">
        <v>10</v>
      </c>
      <c r="E23" s="92">
        <f t="shared" si="0"/>
        <v>20</v>
      </c>
      <c r="F23" s="97">
        <v>0</v>
      </c>
      <c r="G23" s="99">
        <f t="shared" si="1"/>
        <v>18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12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 13'!G24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 13'!G25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 13'!G26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 13'!G27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 13'!G28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 13'!G29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 13'!G30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 13'!G31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 13'!G32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 13'!G33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 13'!G34</f>
        <v>2</v>
      </c>
      <c r="D34" s="110">
        <v>0</v>
      </c>
      <c r="E34" s="92">
        <f t="shared" si="0"/>
        <v>2</v>
      </c>
      <c r="F34" s="97">
        <v>0</v>
      </c>
      <c r="G34" s="98">
        <f t="shared" si="1"/>
        <v>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 13'!G35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 13'!G36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 13'!G37</f>
        <v>4</v>
      </c>
      <c r="D37" s="110">
        <v>0</v>
      </c>
      <c r="E37" s="92">
        <f t="shared" si="0"/>
        <v>4</v>
      </c>
      <c r="F37" s="97">
        <v>0</v>
      </c>
      <c r="G37" s="99">
        <f t="shared" si="1"/>
        <v>4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 13'!G38</f>
        <v>1</v>
      </c>
      <c r="D38" s="110">
        <v>2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 13'!G39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2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 13'!G40</f>
        <v>1</v>
      </c>
      <c r="D40" s="110">
        <v>2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 13'!G41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 13'!G42</f>
        <v>9</v>
      </c>
      <c r="D42" s="110">
        <v>0</v>
      </c>
      <c r="E42" s="92">
        <f t="shared" si="0"/>
        <v>9</v>
      </c>
      <c r="F42" s="97">
        <v>0</v>
      </c>
      <c r="G42" s="99">
        <f t="shared" si="1"/>
        <v>8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2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 13'!G43</f>
        <v>3</v>
      </c>
      <c r="D43" s="110">
        <v>5</v>
      </c>
      <c r="E43" s="92">
        <f t="shared" si="0"/>
        <v>8</v>
      </c>
      <c r="F43" s="97">
        <v>0</v>
      </c>
      <c r="G43" s="99">
        <f t="shared" si="1"/>
        <v>8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 13'!G44</f>
        <v>5</v>
      </c>
      <c r="D44" s="110">
        <v>0</v>
      </c>
      <c r="E44" s="92">
        <f t="shared" si="0"/>
        <v>5</v>
      </c>
      <c r="F44" s="97">
        <v>0</v>
      </c>
      <c r="G44" s="99">
        <f t="shared" si="1"/>
        <v>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 13'!G45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 13'!G46</f>
        <v>15</v>
      </c>
      <c r="D46" s="110">
        <v>0</v>
      </c>
      <c r="E46" s="92">
        <f t="shared" si="0"/>
        <v>15</v>
      </c>
      <c r="F46" s="97">
        <v>0</v>
      </c>
      <c r="G46" s="99">
        <f t="shared" si="1"/>
        <v>14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2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 13'!G47</f>
        <v>10</v>
      </c>
      <c r="D47" s="110">
        <v>0</v>
      </c>
      <c r="E47" s="92">
        <f t="shared" si="0"/>
        <v>10</v>
      </c>
      <c r="F47" s="97">
        <v>0</v>
      </c>
      <c r="G47" s="99">
        <f t="shared" si="1"/>
        <v>8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2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 13'!G48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 13'!G49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 13'!G50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4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 13'!G51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 13'!G52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 13'!G53</f>
        <v>0</v>
      </c>
      <c r="D53" s="110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 13'!G54</f>
        <v>0</v>
      </c>
      <c r="D54" s="110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 13'!G55</f>
        <v>4</v>
      </c>
      <c r="D55" s="110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 13'!G56</f>
        <v>0</v>
      </c>
      <c r="D56" s="110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 13'!G57</f>
        <v>0</v>
      </c>
      <c r="D57" s="110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 13'!G58</f>
        <v>0</v>
      </c>
      <c r="D58" s="110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 13'!G59</f>
        <v>0</v>
      </c>
      <c r="D59" s="110">
        <v>4</v>
      </c>
      <c r="E59" s="92">
        <f t="shared" si="0"/>
        <v>4</v>
      </c>
      <c r="F59" s="97">
        <v>0</v>
      </c>
      <c r="G59" s="98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 13'!G60</f>
        <v>1</v>
      </c>
      <c r="D60" s="110">
        <v>4</v>
      </c>
      <c r="E60" s="92">
        <f t="shared" si="0"/>
        <v>5</v>
      </c>
      <c r="F60" s="97">
        <v>0</v>
      </c>
      <c r="G60" s="98">
        <f t="shared" si="1"/>
        <v>5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 13'!G61</f>
        <v>0</v>
      </c>
      <c r="D61" s="110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 13'!G62</f>
        <v>0</v>
      </c>
      <c r="D62" s="110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 13'!G63</f>
        <v>0</v>
      </c>
      <c r="D63" s="110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 13'!G64</f>
        <v>0</v>
      </c>
      <c r="D64" s="110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 13'!G65</f>
        <v>0</v>
      </c>
      <c r="D65" s="110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 13'!G66</f>
        <v>0</v>
      </c>
      <c r="D66" s="110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 13'!G67</f>
        <v>0</v>
      </c>
      <c r="D67" s="110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 13'!G68</f>
        <v>0</v>
      </c>
      <c r="D68" s="110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 13'!G69</f>
        <v>0</v>
      </c>
      <c r="D69" s="110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 13'!G70</f>
        <v>0</v>
      </c>
      <c r="D70" s="110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 13'!G71</f>
        <v>1</v>
      </c>
      <c r="D71" s="110">
        <v>0</v>
      </c>
      <c r="E71" s="92">
        <f t="shared" si="0"/>
        <v>1</v>
      </c>
      <c r="F71" s="97">
        <v>0</v>
      </c>
      <c r="G71" s="98">
        <f t="shared" si="1"/>
        <v>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 13'!G72</f>
        <v>0</v>
      </c>
      <c r="D72" s="110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 13'!G73</f>
        <v>17</v>
      </c>
      <c r="D73" s="110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 13'!G74</f>
        <v>12</v>
      </c>
      <c r="D74" s="110">
        <v>0</v>
      </c>
      <c r="E74" s="92">
        <f t="shared" si="0"/>
        <v>12</v>
      </c>
      <c r="F74" s="97">
        <v>0</v>
      </c>
      <c r="G74" s="98">
        <f t="shared" si="1"/>
        <v>10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2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 13'!G75</f>
        <v>0</v>
      </c>
      <c r="D75" s="110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 13'!G76</f>
        <v>0</v>
      </c>
      <c r="D76" s="110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 13'!G77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 13'!G78</f>
        <v>0</v>
      </c>
      <c r="D78" s="110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 13'!G79</f>
        <v>0</v>
      </c>
      <c r="D79" s="110">
        <v>3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 13'!G80</f>
        <v>0</v>
      </c>
      <c r="D80" s="110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 13'!G81</f>
        <v>0</v>
      </c>
      <c r="D81" s="110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 13'!G82</f>
        <v>0</v>
      </c>
      <c r="D82" s="110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 13'!G83</f>
        <v>0</v>
      </c>
      <c r="D83" s="110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 13'!G84</f>
        <v>0</v>
      </c>
      <c r="D84" s="110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 13'!G85</f>
        <v>4</v>
      </c>
      <c r="D85" s="110">
        <v>0</v>
      </c>
      <c r="E85" s="92">
        <f t="shared" si="0"/>
        <v>4</v>
      </c>
      <c r="F85" s="97">
        <v>0</v>
      </c>
      <c r="G85" s="98">
        <f t="shared" si="1"/>
        <v>1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2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 13'!G86</f>
        <v>8</v>
      </c>
      <c r="D86" s="110">
        <v>0</v>
      </c>
      <c r="E86" s="92">
        <f t="shared" si="0"/>
        <v>8</v>
      </c>
      <c r="F86" s="97">
        <v>0</v>
      </c>
      <c r="G86" s="98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 13'!G87</f>
        <v>17</v>
      </c>
      <c r="D87" s="110">
        <v>0</v>
      </c>
      <c r="E87" s="92">
        <f t="shared" si="0"/>
        <v>17</v>
      </c>
      <c r="F87" s="97">
        <v>0</v>
      </c>
      <c r="G87" s="98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 13'!G88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 13'!G89</f>
        <v>0</v>
      </c>
      <c r="D89" s="110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 13'!G90</f>
        <v>0</v>
      </c>
      <c r="D90" s="110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 13'!G91</f>
        <v>0</v>
      </c>
      <c r="D91" s="110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 13'!G92</f>
        <v>0</v>
      </c>
      <c r="D92" s="110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 13'!G93</f>
        <v>0</v>
      </c>
      <c r="D93" s="110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 13'!G94</f>
        <v>0</v>
      </c>
      <c r="D94" s="110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 13'!G95</f>
        <v>0</v>
      </c>
      <c r="D95" s="110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 13'!G96</f>
        <v>0</v>
      </c>
      <c r="D96" s="110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 13'!G97</f>
        <v>0</v>
      </c>
      <c r="D97" s="110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 13'!G98</f>
        <v>0</v>
      </c>
      <c r="D98" s="110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 13'!G99</f>
        <v>0</v>
      </c>
      <c r="D99" s="110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 13'!G100</f>
        <v>0</v>
      </c>
      <c r="D100" s="110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 13'!G101</f>
        <v>15</v>
      </c>
      <c r="D101" s="110">
        <v>0</v>
      </c>
      <c r="E101" s="92">
        <f t="shared" si="12"/>
        <v>15</v>
      </c>
      <c r="F101" s="97">
        <v>0</v>
      </c>
      <c r="G101" s="98">
        <f t="shared" si="13"/>
        <v>13</v>
      </c>
      <c r="H101" s="14">
        <v>2</v>
      </c>
      <c r="I101" s="15">
        <v>55</v>
      </c>
      <c r="J101" s="91">
        <f t="shared" si="8"/>
        <v>110</v>
      </c>
      <c r="K101" s="17" t="s">
        <v>16</v>
      </c>
      <c r="L101" s="112">
        <v>0</v>
      </c>
      <c r="M101" s="30">
        <f t="shared" si="9"/>
        <v>110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 13'!G102</f>
        <v>7</v>
      </c>
      <c r="D102" s="110">
        <v>0</v>
      </c>
      <c r="E102" s="92">
        <f t="shared" si="12"/>
        <v>7</v>
      </c>
      <c r="F102" s="97">
        <v>0</v>
      </c>
      <c r="G102" s="98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 13'!G103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 13'!G104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 13'!G105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 13'!G106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 13'!G107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 13'!G108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 13'!G109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 13'!G110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 13'!G111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 13'!G112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 13'!G113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 13'!G114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 13'!G115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 13'!G116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 13'!G117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 13'!G118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 13'!G119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 13'!G120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 13'!G121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 13'!G122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 13'!G123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 13'!G124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 13'!G125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 13'!G126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 13'!G127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 13'!G128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 13'!G129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 13'!G130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 13'!G131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 13'!G132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 13'!G133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 13'!G134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 13'!G135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 13'!G136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 13'!G137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 13'!G138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 13'!G139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 13'!G140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 13'!G141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 13'!G142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 13'!G143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 13'!G144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 13'!G145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 13'!G146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 13'!G147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 13'!G148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 13'!G149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 13'!G150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 13'!G151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 13'!G152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 13'!G153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 13'!G154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 13'!G155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 13'!G156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 13'!G157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 13'!G158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 13'!G159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 13'!G160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 13'!G161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 13'!G162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 13'!G163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 13'!G164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 13'!G165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 13'!G166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 13'!G167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 13'!G168</f>
        <v>34</v>
      </c>
      <c r="D168" s="110">
        <v>0</v>
      </c>
      <c r="E168" s="92">
        <f t="shared" si="16"/>
        <v>34</v>
      </c>
      <c r="F168" s="97">
        <v>0</v>
      </c>
      <c r="G168" s="99">
        <f t="shared" si="17"/>
        <v>33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2">
        <v>0</v>
      </c>
      <c r="M168" s="30">
        <f t="shared" si="15"/>
        <v>55</v>
      </c>
    </row>
    <row r="169" spans="1:13" ht="25.5">
      <c r="A169" s="111">
        <v>165</v>
      </c>
      <c r="B169" s="11" t="s">
        <v>180</v>
      </c>
      <c r="C169" s="105">
        <f>+'วันที่  13'!G169</f>
        <v>18</v>
      </c>
      <c r="D169" s="110">
        <v>0</v>
      </c>
      <c r="E169" s="92">
        <f t="shared" si="16"/>
        <v>18</v>
      </c>
      <c r="F169" s="97">
        <v>0</v>
      </c>
      <c r="G169" s="99">
        <f t="shared" si="17"/>
        <v>15</v>
      </c>
      <c r="H169" s="14">
        <v>3</v>
      </c>
      <c r="I169" s="15">
        <v>85</v>
      </c>
      <c r="J169" s="91">
        <f t="shared" si="14"/>
        <v>255</v>
      </c>
      <c r="K169" s="17" t="s">
        <v>16</v>
      </c>
      <c r="L169" s="112">
        <v>0</v>
      </c>
      <c r="M169" s="30">
        <f t="shared" si="15"/>
        <v>255</v>
      </c>
    </row>
    <row r="170" spans="1:13" ht="25.5">
      <c r="A170" s="111">
        <v>166</v>
      </c>
      <c r="B170" s="11" t="s">
        <v>181</v>
      </c>
      <c r="C170" s="105">
        <f>+'วันที่  13'!G170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 13'!G171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 13'!G172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 13'!G173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 13'!G174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 13'!G175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 13'!G176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 13'!G177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 13'!G178</f>
        <v>1</v>
      </c>
      <c r="D178" s="110">
        <v>5</v>
      </c>
      <c r="E178" s="108">
        <f t="shared" si="16"/>
        <v>6</v>
      </c>
      <c r="F178" s="97">
        <v>0</v>
      </c>
      <c r="G178" s="98">
        <f t="shared" si="17"/>
        <v>6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 13'!G179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 13'!G180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 13'!G181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 13'!G182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 13'!G183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 13'!G184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 13'!G185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 13'!G186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 13'!G187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 13'!G188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 13'!G189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 13'!G190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 13'!G191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 13'!G192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 13'!G193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 13'!G194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 t="s">
        <v>264</v>
      </c>
      <c r="C195" s="105">
        <f>+'วันที่  13'!G195</f>
        <v>5</v>
      </c>
      <c r="D195" s="110">
        <v>10</v>
      </c>
      <c r="E195" s="92">
        <f t="shared" si="16"/>
        <v>15</v>
      </c>
      <c r="F195" s="97">
        <v>0</v>
      </c>
      <c r="G195" s="99">
        <f t="shared" si="17"/>
        <v>15</v>
      </c>
      <c r="H195" s="14">
        <v>0</v>
      </c>
      <c r="I195" s="15">
        <v>50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 13'!G196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 13'!G197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 13'!G198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 13'!G199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 13'!G200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 13'!G201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 13'!G202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 13'!G203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 13'!G204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2090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220</v>
      </c>
      <c r="L209" s="2">
        <v>220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50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1820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1820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2040</v>
      </c>
    </row>
    <row r="219" spans="1:14">
      <c r="G219" s="2"/>
      <c r="I219" s="2"/>
      <c r="J219" s="2" t="s">
        <v>250</v>
      </c>
      <c r="K219" s="24">
        <f>SUM(K208:K211)</f>
        <v>220</v>
      </c>
    </row>
    <row r="220" spans="1:14">
      <c r="G220" s="2"/>
      <c r="I220" s="2"/>
      <c r="J220" s="2" t="s">
        <v>251</v>
      </c>
      <c r="K220" s="24">
        <f>+K214</f>
        <v>1820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dimension ref="A1:Z291"/>
  <sheetViews>
    <sheetView zoomScale="90" zoomScaleNormal="90" workbookViewId="0">
      <pane xSplit="5" ySplit="4" topLeftCell="I200" activePane="bottomRight" state="frozen"/>
      <selection activeCell="G29" sqref="G29"/>
      <selection pane="topRight" activeCell="G29" sqref="G29"/>
      <selection pane="bottomLeft" activeCell="G29" sqref="G29"/>
      <selection pane="bottomRight" activeCell="I214" sqref="I214:J214"/>
    </sheetView>
  </sheetViews>
  <sheetFormatPr defaultColWidth="9" defaultRowHeight="24.75"/>
  <cols>
    <col min="1" max="1" width="5.85546875" style="2" customWidth="1"/>
    <col min="2" max="2" width="37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 14'!G5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1">
        <v>2</v>
      </c>
      <c r="B6" s="11" t="s">
        <v>17</v>
      </c>
      <c r="C6" s="105">
        <f>+'วันที่  14'!G6</f>
        <v>25</v>
      </c>
      <c r="D6" s="110">
        <v>0</v>
      </c>
      <c r="E6" s="92">
        <f t="shared" si="0"/>
        <v>25</v>
      </c>
      <c r="F6" s="97">
        <v>0</v>
      </c>
      <c r="G6" s="99">
        <f t="shared" si="1"/>
        <v>22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12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1">
        <v>3</v>
      </c>
      <c r="B7" s="11" t="s">
        <v>18</v>
      </c>
      <c r="C7" s="105">
        <f>+'วันที่  14'!G7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 14'!G8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 14'!G9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 14'!G10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 14'!G11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 14'!G12</f>
        <v>12</v>
      </c>
      <c r="D12" s="110">
        <v>0</v>
      </c>
      <c r="E12" s="92">
        <f t="shared" si="0"/>
        <v>12</v>
      </c>
      <c r="F12" s="97">
        <v>0</v>
      </c>
      <c r="G12" s="99">
        <f t="shared" si="1"/>
        <v>7</v>
      </c>
      <c r="H12" s="14">
        <v>5</v>
      </c>
      <c r="I12" s="15">
        <v>50</v>
      </c>
      <c r="J12" s="91">
        <f t="shared" si="2"/>
        <v>250</v>
      </c>
      <c r="K12" s="17" t="s">
        <v>258</v>
      </c>
      <c r="L12" s="112">
        <v>50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 14'!G13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24">
        <f>+'วันที่  14'!G14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 14'!G15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 14'!G16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 14'!G17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 14'!G18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 14'!G19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 14'!G20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 14'!G21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 14'!G22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 14'!G23</f>
        <v>18</v>
      </c>
      <c r="D23" s="110">
        <v>0</v>
      </c>
      <c r="E23" s="92">
        <f t="shared" si="0"/>
        <v>18</v>
      </c>
      <c r="F23" s="97">
        <v>0</v>
      </c>
      <c r="G23" s="99">
        <f t="shared" si="1"/>
        <v>13</v>
      </c>
      <c r="H23" s="14">
        <v>5</v>
      </c>
      <c r="I23" s="15">
        <v>100</v>
      </c>
      <c r="J23" s="91">
        <f t="shared" si="2"/>
        <v>500</v>
      </c>
      <c r="K23" s="17" t="s">
        <v>16</v>
      </c>
      <c r="L23" s="112">
        <v>0</v>
      </c>
      <c r="M23" s="30">
        <f t="shared" si="4"/>
        <v>500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 14'!G24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 14'!G25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 14'!G26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 14'!G27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 14'!G28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 14'!G29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 14'!G30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 14'!G31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 14'!G32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 14'!G33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 14'!G34</f>
        <v>1</v>
      </c>
      <c r="D34" s="110">
        <v>0</v>
      </c>
      <c r="E34" s="92">
        <f t="shared" si="0"/>
        <v>1</v>
      </c>
      <c r="F34" s="97">
        <v>0</v>
      </c>
      <c r="G34" s="98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2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 14'!G35</f>
        <v>5</v>
      </c>
      <c r="D35" s="110">
        <v>0</v>
      </c>
      <c r="E35" s="92">
        <f t="shared" si="0"/>
        <v>5</v>
      </c>
      <c r="F35" s="97">
        <v>0</v>
      </c>
      <c r="G35" s="98">
        <f t="shared" si="1"/>
        <v>1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12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 14'!G36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 14'!G37</f>
        <v>4</v>
      </c>
      <c r="D37" s="110">
        <v>0</v>
      </c>
      <c r="E37" s="92">
        <f t="shared" si="0"/>
        <v>4</v>
      </c>
      <c r="F37" s="97">
        <v>0</v>
      </c>
      <c r="G37" s="99">
        <f t="shared" si="1"/>
        <v>0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2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 14'!G38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 14'!G39</f>
        <v>2</v>
      </c>
      <c r="D39" s="110">
        <v>0</v>
      </c>
      <c r="E39" s="92">
        <f t="shared" si="0"/>
        <v>2</v>
      </c>
      <c r="F39" s="97">
        <v>0</v>
      </c>
      <c r="G39" s="99">
        <f t="shared" si="1"/>
        <v>1</v>
      </c>
      <c r="H39" s="14">
        <v>1</v>
      </c>
      <c r="I39" s="15">
        <v>50</v>
      </c>
      <c r="J39" s="91">
        <f t="shared" si="2"/>
        <v>50</v>
      </c>
      <c r="K39" s="17" t="s">
        <v>16</v>
      </c>
      <c r="L39" s="112">
        <v>0</v>
      </c>
      <c r="M39" s="30">
        <f t="shared" si="4"/>
        <v>50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 14'!G40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 14'!G41</f>
        <v>5</v>
      </c>
      <c r="D41" s="110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2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 14'!G42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 14'!G43</f>
        <v>8</v>
      </c>
      <c r="D43" s="110">
        <v>0</v>
      </c>
      <c r="E43" s="92">
        <f t="shared" si="0"/>
        <v>8</v>
      </c>
      <c r="F43" s="97">
        <v>0</v>
      </c>
      <c r="G43" s="99">
        <f t="shared" si="1"/>
        <v>7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2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 14'!G44</f>
        <v>4</v>
      </c>
      <c r="D44" s="110">
        <v>0</v>
      </c>
      <c r="E44" s="92">
        <f t="shared" si="0"/>
        <v>4</v>
      </c>
      <c r="F44" s="97">
        <v>0</v>
      </c>
      <c r="G44" s="99">
        <f t="shared" si="1"/>
        <v>3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2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 14'!G45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 14'!G46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 14'!G47</f>
        <v>8</v>
      </c>
      <c r="D47" s="110">
        <v>0</v>
      </c>
      <c r="E47" s="92">
        <f t="shared" si="0"/>
        <v>8</v>
      </c>
      <c r="F47" s="97">
        <v>0</v>
      </c>
      <c r="G47" s="99">
        <f t="shared" si="1"/>
        <v>3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12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 14'!G48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 14'!G49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 14'!G50</f>
        <v>4</v>
      </c>
      <c r="D50" s="110">
        <v>0</v>
      </c>
      <c r="E50" s="92">
        <f t="shared" si="0"/>
        <v>4</v>
      </c>
      <c r="F50" s="97">
        <v>0</v>
      </c>
      <c r="G50" s="99">
        <f t="shared" si="1"/>
        <v>3</v>
      </c>
      <c r="H50" s="14">
        <v>1</v>
      </c>
      <c r="I50" s="15">
        <v>120</v>
      </c>
      <c r="J50" s="91">
        <f t="shared" si="2"/>
        <v>120</v>
      </c>
      <c r="K50" s="17" t="s">
        <v>259</v>
      </c>
      <c r="L50" s="112">
        <v>35</v>
      </c>
      <c r="M50" s="30">
        <f t="shared" si="4"/>
        <v>85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 14'!G51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 14'!G52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 14'!G53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 14'!G54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v>3</v>
      </c>
      <c r="D55" s="110">
        <v>0</v>
      </c>
      <c r="E55" s="92">
        <f t="shared" si="0"/>
        <v>3</v>
      </c>
      <c r="F55" s="97">
        <v>0</v>
      </c>
      <c r="G55" s="98">
        <f t="shared" si="1"/>
        <v>2</v>
      </c>
      <c r="H55" s="14">
        <v>1</v>
      </c>
      <c r="I55" s="15">
        <v>120</v>
      </c>
      <c r="J55" s="91">
        <f t="shared" si="2"/>
        <v>120</v>
      </c>
      <c r="K55" s="17" t="s">
        <v>259</v>
      </c>
      <c r="L55" s="112">
        <v>35</v>
      </c>
      <c r="M55" s="30">
        <f t="shared" si="4"/>
        <v>85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 14'!G56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 14'!G57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 14'!G58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 14'!G59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 14'!G60</f>
        <v>5</v>
      </c>
      <c r="D60" s="110">
        <v>0</v>
      </c>
      <c r="E60" s="92">
        <f t="shared" si="0"/>
        <v>5</v>
      </c>
      <c r="F60" s="97">
        <v>0</v>
      </c>
      <c r="G60" s="98">
        <f t="shared" si="1"/>
        <v>2</v>
      </c>
      <c r="H60" s="14">
        <v>3</v>
      </c>
      <c r="I60" s="15">
        <v>80</v>
      </c>
      <c r="J60" s="91">
        <f t="shared" si="2"/>
        <v>240</v>
      </c>
      <c r="K60" s="17" t="s">
        <v>16</v>
      </c>
      <c r="L60" s="112">
        <v>0</v>
      </c>
      <c r="M60" s="30">
        <f t="shared" si="4"/>
        <v>240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 14'!G61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 14'!G62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 14'!G63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 14'!G64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 14'!G65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 14'!G66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 14'!G67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 14'!G68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 14'!G69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 14'!G70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 14'!G71</f>
        <v>1</v>
      </c>
      <c r="D71" s="110">
        <v>0</v>
      </c>
      <c r="E71" s="92">
        <f t="shared" si="0"/>
        <v>1</v>
      </c>
      <c r="F71" s="97">
        <v>0</v>
      </c>
      <c r="G71" s="99">
        <f t="shared" si="1"/>
        <v>0</v>
      </c>
      <c r="H71" s="14">
        <v>1</v>
      </c>
      <c r="I71" s="15">
        <v>60</v>
      </c>
      <c r="J71" s="91">
        <f t="shared" si="8"/>
        <v>60</v>
      </c>
      <c r="K71" s="17" t="s">
        <v>16</v>
      </c>
      <c r="L71" s="112">
        <v>0</v>
      </c>
      <c r="M71" s="30">
        <f t="shared" si="9"/>
        <v>60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 14'!G72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 14'!G73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 14'!G74</f>
        <v>10</v>
      </c>
      <c r="D74" s="110">
        <v>0</v>
      </c>
      <c r="E74" s="92">
        <f t="shared" si="0"/>
        <v>10</v>
      </c>
      <c r="F74" s="97">
        <v>0</v>
      </c>
      <c r="G74" s="98">
        <f t="shared" si="1"/>
        <v>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2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 14'!G75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 14'!G76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 14'!G77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 14'!G78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 14'!G79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 14'!G80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 14'!G81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 14'!G82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 14'!G83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 14'!G84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 14'!G85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 14'!G86</f>
        <v>8</v>
      </c>
      <c r="D86" s="110">
        <v>0</v>
      </c>
      <c r="E86" s="92">
        <f t="shared" si="0"/>
        <v>8</v>
      </c>
      <c r="F86" s="97">
        <v>0</v>
      </c>
      <c r="G86" s="99">
        <f t="shared" si="1"/>
        <v>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2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 14'!G87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 14'!G88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 14'!G89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 14'!G90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 14'!G91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 14'!G92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 14'!G93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 14'!G94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 14'!G95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 14'!G96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 14'!G97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 14'!G98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 14'!G99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 14'!G100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 14'!G101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 14'!G102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 14'!G103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 14'!G104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 14'!G105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 14'!G106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 14'!G107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 14'!G108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 14'!G109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 14'!G110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 14'!G111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 14'!G112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 14'!G113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 14'!G114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 14'!G115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 14'!G116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 14'!G117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 14'!G118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 14'!G119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 14'!G120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 14'!G121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 14'!G122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 14'!G123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 14'!G124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 14'!G125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 14'!G126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 14'!G127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 14'!G128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 14'!G129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 14'!G130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 14'!G131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 14'!G132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 14'!G133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 14'!G134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 14'!G135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 14'!G136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 14'!G137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 14'!G138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 14'!G139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 14'!G140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 14'!G141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 14'!G142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 14'!G143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 14'!G144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 14'!G145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 14'!G146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 14'!G147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 14'!G148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 14'!G149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 14'!G150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 14'!G151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 14'!G152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 14'!G153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 14'!G154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 14'!G155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 14'!G156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 14'!G157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 14'!G158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 14'!G159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 14'!G160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 14'!G161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 14'!G162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 14'!G163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 14'!G164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 14'!G165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 14'!G166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 14'!G167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 14'!G168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 14'!G169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 14'!G170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 14'!G171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 14'!G172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 14'!G173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 14'!G174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 14'!G175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 14'!G176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 14'!G177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 14'!G178</f>
        <v>6</v>
      </c>
      <c r="D178" s="110">
        <v>0</v>
      </c>
      <c r="E178" s="108">
        <f t="shared" si="16"/>
        <v>6</v>
      </c>
      <c r="F178" s="97">
        <v>0</v>
      </c>
      <c r="G178" s="98">
        <f t="shared" si="17"/>
        <v>5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2">
        <v>0</v>
      </c>
      <c r="M178" s="30">
        <f t="shared" si="15"/>
        <v>120</v>
      </c>
    </row>
    <row r="179" spans="1:13" ht="25.5">
      <c r="A179" s="111">
        <v>175</v>
      </c>
      <c r="B179" s="11" t="s">
        <v>190</v>
      </c>
      <c r="C179" s="105">
        <f>+'วันที่  14'!G179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 14'!G180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 14'!G181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 14'!G182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 14'!G183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 14'!G184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 14'!G185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 14'!G186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 14'!G187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 14'!G188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 14'!G189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 14'!G190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 14'!G191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 14'!G192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 14'!G193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 14'!G194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 t="s">
        <v>264</v>
      </c>
      <c r="C195" s="105">
        <f>+'วันที่  14'!G195</f>
        <v>15</v>
      </c>
      <c r="D195" s="110">
        <v>0</v>
      </c>
      <c r="E195" s="92">
        <f t="shared" si="16"/>
        <v>15</v>
      </c>
      <c r="F195" s="97">
        <v>0</v>
      </c>
      <c r="G195" s="99">
        <f t="shared" si="17"/>
        <v>11</v>
      </c>
      <c r="H195" s="14">
        <v>4</v>
      </c>
      <c r="I195" s="15">
        <v>30</v>
      </c>
      <c r="J195" s="91">
        <f t="shared" si="14"/>
        <v>120</v>
      </c>
      <c r="K195" s="17" t="s">
        <v>258</v>
      </c>
      <c r="L195" s="112">
        <v>30</v>
      </c>
      <c r="M195" s="30">
        <f t="shared" si="15"/>
        <v>90</v>
      </c>
    </row>
    <row r="196" spans="1:26" ht="25.5">
      <c r="A196" s="111">
        <v>192</v>
      </c>
      <c r="B196" s="11"/>
      <c r="C196" s="105">
        <f>+'วันที่  14'!G196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 14'!G197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 14'!G198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 14'!G199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 14'!G200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 14'!G201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 14'!G202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 14'!G203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 14'!G204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3745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6" ht="25.5">
      <c r="A209" s="1"/>
      <c r="C209" s="32"/>
      <c r="E209" s="32"/>
      <c r="G209" s="32"/>
      <c r="I209" s="35" t="s">
        <v>207</v>
      </c>
      <c r="J209" s="36"/>
      <c r="K209" s="37">
        <f>SUM(L209:BO209)</f>
        <v>420</v>
      </c>
      <c r="L209" s="2">
        <v>150</v>
      </c>
      <c r="M209" s="2">
        <v>100</v>
      </c>
      <c r="N209" s="2">
        <v>170</v>
      </c>
    </row>
    <row r="210" spans="1:16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6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6" ht="25.5">
      <c r="A212" s="1"/>
      <c r="C212" s="32"/>
      <c r="E212" s="32"/>
      <c r="G212" s="32"/>
      <c r="I212" s="182" t="s">
        <v>210</v>
      </c>
      <c r="J212" s="183"/>
      <c r="K212" s="38">
        <f>SUM(L5:L205)</f>
        <v>150</v>
      </c>
    </row>
    <row r="213" spans="1:16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3175</v>
      </c>
      <c r="M213" s="24"/>
    </row>
    <row r="214" spans="1:16" ht="25.5">
      <c r="A214" s="1"/>
      <c r="C214" s="32"/>
      <c r="E214" s="32"/>
      <c r="G214" s="32"/>
      <c r="I214" s="182" t="s">
        <v>212</v>
      </c>
      <c r="J214" s="183"/>
      <c r="K214" s="38">
        <v>3175</v>
      </c>
    </row>
    <row r="215" spans="1:16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  <c r="P215" s="2">
        <v>3755</v>
      </c>
    </row>
    <row r="216" spans="1:16" ht="25.5">
      <c r="G216" s="2"/>
      <c r="I216" s="182" t="s">
        <v>214</v>
      </c>
      <c r="J216" s="183"/>
      <c r="K216" s="34">
        <f>+K214-K213</f>
        <v>0</v>
      </c>
      <c r="P216" s="2">
        <f>+N215-P215</f>
        <v>-3755</v>
      </c>
    </row>
    <row r="217" spans="1:16">
      <c r="G217" s="2"/>
      <c r="I217" s="2"/>
    </row>
    <row r="218" spans="1:16">
      <c r="G218" s="2"/>
      <c r="I218" s="2"/>
      <c r="J218" s="94" t="s">
        <v>249</v>
      </c>
      <c r="K218" s="24">
        <f>+K207-K212+K215</f>
        <v>3595</v>
      </c>
    </row>
    <row r="219" spans="1:16">
      <c r="G219" s="2"/>
      <c r="I219" s="2"/>
      <c r="J219" s="2" t="s">
        <v>250</v>
      </c>
      <c r="K219" s="24">
        <f>SUM(K208:K211)</f>
        <v>420</v>
      </c>
    </row>
    <row r="220" spans="1:16">
      <c r="G220" s="2"/>
      <c r="I220" s="2"/>
      <c r="J220" s="2" t="s">
        <v>251</v>
      </c>
      <c r="K220" s="24">
        <f>+K214</f>
        <v>3175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dimension ref="A1:Z291"/>
  <sheetViews>
    <sheetView zoomScale="85" zoomScaleNormal="85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15'!G5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16">
        <f>+'วันที่ 15'!G6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15'!G7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15'!G8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15'!G9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15'!G10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15'!G11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15'!G12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15'!G13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15'!G14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15'!G15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15'!G16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15'!G17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15'!G18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15'!G19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15'!G20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15'!G21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15'!G22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15'!G23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15'!G24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15'!G25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15'!G26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15'!G27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15'!G28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15'!G29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15'!G30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15'!G31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15'!G32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15'!G33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15'!G34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15'!G35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15'!G36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15'!G37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15'!G38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15'!G39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15'!G40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15'!G41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15'!G42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15'!G43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15'!G44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15'!G45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15'!G46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15'!G47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15'!G48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15'!G49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15'!G50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15'!G51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15'!G52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15'!G53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15'!G54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15'!G55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15'!G56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15'!G57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15'!G58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15'!G59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15'!G60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15'!G61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15'!G62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15'!G63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15'!G64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15'!G65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15'!G66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15'!G67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15'!G68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15'!G69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15'!G70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15'!G71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15'!G72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15'!G73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15'!G74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15'!G75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15'!G76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15'!G77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15'!G78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15'!G79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15'!G80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15'!G81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15'!G82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15'!G83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15'!G84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15'!G85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15'!G86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15'!G87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15'!G88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15'!G89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15'!G90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15'!G91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15'!G92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15'!G93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15'!G94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15'!G95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15'!G96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15'!G97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15'!G98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15'!G99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15'!G100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15'!G101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15'!G102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15'!G103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15'!G104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15'!G105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15'!G106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15'!G107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15'!G108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15'!G109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15'!G110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15'!G111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15'!G112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15'!G113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15'!G114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15'!G115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15'!G116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15'!G117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15'!G118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15'!G119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15'!G120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15'!G121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15'!G122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15'!G123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15'!G124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15'!G125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15'!G126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15'!G127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15'!G128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15'!G129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15'!G130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15'!G131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15'!G132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15'!G133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15'!G134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15'!G135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15'!G136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15'!G137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15'!G138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15'!G139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15'!G140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15'!G141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15'!G142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15'!G143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15'!G144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15'!G145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15'!G146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15'!G147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15'!G148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15'!G149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15'!G150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15'!G151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15'!G152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15'!G153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15'!G154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15'!G155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15'!G156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15'!G157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15'!G158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15'!G159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15'!G160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15'!G161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15'!G162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15'!G163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15'!G164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15'!G165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15'!G166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15'!G167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15'!G168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15'!G169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15'!G170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15'!G171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15'!G172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15'!G173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15'!G174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15'!G175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15'!G176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15'!G177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15'!G178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15'!G179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15'!G180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15'!G181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15'!G182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15'!G183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15'!G184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15'!G185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15'!G186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15'!G187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15'!G188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15'!G189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15'!G190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15'!G191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15'!G192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15'!G193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15'!G194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15'!G195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15'!G196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15'!G197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15'!G198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15'!G199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15'!G200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15'!G201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15'!G202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15'!G203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15'!G204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dimension ref="A1:Z291"/>
  <sheetViews>
    <sheetView zoomScale="115" zoomScaleNormal="115" workbookViewId="0">
      <pane xSplit="5" ySplit="4" topLeftCell="F21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16'!G5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16'!G6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16'!G7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16'!G8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16'!G9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16'!G10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16'!G11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16'!G12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16'!G13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16'!G14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16'!G15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16'!G16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16'!G17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16'!G18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16'!G19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16'!G20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16'!G21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16'!G22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16'!G23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16'!G24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16'!G25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16'!G26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16'!G27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16'!G28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16'!G29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16'!G30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16'!G31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16'!G32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16'!G33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16'!G34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16'!G35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16'!G36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16'!G37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16'!G38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16'!G39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16'!G40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16'!G41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16'!G42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16'!G43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16'!G44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16'!G45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16'!G46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16'!G47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16'!G48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16'!G49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16'!G50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16'!G51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16'!G52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16'!G53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16'!G54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16'!G55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16'!G56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16'!G57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16'!G58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16'!G59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16'!G60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16'!G61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16'!G62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16'!G63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16'!G64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16'!G65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16'!G66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16'!G67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16'!G68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16'!G69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16'!G70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16'!G71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16'!G72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16'!G73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16'!G74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16'!G75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16'!G76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16'!G77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16'!G78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16'!G79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16'!G80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16'!G81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16'!G82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16'!G83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16'!G84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16'!G85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16'!G86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16'!G87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16'!G88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16'!G89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16'!G90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16'!G91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16'!G92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16'!G93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16'!G94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16'!G95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16'!G96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16'!G97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16'!G98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16'!G99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16'!G100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16'!G101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16'!G102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16'!G103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16'!G104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16'!G105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16'!G106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16'!G107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16'!G108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16'!G109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16'!G110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16'!G111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16'!G112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16'!G113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16'!G114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16'!G115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16'!G116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16'!G117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16'!G118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16'!G119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16'!G120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16'!G121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16'!G122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16'!G123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16'!G124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16'!G125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16'!G126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16'!G127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16'!G128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16'!G129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16'!G130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16'!G131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16'!G132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16'!G133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16'!G134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16'!G135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16'!G136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16'!G137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16'!G138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16'!G139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16'!G140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16'!G141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16'!G142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16'!G143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16'!G144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16'!G145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16'!G146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16'!G147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16'!G148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16'!G149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16'!G150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16'!G151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16'!G152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16'!G153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16'!G154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16'!G155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16'!G156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16'!G157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16'!G158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16'!G159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16'!G160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16'!G161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16'!G162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16'!G163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16'!G164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16'!G165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16'!G166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16'!G167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16'!G168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16'!G169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16'!G170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16'!G171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16'!G172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16'!G173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16'!G174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16'!G175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16'!G176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16'!G177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16'!G178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16'!G179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16'!G180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16'!G181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16'!G182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16'!G183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16'!G184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16'!G185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16'!G186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16'!G187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16'!G188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16'!G189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16'!G190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16'!G191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16'!G192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16'!G193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16'!G194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16'!G195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16'!G196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16'!G197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16'!G198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16'!G199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16'!G200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16'!G201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16'!G202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16'!G203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16'!G204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dimension ref="A1:Z291"/>
  <sheetViews>
    <sheetView zoomScale="115" zoomScaleNormal="11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17'!G5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17'!G6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17'!G7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17'!G8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17'!G9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17'!G10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17'!G11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17'!G12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17'!G13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17'!G14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17'!G15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17'!G16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17'!G17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17'!G18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17'!G19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17'!G20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17'!G21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17'!G22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17'!G23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17'!G24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17'!G25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17'!G26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17'!G27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17'!G28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17'!G29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17'!G30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17'!G31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17'!G32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17'!G33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17'!G34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17'!G35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17'!G36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17'!G37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17'!G38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17'!G39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17'!G40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17'!G41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17'!G42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17'!G43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17'!G44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17'!G45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17'!G46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17'!G47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17'!G48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17'!G49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17'!G50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17'!G51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17'!G52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17'!G53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17'!G54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17'!G55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17'!G56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17'!G57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17'!G58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17'!G59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17'!G60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17'!G61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17'!G62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17'!G63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17'!G64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17'!G65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17'!G66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17'!G67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17'!G68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17'!G69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17'!G70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17'!G71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17'!G72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17'!G73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17'!G74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17'!G75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17'!G76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17'!G77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17'!G78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17'!G79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17'!G80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17'!G81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17'!G82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17'!G83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17'!G84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17'!G85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17'!G86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17'!G87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17'!G88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17'!G89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17'!G90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17'!G91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17'!G92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17'!G93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17'!G94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17'!G95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17'!G96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17'!G97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17'!G98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17'!G99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17'!G100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17'!G101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17'!G102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17'!G103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17'!G104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17'!G105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17'!G106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17'!G107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17'!G108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17'!G109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17'!G110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17'!G111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17'!G112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17'!G113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17'!G114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17'!G115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17'!G116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17'!G117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17'!G118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17'!G119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17'!G120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17'!G121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17'!G122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17'!G123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17'!G124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17'!G125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17'!G126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17'!G127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17'!G128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17'!G129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17'!G130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17'!G131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17'!G132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17'!G133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17'!G134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17'!G135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17'!G136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17'!G137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17'!G138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17'!G139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17'!G140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17'!G141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17'!G142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17'!G143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17'!G144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17'!G145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17'!G146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17'!G147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17'!G148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17'!G149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17'!G150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17'!G151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17'!G152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17'!G153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17'!G154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17'!G155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17'!G156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17'!G157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17'!G158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17'!G159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17'!G160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17'!G161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17'!G162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17'!G163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17'!G164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17'!G165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17'!G166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17'!G167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17'!G168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17'!G169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17'!G170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17'!G171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17'!G172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17'!G173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17'!G174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17'!G175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17'!G176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17'!G177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17'!G178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17'!G179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17'!G180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17'!G181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17'!G182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17'!G183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17'!G184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17'!G185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17'!G186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17'!G187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17'!G188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17'!G189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17'!G190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17'!G191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17'!G192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17'!G193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17'!G194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17'!G195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17'!G196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17'!G197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17'!G198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17'!G199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17'!G200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17'!G201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17'!G202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17'!G203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17'!G204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dimension ref="A1:Z291"/>
  <sheetViews>
    <sheetView zoomScaleNormal="100" workbookViewId="0">
      <pane xSplit="5" ySplit="4" topLeftCell="F212" activePane="bottomRight" state="frozen"/>
      <selection activeCell="K217" sqref="K217"/>
      <selection pane="topRight" activeCell="K217" sqref="K217"/>
      <selection pane="bottomLeft" activeCell="K217" sqref="K217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18'!G5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18'!G6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18'!G7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18'!G8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18'!G9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18'!G10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18'!G11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20">
        <f>+'วันที่ 18'!G12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20">
        <f>+'วันที่ 18'!G13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20">
        <f>+'วันที่ 18'!G14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20">
        <f>+'วันที่ 18'!G15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20">
        <f>+'วันที่ 18'!G16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20">
        <f>+'วันที่ 18'!G17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20">
        <f>+'วันที่ 18'!G18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20">
        <f>+'วันที่ 18'!G19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18'!G20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18'!G21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18'!G22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18'!G23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18'!G24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18'!G25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18'!G26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18'!G27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18'!G28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18'!G29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18'!G30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18'!G31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18'!G32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18'!G33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18'!G34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18'!G35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18'!G36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18'!G37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18'!G38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18'!G39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18'!G40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18'!G41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18'!G42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18'!G43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18'!G44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18'!G45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18'!G46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18'!G47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18'!G48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18'!G49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18'!G50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18'!G51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18'!G52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18'!G53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18'!G54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18'!G55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18'!G56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18'!G57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18'!G58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20">
        <f>+'วันที่ 18'!G59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20">
        <f>+'วันที่ 18'!G60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18'!G61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18'!G62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18'!G63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18'!G64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18'!G65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18'!G66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18'!G67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18'!G68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18'!G69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18'!G70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18'!G71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18'!G72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18'!G73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18'!G74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18'!G75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18'!G76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20">
        <f>+'วันที่ 18'!G77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20">
        <f>+'วันที่ 18'!G78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20">
        <f>+'วันที่ 18'!G79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20">
        <f>+'วันที่ 18'!G80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18'!G81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18'!G82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18'!G83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18'!G84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18'!G85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18'!G86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18'!G87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18'!G88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18'!G89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18'!G90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18'!G91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18'!G92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18'!G93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18'!G94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18'!G95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18'!G96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18'!G97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18'!G98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18'!G99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18'!G100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18'!G101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18'!G102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18'!G103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18'!G104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18'!G105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18'!G106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18'!G107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18'!G108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18'!G109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18'!G110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18'!G111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18'!G112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18'!G113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18'!G114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18'!G115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18'!G116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18'!G117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18'!G118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18'!G119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18'!G120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18'!G121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18'!G122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18'!G123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18'!G124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18'!G125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18'!G126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18'!G127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18'!G128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18'!G129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18'!G130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18'!G131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18'!G132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18'!G133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18'!G134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18'!G135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18'!G136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18'!G137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18'!G138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18'!G139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18'!G140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18'!G141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18'!G142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18'!G143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18'!G144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18'!G145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18'!G146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18'!G147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18'!G148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18'!G149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18'!G150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18'!G151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18'!G152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18'!G153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18'!G154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18'!G155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18'!G156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18'!G157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18'!G158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18'!G159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18'!G160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18'!G161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18'!G162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18'!G163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18'!G164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18'!G165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18'!G166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18'!G167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18'!G168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18'!G169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18'!G170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18'!G171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18'!G172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18'!G173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18'!G174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18'!G175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18'!G176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18'!G177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18'!G178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18'!G179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18'!G180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18'!G181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18'!G182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18'!G183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18'!G184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18'!G185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18'!G186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18'!G187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18'!G188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18'!G189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18'!G190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18'!G191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18'!G192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18'!G193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18'!G194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18'!G195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18'!G196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18'!G197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18'!G198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18'!G199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18'!G200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18'!G201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18'!G202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18'!G203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18'!G204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dimension ref="A1:Z291"/>
  <sheetViews>
    <sheetView zoomScale="85" zoomScaleNormal="85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19'!G5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19'!G6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19'!G7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19'!G8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19'!G9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19'!G10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19'!G11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19'!G12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19'!G13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19'!G14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19'!G15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19'!G16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20">
        <f>+'วันที่ 19'!G17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19'!G18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20">
        <f>+'วันที่ 19'!G19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19'!G20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19'!G21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19'!G22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19'!G23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19'!G24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19'!G25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19'!G26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19'!G27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19'!G28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19'!G29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19'!G30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19'!G31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19'!G32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19'!G33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19'!G34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19'!G35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19'!G36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19'!G37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19'!G38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19'!G39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19'!G40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19'!G41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19'!G42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19'!G43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19'!G44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19'!G45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19'!G46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19'!G47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19'!G48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19'!G49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19'!G50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19'!G51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19'!G52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19'!G53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19'!G54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19'!G55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19'!G56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19'!G57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19'!G58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20">
        <f>+'วันที่ 19'!G59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20">
        <f>+'วันที่ 19'!G60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19'!G61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19'!G62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19'!G63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19'!G64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19'!G65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19'!G66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19'!G67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19'!G68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19'!G69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19'!G70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19'!G71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19'!G72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19'!G73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19'!G74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19'!G75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19'!G76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20">
        <f>+'วันที่ 19'!G77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20">
        <f>+'วันที่ 19'!G78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20">
        <f>+'วันที่ 19'!G79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20">
        <f>+'วันที่ 19'!G80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19'!G81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19'!G82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19'!G83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19'!G84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19'!G85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19'!G86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19'!G87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19'!G88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19'!G89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19'!G90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19'!G91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19'!G92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19'!G93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19'!G94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19'!G95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19'!G96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19'!G97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19'!G98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19'!G99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19'!G100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19'!G101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19'!G102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19'!G103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19'!G104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19'!G105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19'!G106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19'!G107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19'!G108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19'!G109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19'!G110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19'!G111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19'!G112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19'!G113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19'!G114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19'!G115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19'!G116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19'!G117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19'!G118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19'!G119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19'!G120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19'!G121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19'!G122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19'!G123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19'!G124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19'!G125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19'!G126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19'!G127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19'!G128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19'!G129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19'!G130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19'!G131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19'!G132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19'!G133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19'!G134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19'!G135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19'!G136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19'!G137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19'!G138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19'!G139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19'!G140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19'!G141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19'!G142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19'!G143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19'!G144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19'!G145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19'!G146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19'!G147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19'!G148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19'!G149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19'!G150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19'!G151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19'!G152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19'!G153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19'!G154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19'!G155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19'!G156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19'!G157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19'!G158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19'!G159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19'!G160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19'!G161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19'!G162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19'!G163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19'!G164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19'!G165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19'!G166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19'!G167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19'!G168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19'!G169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19'!G170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19'!G171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19'!G172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19'!G173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19'!G174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19'!G175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19'!G176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19'!G177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19'!G178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19'!G179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19'!G180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19'!G181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19'!G182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19'!G183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19'!G184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19'!G185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19'!G186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19'!G187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19'!G188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19'!G189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19'!G190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19'!G191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19'!G192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19'!G193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19'!G194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19'!G195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19'!G196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19'!G197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19'!G198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19'!G199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19'!G200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19'!G201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19'!G202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19'!G203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19'!G204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dimension ref="A1:Z291"/>
  <sheetViews>
    <sheetView zoomScale="85" zoomScaleNormal="85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L5" sqref="L5:L20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20'!G5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20'!G6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20'!G12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20'!G14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20'!G15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20'!G16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20'!G17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20'!G19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20'!G23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20'!G34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20'!G35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20'!G37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20'!G38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20'!G39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20'!G40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20'!G41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20'!G42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20'!G43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20'!G44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20'!G46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20'!G47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20'!G48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20'!G49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20'!G50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20'!G54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20'!G55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20'!G59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20'!G60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20'!G67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20'!G71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20'!G73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20'!G74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20'!G77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20'!G79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20'!G85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20'!G86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20'!G87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20'!G88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20'!G101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20'!G102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20'!G150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20'!G168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20'!G169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20'!G178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20'!G195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dimension ref="A1:Z291"/>
  <sheetViews>
    <sheetView zoomScale="85" zoomScaleNormal="85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21'!G5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21'!G6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21'!G7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21'!G8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21'!G9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21'!G10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21'!G11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21'!G12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21'!G13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21'!G14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21'!G15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21'!G16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21'!G17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21'!G18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21'!G19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21'!G20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21'!G21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21'!G22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21'!G23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21'!G24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21'!G25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21'!G26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21'!G27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21'!G28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21'!G29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21'!G30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21'!G31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21'!G32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21'!G33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21'!G34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21'!G35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21'!G36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21'!G37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21'!G38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21'!G39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21'!G40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21'!G41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21'!G42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21'!G43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21'!G44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21'!G45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21'!G46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21'!G47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21'!G48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21'!G49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21'!G50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21'!G51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21'!G52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21'!G53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21'!G54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21'!G55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21'!G56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21'!G57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21'!G58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21'!G59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21'!G60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21'!G61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21'!G62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21'!G63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21'!G64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21'!G65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21'!G66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21'!G67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21'!G68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21'!G69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21'!G70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21'!G71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21'!G72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21'!G73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21'!G74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21'!G75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21'!G76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21'!G77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21'!G78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21'!G79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21'!G80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21'!G81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21'!G82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21'!G83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21'!G84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21'!G85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21'!G86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21'!G87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21'!G88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21'!G89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21'!G90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21'!G91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21'!G92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21'!G93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21'!G94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21'!G95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21'!G96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21'!G97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21'!G98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21'!G99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21'!G100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21'!G101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21'!G102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21'!G103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21'!G104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21'!G105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21'!G106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21'!G107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21'!G108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21'!G109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21'!G110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21'!G111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21'!G112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21'!G113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21'!G114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21'!G115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21'!G116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21'!G117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21'!G118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21'!G119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21'!G120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21'!G121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21'!G122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21'!G123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21'!G124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21'!G125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21'!G126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21'!G127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21'!G128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21'!G129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21'!G130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21'!G131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21'!G132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21'!G133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21'!G134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21'!G135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21'!G136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21'!G137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21'!G138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21'!G139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21'!G140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21'!G141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21'!G142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21'!G143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21'!G144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21'!G145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21'!G146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21'!G147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21'!G148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21'!G149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21'!G150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21'!G151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21'!G152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21'!G153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21'!G154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21'!G155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21'!G156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21'!G157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21'!G158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21'!G159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21'!G160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21'!G161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21'!G162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21'!G163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21'!G164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21'!G165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21'!G166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21'!G167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21'!G168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21'!G169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21'!G170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21'!G171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21'!G172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21'!G173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21'!G174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21'!G175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21'!G176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21'!G177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21'!G178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21'!G179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21'!G180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21'!G181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21'!G182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21'!G183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21'!G184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21'!G185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21'!G186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21'!G187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21'!G188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21'!G189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21'!G190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21'!G191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21'!G192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21'!G193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21'!G194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21'!G195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21'!G196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21'!G197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21'!G198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21'!G199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21'!G200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21'!G201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21'!G202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21'!G203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21'!G204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dimension ref="A1:Z291"/>
  <sheetViews>
    <sheetView zoomScale="85" zoomScaleNormal="85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N213" sqref="N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22'!G5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22'!G6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22'!G7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22'!G8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22'!G9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22'!G10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22'!G11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22'!G12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22'!G13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22'!G14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22'!G15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22'!G16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22'!G17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22'!G18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22'!G19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22'!G20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22'!G21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22'!G22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22'!G23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22'!G24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22'!G25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22'!G26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22'!G27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22'!G28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22'!G29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22'!G30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22'!G31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22'!G32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22'!G33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22'!G34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22'!G35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22'!G36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22'!G37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22'!G38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22'!G39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22'!G40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22'!G41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22'!G42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22'!G43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22'!G44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22'!G45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22'!G46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22'!G47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22'!G48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22'!G49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22'!G50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22'!G51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22'!G52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22'!G53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22'!G54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22'!G55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22'!G56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22'!G57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22'!G58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22'!G59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22'!G60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22'!G61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22'!G62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22'!G63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22'!G64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22'!G65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22'!G66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22'!G67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22'!G68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22'!G69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22'!G70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22'!G71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22'!G72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22'!G73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22'!G74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22'!G75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22'!G76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22'!G77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22'!G78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22'!G79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22'!G80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22'!G81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22'!G82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22'!G83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22'!G84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22'!G85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22'!G86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22'!G87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22'!G88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22'!G89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22'!G90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22'!G91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22'!G92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22'!G93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22'!G94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22'!G95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22'!G96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22'!G97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22'!G98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22'!G99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22'!G100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22'!G101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22'!G102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22'!G103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22'!G104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22'!G105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22'!G106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22'!G107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22'!G108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22'!G109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22'!G110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22'!G111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22'!G112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22'!G113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22'!G114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22'!G115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22'!G116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22'!G117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22'!G118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22'!G119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22'!G120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22'!G121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22'!G122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22'!G123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22'!G124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22'!G125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22'!G126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22'!G127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22'!G128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22'!G129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22'!G130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22'!G131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22'!G132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22'!G133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22'!G134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22'!G135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22'!G136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22'!G137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22'!G138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22'!G139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22'!G140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22'!G141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22'!G142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22'!G143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22'!G144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22'!G145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22'!G146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22'!G147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22'!G148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22'!G149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22'!G150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22'!G151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22'!G152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22'!G153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22'!G154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22'!G155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22'!G156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22'!G157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22'!G158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22'!G159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22'!G160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22'!G161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22'!G162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22'!G163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22'!G164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22'!G165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22'!G166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22'!G167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22'!G168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22'!G169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22'!G170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22'!G171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22'!G172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22'!G173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22'!G174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22'!G175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22'!G176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22'!G177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22'!G178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22'!G179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22'!G180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22'!G181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22'!G182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22'!G183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22'!G184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22'!G185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22'!G186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22'!G187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22'!G188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22'!G189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22'!G190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22'!G191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22'!G192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22'!G193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22'!G194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22'!G195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22'!G196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22'!G197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22'!G198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22'!G199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22'!G200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22'!G201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22'!G202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22'!G203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22'!G204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L7" sqref="L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23'!G5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23'!G6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23'!G7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23'!G8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23'!G9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23'!G10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23'!G11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23'!G12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23'!G13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23'!G14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23'!G15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23'!G16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23'!G17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23'!G18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23'!G19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23'!G20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23'!G21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23'!G22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23'!G23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23'!G24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23'!G25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23'!G26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23'!G27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23'!G28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23'!G29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23'!G30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23'!G31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23'!G32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23'!G33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23'!G34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23'!G35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23'!G36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23'!G37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23'!G38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23'!G39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23'!G40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23'!G41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23'!G42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23'!G43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23'!G44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23'!G45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23'!G46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23'!G47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23'!G48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23'!G49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23'!G50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23'!G51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23'!G52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23'!G53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23'!G54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23'!G55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23'!G56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23'!G57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23'!G58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23'!G59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23'!G60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23'!G61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23'!G62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23'!G63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23'!G64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23'!G65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23'!G66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23'!G67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23'!G68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23'!G69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23'!G70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23'!G71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23'!G72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23'!G73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23'!G74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23'!G75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23'!G76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23'!G77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23'!G78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23'!G79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23'!G80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23'!G81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23'!G82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23'!G83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23'!G84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23'!G85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23'!G86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23'!G87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23'!G88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23'!G89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23'!G90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23'!G91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23'!G92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23'!G93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23'!G94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23'!G95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23'!G96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23'!G97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23'!G98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23'!G99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23'!G100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23'!G101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23'!G102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23'!G103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23'!G104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23'!G105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23'!G106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23'!G107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23'!G108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23'!G109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23'!G110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23'!G111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23'!G112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23'!G113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23'!G114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23'!G115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23'!G116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23'!G117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23'!G118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23'!G119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23'!G120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23'!G121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23'!G122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23'!G123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23'!G124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23'!G125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23'!G126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23'!G127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23'!G128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23'!G129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23'!G130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23'!G131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23'!G132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23'!G133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23'!G134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23'!G135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23'!G136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23'!G137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23'!G138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23'!G139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23'!G140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23'!G141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23'!G142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23'!G143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23'!G144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23'!G145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23'!G146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23'!G147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23'!G148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23'!G149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23'!G150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23'!G151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23'!G152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23'!G153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23'!G154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23'!G155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23'!G156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23'!G157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23'!G158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23'!G159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23'!G160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23'!G161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23'!G162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23'!G163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23'!G164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23'!G165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23'!G166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23'!G167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23'!G168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23'!G169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23'!G170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23'!G171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23'!G172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23'!G173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23'!G174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23'!G175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23'!G176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23'!G177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23'!G178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23'!G179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23'!G180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23'!G181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23'!G182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23'!G183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23'!G184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23'!G185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23'!G186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23'!G187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23'!G188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23'!G189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23'!G190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23'!G191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23'!G192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23'!G193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23'!G194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23'!G195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23'!G196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23'!G197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23'!G198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23'!G199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23'!G200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23'!G201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23'!G202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23'!G203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23'!G204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24'!G5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24'!G6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24'!G7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24'!G8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24'!G9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24'!G10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24'!G11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24'!G12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24'!G13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24'!G14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24'!G15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24'!G16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24'!G17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24'!G18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24'!G19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24'!G20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24'!G21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24'!G22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24'!G23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24'!G24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24'!G25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24'!G26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24'!G27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24'!G28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24'!G29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24'!G30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24'!G31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24'!G32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24'!G33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24'!G34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24'!G35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24'!G36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24'!G37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24'!G38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24'!G39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24'!G40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24'!G41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24'!G42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24'!G43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24'!G44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24'!G45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24'!G46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24'!G47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24'!G48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24'!G49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24'!G50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24'!G51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24'!G52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24'!G53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24'!G54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24'!G55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24'!G56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24'!G57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24'!G58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24'!G59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24'!G60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24'!G61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24'!G62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24'!G63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24'!G64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24'!G65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24'!G66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24'!G67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24'!G68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24'!G69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24'!G70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24'!G71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24'!G72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24'!G73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24'!G74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24'!G75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24'!G76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24'!G77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24'!G78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24'!G79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24'!G80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24'!G81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24'!G82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24'!G83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24'!G84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24'!G85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24'!G86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24'!G87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24'!G88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24'!G89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24'!G90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24'!G91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24'!G92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24'!G93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24'!G94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24'!G95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24'!G96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24'!G97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24'!G98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24'!G99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24'!G100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24'!G101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24'!G102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24'!G103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24'!G104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24'!G105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24'!G106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24'!G107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24'!G108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24'!G109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24'!G110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24'!G111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24'!G112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24'!G113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24'!G114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24'!G115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24'!G116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24'!G117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24'!G118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24'!G119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24'!G120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24'!G121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24'!G122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24'!G123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24'!G124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24'!G125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24'!G126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24'!G127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24'!G128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24'!G129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24'!G130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24'!G131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24'!G132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24'!G133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24'!G134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24'!G135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24'!G136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24'!G137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24'!G138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24'!G139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24'!G140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24'!G141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24'!G142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24'!G143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24'!G144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24'!G145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24'!G146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24'!G147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24'!G148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24'!G149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24'!G150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24'!G151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24'!G152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24'!G153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24'!G154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24'!G155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24'!G156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24'!G157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24'!G158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24'!G159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24'!G160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24'!G161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24'!G162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24'!G163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24'!G164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24'!G165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24'!G166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24'!G167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24'!G168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24'!G169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24'!G170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24'!G171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24'!G172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24'!G173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24'!G174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24'!G175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24'!G176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24'!G177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24'!G178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24'!G179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24'!G180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24'!G181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24'!G182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24'!G183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24'!G184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24'!G185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24'!G186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24'!G187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24'!G188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24'!G189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24'!G190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24'!G191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24'!G192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24'!G193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24'!G194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24'!G195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24'!G196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24'!G197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24'!G198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24'!G199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24'!G200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24'!G201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24'!G202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24'!G203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24'!G204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8" sqref="K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25'!G5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25'!G6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25'!G7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25'!G8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25'!G9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25'!G10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25'!G11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25'!G12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25'!G13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25'!G14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25'!G15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25'!G16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25'!G17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25'!G18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25'!G19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25'!G20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25'!G21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25'!G22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25'!G23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25'!G24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25'!G25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25'!G26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25'!G27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25'!G28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25'!G29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25'!G30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25'!G31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25'!G32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25'!G33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25'!G34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25'!G35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25'!G36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25'!G37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25'!G38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25'!G39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25'!G40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25'!G41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25'!G42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25'!G43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25'!G44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25'!G45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25'!G46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25'!G47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25'!G48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25'!G49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25'!G50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25'!G51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25'!G52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25'!G53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25'!G54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25'!G55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25'!G56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25'!G57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25'!G58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25'!G59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25'!G60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25'!G61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25'!G62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25'!G63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25'!G64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25'!G65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25'!G66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25'!G67</f>
        <v>0</v>
      </c>
      <c r="D67" s="110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25'!G68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25'!G69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25'!G70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25'!G71</f>
        <v>0</v>
      </c>
      <c r="D71" s="110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25'!G72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25'!G73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25'!G74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25'!G75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25'!G76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25'!G77</f>
        <v>2</v>
      </c>
      <c r="D77" s="110">
        <v>0</v>
      </c>
      <c r="E77" s="92">
        <f t="shared" si="0"/>
        <v>2</v>
      </c>
      <c r="F77" s="97">
        <v>0</v>
      </c>
      <c r="G77" s="98">
        <f t="shared" si="1"/>
        <v>2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25'!G78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25'!G79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25'!G80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25'!G81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25'!G82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25'!G83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25'!G84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25'!G85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25'!G86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25'!G87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25'!G88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25'!G89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25'!G90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25'!G91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25'!G92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25'!G93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25'!G94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25'!G95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25'!G96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25'!G97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25'!G98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25'!G99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25'!G100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25'!G101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25'!G102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25'!G103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25'!G104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25'!G105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25'!G106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25'!G107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25'!G108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25'!G109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25'!G110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25'!G111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25'!G112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25'!G113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25'!G114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25'!G115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25'!G116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25'!G117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25'!G118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25'!G119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25'!G120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25'!G121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25'!G122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25'!G123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25'!G124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25'!G125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25'!G126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25'!G127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25'!G128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25'!G129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25'!G130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25'!G131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25'!G132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25'!G133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25'!G134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25'!G135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25'!G136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25'!G137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25'!G138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25'!G139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25'!G140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25'!G141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25'!G142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25'!G143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25'!G144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25'!G145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25'!G146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25'!G147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25'!G148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25'!G149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25'!G150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25'!G151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25'!G152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25'!G153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25'!G154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25'!G155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25'!G156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25'!G157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25'!G158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25'!G159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25'!G160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25'!G161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25'!G162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25'!G163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25'!G164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25'!G165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25'!G166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25'!G167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25'!G168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25'!G169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25'!G170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25'!G171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25'!G172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25'!G173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25'!G174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25'!G175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25'!G176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25'!G177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25'!G178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25'!G179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25'!G180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25'!G181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25'!G182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25'!G183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25'!G184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25'!G185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25'!G186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25'!G187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25'!G188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25'!G189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25'!G190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25'!G191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25'!G192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25'!G193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25'!G194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25'!G195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25'!G196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25'!G197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25'!G198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25'!G199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25'!G200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25'!G201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25'!G202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25'!G203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25'!G204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dimension ref="A1:Z291"/>
  <sheetViews>
    <sheetView zoomScale="85" zoomScaleNormal="85" workbookViewId="0">
      <pane xSplit="5" ySplit="4" topLeftCell="F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26'!G5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26'!G6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26'!G7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26'!G8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26'!G9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26'!G10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26'!G11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26'!G12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26'!G13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26'!G14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26'!G15</f>
        <v>5</v>
      </c>
      <c r="D15" s="110">
        <v>0</v>
      </c>
      <c r="E15" s="107">
        <f t="shared" si="0"/>
        <v>5</v>
      </c>
      <c r="F15" s="97">
        <v>0</v>
      </c>
      <c r="G15" s="121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26'!G16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26'!G17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26'!G18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26'!G19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26'!G20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26'!G21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26'!G22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26'!G23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26'!G24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26'!G25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26'!G26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26'!G27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26'!G28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26'!G29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26'!G30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26'!G31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26'!G32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26'!G33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26'!G34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26'!G35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26'!G36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26'!G37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26'!G38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26'!G39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26'!G40</f>
        <v>3</v>
      </c>
      <c r="D40" s="110">
        <v>0</v>
      </c>
      <c r="E40" s="92">
        <f t="shared" si="0"/>
        <v>3</v>
      </c>
      <c r="F40" s="97"/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26'!G41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26'!G42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26'!G43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26'!G44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26'!G45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26'!G46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26'!G47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26'!G48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26'!G49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26'!G50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26'!G51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26'!G52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26'!G53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26'!G54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26'!G55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26'!G56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26'!G57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26'!G58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26'!G59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26'!G60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26'!G61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26'!G62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26'!G63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26'!G64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26'!G65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26'!G66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26'!G67</f>
        <v>0</v>
      </c>
      <c r="D67" s="110">
        <v>0</v>
      </c>
      <c r="E67" s="92">
        <f t="shared" si="0"/>
        <v>0</v>
      </c>
      <c r="F67" s="97">
        <v>2</v>
      </c>
      <c r="G67" s="99">
        <f t="shared" si="1"/>
        <v>-2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26'!G68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26'!G69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26'!G70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26'!G71</f>
        <v>0</v>
      </c>
      <c r="D71" s="110">
        <v>0</v>
      </c>
      <c r="E71" s="92">
        <f t="shared" si="0"/>
        <v>0</v>
      </c>
      <c r="F71" s="97">
        <v>1</v>
      </c>
      <c r="G71" s="99">
        <f t="shared" si="1"/>
        <v>-1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26'!G72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26'!G73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26'!G74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26'!G75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26'!G76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26'!G77</f>
        <v>2</v>
      </c>
      <c r="D77" s="110">
        <v>0</v>
      </c>
      <c r="E77" s="92">
        <f t="shared" si="0"/>
        <v>2</v>
      </c>
      <c r="F77" s="97">
        <v>2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26'!G78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26'!G79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26'!G80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26'!G81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26'!G82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26'!G83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26'!G84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26'!G85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26'!G86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26'!G87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26'!G88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26'!G89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26'!G90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26'!G91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26'!G92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26'!G93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26'!G94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26'!G95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26'!G96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26'!G97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26'!G98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26'!G99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26'!G100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26'!G101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26'!G102</f>
        <v>7</v>
      </c>
      <c r="D102" s="110">
        <v>0</v>
      </c>
      <c r="E102" s="92">
        <f t="shared" si="12"/>
        <v>7</v>
      </c>
      <c r="F102" s="97">
        <v>0</v>
      </c>
      <c r="G102" s="98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26'!G103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26'!G104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26'!G105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26'!G106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26'!G107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26'!G108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26'!G109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26'!G110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26'!G111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26'!G112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26'!G113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26'!G114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26'!G115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26'!G116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26'!G117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26'!G118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26'!G119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26'!G120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26'!G121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26'!G122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26'!G123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26'!G124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26'!G125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26'!G126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26'!G127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26'!G128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26'!G129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26'!G130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26'!G131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26'!G132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26'!G133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26'!G134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26'!G135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26'!G136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26'!G137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26'!G138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26'!G139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26'!G140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26'!G141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26'!G142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26'!G143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26'!G144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26'!G145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26'!G146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26'!G147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26'!G148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26'!G149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26'!G150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26'!G151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26'!G152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26'!G153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26'!G154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26'!G155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26'!G156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26'!G157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26'!G158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26'!G159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26'!G160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26'!G161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26'!G162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26'!G163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26'!G164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26'!G165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26'!G166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26'!G167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26'!G168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26'!G169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26'!G170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26'!G171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26'!G172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26'!G173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26'!G174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26'!G175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26'!G176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26'!G177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26'!G178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26'!G179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26'!G180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26'!G181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26'!G182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26'!G183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26'!G184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26'!G185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26'!G186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26'!G187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26'!G188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26'!G189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26'!G190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26'!G191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26'!G192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26'!G193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26'!G194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26'!G195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26'!G196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26'!G197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26'!G198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26'!G199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26'!G200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26'!G201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26'!G202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26'!G203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26'!G204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dimension ref="A1:Z291"/>
  <sheetViews>
    <sheetView zoomScale="85" zoomScaleNormal="85" workbookViewId="0">
      <pane xSplit="5" ySplit="4" topLeftCell="F206" activePane="bottomRight" state="frozen"/>
      <selection activeCell="K217" sqref="K217"/>
      <selection pane="topRight" activeCell="K217" sqref="K217"/>
      <selection pane="bottomLeft" activeCell="K217" sqref="K217"/>
      <selection pane="bottomRight" activeCell="K12" sqref="K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27'!G5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27'!G6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27'!G7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27'!G8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27'!G9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27'!G10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27'!G11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27'!G12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27'!G13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27'!G14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27'!G15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27'!G16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27'!G17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27'!G18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27'!G19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27'!G20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27'!G21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27'!G22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27'!G23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27'!G24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27'!G25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27'!G26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27'!G27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27'!G28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27'!G29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27'!G30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27'!G31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27'!G32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27'!G33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27'!G34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27'!G35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27'!G36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27'!G37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27'!G38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27'!G39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27'!G40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27'!G41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27'!G42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27'!G43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27'!G44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27'!G45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27'!G46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27'!G47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27'!G48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27'!G49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27'!G50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27'!G51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27'!G52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27'!G53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27'!G54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27'!G55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27'!G56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27'!G57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27'!G58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27'!G59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27'!G60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27'!G61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27'!G62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27'!G63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27'!G64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27'!G65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27'!G66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27'!G67</f>
        <v>-2</v>
      </c>
      <c r="D67" s="110">
        <v>0</v>
      </c>
      <c r="E67" s="92">
        <f t="shared" si="0"/>
        <v>-2</v>
      </c>
      <c r="F67" s="97">
        <v>0</v>
      </c>
      <c r="G67" s="99">
        <f t="shared" si="1"/>
        <v>-2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27'!G68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27'!G69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27'!G70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27'!G71</f>
        <v>-1</v>
      </c>
      <c r="D71" s="110">
        <v>0</v>
      </c>
      <c r="E71" s="92">
        <f t="shared" si="0"/>
        <v>-1</v>
      </c>
      <c r="F71" s="97">
        <v>0</v>
      </c>
      <c r="G71" s="99">
        <f t="shared" si="1"/>
        <v>-1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27'!G72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27'!G73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27'!G74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27'!G75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27'!G76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27'!G77</f>
        <v>0</v>
      </c>
      <c r="D77" s="110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27'!G78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27'!G79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27'!G80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27'!G81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27'!G82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27'!G83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27'!G84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27'!G85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27'!G86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27'!G87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27'!G88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27'!G89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27'!G90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27'!G91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27'!G92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27'!G93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27'!G94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27'!G95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27'!G96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27'!G97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27'!G98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27'!G99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27'!G100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27'!G101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27'!G102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27'!G103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27'!G104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27'!G105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27'!G106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27'!G107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27'!G108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27'!G109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27'!G110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27'!G111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27'!G112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27'!G113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27'!G114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27'!G115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27'!G116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27'!G117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27'!G118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27'!G119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27'!G120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27'!G121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27'!G122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27'!G123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27'!G124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27'!G125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27'!G126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27'!G127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27'!G128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27'!G129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27'!G130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27'!G131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27'!G132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27'!G133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27'!G134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27'!G135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27'!G136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27'!G137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27'!G138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27'!G139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27'!G140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27'!G141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27'!G142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27'!G143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27'!G144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27'!G145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27'!G146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27'!G147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27'!G148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27'!G149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27'!G150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27'!G151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27'!G152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27'!G153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27'!G154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27'!G155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27'!G156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27'!G157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27'!G158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27'!G159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27'!G160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27'!G161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27'!G162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27'!G163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27'!G164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27'!G165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27'!G166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27'!G167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27'!G168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27'!G169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27'!G170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27'!G171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27'!G172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27'!G173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27'!G174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27'!G175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27'!G176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27'!G177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27'!G178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27'!G179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27'!G180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27'!G181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27'!G182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27'!G183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27'!G184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27'!G185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27'!G186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27'!G187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27'!G188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27'!G189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27'!G190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27'!G191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27'!G192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27'!G193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27'!G194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27'!G195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27'!G196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27'!G197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27'!G198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27'!G199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27'!G200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27'!G201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27'!G202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27'!G203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27'!G204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211" sqref="K21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28'!G5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28'!G6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28'!G7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28'!G8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28'!G9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28'!G10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28'!G11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28'!G12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28'!G13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28'!G14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28'!G15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28'!G16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28'!G17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28'!G18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28'!G19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28'!G20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28'!G21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28'!G22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28'!G23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28'!G24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28'!G25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28'!G26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28'!G27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28'!G28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28'!G29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28'!G30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28'!G31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28'!G32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28'!G33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28'!G34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28'!G35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28'!G36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28'!G37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28'!G38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28'!G39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28'!G40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28'!G41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28'!G42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28'!G43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28'!G44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28'!G45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28'!G46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28'!G47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28'!G48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28'!G49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28'!G50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28'!G51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28'!G52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28'!G53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28'!G54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28'!G55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28'!G56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28'!G57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28'!G58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28'!G59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28'!G60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28'!G61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28'!G62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28'!G63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28'!G64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28'!G65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28'!G66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28'!G67</f>
        <v>-2</v>
      </c>
      <c r="D67" s="110">
        <v>0</v>
      </c>
      <c r="E67" s="92">
        <f t="shared" si="0"/>
        <v>-2</v>
      </c>
      <c r="F67" s="97">
        <v>0</v>
      </c>
      <c r="G67" s="99">
        <f t="shared" si="1"/>
        <v>-2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28'!G68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28'!G69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28'!G70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28'!G71</f>
        <v>-1</v>
      </c>
      <c r="D71" s="110">
        <v>0</v>
      </c>
      <c r="E71" s="92">
        <f t="shared" si="0"/>
        <v>-1</v>
      </c>
      <c r="F71" s="97">
        <v>0</v>
      </c>
      <c r="G71" s="99">
        <f t="shared" si="1"/>
        <v>-1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28'!G72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28'!G73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28'!G74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28'!G75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28'!G76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28'!G77</f>
        <v>0</v>
      </c>
      <c r="D77" s="110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28'!G78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28'!G79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28'!G80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28'!G81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28'!G82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28'!G83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28'!G84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28'!G85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28'!G86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28'!G87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28'!G88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28'!G89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28'!G90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28'!G91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28'!G92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28'!G93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28'!G94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28'!G95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28'!G96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28'!G97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28'!G98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28'!G99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28'!G100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28'!G101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28'!G102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28'!G103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28'!G104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28'!G105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28'!G106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28'!G107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28'!G108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28'!G109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28'!G110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28'!G111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28'!G112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28'!G113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28'!G114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28'!G115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28'!G116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28'!G117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28'!G118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28'!G119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28'!G120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28'!G121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28'!G122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28'!G123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28'!G124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28'!G125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28'!G126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28'!G127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28'!G128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28'!G129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28'!G130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28'!G131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28'!G132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28'!G133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28'!G134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28'!G135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28'!G136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28'!G137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28'!G138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28'!G139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28'!G140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28'!G141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28'!G142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28'!G143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28'!G144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28'!G145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28'!G146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28'!G147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28'!G148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28'!G149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28'!G150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28'!G151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28'!G152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28'!G153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28'!G154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28'!G155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28'!G156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28'!G157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28'!G158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28'!G159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28'!G160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28'!G161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28'!G162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28'!G163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28'!G164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28'!G165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28'!G166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28'!G167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28'!G168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28'!G169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28'!G170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28'!G171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28'!G172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28'!G173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28'!G174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28'!G175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28'!G176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28'!G177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28'!G178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28'!G179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28'!G180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28'!G181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28'!G182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28'!G183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28'!G184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28'!G185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28'!G186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28'!G187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28'!G188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28'!G189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28'!G190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28'!G191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28'!G192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28'!G193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28'!G194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28'!G195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28'!G196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28'!G197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28'!G198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28'!G199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28'!G200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28'!G201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28'!G202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28'!G203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28'!G204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dimension ref="A1:Z291"/>
  <sheetViews>
    <sheetView zoomScale="85" zoomScaleNormal="85" workbookViewId="0">
      <pane xSplit="5" ySplit="4" topLeftCell="F209" activePane="bottomRight" state="frozen"/>
      <selection activeCell="K217" sqref="K217"/>
      <selection pane="topRight" activeCell="K217" sqref="K217"/>
      <selection pane="bottomLeft" activeCell="K217" sqref="K217"/>
      <selection pane="bottomRight" activeCell="K6" sqref="K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29'!G5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29'!G6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29'!G7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29'!G8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29'!G9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29'!G10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29'!G11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29'!G12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29'!G13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29'!G14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29'!G15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29'!G16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29'!G17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29'!G18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29'!G19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29'!G20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29'!G21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29'!G22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29'!G23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29'!G24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29'!G25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29'!G26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29'!G27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29'!G28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29'!G29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29'!G30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29'!G31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29'!G32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29'!G33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29'!G34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29'!G35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29'!G36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29'!G37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29'!G38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29'!G39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29'!G40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29'!G41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29'!G42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29'!G43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29'!G44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29'!G45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29'!G46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29'!G47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29'!G48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29'!G49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29'!G50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29'!G51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29'!G52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29'!G53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29'!G54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29'!G55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29'!G56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29'!G57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29'!G58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29'!G59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29'!G60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29'!G61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29'!G62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29'!G63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29'!G64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29'!G65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29'!G66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29'!G67</f>
        <v>-2</v>
      </c>
      <c r="D67" s="110">
        <v>0</v>
      </c>
      <c r="E67" s="92">
        <f t="shared" si="0"/>
        <v>-2</v>
      </c>
      <c r="F67" s="97">
        <v>0</v>
      </c>
      <c r="G67" s="99">
        <f t="shared" si="1"/>
        <v>-2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29'!G68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29'!G69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29'!G70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29'!G71</f>
        <v>-1</v>
      </c>
      <c r="D71" s="110">
        <v>0</v>
      </c>
      <c r="E71" s="92">
        <f t="shared" si="0"/>
        <v>-1</v>
      </c>
      <c r="F71" s="97">
        <v>0</v>
      </c>
      <c r="G71" s="99">
        <f t="shared" si="1"/>
        <v>-1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29'!G72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29'!G73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29'!G74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29'!G75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29'!G76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29'!G77</f>
        <v>0</v>
      </c>
      <c r="D77" s="110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29'!G78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29'!G79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29'!G80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29'!G81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29'!G82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29'!G83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29'!G84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29'!G85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29'!G86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29'!G87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29'!G88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29'!G89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29'!G90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29'!G91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29'!G92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29'!G93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29'!G94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29'!G95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29'!G96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29'!G97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29'!G98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29'!G99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29'!G100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29'!G101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29'!G102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29'!G103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29'!G104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29'!G105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29'!G106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29'!G107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29'!G108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29'!G109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29'!G110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29'!G111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29'!G112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29'!G113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29'!G114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29'!G115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29'!G116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29'!G117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29'!G118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29'!G119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29'!G120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29'!G121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29'!G122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29'!G123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29'!G124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29'!G125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29'!G126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29'!G127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29'!G128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29'!G129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29'!G130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29'!G131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29'!G132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29'!G133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29'!G134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29'!G135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29'!G136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29'!G137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29'!G138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29'!G139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29'!G140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29'!G141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29'!G142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29'!G143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29'!G144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29'!G145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29'!G146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29'!G147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29'!G148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29'!G149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29'!G150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29'!G151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29'!G152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29'!G153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29'!G154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29'!G155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29'!G156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29'!G157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29'!G158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29'!G159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29'!G160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29'!G161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29'!G162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29'!G163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29'!G164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29'!G165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29'!G166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29'!G167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29'!G168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29'!G169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29'!G170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29'!G171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29'!G172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29'!G173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29'!G174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29'!G175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29'!G176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29'!G177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29'!G178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29'!G179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29'!G180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29'!G181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29'!G182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29'!G183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29'!G184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29'!G185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29'!G186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29'!G187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29'!G188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29'!G189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29'!G190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29'!G191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29'!G192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29'!G193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29'!G194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29'!G195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29'!G196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29'!G197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29'!G198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29'!G199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29'!G200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29'!G201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29'!G202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29'!G203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29'!G204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>
        <v>0</v>
      </c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dimension ref="A1:Z291"/>
  <sheetViews>
    <sheetView zoomScale="85" zoomScaleNormal="85" workbookViewId="0">
      <pane xSplit="5" ySplit="4" topLeftCell="F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7" sqref="K21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75" t="s">
        <v>247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O2" s="156" t="s">
        <v>0</v>
      </c>
      <c r="P2" s="156"/>
      <c r="Q2" s="156"/>
      <c r="R2" s="156"/>
      <c r="S2" s="156"/>
      <c r="T2" s="156"/>
      <c r="U2" s="156"/>
      <c r="V2" s="156"/>
      <c r="W2" s="156"/>
      <c r="X2" s="156"/>
      <c r="Y2" s="156"/>
    </row>
    <row r="3" spans="1:26" s="5" customFormat="1" ht="26.25">
      <c r="A3" s="157" t="s">
        <v>1</v>
      </c>
      <c r="B3" s="159" t="s">
        <v>2</v>
      </c>
      <c r="C3" s="161" t="s">
        <v>3</v>
      </c>
      <c r="D3" s="163" t="s">
        <v>4</v>
      </c>
      <c r="E3" s="165" t="s">
        <v>5</v>
      </c>
      <c r="F3" s="95" t="s">
        <v>6</v>
      </c>
      <c r="G3" s="163" t="s">
        <v>7</v>
      </c>
      <c r="H3" s="167" t="s">
        <v>8</v>
      </c>
      <c r="I3" s="168"/>
      <c r="J3" s="169"/>
      <c r="K3" s="170" t="s">
        <v>9</v>
      </c>
      <c r="L3" s="185" t="s">
        <v>10</v>
      </c>
      <c r="O3" s="187" t="s">
        <v>1</v>
      </c>
      <c r="P3" s="187" t="s">
        <v>2</v>
      </c>
      <c r="Q3" s="180" t="s">
        <v>3</v>
      </c>
      <c r="R3" s="180" t="s">
        <v>4</v>
      </c>
      <c r="S3" s="180" t="s">
        <v>5</v>
      </c>
      <c r="T3" s="4" t="s">
        <v>6</v>
      </c>
      <c r="U3" s="172" t="s">
        <v>7</v>
      </c>
      <c r="V3" s="167" t="s">
        <v>8</v>
      </c>
      <c r="W3" s="168"/>
      <c r="X3" s="169"/>
      <c r="Y3" s="174" t="s">
        <v>9</v>
      </c>
      <c r="Z3" s="176" t="s">
        <v>10</v>
      </c>
    </row>
    <row r="4" spans="1:26" s="5" customFormat="1" ht="27" thickBot="1">
      <c r="A4" s="158"/>
      <c r="B4" s="160"/>
      <c r="C4" s="162"/>
      <c r="D4" s="164"/>
      <c r="E4" s="166"/>
      <c r="F4" s="96" t="s">
        <v>11</v>
      </c>
      <c r="G4" s="164"/>
      <c r="H4" s="7" t="s">
        <v>12</v>
      </c>
      <c r="I4" s="8" t="s">
        <v>13</v>
      </c>
      <c r="J4" s="9" t="s">
        <v>14</v>
      </c>
      <c r="K4" s="171"/>
      <c r="L4" s="186"/>
      <c r="O4" s="187"/>
      <c r="P4" s="187"/>
      <c r="Q4" s="181"/>
      <c r="R4" s="181"/>
      <c r="S4" s="181"/>
      <c r="T4" s="6" t="s">
        <v>11</v>
      </c>
      <c r="U4" s="173"/>
      <c r="V4" s="7" t="s">
        <v>12</v>
      </c>
      <c r="W4" s="8" t="s">
        <v>13</v>
      </c>
      <c r="X4" s="9" t="s">
        <v>14</v>
      </c>
      <c r="Y4" s="171"/>
      <c r="Z4" s="176"/>
    </row>
    <row r="5" spans="1:26" ht="25.5">
      <c r="A5" s="111">
        <v>1</v>
      </c>
      <c r="B5" s="11" t="s">
        <v>15</v>
      </c>
      <c r="C5" s="105">
        <f>+'วันที่ 30'!G5</f>
        <v>9</v>
      </c>
      <c r="D5" s="110">
        <v>0</v>
      </c>
      <c r="E5" s="92">
        <f t="shared" ref="E5:E94" si="0">C5+D5</f>
        <v>9</v>
      </c>
      <c r="F5" s="97">
        <v>0</v>
      </c>
      <c r="G5" s="98">
        <f t="shared" ref="G5:G94" si="1">E5-F5-H5</f>
        <v>9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2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3">
        <v>2</v>
      </c>
      <c r="B6" s="81" t="s">
        <v>17</v>
      </c>
      <c r="C6" s="105">
        <f>+'วันที่ 30'!G6</f>
        <v>22</v>
      </c>
      <c r="D6" s="110">
        <v>0</v>
      </c>
      <c r="E6" s="107">
        <f t="shared" si="0"/>
        <v>22</v>
      </c>
      <c r="F6" s="97">
        <v>0</v>
      </c>
      <c r="G6" s="100">
        <f t="shared" si="1"/>
        <v>22</v>
      </c>
      <c r="H6" s="14">
        <v>0</v>
      </c>
      <c r="I6" s="117">
        <v>100</v>
      </c>
      <c r="J6" s="118">
        <f t="shared" si="2"/>
        <v>0</v>
      </c>
      <c r="K6" s="17" t="s">
        <v>16</v>
      </c>
      <c r="L6" s="112">
        <v>0</v>
      </c>
      <c r="M6" s="119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7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1">
        <v>3</v>
      </c>
      <c r="B7" s="11" t="s">
        <v>18</v>
      </c>
      <c r="C7" s="105">
        <f>+'วันที่ 30'!G7</f>
        <v>0</v>
      </c>
      <c r="D7" s="110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2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1">
        <v>4</v>
      </c>
      <c r="B8" s="11" t="s">
        <v>19</v>
      </c>
      <c r="C8" s="105">
        <f>+'วันที่ 30'!G8</f>
        <v>0</v>
      </c>
      <c r="D8" s="110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2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1">
        <v>5</v>
      </c>
      <c r="B9" s="11" t="s">
        <v>20</v>
      </c>
      <c r="C9" s="105">
        <f>+'วันที่ 30'!G9</f>
        <v>0</v>
      </c>
      <c r="D9" s="110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2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1">
        <v>6</v>
      </c>
      <c r="B10" s="11" t="s">
        <v>21</v>
      </c>
      <c r="C10" s="105">
        <f>+'วันที่ 30'!G10</f>
        <v>0</v>
      </c>
      <c r="D10" s="110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2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1">
        <v>7</v>
      </c>
      <c r="B11" s="11" t="s">
        <v>22</v>
      </c>
      <c r="C11" s="105">
        <f>+'วันที่ 30'!G11</f>
        <v>0</v>
      </c>
      <c r="D11" s="110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2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1">
        <v>8</v>
      </c>
      <c r="B12" s="11" t="s">
        <v>23</v>
      </c>
      <c r="C12" s="105">
        <f>+'วันที่ 30'!G12</f>
        <v>7</v>
      </c>
      <c r="D12" s="110">
        <v>0</v>
      </c>
      <c r="E12" s="92">
        <f t="shared" si="0"/>
        <v>7</v>
      </c>
      <c r="F12" s="97">
        <v>0</v>
      </c>
      <c r="G12" s="99">
        <f t="shared" si="1"/>
        <v>7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2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1">
        <v>9</v>
      </c>
      <c r="B13" s="11" t="s">
        <v>24</v>
      </c>
      <c r="C13" s="105">
        <f>+'วันที่ 30'!G13</f>
        <v>0</v>
      </c>
      <c r="D13" s="110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2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1">
        <v>10</v>
      </c>
      <c r="B14" s="11" t="s">
        <v>25</v>
      </c>
      <c r="C14" s="105">
        <f>+'วันที่ 30'!G14</f>
        <v>-1</v>
      </c>
      <c r="D14" s="110">
        <v>0</v>
      </c>
      <c r="E14" s="92">
        <f t="shared" si="0"/>
        <v>-1</v>
      </c>
      <c r="F14" s="97">
        <v>0</v>
      </c>
      <c r="G14" s="99">
        <f t="shared" si="1"/>
        <v>-1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2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3">
        <v>11</v>
      </c>
      <c r="B15" s="81" t="s">
        <v>26</v>
      </c>
      <c r="C15" s="105">
        <f>+'วันที่ 30'!G15</f>
        <v>5</v>
      </c>
      <c r="D15" s="110">
        <v>0</v>
      </c>
      <c r="E15" s="107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2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1">
        <v>12</v>
      </c>
      <c r="B16" s="11" t="s">
        <v>27</v>
      </c>
      <c r="C16" s="105">
        <f>+'วันที่ 30'!G16</f>
        <v>0</v>
      </c>
      <c r="D16" s="110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2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1">
        <v>13</v>
      </c>
      <c r="B17" s="11" t="s">
        <v>28</v>
      </c>
      <c r="C17" s="105">
        <f>+'วันที่ 30'!G17</f>
        <v>4</v>
      </c>
      <c r="D17" s="110">
        <v>0</v>
      </c>
      <c r="E17" s="92">
        <f t="shared" si="0"/>
        <v>4</v>
      </c>
      <c r="F17" s="97">
        <v>0</v>
      </c>
      <c r="G17" s="99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2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1">
        <v>14</v>
      </c>
      <c r="B18" s="11" t="s">
        <v>29</v>
      </c>
      <c r="C18" s="105">
        <f>+'วันที่ 30'!G18</f>
        <v>0</v>
      </c>
      <c r="D18" s="110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2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1">
        <v>15</v>
      </c>
      <c r="B19" s="11" t="s">
        <v>30</v>
      </c>
      <c r="C19" s="105">
        <f>+'วันที่ 30'!G19</f>
        <v>14</v>
      </c>
      <c r="D19" s="110">
        <v>0</v>
      </c>
      <c r="E19" s="92">
        <f t="shared" si="0"/>
        <v>14</v>
      </c>
      <c r="F19" s="97">
        <v>0</v>
      </c>
      <c r="G19" s="99">
        <f t="shared" si="1"/>
        <v>14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2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1">
        <v>16</v>
      </c>
      <c r="B20" s="11" t="s">
        <v>31</v>
      </c>
      <c r="C20" s="105">
        <f>+'วันที่ 30'!G20</f>
        <v>0</v>
      </c>
      <c r="D20" s="110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2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1">
        <v>17</v>
      </c>
      <c r="B21" s="11" t="s">
        <v>32</v>
      </c>
      <c r="C21" s="105">
        <f>+'วันที่ 30'!G21</f>
        <v>0</v>
      </c>
      <c r="D21" s="110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2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1">
        <v>18</v>
      </c>
      <c r="B22" s="11" t="s">
        <v>33</v>
      </c>
      <c r="C22" s="105">
        <f>+'วันที่ 30'!G22</f>
        <v>0</v>
      </c>
      <c r="D22" s="110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2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1">
        <v>19</v>
      </c>
      <c r="B23" s="11" t="s">
        <v>34</v>
      </c>
      <c r="C23" s="105">
        <f>+'วันที่ 30'!G23</f>
        <v>13</v>
      </c>
      <c r="D23" s="110">
        <v>0</v>
      </c>
      <c r="E23" s="92">
        <f t="shared" si="0"/>
        <v>13</v>
      </c>
      <c r="F23" s="97">
        <v>0</v>
      </c>
      <c r="G23" s="99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2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1">
        <v>20</v>
      </c>
      <c r="B24" s="11" t="s">
        <v>35</v>
      </c>
      <c r="C24" s="105">
        <f>+'วันที่ 30'!G24</f>
        <v>0</v>
      </c>
      <c r="D24" s="110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2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1">
        <v>21</v>
      </c>
      <c r="B25" s="11" t="s">
        <v>36</v>
      </c>
      <c r="C25" s="105">
        <f>+'วันที่ 30'!G25</f>
        <v>0</v>
      </c>
      <c r="D25" s="110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2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1">
        <v>22</v>
      </c>
      <c r="B26" s="11" t="s">
        <v>37</v>
      </c>
      <c r="C26" s="105">
        <f>+'วันที่ 30'!G26</f>
        <v>0</v>
      </c>
      <c r="D26" s="110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2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1">
        <v>23</v>
      </c>
      <c r="B27" s="11" t="s">
        <v>38</v>
      </c>
      <c r="C27" s="105">
        <f>+'วันที่ 30'!G27</f>
        <v>0</v>
      </c>
      <c r="D27" s="110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2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1">
        <v>24</v>
      </c>
      <c r="B28" s="11" t="s">
        <v>39</v>
      </c>
      <c r="C28" s="105">
        <f>+'วันที่ 30'!G28</f>
        <v>0</v>
      </c>
      <c r="D28" s="110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2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1">
        <v>25</v>
      </c>
      <c r="B29" s="11" t="s">
        <v>40</v>
      </c>
      <c r="C29" s="105">
        <f>+'วันที่ 30'!G29</f>
        <v>0</v>
      </c>
      <c r="D29" s="110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2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1">
        <v>26</v>
      </c>
      <c r="B30" s="11" t="s">
        <v>41</v>
      </c>
      <c r="C30" s="105">
        <f>+'วันที่ 30'!G30</f>
        <v>0</v>
      </c>
      <c r="D30" s="110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2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1">
        <v>27</v>
      </c>
      <c r="B31" s="11" t="s">
        <v>42</v>
      </c>
      <c r="C31" s="105">
        <f>+'วันที่ 30'!G31</f>
        <v>0</v>
      </c>
      <c r="D31" s="110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2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1">
        <v>28</v>
      </c>
      <c r="B32" s="11" t="s">
        <v>43</v>
      </c>
      <c r="C32" s="105">
        <f>+'วันที่ 30'!G32</f>
        <v>0</v>
      </c>
      <c r="D32" s="110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2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1">
        <v>29</v>
      </c>
      <c r="B33" s="11" t="s">
        <v>44</v>
      </c>
      <c r="C33" s="105">
        <f>+'วันที่ 30'!G33</f>
        <v>0</v>
      </c>
      <c r="D33" s="110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2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1">
        <v>30</v>
      </c>
      <c r="B34" s="11" t="s">
        <v>45</v>
      </c>
      <c r="C34" s="105">
        <f>+'วันที่ 30'!G34</f>
        <v>0</v>
      </c>
      <c r="D34" s="110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2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1">
        <v>31</v>
      </c>
      <c r="B35" s="11" t="s">
        <v>46</v>
      </c>
      <c r="C35" s="105">
        <f>+'วันที่ 30'!G35</f>
        <v>1</v>
      </c>
      <c r="D35" s="110">
        <v>0</v>
      </c>
      <c r="E35" s="92">
        <f t="shared" si="0"/>
        <v>1</v>
      </c>
      <c r="F35" s="97">
        <v>0</v>
      </c>
      <c r="G35" s="98">
        <f t="shared" si="1"/>
        <v>1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2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1">
        <v>32</v>
      </c>
      <c r="B36" s="11" t="s">
        <v>47</v>
      </c>
      <c r="C36" s="105">
        <f>+'วันที่ 30'!G36</f>
        <v>0</v>
      </c>
      <c r="D36" s="110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2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1">
        <v>33</v>
      </c>
      <c r="B37" s="11" t="s">
        <v>48</v>
      </c>
      <c r="C37" s="105">
        <f>+'วันที่ 30'!G37</f>
        <v>0</v>
      </c>
      <c r="D37" s="110">
        <v>0</v>
      </c>
      <c r="E37" s="92">
        <f t="shared" si="0"/>
        <v>0</v>
      </c>
      <c r="F37" s="97">
        <v>0</v>
      </c>
      <c r="G37" s="99">
        <f t="shared" si="1"/>
        <v>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2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1">
        <v>34</v>
      </c>
      <c r="B38" s="11" t="s">
        <v>49</v>
      </c>
      <c r="C38" s="105">
        <f>+'วันที่ 30'!G38</f>
        <v>3</v>
      </c>
      <c r="D38" s="110">
        <v>0</v>
      </c>
      <c r="E38" s="92">
        <f t="shared" si="0"/>
        <v>3</v>
      </c>
      <c r="F38" s="97">
        <v>0</v>
      </c>
      <c r="G38" s="99">
        <f t="shared" si="1"/>
        <v>3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2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1">
        <v>35</v>
      </c>
      <c r="B39" s="11" t="s">
        <v>50</v>
      </c>
      <c r="C39" s="105">
        <f>+'วันที่ 30'!G39</f>
        <v>1</v>
      </c>
      <c r="D39" s="110">
        <v>0</v>
      </c>
      <c r="E39" s="92">
        <f t="shared" si="0"/>
        <v>1</v>
      </c>
      <c r="F39" s="97">
        <v>0</v>
      </c>
      <c r="G39" s="99">
        <f t="shared" si="1"/>
        <v>1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2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1">
        <v>36</v>
      </c>
      <c r="B40" s="11" t="s">
        <v>51</v>
      </c>
      <c r="C40" s="105">
        <f>+'วันที่ 30'!G40</f>
        <v>3</v>
      </c>
      <c r="D40" s="110">
        <v>0</v>
      </c>
      <c r="E40" s="92">
        <f t="shared" si="0"/>
        <v>3</v>
      </c>
      <c r="F40" s="97">
        <v>0</v>
      </c>
      <c r="G40" s="99">
        <f t="shared" si="1"/>
        <v>3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2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1">
        <v>37</v>
      </c>
      <c r="B41" s="11" t="s">
        <v>52</v>
      </c>
      <c r="C41" s="105">
        <f>+'วันที่ 30'!G41</f>
        <v>4</v>
      </c>
      <c r="D41" s="110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2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1">
        <v>38</v>
      </c>
      <c r="B42" s="11" t="s">
        <v>53</v>
      </c>
      <c r="C42" s="105">
        <f>+'วันที่ 30'!G42</f>
        <v>8</v>
      </c>
      <c r="D42" s="110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2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1">
        <v>39</v>
      </c>
      <c r="B43" s="11" t="s">
        <v>54</v>
      </c>
      <c r="C43" s="105">
        <f>+'วันที่ 30'!G43</f>
        <v>7</v>
      </c>
      <c r="D43" s="110">
        <v>0</v>
      </c>
      <c r="E43" s="92">
        <f t="shared" si="0"/>
        <v>7</v>
      </c>
      <c r="F43" s="97">
        <v>0</v>
      </c>
      <c r="G43" s="99">
        <f t="shared" si="1"/>
        <v>7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2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1">
        <v>40</v>
      </c>
      <c r="B44" s="11" t="s">
        <v>55</v>
      </c>
      <c r="C44" s="105">
        <f>+'วันที่ 30'!G44</f>
        <v>3</v>
      </c>
      <c r="D44" s="110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2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1">
        <v>41</v>
      </c>
      <c r="B45" s="11" t="s">
        <v>56</v>
      </c>
      <c r="C45" s="105">
        <f>+'วันที่ 30'!G45</f>
        <v>0</v>
      </c>
      <c r="D45" s="110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2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1">
        <v>42</v>
      </c>
      <c r="B46" s="11" t="s">
        <v>57</v>
      </c>
      <c r="C46" s="105">
        <f>+'วันที่ 30'!G46</f>
        <v>14</v>
      </c>
      <c r="D46" s="110">
        <v>0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2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1">
        <v>43</v>
      </c>
      <c r="B47" s="11" t="s">
        <v>58</v>
      </c>
      <c r="C47" s="105">
        <f>+'วันที่ 30'!G47</f>
        <v>3</v>
      </c>
      <c r="D47" s="110">
        <v>0</v>
      </c>
      <c r="E47" s="92">
        <f t="shared" si="0"/>
        <v>3</v>
      </c>
      <c r="F47" s="97">
        <v>0</v>
      </c>
      <c r="G47" s="99">
        <f t="shared" si="1"/>
        <v>3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2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1">
        <v>44</v>
      </c>
      <c r="B48" s="11" t="s">
        <v>59</v>
      </c>
      <c r="C48" s="105">
        <f>+'วันที่ 30'!G48</f>
        <v>3</v>
      </c>
      <c r="D48" s="110">
        <v>0</v>
      </c>
      <c r="E48" s="92">
        <f t="shared" si="0"/>
        <v>3</v>
      </c>
      <c r="F48" s="97">
        <v>0</v>
      </c>
      <c r="G48" s="99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2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1">
        <v>45</v>
      </c>
      <c r="B49" s="11" t="s">
        <v>60</v>
      </c>
      <c r="C49" s="105">
        <f>+'วันที่ 30'!G49</f>
        <v>0</v>
      </c>
      <c r="D49" s="110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2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1">
        <v>46</v>
      </c>
      <c r="B50" s="11" t="s">
        <v>61</v>
      </c>
      <c r="C50" s="105">
        <f>+'วันที่ 30'!G50</f>
        <v>3</v>
      </c>
      <c r="D50" s="110">
        <v>0</v>
      </c>
      <c r="E50" s="92">
        <f t="shared" si="0"/>
        <v>3</v>
      </c>
      <c r="F50" s="97">
        <v>0</v>
      </c>
      <c r="G50" s="99">
        <f t="shared" si="1"/>
        <v>3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2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1">
        <v>47</v>
      </c>
      <c r="B51" s="11" t="s">
        <v>62</v>
      </c>
      <c r="C51" s="105">
        <f>+'วันที่ 30'!G51</f>
        <v>0</v>
      </c>
      <c r="D51" s="110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2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1">
        <v>48</v>
      </c>
      <c r="B52" s="11" t="s">
        <v>63</v>
      </c>
      <c r="C52" s="105">
        <f>+'วันที่ 30'!G52</f>
        <v>0</v>
      </c>
      <c r="D52" s="110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2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1">
        <v>49</v>
      </c>
      <c r="B53" s="11" t="s">
        <v>64</v>
      </c>
      <c r="C53" s="105">
        <f>+'วันที่ 30'!G53</f>
        <v>0</v>
      </c>
      <c r="D53" s="110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2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1">
        <v>50</v>
      </c>
      <c r="B54" s="11" t="s">
        <v>65</v>
      </c>
      <c r="C54" s="105">
        <f>+'วันที่ 30'!G54</f>
        <v>0</v>
      </c>
      <c r="D54" s="110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2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1">
        <v>51</v>
      </c>
      <c r="B55" s="11" t="s">
        <v>66</v>
      </c>
      <c r="C55" s="105">
        <f>+'วันที่ 30'!G55</f>
        <v>2</v>
      </c>
      <c r="D55" s="110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2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1">
        <v>52</v>
      </c>
      <c r="B56" s="11" t="s">
        <v>67</v>
      </c>
      <c r="C56" s="105">
        <f>+'วันที่ 30'!G56</f>
        <v>0</v>
      </c>
      <c r="D56" s="110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2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1">
        <v>53</v>
      </c>
      <c r="B57" s="11" t="s">
        <v>68</v>
      </c>
      <c r="C57" s="105">
        <f>+'วันที่ 30'!G57</f>
        <v>0</v>
      </c>
      <c r="D57" s="110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2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1">
        <v>54</v>
      </c>
      <c r="B58" s="11" t="s">
        <v>69</v>
      </c>
      <c r="C58" s="105">
        <f>+'วันที่ 30'!G58</f>
        <v>0</v>
      </c>
      <c r="D58" s="110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2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1">
        <v>55</v>
      </c>
      <c r="B59" s="11" t="s">
        <v>70</v>
      </c>
      <c r="C59" s="105">
        <f>+'วันที่ 30'!G59</f>
        <v>4</v>
      </c>
      <c r="D59" s="110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2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1">
        <v>56</v>
      </c>
      <c r="B60" s="11" t="s">
        <v>71</v>
      </c>
      <c r="C60" s="105">
        <f>+'วันที่ 30'!G60</f>
        <v>2</v>
      </c>
      <c r="D60" s="110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2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1">
        <v>57</v>
      </c>
      <c r="B61" s="11" t="s">
        <v>72</v>
      </c>
      <c r="C61" s="105">
        <f>+'วันที่ 30'!G61</f>
        <v>0</v>
      </c>
      <c r="D61" s="110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2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1">
        <v>58</v>
      </c>
      <c r="B62" s="11" t="s">
        <v>73</v>
      </c>
      <c r="C62" s="105">
        <f>+'วันที่ 30'!G62</f>
        <v>0</v>
      </c>
      <c r="D62" s="110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2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1">
        <v>59</v>
      </c>
      <c r="B63" s="11" t="s">
        <v>74</v>
      </c>
      <c r="C63" s="105">
        <f>+'วันที่ 30'!G63</f>
        <v>0</v>
      </c>
      <c r="D63" s="110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2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1">
        <v>60</v>
      </c>
      <c r="B64" s="11" t="s">
        <v>75</v>
      </c>
      <c r="C64" s="105">
        <f>+'วันที่ 30'!G64</f>
        <v>0</v>
      </c>
      <c r="D64" s="110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2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1">
        <v>61</v>
      </c>
      <c r="B65" s="11" t="s">
        <v>76</v>
      </c>
      <c r="C65" s="105">
        <f>+'วันที่ 30'!G65</f>
        <v>0</v>
      </c>
      <c r="D65" s="110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2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1">
        <v>62</v>
      </c>
      <c r="B66" s="11" t="s">
        <v>77</v>
      </c>
      <c r="C66" s="105">
        <f>+'วันที่ 30'!G66</f>
        <v>0</v>
      </c>
      <c r="D66" s="110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2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1">
        <v>63</v>
      </c>
      <c r="B67" s="11" t="s">
        <v>78</v>
      </c>
      <c r="C67" s="105">
        <f>+'วันที่ 30'!G67</f>
        <v>-2</v>
      </c>
      <c r="D67" s="110">
        <v>0</v>
      </c>
      <c r="E67" s="92">
        <f t="shared" si="0"/>
        <v>-2</v>
      </c>
      <c r="F67" s="97">
        <v>0</v>
      </c>
      <c r="G67" s="99">
        <f t="shared" si="1"/>
        <v>-2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2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1">
        <v>64</v>
      </c>
      <c r="B68" s="11" t="s">
        <v>79</v>
      </c>
      <c r="C68" s="105">
        <f>+'วันที่ 30'!G68</f>
        <v>0</v>
      </c>
      <c r="D68" s="110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2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1">
        <v>65</v>
      </c>
      <c r="B69" s="11" t="s">
        <v>80</v>
      </c>
      <c r="C69" s="105">
        <f>+'วันที่ 30'!G69</f>
        <v>0</v>
      </c>
      <c r="D69" s="110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2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1">
        <v>66</v>
      </c>
      <c r="B70" s="11" t="s">
        <v>81</v>
      </c>
      <c r="C70" s="105">
        <f>+'วันที่ 30'!G70</f>
        <v>0</v>
      </c>
      <c r="D70" s="110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2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1">
        <v>67</v>
      </c>
      <c r="B71" s="11" t="s">
        <v>82</v>
      </c>
      <c r="C71" s="105">
        <f>+'วันที่ 30'!G71</f>
        <v>-1</v>
      </c>
      <c r="D71" s="110">
        <v>0</v>
      </c>
      <c r="E71" s="92">
        <f t="shared" si="0"/>
        <v>-1</v>
      </c>
      <c r="F71" s="97">
        <v>0</v>
      </c>
      <c r="G71" s="99">
        <f t="shared" si="1"/>
        <v>-1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2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1">
        <v>68</v>
      </c>
      <c r="B72" s="11" t="s">
        <v>83</v>
      </c>
      <c r="C72" s="105">
        <f>+'วันที่ 30'!G72</f>
        <v>0</v>
      </c>
      <c r="D72" s="110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2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1">
        <v>69</v>
      </c>
      <c r="B73" s="11" t="s">
        <v>84</v>
      </c>
      <c r="C73" s="105">
        <f>+'วันที่ 30'!G73</f>
        <v>17</v>
      </c>
      <c r="D73" s="110">
        <v>0</v>
      </c>
      <c r="E73" s="92">
        <f t="shared" si="0"/>
        <v>17</v>
      </c>
      <c r="F73" s="97">
        <v>0</v>
      </c>
      <c r="G73" s="99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2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1">
        <v>70</v>
      </c>
      <c r="B74" s="11" t="s">
        <v>85</v>
      </c>
      <c r="C74" s="105">
        <f>+'วันที่ 30'!G74</f>
        <v>7</v>
      </c>
      <c r="D74" s="110">
        <v>0</v>
      </c>
      <c r="E74" s="92">
        <f t="shared" si="0"/>
        <v>7</v>
      </c>
      <c r="F74" s="97">
        <v>0</v>
      </c>
      <c r="G74" s="98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2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1">
        <v>71</v>
      </c>
      <c r="B75" s="11" t="s">
        <v>86</v>
      </c>
      <c r="C75" s="105">
        <f>+'วันที่ 30'!G75</f>
        <v>0</v>
      </c>
      <c r="D75" s="110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2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1">
        <v>72</v>
      </c>
      <c r="B76" s="11" t="s">
        <v>87</v>
      </c>
      <c r="C76" s="105">
        <f>+'วันที่ 30'!G76</f>
        <v>0</v>
      </c>
      <c r="D76" s="110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2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1">
        <v>73</v>
      </c>
      <c r="B77" s="11" t="s">
        <v>88</v>
      </c>
      <c r="C77" s="105">
        <f>+'วันที่ 30'!G77</f>
        <v>0</v>
      </c>
      <c r="D77" s="110">
        <v>0</v>
      </c>
      <c r="E77" s="92">
        <f t="shared" si="0"/>
        <v>0</v>
      </c>
      <c r="F77" s="97">
        <v>0</v>
      </c>
      <c r="G77" s="98">
        <f t="shared" si="1"/>
        <v>0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2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1">
        <v>74</v>
      </c>
      <c r="B78" s="11" t="s">
        <v>89</v>
      </c>
      <c r="C78" s="105">
        <f>+'วันที่ 30'!G78</f>
        <v>0</v>
      </c>
      <c r="D78" s="110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2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1">
        <v>75</v>
      </c>
      <c r="B79" s="11" t="s">
        <v>90</v>
      </c>
      <c r="C79" s="105">
        <f>+'วันที่ 30'!G79</f>
        <v>3</v>
      </c>
      <c r="D79" s="110">
        <v>0</v>
      </c>
      <c r="E79" s="92">
        <f t="shared" si="0"/>
        <v>3</v>
      </c>
      <c r="F79" s="97">
        <v>0</v>
      </c>
      <c r="G79" s="98">
        <f t="shared" si="1"/>
        <v>3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2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1">
        <v>76</v>
      </c>
      <c r="B80" s="11" t="s">
        <v>91</v>
      </c>
      <c r="C80" s="105">
        <f>+'วันที่ 30'!G80</f>
        <v>0</v>
      </c>
      <c r="D80" s="110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2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1">
        <v>77</v>
      </c>
      <c r="B81" s="11" t="s">
        <v>92</v>
      </c>
      <c r="C81" s="105">
        <f>+'วันที่ 30'!G81</f>
        <v>0</v>
      </c>
      <c r="D81" s="110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2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1">
        <v>78</v>
      </c>
      <c r="B82" s="11" t="s">
        <v>93</v>
      </c>
      <c r="C82" s="105">
        <f>+'วันที่ 30'!G82</f>
        <v>0</v>
      </c>
      <c r="D82" s="110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2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1">
        <v>79</v>
      </c>
      <c r="B83" s="11" t="s">
        <v>94</v>
      </c>
      <c r="C83" s="105">
        <f>+'วันที่ 30'!G83</f>
        <v>0</v>
      </c>
      <c r="D83" s="110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2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1">
        <v>80</v>
      </c>
      <c r="B84" s="11" t="s">
        <v>95</v>
      </c>
      <c r="C84" s="105">
        <f>+'วันที่ 30'!G84</f>
        <v>0</v>
      </c>
      <c r="D84" s="110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2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1">
        <v>81</v>
      </c>
      <c r="B85" s="11" t="s">
        <v>96</v>
      </c>
      <c r="C85" s="105">
        <f>+'วันที่ 30'!G85</f>
        <v>1</v>
      </c>
      <c r="D85" s="110">
        <v>0</v>
      </c>
      <c r="E85" s="92">
        <f t="shared" si="0"/>
        <v>1</v>
      </c>
      <c r="F85" s="97">
        <v>0</v>
      </c>
      <c r="G85" s="99">
        <f t="shared" si="1"/>
        <v>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2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1">
        <v>82</v>
      </c>
      <c r="B86" s="11" t="s">
        <v>97</v>
      </c>
      <c r="C86" s="105">
        <f>+'วันที่ 30'!G86</f>
        <v>7</v>
      </c>
      <c r="D86" s="110">
        <v>0</v>
      </c>
      <c r="E86" s="92">
        <f t="shared" si="0"/>
        <v>7</v>
      </c>
      <c r="F86" s="97">
        <v>0</v>
      </c>
      <c r="G86" s="99">
        <f t="shared" si="1"/>
        <v>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2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1">
        <v>83</v>
      </c>
      <c r="B87" s="11" t="s">
        <v>98</v>
      </c>
      <c r="C87" s="105">
        <f>+'วันที่ 30'!G87</f>
        <v>17</v>
      </c>
      <c r="D87" s="110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2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1">
        <v>84</v>
      </c>
      <c r="B88" s="11" t="s">
        <v>99</v>
      </c>
      <c r="C88" s="105">
        <f>+'วันที่ 30'!G88</f>
        <v>5</v>
      </c>
      <c r="D88" s="110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2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1">
        <v>85</v>
      </c>
      <c r="B89" s="11" t="s">
        <v>100</v>
      </c>
      <c r="C89" s="105">
        <f>+'วันที่ 30'!G89</f>
        <v>0</v>
      </c>
      <c r="D89" s="110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2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1">
        <v>86</v>
      </c>
      <c r="B90" s="11" t="s">
        <v>101</v>
      </c>
      <c r="C90" s="105">
        <f>+'วันที่ 30'!G90</f>
        <v>0</v>
      </c>
      <c r="D90" s="110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2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1">
        <v>87</v>
      </c>
      <c r="B91" s="11" t="s">
        <v>102</v>
      </c>
      <c r="C91" s="105">
        <f>+'วันที่ 30'!G91</f>
        <v>0</v>
      </c>
      <c r="D91" s="110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2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1">
        <v>88</v>
      </c>
      <c r="B92" s="11" t="s">
        <v>103</v>
      </c>
      <c r="C92" s="105">
        <f>+'วันที่ 30'!G92</f>
        <v>0</v>
      </c>
      <c r="D92" s="110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2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1">
        <v>89</v>
      </c>
      <c r="B93" s="11" t="s">
        <v>104</v>
      </c>
      <c r="C93" s="105">
        <f>+'วันที่ 30'!G93</f>
        <v>0</v>
      </c>
      <c r="D93" s="110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2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1">
        <v>90</v>
      </c>
      <c r="B94" s="11" t="s">
        <v>105</v>
      </c>
      <c r="C94" s="105">
        <f>+'วันที่ 30'!G94</f>
        <v>0</v>
      </c>
      <c r="D94" s="110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2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1">
        <v>91</v>
      </c>
      <c r="B95" s="11" t="s">
        <v>106</v>
      </c>
      <c r="C95" s="105">
        <f>+'วันที่ 30'!G95</f>
        <v>0</v>
      </c>
      <c r="D95" s="110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2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1">
        <v>92</v>
      </c>
      <c r="B96" s="11" t="s">
        <v>107</v>
      </c>
      <c r="C96" s="105">
        <f>+'วันที่ 30'!G96</f>
        <v>0</v>
      </c>
      <c r="D96" s="110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2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1">
        <v>93</v>
      </c>
      <c r="B97" s="11" t="s">
        <v>108</v>
      </c>
      <c r="C97" s="105">
        <f>+'วันที่ 30'!G97</f>
        <v>0</v>
      </c>
      <c r="D97" s="110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2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1">
        <v>94</v>
      </c>
      <c r="B98" s="11" t="s">
        <v>109</v>
      </c>
      <c r="C98" s="105">
        <f>+'วันที่ 30'!G98</f>
        <v>0</v>
      </c>
      <c r="D98" s="110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2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1">
        <v>95</v>
      </c>
      <c r="B99" s="11" t="s">
        <v>110</v>
      </c>
      <c r="C99" s="105">
        <f>+'วันที่ 30'!G99</f>
        <v>0</v>
      </c>
      <c r="D99" s="110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2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1">
        <v>96</v>
      </c>
      <c r="B100" s="11" t="s">
        <v>111</v>
      </c>
      <c r="C100" s="105">
        <f>+'วันที่ 30'!G100</f>
        <v>0</v>
      </c>
      <c r="D100" s="110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2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1">
        <v>97</v>
      </c>
      <c r="B101" s="11" t="s">
        <v>218</v>
      </c>
      <c r="C101" s="105">
        <f>+'วันที่ 30'!G101</f>
        <v>13</v>
      </c>
      <c r="D101" s="110">
        <v>0</v>
      </c>
      <c r="E101" s="92">
        <f t="shared" si="12"/>
        <v>13</v>
      </c>
      <c r="F101" s="97">
        <v>0</v>
      </c>
      <c r="G101" s="99">
        <f t="shared" si="13"/>
        <v>13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2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1">
        <v>98</v>
      </c>
      <c r="B102" s="11" t="s">
        <v>112</v>
      </c>
      <c r="C102" s="105">
        <f>+'วันที่ 30'!G102</f>
        <v>7</v>
      </c>
      <c r="D102" s="110">
        <v>0</v>
      </c>
      <c r="E102" s="92">
        <f t="shared" si="12"/>
        <v>7</v>
      </c>
      <c r="F102" s="97">
        <v>0</v>
      </c>
      <c r="G102" s="99">
        <f t="shared" si="13"/>
        <v>7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2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1">
        <v>99</v>
      </c>
      <c r="B103" s="11" t="s">
        <v>113</v>
      </c>
      <c r="C103" s="105">
        <f>+'วันที่ 30'!G103</f>
        <v>0</v>
      </c>
      <c r="D103" s="110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2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1">
        <v>100</v>
      </c>
      <c r="B104" s="11" t="s">
        <v>114</v>
      </c>
      <c r="C104" s="105">
        <f>+'วันที่ 30'!G104</f>
        <v>0</v>
      </c>
      <c r="D104" s="110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2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1">
        <v>101</v>
      </c>
      <c r="B105" s="11" t="s">
        <v>115</v>
      </c>
      <c r="C105" s="105">
        <f>+'วันที่ 30'!G105</f>
        <v>0</v>
      </c>
      <c r="D105" s="110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2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1">
        <v>102</v>
      </c>
      <c r="B106" s="11" t="s">
        <v>116</v>
      </c>
      <c r="C106" s="105">
        <f>+'วันที่ 30'!G106</f>
        <v>0</v>
      </c>
      <c r="D106" s="110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2">
        <v>0</v>
      </c>
      <c r="M106" s="30">
        <f t="shared" si="9"/>
        <v>0</v>
      </c>
    </row>
    <row r="107" spans="1:26" ht="25.5">
      <c r="A107" s="111">
        <v>103</v>
      </c>
      <c r="B107" s="11" t="s">
        <v>117</v>
      </c>
      <c r="C107" s="105">
        <f>+'วันที่ 30'!G107</f>
        <v>0</v>
      </c>
      <c r="D107" s="110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2">
        <v>0</v>
      </c>
      <c r="M107" s="30">
        <f t="shared" si="9"/>
        <v>0</v>
      </c>
      <c r="P107" s="177" t="s">
        <v>118</v>
      </c>
      <c r="Q107" s="178"/>
      <c r="R107" s="178"/>
      <c r="S107" s="178"/>
      <c r="T107" s="178"/>
      <c r="U107" s="178"/>
      <c r="V107" s="178"/>
      <c r="W107" s="179"/>
      <c r="X107" s="42">
        <f>SUM(X5:X104)</f>
        <v>0</v>
      </c>
    </row>
    <row r="108" spans="1:26" ht="25.5">
      <c r="A108" s="111">
        <v>104</v>
      </c>
      <c r="B108" s="11" t="s">
        <v>119</v>
      </c>
      <c r="C108" s="105">
        <f>+'วันที่ 30'!G108</f>
        <v>0</v>
      </c>
      <c r="D108" s="110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2">
        <v>0</v>
      </c>
      <c r="M108" s="30">
        <f t="shared" si="9"/>
        <v>0</v>
      </c>
    </row>
    <row r="109" spans="1:26" ht="25.5">
      <c r="A109" s="111">
        <v>105</v>
      </c>
      <c r="B109" s="11" t="s">
        <v>120</v>
      </c>
      <c r="C109" s="105">
        <f>+'วันที่ 30'!G109</f>
        <v>0</v>
      </c>
      <c r="D109" s="110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2">
        <v>0</v>
      </c>
      <c r="M109" s="30">
        <f t="shared" si="9"/>
        <v>0</v>
      </c>
    </row>
    <row r="110" spans="1:26" ht="25.5">
      <c r="A110" s="111">
        <v>106</v>
      </c>
      <c r="B110" s="11" t="s">
        <v>121</v>
      </c>
      <c r="C110" s="105">
        <f>+'วันที่ 30'!G110</f>
        <v>0</v>
      </c>
      <c r="D110" s="110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2">
        <v>0</v>
      </c>
      <c r="M110" s="30">
        <f t="shared" si="9"/>
        <v>0</v>
      </c>
    </row>
    <row r="111" spans="1:26" ht="25.5">
      <c r="A111" s="111">
        <v>107</v>
      </c>
      <c r="B111" s="11" t="s">
        <v>122</v>
      </c>
      <c r="C111" s="105">
        <f>+'วันที่ 30'!G111</f>
        <v>0</v>
      </c>
      <c r="D111" s="110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2">
        <v>0</v>
      </c>
      <c r="M111" s="30">
        <f t="shared" si="9"/>
        <v>0</v>
      </c>
    </row>
    <row r="112" spans="1:26" ht="25.5">
      <c r="A112" s="111">
        <v>108</v>
      </c>
      <c r="B112" s="11" t="s">
        <v>123</v>
      </c>
      <c r="C112" s="105">
        <f>+'วันที่ 30'!G112</f>
        <v>0</v>
      </c>
      <c r="D112" s="110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2">
        <v>0</v>
      </c>
      <c r="M112" s="30">
        <f t="shared" si="9"/>
        <v>0</v>
      </c>
    </row>
    <row r="113" spans="1:13" ht="25.5">
      <c r="A113" s="111">
        <v>109</v>
      </c>
      <c r="B113" s="11" t="s">
        <v>124</v>
      </c>
      <c r="C113" s="105">
        <f>+'วันที่ 30'!G113</f>
        <v>0</v>
      </c>
      <c r="D113" s="110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2">
        <v>0</v>
      </c>
      <c r="M113" s="30">
        <f t="shared" si="9"/>
        <v>0</v>
      </c>
    </row>
    <row r="114" spans="1:13" ht="25.5">
      <c r="A114" s="111">
        <v>110</v>
      </c>
      <c r="B114" s="11" t="s">
        <v>125</v>
      </c>
      <c r="C114" s="105">
        <f>+'วันที่ 30'!G114</f>
        <v>0</v>
      </c>
      <c r="D114" s="110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2">
        <v>0</v>
      </c>
      <c r="M114" s="30">
        <f t="shared" si="9"/>
        <v>0</v>
      </c>
    </row>
    <row r="115" spans="1:13" ht="25.5">
      <c r="A115" s="111">
        <v>111</v>
      </c>
      <c r="B115" s="11" t="s">
        <v>126</v>
      </c>
      <c r="C115" s="105">
        <f>+'วันที่ 30'!G115</f>
        <v>0</v>
      </c>
      <c r="D115" s="110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2">
        <v>0</v>
      </c>
      <c r="M115" s="30">
        <f t="shared" si="9"/>
        <v>0</v>
      </c>
    </row>
    <row r="116" spans="1:13" ht="25.5">
      <c r="A116" s="111">
        <v>112</v>
      </c>
      <c r="B116" s="11" t="s">
        <v>127</v>
      </c>
      <c r="C116" s="105">
        <f>+'วันที่ 30'!G116</f>
        <v>0</v>
      </c>
      <c r="D116" s="110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2">
        <v>0</v>
      </c>
      <c r="M116" s="30">
        <f t="shared" si="9"/>
        <v>0</v>
      </c>
    </row>
    <row r="117" spans="1:13" ht="25.5">
      <c r="A117" s="111">
        <v>113</v>
      </c>
      <c r="B117" s="11" t="s">
        <v>128</v>
      </c>
      <c r="C117" s="105">
        <f>+'วันที่ 30'!G117</f>
        <v>0</v>
      </c>
      <c r="D117" s="110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2">
        <v>0</v>
      </c>
      <c r="M117" s="30">
        <f t="shared" si="9"/>
        <v>0</v>
      </c>
    </row>
    <row r="118" spans="1:13" ht="25.5">
      <c r="A118" s="111">
        <v>114</v>
      </c>
      <c r="B118" s="11" t="s">
        <v>129</v>
      </c>
      <c r="C118" s="105">
        <f>+'วันที่ 30'!G118</f>
        <v>0</v>
      </c>
      <c r="D118" s="110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2">
        <v>0</v>
      </c>
      <c r="M118" s="30">
        <f t="shared" si="9"/>
        <v>0</v>
      </c>
    </row>
    <row r="119" spans="1:13" ht="25.5">
      <c r="A119" s="111">
        <v>115</v>
      </c>
      <c r="B119" s="11" t="s">
        <v>130</v>
      </c>
      <c r="C119" s="105">
        <f>+'วันที่ 30'!G119</f>
        <v>0</v>
      </c>
      <c r="D119" s="110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2">
        <v>0</v>
      </c>
      <c r="M119" s="30">
        <f t="shared" si="9"/>
        <v>0</v>
      </c>
    </row>
    <row r="120" spans="1:13" ht="25.5">
      <c r="A120" s="111">
        <v>116</v>
      </c>
      <c r="B120" s="11" t="s">
        <v>131</v>
      </c>
      <c r="C120" s="105">
        <f>+'วันที่ 30'!G120</f>
        <v>0</v>
      </c>
      <c r="D120" s="110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2">
        <v>0</v>
      </c>
      <c r="M120" s="30">
        <f t="shared" si="9"/>
        <v>0</v>
      </c>
    </row>
    <row r="121" spans="1:13" ht="25.5">
      <c r="A121" s="111">
        <v>117</v>
      </c>
      <c r="B121" s="11" t="s">
        <v>132</v>
      </c>
      <c r="C121" s="105">
        <f>+'วันที่ 30'!G121</f>
        <v>0</v>
      </c>
      <c r="D121" s="110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2">
        <v>0</v>
      </c>
      <c r="M121" s="30">
        <f t="shared" si="9"/>
        <v>0</v>
      </c>
    </row>
    <row r="122" spans="1:13" ht="25.5">
      <c r="A122" s="111">
        <v>118</v>
      </c>
      <c r="B122" s="11" t="s">
        <v>133</v>
      </c>
      <c r="C122" s="105">
        <f>+'วันที่ 30'!G122</f>
        <v>0</v>
      </c>
      <c r="D122" s="110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2">
        <v>0</v>
      </c>
      <c r="M122" s="30">
        <f t="shared" si="9"/>
        <v>0</v>
      </c>
    </row>
    <row r="123" spans="1:13" ht="25.5">
      <c r="A123" s="111">
        <v>119</v>
      </c>
      <c r="B123" s="11" t="s">
        <v>134</v>
      </c>
      <c r="C123" s="105">
        <f>+'วันที่ 30'!G123</f>
        <v>0</v>
      </c>
      <c r="D123" s="110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2">
        <v>0</v>
      </c>
      <c r="M123" s="30">
        <f t="shared" si="9"/>
        <v>0</v>
      </c>
    </row>
    <row r="124" spans="1:13" ht="25.5">
      <c r="A124" s="111">
        <v>120</v>
      </c>
      <c r="B124" s="11" t="s">
        <v>135</v>
      </c>
      <c r="C124" s="105">
        <f>+'วันที่ 30'!G124</f>
        <v>0</v>
      </c>
      <c r="D124" s="110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2">
        <v>0</v>
      </c>
      <c r="M124" s="30">
        <f t="shared" si="9"/>
        <v>0</v>
      </c>
    </row>
    <row r="125" spans="1:13" ht="25.5">
      <c r="A125" s="111">
        <v>121</v>
      </c>
      <c r="B125" s="11" t="s">
        <v>136</v>
      </c>
      <c r="C125" s="105">
        <f>+'วันที่ 30'!G125</f>
        <v>0</v>
      </c>
      <c r="D125" s="110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2">
        <v>0</v>
      </c>
      <c r="M125" s="30">
        <f t="shared" si="9"/>
        <v>0</v>
      </c>
    </row>
    <row r="126" spans="1:13" ht="25.5">
      <c r="A126" s="111">
        <v>122</v>
      </c>
      <c r="B126" s="11" t="s">
        <v>137</v>
      </c>
      <c r="C126" s="105">
        <f>+'วันที่ 30'!G126</f>
        <v>0</v>
      </c>
      <c r="D126" s="110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2">
        <v>0</v>
      </c>
      <c r="M126" s="30">
        <f t="shared" si="9"/>
        <v>0</v>
      </c>
    </row>
    <row r="127" spans="1:13" ht="25.5">
      <c r="A127" s="111">
        <v>123</v>
      </c>
      <c r="B127" s="11" t="s">
        <v>138</v>
      </c>
      <c r="C127" s="105">
        <f>+'วันที่ 30'!G127</f>
        <v>0</v>
      </c>
      <c r="D127" s="110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2">
        <v>0</v>
      </c>
      <c r="M127" s="30">
        <f t="shared" si="9"/>
        <v>0</v>
      </c>
    </row>
    <row r="128" spans="1:13" ht="25.5">
      <c r="A128" s="111">
        <v>124</v>
      </c>
      <c r="B128" s="11" t="s">
        <v>139</v>
      </c>
      <c r="C128" s="105">
        <f>+'วันที่ 30'!G128</f>
        <v>0</v>
      </c>
      <c r="D128" s="110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2">
        <v>0</v>
      </c>
      <c r="M128" s="30">
        <f t="shared" si="9"/>
        <v>0</v>
      </c>
    </row>
    <row r="129" spans="1:13" ht="25.5">
      <c r="A129" s="111">
        <v>125</v>
      </c>
      <c r="B129" s="11" t="s">
        <v>140</v>
      </c>
      <c r="C129" s="105">
        <f>+'วันที่ 30'!G129</f>
        <v>0</v>
      </c>
      <c r="D129" s="110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2">
        <v>0</v>
      </c>
      <c r="M129" s="30">
        <f t="shared" si="9"/>
        <v>0</v>
      </c>
    </row>
    <row r="130" spans="1:13" ht="25.5">
      <c r="A130" s="111">
        <v>126</v>
      </c>
      <c r="B130" s="11" t="s">
        <v>141</v>
      </c>
      <c r="C130" s="105">
        <f>+'วันที่ 30'!G130</f>
        <v>0</v>
      </c>
      <c r="D130" s="110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2">
        <v>0</v>
      </c>
      <c r="M130" s="30">
        <f t="shared" si="9"/>
        <v>0</v>
      </c>
    </row>
    <row r="131" spans="1:13" ht="25.5">
      <c r="A131" s="111">
        <v>127</v>
      </c>
      <c r="B131" s="11" t="s">
        <v>142</v>
      </c>
      <c r="C131" s="105">
        <f>+'วันที่ 30'!G131</f>
        <v>0</v>
      </c>
      <c r="D131" s="110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2">
        <v>0</v>
      </c>
      <c r="M131" s="30">
        <f t="shared" si="9"/>
        <v>0</v>
      </c>
    </row>
    <row r="132" spans="1:13" ht="25.5">
      <c r="A132" s="111">
        <v>128</v>
      </c>
      <c r="B132" s="11" t="s">
        <v>143</v>
      </c>
      <c r="C132" s="105">
        <f>+'วันที่ 30'!G132</f>
        <v>0</v>
      </c>
      <c r="D132" s="110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2">
        <v>0</v>
      </c>
      <c r="M132" s="30">
        <f t="shared" si="9"/>
        <v>0</v>
      </c>
    </row>
    <row r="133" spans="1:13" ht="25.5">
      <c r="A133" s="111">
        <v>129</v>
      </c>
      <c r="B133" s="11" t="s">
        <v>144</v>
      </c>
      <c r="C133" s="105">
        <f>+'วันที่ 30'!G133</f>
        <v>0</v>
      </c>
      <c r="D133" s="110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2">
        <v>0</v>
      </c>
      <c r="M133" s="30">
        <f t="shared" si="9"/>
        <v>0</v>
      </c>
    </row>
    <row r="134" spans="1:13" ht="25.5">
      <c r="A134" s="111">
        <v>130</v>
      </c>
      <c r="B134" s="11" t="s">
        <v>145</v>
      </c>
      <c r="C134" s="105">
        <f>+'วันที่ 30'!G134</f>
        <v>0</v>
      </c>
      <c r="D134" s="110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2">
        <v>0</v>
      </c>
      <c r="M134" s="30">
        <f t="shared" ref="M134:M197" si="15">+J134-L134</f>
        <v>0</v>
      </c>
    </row>
    <row r="135" spans="1:13" ht="25.5">
      <c r="A135" s="111">
        <v>131</v>
      </c>
      <c r="B135" s="11" t="s">
        <v>146</v>
      </c>
      <c r="C135" s="105">
        <f>+'วันที่ 30'!G135</f>
        <v>0</v>
      </c>
      <c r="D135" s="110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2">
        <v>0</v>
      </c>
      <c r="M135" s="30">
        <f t="shared" si="15"/>
        <v>0</v>
      </c>
    </row>
    <row r="136" spans="1:13" ht="25.5">
      <c r="A136" s="111">
        <v>132</v>
      </c>
      <c r="B136" s="11" t="s">
        <v>147</v>
      </c>
      <c r="C136" s="105">
        <f>+'วันที่ 30'!G136</f>
        <v>0</v>
      </c>
      <c r="D136" s="110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2">
        <v>0</v>
      </c>
      <c r="M136" s="30">
        <f t="shared" si="15"/>
        <v>0</v>
      </c>
    </row>
    <row r="137" spans="1:13" ht="25.5">
      <c r="A137" s="111">
        <v>133</v>
      </c>
      <c r="B137" s="11" t="s">
        <v>148</v>
      </c>
      <c r="C137" s="105">
        <f>+'วันที่ 30'!G137</f>
        <v>0</v>
      </c>
      <c r="D137" s="110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2">
        <v>0</v>
      </c>
      <c r="M137" s="30">
        <f t="shared" si="15"/>
        <v>0</v>
      </c>
    </row>
    <row r="138" spans="1:13" ht="25.5">
      <c r="A138" s="111">
        <v>134</v>
      </c>
      <c r="B138" s="11" t="s">
        <v>149</v>
      </c>
      <c r="C138" s="105">
        <f>+'วันที่ 30'!G138</f>
        <v>0</v>
      </c>
      <c r="D138" s="110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2">
        <v>0</v>
      </c>
      <c r="M138" s="30">
        <f t="shared" si="15"/>
        <v>0</v>
      </c>
    </row>
    <row r="139" spans="1:13" ht="25.5">
      <c r="A139" s="111">
        <v>135</v>
      </c>
      <c r="B139" s="11" t="s">
        <v>150</v>
      </c>
      <c r="C139" s="105">
        <f>+'วันที่ 30'!G139</f>
        <v>0</v>
      </c>
      <c r="D139" s="110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2">
        <v>0</v>
      </c>
      <c r="M139" s="30">
        <f t="shared" si="15"/>
        <v>0</v>
      </c>
    </row>
    <row r="140" spans="1:13" ht="25.5">
      <c r="A140" s="111">
        <v>136</v>
      </c>
      <c r="B140" s="11" t="s">
        <v>151</v>
      </c>
      <c r="C140" s="105">
        <f>+'วันที่ 30'!G140</f>
        <v>0</v>
      </c>
      <c r="D140" s="110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2">
        <v>0</v>
      </c>
      <c r="M140" s="30">
        <f t="shared" si="15"/>
        <v>0</v>
      </c>
    </row>
    <row r="141" spans="1:13" ht="25.5">
      <c r="A141" s="111">
        <v>137</v>
      </c>
      <c r="B141" s="11" t="s">
        <v>152</v>
      </c>
      <c r="C141" s="105">
        <f>+'วันที่ 30'!G141</f>
        <v>0</v>
      </c>
      <c r="D141" s="110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2">
        <v>0</v>
      </c>
      <c r="M141" s="30">
        <f t="shared" si="15"/>
        <v>0</v>
      </c>
    </row>
    <row r="142" spans="1:13" ht="25.5">
      <c r="A142" s="111">
        <v>138</v>
      </c>
      <c r="B142" s="11" t="s">
        <v>153</v>
      </c>
      <c r="C142" s="105">
        <f>+'วันที่ 30'!G142</f>
        <v>0</v>
      </c>
      <c r="D142" s="110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2">
        <v>0</v>
      </c>
      <c r="M142" s="30">
        <f t="shared" si="15"/>
        <v>0</v>
      </c>
    </row>
    <row r="143" spans="1:13" ht="25.5">
      <c r="A143" s="111">
        <v>139</v>
      </c>
      <c r="B143" s="11" t="s">
        <v>154</v>
      </c>
      <c r="C143" s="105">
        <f>+'วันที่ 30'!G143</f>
        <v>0</v>
      </c>
      <c r="D143" s="110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2">
        <v>0</v>
      </c>
      <c r="M143" s="30">
        <f t="shared" si="15"/>
        <v>0</v>
      </c>
    </row>
    <row r="144" spans="1:13" ht="25.5">
      <c r="A144" s="111">
        <v>140</v>
      </c>
      <c r="B144" s="11" t="s">
        <v>155</v>
      </c>
      <c r="C144" s="105">
        <f>+'วันที่ 30'!G144</f>
        <v>0</v>
      </c>
      <c r="D144" s="110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2">
        <v>0</v>
      </c>
      <c r="M144" s="30">
        <f t="shared" si="15"/>
        <v>0</v>
      </c>
    </row>
    <row r="145" spans="1:13" ht="25.5">
      <c r="A145" s="111">
        <v>141</v>
      </c>
      <c r="B145" s="11" t="s">
        <v>156</v>
      </c>
      <c r="C145" s="105">
        <f>+'วันที่ 30'!G145</f>
        <v>0</v>
      </c>
      <c r="D145" s="110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2">
        <v>0</v>
      </c>
      <c r="M145" s="30">
        <f t="shared" si="15"/>
        <v>0</v>
      </c>
    </row>
    <row r="146" spans="1:13" ht="25.5">
      <c r="A146" s="111">
        <v>142</v>
      </c>
      <c r="B146" s="11" t="s">
        <v>157</v>
      </c>
      <c r="C146" s="105">
        <f>+'วันที่ 30'!G146</f>
        <v>0</v>
      </c>
      <c r="D146" s="110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2">
        <v>0</v>
      </c>
      <c r="M146" s="30">
        <f t="shared" si="15"/>
        <v>0</v>
      </c>
    </row>
    <row r="147" spans="1:13" ht="25.5">
      <c r="A147" s="111">
        <v>143</v>
      </c>
      <c r="B147" s="11" t="s">
        <v>158</v>
      </c>
      <c r="C147" s="105">
        <f>+'วันที่ 30'!G147</f>
        <v>0</v>
      </c>
      <c r="D147" s="110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2">
        <v>0</v>
      </c>
      <c r="M147" s="30">
        <f t="shared" si="15"/>
        <v>0</v>
      </c>
    </row>
    <row r="148" spans="1:13" ht="25.5">
      <c r="A148" s="111">
        <v>144</v>
      </c>
      <c r="B148" s="11" t="s">
        <v>159</v>
      </c>
      <c r="C148" s="105">
        <f>+'วันที่ 30'!G148</f>
        <v>0</v>
      </c>
      <c r="D148" s="110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2">
        <v>0</v>
      </c>
      <c r="M148" s="30">
        <f t="shared" si="15"/>
        <v>0</v>
      </c>
    </row>
    <row r="149" spans="1:13" ht="25.5">
      <c r="A149" s="111">
        <v>145</v>
      </c>
      <c r="B149" s="11" t="s">
        <v>160</v>
      </c>
      <c r="C149" s="105">
        <f>+'วันที่ 30'!G149</f>
        <v>0</v>
      </c>
      <c r="D149" s="110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2">
        <v>0</v>
      </c>
      <c r="M149" s="30">
        <f t="shared" si="15"/>
        <v>0</v>
      </c>
    </row>
    <row r="150" spans="1:13" ht="25.5">
      <c r="A150" s="111">
        <v>146</v>
      </c>
      <c r="B150" s="11" t="s">
        <v>161</v>
      </c>
      <c r="C150" s="105">
        <f>+'วันที่ 30'!G150</f>
        <v>0</v>
      </c>
      <c r="D150" s="110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2">
        <v>0</v>
      </c>
      <c r="M150" s="30">
        <f t="shared" si="15"/>
        <v>0</v>
      </c>
    </row>
    <row r="151" spans="1:13" ht="25.5">
      <c r="A151" s="111">
        <v>147</v>
      </c>
      <c r="B151" s="11" t="s">
        <v>162</v>
      </c>
      <c r="C151" s="105">
        <f>+'วันที่ 30'!G151</f>
        <v>0</v>
      </c>
      <c r="D151" s="110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2">
        <v>0</v>
      </c>
      <c r="M151" s="30">
        <f t="shared" si="15"/>
        <v>0</v>
      </c>
    </row>
    <row r="152" spans="1:13" ht="25.5">
      <c r="A152" s="111">
        <v>148</v>
      </c>
      <c r="B152" s="11" t="s">
        <v>163</v>
      </c>
      <c r="C152" s="105">
        <f>+'วันที่ 30'!G152</f>
        <v>0</v>
      </c>
      <c r="D152" s="110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2">
        <v>0</v>
      </c>
      <c r="M152" s="30">
        <f t="shared" si="15"/>
        <v>0</v>
      </c>
    </row>
    <row r="153" spans="1:13" ht="25.5">
      <c r="A153" s="111">
        <v>149</v>
      </c>
      <c r="B153" s="11" t="s">
        <v>164</v>
      </c>
      <c r="C153" s="105">
        <f>+'วันที่ 30'!G153</f>
        <v>0</v>
      </c>
      <c r="D153" s="110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2">
        <v>0</v>
      </c>
      <c r="M153" s="30">
        <f t="shared" si="15"/>
        <v>0</v>
      </c>
    </row>
    <row r="154" spans="1:13" ht="25.5">
      <c r="A154" s="111">
        <v>150</v>
      </c>
      <c r="B154" s="11" t="s">
        <v>165</v>
      </c>
      <c r="C154" s="105">
        <f>+'วันที่ 30'!G154</f>
        <v>0</v>
      </c>
      <c r="D154" s="110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2">
        <v>0</v>
      </c>
      <c r="M154" s="30">
        <f t="shared" si="15"/>
        <v>0</v>
      </c>
    </row>
    <row r="155" spans="1:13" ht="25.5">
      <c r="A155" s="111">
        <v>151</v>
      </c>
      <c r="B155" s="11" t="s">
        <v>166</v>
      </c>
      <c r="C155" s="105">
        <f>+'วันที่ 30'!G155</f>
        <v>0</v>
      </c>
      <c r="D155" s="110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2">
        <v>0</v>
      </c>
      <c r="M155" s="30">
        <f t="shared" si="15"/>
        <v>0</v>
      </c>
    </row>
    <row r="156" spans="1:13" ht="25.5">
      <c r="A156" s="111">
        <v>152</v>
      </c>
      <c r="B156" s="11" t="s">
        <v>167</v>
      </c>
      <c r="C156" s="105">
        <f>+'วันที่ 30'!G156</f>
        <v>0</v>
      </c>
      <c r="D156" s="110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2">
        <v>0</v>
      </c>
      <c r="M156" s="30">
        <f t="shared" si="15"/>
        <v>0</v>
      </c>
    </row>
    <row r="157" spans="1:13" ht="25.5">
      <c r="A157" s="111">
        <v>153</v>
      </c>
      <c r="B157" s="11" t="s">
        <v>168</v>
      </c>
      <c r="C157" s="105">
        <f>+'วันที่ 30'!G157</f>
        <v>0</v>
      </c>
      <c r="D157" s="110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2">
        <v>0</v>
      </c>
      <c r="M157" s="30">
        <f t="shared" si="15"/>
        <v>0</v>
      </c>
    </row>
    <row r="158" spans="1:13" ht="25.5">
      <c r="A158" s="111">
        <v>154</v>
      </c>
      <c r="B158" s="11" t="s">
        <v>169</v>
      </c>
      <c r="C158" s="105">
        <f>+'วันที่ 30'!G158</f>
        <v>0</v>
      </c>
      <c r="D158" s="110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2">
        <v>0</v>
      </c>
      <c r="M158" s="30">
        <f t="shared" si="15"/>
        <v>0</v>
      </c>
    </row>
    <row r="159" spans="1:13" ht="25.5">
      <c r="A159" s="111">
        <v>155</v>
      </c>
      <c r="B159" s="11" t="s">
        <v>170</v>
      </c>
      <c r="C159" s="105">
        <f>+'วันที่ 30'!G159</f>
        <v>0</v>
      </c>
      <c r="D159" s="110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2">
        <v>0</v>
      </c>
      <c r="M159" s="30">
        <f t="shared" si="15"/>
        <v>0</v>
      </c>
    </row>
    <row r="160" spans="1:13" ht="25.5">
      <c r="A160" s="111">
        <v>156</v>
      </c>
      <c r="B160" s="11" t="s">
        <v>171</v>
      </c>
      <c r="C160" s="105">
        <f>+'วันที่ 30'!G160</f>
        <v>0</v>
      </c>
      <c r="D160" s="110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2">
        <v>0</v>
      </c>
      <c r="M160" s="30">
        <f t="shared" si="15"/>
        <v>0</v>
      </c>
    </row>
    <row r="161" spans="1:13" ht="25.5">
      <c r="A161" s="111">
        <v>157</v>
      </c>
      <c r="B161" s="11" t="s">
        <v>172</v>
      </c>
      <c r="C161" s="105">
        <f>+'วันที่ 30'!G161</f>
        <v>0</v>
      </c>
      <c r="D161" s="110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2">
        <v>0</v>
      </c>
      <c r="M161" s="30">
        <f t="shared" si="15"/>
        <v>0</v>
      </c>
    </row>
    <row r="162" spans="1:13" ht="25.5">
      <c r="A162" s="111">
        <v>158</v>
      </c>
      <c r="B162" s="11" t="s">
        <v>173</v>
      </c>
      <c r="C162" s="105">
        <f>+'วันที่ 30'!G162</f>
        <v>0</v>
      </c>
      <c r="D162" s="110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2">
        <v>0</v>
      </c>
      <c r="M162" s="30">
        <f t="shared" si="15"/>
        <v>0</v>
      </c>
    </row>
    <row r="163" spans="1:13" ht="25.5">
      <c r="A163" s="111">
        <v>159</v>
      </c>
      <c r="B163" s="11" t="s">
        <v>174</v>
      </c>
      <c r="C163" s="105">
        <f>+'วันที่ 30'!G163</f>
        <v>0</v>
      </c>
      <c r="D163" s="110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2">
        <v>0</v>
      </c>
      <c r="M163" s="30">
        <f t="shared" si="15"/>
        <v>0</v>
      </c>
    </row>
    <row r="164" spans="1:13" ht="25.5">
      <c r="A164" s="111">
        <v>160</v>
      </c>
      <c r="B164" s="11" t="s">
        <v>175</v>
      </c>
      <c r="C164" s="105">
        <f>+'วันที่ 30'!G164</f>
        <v>0</v>
      </c>
      <c r="D164" s="110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2">
        <v>0</v>
      </c>
      <c r="M164" s="30">
        <f t="shared" si="15"/>
        <v>0</v>
      </c>
    </row>
    <row r="165" spans="1:13" ht="25.5">
      <c r="A165" s="111">
        <v>161</v>
      </c>
      <c r="B165" s="11" t="s">
        <v>176</v>
      </c>
      <c r="C165" s="105">
        <f>+'วันที่ 30'!G165</f>
        <v>0</v>
      </c>
      <c r="D165" s="110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2">
        <v>0</v>
      </c>
      <c r="M165" s="30">
        <f t="shared" si="15"/>
        <v>0</v>
      </c>
    </row>
    <row r="166" spans="1:13" ht="25.5">
      <c r="A166" s="111">
        <v>162</v>
      </c>
      <c r="B166" s="11" t="s">
        <v>177</v>
      </c>
      <c r="C166" s="105">
        <f>+'วันที่ 30'!G166</f>
        <v>0</v>
      </c>
      <c r="D166" s="110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2">
        <v>0</v>
      </c>
      <c r="M166" s="30">
        <f t="shared" si="15"/>
        <v>0</v>
      </c>
    </row>
    <row r="167" spans="1:13" ht="25.5">
      <c r="A167" s="111">
        <v>163</v>
      </c>
      <c r="B167" s="11" t="s">
        <v>178</v>
      </c>
      <c r="C167" s="105">
        <f>+'วันที่ 30'!G167</f>
        <v>0</v>
      </c>
      <c r="D167" s="110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2">
        <v>0</v>
      </c>
      <c r="M167" s="30">
        <f t="shared" si="15"/>
        <v>0</v>
      </c>
    </row>
    <row r="168" spans="1:13" ht="24" customHeight="1">
      <c r="A168" s="111">
        <v>164</v>
      </c>
      <c r="B168" s="11" t="s">
        <v>179</v>
      </c>
      <c r="C168" s="105">
        <f>+'วันที่ 30'!G168</f>
        <v>33</v>
      </c>
      <c r="D168" s="110">
        <v>0</v>
      </c>
      <c r="E168" s="92">
        <f t="shared" si="16"/>
        <v>33</v>
      </c>
      <c r="F168" s="97">
        <v>0</v>
      </c>
      <c r="G168" s="99">
        <f t="shared" si="17"/>
        <v>33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2">
        <v>0</v>
      </c>
      <c r="M168" s="30">
        <f t="shared" si="15"/>
        <v>0</v>
      </c>
    </row>
    <row r="169" spans="1:13" ht="25.5">
      <c r="A169" s="111">
        <v>165</v>
      </c>
      <c r="B169" s="11" t="s">
        <v>180</v>
      </c>
      <c r="C169" s="105">
        <f>+'วันที่ 30'!G169</f>
        <v>15</v>
      </c>
      <c r="D169" s="110">
        <v>0</v>
      </c>
      <c r="E169" s="92">
        <f t="shared" si="16"/>
        <v>15</v>
      </c>
      <c r="F169" s="97">
        <v>0</v>
      </c>
      <c r="G169" s="99">
        <f t="shared" si="17"/>
        <v>15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2">
        <v>0</v>
      </c>
      <c r="M169" s="30">
        <f t="shared" si="15"/>
        <v>0</v>
      </c>
    </row>
    <row r="170" spans="1:13" ht="25.5">
      <c r="A170" s="111">
        <v>166</v>
      </c>
      <c r="B170" s="11" t="s">
        <v>181</v>
      </c>
      <c r="C170" s="105">
        <f>+'วันที่ 30'!G170</f>
        <v>0</v>
      </c>
      <c r="D170" s="110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2">
        <v>0</v>
      </c>
      <c r="M170" s="30">
        <f t="shared" si="15"/>
        <v>0</v>
      </c>
    </row>
    <row r="171" spans="1:13" ht="25.5">
      <c r="A171" s="111">
        <v>167</v>
      </c>
      <c r="B171" s="11" t="s">
        <v>182</v>
      </c>
      <c r="C171" s="105">
        <f>+'วันที่ 30'!G171</f>
        <v>0</v>
      </c>
      <c r="D171" s="110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2">
        <v>0</v>
      </c>
      <c r="M171" s="30">
        <f t="shared" si="15"/>
        <v>0</v>
      </c>
    </row>
    <row r="172" spans="1:13" ht="25.5">
      <c r="A172" s="111">
        <v>168</v>
      </c>
      <c r="B172" s="11" t="s">
        <v>183</v>
      </c>
      <c r="C172" s="105">
        <f>+'วันที่ 30'!G172</f>
        <v>0</v>
      </c>
      <c r="D172" s="110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2">
        <v>0</v>
      </c>
      <c r="M172" s="30">
        <f t="shared" si="15"/>
        <v>0</v>
      </c>
    </row>
    <row r="173" spans="1:13" ht="25.5">
      <c r="A173" s="111">
        <v>169</v>
      </c>
      <c r="B173" s="11" t="s">
        <v>184</v>
      </c>
      <c r="C173" s="105">
        <f>+'วันที่ 30'!G173</f>
        <v>0</v>
      </c>
      <c r="D173" s="110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2">
        <v>0</v>
      </c>
      <c r="M173" s="30">
        <f t="shared" si="15"/>
        <v>0</v>
      </c>
    </row>
    <row r="174" spans="1:13" ht="25.5">
      <c r="A174" s="111">
        <v>170</v>
      </c>
      <c r="B174" s="11" t="s">
        <v>185</v>
      </c>
      <c r="C174" s="105">
        <f>+'วันที่ 30'!G174</f>
        <v>0</v>
      </c>
      <c r="D174" s="110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2">
        <v>0</v>
      </c>
      <c r="M174" s="30">
        <f t="shared" si="15"/>
        <v>0</v>
      </c>
    </row>
    <row r="175" spans="1:13" ht="25.5">
      <c r="A175" s="111">
        <v>171</v>
      </c>
      <c r="B175" s="11" t="s">
        <v>186</v>
      </c>
      <c r="C175" s="105">
        <f>+'วันที่ 30'!G175</f>
        <v>0</v>
      </c>
      <c r="D175" s="110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2">
        <v>0</v>
      </c>
      <c r="M175" s="30">
        <f t="shared" si="15"/>
        <v>0</v>
      </c>
    </row>
    <row r="176" spans="1:13" ht="25.5">
      <c r="A176" s="111">
        <v>172</v>
      </c>
      <c r="B176" s="11" t="s">
        <v>187</v>
      </c>
      <c r="C176" s="105">
        <f>+'วันที่ 30'!G176</f>
        <v>0</v>
      </c>
      <c r="D176" s="110">
        <v>0</v>
      </c>
      <c r="E176" s="108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2">
        <v>0</v>
      </c>
      <c r="M176" s="30">
        <f t="shared" si="15"/>
        <v>0</v>
      </c>
    </row>
    <row r="177" spans="1:13" ht="25.5">
      <c r="A177" s="111">
        <v>173</v>
      </c>
      <c r="B177" s="11" t="s">
        <v>188</v>
      </c>
      <c r="C177" s="105">
        <f>+'วันที่ 30'!G177</f>
        <v>0</v>
      </c>
      <c r="D177" s="110">
        <v>0</v>
      </c>
      <c r="E177" s="108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2">
        <v>0</v>
      </c>
      <c r="M177" s="30">
        <f t="shared" si="15"/>
        <v>0</v>
      </c>
    </row>
    <row r="178" spans="1:13" ht="25.5">
      <c r="A178" s="111">
        <v>174</v>
      </c>
      <c r="B178" s="11" t="s">
        <v>189</v>
      </c>
      <c r="C178" s="105">
        <f>+'วันที่ 30'!G178</f>
        <v>5</v>
      </c>
      <c r="D178" s="110">
        <v>0</v>
      </c>
      <c r="E178" s="108">
        <f t="shared" si="16"/>
        <v>5</v>
      </c>
      <c r="F178" s="97">
        <v>0</v>
      </c>
      <c r="G178" s="98">
        <f t="shared" si="17"/>
        <v>5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2">
        <v>0</v>
      </c>
      <c r="M178" s="30">
        <f t="shared" si="15"/>
        <v>0</v>
      </c>
    </row>
    <row r="179" spans="1:13" ht="25.5">
      <c r="A179" s="111">
        <v>175</v>
      </c>
      <c r="B179" s="11" t="s">
        <v>190</v>
      </c>
      <c r="C179" s="105">
        <f>+'วันที่ 30'!G179</f>
        <v>0</v>
      </c>
      <c r="D179" s="110">
        <v>0</v>
      </c>
      <c r="E179" s="108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2">
        <v>0</v>
      </c>
      <c r="M179" s="30">
        <f t="shared" si="15"/>
        <v>0</v>
      </c>
    </row>
    <row r="180" spans="1:13" ht="25.5">
      <c r="A180" s="111">
        <v>176</v>
      </c>
      <c r="B180" s="11" t="s">
        <v>191</v>
      </c>
      <c r="C180" s="105">
        <f>+'วันที่ 30'!G180</f>
        <v>0</v>
      </c>
      <c r="D180" s="110">
        <v>0</v>
      </c>
      <c r="E180" s="108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2">
        <v>0</v>
      </c>
      <c r="M180" s="30">
        <f t="shared" si="15"/>
        <v>0</v>
      </c>
    </row>
    <row r="181" spans="1:13" ht="25.5">
      <c r="A181" s="111">
        <v>177</v>
      </c>
      <c r="B181" s="11" t="s">
        <v>192</v>
      </c>
      <c r="C181" s="105">
        <f>+'วันที่ 30'!G181</f>
        <v>0</v>
      </c>
      <c r="D181" s="110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2">
        <v>0</v>
      </c>
      <c r="M181" s="30">
        <f t="shared" si="15"/>
        <v>0</v>
      </c>
    </row>
    <row r="182" spans="1:13" ht="25.5">
      <c r="A182" s="111">
        <v>178</v>
      </c>
      <c r="B182" s="11" t="s">
        <v>193</v>
      </c>
      <c r="C182" s="105">
        <f>+'วันที่ 30'!G182</f>
        <v>0</v>
      </c>
      <c r="D182" s="110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2">
        <v>0</v>
      </c>
      <c r="M182" s="30">
        <f t="shared" si="15"/>
        <v>0</v>
      </c>
    </row>
    <row r="183" spans="1:13" ht="25.5">
      <c r="A183" s="111">
        <v>179</v>
      </c>
      <c r="B183" s="11" t="s">
        <v>194</v>
      </c>
      <c r="C183" s="105">
        <f>+'วันที่ 30'!G183</f>
        <v>0</v>
      </c>
      <c r="D183" s="110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2">
        <v>0</v>
      </c>
      <c r="M183" s="30">
        <f t="shared" si="15"/>
        <v>0</v>
      </c>
    </row>
    <row r="184" spans="1:13" ht="25.5">
      <c r="A184" s="111">
        <v>180</v>
      </c>
      <c r="B184" s="11" t="s">
        <v>195</v>
      </c>
      <c r="C184" s="105">
        <f>+'วันที่ 30'!G184</f>
        <v>0</v>
      </c>
      <c r="D184" s="110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2">
        <v>0</v>
      </c>
      <c r="M184" s="30">
        <f t="shared" si="15"/>
        <v>0</v>
      </c>
    </row>
    <row r="185" spans="1:13" ht="25.5">
      <c r="A185" s="111">
        <v>181</v>
      </c>
      <c r="B185" s="11" t="s">
        <v>196</v>
      </c>
      <c r="C185" s="105">
        <f>+'วันที่ 30'!G185</f>
        <v>0</v>
      </c>
      <c r="D185" s="110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2">
        <v>0</v>
      </c>
      <c r="M185" s="30">
        <f t="shared" si="15"/>
        <v>0</v>
      </c>
    </row>
    <row r="186" spans="1:13" ht="25.5">
      <c r="A186" s="111">
        <v>182</v>
      </c>
      <c r="B186" s="11" t="s">
        <v>197</v>
      </c>
      <c r="C186" s="105">
        <f>+'วันที่ 30'!G186</f>
        <v>0</v>
      </c>
      <c r="D186" s="110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2">
        <v>0</v>
      </c>
      <c r="M186" s="30">
        <f t="shared" si="15"/>
        <v>0</v>
      </c>
    </row>
    <row r="187" spans="1:13" ht="25.5">
      <c r="A187" s="111">
        <v>183</v>
      </c>
      <c r="B187" s="11" t="s">
        <v>198</v>
      </c>
      <c r="C187" s="105">
        <f>+'วันที่ 30'!G187</f>
        <v>0</v>
      </c>
      <c r="D187" s="110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2">
        <v>0</v>
      </c>
      <c r="M187" s="30">
        <f t="shared" si="15"/>
        <v>0</v>
      </c>
    </row>
    <row r="188" spans="1:13" ht="25.5">
      <c r="A188" s="111">
        <v>184</v>
      </c>
      <c r="B188" s="11" t="s">
        <v>199</v>
      </c>
      <c r="C188" s="105">
        <f>+'วันที่ 30'!G188</f>
        <v>0</v>
      </c>
      <c r="D188" s="110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2">
        <v>0</v>
      </c>
      <c r="M188" s="30">
        <f t="shared" si="15"/>
        <v>0</v>
      </c>
    </row>
    <row r="189" spans="1:13" ht="25.5">
      <c r="A189" s="111">
        <v>185</v>
      </c>
      <c r="B189" s="11" t="s">
        <v>200</v>
      </c>
      <c r="C189" s="105">
        <f>+'วันที่ 30'!G189</f>
        <v>0</v>
      </c>
      <c r="D189" s="110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2">
        <v>0</v>
      </c>
      <c r="M189" s="30">
        <f t="shared" si="15"/>
        <v>0</v>
      </c>
    </row>
    <row r="190" spans="1:13" ht="25.5">
      <c r="A190" s="111">
        <v>186</v>
      </c>
      <c r="B190" s="11" t="s">
        <v>201</v>
      </c>
      <c r="C190" s="105">
        <f>+'วันที่ 30'!G190</f>
        <v>0</v>
      </c>
      <c r="D190" s="110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2">
        <v>0</v>
      </c>
      <c r="M190" s="30">
        <f t="shared" si="15"/>
        <v>0</v>
      </c>
    </row>
    <row r="191" spans="1:13" ht="25.5">
      <c r="A191" s="111">
        <v>187</v>
      </c>
      <c r="B191" s="11" t="s">
        <v>202</v>
      </c>
      <c r="C191" s="105">
        <f>+'วันที่ 30'!G191</f>
        <v>0</v>
      </c>
      <c r="D191" s="110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2">
        <v>0</v>
      </c>
      <c r="M191" s="30">
        <f t="shared" si="15"/>
        <v>0</v>
      </c>
    </row>
    <row r="192" spans="1:13" ht="25.5">
      <c r="A192" s="111">
        <v>188</v>
      </c>
      <c r="B192" s="11" t="s">
        <v>203</v>
      </c>
      <c r="C192" s="105">
        <f>+'วันที่ 30'!G192</f>
        <v>0</v>
      </c>
      <c r="D192" s="110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2">
        <v>0</v>
      </c>
      <c r="M192" s="30">
        <f t="shared" si="15"/>
        <v>0</v>
      </c>
    </row>
    <row r="193" spans="1:26" ht="25.5">
      <c r="A193" s="111">
        <v>189</v>
      </c>
      <c r="B193" s="11" t="s">
        <v>204</v>
      </c>
      <c r="C193" s="105">
        <f>+'วันที่ 30'!G193</f>
        <v>0</v>
      </c>
      <c r="D193" s="110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2">
        <v>0</v>
      </c>
      <c r="M193" s="30">
        <f t="shared" si="15"/>
        <v>0</v>
      </c>
    </row>
    <row r="194" spans="1:26" ht="25.5">
      <c r="A194" s="111">
        <v>190</v>
      </c>
      <c r="B194" s="11" t="s">
        <v>246</v>
      </c>
      <c r="C194" s="105">
        <f>+'วันที่ 30'!G194</f>
        <v>0</v>
      </c>
      <c r="D194" s="110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2">
        <v>0</v>
      </c>
      <c r="M194" s="30">
        <f t="shared" si="15"/>
        <v>0</v>
      </c>
    </row>
    <row r="195" spans="1:26" ht="25.5">
      <c r="A195" s="111">
        <v>191</v>
      </c>
      <c r="B195" s="11"/>
      <c r="C195" s="105">
        <f>+'วันที่ 30'!G195</f>
        <v>11</v>
      </c>
      <c r="D195" s="110">
        <v>0</v>
      </c>
      <c r="E195" s="92">
        <f t="shared" si="16"/>
        <v>11</v>
      </c>
      <c r="F195" s="97">
        <v>0</v>
      </c>
      <c r="G195" s="99">
        <f t="shared" si="17"/>
        <v>11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2">
        <v>0</v>
      </c>
      <c r="M195" s="30">
        <f t="shared" si="15"/>
        <v>0</v>
      </c>
    </row>
    <row r="196" spans="1:26" ht="25.5">
      <c r="A196" s="111">
        <v>192</v>
      </c>
      <c r="B196" s="11"/>
      <c r="C196" s="105">
        <f>+'วันที่ 30'!G196</f>
        <v>0</v>
      </c>
      <c r="D196" s="110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2">
        <v>0</v>
      </c>
      <c r="M196" s="30">
        <f t="shared" si="15"/>
        <v>0</v>
      </c>
    </row>
    <row r="197" spans="1:26" ht="25.5">
      <c r="A197" s="111">
        <v>193</v>
      </c>
      <c r="B197" s="11"/>
      <c r="C197" s="105">
        <f>+'วันที่ 30'!G197</f>
        <v>0</v>
      </c>
      <c r="D197" s="110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0</v>
      </c>
      <c r="J197" s="91">
        <f t="shared" si="14"/>
        <v>0</v>
      </c>
      <c r="K197" s="17" t="s">
        <v>16</v>
      </c>
      <c r="L197" s="112">
        <v>0</v>
      </c>
      <c r="M197" s="30">
        <f t="shared" si="15"/>
        <v>0</v>
      </c>
    </row>
    <row r="198" spans="1:26" ht="25.5">
      <c r="A198" s="111">
        <v>194</v>
      </c>
      <c r="B198" s="11"/>
      <c r="C198" s="105">
        <f>+'วันที่ 30'!G198</f>
        <v>0</v>
      </c>
      <c r="D198" s="110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0</v>
      </c>
      <c r="J198" s="91">
        <f t="shared" ref="J198:J204" si="18">+I198*H198</f>
        <v>0</v>
      </c>
      <c r="K198" s="17" t="s">
        <v>16</v>
      </c>
      <c r="L198" s="112">
        <v>0</v>
      </c>
      <c r="M198" s="30">
        <f t="shared" ref="M198:M204" si="19">+J198-L198</f>
        <v>0</v>
      </c>
    </row>
    <row r="199" spans="1:26" ht="25.5">
      <c r="A199" s="111">
        <v>195</v>
      </c>
      <c r="B199" s="11"/>
      <c r="C199" s="105">
        <f>+'วันที่ 30'!G199</f>
        <v>0</v>
      </c>
      <c r="D199" s="110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0</v>
      </c>
      <c r="J199" s="91">
        <f t="shared" si="18"/>
        <v>0</v>
      </c>
      <c r="K199" s="17" t="s">
        <v>16</v>
      </c>
      <c r="L199" s="112">
        <v>0</v>
      </c>
      <c r="M199" s="30">
        <f t="shared" si="19"/>
        <v>0</v>
      </c>
    </row>
    <row r="200" spans="1:26" ht="25.5">
      <c r="A200" s="111">
        <v>196</v>
      </c>
      <c r="B200" s="11"/>
      <c r="C200" s="105">
        <f>+'วันที่ 30'!G200</f>
        <v>0</v>
      </c>
      <c r="D200" s="110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0</v>
      </c>
      <c r="J200" s="91">
        <f t="shared" si="18"/>
        <v>0</v>
      </c>
      <c r="K200" s="17" t="s">
        <v>16</v>
      </c>
      <c r="L200" s="112">
        <v>0</v>
      </c>
      <c r="M200" s="30">
        <f t="shared" si="19"/>
        <v>0</v>
      </c>
    </row>
    <row r="201" spans="1:26" ht="25.5">
      <c r="A201" s="111">
        <v>197</v>
      </c>
      <c r="B201" s="11"/>
      <c r="C201" s="105">
        <f>+'วันที่ 30'!G201</f>
        <v>0</v>
      </c>
      <c r="D201" s="110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0</v>
      </c>
      <c r="J201" s="91">
        <f t="shared" si="18"/>
        <v>0</v>
      </c>
      <c r="K201" s="17" t="s">
        <v>16</v>
      </c>
      <c r="L201" s="112">
        <v>0</v>
      </c>
      <c r="M201" s="30">
        <f t="shared" si="19"/>
        <v>0</v>
      </c>
    </row>
    <row r="202" spans="1:26" ht="25.5">
      <c r="A202" s="111">
        <v>198</v>
      </c>
      <c r="B202" s="11"/>
      <c r="C202" s="105">
        <f>+'วันที่ 30'!G202</f>
        <v>0</v>
      </c>
      <c r="D202" s="110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0</v>
      </c>
      <c r="J202" s="91">
        <f t="shared" si="18"/>
        <v>0</v>
      </c>
      <c r="K202" s="17" t="s">
        <v>16</v>
      </c>
      <c r="L202" s="112">
        <v>0</v>
      </c>
      <c r="M202" s="30">
        <f t="shared" si="19"/>
        <v>0</v>
      </c>
    </row>
    <row r="203" spans="1:26" ht="25.5">
      <c r="A203" s="111">
        <v>199</v>
      </c>
      <c r="B203" s="11"/>
      <c r="C203" s="105">
        <f>+'วันที่ 30'!G203</f>
        <v>0</v>
      </c>
      <c r="D203" s="110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0</v>
      </c>
      <c r="J203" s="91">
        <f t="shared" si="18"/>
        <v>0</v>
      </c>
      <c r="K203" s="17" t="s">
        <v>16</v>
      </c>
      <c r="L203" s="112">
        <v>0</v>
      </c>
      <c r="M203" s="30">
        <f t="shared" si="19"/>
        <v>0</v>
      </c>
    </row>
    <row r="204" spans="1:26" ht="26.25" thickBot="1">
      <c r="A204" s="114">
        <v>200</v>
      </c>
      <c r="B204" s="115"/>
      <c r="C204" s="105">
        <f>+'วันที่ 30'!G204</f>
        <v>0</v>
      </c>
      <c r="D204" s="110">
        <v>0</v>
      </c>
      <c r="E204" s="109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2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2">
        <v>0</v>
      </c>
      <c r="M205" s="184" t="s">
        <v>215</v>
      </c>
      <c r="N205" s="184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88" t="s">
        <v>216</v>
      </c>
      <c r="I206" s="189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0" t="s">
        <v>205</v>
      </c>
      <c r="J207" s="190"/>
      <c r="K207" s="34">
        <f>SUM(J5:J206)</f>
        <v>0</v>
      </c>
    </row>
    <row r="208" spans="1:26" ht="25.5">
      <c r="A208" s="1"/>
      <c r="C208" s="32"/>
      <c r="E208" s="32"/>
      <c r="G208" s="32"/>
      <c r="I208" s="182" t="s">
        <v>206</v>
      </c>
      <c r="J208" s="183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0</v>
      </c>
    </row>
    <row r="210" spans="1:14" ht="25.5">
      <c r="A210" s="1"/>
      <c r="C210" s="32"/>
      <c r="E210" s="32"/>
      <c r="G210" s="32"/>
      <c r="I210" s="182" t="s">
        <v>208</v>
      </c>
      <c r="J210" s="183"/>
      <c r="K210" s="37">
        <v>0</v>
      </c>
    </row>
    <row r="211" spans="1:14" ht="25.5">
      <c r="A211" s="1"/>
      <c r="C211" s="32"/>
      <c r="E211" s="32"/>
      <c r="G211" s="2"/>
      <c r="I211" s="182" t="s">
        <v>209</v>
      </c>
      <c r="J211" s="183"/>
      <c r="K211" s="37">
        <v>0</v>
      </c>
      <c r="N211" s="24"/>
    </row>
    <row r="212" spans="1:14" ht="25.5">
      <c r="A212" s="1"/>
      <c r="C212" s="32"/>
      <c r="E212" s="32"/>
      <c r="G212" s="32"/>
      <c r="I212" s="182" t="s">
        <v>210</v>
      </c>
      <c r="J212" s="183"/>
      <c r="K212" s="38">
        <f>SUM(L5:L205)</f>
        <v>0</v>
      </c>
    </row>
    <row r="213" spans="1:14" ht="25.5">
      <c r="A213" s="1"/>
      <c r="C213" s="32"/>
      <c r="E213" s="32"/>
      <c r="G213" s="32"/>
      <c r="I213" s="182" t="s">
        <v>211</v>
      </c>
      <c r="J213" s="183"/>
      <c r="K213" s="34">
        <f>K207-K208-K209-K211-K212</f>
        <v>0</v>
      </c>
      <c r="M213" s="24"/>
    </row>
    <row r="214" spans="1:14" ht="25.5">
      <c r="A214" s="1"/>
      <c r="C214" s="32"/>
      <c r="E214" s="32"/>
      <c r="G214" s="32"/>
      <c r="I214" s="182" t="s">
        <v>212</v>
      </c>
      <c r="J214" s="183"/>
      <c r="K214" s="38"/>
    </row>
    <row r="215" spans="1:14" ht="25.5">
      <c r="A215" s="1"/>
      <c r="C215" s="32"/>
      <c r="E215" s="32"/>
      <c r="G215" s="32"/>
      <c r="I215" s="182" t="s">
        <v>213</v>
      </c>
      <c r="J215" s="183"/>
      <c r="K215" s="34">
        <f>+K214-K213</f>
        <v>0</v>
      </c>
    </row>
    <row r="216" spans="1:14" ht="25.5">
      <c r="G216" s="2"/>
      <c r="I216" s="182" t="s">
        <v>214</v>
      </c>
      <c r="J216" s="183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249</v>
      </c>
      <c r="K218" s="24">
        <f>+K207-K212+K215</f>
        <v>0</v>
      </c>
    </row>
    <row r="219" spans="1:14">
      <c r="G219" s="2"/>
      <c r="I219" s="2"/>
      <c r="J219" s="2" t="s">
        <v>250</v>
      </c>
      <c r="K219" s="24">
        <f>SUM(K208:K211)</f>
        <v>0</v>
      </c>
    </row>
    <row r="220" spans="1:14">
      <c r="G220" s="2"/>
      <c r="I220" s="2"/>
      <c r="J220" s="2" t="s">
        <v>251</v>
      </c>
      <c r="K220" s="24">
        <f>+K214</f>
        <v>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31.1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 7</vt:lpstr>
      <vt:lpstr>วันที่  8</vt:lpstr>
      <vt:lpstr>วันที่  9</vt:lpstr>
      <vt:lpstr>วันที่  10</vt:lpstr>
      <vt:lpstr>วันที่  11</vt:lpstr>
      <vt:lpstr>วันที่  12</vt:lpstr>
      <vt:lpstr>วันที่  13</vt:lpstr>
      <vt:lpstr>วันที่ 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2024-02-18T09:03:40Z</cp:lastPrinted>
  <dcterms:created xsi:type="dcterms:W3CDTF">2023-12-01T06:46:43Z</dcterms:created>
  <dcterms:modified xsi:type="dcterms:W3CDTF">2024-02-18T09:13:58Z</dcterms:modified>
</cp:coreProperties>
</file>