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2.ก.พ\ส่งสิ้นเดือน\"/>
    </mc:Choice>
  </mc:AlternateContent>
  <xr:revisionPtr revIDLastSave="0" documentId="13_ncr:1_{68423FFA-6812-4848-8EAE-C9F604C95B04}" xr6:coauthVersionLast="47" xr6:coauthVersionMax="47" xr10:uidLastSave="{00000000-0000-0000-0000-000000000000}"/>
  <bookViews>
    <workbookView xWindow="-120" yWindow="-120" windowWidth="29040" windowHeight="15720" tabRatio="907" activeTab="32" xr2:uid="{DFAF8F83-514B-4FC5-A4C3-F2BAA0624829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5" i="59" l="1"/>
  <c r="K220" i="62" l="1"/>
  <c r="K220" i="61"/>
  <c r="K220" i="60"/>
  <c r="K220" i="59"/>
  <c r="K220" i="58"/>
  <c r="J168" i="58"/>
  <c r="K220" i="57"/>
  <c r="K220" i="56"/>
  <c r="K220" i="55"/>
  <c r="K220" i="54"/>
  <c r="K220" i="53"/>
  <c r="K22" i="52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1" i="8"/>
  <c r="Q10" i="8"/>
  <c r="Q9" i="8"/>
  <c r="Q8" i="8"/>
  <c r="Q7" i="8"/>
  <c r="Q6" i="8"/>
  <c r="Q5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K211" i="41"/>
  <c r="Q12" i="8" s="1"/>
  <c r="K212" i="41"/>
  <c r="K220" i="40"/>
  <c r="K209" i="39"/>
  <c r="K219" i="39" s="1"/>
  <c r="K220" i="39"/>
  <c r="K220" i="38"/>
  <c r="K209" i="35"/>
  <c r="K220" i="37"/>
  <c r="K220" i="36"/>
  <c r="K220" i="35"/>
  <c r="K220" i="34"/>
  <c r="T35" i="8" l="1"/>
  <c r="P3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J205" i="8"/>
  <c r="J207" i="8"/>
  <c r="J208" i="8"/>
  <c r="J209" i="8"/>
  <c r="J210" i="8"/>
  <c r="J211" i="8"/>
  <c r="J212" i="8"/>
  <c r="J213" i="8"/>
  <c r="J214" i="8"/>
  <c r="J215" i="8"/>
  <c r="J216" i="8"/>
  <c r="J217" i="8"/>
  <c r="J221" i="8"/>
  <c r="J222" i="8"/>
  <c r="J223" i="8"/>
  <c r="J224" i="8"/>
  <c r="H5" i="8"/>
  <c r="F5" i="8"/>
  <c r="D5" i="8"/>
  <c r="K212" i="64" l="1"/>
  <c r="N35" i="8" s="1"/>
  <c r="K209" i="64"/>
  <c r="R35" i="8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M193" i="64"/>
  <c r="J193" i="64"/>
  <c r="M192" i="64"/>
  <c r="J192" i="64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M163" i="64"/>
  <c r="J163" i="64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M152" i="64"/>
  <c r="J152" i="64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M120" i="64"/>
  <c r="J120" i="64"/>
  <c r="J119" i="64"/>
  <c r="M119" i="64" s="1"/>
  <c r="J118" i="64"/>
  <c r="M118" i="64" s="1"/>
  <c r="J117" i="64"/>
  <c r="M117" i="64" s="1"/>
  <c r="J116" i="64"/>
  <c r="M116" i="64" s="1"/>
  <c r="M115" i="64"/>
  <c r="J115" i="64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U103" i="64"/>
  <c r="Q103" i="64"/>
  <c r="S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M100" i="64"/>
  <c r="J100" i="64"/>
  <c r="X99" i="64"/>
  <c r="S99" i="64"/>
  <c r="U99" i="64" s="1"/>
  <c r="Q99" i="64"/>
  <c r="J99" i="64"/>
  <c r="M99" i="64" s="1"/>
  <c r="X98" i="64"/>
  <c r="S98" i="64"/>
  <c r="U98" i="64" s="1"/>
  <c r="Q98" i="64"/>
  <c r="J98" i="64"/>
  <c r="M98" i="64" s="1"/>
  <c r="X97" i="64"/>
  <c r="Q97" i="64"/>
  <c r="S97" i="64" s="1"/>
  <c r="U97" i="64" s="1"/>
  <c r="J97" i="64"/>
  <c r="M97" i="64" s="1"/>
  <c r="X96" i="64"/>
  <c r="S96" i="64"/>
  <c r="U96" i="64" s="1"/>
  <c r="Q96" i="64"/>
  <c r="J96" i="64"/>
  <c r="M96" i="64" s="1"/>
  <c r="X95" i="64"/>
  <c r="Q95" i="64"/>
  <c r="S95" i="64" s="1"/>
  <c r="U95" i="64" s="1"/>
  <c r="J95" i="64"/>
  <c r="M95" i="64" s="1"/>
  <c r="X94" i="64"/>
  <c r="S94" i="64"/>
  <c r="U94" i="64" s="1"/>
  <c r="Q94" i="64"/>
  <c r="J94" i="64"/>
  <c r="M94" i="64" s="1"/>
  <c r="X93" i="64"/>
  <c r="S93" i="64"/>
  <c r="U93" i="64" s="1"/>
  <c r="Q93" i="64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S88" i="64"/>
  <c r="U88" i="64" s="1"/>
  <c r="Q88" i="64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S83" i="64"/>
  <c r="U83" i="64" s="1"/>
  <c r="Q83" i="64"/>
  <c r="J83" i="64"/>
  <c r="M83" i="64" s="1"/>
  <c r="X82" i="64"/>
  <c r="S82" i="64"/>
  <c r="U82" i="64" s="1"/>
  <c r="Q82" i="64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J75" i="64"/>
  <c r="M75" i="64" s="1"/>
  <c r="X74" i="64"/>
  <c r="S74" i="64"/>
  <c r="U74" i="64" s="1"/>
  <c r="Q74" i="64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S70" i="64"/>
  <c r="U70" i="64" s="1"/>
  <c r="Q70" i="64"/>
  <c r="J70" i="64"/>
  <c r="M70" i="64" s="1"/>
  <c r="X69" i="64"/>
  <c r="S69" i="64"/>
  <c r="U69" i="64" s="1"/>
  <c r="Q69" i="64"/>
  <c r="J69" i="64"/>
  <c r="M69" i="64" s="1"/>
  <c r="X68" i="64"/>
  <c r="Q68" i="64"/>
  <c r="S68" i="64" s="1"/>
  <c r="U68" i="64" s="1"/>
  <c r="M68" i="64"/>
  <c r="J68" i="64"/>
  <c r="X67" i="64"/>
  <c r="Q67" i="64"/>
  <c r="S67" i="64" s="1"/>
  <c r="U67" i="64" s="1"/>
  <c r="J67" i="64"/>
  <c r="M67" i="64" s="1"/>
  <c r="X66" i="64"/>
  <c r="U66" i="64"/>
  <c r="S66" i="64"/>
  <c r="Q66" i="64"/>
  <c r="M66" i="64"/>
  <c r="J66" i="64"/>
  <c r="X65" i="64"/>
  <c r="Q65" i="64"/>
  <c r="S65" i="64" s="1"/>
  <c r="U65" i="64" s="1"/>
  <c r="J65" i="64"/>
  <c r="M65" i="64" s="1"/>
  <c r="X64" i="64"/>
  <c r="S64" i="64"/>
  <c r="U64" i="64" s="1"/>
  <c r="Q64" i="64"/>
  <c r="M64" i="64"/>
  <c r="J64" i="64"/>
  <c r="X63" i="64"/>
  <c r="Q63" i="64"/>
  <c r="S63" i="64" s="1"/>
  <c r="U63" i="64" s="1"/>
  <c r="J63" i="64"/>
  <c r="M63" i="64" s="1"/>
  <c r="X62" i="64"/>
  <c r="S62" i="64"/>
  <c r="U62" i="64" s="1"/>
  <c r="Q62" i="64"/>
  <c r="J62" i="64"/>
  <c r="M62" i="64" s="1"/>
  <c r="X61" i="64"/>
  <c r="S61" i="64"/>
  <c r="U61" i="64" s="1"/>
  <c r="Q61" i="64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S46" i="64"/>
  <c r="U46" i="64" s="1"/>
  <c r="Q46" i="64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S38" i="64"/>
  <c r="U38" i="64" s="1"/>
  <c r="Q38" i="64"/>
  <c r="J38" i="64"/>
  <c r="M38" i="64" s="1"/>
  <c r="X37" i="64"/>
  <c r="S37" i="64"/>
  <c r="U37" i="64" s="1"/>
  <c r="Q37" i="64"/>
  <c r="J37" i="64"/>
  <c r="M37" i="64" s="1"/>
  <c r="X36" i="64"/>
  <c r="Q36" i="64"/>
  <c r="S36" i="64" s="1"/>
  <c r="U36" i="64" s="1"/>
  <c r="J36" i="64"/>
  <c r="M36" i="64" s="1"/>
  <c r="X35" i="64"/>
  <c r="S35" i="64"/>
  <c r="U35" i="64" s="1"/>
  <c r="Q35" i="64"/>
  <c r="J35" i="64"/>
  <c r="M35" i="64" s="1"/>
  <c r="X34" i="64"/>
  <c r="Q34" i="64"/>
  <c r="S34" i="64" s="1"/>
  <c r="U34" i="64" s="1"/>
  <c r="J34" i="64"/>
  <c r="M34" i="64" s="1"/>
  <c r="X33" i="64"/>
  <c r="U33" i="64"/>
  <c r="Q33" i="64"/>
  <c r="S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M24" i="64"/>
  <c r="J24" i="64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M21" i="64"/>
  <c r="J21" i="64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S16" i="64"/>
  <c r="U16" i="64" s="1"/>
  <c r="Q16" i="64"/>
  <c r="J16" i="64"/>
  <c r="M16" i="64" s="1"/>
  <c r="X15" i="64"/>
  <c r="Q15" i="64"/>
  <c r="S15" i="64" s="1"/>
  <c r="U15" i="64" s="1"/>
  <c r="J15" i="64"/>
  <c r="M15" i="64" s="1"/>
  <c r="X14" i="64"/>
  <c r="S14" i="64"/>
  <c r="U14" i="64" s="1"/>
  <c r="Q14" i="64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T34" i="8"/>
  <c r="P34" i="8"/>
  <c r="T33" i="8"/>
  <c r="P33" i="8"/>
  <c r="T32" i="8"/>
  <c r="P32" i="8"/>
  <c r="T31" i="8"/>
  <c r="P31" i="8"/>
  <c r="T30" i="8"/>
  <c r="P30" i="8"/>
  <c r="T29" i="8"/>
  <c r="P29" i="8"/>
  <c r="T28" i="8"/>
  <c r="P28" i="8"/>
  <c r="T27" i="8"/>
  <c r="P27" i="8"/>
  <c r="T26" i="8"/>
  <c r="P26" i="8"/>
  <c r="T25" i="8"/>
  <c r="P25" i="8"/>
  <c r="T24" i="8"/>
  <c r="P24" i="8"/>
  <c r="T23" i="8"/>
  <c r="P23" i="8"/>
  <c r="T22" i="8"/>
  <c r="P22" i="8"/>
  <c r="T21" i="8"/>
  <c r="P21" i="8"/>
  <c r="T20" i="8"/>
  <c r="P20" i="8"/>
  <c r="T19" i="8"/>
  <c r="P19" i="8"/>
  <c r="T18" i="8"/>
  <c r="P18" i="8"/>
  <c r="T17" i="8"/>
  <c r="P17" i="8"/>
  <c r="T16" i="8"/>
  <c r="P16" i="8"/>
  <c r="T15" i="8"/>
  <c r="P15" i="8"/>
  <c r="T14" i="8"/>
  <c r="P14" i="8"/>
  <c r="T13" i="8"/>
  <c r="P13" i="8"/>
  <c r="T12" i="8"/>
  <c r="P12" i="8"/>
  <c r="T11" i="8"/>
  <c r="P11" i="8"/>
  <c r="T10" i="8"/>
  <c r="P10" i="8"/>
  <c r="T9" i="8"/>
  <c r="P9" i="8"/>
  <c r="T8" i="8"/>
  <c r="P8" i="8"/>
  <c r="T7" i="8"/>
  <c r="P7" i="8"/>
  <c r="T6" i="8"/>
  <c r="P6" i="8"/>
  <c r="T5" i="8"/>
  <c r="P5" i="8"/>
  <c r="K212" i="63"/>
  <c r="N34" i="8" s="1"/>
  <c r="K209" i="63"/>
  <c r="R34" i="8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M155" i="63"/>
  <c r="J155" i="63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M145" i="63"/>
  <c r="J145" i="63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M127" i="63"/>
  <c r="J127" i="63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S104" i="63"/>
  <c r="U104" i="63" s="1"/>
  <c r="Q104" i="63"/>
  <c r="J104" i="63"/>
  <c r="M104" i="63" s="1"/>
  <c r="X103" i="63"/>
  <c r="Q103" i="63"/>
  <c r="S103" i="63" s="1"/>
  <c r="U103" i="63" s="1"/>
  <c r="J103" i="63"/>
  <c r="M103" i="63" s="1"/>
  <c r="X102" i="63"/>
  <c r="S102" i="63"/>
  <c r="U102" i="63" s="1"/>
  <c r="Q102" i="63"/>
  <c r="J102" i="63"/>
  <c r="M102" i="63" s="1"/>
  <c r="X101" i="63"/>
  <c r="Q101" i="63"/>
  <c r="S101" i="63" s="1"/>
  <c r="U101" i="63" s="1"/>
  <c r="J101" i="63"/>
  <c r="M101" i="63" s="1"/>
  <c r="X100" i="63"/>
  <c r="S100" i="63"/>
  <c r="U100" i="63" s="1"/>
  <c r="Q100" i="63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S88" i="63"/>
  <c r="U88" i="63" s="1"/>
  <c r="Q88" i="63"/>
  <c r="J88" i="63"/>
  <c r="M88" i="63" s="1"/>
  <c r="X87" i="63"/>
  <c r="Q87" i="63"/>
  <c r="S87" i="63" s="1"/>
  <c r="U87" i="63" s="1"/>
  <c r="J87" i="63"/>
  <c r="M87" i="63" s="1"/>
  <c r="X86" i="63"/>
  <c r="S86" i="63"/>
  <c r="U86" i="63" s="1"/>
  <c r="Q86" i="63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S82" i="63"/>
  <c r="U82" i="63" s="1"/>
  <c r="Q82" i="63"/>
  <c r="J82" i="63"/>
  <c r="M82" i="63" s="1"/>
  <c r="X81" i="63"/>
  <c r="Q81" i="63"/>
  <c r="S81" i="63" s="1"/>
  <c r="U81" i="63" s="1"/>
  <c r="J81" i="63"/>
  <c r="M81" i="63" s="1"/>
  <c r="X80" i="63"/>
  <c r="S80" i="63"/>
  <c r="U80" i="63" s="1"/>
  <c r="Q80" i="63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S72" i="63"/>
  <c r="U72" i="63" s="1"/>
  <c r="Q72" i="63"/>
  <c r="J72" i="63"/>
  <c r="M72" i="63" s="1"/>
  <c r="X71" i="63"/>
  <c r="Q71" i="63"/>
  <c r="S71" i="63" s="1"/>
  <c r="U71" i="63" s="1"/>
  <c r="J71" i="63"/>
  <c r="M71" i="63" s="1"/>
  <c r="X70" i="63"/>
  <c r="S70" i="63"/>
  <c r="U70" i="63" s="1"/>
  <c r="Q70" i="63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S66" i="63"/>
  <c r="U66" i="63" s="1"/>
  <c r="Q66" i="63"/>
  <c r="M66" i="63"/>
  <c r="J66" i="63"/>
  <c r="X65" i="63"/>
  <c r="Q65" i="63"/>
  <c r="S65" i="63" s="1"/>
  <c r="U65" i="63" s="1"/>
  <c r="J65" i="63"/>
  <c r="M65" i="63" s="1"/>
  <c r="X64" i="63"/>
  <c r="S64" i="63"/>
  <c r="U64" i="63" s="1"/>
  <c r="Q64" i="63"/>
  <c r="J64" i="63"/>
  <c r="M64" i="63" s="1"/>
  <c r="X63" i="63"/>
  <c r="Q63" i="63"/>
  <c r="S63" i="63" s="1"/>
  <c r="U63" i="63" s="1"/>
  <c r="J63" i="63"/>
  <c r="M63" i="63" s="1"/>
  <c r="X62" i="63"/>
  <c r="S62" i="63"/>
  <c r="U62" i="63" s="1"/>
  <c r="Q62" i="63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S48" i="63"/>
  <c r="U48" i="63" s="1"/>
  <c r="Q48" i="63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S44" i="63"/>
  <c r="U44" i="63" s="1"/>
  <c r="Q44" i="63"/>
  <c r="J44" i="63"/>
  <c r="M44" i="63" s="1"/>
  <c r="X43" i="63"/>
  <c r="Q43" i="63"/>
  <c r="S43" i="63" s="1"/>
  <c r="U43" i="63" s="1"/>
  <c r="J43" i="63"/>
  <c r="M43" i="63" s="1"/>
  <c r="X42" i="63"/>
  <c r="S42" i="63"/>
  <c r="U42" i="63" s="1"/>
  <c r="Q42" i="63"/>
  <c r="J42" i="63"/>
  <c r="M42" i="63" s="1"/>
  <c r="X41" i="63"/>
  <c r="Q41" i="63"/>
  <c r="S41" i="63" s="1"/>
  <c r="U41" i="63" s="1"/>
  <c r="J41" i="63"/>
  <c r="M41" i="63" s="1"/>
  <c r="X40" i="63"/>
  <c r="S40" i="63"/>
  <c r="U40" i="63" s="1"/>
  <c r="Q40" i="63"/>
  <c r="J40" i="63"/>
  <c r="M40" i="63" s="1"/>
  <c r="X39" i="63"/>
  <c r="Q39" i="63"/>
  <c r="S39" i="63" s="1"/>
  <c r="U39" i="63" s="1"/>
  <c r="J39" i="63"/>
  <c r="M39" i="63" s="1"/>
  <c r="X38" i="63"/>
  <c r="S38" i="63"/>
  <c r="U38" i="63" s="1"/>
  <c r="Q38" i="63"/>
  <c r="J38" i="63"/>
  <c r="M38" i="63" s="1"/>
  <c r="X37" i="63"/>
  <c r="S37" i="63"/>
  <c r="U37" i="63" s="1"/>
  <c r="Q37" i="63"/>
  <c r="J37" i="63"/>
  <c r="M37" i="63" s="1"/>
  <c r="X36" i="63"/>
  <c r="S36" i="63"/>
  <c r="U36" i="63" s="1"/>
  <c r="Q36" i="63"/>
  <c r="J36" i="63"/>
  <c r="M36" i="63" s="1"/>
  <c r="X35" i="63"/>
  <c r="Q35" i="63"/>
  <c r="S35" i="63" s="1"/>
  <c r="U35" i="63" s="1"/>
  <c r="J35" i="63"/>
  <c r="M35" i="63" s="1"/>
  <c r="X34" i="63"/>
  <c r="S34" i="63"/>
  <c r="U34" i="63" s="1"/>
  <c r="Q34" i="63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S28" i="63"/>
  <c r="U28" i="63" s="1"/>
  <c r="Q28" i="63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S25" i="63"/>
  <c r="U25" i="63" s="1"/>
  <c r="Q25" i="63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S16" i="63"/>
  <c r="U16" i="63" s="1"/>
  <c r="Q16" i="63"/>
  <c r="J16" i="63"/>
  <c r="M16" i="63" s="1"/>
  <c r="X15" i="63"/>
  <c r="S15" i="63"/>
  <c r="U15" i="63" s="1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S9" i="63"/>
  <c r="U9" i="63" s="1"/>
  <c r="Q9" i="63"/>
  <c r="M9" i="63"/>
  <c r="J9" i="63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8" s="1"/>
  <c r="K209" i="62"/>
  <c r="J204" i="62"/>
  <c r="M204" i="62" s="1"/>
  <c r="J203" i="62"/>
  <c r="M203" i="62" s="1"/>
  <c r="J202" i="62"/>
  <c r="M202" i="62" s="1"/>
  <c r="M201" i="62"/>
  <c r="J201" i="62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M184" i="62"/>
  <c r="J184" i="62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M175" i="62"/>
  <c r="J175" i="62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M134" i="62"/>
  <c r="J134" i="62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S104" i="62"/>
  <c r="U104" i="62" s="1"/>
  <c r="Q104" i="62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U101" i="62"/>
  <c r="Q101" i="62"/>
  <c r="S101" i="62" s="1"/>
  <c r="J101" i="62"/>
  <c r="M101" i="62" s="1"/>
  <c r="X100" i="62"/>
  <c r="Q100" i="62"/>
  <c r="S100" i="62" s="1"/>
  <c r="U100" i="62" s="1"/>
  <c r="J100" i="62"/>
  <c r="M100" i="62" s="1"/>
  <c r="X99" i="62"/>
  <c r="U99" i="62"/>
  <c r="S99" i="62"/>
  <c r="Q99" i="62"/>
  <c r="J99" i="62"/>
  <c r="M99" i="62" s="1"/>
  <c r="X98" i="62"/>
  <c r="Q98" i="62"/>
  <c r="S98" i="62" s="1"/>
  <c r="U98" i="62" s="1"/>
  <c r="J98" i="62"/>
  <c r="M98" i="62" s="1"/>
  <c r="X97" i="62"/>
  <c r="S97" i="62"/>
  <c r="U97" i="62" s="1"/>
  <c r="Q97" i="62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S94" i="62"/>
  <c r="U94" i="62" s="1"/>
  <c r="Q94" i="62"/>
  <c r="J94" i="62"/>
  <c r="M94" i="62" s="1"/>
  <c r="X93" i="62"/>
  <c r="Q93" i="62"/>
  <c r="S93" i="62" s="1"/>
  <c r="U93" i="62" s="1"/>
  <c r="J93" i="62"/>
  <c r="M93" i="62" s="1"/>
  <c r="X92" i="62"/>
  <c r="S92" i="62"/>
  <c r="U92" i="62" s="1"/>
  <c r="Q92" i="62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S88" i="62"/>
  <c r="U88" i="62" s="1"/>
  <c r="Q88" i="62"/>
  <c r="J88" i="62"/>
  <c r="M88" i="62" s="1"/>
  <c r="X87" i="62"/>
  <c r="Q87" i="62"/>
  <c r="S87" i="62" s="1"/>
  <c r="U87" i="62" s="1"/>
  <c r="J87" i="62"/>
  <c r="M87" i="62" s="1"/>
  <c r="X86" i="62"/>
  <c r="S86" i="62"/>
  <c r="U86" i="62" s="1"/>
  <c r="Q86" i="62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S80" i="62"/>
  <c r="U80" i="62" s="1"/>
  <c r="Q80" i="62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S76" i="62"/>
  <c r="U76" i="62" s="1"/>
  <c r="Q76" i="62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U72" i="62"/>
  <c r="Q72" i="62"/>
  <c r="S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S68" i="62"/>
  <c r="U68" i="62" s="1"/>
  <c r="Q68" i="62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S64" i="62"/>
  <c r="U64" i="62" s="1"/>
  <c r="Q64" i="62"/>
  <c r="J64" i="62"/>
  <c r="M64" i="62" s="1"/>
  <c r="X63" i="62"/>
  <c r="Q63" i="62"/>
  <c r="S63" i="62" s="1"/>
  <c r="U63" i="62" s="1"/>
  <c r="J63" i="62"/>
  <c r="M63" i="62" s="1"/>
  <c r="X62" i="62"/>
  <c r="S62" i="62"/>
  <c r="U62" i="62" s="1"/>
  <c r="Q62" i="62"/>
  <c r="J62" i="62"/>
  <c r="M62" i="62" s="1"/>
  <c r="X61" i="62"/>
  <c r="Q61" i="62"/>
  <c r="S61" i="62" s="1"/>
  <c r="U61" i="62" s="1"/>
  <c r="J61" i="62"/>
  <c r="M61" i="62" s="1"/>
  <c r="X60" i="62"/>
  <c r="S60" i="62"/>
  <c r="U60" i="62" s="1"/>
  <c r="Q60" i="62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S57" i="62"/>
  <c r="U57" i="62" s="1"/>
  <c r="Q57" i="62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S54" i="62"/>
  <c r="U54" i="62" s="1"/>
  <c r="Q54" i="62"/>
  <c r="J54" i="62"/>
  <c r="M54" i="62" s="1"/>
  <c r="X53" i="62"/>
  <c r="Q53" i="62"/>
  <c r="S53" i="62" s="1"/>
  <c r="U53" i="62" s="1"/>
  <c r="J53" i="62"/>
  <c r="M53" i="62" s="1"/>
  <c r="X52" i="62"/>
  <c r="S52" i="62"/>
  <c r="U52" i="62" s="1"/>
  <c r="Q52" i="62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S35" i="62"/>
  <c r="U35" i="62" s="1"/>
  <c r="Q35" i="62"/>
  <c r="J35" i="62"/>
  <c r="M35" i="62" s="1"/>
  <c r="X34" i="62"/>
  <c r="S34" i="62"/>
  <c r="U34" i="62" s="1"/>
  <c r="Q34" i="62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S24" i="62"/>
  <c r="U24" i="62" s="1"/>
  <c r="Q24" i="62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S18" i="62"/>
  <c r="U18" i="62" s="1"/>
  <c r="Q18" i="62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U15" i="62"/>
  <c r="Q15" i="62"/>
  <c r="S15" i="62" s="1"/>
  <c r="J15" i="62"/>
  <c r="M15" i="62" s="1"/>
  <c r="X14" i="62"/>
  <c r="Q14" i="62"/>
  <c r="S14" i="62" s="1"/>
  <c r="U14" i="62" s="1"/>
  <c r="J14" i="62"/>
  <c r="M14" i="62" s="1"/>
  <c r="X13" i="62"/>
  <c r="S13" i="62"/>
  <c r="U13" i="62" s="1"/>
  <c r="Q13" i="62"/>
  <c r="J13" i="62"/>
  <c r="M13" i="62" s="1"/>
  <c r="X12" i="62"/>
  <c r="S12" i="62"/>
  <c r="U12" i="62" s="1"/>
  <c r="Q12" i="62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U7" i="62"/>
  <c r="S7" i="62"/>
  <c r="Q7" i="62"/>
  <c r="J7" i="62"/>
  <c r="M7" i="62" s="1"/>
  <c r="X6" i="62"/>
  <c r="Q6" i="62"/>
  <c r="S6" i="62" s="1"/>
  <c r="U6" i="62" s="1"/>
  <c r="J6" i="62"/>
  <c r="M6" i="62" s="1"/>
  <c r="X5" i="62"/>
  <c r="S5" i="62"/>
  <c r="U5" i="62" s="1"/>
  <c r="Q5" i="62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M198" i="61"/>
  <c r="J198" i="6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M181" i="61"/>
  <c r="J181" i="6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M174" i="61"/>
  <c r="J174" i="6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M117" i="61"/>
  <c r="J117" i="61"/>
  <c r="J116" i="61"/>
  <c r="M116" i="61" s="1"/>
  <c r="J115" i="61"/>
  <c r="M115" i="61" s="1"/>
  <c r="J114" i="61"/>
  <c r="M114" i="61" s="1"/>
  <c r="M113" i="61"/>
  <c r="J113" i="6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M102" i="61"/>
  <c r="J102" i="61"/>
  <c r="X101" i="61"/>
  <c r="S101" i="61"/>
  <c r="U101" i="61" s="1"/>
  <c r="Q101" i="6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S90" i="61"/>
  <c r="U90" i="61" s="1"/>
  <c r="Q90" i="61"/>
  <c r="J90" i="61"/>
  <c r="M90" i="61" s="1"/>
  <c r="X89" i="61"/>
  <c r="S89" i="61"/>
  <c r="U89" i="61" s="1"/>
  <c r="Q89" i="6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S82" i="61"/>
  <c r="U82" i="61" s="1"/>
  <c r="Q82" i="6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S78" i="61"/>
  <c r="U78" i="61" s="1"/>
  <c r="Q78" i="6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S73" i="61"/>
  <c r="U73" i="61" s="1"/>
  <c r="Q73" i="6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S66" i="61"/>
  <c r="U66" i="61" s="1"/>
  <c r="Q66" i="61"/>
  <c r="M66" i="61"/>
  <c r="J66" i="61"/>
  <c r="X65" i="61"/>
  <c r="Q65" i="61"/>
  <c r="S65" i="61" s="1"/>
  <c r="U65" i="61" s="1"/>
  <c r="J65" i="61"/>
  <c r="M65" i="61" s="1"/>
  <c r="X64" i="61"/>
  <c r="U64" i="61"/>
  <c r="Q64" i="61"/>
  <c r="S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S61" i="61"/>
  <c r="U61" i="61" s="1"/>
  <c r="Q61" i="6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S57" i="61"/>
  <c r="U57" i="61" s="1"/>
  <c r="Q57" i="61"/>
  <c r="J57" i="61"/>
  <c r="M57" i="61" s="1"/>
  <c r="X56" i="61"/>
  <c r="S56" i="61"/>
  <c r="U56" i="61" s="1"/>
  <c r="Q56" i="6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S49" i="61"/>
  <c r="U49" i="61" s="1"/>
  <c r="Q49" i="61"/>
  <c r="J49" i="61"/>
  <c r="M49" i="61" s="1"/>
  <c r="X48" i="61"/>
  <c r="S48" i="61"/>
  <c r="U48" i="61" s="1"/>
  <c r="Q48" i="6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S45" i="61"/>
  <c r="U45" i="61" s="1"/>
  <c r="Q45" i="61"/>
  <c r="M45" i="61"/>
  <c r="J45" i="61"/>
  <c r="X44" i="61"/>
  <c r="Q44" i="61"/>
  <c r="S44" i="61" s="1"/>
  <c r="U44" i="61" s="1"/>
  <c r="J44" i="61"/>
  <c r="M44" i="61" s="1"/>
  <c r="X43" i="61"/>
  <c r="S43" i="61"/>
  <c r="U43" i="61" s="1"/>
  <c r="Q43" i="61"/>
  <c r="J43" i="61"/>
  <c r="M43" i="61" s="1"/>
  <c r="X42" i="61"/>
  <c r="Q42" i="61"/>
  <c r="S42" i="61" s="1"/>
  <c r="U42" i="61" s="1"/>
  <c r="J42" i="61"/>
  <c r="M42" i="61" s="1"/>
  <c r="X41" i="61"/>
  <c r="U41" i="61"/>
  <c r="Q41" i="61"/>
  <c r="S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M39" i="61"/>
  <c r="J39" i="6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S36" i="61"/>
  <c r="U36" i="61" s="1"/>
  <c r="Q36" i="6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M34" i="61"/>
  <c r="J34" i="61"/>
  <c r="X33" i="61"/>
  <c r="S33" i="61"/>
  <c r="U33" i="61" s="1"/>
  <c r="Q33" i="6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M30" i="61"/>
  <c r="J30" i="61"/>
  <c r="X29" i="61"/>
  <c r="Q29" i="61"/>
  <c r="S29" i="61" s="1"/>
  <c r="U29" i="61" s="1"/>
  <c r="J29" i="61"/>
  <c r="M29" i="61" s="1"/>
  <c r="X28" i="61"/>
  <c r="Q28" i="61"/>
  <c r="S28" i="61" s="1"/>
  <c r="U28" i="61" s="1"/>
  <c r="M28" i="61"/>
  <c r="J28" i="6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S24" i="61"/>
  <c r="U24" i="61" s="1"/>
  <c r="Q24" i="6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S14" i="61"/>
  <c r="U14" i="61" s="1"/>
  <c r="Q14" i="6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12" i="60"/>
  <c r="N31" i="8" s="1"/>
  <c r="K20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M164" i="60"/>
  <c r="J164" i="60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M148" i="60"/>
  <c r="J148" i="60"/>
  <c r="J147" i="60"/>
  <c r="M147" i="60" s="1"/>
  <c r="J146" i="60"/>
  <c r="M146" i="60" s="1"/>
  <c r="M145" i="60"/>
  <c r="J145" i="60"/>
  <c r="J144" i="60"/>
  <c r="M144" i="60" s="1"/>
  <c r="J143" i="60"/>
  <c r="M143" i="60" s="1"/>
  <c r="J142" i="60"/>
  <c r="M142" i="60" s="1"/>
  <c r="J141" i="60"/>
  <c r="M141" i="60" s="1"/>
  <c r="J140" i="60"/>
  <c r="M140" i="60" s="1"/>
  <c r="M139" i="60"/>
  <c r="J139" i="60"/>
  <c r="J138" i="60"/>
  <c r="M138" i="60" s="1"/>
  <c r="M137" i="60"/>
  <c r="J137" i="60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M115" i="60"/>
  <c r="J115" i="60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S104" i="60"/>
  <c r="U104" i="60" s="1"/>
  <c r="Q104" i="60"/>
  <c r="J104" i="60"/>
  <c r="M104" i="60" s="1"/>
  <c r="X103" i="60"/>
  <c r="S103" i="60"/>
  <c r="U103" i="60" s="1"/>
  <c r="Q103" i="60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M94" i="60"/>
  <c r="J94" i="60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S90" i="60"/>
  <c r="U90" i="60" s="1"/>
  <c r="Q90" i="60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U87" i="60"/>
  <c r="Q87" i="60"/>
  <c r="S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S84" i="60"/>
  <c r="U84" i="60" s="1"/>
  <c r="Q84" i="60"/>
  <c r="M84" i="60"/>
  <c r="J84" i="60"/>
  <c r="X83" i="60"/>
  <c r="U83" i="60"/>
  <c r="Q83" i="60"/>
  <c r="S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S80" i="60"/>
  <c r="U80" i="60" s="1"/>
  <c r="Q80" i="60"/>
  <c r="J80" i="60"/>
  <c r="M80" i="60" s="1"/>
  <c r="X79" i="60"/>
  <c r="S79" i="60"/>
  <c r="U79" i="60" s="1"/>
  <c r="Q79" i="60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S66" i="60"/>
  <c r="U66" i="60" s="1"/>
  <c r="Q66" i="60"/>
  <c r="M66" i="60"/>
  <c r="J66" i="60"/>
  <c r="X65" i="60"/>
  <c r="Q65" i="60"/>
  <c r="S65" i="60" s="1"/>
  <c r="U65" i="60" s="1"/>
  <c r="M65" i="60"/>
  <c r="J65" i="60"/>
  <c r="X64" i="60"/>
  <c r="Q64" i="60"/>
  <c r="S64" i="60" s="1"/>
  <c r="U64" i="60" s="1"/>
  <c r="J64" i="60"/>
  <c r="M64" i="60" s="1"/>
  <c r="X63" i="60"/>
  <c r="U63" i="60"/>
  <c r="S63" i="60"/>
  <c r="Q63" i="60"/>
  <c r="J63" i="60"/>
  <c r="M63" i="60" s="1"/>
  <c r="X62" i="60"/>
  <c r="Q62" i="60"/>
  <c r="S62" i="60" s="1"/>
  <c r="U62" i="60" s="1"/>
  <c r="J62" i="60"/>
  <c r="M62" i="60" s="1"/>
  <c r="X61" i="60"/>
  <c r="S61" i="60"/>
  <c r="U61" i="60" s="1"/>
  <c r="Q61" i="60"/>
  <c r="J61" i="60"/>
  <c r="M61" i="60" s="1"/>
  <c r="X60" i="60"/>
  <c r="S60" i="60"/>
  <c r="U60" i="60" s="1"/>
  <c r="Q60" i="60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S40" i="60"/>
  <c r="U40" i="60" s="1"/>
  <c r="Q40" i="60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S36" i="60"/>
  <c r="U36" i="60" s="1"/>
  <c r="Q36" i="60"/>
  <c r="J36" i="60"/>
  <c r="M36" i="60" s="1"/>
  <c r="X35" i="60"/>
  <c r="Q35" i="60"/>
  <c r="S35" i="60" s="1"/>
  <c r="U35" i="60" s="1"/>
  <c r="J35" i="60"/>
  <c r="M35" i="60" s="1"/>
  <c r="X34" i="60"/>
  <c r="S34" i="60"/>
  <c r="U34" i="60" s="1"/>
  <c r="Q34" i="60"/>
  <c r="J34" i="60"/>
  <c r="M34" i="60" s="1"/>
  <c r="X33" i="60"/>
  <c r="Q33" i="60"/>
  <c r="S33" i="60" s="1"/>
  <c r="U33" i="60" s="1"/>
  <c r="M33" i="60"/>
  <c r="J33" i="60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S27" i="60"/>
  <c r="U27" i="60" s="1"/>
  <c r="Q27" i="60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S21" i="60"/>
  <c r="U21" i="60" s="1"/>
  <c r="Q21" i="60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Q15" i="60"/>
  <c r="S15" i="60" s="1"/>
  <c r="U15" i="60" s="1"/>
  <c r="J15" i="60"/>
  <c r="M15" i="60" s="1"/>
  <c r="X14" i="60"/>
  <c r="S14" i="60"/>
  <c r="U14" i="60" s="1"/>
  <c r="Q14" i="60"/>
  <c r="J14" i="60"/>
  <c r="M14" i="60" s="1"/>
  <c r="X13" i="60"/>
  <c r="S13" i="60"/>
  <c r="U13" i="60" s="1"/>
  <c r="Q13" i="60"/>
  <c r="J13" i="60"/>
  <c r="M13" i="60" s="1"/>
  <c r="X12" i="60"/>
  <c r="Q12" i="60"/>
  <c r="S12" i="60" s="1"/>
  <c r="U12" i="60" s="1"/>
  <c r="J12" i="60"/>
  <c r="M12" i="60" s="1"/>
  <c r="X11" i="60"/>
  <c r="S11" i="60"/>
  <c r="U11" i="60" s="1"/>
  <c r="Q11" i="60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S6" i="60"/>
  <c r="U6" i="60" s="1"/>
  <c r="Q6" i="60"/>
  <c r="J6" i="60"/>
  <c r="M6" i="60" s="1"/>
  <c r="X5" i="60"/>
  <c r="Q5" i="60"/>
  <c r="S5" i="60" s="1"/>
  <c r="U5" i="60" s="1"/>
  <c r="M5" i="60"/>
  <c r="J5" i="60"/>
  <c r="K212" i="59"/>
  <c r="N30" i="8" s="1"/>
  <c r="K20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M185" i="59"/>
  <c r="J185" i="59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M167" i="59"/>
  <c r="J167" i="59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M132" i="59"/>
  <c r="J132" i="59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S103" i="59"/>
  <c r="U103" i="59" s="1"/>
  <c r="Q103" i="59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M100" i="59"/>
  <c r="J100" i="59"/>
  <c r="X99" i="59"/>
  <c r="Q99" i="59"/>
  <c r="S99" i="59" s="1"/>
  <c r="U99" i="59" s="1"/>
  <c r="J99" i="59"/>
  <c r="M99" i="59" s="1"/>
  <c r="X98" i="59"/>
  <c r="Q98" i="59"/>
  <c r="S98" i="59" s="1"/>
  <c r="U98" i="59" s="1"/>
  <c r="M98" i="59"/>
  <c r="J98" i="59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U94" i="59"/>
  <c r="S94" i="59"/>
  <c r="Q94" i="59"/>
  <c r="J94" i="59"/>
  <c r="M94" i="59" s="1"/>
  <c r="X93" i="59"/>
  <c r="Q93" i="59"/>
  <c r="S93" i="59" s="1"/>
  <c r="U93" i="59" s="1"/>
  <c r="J93" i="59"/>
  <c r="M93" i="59" s="1"/>
  <c r="X92" i="59"/>
  <c r="S92" i="59"/>
  <c r="U92" i="59" s="1"/>
  <c r="Q92" i="59"/>
  <c r="J92" i="59"/>
  <c r="M92" i="59" s="1"/>
  <c r="X91" i="59"/>
  <c r="Q91" i="59"/>
  <c r="S91" i="59" s="1"/>
  <c r="U91" i="59" s="1"/>
  <c r="J91" i="59"/>
  <c r="M91" i="59" s="1"/>
  <c r="X90" i="59"/>
  <c r="S90" i="59"/>
  <c r="U90" i="59" s="1"/>
  <c r="Q90" i="59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U86" i="59"/>
  <c r="S86" i="59"/>
  <c r="Q86" i="59"/>
  <c r="J86" i="59"/>
  <c r="M86" i="59" s="1"/>
  <c r="X85" i="59"/>
  <c r="Q85" i="59"/>
  <c r="S85" i="59" s="1"/>
  <c r="U85" i="59" s="1"/>
  <c r="J85" i="59"/>
  <c r="M85" i="59" s="1"/>
  <c r="X84" i="59"/>
  <c r="S84" i="59"/>
  <c r="U84" i="59" s="1"/>
  <c r="Q84" i="59"/>
  <c r="J84" i="59"/>
  <c r="M84" i="59" s="1"/>
  <c r="X83" i="59"/>
  <c r="Q83" i="59"/>
  <c r="S83" i="59" s="1"/>
  <c r="U83" i="59" s="1"/>
  <c r="J83" i="59"/>
  <c r="M83" i="59" s="1"/>
  <c r="X82" i="59"/>
  <c r="S82" i="59"/>
  <c r="U82" i="59" s="1"/>
  <c r="Q82" i="59"/>
  <c r="J82" i="59"/>
  <c r="M82" i="59" s="1"/>
  <c r="X81" i="59"/>
  <c r="Q81" i="59"/>
  <c r="S81" i="59" s="1"/>
  <c r="U81" i="59" s="1"/>
  <c r="J81" i="59"/>
  <c r="M81" i="59" s="1"/>
  <c r="X80" i="59"/>
  <c r="S80" i="59"/>
  <c r="U80" i="59" s="1"/>
  <c r="Q80" i="59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M78" i="59"/>
  <c r="J78" i="59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S63" i="59"/>
  <c r="U63" i="59" s="1"/>
  <c r="Q63" i="59"/>
  <c r="J63" i="59"/>
  <c r="M63" i="59" s="1"/>
  <c r="X62" i="59"/>
  <c r="S62" i="59"/>
  <c r="U62" i="59" s="1"/>
  <c r="Q62" i="59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U57" i="59"/>
  <c r="Q57" i="59"/>
  <c r="S57" i="59" s="1"/>
  <c r="J57" i="59"/>
  <c r="M57" i="59" s="1"/>
  <c r="X56" i="59"/>
  <c r="Q56" i="59"/>
  <c r="S56" i="59" s="1"/>
  <c r="U56" i="59" s="1"/>
  <c r="J56" i="59"/>
  <c r="M56" i="59" s="1"/>
  <c r="X55" i="59"/>
  <c r="U55" i="59"/>
  <c r="S55" i="59"/>
  <c r="Q55" i="59"/>
  <c r="J55" i="59"/>
  <c r="M55" i="59" s="1"/>
  <c r="X54" i="59"/>
  <c r="U54" i="59"/>
  <c r="Q54" i="59"/>
  <c r="S54" i="59" s="1"/>
  <c r="J54" i="59"/>
  <c r="M54" i="59" s="1"/>
  <c r="X53" i="59"/>
  <c r="Q53" i="59"/>
  <c r="S53" i="59" s="1"/>
  <c r="U53" i="59" s="1"/>
  <c r="J53" i="59"/>
  <c r="M53" i="59" s="1"/>
  <c r="X52" i="59"/>
  <c r="S52" i="59"/>
  <c r="U52" i="59" s="1"/>
  <c r="Q52" i="59"/>
  <c r="J52" i="59"/>
  <c r="M52" i="59" s="1"/>
  <c r="X51" i="59"/>
  <c r="U51" i="59"/>
  <c r="Q51" i="59"/>
  <c r="S51" i="59" s="1"/>
  <c r="J51" i="59"/>
  <c r="M51" i="59" s="1"/>
  <c r="X50" i="59"/>
  <c r="Q50" i="59"/>
  <c r="S50" i="59" s="1"/>
  <c r="U50" i="59" s="1"/>
  <c r="J50" i="59"/>
  <c r="M50" i="59" s="1"/>
  <c r="X49" i="59"/>
  <c r="U49" i="59"/>
  <c r="Q49" i="59"/>
  <c r="S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S46" i="59"/>
  <c r="U46" i="59" s="1"/>
  <c r="Q46" i="59"/>
  <c r="J46" i="59"/>
  <c r="M46" i="59" s="1"/>
  <c r="X45" i="59"/>
  <c r="Q45" i="59"/>
  <c r="S45" i="59" s="1"/>
  <c r="U45" i="59" s="1"/>
  <c r="J45" i="59"/>
  <c r="M45" i="59" s="1"/>
  <c r="X44" i="59"/>
  <c r="S44" i="59"/>
  <c r="U44" i="59" s="1"/>
  <c r="Q44" i="59"/>
  <c r="J44" i="59"/>
  <c r="M44" i="59" s="1"/>
  <c r="X43" i="59"/>
  <c r="Q43" i="59"/>
  <c r="S43" i="59" s="1"/>
  <c r="U43" i="59" s="1"/>
  <c r="J43" i="59"/>
  <c r="M43" i="59" s="1"/>
  <c r="X42" i="59"/>
  <c r="S42" i="59"/>
  <c r="U42" i="59" s="1"/>
  <c r="Q42" i="59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S39" i="59"/>
  <c r="U39" i="59" s="1"/>
  <c r="Q39" i="59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U33" i="59"/>
  <c r="Q33" i="59"/>
  <c r="S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S29" i="59"/>
  <c r="U29" i="59" s="1"/>
  <c r="Q29" i="59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M25" i="59"/>
  <c r="J25" i="59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S21" i="59"/>
  <c r="U21" i="59" s="1"/>
  <c r="Q21" i="59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S15" i="59"/>
  <c r="U15" i="59" s="1"/>
  <c r="Q15" i="59"/>
  <c r="M15" i="59"/>
  <c r="J15" i="59"/>
  <c r="X14" i="59"/>
  <c r="Q14" i="59"/>
  <c r="S14" i="59" s="1"/>
  <c r="U14" i="59" s="1"/>
  <c r="J14" i="59"/>
  <c r="M14" i="59" s="1"/>
  <c r="X13" i="59"/>
  <c r="S13" i="59"/>
  <c r="U13" i="59" s="1"/>
  <c r="Q13" i="59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M11" i="59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S7" i="59"/>
  <c r="U7" i="59" s="1"/>
  <c r="Q7" i="59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12" i="58"/>
  <c r="N29" i="8" s="1"/>
  <c r="K209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M169" i="58"/>
  <c r="J169" i="58"/>
  <c r="M168" i="58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M137" i="58"/>
  <c r="J137" i="58"/>
  <c r="J136" i="58"/>
  <c r="M136" i="58" s="1"/>
  <c r="J135" i="58"/>
  <c r="M135" i="58" s="1"/>
  <c r="J134" i="58"/>
  <c r="M134" i="58" s="1"/>
  <c r="M133" i="58"/>
  <c r="J133" i="58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S98" i="58"/>
  <c r="U98" i="58" s="1"/>
  <c r="Q98" i="58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S92" i="58"/>
  <c r="U92" i="58" s="1"/>
  <c r="Q92" i="58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S89" i="58"/>
  <c r="U89" i="58" s="1"/>
  <c r="Q89" i="58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S84" i="58"/>
  <c r="U84" i="58" s="1"/>
  <c r="Q84" i="58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S60" i="58"/>
  <c r="U60" i="58" s="1"/>
  <c r="Q60" i="58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M57" i="58"/>
  <c r="J57" i="58"/>
  <c r="X56" i="58"/>
  <c r="Q56" i="58"/>
  <c r="S56" i="58" s="1"/>
  <c r="U56" i="58" s="1"/>
  <c r="J56" i="58"/>
  <c r="M56" i="58" s="1"/>
  <c r="X55" i="58"/>
  <c r="U55" i="58"/>
  <c r="S55" i="58"/>
  <c r="Q55" i="58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M49" i="58"/>
  <c r="J49" i="58"/>
  <c r="X48" i="58"/>
  <c r="Q48" i="58"/>
  <c r="S48" i="58" s="1"/>
  <c r="U48" i="58" s="1"/>
  <c r="J48" i="58"/>
  <c r="M48" i="58" s="1"/>
  <c r="X47" i="58"/>
  <c r="S47" i="58"/>
  <c r="U47" i="58" s="1"/>
  <c r="Q47" i="58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S44" i="58"/>
  <c r="U44" i="58" s="1"/>
  <c r="Q44" i="58"/>
  <c r="J44" i="58"/>
  <c r="M44" i="58" s="1"/>
  <c r="X43" i="58"/>
  <c r="Q43" i="58"/>
  <c r="S43" i="58" s="1"/>
  <c r="U43" i="58" s="1"/>
  <c r="J43" i="58"/>
  <c r="M43" i="58" s="1"/>
  <c r="X42" i="58"/>
  <c r="S42" i="58"/>
  <c r="U42" i="58" s="1"/>
  <c r="Q42" i="58"/>
  <c r="J42" i="58"/>
  <c r="M42" i="58" s="1"/>
  <c r="X41" i="58"/>
  <c r="U41" i="58"/>
  <c r="Q41" i="58"/>
  <c r="S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S36" i="58"/>
  <c r="U36" i="58" s="1"/>
  <c r="Q36" i="58"/>
  <c r="J36" i="58"/>
  <c r="M36" i="58" s="1"/>
  <c r="X35" i="58"/>
  <c r="U35" i="58"/>
  <c r="Q35" i="58"/>
  <c r="S35" i="58" s="1"/>
  <c r="J35" i="58"/>
  <c r="M35" i="58" s="1"/>
  <c r="X34" i="58"/>
  <c r="S34" i="58"/>
  <c r="U34" i="58" s="1"/>
  <c r="Q34" i="58"/>
  <c r="J34" i="58"/>
  <c r="M34" i="58" s="1"/>
  <c r="X33" i="58"/>
  <c r="Q33" i="58"/>
  <c r="S33" i="58" s="1"/>
  <c r="U33" i="58" s="1"/>
  <c r="J33" i="58"/>
  <c r="M33" i="58" s="1"/>
  <c r="X32" i="58"/>
  <c r="S32" i="58"/>
  <c r="U32" i="58" s="1"/>
  <c r="Q32" i="58"/>
  <c r="J32" i="58"/>
  <c r="M32" i="58" s="1"/>
  <c r="X31" i="58"/>
  <c r="S31" i="58"/>
  <c r="U31" i="58" s="1"/>
  <c r="Q31" i="58"/>
  <c r="J31" i="58"/>
  <c r="M31" i="58" s="1"/>
  <c r="X30" i="58"/>
  <c r="U30" i="58"/>
  <c r="Q30" i="58"/>
  <c r="S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S27" i="58"/>
  <c r="U27" i="58" s="1"/>
  <c r="Q27" i="58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U23" i="58"/>
  <c r="S23" i="58"/>
  <c r="Q23" i="58"/>
  <c r="J23" i="58"/>
  <c r="M23" i="58" s="1"/>
  <c r="X22" i="58"/>
  <c r="Q22" i="58"/>
  <c r="S22" i="58" s="1"/>
  <c r="U22" i="58" s="1"/>
  <c r="J22" i="58"/>
  <c r="M22" i="58" s="1"/>
  <c r="X21" i="58"/>
  <c r="S21" i="58"/>
  <c r="U21" i="58" s="1"/>
  <c r="Q21" i="58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S17" i="58"/>
  <c r="U17" i="58" s="1"/>
  <c r="Q17" i="58"/>
  <c r="J17" i="58"/>
  <c r="M17" i="58" s="1"/>
  <c r="X16" i="58"/>
  <c r="S16" i="58"/>
  <c r="U16" i="58" s="1"/>
  <c r="Q16" i="58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M11" i="58"/>
  <c r="J11" i="58"/>
  <c r="X10" i="58"/>
  <c r="Q10" i="58"/>
  <c r="S10" i="58" s="1"/>
  <c r="U10" i="58" s="1"/>
  <c r="J10" i="58"/>
  <c r="M10" i="58" s="1"/>
  <c r="X9" i="58"/>
  <c r="S9" i="58"/>
  <c r="U9" i="58" s="1"/>
  <c r="Q9" i="58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12" i="57"/>
  <c r="N28" i="8" s="1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M197" i="57"/>
  <c r="J197" i="57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M183" i="57"/>
  <c r="J183" i="57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M156" i="57"/>
  <c r="J156" i="57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M140" i="57"/>
  <c r="J140" i="57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M109" i="57"/>
  <c r="J109" i="57"/>
  <c r="J108" i="57"/>
  <c r="M108" i="57" s="1"/>
  <c r="J107" i="57"/>
  <c r="M107" i="57" s="1"/>
  <c r="J106" i="57"/>
  <c r="M106" i="57" s="1"/>
  <c r="J105" i="57"/>
  <c r="M105" i="57" s="1"/>
  <c r="X104" i="57"/>
  <c r="U104" i="57"/>
  <c r="S104" i="57"/>
  <c r="Q104" i="57"/>
  <c r="J104" i="57"/>
  <c r="M104" i="57" s="1"/>
  <c r="X103" i="57"/>
  <c r="Q103" i="57"/>
  <c r="S103" i="57" s="1"/>
  <c r="U103" i="57" s="1"/>
  <c r="J103" i="57"/>
  <c r="M103" i="57" s="1"/>
  <c r="X102" i="57"/>
  <c r="S102" i="57"/>
  <c r="U102" i="57" s="1"/>
  <c r="Q102" i="57"/>
  <c r="M102" i="57"/>
  <c r="J102" i="57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S99" i="57"/>
  <c r="U99" i="57" s="1"/>
  <c r="Q99" i="57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S95" i="57"/>
  <c r="U95" i="57" s="1"/>
  <c r="Q95" i="57"/>
  <c r="J95" i="57"/>
  <c r="M95" i="57" s="1"/>
  <c r="X94" i="57"/>
  <c r="Q94" i="57"/>
  <c r="S94" i="57" s="1"/>
  <c r="U94" i="57" s="1"/>
  <c r="M94" i="57"/>
  <c r="J94" i="57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U91" i="57"/>
  <c r="S91" i="57"/>
  <c r="Q91" i="57"/>
  <c r="J91" i="57"/>
  <c r="M91" i="57" s="1"/>
  <c r="X90" i="57"/>
  <c r="Q90" i="57"/>
  <c r="S90" i="57" s="1"/>
  <c r="U90" i="57" s="1"/>
  <c r="J90" i="57"/>
  <c r="M90" i="57" s="1"/>
  <c r="X89" i="57"/>
  <c r="S89" i="57"/>
  <c r="U89" i="57" s="1"/>
  <c r="Q89" i="57"/>
  <c r="J89" i="57"/>
  <c r="M89" i="57" s="1"/>
  <c r="X88" i="57"/>
  <c r="S88" i="57"/>
  <c r="U88" i="57" s="1"/>
  <c r="Q88" i="57"/>
  <c r="J88" i="57"/>
  <c r="M88" i="57" s="1"/>
  <c r="X87" i="57"/>
  <c r="S87" i="57"/>
  <c r="U87" i="57" s="1"/>
  <c r="Q87" i="57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M83" i="57"/>
  <c r="J83" i="57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U80" i="57"/>
  <c r="S80" i="57"/>
  <c r="Q80" i="57"/>
  <c r="M80" i="57"/>
  <c r="J80" i="57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S76" i="57"/>
  <c r="U76" i="57" s="1"/>
  <c r="Q76" i="57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M74" i="57"/>
  <c r="J74" i="57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S68" i="57"/>
  <c r="U68" i="57" s="1"/>
  <c r="Q68" i="57"/>
  <c r="J68" i="57"/>
  <c r="M68" i="57" s="1"/>
  <c r="X67" i="57"/>
  <c r="S67" i="57"/>
  <c r="U67" i="57" s="1"/>
  <c r="Q67" i="57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S56" i="57"/>
  <c r="U56" i="57" s="1"/>
  <c r="Q56" i="57"/>
  <c r="J56" i="57"/>
  <c r="M56" i="57" s="1"/>
  <c r="X55" i="57"/>
  <c r="S55" i="57"/>
  <c r="U55" i="57" s="1"/>
  <c r="Q55" i="57"/>
  <c r="J55" i="57"/>
  <c r="M55" i="57" s="1"/>
  <c r="X54" i="57"/>
  <c r="S54" i="57"/>
  <c r="U54" i="57" s="1"/>
  <c r="Q54" i="57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U46" i="57"/>
  <c r="Q46" i="57"/>
  <c r="S46" i="57" s="1"/>
  <c r="J46" i="57"/>
  <c r="M46" i="57" s="1"/>
  <c r="X45" i="57"/>
  <c r="Q45" i="57"/>
  <c r="S45" i="57" s="1"/>
  <c r="U45" i="57" s="1"/>
  <c r="J45" i="57"/>
  <c r="M45" i="57" s="1"/>
  <c r="X44" i="57"/>
  <c r="S44" i="57"/>
  <c r="U44" i="57" s="1"/>
  <c r="Q44" i="57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S41" i="57"/>
  <c r="U41" i="57" s="1"/>
  <c r="Q41" i="57"/>
  <c r="J41" i="57"/>
  <c r="M41" i="57" s="1"/>
  <c r="X40" i="57"/>
  <c r="Q40" i="57"/>
  <c r="S40" i="57" s="1"/>
  <c r="U40" i="57" s="1"/>
  <c r="J40" i="57"/>
  <c r="M40" i="57" s="1"/>
  <c r="X39" i="57"/>
  <c r="S39" i="57"/>
  <c r="U39" i="57" s="1"/>
  <c r="Q39" i="57"/>
  <c r="J39" i="57"/>
  <c r="M39" i="57" s="1"/>
  <c r="X38" i="57"/>
  <c r="S38" i="57"/>
  <c r="U38" i="57" s="1"/>
  <c r="Q38" i="57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S32" i="57"/>
  <c r="U32" i="57" s="1"/>
  <c r="Q32" i="57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S23" i="57"/>
  <c r="U23" i="57" s="1"/>
  <c r="Q23" i="57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U20" i="57"/>
  <c r="Q20" i="57"/>
  <c r="S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S15" i="57"/>
  <c r="U15" i="57" s="1"/>
  <c r="Q15" i="57"/>
  <c r="M15" i="57"/>
  <c r="J15" i="57"/>
  <c r="X14" i="57"/>
  <c r="Q14" i="57"/>
  <c r="S14" i="57" s="1"/>
  <c r="U14" i="57" s="1"/>
  <c r="J14" i="57"/>
  <c r="M14" i="57" s="1"/>
  <c r="X13" i="57"/>
  <c r="S13" i="57"/>
  <c r="U13" i="57" s="1"/>
  <c r="Q13" i="57"/>
  <c r="J13" i="57"/>
  <c r="M13" i="57" s="1"/>
  <c r="X12" i="57"/>
  <c r="S12" i="57"/>
  <c r="U12" i="57" s="1"/>
  <c r="Q12" i="57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S5" i="57"/>
  <c r="U5" i="57" s="1"/>
  <c r="Q5" i="57"/>
  <c r="J5" i="57"/>
  <c r="K212" i="56"/>
  <c r="N27" i="8" s="1"/>
  <c r="K209" i="56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M169" i="56"/>
  <c r="J169" i="56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S102" i="56"/>
  <c r="U102" i="56" s="1"/>
  <c r="Q102" i="56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S99" i="56"/>
  <c r="U99" i="56" s="1"/>
  <c r="Q99" i="56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S94" i="56"/>
  <c r="U94" i="56" s="1"/>
  <c r="Q94" i="56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U90" i="56"/>
  <c r="S90" i="56"/>
  <c r="Q90" i="56"/>
  <c r="J90" i="56"/>
  <c r="M90" i="56" s="1"/>
  <c r="X89" i="56"/>
  <c r="Q89" i="56"/>
  <c r="S89" i="56" s="1"/>
  <c r="U89" i="56" s="1"/>
  <c r="J89" i="56"/>
  <c r="M89" i="56" s="1"/>
  <c r="X88" i="56"/>
  <c r="S88" i="56"/>
  <c r="U88" i="56" s="1"/>
  <c r="Q88" i="56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U82" i="56"/>
  <c r="S82" i="56"/>
  <c r="Q82" i="56"/>
  <c r="J82" i="56"/>
  <c r="M82" i="56" s="1"/>
  <c r="X81" i="56"/>
  <c r="Q81" i="56"/>
  <c r="S81" i="56" s="1"/>
  <c r="U81" i="56" s="1"/>
  <c r="J81" i="56"/>
  <c r="M81" i="56" s="1"/>
  <c r="X80" i="56"/>
  <c r="S80" i="56"/>
  <c r="U80" i="56" s="1"/>
  <c r="Q80" i="56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S76" i="56"/>
  <c r="U76" i="56" s="1"/>
  <c r="Q76" i="56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S68" i="56"/>
  <c r="U68" i="56" s="1"/>
  <c r="Q68" i="56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S62" i="56"/>
  <c r="U62" i="56" s="1"/>
  <c r="Q62" i="56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S43" i="56"/>
  <c r="U43" i="56" s="1"/>
  <c r="Q43" i="56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S40" i="56"/>
  <c r="U40" i="56" s="1"/>
  <c r="Q40" i="56"/>
  <c r="J40" i="56"/>
  <c r="M40" i="56" s="1"/>
  <c r="X39" i="56"/>
  <c r="Q39" i="56"/>
  <c r="S39" i="56" s="1"/>
  <c r="U39" i="56" s="1"/>
  <c r="J39" i="56"/>
  <c r="M39" i="56" s="1"/>
  <c r="X38" i="56"/>
  <c r="S38" i="56"/>
  <c r="U38" i="56" s="1"/>
  <c r="Q38" i="56"/>
  <c r="J38" i="56"/>
  <c r="M38" i="56" s="1"/>
  <c r="X37" i="56"/>
  <c r="Q37" i="56"/>
  <c r="S37" i="56" s="1"/>
  <c r="U37" i="56" s="1"/>
  <c r="J37" i="56"/>
  <c r="M37" i="56" s="1"/>
  <c r="X36" i="56"/>
  <c r="S36" i="56"/>
  <c r="U36" i="56" s="1"/>
  <c r="Q36" i="56"/>
  <c r="J36" i="56"/>
  <c r="M36" i="56" s="1"/>
  <c r="X35" i="56"/>
  <c r="Q35" i="56"/>
  <c r="S35" i="56" s="1"/>
  <c r="U35" i="56" s="1"/>
  <c r="J35" i="56"/>
  <c r="M35" i="56" s="1"/>
  <c r="X34" i="56"/>
  <c r="U34" i="56"/>
  <c r="Q34" i="56"/>
  <c r="S34" i="56" s="1"/>
  <c r="J34" i="56"/>
  <c r="M34" i="56" s="1"/>
  <c r="X33" i="56"/>
  <c r="Q33" i="56"/>
  <c r="S33" i="56" s="1"/>
  <c r="U33" i="56" s="1"/>
  <c r="J33" i="56"/>
  <c r="M33" i="56" s="1"/>
  <c r="X32" i="56"/>
  <c r="S32" i="56"/>
  <c r="U32" i="56" s="1"/>
  <c r="Q32" i="56"/>
  <c r="J32" i="56"/>
  <c r="M32" i="56" s="1"/>
  <c r="X31" i="56"/>
  <c r="Q31" i="56"/>
  <c r="S31" i="56" s="1"/>
  <c r="U31" i="56" s="1"/>
  <c r="J31" i="56"/>
  <c r="M31" i="56" s="1"/>
  <c r="X30" i="56"/>
  <c r="S30" i="56"/>
  <c r="U30" i="56" s="1"/>
  <c r="Q30" i="56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M28" i="56"/>
  <c r="J28" i="56"/>
  <c r="X27" i="56"/>
  <c r="Q27" i="56"/>
  <c r="S27" i="56" s="1"/>
  <c r="U27" i="56" s="1"/>
  <c r="J27" i="56"/>
  <c r="M27" i="56" s="1"/>
  <c r="X26" i="56"/>
  <c r="S26" i="56"/>
  <c r="U26" i="56" s="1"/>
  <c r="Q26" i="56"/>
  <c r="J26" i="56"/>
  <c r="M26" i="56" s="1"/>
  <c r="X25" i="56"/>
  <c r="Q25" i="56"/>
  <c r="S25" i="56" s="1"/>
  <c r="U25" i="56" s="1"/>
  <c r="J25" i="56"/>
  <c r="M25" i="56" s="1"/>
  <c r="X24" i="56"/>
  <c r="S24" i="56"/>
  <c r="U24" i="56" s="1"/>
  <c r="Q24" i="56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S16" i="56"/>
  <c r="U16" i="56" s="1"/>
  <c r="Q16" i="56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U13" i="56"/>
  <c r="Q13" i="56"/>
  <c r="S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S10" i="56"/>
  <c r="U10" i="56" s="1"/>
  <c r="Q10" i="56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12" i="55"/>
  <c r="N26" i="8" s="1"/>
  <c r="K209" i="55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M178" i="55"/>
  <c r="J178" i="55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M120" i="55"/>
  <c r="J120" i="55"/>
  <c r="J119" i="55"/>
  <c r="M119" i="55" s="1"/>
  <c r="J118" i="55"/>
  <c r="M118" i="55" s="1"/>
  <c r="J117" i="55"/>
  <c r="M117" i="55" s="1"/>
  <c r="M116" i="55"/>
  <c r="J116" i="55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U103" i="55"/>
  <c r="S103" i="55"/>
  <c r="Q103" i="55"/>
  <c r="J103" i="55"/>
  <c r="M103" i="55" s="1"/>
  <c r="X102" i="55"/>
  <c r="Q102" i="55"/>
  <c r="S102" i="55" s="1"/>
  <c r="U102" i="55" s="1"/>
  <c r="J102" i="55"/>
  <c r="M102" i="55" s="1"/>
  <c r="X101" i="55"/>
  <c r="S101" i="55"/>
  <c r="U101" i="55" s="1"/>
  <c r="Q101" i="55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S95" i="55"/>
  <c r="U95" i="55" s="1"/>
  <c r="Q95" i="55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S83" i="55"/>
  <c r="U83" i="55" s="1"/>
  <c r="Q83" i="55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S80" i="55"/>
  <c r="U80" i="55" s="1"/>
  <c r="Q80" i="55"/>
  <c r="J80" i="55"/>
  <c r="M80" i="55" s="1"/>
  <c r="X79" i="55"/>
  <c r="S79" i="55"/>
  <c r="U79" i="55" s="1"/>
  <c r="Q79" i="55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S66" i="55"/>
  <c r="U66" i="55" s="1"/>
  <c r="Q66" i="55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S63" i="55"/>
  <c r="U63" i="55" s="1"/>
  <c r="Q63" i="55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S56" i="55"/>
  <c r="U56" i="55" s="1"/>
  <c r="Q56" i="55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S42" i="55"/>
  <c r="U42" i="55" s="1"/>
  <c r="Q42" i="55"/>
  <c r="J42" i="55"/>
  <c r="M42" i="55" s="1"/>
  <c r="X41" i="55"/>
  <c r="Q41" i="55"/>
  <c r="S41" i="55" s="1"/>
  <c r="U41" i="55" s="1"/>
  <c r="J41" i="55"/>
  <c r="M41" i="55" s="1"/>
  <c r="X40" i="55"/>
  <c r="S40" i="55"/>
  <c r="U40" i="55" s="1"/>
  <c r="Q40" i="55"/>
  <c r="J40" i="55"/>
  <c r="M40" i="55" s="1"/>
  <c r="X39" i="55"/>
  <c r="S39" i="55"/>
  <c r="U39" i="55" s="1"/>
  <c r="Q39" i="55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M36" i="55"/>
  <c r="J36" i="55"/>
  <c r="X35" i="55"/>
  <c r="S35" i="55"/>
  <c r="U35" i="55" s="1"/>
  <c r="Q35" i="55"/>
  <c r="J35" i="55"/>
  <c r="M35" i="55" s="1"/>
  <c r="X34" i="55"/>
  <c r="S34" i="55"/>
  <c r="U34" i="55" s="1"/>
  <c r="Q34" i="55"/>
  <c r="J34" i="55"/>
  <c r="M34" i="55" s="1"/>
  <c r="X33" i="55"/>
  <c r="Q33" i="55"/>
  <c r="S33" i="55" s="1"/>
  <c r="U33" i="55" s="1"/>
  <c r="J33" i="55"/>
  <c r="M33" i="55" s="1"/>
  <c r="X32" i="55"/>
  <c r="S32" i="55"/>
  <c r="U32" i="55" s="1"/>
  <c r="Q32" i="55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S29" i="55"/>
  <c r="U29" i="55" s="1"/>
  <c r="Q29" i="55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S21" i="55"/>
  <c r="U21" i="55" s="1"/>
  <c r="Q21" i="55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S9" i="55"/>
  <c r="U9" i="55" s="1"/>
  <c r="Q9" i="55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12" i="54"/>
  <c r="N25" i="8" s="1"/>
  <c r="K20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M121" i="54"/>
  <c r="J121" i="54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M104" i="54" s="1"/>
  <c r="X103" i="54"/>
  <c r="U103" i="54"/>
  <c r="S103" i="54"/>
  <c r="Q103" i="54"/>
  <c r="J103" i="54"/>
  <c r="M103" i="54" s="1"/>
  <c r="X102" i="54"/>
  <c r="Q102" i="54"/>
  <c r="S102" i="54" s="1"/>
  <c r="U102" i="54" s="1"/>
  <c r="J102" i="54"/>
  <c r="M102" i="54" s="1"/>
  <c r="X101" i="54"/>
  <c r="S101" i="54"/>
  <c r="U101" i="54" s="1"/>
  <c r="Q101" i="54"/>
  <c r="J101" i="54"/>
  <c r="M101" i="54" s="1"/>
  <c r="X100" i="54"/>
  <c r="Q100" i="54"/>
  <c r="S100" i="54" s="1"/>
  <c r="U100" i="54" s="1"/>
  <c r="M100" i="54"/>
  <c r="J100" i="54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S87" i="54"/>
  <c r="U87" i="54" s="1"/>
  <c r="Q87" i="54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S79" i="54"/>
  <c r="U79" i="54" s="1"/>
  <c r="Q79" i="54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S74" i="54"/>
  <c r="U74" i="54" s="1"/>
  <c r="Q74" i="54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S66" i="54"/>
  <c r="U66" i="54" s="1"/>
  <c r="Q66" i="54"/>
  <c r="J66" i="54"/>
  <c r="M66" i="54" s="1"/>
  <c r="X65" i="54"/>
  <c r="U65" i="54"/>
  <c r="Q65" i="54"/>
  <c r="S65" i="54" s="1"/>
  <c r="J65" i="54"/>
  <c r="M65" i="54" s="1"/>
  <c r="X64" i="54"/>
  <c r="S64" i="54"/>
  <c r="U64" i="54" s="1"/>
  <c r="Q64" i="54"/>
  <c r="J64" i="54"/>
  <c r="M64" i="54" s="1"/>
  <c r="X63" i="54"/>
  <c r="U63" i="54"/>
  <c r="S63" i="54"/>
  <c r="Q63" i="54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S50" i="54"/>
  <c r="U50" i="54" s="1"/>
  <c r="Q50" i="54"/>
  <c r="J50" i="54"/>
  <c r="M50" i="54" s="1"/>
  <c r="X49" i="54"/>
  <c r="Q49" i="54"/>
  <c r="S49" i="54" s="1"/>
  <c r="U49" i="54" s="1"/>
  <c r="J49" i="54"/>
  <c r="M49" i="54" s="1"/>
  <c r="X48" i="54"/>
  <c r="S48" i="54"/>
  <c r="U48" i="54" s="1"/>
  <c r="Q48" i="54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S44" i="54"/>
  <c r="U44" i="54" s="1"/>
  <c r="Q44" i="54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U33" i="54"/>
  <c r="Q33" i="54"/>
  <c r="S33" i="54" s="1"/>
  <c r="J33" i="54"/>
  <c r="M33" i="54" s="1"/>
  <c r="X32" i="54"/>
  <c r="Q32" i="54"/>
  <c r="S32" i="54" s="1"/>
  <c r="U32" i="54" s="1"/>
  <c r="J32" i="54"/>
  <c r="M32" i="54" s="1"/>
  <c r="X31" i="54"/>
  <c r="S31" i="54"/>
  <c r="U31" i="54" s="1"/>
  <c r="Q31" i="54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U22" i="54"/>
  <c r="Q22" i="54"/>
  <c r="S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S15" i="54"/>
  <c r="U15" i="54" s="1"/>
  <c r="Q15" i="54"/>
  <c r="J15" i="54"/>
  <c r="M15" i="54" s="1"/>
  <c r="X14" i="54"/>
  <c r="S14" i="54"/>
  <c r="U14" i="54" s="1"/>
  <c r="Q14" i="54"/>
  <c r="J14" i="54"/>
  <c r="M14" i="54" s="1"/>
  <c r="X13" i="54"/>
  <c r="S13" i="54"/>
  <c r="U13" i="54" s="1"/>
  <c r="Q13" i="54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S9" i="54"/>
  <c r="U9" i="54" s="1"/>
  <c r="Q9" i="54"/>
  <c r="J9" i="54"/>
  <c r="M9" i="54" s="1"/>
  <c r="X8" i="54"/>
  <c r="Q8" i="54"/>
  <c r="S8" i="54" s="1"/>
  <c r="U8" i="54" s="1"/>
  <c r="J8" i="54"/>
  <c r="M8" i="54" s="1"/>
  <c r="X7" i="54"/>
  <c r="S7" i="54"/>
  <c r="U7" i="54" s="1"/>
  <c r="Q7" i="54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12" i="53"/>
  <c r="N24" i="8" s="1"/>
  <c r="K209" i="53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M197" i="53"/>
  <c r="J197" i="53"/>
  <c r="J196" i="53"/>
  <c r="M196" i="53" s="1"/>
  <c r="J195" i="53"/>
  <c r="M195" i="53" s="1"/>
  <c r="J194" i="53"/>
  <c r="M194" i="53" s="1"/>
  <c r="J193" i="53"/>
  <c r="M193" i="53" s="1"/>
  <c r="J192" i="53"/>
  <c r="M192" i="53" s="1"/>
  <c r="M191" i="53"/>
  <c r="J191" i="53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M184" i="53"/>
  <c r="J184" i="53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M131" i="53"/>
  <c r="J131" i="53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S103" i="53"/>
  <c r="U103" i="53" s="1"/>
  <c r="Q103" i="53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S100" i="53"/>
  <c r="U100" i="53" s="1"/>
  <c r="Q100" i="53"/>
  <c r="J100" i="53"/>
  <c r="M100" i="53" s="1"/>
  <c r="X99" i="53"/>
  <c r="Q99" i="53"/>
  <c r="S99" i="53" s="1"/>
  <c r="U99" i="53" s="1"/>
  <c r="J99" i="53"/>
  <c r="M99" i="53" s="1"/>
  <c r="X98" i="53"/>
  <c r="S98" i="53"/>
  <c r="U98" i="53" s="1"/>
  <c r="Q98" i="53"/>
  <c r="J98" i="53"/>
  <c r="M98" i="53" s="1"/>
  <c r="X97" i="53"/>
  <c r="Q97" i="53"/>
  <c r="S97" i="53" s="1"/>
  <c r="U97" i="53" s="1"/>
  <c r="J97" i="53"/>
  <c r="M97" i="53" s="1"/>
  <c r="X96" i="53"/>
  <c r="S96" i="53"/>
  <c r="U96" i="53" s="1"/>
  <c r="Q96" i="53"/>
  <c r="J96" i="53"/>
  <c r="M96" i="53" s="1"/>
  <c r="X95" i="53"/>
  <c r="S95" i="53"/>
  <c r="U95" i="53" s="1"/>
  <c r="Q95" i="53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S92" i="53"/>
  <c r="U92" i="53" s="1"/>
  <c r="Q92" i="53"/>
  <c r="J92" i="53"/>
  <c r="M92" i="53" s="1"/>
  <c r="X91" i="53"/>
  <c r="U91" i="53"/>
  <c r="S91" i="53"/>
  <c r="Q91" i="53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M85" i="53"/>
  <c r="J85" i="53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S82" i="53"/>
  <c r="U82" i="53" s="1"/>
  <c r="Q82" i="53"/>
  <c r="M82" i="53"/>
  <c r="J82" i="53"/>
  <c r="X81" i="53"/>
  <c r="Q81" i="53"/>
  <c r="S81" i="53" s="1"/>
  <c r="U81" i="53" s="1"/>
  <c r="J81" i="53"/>
  <c r="M81" i="53" s="1"/>
  <c r="X80" i="53"/>
  <c r="S80" i="53"/>
  <c r="U80" i="53" s="1"/>
  <c r="Q80" i="53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S75" i="53"/>
  <c r="U75" i="53" s="1"/>
  <c r="Q75" i="53"/>
  <c r="J75" i="53"/>
  <c r="M75" i="53" s="1"/>
  <c r="X74" i="53"/>
  <c r="U74" i="53"/>
  <c r="S74" i="53"/>
  <c r="Q74" i="53"/>
  <c r="J74" i="53"/>
  <c r="M74" i="53" s="1"/>
  <c r="X73" i="53"/>
  <c r="Q73" i="53"/>
  <c r="S73" i="53" s="1"/>
  <c r="U73" i="53" s="1"/>
  <c r="J73" i="53"/>
  <c r="M73" i="53" s="1"/>
  <c r="X72" i="53"/>
  <c r="S72" i="53"/>
  <c r="U72" i="53" s="1"/>
  <c r="Q72" i="53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S68" i="53"/>
  <c r="U68" i="53" s="1"/>
  <c r="Q68" i="53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M66" i="53"/>
  <c r="J66" i="53"/>
  <c r="X65" i="53"/>
  <c r="Q65" i="53"/>
  <c r="S65" i="53" s="1"/>
  <c r="U65" i="53" s="1"/>
  <c r="J65" i="53"/>
  <c r="M65" i="53" s="1"/>
  <c r="X64" i="53"/>
  <c r="S64" i="53"/>
  <c r="U64" i="53" s="1"/>
  <c r="Q64" i="53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S56" i="53"/>
  <c r="U56" i="53" s="1"/>
  <c r="Q56" i="53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S52" i="53"/>
  <c r="U52" i="53" s="1"/>
  <c r="Q52" i="53"/>
  <c r="J52" i="53"/>
  <c r="M52" i="53" s="1"/>
  <c r="X51" i="53"/>
  <c r="S51" i="53"/>
  <c r="U51" i="53" s="1"/>
  <c r="Q51" i="53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M48" i="53"/>
  <c r="J48" i="53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S43" i="53"/>
  <c r="U43" i="53" s="1"/>
  <c r="Q43" i="53"/>
  <c r="J43" i="53"/>
  <c r="M43" i="53" s="1"/>
  <c r="X42" i="53"/>
  <c r="S42" i="53"/>
  <c r="U42" i="53" s="1"/>
  <c r="Q42" i="53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U37" i="53"/>
  <c r="Q37" i="53"/>
  <c r="S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S19" i="53"/>
  <c r="U19" i="53" s="1"/>
  <c r="Q19" i="53"/>
  <c r="J19" i="53"/>
  <c r="M19" i="53" s="1"/>
  <c r="X18" i="53"/>
  <c r="Q18" i="53"/>
  <c r="S18" i="53" s="1"/>
  <c r="U18" i="53" s="1"/>
  <c r="J18" i="53"/>
  <c r="M18" i="53" s="1"/>
  <c r="X17" i="53"/>
  <c r="S17" i="53"/>
  <c r="U17" i="53" s="1"/>
  <c r="Q17" i="53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M7" i="53"/>
  <c r="J7" i="53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12" i="52"/>
  <c r="N23" i="8" s="1"/>
  <c r="K20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M169" i="52"/>
  <c r="J169" i="52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M153" i="52"/>
  <c r="J153" i="52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M139" i="52"/>
  <c r="J139" i="52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M129" i="52"/>
  <c r="J129" i="52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M109" i="52"/>
  <c r="J109" i="52"/>
  <c r="J108" i="52"/>
  <c r="M108" i="52" s="1"/>
  <c r="J107" i="52"/>
  <c r="M107" i="52" s="1"/>
  <c r="J106" i="52"/>
  <c r="M106" i="52" s="1"/>
  <c r="J105" i="52"/>
  <c r="M105" i="52" s="1"/>
  <c r="X104" i="52"/>
  <c r="S104" i="52"/>
  <c r="U104" i="52" s="1"/>
  <c r="Q104" i="52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U100" i="52"/>
  <c r="S100" i="52"/>
  <c r="Q100" i="52"/>
  <c r="J100" i="52"/>
  <c r="M100" i="52" s="1"/>
  <c r="X99" i="52"/>
  <c r="Q99" i="52"/>
  <c r="S99" i="52" s="1"/>
  <c r="U99" i="52" s="1"/>
  <c r="J99" i="52"/>
  <c r="M99" i="52" s="1"/>
  <c r="X98" i="52"/>
  <c r="S98" i="52"/>
  <c r="U98" i="52" s="1"/>
  <c r="Q98" i="52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U92" i="52"/>
  <c r="S92" i="52"/>
  <c r="Q92" i="52"/>
  <c r="J92" i="52"/>
  <c r="M92" i="52" s="1"/>
  <c r="X91" i="52"/>
  <c r="Q91" i="52"/>
  <c r="S91" i="52" s="1"/>
  <c r="U91" i="52" s="1"/>
  <c r="J91" i="52"/>
  <c r="M91" i="52" s="1"/>
  <c r="X90" i="52"/>
  <c r="S90" i="52"/>
  <c r="U90" i="52" s="1"/>
  <c r="Q90" i="52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S84" i="52"/>
  <c r="U84" i="52" s="1"/>
  <c r="Q84" i="52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U81" i="52"/>
  <c r="Q81" i="52"/>
  <c r="S81" i="52" s="1"/>
  <c r="J81" i="52"/>
  <c r="M81" i="52" s="1"/>
  <c r="X80" i="52"/>
  <c r="Q80" i="52"/>
  <c r="S80" i="52" s="1"/>
  <c r="U80" i="52" s="1"/>
  <c r="J80" i="52"/>
  <c r="M80" i="52" s="1"/>
  <c r="X79" i="52"/>
  <c r="U79" i="52"/>
  <c r="Q79" i="52"/>
  <c r="S79" i="52" s="1"/>
  <c r="J79" i="52"/>
  <c r="M79" i="52" s="1"/>
  <c r="X78" i="52"/>
  <c r="Q78" i="52"/>
  <c r="S78" i="52" s="1"/>
  <c r="U78" i="52" s="1"/>
  <c r="J78" i="52"/>
  <c r="M78" i="52" s="1"/>
  <c r="X77" i="52"/>
  <c r="S77" i="52"/>
  <c r="U77" i="52" s="1"/>
  <c r="Q77" i="52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M71" i="52"/>
  <c r="J71" i="52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S60" i="52"/>
  <c r="U60" i="52" s="1"/>
  <c r="Q60" i="52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S48" i="52"/>
  <c r="U48" i="52" s="1"/>
  <c r="Q48" i="52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S37" i="52"/>
  <c r="U37" i="52" s="1"/>
  <c r="Q37" i="52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S34" i="52"/>
  <c r="U34" i="52" s="1"/>
  <c r="Q34" i="52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S24" i="52"/>
  <c r="U24" i="52" s="1"/>
  <c r="Q24" i="52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M14" i="52"/>
  <c r="J14" i="52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S8" i="52"/>
  <c r="U8" i="52" s="1"/>
  <c r="Q8" i="52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12" i="51"/>
  <c r="N22" i="8" s="1"/>
  <c r="K209" i="5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S101" i="51"/>
  <c r="U101" i="51" s="1"/>
  <c r="Q101" i="5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S98" i="51"/>
  <c r="U98" i="51" s="1"/>
  <c r="Q98" i="51"/>
  <c r="J98" i="51"/>
  <c r="M98" i="51" s="1"/>
  <c r="X97" i="51"/>
  <c r="Q97" i="51"/>
  <c r="S97" i="51" s="1"/>
  <c r="U97" i="51" s="1"/>
  <c r="J97" i="51"/>
  <c r="M97" i="51" s="1"/>
  <c r="X96" i="51"/>
  <c r="S96" i="51"/>
  <c r="U96" i="51" s="1"/>
  <c r="Q96" i="5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S90" i="51"/>
  <c r="U90" i="51" s="1"/>
  <c r="Q90" i="5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S87" i="51"/>
  <c r="U87" i="51" s="1"/>
  <c r="Q87" i="5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S80" i="51"/>
  <c r="U80" i="51" s="1"/>
  <c r="Q80" i="5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S71" i="51"/>
  <c r="U71" i="51" s="1"/>
  <c r="Q71" i="5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S64" i="51"/>
  <c r="U64" i="51" s="1"/>
  <c r="Q64" i="5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S50" i="51"/>
  <c r="U50" i="51" s="1"/>
  <c r="Q50" i="5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S44" i="51"/>
  <c r="U44" i="51" s="1"/>
  <c r="Q44" i="5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S36" i="51"/>
  <c r="U36" i="51" s="1"/>
  <c r="Q36" i="5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S27" i="51"/>
  <c r="U27" i="51" s="1"/>
  <c r="Q27" i="5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S23" i="51"/>
  <c r="U23" i="51" s="1"/>
  <c r="Q23" i="51"/>
  <c r="J23" i="51"/>
  <c r="M23" i="51" s="1"/>
  <c r="X22" i="51"/>
  <c r="Q22" i="51"/>
  <c r="S22" i="51" s="1"/>
  <c r="U22" i="51" s="1"/>
  <c r="J22" i="51"/>
  <c r="M22" i="51" s="1"/>
  <c r="X21" i="51"/>
  <c r="S21" i="51"/>
  <c r="U21" i="51" s="1"/>
  <c r="Q21" i="5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S14" i="51"/>
  <c r="U14" i="51" s="1"/>
  <c r="Q14" i="51"/>
  <c r="J14" i="51"/>
  <c r="M14" i="51" s="1"/>
  <c r="X13" i="51"/>
  <c r="S13" i="51"/>
  <c r="U13" i="51" s="1"/>
  <c r="Q13" i="5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S7" i="51"/>
  <c r="U7" i="51" s="1"/>
  <c r="Q7" i="51"/>
  <c r="J7" i="51"/>
  <c r="M7" i="51" s="1"/>
  <c r="X6" i="51"/>
  <c r="Q6" i="51"/>
  <c r="S6" i="51" s="1"/>
  <c r="U6" i="51" s="1"/>
  <c r="J6" i="51"/>
  <c r="M6" i="51" s="1"/>
  <c r="X5" i="51"/>
  <c r="S5" i="51"/>
  <c r="U5" i="51" s="1"/>
  <c r="Q5" i="5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M142" i="50"/>
  <c r="J142" i="50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M116" i="50"/>
  <c r="J116" i="50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U102" i="50"/>
  <c r="S102" i="50"/>
  <c r="Q102" i="50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S99" i="50"/>
  <c r="U99" i="50" s="1"/>
  <c r="Q99" i="50"/>
  <c r="J99" i="50"/>
  <c r="M99" i="50" s="1"/>
  <c r="X98" i="50"/>
  <c r="U98" i="50"/>
  <c r="S98" i="50"/>
  <c r="Q98" i="50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M96" i="50"/>
  <c r="J96" i="50"/>
  <c r="X95" i="50"/>
  <c r="Q95" i="50"/>
  <c r="S95" i="50" s="1"/>
  <c r="U95" i="50" s="1"/>
  <c r="J95" i="50"/>
  <c r="M95" i="50" s="1"/>
  <c r="X94" i="50"/>
  <c r="U94" i="50"/>
  <c r="S94" i="50"/>
  <c r="Q94" i="50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S91" i="50"/>
  <c r="U91" i="50" s="1"/>
  <c r="Q91" i="50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S87" i="50"/>
  <c r="U87" i="50" s="1"/>
  <c r="Q87" i="50"/>
  <c r="J87" i="50"/>
  <c r="M87" i="50" s="1"/>
  <c r="X86" i="50"/>
  <c r="U86" i="50"/>
  <c r="S86" i="50"/>
  <c r="Q86" i="50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S82" i="50"/>
  <c r="U82" i="50" s="1"/>
  <c r="Q82" i="50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S79" i="50"/>
  <c r="U79" i="50" s="1"/>
  <c r="Q79" i="50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S67" i="50"/>
  <c r="U67" i="50" s="1"/>
  <c r="Q67" i="50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U62" i="50"/>
  <c r="Q62" i="50"/>
  <c r="S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S59" i="50"/>
  <c r="U59" i="50" s="1"/>
  <c r="Q59" i="50"/>
  <c r="J59" i="50"/>
  <c r="M59" i="50" s="1"/>
  <c r="X58" i="50"/>
  <c r="S58" i="50"/>
  <c r="U58" i="50" s="1"/>
  <c r="Q58" i="50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S50" i="50"/>
  <c r="U50" i="50" s="1"/>
  <c r="Q50" i="50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S47" i="50"/>
  <c r="U47" i="50" s="1"/>
  <c r="Q47" i="50"/>
  <c r="J47" i="50"/>
  <c r="M47" i="50" s="1"/>
  <c r="X46" i="50"/>
  <c r="S46" i="50"/>
  <c r="U46" i="50" s="1"/>
  <c r="Q46" i="50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U42" i="50"/>
  <c r="S42" i="50"/>
  <c r="Q42" i="50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U38" i="50"/>
  <c r="S38" i="50"/>
  <c r="Q38" i="50"/>
  <c r="J38" i="50"/>
  <c r="M38" i="50" s="1"/>
  <c r="X37" i="50"/>
  <c r="Q37" i="50"/>
  <c r="S37" i="50" s="1"/>
  <c r="U37" i="50" s="1"/>
  <c r="J37" i="50"/>
  <c r="M37" i="50" s="1"/>
  <c r="X36" i="50"/>
  <c r="S36" i="50"/>
  <c r="U36" i="50" s="1"/>
  <c r="Q36" i="50"/>
  <c r="J36" i="50"/>
  <c r="M36" i="50" s="1"/>
  <c r="X35" i="50"/>
  <c r="S35" i="50"/>
  <c r="U35" i="50" s="1"/>
  <c r="Q35" i="50"/>
  <c r="J35" i="50"/>
  <c r="M35" i="50" s="1"/>
  <c r="X34" i="50"/>
  <c r="U34" i="50"/>
  <c r="Q34" i="50"/>
  <c r="S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S24" i="50"/>
  <c r="U24" i="50" s="1"/>
  <c r="Q24" i="50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S16" i="50"/>
  <c r="U16" i="50" s="1"/>
  <c r="Q16" i="50"/>
  <c r="J16" i="50"/>
  <c r="M16" i="50" s="1"/>
  <c r="X15" i="50"/>
  <c r="Q15" i="50"/>
  <c r="S15" i="50" s="1"/>
  <c r="U15" i="50" s="1"/>
  <c r="J15" i="50"/>
  <c r="M15" i="50" s="1"/>
  <c r="X14" i="50"/>
  <c r="S14" i="50"/>
  <c r="U14" i="50" s="1"/>
  <c r="Q14" i="50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S8" i="50"/>
  <c r="U8" i="50" s="1"/>
  <c r="Q8" i="50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M185" i="49"/>
  <c r="J185" i="49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M113" i="49"/>
  <c r="J113" i="49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S101" i="49"/>
  <c r="U101" i="49" s="1"/>
  <c r="Q101" i="49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S95" i="49"/>
  <c r="U95" i="49" s="1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S88" i="49"/>
  <c r="U88" i="49" s="1"/>
  <c r="Q88" i="49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S85" i="49"/>
  <c r="U85" i="49" s="1"/>
  <c r="Q85" i="49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S80" i="49"/>
  <c r="U80" i="49" s="1"/>
  <c r="Q80" i="49"/>
  <c r="J80" i="49"/>
  <c r="M80" i="49" s="1"/>
  <c r="X79" i="49"/>
  <c r="S79" i="49"/>
  <c r="U79" i="49" s="1"/>
  <c r="Q79" i="49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S67" i="49"/>
  <c r="U67" i="49" s="1"/>
  <c r="Q67" i="49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U63" i="49"/>
  <c r="Q63" i="49"/>
  <c r="S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S59" i="49"/>
  <c r="U59" i="49" s="1"/>
  <c r="Q59" i="49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S56" i="49"/>
  <c r="U56" i="49" s="1"/>
  <c r="Q56" i="49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S48" i="49"/>
  <c r="U48" i="49" s="1"/>
  <c r="Q48" i="49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S45" i="49"/>
  <c r="U45" i="49" s="1"/>
  <c r="Q45" i="49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S35" i="49"/>
  <c r="U35" i="49" s="1"/>
  <c r="Q35" i="49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S30" i="49"/>
  <c r="U30" i="49" s="1"/>
  <c r="Q30" i="49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S27" i="49"/>
  <c r="U27" i="49" s="1"/>
  <c r="Q27" i="49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S19" i="49"/>
  <c r="U19" i="49" s="1"/>
  <c r="Q19" i="49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S14" i="49"/>
  <c r="U14" i="49" s="1"/>
  <c r="Q14" i="49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S6" i="49"/>
  <c r="U6" i="49" s="1"/>
  <c r="Q6" i="49"/>
  <c r="J6" i="49"/>
  <c r="M6" i="49" s="1"/>
  <c r="X5" i="49"/>
  <c r="Q5" i="49"/>
  <c r="S5" i="49" s="1"/>
  <c r="U5" i="49" s="1"/>
  <c r="J5" i="49"/>
  <c r="M5" i="49" s="1"/>
  <c r="K212" i="48"/>
  <c r="N19" i="8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M190" i="48"/>
  <c r="J190" i="48"/>
  <c r="M189" i="48"/>
  <c r="J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M182" i="48"/>
  <c r="J182" i="48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M156" i="48"/>
  <c r="J156" i="48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M149" i="48"/>
  <c r="J149" i="48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S103" i="48"/>
  <c r="U103" i="48" s="1"/>
  <c r="Q103" i="48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S100" i="48"/>
  <c r="U100" i="48" s="1"/>
  <c r="Q100" i="48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U96" i="48"/>
  <c r="Q96" i="48"/>
  <c r="S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S92" i="48"/>
  <c r="U92" i="48" s="1"/>
  <c r="Q92" i="48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S89" i="48"/>
  <c r="U89" i="48" s="1"/>
  <c r="Q89" i="48"/>
  <c r="J89" i="48"/>
  <c r="M89" i="48" s="1"/>
  <c r="X88" i="48"/>
  <c r="S88" i="48"/>
  <c r="U88" i="48" s="1"/>
  <c r="Q88" i="48"/>
  <c r="J88" i="48"/>
  <c r="M88" i="48" s="1"/>
  <c r="X87" i="48"/>
  <c r="S87" i="48"/>
  <c r="U87" i="48" s="1"/>
  <c r="Q87" i="48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U83" i="48"/>
  <c r="Q83" i="48"/>
  <c r="S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M76" i="48"/>
  <c r="J76" i="48"/>
  <c r="X75" i="48"/>
  <c r="U75" i="48"/>
  <c r="Q75" i="48"/>
  <c r="S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U72" i="48"/>
  <c r="S72" i="48"/>
  <c r="Q72" i="48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M70" i="48"/>
  <c r="J70" i="48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S61" i="48"/>
  <c r="U61" i="48" s="1"/>
  <c r="Q61" i="48"/>
  <c r="J61" i="48"/>
  <c r="M61" i="48" s="1"/>
  <c r="X60" i="48"/>
  <c r="S60" i="48"/>
  <c r="U60" i="48" s="1"/>
  <c r="Q60" i="48"/>
  <c r="J60" i="48"/>
  <c r="M60" i="48" s="1"/>
  <c r="X59" i="48"/>
  <c r="U59" i="48"/>
  <c r="Q59" i="48"/>
  <c r="S59" i="48" s="1"/>
  <c r="J59" i="48"/>
  <c r="M59" i="48" s="1"/>
  <c r="X58" i="48"/>
  <c r="S58" i="48"/>
  <c r="U58" i="48" s="1"/>
  <c r="Q58" i="48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S53" i="48"/>
  <c r="U53" i="48" s="1"/>
  <c r="Q53" i="48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S45" i="48"/>
  <c r="U45" i="48" s="1"/>
  <c r="Q45" i="48"/>
  <c r="J45" i="48"/>
  <c r="M45" i="48" s="1"/>
  <c r="X44" i="48"/>
  <c r="S44" i="48"/>
  <c r="U44" i="48" s="1"/>
  <c r="Q44" i="48"/>
  <c r="J44" i="48"/>
  <c r="M44" i="48" s="1"/>
  <c r="X43" i="48"/>
  <c r="U43" i="48"/>
  <c r="Q43" i="48"/>
  <c r="S43" i="48" s="1"/>
  <c r="J43" i="48"/>
  <c r="M43" i="48" s="1"/>
  <c r="X42" i="48"/>
  <c r="Q42" i="48"/>
  <c r="S42" i="48" s="1"/>
  <c r="U42" i="48" s="1"/>
  <c r="J42" i="48"/>
  <c r="M42" i="48" s="1"/>
  <c r="X41" i="48"/>
  <c r="S41" i="48"/>
  <c r="U41" i="48" s="1"/>
  <c r="Q41" i="48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U35" i="48"/>
  <c r="Q35" i="48"/>
  <c r="S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S30" i="48"/>
  <c r="U30" i="48" s="1"/>
  <c r="Q30" i="48"/>
  <c r="J30" i="48"/>
  <c r="M30" i="48" s="1"/>
  <c r="X29" i="48"/>
  <c r="Q29" i="48"/>
  <c r="S29" i="48" s="1"/>
  <c r="U29" i="48" s="1"/>
  <c r="J29" i="48"/>
  <c r="M29" i="48" s="1"/>
  <c r="X28" i="48"/>
  <c r="S28" i="48"/>
  <c r="U28" i="48" s="1"/>
  <c r="Q28" i="48"/>
  <c r="J28" i="48"/>
  <c r="M28" i="48" s="1"/>
  <c r="X27" i="48"/>
  <c r="U27" i="48"/>
  <c r="Q27" i="48"/>
  <c r="S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S24" i="48"/>
  <c r="U24" i="48" s="1"/>
  <c r="Q24" i="48"/>
  <c r="J24" i="48"/>
  <c r="M24" i="48" s="1"/>
  <c r="X23" i="48"/>
  <c r="U23" i="48"/>
  <c r="Q23" i="48"/>
  <c r="S23" i="48" s="1"/>
  <c r="J23" i="48"/>
  <c r="M23" i="48" s="1"/>
  <c r="X22" i="48"/>
  <c r="Q22" i="48"/>
  <c r="S22" i="48" s="1"/>
  <c r="U22" i="48" s="1"/>
  <c r="J22" i="48"/>
  <c r="M22" i="48" s="1"/>
  <c r="X21" i="48"/>
  <c r="S21" i="48"/>
  <c r="U21" i="48" s="1"/>
  <c r="Q21" i="48"/>
  <c r="M21" i="48"/>
  <c r="J21" i="48"/>
  <c r="X20" i="48"/>
  <c r="Q20" i="48"/>
  <c r="S20" i="48" s="1"/>
  <c r="U20" i="48" s="1"/>
  <c r="J20" i="48"/>
  <c r="M20" i="48" s="1"/>
  <c r="X19" i="48"/>
  <c r="S19" i="48"/>
  <c r="U19" i="48" s="1"/>
  <c r="Q19" i="48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S16" i="48"/>
  <c r="U16" i="48" s="1"/>
  <c r="Q16" i="48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S13" i="48"/>
  <c r="U13" i="48" s="1"/>
  <c r="Q13" i="48"/>
  <c r="J13" i="48"/>
  <c r="M13" i="48" s="1"/>
  <c r="X12" i="48"/>
  <c r="Q12" i="48"/>
  <c r="S12" i="48" s="1"/>
  <c r="U12" i="48" s="1"/>
  <c r="J12" i="48"/>
  <c r="M12" i="48" s="1"/>
  <c r="X11" i="48"/>
  <c r="S11" i="48"/>
  <c r="U11" i="48" s="1"/>
  <c r="Q11" i="48"/>
  <c r="J11" i="48"/>
  <c r="M11" i="48" s="1"/>
  <c r="X10" i="48"/>
  <c r="S10" i="48"/>
  <c r="U10" i="48" s="1"/>
  <c r="Q10" i="48"/>
  <c r="J10" i="48"/>
  <c r="M10" i="48" s="1"/>
  <c r="X9" i="48"/>
  <c r="Q9" i="48"/>
  <c r="S9" i="48" s="1"/>
  <c r="U9" i="48" s="1"/>
  <c r="J9" i="48"/>
  <c r="M9" i="48" s="1"/>
  <c r="X8" i="48"/>
  <c r="S8" i="48"/>
  <c r="U8" i="48" s="1"/>
  <c r="Q8" i="48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S5" i="48"/>
  <c r="U5" i="48" s="1"/>
  <c r="Q5" i="48"/>
  <c r="J5" i="48"/>
  <c r="M5" i="48" s="1"/>
  <c r="K212" i="47"/>
  <c r="N18" i="8" s="1"/>
  <c r="K209" i="47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M175" i="47"/>
  <c r="J175" i="47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S100" i="47"/>
  <c r="U100" i="47" s="1"/>
  <c r="Q100" i="47"/>
  <c r="J100" i="47"/>
  <c r="M100" i="47" s="1"/>
  <c r="X99" i="47"/>
  <c r="Q99" i="47"/>
  <c r="S99" i="47" s="1"/>
  <c r="U99" i="47" s="1"/>
  <c r="J99" i="47"/>
  <c r="M99" i="47" s="1"/>
  <c r="X98" i="47"/>
  <c r="S98" i="47"/>
  <c r="U98" i="47" s="1"/>
  <c r="Q98" i="47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S94" i="47"/>
  <c r="U94" i="47" s="1"/>
  <c r="Q94" i="47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S84" i="47"/>
  <c r="U84" i="47" s="1"/>
  <c r="Q84" i="47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S81" i="47"/>
  <c r="U81" i="47" s="1"/>
  <c r="Q81" i="47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S74" i="47"/>
  <c r="U74" i="47" s="1"/>
  <c r="Q74" i="47"/>
  <c r="J74" i="47"/>
  <c r="M74" i="47" s="1"/>
  <c r="X73" i="47"/>
  <c r="S73" i="47"/>
  <c r="U73" i="47" s="1"/>
  <c r="Q73" i="47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S66" i="47"/>
  <c r="U66" i="47" s="1"/>
  <c r="Q66" i="47"/>
  <c r="J66" i="47"/>
  <c r="M66" i="47" s="1"/>
  <c r="X65" i="47"/>
  <c r="S65" i="47"/>
  <c r="U65" i="47" s="1"/>
  <c r="Q65" i="47"/>
  <c r="J65" i="47"/>
  <c r="M65" i="47" s="1"/>
  <c r="X64" i="47"/>
  <c r="S64" i="47"/>
  <c r="U64" i="47" s="1"/>
  <c r="Q64" i="47"/>
  <c r="J64" i="47"/>
  <c r="M64" i="47" s="1"/>
  <c r="X63" i="47"/>
  <c r="Q63" i="47"/>
  <c r="S63" i="47" s="1"/>
  <c r="U63" i="47" s="1"/>
  <c r="J63" i="47"/>
  <c r="M63" i="47" s="1"/>
  <c r="X62" i="47"/>
  <c r="S62" i="47"/>
  <c r="U62" i="47" s="1"/>
  <c r="Q62" i="47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S54" i="47"/>
  <c r="U54" i="47" s="1"/>
  <c r="Q54" i="47"/>
  <c r="J54" i="47"/>
  <c r="M54" i="47" s="1"/>
  <c r="X53" i="47"/>
  <c r="U53" i="47"/>
  <c r="Q53" i="47"/>
  <c r="S53" i="47" s="1"/>
  <c r="J53" i="47"/>
  <c r="M53" i="47" s="1"/>
  <c r="X52" i="47"/>
  <c r="S52" i="47"/>
  <c r="U52" i="47" s="1"/>
  <c r="Q52" i="47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S46" i="47"/>
  <c r="U46" i="47" s="1"/>
  <c r="Q46" i="47"/>
  <c r="J46" i="47"/>
  <c r="M46" i="47" s="1"/>
  <c r="X45" i="47"/>
  <c r="Q45" i="47"/>
  <c r="S45" i="47" s="1"/>
  <c r="U45" i="47" s="1"/>
  <c r="J45" i="47"/>
  <c r="M45" i="47" s="1"/>
  <c r="X44" i="47"/>
  <c r="S44" i="47"/>
  <c r="U44" i="47" s="1"/>
  <c r="Q44" i="47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S38" i="47"/>
  <c r="U38" i="47" s="1"/>
  <c r="Q38" i="47"/>
  <c r="J38" i="47"/>
  <c r="M38" i="47" s="1"/>
  <c r="X37" i="47"/>
  <c r="Q37" i="47"/>
  <c r="S37" i="47" s="1"/>
  <c r="U37" i="47" s="1"/>
  <c r="J37" i="47"/>
  <c r="M37" i="47" s="1"/>
  <c r="X36" i="47"/>
  <c r="S36" i="47"/>
  <c r="U36" i="47" s="1"/>
  <c r="Q36" i="47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S28" i="47"/>
  <c r="U28" i="47" s="1"/>
  <c r="Q28" i="47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S24" i="47"/>
  <c r="U24" i="47" s="1"/>
  <c r="Q24" i="47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S16" i="47"/>
  <c r="U16" i="47" s="1"/>
  <c r="Q16" i="47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S13" i="47"/>
  <c r="U13" i="47" s="1"/>
  <c r="Q13" i="47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M175" i="46"/>
  <c r="J175" i="46"/>
  <c r="J174" i="46"/>
  <c r="M174" i="46" s="1"/>
  <c r="J173" i="46"/>
  <c r="M173" i="46" s="1"/>
  <c r="J172" i="46"/>
  <c r="M172" i="46" s="1"/>
  <c r="M171" i="46"/>
  <c r="J171" i="46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M123" i="46"/>
  <c r="J123" i="46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S102" i="46"/>
  <c r="U102" i="46" s="1"/>
  <c r="Q102" i="46"/>
  <c r="J102" i="46"/>
  <c r="M102" i="46" s="1"/>
  <c r="X101" i="46"/>
  <c r="U101" i="46"/>
  <c r="Q101" i="46"/>
  <c r="S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S94" i="46"/>
  <c r="U94" i="46" s="1"/>
  <c r="Q94" i="46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S90" i="46"/>
  <c r="U90" i="46" s="1"/>
  <c r="Q90" i="46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S86" i="46"/>
  <c r="U86" i="46" s="1"/>
  <c r="Q86" i="46"/>
  <c r="J86" i="46"/>
  <c r="M86" i="46" s="1"/>
  <c r="X85" i="46"/>
  <c r="Q85" i="46"/>
  <c r="S85" i="46" s="1"/>
  <c r="U85" i="46" s="1"/>
  <c r="J85" i="46"/>
  <c r="M85" i="46" s="1"/>
  <c r="X84" i="46"/>
  <c r="S84" i="46"/>
  <c r="U84" i="46" s="1"/>
  <c r="Q84" i="46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M79" i="46"/>
  <c r="J79" i="46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S70" i="46"/>
  <c r="U70" i="46" s="1"/>
  <c r="Q70" i="46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S62" i="46"/>
  <c r="U62" i="46" s="1"/>
  <c r="Q62" i="46"/>
  <c r="J62" i="46"/>
  <c r="M62" i="46" s="1"/>
  <c r="X61" i="46"/>
  <c r="Q61" i="46"/>
  <c r="S61" i="46" s="1"/>
  <c r="U61" i="46" s="1"/>
  <c r="J61" i="46"/>
  <c r="M61" i="46" s="1"/>
  <c r="X60" i="46"/>
  <c r="S60" i="46"/>
  <c r="U60" i="46" s="1"/>
  <c r="Q60" i="46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U54" i="46"/>
  <c r="S54" i="46"/>
  <c r="Q54" i="46"/>
  <c r="J54" i="46"/>
  <c r="M54" i="46" s="1"/>
  <c r="X53" i="46"/>
  <c r="Q53" i="46"/>
  <c r="S53" i="46" s="1"/>
  <c r="U53" i="46" s="1"/>
  <c r="J53" i="46"/>
  <c r="M53" i="46" s="1"/>
  <c r="X52" i="46"/>
  <c r="U52" i="46"/>
  <c r="Q52" i="46"/>
  <c r="S52" i="46" s="1"/>
  <c r="J52" i="46"/>
  <c r="M52" i="46" s="1"/>
  <c r="X51" i="46"/>
  <c r="Q51" i="46"/>
  <c r="S51" i="46" s="1"/>
  <c r="U51" i="46" s="1"/>
  <c r="J51" i="46"/>
  <c r="M51" i="46" s="1"/>
  <c r="X50" i="46"/>
  <c r="S50" i="46"/>
  <c r="U50" i="46" s="1"/>
  <c r="Q50" i="46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S47" i="46"/>
  <c r="U47" i="46" s="1"/>
  <c r="Q47" i="46"/>
  <c r="J47" i="46"/>
  <c r="M47" i="46" s="1"/>
  <c r="X46" i="46"/>
  <c r="Q46" i="46"/>
  <c r="S46" i="46" s="1"/>
  <c r="U46" i="46" s="1"/>
  <c r="J46" i="46"/>
  <c r="M46" i="46" s="1"/>
  <c r="X45" i="46"/>
  <c r="S45" i="46"/>
  <c r="U45" i="46" s="1"/>
  <c r="Q45" i="46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M39" i="46"/>
  <c r="J39" i="46"/>
  <c r="X38" i="46"/>
  <c r="Q38" i="46"/>
  <c r="S38" i="46" s="1"/>
  <c r="U38" i="46" s="1"/>
  <c r="J38" i="46"/>
  <c r="M38" i="46" s="1"/>
  <c r="X37" i="46"/>
  <c r="S37" i="46"/>
  <c r="U37" i="46" s="1"/>
  <c r="Q37" i="46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U22" i="46"/>
  <c r="Q22" i="46"/>
  <c r="S22" i="46" s="1"/>
  <c r="J22" i="46"/>
  <c r="M22" i="46" s="1"/>
  <c r="X21" i="46"/>
  <c r="Q21" i="46"/>
  <c r="S21" i="46" s="1"/>
  <c r="U21" i="46" s="1"/>
  <c r="J21" i="46"/>
  <c r="M21" i="46" s="1"/>
  <c r="X20" i="46"/>
  <c r="S20" i="46"/>
  <c r="U20" i="46" s="1"/>
  <c r="Q20" i="46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S17" i="46"/>
  <c r="U17" i="46" s="1"/>
  <c r="Q17" i="46"/>
  <c r="J17" i="46"/>
  <c r="M17" i="46" s="1"/>
  <c r="X16" i="46"/>
  <c r="Q16" i="46"/>
  <c r="S16" i="46" s="1"/>
  <c r="U16" i="46" s="1"/>
  <c r="J16" i="46"/>
  <c r="M16" i="46" s="1"/>
  <c r="X15" i="46"/>
  <c r="S15" i="46"/>
  <c r="U15" i="46" s="1"/>
  <c r="Q15" i="46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74" i="45"/>
  <c r="M74" i="45" s="1"/>
  <c r="J75" i="45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S98" i="45"/>
  <c r="U98" i="45" s="1"/>
  <c r="Q98" i="45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M94" i="45"/>
  <c r="J94" i="45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S88" i="45"/>
  <c r="U88" i="45" s="1"/>
  <c r="Q88" i="45"/>
  <c r="J88" i="45"/>
  <c r="M88" i="45" s="1"/>
  <c r="X87" i="45"/>
  <c r="S87" i="45"/>
  <c r="U87" i="45" s="1"/>
  <c r="Q87" i="45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S84" i="45"/>
  <c r="U84" i="45" s="1"/>
  <c r="Q84" i="45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S80" i="45"/>
  <c r="U80" i="45" s="1"/>
  <c r="Q80" i="45"/>
  <c r="J80" i="45"/>
  <c r="M80" i="45" s="1"/>
  <c r="X79" i="45"/>
  <c r="S79" i="45"/>
  <c r="U79" i="45" s="1"/>
  <c r="Q79" i="45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S76" i="45"/>
  <c r="U76" i="45" s="1"/>
  <c r="Q76" i="45"/>
  <c r="J76" i="45"/>
  <c r="M76" i="45" s="1"/>
  <c r="X75" i="45"/>
  <c r="Q75" i="45"/>
  <c r="S75" i="45" s="1"/>
  <c r="U75" i="45" s="1"/>
  <c r="M75" i="45"/>
  <c r="X74" i="45"/>
  <c r="Q74" i="45"/>
  <c r="S74" i="45" s="1"/>
  <c r="U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S71" i="45"/>
  <c r="U71" i="45" s="1"/>
  <c r="Q71" i="45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S64" i="45"/>
  <c r="U64" i="45" s="1"/>
  <c r="Q64" i="45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S61" i="45"/>
  <c r="U61" i="45" s="1"/>
  <c r="Q61" i="45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U55" i="45"/>
  <c r="S55" i="45"/>
  <c r="Q55" i="45"/>
  <c r="J55" i="45"/>
  <c r="M55" i="45" s="1"/>
  <c r="X54" i="45"/>
  <c r="Q54" i="45"/>
  <c r="S54" i="45" s="1"/>
  <c r="U54" i="45" s="1"/>
  <c r="J54" i="45"/>
  <c r="M54" i="45" s="1"/>
  <c r="X53" i="45"/>
  <c r="S53" i="45"/>
  <c r="U53" i="45" s="1"/>
  <c r="Q53" i="45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U49" i="45"/>
  <c r="Q49" i="45"/>
  <c r="S49" i="45" s="1"/>
  <c r="J49" i="45"/>
  <c r="M49" i="45" s="1"/>
  <c r="X48" i="45"/>
  <c r="Q48" i="45"/>
  <c r="S48" i="45" s="1"/>
  <c r="U48" i="45" s="1"/>
  <c r="J48" i="45"/>
  <c r="M48" i="45" s="1"/>
  <c r="X47" i="45"/>
  <c r="U47" i="45"/>
  <c r="Q47" i="45"/>
  <c r="S47" i="45" s="1"/>
  <c r="J47" i="45"/>
  <c r="M47" i="45" s="1"/>
  <c r="X46" i="45"/>
  <c r="Q46" i="45"/>
  <c r="S46" i="45" s="1"/>
  <c r="U46" i="45" s="1"/>
  <c r="J46" i="45"/>
  <c r="M46" i="45" s="1"/>
  <c r="X45" i="45"/>
  <c r="S45" i="45"/>
  <c r="U45" i="45" s="1"/>
  <c r="Q45" i="45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U41" i="45"/>
  <c r="Q41" i="45"/>
  <c r="S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S37" i="45"/>
  <c r="U37" i="45" s="1"/>
  <c r="Q37" i="45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U33" i="45"/>
  <c r="Q33" i="45"/>
  <c r="S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S25" i="45"/>
  <c r="U25" i="45" s="1"/>
  <c r="Q25" i="45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S21" i="45"/>
  <c r="U21" i="45" s="1"/>
  <c r="Q21" i="45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S13" i="45"/>
  <c r="U13" i="45" s="1"/>
  <c r="Q13" i="45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S9" i="45"/>
  <c r="U9" i="45" s="1"/>
  <c r="Q9" i="45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M199" i="44"/>
  <c r="J199" i="44"/>
  <c r="J198" i="44"/>
  <c r="M198" i="44" s="1"/>
  <c r="J197" i="44"/>
  <c r="M197" i="44" s="1"/>
  <c r="M196" i="44"/>
  <c r="J196" i="44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M189" i="44"/>
  <c r="J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M126" i="44"/>
  <c r="J126" i="44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M119" i="44"/>
  <c r="J119" i="44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S102" i="44"/>
  <c r="U102" i="44" s="1"/>
  <c r="Q102" i="44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S98" i="44"/>
  <c r="U98" i="44" s="1"/>
  <c r="Q98" i="44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S95" i="44"/>
  <c r="U95" i="44" s="1"/>
  <c r="Q95" i="44"/>
  <c r="J95" i="44"/>
  <c r="M95" i="44" s="1"/>
  <c r="X94" i="44"/>
  <c r="S94" i="44"/>
  <c r="U94" i="44" s="1"/>
  <c r="Q94" i="44"/>
  <c r="M94" i="44"/>
  <c r="J94" i="44"/>
  <c r="X93" i="44"/>
  <c r="Q93" i="44"/>
  <c r="S93" i="44" s="1"/>
  <c r="U93" i="44" s="1"/>
  <c r="J93" i="44"/>
  <c r="M93" i="44" s="1"/>
  <c r="X92" i="44"/>
  <c r="S92" i="44"/>
  <c r="U92" i="44" s="1"/>
  <c r="Q92" i="44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U86" i="44"/>
  <c r="S86" i="44"/>
  <c r="Q86" i="44"/>
  <c r="J86" i="44"/>
  <c r="M86" i="44" s="1"/>
  <c r="X85" i="44"/>
  <c r="Q85" i="44"/>
  <c r="S85" i="44" s="1"/>
  <c r="U85" i="44" s="1"/>
  <c r="J85" i="44"/>
  <c r="M85" i="44" s="1"/>
  <c r="X84" i="44"/>
  <c r="S84" i="44"/>
  <c r="U84" i="44" s="1"/>
  <c r="Q84" i="44"/>
  <c r="J84" i="44"/>
  <c r="M84" i="44" s="1"/>
  <c r="X83" i="44"/>
  <c r="Q83" i="44"/>
  <c r="S83" i="44" s="1"/>
  <c r="U83" i="44" s="1"/>
  <c r="M83" i="44"/>
  <c r="J83" i="44"/>
  <c r="X82" i="44"/>
  <c r="S82" i="44"/>
  <c r="U82" i="44" s="1"/>
  <c r="Q82" i="44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X75" i="44"/>
  <c r="Q75" i="44"/>
  <c r="S75" i="44" s="1"/>
  <c r="U75" i="44" s="1"/>
  <c r="M75" i="44"/>
  <c r="J75" i="44"/>
  <c r="X74" i="44"/>
  <c r="S74" i="44"/>
  <c r="U74" i="44" s="1"/>
  <c r="Q74" i="44"/>
  <c r="J74" i="44"/>
  <c r="M74" i="44" s="1"/>
  <c r="X73" i="44"/>
  <c r="S73" i="44"/>
  <c r="U73" i="44" s="1"/>
  <c r="Q73" i="44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S68" i="44"/>
  <c r="U68" i="44" s="1"/>
  <c r="Q68" i="44"/>
  <c r="J68" i="44"/>
  <c r="M68" i="44" s="1"/>
  <c r="X67" i="44"/>
  <c r="Q67" i="44"/>
  <c r="S67" i="44" s="1"/>
  <c r="U67" i="44" s="1"/>
  <c r="J67" i="44"/>
  <c r="M67" i="44" s="1"/>
  <c r="X66" i="44"/>
  <c r="S66" i="44"/>
  <c r="U66" i="44" s="1"/>
  <c r="Q66" i="44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S58" i="44"/>
  <c r="U58" i="44" s="1"/>
  <c r="Q58" i="44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U54" i="44"/>
  <c r="Q54" i="44"/>
  <c r="S54" i="44" s="1"/>
  <c r="J54" i="44"/>
  <c r="M54" i="44" s="1"/>
  <c r="X53" i="44"/>
  <c r="Q53" i="44"/>
  <c r="S53" i="44" s="1"/>
  <c r="U53" i="44" s="1"/>
  <c r="J53" i="44"/>
  <c r="M53" i="44" s="1"/>
  <c r="X52" i="44"/>
  <c r="S52" i="44"/>
  <c r="U52" i="44" s="1"/>
  <c r="Q52" i="44"/>
  <c r="M52" i="44"/>
  <c r="J52" i="44"/>
  <c r="X51" i="44"/>
  <c r="Q51" i="44"/>
  <c r="S51" i="44" s="1"/>
  <c r="U51" i="44" s="1"/>
  <c r="J51" i="44"/>
  <c r="M51" i="44" s="1"/>
  <c r="X50" i="44"/>
  <c r="S50" i="44"/>
  <c r="U50" i="44" s="1"/>
  <c r="Q50" i="44"/>
  <c r="J50" i="44"/>
  <c r="M50" i="44" s="1"/>
  <c r="X49" i="44"/>
  <c r="S49" i="44"/>
  <c r="U49" i="44" s="1"/>
  <c r="Q49" i="44"/>
  <c r="M49" i="44"/>
  <c r="J49" i="44"/>
  <c r="X48" i="44"/>
  <c r="Q48" i="44"/>
  <c r="S48" i="44" s="1"/>
  <c r="U48" i="44" s="1"/>
  <c r="J48" i="44"/>
  <c r="M48" i="44" s="1"/>
  <c r="X47" i="44"/>
  <c r="S47" i="44"/>
  <c r="U47" i="44" s="1"/>
  <c r="Q47" i="44"/>
  <c r="J47" i="44"/>
  <c r="M47" i="44" s="1"/>
  <c r="X46" i="44"/>
  <c r="S46" i="44"/>
  <c r="U46" i="44" s="1"/>
  <c r="Q46" i="44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S39" i="44"/>
  <c r="U39" i="44" s="1"/>
  <c r="Q39" i="44"/>
  <c r="J39" i="44"/>
  <c r="M39" i="44" s="1"/>
  <c r="X38" i="44"/>
  <c r="S38" i="44"/>
  <c r="U38" i="44" s="1"/>
  <c r="Q38" i="44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S33" i="44"/>
  <c r="U33" i="44" s="1"/>
  <c r="Q33" i="44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S26" i="44"/>
  <c r="U26" i="44" s="1"/>
  <c r="Q26" i="44"/>
  <c r="J26" i="44"/>
  <c r="M26" i="44" s="1"/>
  <c r="X25" i="44"/>
  <c r="Q25" i="44"/>
  <c r="S25" i="44" s="1"/>
  <c r="U25" i="44" s="1"/>
  <c r="J25" i="44"/>
  <c r="M25" i="44" s="1"/>
  <c r="X24" i="44"/>
  <c r="S24" i="44"/>
  <c r="U24" i="44" s="1"/>
  <c r="Q24" i="44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S20" i="44"/>
  <c r="U20" i="44" s="1"/>
  <c r="Q20" i="44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S12" i="44"/>
  <c r="U12" i="44" s="1"/>
  <c r="Q12" i="44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S8" i="44"/>
  <c r="U8" i="44" s="1"/>
  <c r="Q8" i="44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M168" i="43"/>
  <c r="J168" i="43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S103" i="43"/>
  <c r="U103" i="43" s="1"/>
  <c r="Q103" i="43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S100" i="43"/>
  <c r="U100" i="43" s="1"/>
  <c r="Q100" i="43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M98" i="43"/>
  <c r="J98" i="43"/>
  <c r="X97" i="43"/>
  <c r="Q97" i="43"/>
  <c r="S97" i="43" s="1"/>
  <c r="U97" i="43" s="1"/>
  <c r="J97" i="43"/>
  <c r="M97" i="43" s="1"/>
  <c r="X96" i="43"/>
  <c r="S96" i="43"/>
  <c r="U96" i="43" s="1"/>
  <c r="Q96" i="43"/>
  <c r="J96" i="43"/>
  <c r="M96" i="43" s="1"/>
  <c r="X95" i="43"/>
  <c r="S95" i="43"/>
  <c r="U95" i="43" s="1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S92" i="43"/>
  <c r="U92" i="43" s="1"/>
  <c r="Q92" i="43"/>
  <c r="J92" i="43"/>
  <c r="M92" i="43" s="1"/>
  <c r="X91" i="43"/>
  <c r="S91" i="43"/>
  <c r="U91" i="43" s="1"/>
  <c r="Q91" i="43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S83" i="43"/>
  <c r="U83" i="43" s="1"/>
  <c r="Q83" i="43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S78" i="43"/>
  <c r="U78" i="43" s="1"/>
  <c r="Q78" i="43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S72" i="43"/>
  <c r="U72" i="43" s="1"/>
  <c r="Q72" i="43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S68" i="43"/>
  <c r="U68" i="43" s="1"/>
  <c r="Q68" i="43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M66" i="43"/>
  <c r="J66" i="43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S63" i="43"/>
  <c r="U63" i="43" s="1"/>
  <c r="Q63" i="43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U59" i="43"/>
  <c r="S59" i="43"/>
  <c r="Q59" i="43"/>
  <c r="J59" i="43"/>
  <c r="M59" i="43" s="1"/>
  <c r="X58" i="43"/>
  <c r="Q58" i="43"/>
  <c r="S58" i="43" s="1"/>
  <c r="U58" i="43" s="1"/>
  <c r="J58" i="43"/>
  <c r="M58" i="43" s="1"/>
  <c r="X57" i="43"/>
  <c r="S57" i="43"/>
  <c r="U57" i="43" s="1"/>
  <c r="Q57" i="43"/>
  <c r="J57" i="43"/>
  <c r="M57" i="43" s="1"/>
  <c r="X56" i="43"/>
  <c r="Q56" i="43"/>
  <c r="S56" i="43" s="1"/>
  <c r="U56" i="43" s="1"/>
  <c r="J56" i="43"/>
  <c r="M56" i="43" s="1"/>
  <c r="X55" i="43"/>
  <c r="S55" i="43"/>
  <c r="U55" i="43" s="1"/>
  <c r="Q55" i="43"/>
  <c r="J55" i="43"/>
  <c r="M55" i="43" s="1"/>
  <c r="X54" i="43"/>
  <c r="S54" i="43"/>
  <c r="U54" i="43" s="1"/>
  <c r="Q54" i="43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M43" i="43"/>
  <c r="J43" i="43"/>
  <c r="X42" i="43"/>
  <c r="Q42" i="43"/>
  <c r="S42" i="43" s="1"/>
  <c r="U42" i="43" s="1"/>
  <c r="J42" i="43"/>
  <c r="M42" i="43" s="1"/>
  <c r="X41" i="43"/>
  <c r="Q41" i="43"/>
  <c r="S41" i="43" s="1"/>
  <c r="U41" i="43" s="1"/>
  <c r="M41" i="43"/>
  <c r="J41" i="43"/>
  <c r="X40" i="43"/>
  <c r="Q40" i="43"/>
  <c r="S40" i="43" s="1"/>
  <c r="U40" i="43" s="1"/>
  <c r="J40" i="43"/>
  <c r="M40" i="43" s="1"/>
  <c r="X39" i="43"/>
  <c r="S39" i="43"/>
  <c r="U39" i="43" s="1"/>
  <c r="Q39" i="43"/>
  <c r="J39" i="43"/>
  <c r="M39" i="43" s="1"/>
  <c r="X38" i="43"/>
  <c r="Q38" i="43"/>
  <c r="S38" i="43" s="1"/>
  <c r="U38" i="43" s="1"/>
  <c r="M38" i="43"/>
  <c r="J38" i="43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U25" i="43"/>
  <c r="S25" i="43"/>
  <c r="Q25" i="43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S21" i="43"/>
  <c r="U21" i="43" s="1"/>
  <c r="Q21" i="43"/>
  <c r="M21" i="43"/>
  <c r="J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S17" i="43"/>
  <c r="U17" i="43" s="1"/>
  <c r="Q17" i="43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M15" i="43"/>
  <c r="J15" i="43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S11" i="43"/>
  <c r="U11" i="43" s="1"/>
  <c r="Q11" i="43"/>
  <c r="J11" i="43"/>
  <c r="M11" i="43" s="1"/>
  <c r="X10" i="43"/>
  <c r="U10" i="43"/>
  <c r="S10" i="43"/>
  <c r="Q10" i="43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S5" i="43"/>
  <c r="U5" i="43" s="1"/>
  <c r="Q5" i="43"/>
  <c r="J5" i="43"/>
  <c r="M5" i="43" s="1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M193" i="42"/>
  <c r="J193" i="42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M169" i="42"/>
  <c r="J169" i="42"/>
  <c r="J168" i="42"/>
  <c r="M168" i="42" s="1"/>
  <c r="J167" i="42"/>
  <c r="M167" i="42" s="1"/>
  <c r="J166" i="42"/>
  <c r="M166" i="42" s="1"/>
  <c r="M165" i="42"/>
  <c r="J165" i="42"/>
  <c r="J164" i="42"/>
  <c r="M164" i="42" s="1"/>
  <c r="M163" i="42"/>
  <c r="J163" i="42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M137" i="42"/>
  <c r="J137" i="42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M123" i="42"/>
  <c r="J123" i="42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S104" i="42"/>
  <c r="U104" i="42" s="1"/>
  <c r="Q104" i="42"/>
  <c r="J104" i="42"/>
  <c r="M104" i="42" s="1"/>
  <c r="X103" i="42"/>
  <c r="S103" i="42"/>
  <c r="U103" i="42" s="1"/>
  <c r="Q103" i="42"/>
  <c r="J103" i="42"/>
  <c r="M103" i="42" s="1"/>
  <c r="X102" i="42"/>
  <c r="U102" i="42"/>
  <c r="S102" i="42"/>
  <c r="Q102" i="42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S99" i="42"/>
  <c r="U99" i="42" s="1"/>
  <c r="Q99" i="42"/>
  <c r="J99" i="42"/>
  <c r="M99" i="42" s="1"/>
  <c r="X98" i="42"/>
  <c r="U98" i="42"/>
  <c r="S98" i="42"/>
  <c r="Q98" i="42"/>
  <c r="J98" i="42"/>
  <c r="M98" i="42" s="1"/>
  <c r="X97" i="42"/>
  <c r="Q97" i="42"/>
  <c r="S97" i="42" s="1"/>
  <c r="U97" i="42" s="1"/>
  <c r="J97" i="42"/>
  <c r="M97" i="42" s="1"/>
  <c r="X96" i="42"/>
  <c r="S96" i="42"/>
  <c r="U96" i="42" s="1"/>
  <c r="Q96" i="42"/>
  <c r="J96" i="42"/>
  <c r="M96" i="42" s="1"/>
  <c r="X95" i="42"/>
  <c r="U95" i="42"/>
  <c r="Q95" i="42"/>
  <c r="S95" i="42" s="1"/>
  <c r="J95" i="42"/>
  <c r="M95" i="42" s="1"/>
  <c r="X94" i="42"/>
  <c r="S94" i="42"/>
  <c r="U94" i="42" s="1"/>
  <c r="Q94" i="42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S91" i="42"/>
  <c r="U91" i="42" s="1"/>
  <c r="Q91" i="42"/>
  <c r="J91" i="42"/>
  <c r="M91" i="42" s="1"/>
  <c r="X90" i="42"/>
  <c r="U90" i="42"/>
  <c r="S90" i="42"/>
  <c r="Q90" i="42"/>
  <c r="J90" i="42"/>
  <c r="M90" i="42" s="1"/>
  <c r="X89" i="42"/>
  <c r="Q89" i="42"/>
  <c r="S89" i="42" s="1"/>
  <c r="U89" i="42" s="1"/>
  <c r="J89" i="42"/>
  <c r="M89" i="42" s="1"/>
  <c r="X88" i="42"/>
  <c r="S88" i="42"/>
  <c r="U88" i="42" s="1"/>
  <c r="Q88" i="42"/>
  <c r="J88" i="42"/>
  <c r="M88" i="42" s="1"/>
  <c r="X87" i="42"/>
  <c r="U87" i="42"/>
  <c r="Q87" i="42"/>
  <c r="S87" i="42" s="1"/>
  <c r="J87" i="42"/>
  <c r="M87" i="42" s="1"/>
  <c r="X86" i="42"/>
  <c r="S86" i="42"/>
  <c r="U86" i="42" s="1"/>
  <c r="Q86" i="42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S83" i="42"/>
  <c r="U83" i="42" s="1"/>
  <c r="Q83" i="42"/>
  <c r="J83" i="42"/>
  <c r="M83" i="42" s="1"/>
  <c r="X82" i="42"/>
  <c r="U82" i="42"/>
  <c r="S82" i="42"/>
  <c r="Q82" i="42"/>
  <c r="M82" i="42"/>
  <c r="J82" i="42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Q79" i="42"/>
  <c r="S79" i="42" s="1"/>
  <c r="U79" i="42" s="1"/>
  <c r="J79" i="42"/>
  <c r="M79" i="42" s="1"/>
  <c r="X78" i="42"/>
  <c r="S78" i="42"/>
  <c r="U78" i="42" s="1"/>
  <c r="Q78" i="42"/>
  <c r="J78" i="42"/>
  <c r="M78" i="42" s="1"/>
  <c r="X77" i="42"/>
  <c r="S77" i="42"/>
  <c r="U77" i="42" s="1"/>
  <c r="Q77" i="42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S72" i="42"/>
  <c r="U72" i="42" s="1"/>
  <c r="Q72" i="42"/>
  <c r="J72" i="42"/>
  <c r="M72" i="42" s="1"/>
  <c r="X71" i="42"/>
  <c r="Q71" i="42"/>
  <c r="S71" i="42" s="1"/>
  <c r="U71" i="42" s="1"/>
  <c r="J71" i="42"/>
  <c r="M71" i="42" s="1"/>
  <c r="X70" i="42"/>
  <c r="S70" i="42"/>
  <c r="U70" i="42" s="1"/>
  <c r="Q70" i="42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S67" i="42"/>
  <c r="U67" i="42" s="1"/>
  <c r="Q67" i="42"/>
  <c r="J67" i="42"/>
  <c r="M67" i="42" s="1"/>
  <c r="X66" i="42"/>
  <c r="U66" i="42"/>
  <c r="S66" i="42"/>
  <c r="Q66" i="42"/>
  <c r="J66" i="42"/>
  <c r="M66" i="42" s="1"/>
  <c r="X65" i="42"/>
  <c r="Q65" i="42"/>
  <c r="S65" i="42" s="1"/>
  <c r="U65" i="42" s="1"/>
  <c r="J65" i="42"/>
  <c r="M65" i="42" s="1"/>
  <c r="X64" i="42"/>
  <c r="S64" i="42"/>
  <c r="U64" i="42" s="1"/>
  <c r="Q64" i="42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U61" i="42"/>
  <c r="S61" i="42"/>
  <c r="Q61" i="42"/>
  <c r="J61" i="42"/>
  <c r="M61" i="42" s="1"/>
  <c r="X60" i="42"/>
  <c r="Q60" i="42"/>
  <c r="S60" i="42" s="1"/>
  <c r="U60" i="42" s="1"/>
  <c r="M60" i="42"/>
  <c r="J60" i="42"/>
  <c r="X59" i="42"/>
  <c r="S59" i="42"/>
  <c r="U59" i="42" s="1"/>
  <c r="Q59" i="42"/>
  <c r="J59" i="42"/>
  <c r="M59" i="42" s="1"/>
  <c r="X58" i="42"/>
  <c r="U58" i="42"/>
  <c r="S58" i="42"/>
  <c r="Q58" i="42"/>
  <c r="J58" i="42"/>
  <c r="M58" i="42" s="1"/>
  <c r="X57" i="42"/>
  <c r="Q57" i="42"/>
  <c r="S57" i="42" s="1"/>
  <c r="U57" i="42" s="1"/>
  <c r="J57" i="42"/>
  <c r="M57" i="42" s="1"/>
  <c r="X56" i="42"/>
  <c r="S56" i="42"/>
  <c r="U56" i="42" s="1"/>
  <c r="Q56" i="42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U53" i="42"/>
  <c r="S53" i="42"/>
  <c r="Q53" i="42"/>
  <c r="J53" i="42"/>
  <c r="M53" i="42" s="1"/>
  <c r="X52" i="42"/>
  <c r="Q52" i="42"/>
  <c r="S52" i="42" s="1"/>
  <c r="U52" i="42" s="1"/>
  <c r="J52" i="42"/>
  <c r="M52" i="42" s="1"/>
  <c r="X51" i="42"/>
  <c r="S51" i="42"/>
  <c r="U51" i="42" s="1"/>
  <c r="Q51" i="42"/>
  <c r="J51" i="42"/>
  <c r="M51" i="42" s="1"/>
  <c r="X50" i="42"/>
  <c r="S50" i="42"/>
  <c r="U50" i="42" s="1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U47" i="42"/>
  <c r="Q47" i="42"/>
  <c r="S47" i="42" s="1"/>
  <c r="J47" i="42"/>
  <c r="M47" i="42" s="1"/>
  <c r="X46" i="42"/>
  <c r="Q46" i="42"/>
  <c r="S46" i="42" s="1"/>
  <c r="U46" i="42" s="1"/>
  <c r="J46" i="42"/>
  <c r="M46" i="42" s="1"/>
  <c r="X45" i="42"/>
  <c r="U45" i="42"/>
  <c r="S45" i="42"/>
  <c r="Q45" i="42"/>
  <c r="J45" i="42"/>
  <c r="M45" i="42" s="1"/>
  <c r="X44" i="42"/>
  <c r="Q44" i="42"/>
  <c r="S44" i="42" s="1"/>
  <c r="U44" i="42" s="1"/>
  <c r="J44" i="42"/>
  <c r="M44" i="42" s="1"/>
  <c r="X43" i="42"/>
  <c r="S43" i="42"/>
  <c r="U43" i="42" s="1"/>
  <c r="Q43" i="42"/>
  <c r="J43" i="42"/>
  <c r="M43" i="42" s="1"/>
  <c r="X42" i="42"/>
  <c r="S42" i="42"/>
  <c r="U42" i="42" s="1"/>
  <c r="Q42" i="42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U39" i="42"/>
  <c r="Q39" i="42"/>
  <c r="S39" i="42" s="1"/>
  <c r="J39" i="42"/>
  <c r="M39" i="42" s="1"/>
  <c r="X38" i="42"/>
  <c r="Q38" i="42"/>
  <c r="S38" i="42" s="1"/>
  <c r="U38" i="42" s="1"/>
  <c r="J38" i="42"/>
  <c r="M38" i="42" s="1"/>
  <c r="X37" i="42"/>
  <c r="U37" i="42"/>
  <c r="S37" i="42"/>
  <c r="Q37" i="42"/>
  <c r="J37" i="42"/>
  <c r="M37" i="42" s="1"/>
  <c r="X36" i="42"/>
  <c r="Q36" i="42"/>
  <c r="S36" i="42" s="1"/>
  <c r="U36" i="42" s="1"/>
  <c r="J36" i="42"/>
  <c r="M36" i="42" s="1"/>
  <c r="X35" i="42"/>
  <c r="S35" i="42"/>
  <c r="U35" i="42" s="1"/>
  <c r="Q35" i="42"/>
  <c r="J35" i="42"/>
  <c r="M35" i="42" s="1"/>
  <c r="X34" i="42"/>
  <c r="S34" i="42"/>
  <c r="U34" i="42" s="1"/>
  <c r="Q34" i="42"/>
  <c r="J34" i="42"/>
  <c r="M34" i="42" s="1"/>
  <c r="X33" i="42"/>
  <c r="U33" i="42"/>
  <c r="Q33" i="42"/>
  <c r="S33" i="42" s="1"/>
  <c r="J33" i="42"/>
  <c r="M33" i="42" s="1"/>
  <c r="X32" i="42"/>
  <c r="S32" i="42"/>
  <c r="U32" i="42" s="1"/>
  <c r="Q32" i="42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S29" i="42"/>
  <c r="U29" i="42" s="1"/>
  <c r="Q29" i="42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S21" i="42"/>
  <c r="U21" i="42" s="1"/>
  <c r="Q21" i="42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S18" i="42"/>
  <c r="U18" i="42" s="1"/>
  <c r="Q18" i="42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S15" i="42"/>
  <c r="U15" i="42" s="1"/>
  <c r="Q15" i="42"/>
  <c r="M15" i="42"/>
  <c r="J15" i="42"/>
  <c r="X14" i="42"/>
  <c r="Q14" i="42"/>
  <c r="S14" i="42" s="1"/>
  <c r="U14" i="42" s="1"/>
  <c r="J14" i="42"/>
  <c r="M14" i="42" s="1"/>
  <c r="X13" i="42"/>
  <c r="S13" i="42"/>
  <c r="U13" i="42" s="1"/>
  <c r="Q13" i="42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S10" i="42"/>
  <c r="U10" i="42" s="1"/>
  <c r="Q10" i="42"/>
  <c r="M10" i="42"/>
  <c r="J10" i="42"/>
  <c r="X9" i="42"/>
  <c r="Q9" i="42"/>
  <c r="S9" i="42" s="1"/>
  <c r="U9" i="42" s="1"/>
  <c r="J9" i="42"/>
  <c r="M9" i="42" s="1"/>
  <c r="X8" i="42"/>
  <c r="S8" i="42"/>
  <c r="U8" i="42" s="1"/>
  <c r="Q8" i="42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J6" i="41"/>
  <c r="J7" i="41"/>
  <c r="J8" i="41"/>
  <c r="J9" i="41"/>
  <c r="J10" i="41"/>
  <c r="J11" i="41"/>
  <c r="J12" i="41"/>
  <c r="J13" i="41"/>
  <c r="M13" i="41" s="1"/>
  <c r="J14" i="41"/>
  <c r="M14" i="41" s="1"/>
  <c r="J15" i="41"/>
  <c r="J16" i="41"/>
  <c r="J17" i="41"/>
  <c r="M17" i="41" s="1"/>
  <c r="J18" i="41"/>
  <c r="M18" i="41" s="1"/>
  <c r="J19" i="41"/>
  <c r="J20" i="41"/>
  <c r="M20" i="41" s="1"/>
  <c r="J21" i="41"/>
  <c r="M21" i="41" s="1"/>
  <c r="J22" i="41"/>
  <c r="M22" i="41" s="1"/>
  <c r="J23" i="41"/>
  <c r="J24" i="41"/>
  <c r="J25" i="41"/>
  <c r="J26" i="41"/>
  <c r="M26" i="41" s="1"/>
  <c r="J27" i="41"/>
  <c r="J28" i="41"/>
  <c r="M28" i="41" s="1"/>
  <c r="J29" i="41"/>
  <c r="M29" i="41" s="1"/>
  <c r="J30" i="41"/>
  <c r="M30" i="41" s="1"/>
  <c r="J31" i="41"/>
  <c r="J32" i="41"/>
  <c r="J33" i="41"/>
  <c r="M33" i="41" s="1"/>
  <c r="J34" i="41"/>
  <c r="M34" i="41" s="1"/>
  <c r="J35" i="41"/>
  <c r="J36" i="41"/>
  <c r="J37" i="41"/>
  <c r="M37" i="41" s="1"/>
  <c r="J38" i="41"/>
  <c r="J39" i="41"/>
  <c r="J40" i="41"/>
  <c r="J41" i="41"/>
  <c r="M41" i="41" s="1"/>
  <c r="J42" i="41"/>
  <c r="M42" i="41" s="1"/>
  <c r="J43" i="41"/>
  <c r="J44" i="41"/>
  <c r="M44" i="41" s="1"/>
  <c r="J45" i="41"/>
  <c r="M45" i="41" s="1"/>
  <c r="J46" i="41"/>
  <c r="M46" i="41" s="1"/>
  <c r="J47" i="41"/>
  <c r="J48" i="41"/>
  <c r="J49" i="41"/>
  <c r="J50" i="41"/>
  <c r="M50" i="41" s="1"/>
  <c r="J51" i="41"/>
  <c r="J52" i="41"/>
  <c r="J53" i="41"/>
  <c r="M53" i="41" s="1"/>
  <c r="J54" i="41"/>
  <c r="M54" i="41" s="1"/>
  <c r="J55" i="41"/>
  <c r="J56" i="41"/>
  <c r="J57" i="41"/>
  <c r="J58" i="41"/>
  <c r="J59" i="41"/>
  <c r="J60" i="41"/>
  <c r="J61" i="41"/>
  <c r="M61" i="41" s="1"/>
  <c r="J62" i="41"/>
  <c r="J63" i="41"/>
  <c r="J64" i="41"/>
  <c r="J65" i="41"/>
  <c r="M65" i="41" s="1"/>
  <c r="J66" i="41"/>
  <c r="M66" i="41" s="1"/>
  <c r="J67" i="41"/>
  <c r="J68" i="41"/>
  <c r="M68" i="41" s="1"/>
  <c r="J69" i="41"/>
  <c r="M69" i="41" s="1"/>
  <c r="J70" i="41"/>
  <c r="M70" i="41" s="1"/>
  <c r="J71" i="41"/>
  <c r="J72" i="41"/>
  <c r="J73" i="41"/>
  <c r="M73" i="41" s="1"/>
  <c r="J74" i="41"/>
  <c r="J75" i="41"/>
  <c r="J76" i="41"/>
  <c r="J77" i="41"/>
  <c r="M77" i="41" s="1"/>
  <c r="J78" i="41"/>
  <c r="M78" i="41" s="1"/>
  <c r="J79" i="41"/>
  <c r="J80" i="41"/>
  <c r="J81" i="41"/>
  <c r="J82" i="41"/>
  <c r="J83" i="41"/>
  <c r="J84" i="41"/>
  <c r="M84" i="41" s="1"/>
  <c r="J85" i="41"/>
  <c r="M85" i="41" s="1"/>
  <c r="J86" i="41"/>
  <c r="M86" i="41" s="1"/>
  <c r="J87" i="41"/>
  <c r="J88" i="41"/>
  <c r="J89" i="41"/>
  <c r="J90" i="41"/>
  <c r="J91" i="41"/>
  <c r="J92" i="41"/>
  <c r="J93" i="41"/>
  <c r="M93" i="41" s="1"/>
  <c r="J94" i="41"/>
  <c r="M94" i="41" s="1"/>
  <c r="J95" i="41"/>
  <c r="J96" i="41"/>
  <c r="J97" i="41"/>
  <c r="M97" i="41" s="1"/>
  <c r="J98" i="41"/>
  <c r="M98" i="41" s="1"/>
  <c r="J99" i="41"/>
  <c r="J100" i="41"/>
  <c r="M100" i="41" s="1"/>
  <c r="J101" i="41"/>
  <c r="M101" i="41" s="1"/>
  <c r="J102" i="41"/>
  <c r="M102" i="41" s="1"/>
  <c r="J103" i="41"/>
  <c r="J104" i="41"/>
  <c r="J105" i="41"/>
  <c r="J106" i="41"/>
  <c r="J107" i="41"/>
  <c r="J108" i="41"/>
  <c r="M108" i="41" s="1"/>
  <c r="J109" i="41"/>
  <c r="M109" i="41" s="1"/>
  <c r="J110" i="41"/>
  <c r="M110" i="41" s="1"/>
  <c r="J111" i="41"/>
  <c r="J112" i="41"/>
  <c r="J113" i="41"/>
  <c r="M113" i="41" s="1"/>
  <c r="J114" i="41"/>
  <c r="M114" i="41" s="1"/>
  <c r="J115" i="41"/>
  <c r="J116" i="41"/>
  <c r="M116" i="41" s="1"/>
  <c r="J117" i="41"/>
  <c r="M117" i="41" s="1"/>
  <c r="J118" i="41"/>
  <c r="M118" i="41" s="1"/>
  <c r="J119" i="41"/>
  <c r="J120" i="41"/>
  <c r="J121" i="41"/>
  <c r="J122" i="41"/>
  <c r="M122" i="41" s="1"/>
  <c r="J123" i="41"/>
  <c r="J124" i="41"/>
  <c r="J125" i="41"/>
  <c r="M125" i="41" s="1"/>
  <c r="J126" i="41"/>
  <c r="J127" i="41"/>
  <c r="J128" i="41"/>
  <c r="J129" i="41"/>
  <c r="M129" i="41" s="1"/>
  <c r="J130" i="41"/>
  <c r="J131" i="41"/>
  <c r="J132" i="41"/>
  <c r="J133" i="41"/>
  <c r="M133" i="41" s="1"/>
  <c r="J134" i="41"/>
  <c r="M134" i="41" s="1"/>
  <c r="J135" i="41"/>
  <c r="J136" i="41"/>
  <c r="J137" i="41"/>
  <c r="J138" i="41"/>
  <c r="M138" i="41" s="1"/>
  <c r="J139" i="41"/>
  <c r="J140" i="41"/>
  <c r="M140" i="41" s="1"/>
  <c r="J141" i="41"/>
  <c r="M141" i="41" s="1"/>
  <c r="J142" i="41"/>
  <c r="M142" i="41" s="1"/>
  <c r="J143" i="41"/>
  <c r="J144" i="41"/>
  <c r="J145" i="41"/>
  <c r="J146" i="41"/>
  <c r="J147" i="41"/>
  <c r="J148" i="41"/>
  <c r="M148" i="41" s="1"/>
  <c r="J149" i="41"/>
  <c r="M149" i="41" s="1"/>
  <c r="J150" i="41"/>
  <c r="M150" i="41" s="1"/>
  <c r="J151" i="41"/>
  <c r="J152" i="41"/>
  <c r="J153" i="41"/>
  <c r="M153" i="41" s="1"/>
  <c r="J154" i="41"/>
  <c r="M154" i="41" s="1"/>
  <c r="J155" i="41"/>
  <c r="J156" i="41"/>
  <c r="J157" i="41"/>
  <c r="M157" i="41" s="1"/>
  <c r="J158" i="41"/>
  <c r="M158" i="41" s="1"/>
  <c r="J159" i="41"/>
  <c r="J160" i="41"/>
  <c r="J161" i="41"/>
  <c r="J162" i="41"/>
  <c r="M162" i="41" s="1"/>
  <c r="J163" i="41"/>
  <c r="J164" i="41"/>
  <c r="M164" i="41" s="1"/>
  <c r="J165" i="41"/>
  <c r="M165" i="41" s="1"/>
  <c r="J166" i="41"/>
  <c r="M166" i="41" s="1"/>
  <c r="J167" i="41"/>
  <c r="J168" i="41"/>
  <c r="J169" i="41"/>
  <c r="M169" i="41" s="1"/>
  <c r="J170" i="41"/>
  <c r="M170" i="41" s="1"/>
  <c r="J171" i="41"/>
  <c r="J172" i="41"/>
  <c r="M172" i="41" s="1"/>
  <c r="J173" i="41"/>
  <c r="M173" i="41" s="1"/>
  <c r="J174" i="41"/>
  <c r="M174" i="41" s="1"/>
  <c r="J175" i="41"/>
  <c r="J176" i="41"/>
  <c r="J177" i="41"/>
  <c r="M177" i="41" s="1"/>
  <c r="J178" i="41"/>
  <c r="J179" i="41"/>
  <c r="J180" i="41"/>
  <c r="M180" i="41" s="1"/>
  <c r="J181" i="41"/>
  <c r="M181" i="41" s="1"/>
  <c r="J182" i="41"/>
  <c r="M182" i="41" s="1"/>
  <c r="J183" i="41"/>
  <c r="J184" i="41"/>
  <c r="J185" i="41"/>
  <c r="J186" i="41"/>
  <c r="J187" i="41"/>
  <c r="J188" i="41"/>
  <c r="J189" i="41"/>
  <c r="M189" i="41" s="1"/>
  <c r="J190" i="41"/>
  <c r="M190" i="41" s="1"/>
  <c r="J191" i="41"/>
  <c r="J192" i="41"/>
  <c r="J193" i="41"/>
  <c r="J194" i="41"/>
  <c r="M194" i="41" s="1"/>
  <c r="J195" i="41"/>
  <c r="J196" i="41"/>
  <c r="J197" i="41"/>
  <c r="M197" i="41" s="1"/>
  <c r="J198" i="41"/>
  <c r="M198" i="41" s="1"/>
  <c r="J199" i="41"/>
  <c r="J200" i="41"/>
  <c r="J201" i="41"/>
  <c r="M201" i="41" s="1"/>
  <c r="J202" i="41"/>
  <c r="J203" i="41"/>
  <c r="J204" i="41"/>
  <c r="M60" i="41"/>
  <c r="M62" i="41"/>
  <c r="M63" i="41"/>
  <c r="M71" i="41"/>
  <c r="M79" i="41"/>
  <c r="M92" i="41"/>
  <c r="M95" i="41"/>
  <c r="M119" i="41"/>
  <c r="M124" i="41"/>
  <c r="M126" i="41"/>
  <c r="M143" i="41"/>
  <c r="M151" i="41"/>
  <c r="M156" i="41"/>
  <c r="M159" i="41"/>
  <c r="M167" i="41"/>
  <c r="M183" i="41"/>
  <c r="M188" i="41"/>
  <c r="M204" i="41"/>
  <c r="N12" i="8"/>
  <c r="K209" i="41"/>
  <c r="M203" i="41"/>
  <c r="M202" i="41"/>
  <c r="M200" i="41"/>
  <c r="M199" i="41"/>
  <c r="M196" i="41"/>
  <c r="M195" i="41"/>
  <c r="M193" i="41"/>
  <c r="M192" i="41"/>
  <c r="M191" i="41"/>
  <c r="M187" i="41"/>
  <c r="M186" i="41"/>
  <c r="M185" i="41"/>
  <c r="M184" i="41"/>
  <c r="M179" i="41"/>
  <c r="M178" i="41"/>
  <c r="M176" i="41"/>
  <c r="M175" i="41"/>
  <c r="M171" i="41"/>
  <c r="M168" i="41"/>
  <c r="M163" i="41"/>
  <c r="M161" i="41"/>
  <c r="M160" i="41"/>
  <c r="M155" i="41"/>
  <c r="M152" i="41"/>
  <c r="M147" i="41"/>
  <c r="M146" i="41"/>
  <c r="M145" i="41"/>
  <c r="M144" i="41"/>
  <c r="M139" i="41"/>
  <c r="M137" i="41"/>
  <c r="M136" i="41"/>
  <c r="M135" i="41"/>
  <c r="M132" i="41"/>
  <c r="M131" i="41"/>
  <c r="M130" i="41"/>
  <c r="M128" i="41"/>
  <c r="M127" i="41"/>
  <c r="M123" i="41"/>
  <c r="M121" i="41"/>
  <c r="M120" i="41"/>
  <c r="M115" i="41"/>
  <c r="M112" i="41"/>
  <c r="M111" i="41"/>
  <c r="M107" i="41"/>
  <c r="M106" i="41"/>
  <c r="M105" i="41"/>
  <c r="X104" i="41"/>
  <c r="Q104" i="41"/>
  <c r="S104" i="41" s="1"/>
  <c r="U104" i="41" s="1"/>
  <c r="M104" i="41"/>
  <c r="X103" i="41"/>
  <c r="Q103" i="41"/>
  <c r="S103" i="41" s="1"/>
  <c r="U103" i="41" s="1"/>
  <c r="M103" i="41"/>
  <c r="X102" i="41"/>
  <c r="Q102" i="41"/>
  <c r="S102" i="41" s="1"/>
  <c r="U102" i="41" s="1"/>
  <c r="X101" i="41"/>
  <c r="Q101" i="41"/>
  <c r="S101" i="41" s="1"/>
  <c r="U101" i="41" s="1"/>
  <c r="X100" i="41"/>
  <c r="Q100" i="41"/>
  <c r="S100" i="41" s="1"/>
  <c r="U100" i="41" s="1"/>
  <c r="X99" i="41"/>
  <c r="Q99" i="41"/>
  <c r="S99" i="41" s="1"/>
  <c r="U99" i="41" s="1"/>
  <c r="M99" i="41"/>
  <c r="X98" i="41"/>
  <c r="S98" i="41"/>
  <c r="U98" i="41" s="1"/>
  <c r="Q98" i="41"/>
  <c r="X97" i="41"/>
  <c r="Q97" i="41"/>
  <c r="S97" i="41" s="1"/>
  <c r="U97" i="41" s="1"/>
  <c r="X96" i="41"/>
  <c r="Q96" i="41"/>
  <c r="S96" i="41" s="1"/>
  <c r="U96" i="41" s="1"/>
  <c r="M96" i="41"/>
  <c r="X95" i="41"/>
  <c r="Q95" i="41"/>
  <c r="S95" i="41" s="1"/>
  <c r="U95" i="41" s="1"/>
  <c r="X94" i="41"/>
  <c r="Q94" i="41"/>
  <c r="S94" i="41" s="1"/>
  <c r="U94" i="41" s="1"/>
  <c r="X93" i="41"/>
  <c r="Q93" i="41"/>
  <c r="S93" i="41" s="1"/>
  <c r="U93" i="41" s="1"/>
  <c r="X92" i="41"/>
  <c r="Q92" i="41"/>
  <c r="S92" i="41" s="1"/>
  <c r="U92" i="41" s="1"/>
  <c r="X91" i="41"/>
  <c r="Q91" i="41"/>
  <c r="S91" i="41" s="1"/>
  <c r="U91" i="41" s="1"/>
  <c r="M91" i="41"/>
  <c r="X90" i="41"/>
  <c r="Q90" i="41"/>
  <c r="S90" i="41" s="1"/>
  <c r="U90" i="41" s="1"/>
  <c r="M90" i="41"/>
  <c r="X89" i="41"/>
  <c r="Q89" i="41"/>
  <c r="S89" i="41" s="1"/>
  <c r="U89" i="41" s="1"/>
  <c r="M89" i="41"/>
  <c r="X88" i="41"/>
  <c r="S88" i="41"/>
  <c r="U88" i="41" s="1"/>
  <c r="Q88" i="41"/>
  <c r="M88" i="41"/>
  <c r="X87" i="41"/>
  <c r="Q87" i="41"/>
  <c r="S87" i="41" s="1"/>
  <c r="U87" i="41" s="1"/>
  <c r="M87" i="41"/>
  <c r="X86" i="41"/>
  <c r="Q86" i="41"/>
  <c r="S86" i="41" s="1"/>
  <c r="U86" i="41" s="1"/>
  <c r="X85" i="41"/>
  <c r="S85" i="41"/>
  <c r="U85" i="41" s="1"/>
  <c r="Q85" i="41"/>
  <c r="X84" i="41"/>
  <c r="Q84" i="41"/>
  <c r="S84" i="41" s="1"/>
  <c r="U84" i="41" s="1"/>
  <c r="X83" i="41"/>
  <c r="Q83" i="41"/>
  <c r="S83" i="41" s="1"/>
  <c r="U83" i="41" s="1"/>
  <c r="M83" i="41"/>
  <c r="X82" i="41"/>
  <c r="Q82" i="41"/>
  <c r="S82" i="41" s="1"/>
  <c r="U82" i="41" s="1"/>
  <c r="M82" i="41"/>
  <c r="X81" i="41"/>
  <c r="Q81" i="41"/>
  <c r="S81" i="41" s="1"/>
  <c r="U81" i="41" s="1"/>
  <c r="M81" i="41"/>
  <c r="X80" i="41"/>
  <c r="Q80" i="41"/>
  <c r="S80" i="41" s="1"/>
  <c r="U80" i="41" s="1"/>
  <c r="M80" i="41"/>
  <c r="X79" i="41"/>
  <c r="Q79" i="41"/>
  <c r="S79" i="41" s="1"/>
  <c r="U79" i="41" s="1"/>
  <c r="X78" i="41"/>
  <c r="S78" i="41"/>
  <c r="U78" i="41" s="1"/>
  <c r="Q78" i="41"/>
  <c r="X77" i="41"/>
  <c r="U77" i="41"/>
  <c r="S77" i="41"/>
  <c r="Q77" i="41"/>
  <c r="X76" i="41"/>
  <c r="Q76" i="41"/>
  <c r="S76" i="41" s="1"/>
  <c r="U76" i="41" s="1"/>
  <c r="M76" i="41"/>
  <c r="X75" i="41"/>
  <c r="Q75" i="41"/>
  <c r="S75" i="41" s="1"/>
  <c r="U75" i="41" s="1"/>
  <c r="M75" i="41"/>
  <c r="X74" i="41"/>
  <c r="Q74" i="41"/>
  <c r="S74" i="41" s="1"/>
  <c r="U74" i="41" s="1"/>
  <c r="M74" i="41"/>
  <c r="X73" i="41"/>
  <c r="Q73" i="41"/>
  <c r="S73" i="41" s="1"/>
  <c r="U73" i="41" s="1"/>
  <c r="X72" i="41"/>
  <c r="S72" i="41"/>
  <c r="U72" i="41" s="1"/>
  <c r="Q72" i="41"/>
  <c r="M72" i="41"/>
  <c r="X71" i="41"/>
  <c r="U71" i="41"/>
  <c r="Q71" i="41"/>
  <c r="S71" i="41" s="1"/>
  <c r="X70" i="41"/>
  <c r="S70" i="41"/>
  <c r="U70" i="41" s="1"/>
  <c r="Q70" i="41"/>
  <c r="X69" i="41"/>
  <c r="Q69" i="41"/>
  <c r="S69" i="41" s="1"/>
  <c r="U69" i="41" s="1"/>
  <c r="X68" i="41"/>
  <c r="Q68" i="41"/>
  <c r="S68" i="41" s="1"/>
  <c r="U68" i="41" s="1"/>
  <c r="X67" i="41"/>
  <c r="S67" i="41"/>
  <c r="U67" i="41" s="1"/>
  <c r="Q67" i="41"/>
  <c r="M67" i="41"/>
  <c r="X66" i="41"/>
  <c r="Q66" i="41"/>
  <c r="S66" i="41" s="1"/>
  <c r="U66" i="41" s="1"/>
  <c r="X65" i="41"/>
  <c r="Q65" i="41"/>
  <c r="S65" i="41" s="1"/>
  <c r="U65" i="41" s="1"/>
  <c r="X64" i="41"/>
  <c r="Q64" i="41"/>
  <c r="S64" i="41" s="1"/>
  <c r="U64" i="41" s="1"/>
  <c r="M64" i="41"/>
  <c r="X63" i="41"/>
  <c r="Q63" i="41"/>
  <c r="S63" i="41" s="1"/>
  <c r="U63" i="41" s="1"/>
  <c r="X62" i="41"/>
  <c r="Q62" i="41"/>
  <c r="S62" i="41" s="1"/>
  <c r="U62" i="41" s="1"/>
  <c r="X61" i="41"/>
  <c r="U61" i="41"/>
  <c r="S61" i="41"/>
  <c r="Q61" i="41"/>
  <c r="X60" i="41"/>
  <c r="Q60" i="41"/>
  <c r="S60" i="41" s="1"/>
  <c r="U60" i="41" s="1"/>
  <c r="X59" i="41"/>
  <c r="Q59" i="41"/>
  <c r="S59" i="41" s="1"/>
  <c r="U59" i="41" s="1"/>
  <c r="M59" i="41"/>
  <c r="X58" i="41"/>
  <c r="Q58" i="41"/>
  <c r="S58" i="41" s="1"/>
  <c r="U58" i="41" s="1"/>
  <c r="M58" i="41"/>
  <c r="X57" i="41"/>
  <c r="Q57" i="41"/>
  <c r="S57" i="41" s="1"/>
  <c r="U57" i="41" s="1"/>
  <c r="M57" i="41"/>
  <c r="X56" i="41"/>
  <c r="Q56" i="41"/>
  <c r="S56" i="41" s="1"/>
  <c r="U56" i="41" s="1"/>
  <c r="M56" i="41"/>
  <c r="X55" i="41"/>
  <c r="S55" i="41"/>
  <c r="U55" i="41" s="1"/>
  <c r="Q55" i="41"/>
  <c r="M55" i="41"/>
  <c r="X54" i="41"/>
  <c r="Q54" i="41"/>
  <c r="S54" i="41" s="1"/>
  <c r="U54" i="41" s="1"/>
  <c r="X53" i="41"/>
  <c r="S53" i="41"/>
  <c r="U53" i="41" s="1"/>
  <c r="Q53" i="41"/>
  <c r="X52" i="41"/>
  <c r="Q52" i="41"/>
  <c r="S52" i="41" s="1"/>
  <c r="U52" i="41" s="1"/>
  <c r="M52" i="41"/>
  <c r="X51" i="41"/>
  <c r="Q51" i="41"/>
  <c r="S51" i="41" s="1"/>
  <c r="U51" i="41" s="1"/>
  <c r="M51" i="41"/>
  <c r="X50" i="41"/>
  <c r="S50" i="41"/>
  <c r="U50" i="41" s="1"/>
  <c r="Q50" i="41"/>
  <c r="X49" i="41"/>
  <c r="Q49" i="41"/>
  <c r="S49" i="41" s="1"/>
  <c r="U49" i="41" s="1"/>
  <c r="M49" i="41"/>
  <c r="X48" i="41"/>
  <c r="Q48" i="41"/>
  <c r="S48" i="41" s="1"/>
  <c r="U48" i="41" s="1"/>
  <c r="M48" i="41"/>
  <c r="X47" i="41"/>
  <c r="Q47" i="41"/>
  <c r="S47" i="41" s="1"/>
  <c r="U47" i="41" s="1"/>
  <c r="M47" i="41"/>
  <c r="X46" i="41"/>
  <c r="Q46" i="41"/>
  <c r="S46" i="41" s="1"/>
  <c r="U46" i="41" s="1"/>
  <c r="X45" i="41"/>
  <c r="S45" i="41"/>
  <c r="U45" i="41" s="1"/>
  <c r="Q45" i="41"/>
  <c r="X44" i="41"/>
  <c r="U44" i="41"/>
  <c r="S44" i="41"/>
  <c r="Q44" i="41"/>
  <c r="X43" i="41"/>
  <c r="Q43" i="41"/>
  <c r="S43" i="41" s="1"/>
  <c r="U43" i="41" s="1"/>
  <c r="M43" i="41"/>
  <c r="X42" i="41"/>
  <c r="Q42" i="41"/>
  <c r="S42" i="41" s="1"/>
  <c r="U42" i="41" s="1"/>
  <c r="X41" i="41"/>
  <c r="Q41" i="41"/>
  <c r="S41" i="41" s="1"/>
  <c r="U41" i="41" s="1"/>
  <c r="X40" i="41"/>
  <c r="Q40" i="41"/>
  <c r="S40" i="41" s="1"/>
  <c r="U40" i="41" s="1"/>
  <c r="M40" i="41"/>
  <c r="X39" i="41"/>
  <c r="S39" i="41"/>
  <c r="U39" i="41" s="1"/>
  <c r="Q39" i="41"/>
  <c r="M39" i="41"/>
  <c r="X38" i="41"/>
  <c r="Q38" i="41"/>
  <c r="S38" i="41" s="1"/>
  <c r="U38" i="41" s="1"/>
  <c r="M38" i="41"/>
  <c r="X37" i="41"/>
  <c r="S37" i="41"/>
  <c r="U37" i="41" s="1"/>
  <c r="Q37" i="41"/>
  <c r="X36" i="41"/>
  <c r="Q36" i="41"/>
  <c r="S36" i="41" s="1"/>
  <c r="U36" i="41" s="1"/>
  <c r="M36" i="41"/>
  <c r="X35" i="41"/>
  <c r="Q35" i="41"/>
  <c r="S35" i="41" s="1"/>
  <c r="U35" i="41" s="1"/>
  <c r="M35" i="41"/>
  <c r="X34" i="41"/>
  <c r="S34" i="41"/>
  <c r="U34" i="41" s="1"/>
  <c r="Q34" i="41"/>
  <c r="X33" i="41"/>
  <c r="Q33" i="41"/>
  <c r="S33" i="41" s="1"/>
  <c r="U33" i="41" s="1"/>
  <c r="X32" i="41"/>
  <c r="S32" i="41"/>
  <c r="U32" i="41" s="1"/>
  <c r="Q32" i="41"/>
  <c r="M32" i="41"/>
  <c r="X31" i="41"/>
  <c r="U31" i="41"/>
  <c r="S31" i="41"/>
  <c r="Q31" i="41"/>
  <c r="M31" i="41"/>
  <c r="X30" i="41"/>
  <c r="U30" i="41"/>
  <c r="Q30" i="41"/>
  <c r="S30" i="41" s="1"/>
  <c r="X29" i="41"/>
  <c r="U29" i="41"/>
  <c r="S29" i="41"/>
  <c r="Q29" i="41"/>
  <c r="X28" i="41"/>
  <c r="Q28" i="41"/>
  <c r="S28" i="41" s="1"/>
  <c r="U28" i="41" s="1"/>
  <c r="X27" i="41"/>
  <c r="S27" i="41"/>
  <c r="U27" i="41" s="1"/>
  <c r="Q27" i="41"/>
  <c r="M27" i="41"/>
  <c r="X26" i="41"/>
  <c r="Q26" i="41"/>
  <c r="S26" i="41" s="1"/>
  <c r="U26" i="41" s="1"/>
  <c r="X25" i="41"/>
  <c r="Q25" i="41"/>
  <c r="S25" i="41" s="1"/>
  <c r="U25" i="41" s="1"/>
  <c r="M25" i="41"/>
  <c r="X24" i="41"/>
  <c r="Q24" i="41"/>
  <c r="S24" i="41" s="1"/>
  <c r="U24" i="41" s="1"/>
  <c r="M24" i="41"/>
  <c r="X23" i="41"/>
  <c r="S23" i="41"/>
  <c r="U23" i="41" s="1"/>
  <c r="Q23" i="41"/>
  <c r="M23" i="41"/>
  <c r="X22" i="41"/>
  <c r="U22" i="41"/>
  <c r="S22" i="41"/>
  <c r="Q22" i="41"/>
  <c r="X21" i="41"/>
  <c r="Q21" i="41"/>
  <c r="S21" i="41" s="1"/>
  <c r="U21" i="41" s="1"/>
  <c r="X20" i="41"/>
  <c r="Q20" i="41"/>
  <c r="S20" i="41" s="1"/>
  <c r="U20" i="41" s="1"/>
  <c r="X19" i="41"/>
  <c r="S19" i="41"/>
  <c r="U19" i="41" s="1"/>
  <c r="Q19" i="41"/>
  <c r="M19" i="41"/>
  <c r="X18" i="41"/>
  <c r="Q18" i="41"/>
  <c r="S18" i="41" s="1"/>
  <c r="U18" i="41" s="1"/>
  <c r="X17" i="41"/>
  <c r="S17" i="41"/>
  <c r="U17" i="41" s="1"/>
  <c r="Q17" i="41"/>
  <c r="X16" i="41"/>
  <c r="Q16" i="41"/>
  <c r="S16" i="41" s="1"/>
  <c r="U16" i="41" s="1"/>
  <c r="M16" i="41"/>
  <c r="X15" i="41"/>
  <c r="Q15" i="41"/>
  <c r="S15" i="41" s="1"/>
  <c r="U15" i="41" s="1"/>
  <c r="M15" i="41"/>
  <c r="X14" i="41"/>
  <c r="U14" i="41"/>
  <c r="S14" i="41"/>
  <c r="Q14" i="41"/>
  <c r="X13" i="41"/>
  <c r="U13" i="41"/>
  <c r="S13" i="41"/>
  <c r="Q13" i="41"/>
  <c r="X12" i="41"/>
  <c r="Q12" i="41"/>
  <c r="S12" i="41" s="1"/>
  <c r="U12" i="41" s="1"/>
  <c r="M12" i="41"/>
  <c r="X11" i="41"/>
  <c r="Q11" i="41"/>
  <c r="S11" i="41" s="1"/>
  <c r="U11" i="41" s="1"/>
  <c r="M11" i="41"/>
  <c r="X10" i="41"/>
  <c r="Q10" i="41"/>
  <c r="S10" i="41" s="1"/>
  <c r="U10" i="41" s="1"/>
  <c r="M10" i="41"/>
  <c r="X9" i="41"/>
  <c r="S9" i="41"/>
  <c r="U9" i="41" s="1"/>
  <c r="Q9" i="41"/>
  <c r="M9" i="41"/>
  <c r="X8" i="41"/>
  <c r="Q8" i="41"/>
  <c r="S8" i="41" s="1"/>
  <c r="U8" i="41" s="1"/>
  <c r="M8" i="41"/>
  <c r="X7" i="41"/>
  <c r="S7" i="41"/>
  <c r="U7" i="41" s="1"/>
  <c r="Q7" i="41"/>
  <c r="M7" i="41"/>
  <c r="X6" i="41"/>
  <c r="Q6" i="41"/>
  <c r="S6" i="41" s="1"/>
  <c r="U6" i="41" s="1"/>
  <c r="M6" i="41"/>
  <c r="X5" i="41"/>
  <c r="Q5" i="41"/>
  <c r="S5" i="41" s="1"/>
  <c r="U5" i="41" s="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E178" i="40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J177" i="40"/>
  <c r="M177" i="40" s="1"/>
  <c r="J176" i="40"/>
  <c r="M176" i="40" s="1"/>
  <c r="E176" i="40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M125" i="40"/>
  <c r="J125" i="40"/>
  <c r="J124" i="40"/>
  <c r="M124" i="40" s="1"/>
  <c r="M123" i="40"/>
  <c r="J123" i="40"/>
  <c r="J122" i="40"/>
  <c r="M122" i="40" s="1"/>
  <c r="J121" i="40"/>
  <c r="M121" i="40" s="1"/>
  <c r="M120" i="40"/>
  <c r="J120" i="40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J105" i="40"/>
  <c r="M105" i="40" s="1"/>
  <c r="X104" i="40"/>
  <c r="Q104" i="40"/>
  <c r="S104" i="40" s="1"/>
  <c r="U104" i="40" s="1"/>
  <c r="J104" i="40"/>
  <c r="M104" i="40" s="1"/>
  <c r="X103" i="40"/>
  <c r="S103" i="40"/>
  <c r="U103" i="40" s="1"/>
  <c r="Q103" i="40"/>
  <c r="J103" i="40"/>
  <c r="M103" i="40" s="1"/>
  <c r="X102" i="40"/>
  <c r="Q102" i="40"/>
  <c r="S102" i="40" s="1"/>
  <c r="U102" i="40" s="1"/>
  <c r="M102" i="40"/>
  <c r="J102" i="40"/>
  <c r="X101" i="40"/>
  <c r="S101" i="40"/>
  <c r="U101" i="40" s="1"/>
  <c r="Q101" i="40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S95" i="40"/>
  <c r="U95" i="40" s="1"/>
  <c r="Q95" i="40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S87" i="40"/>
  <c r="U87" i="40" s="1"/>
  <c r="Q87" i="40"/>
  <c r="J87" i="40"/>
  <c r="M87" i="40" s="1"/>
  <c r="X86" i="40"/>
  <c r="Q86" i="40"/>
  <c r="S86" i="40" s="1"/>
  <c r="U86" i="40" s="1"/>
  <c r="J86" i="40"/>
  <c r="M86" i="40" s="1"/>
  <c r="X85" i="40"/>
  <c r="S85" i="40"/>
  <c r="U85" i="40" s="1"/>
  <c r="Q85" i="40"/>
  <c r="J85" i="40"/>
  <c r="M85" i="40" s="1"/>
  <c r="X84" i="40"/>
  <c r="S84" i="40"/>
  <c r="U84" i="40" s="1"/>
  <c r="Q84" i="40"/>
  <c r="J84" i="40"/>
  <c r="M84" i="40" s="1"/>
  <c r="X83" i="40"/>
  <c r="U83" i="40"/>
  <c r="Q83" i="40"/>
  <c r="S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S77" i="40"/>
  <c r="U77" i="40" s="1"/>
  <c r="Q77" i="40"/>
  <c r="J77" i="40"/>
  <c r="M77" i="40" s="1"/>
  <c r="X76" i="40"/>
  <c r="S76" i="40"/>
  <c r="U76" i="40" s="1"/>
  <c r="Q76" i="40"/>
  <c r="J76" i="40"/>
  <c r="M76" i="40" s="1"/>
  <c r="X75" i="40"/>
  <c r="U75" i="40"/>
  <c r="Q75" i="40"/>
  <c r="S75" i="40" s="1"/>
  <c r="J75" i="40"/>
  <c r="M75" i="40" s="1"/>
  <c r="X74" i="40"/>
  <c r="Q74" i="40"/>
  <c r="S74" i="40" s="1"/>
  <c r="U74" i="40" s="1"/>
  <c r="J74" i="40"/>
  <c r="M74" i="40" s="1"/>
  <c r="X73" i="40"/>
  <c r="S73" i="40"/>
  <c r="U73" i="40" s="1"/>
  <c r="Q73" i="40"/>
  <c r="J73" i="40"/>
  <c r="M73" i="40" s="1"/>
  <c r="X72" i="40"/>
  <c r="Q72" i="40"/>
  <c r="S72" i="40" s="1"/>
  <c r="U72" i="40" s="1"/>
  <c r="J72" i="40"/>
  <c r="M72" i="40" s="1"/>
  <c r="X71" i="40"/>
  <c r="S71" i="40"/>
  <c r="U71" i="40" s="1"/>
  <c r="Q71" i="40"/>
  <c r="J71" i="40"/>
  <c r="M71" i="40" s="1"/>
  <c r="X70" i="40"/>
  <c r="Q70" i="40"/>
  <c r="S70" i="40" s="1"/>
  <c r="U70" i="40" s="1"/>
  <c r="J70" i="40"/>
  <c r="M70" i="40" s="1"/>
  <c r="X69" i="40"/>
  <c r="S69" i="40"/>
  <c r="U69" i="40" s="1"/>
  <c r="Q69" i="40"/>
  <c r="J69" i="40"/>
  <c r="M69" i="40" s="1"/>
  <c r="X68" i="40"/>
  <c r="Q68" i="40"/>
  <c r="S68" i="40" s="1"/>
  <c r="U68" i="40" s="1"/>
  <c r="J68" i="40"/>
  <c r="M68" i="40" s="1"/>
  <c r="X67" i="40"/>
  <c r="U67" i="40"/>
  <c r="Q67" i="40"/>
  <c r="S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S63" i="40"/>
  <c r="U63" i="40" s="1"/>
  <c r="Q63" i="40"/>
  <c r="J63" i="40"/>
  <c r="M63" i="40" s="1"/>
  <c r="X62" i="40"/>
  <c r="Q62" i="40"/>
  <c r="S62" i="40" s="1"/>
  <c r="U62" i="40" s="1"/>
  <c r="J62" i="40"/>
  <c r="M62" i="40" s="1"/>
  <c r="X61" i="40"/>
  <c r="S61" i="40"/>
  <c r="U61" i="40" s="1"/>
  <c r="Q61" i="40"/>
  <c r="J61" i="40"/>
  <c r="M61" i="40" s="1"/>
  <c r="X60" i="40"/>
  <c r="S60" i="40"/>
  <c r="U60" i="40" s="1"/>
  <c r="Q60" i="40"/>
  <c r="J60" i="40"/>
  <c r="M60" i="40" s="1"/>
  <c r="X59" i="40"/>
  <c r="U59" i="40"/>
  <c r="Q59" i="40"/>
  <c r="S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M57" i="40"/>
  <c r="X56" i="40"/>
  <c r="S56" i="40"/>
  <c r="U56" i="40" s="1"/>
  <c r="Q56" i="40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S51" i="40"/>
  <c r="U51" i="40" s="1"/>
  <c r="Q51" i="40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U43" i="40"/>
  <c r="S43" i="40"/>
  <c r="Q43" i="40"/>
  <c r="J43" i="40"/>
  <c r="M43" i="40" s="1"/>
  <c r="X42" i="40"/>
  <c r="Q42" i="40"/>
  <c r="S42" i="40" s="1"/>
  <c r="U42" i="40" s="1"/>
  <c r="J42" i="40"/>
  <c r="M42" i="40" s="1"/>
  <c r="X41" i="40"/>
  <c r="S41" i="40"/>
  <c r="U41" i="40" s="1"/>
  <c r="Q41" i="40"/>
  <c r="J41" i="40"/>
  <c r="M41" i="40" s="1"/>
  <c r="X40" i="40"/>
  <c r="U40" i="40"/>
  <c r="S40" i="40"/>
  <c r="Q40" i="40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U34" i="40"/>
  <c r="Q34" i="40"/>
  <c r="S34" i="40" s="1"/>
  <c r="J34" i="40"/>
  <c r="M34" i="40" s="1"/>
  <c r="X33" i="40"/>
  <c r="Q33" i="40"/>
  <c r="S33" i="40" s="1"/>
  <c r="U33" i="40" s="1"/>
  <c r="J33" i="40"/>
  <c r="M33" i="40" s="1"/>
  <c r="X32" i="40"/>
  <c r="U32" i="40"/>
  <c r="S32" i="40"/>
  <c r="Q32" i="40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S28" i="40"/>
  <c r="U28" i="40" s="1"/>
  <c r="Q28" i="40"/>
  <c r="J28" i="40"/>
  <c r="M28" i="40" s="1"/>
  <c r="X27" i="40"/>
  <c r="U27" i="40"/>
  <c r="S27" i="40"/>
  <c r="Q27" i="40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S20" i="40"/>
  <c r="U20" i="40" s="1"/>
  <c r="Q20" i="40"/>
  <c r="J20" i="40"/>
  <c r="M20" i="40" s="1"/>
  <c r="X19" i="40"/>
  <c r="U19" i="40"/>
  <c r="S19" i="40"/>
  <c r="Q19" i="40"/>
  <c r="J19" i="40"/>
  <c r="M19" i="40" s="1"/>
  <c r="X18" i="40"/>
  <c r="U18" i="40"/>
  <c r="Q18" i="40"/>
  <c r="S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S12" i="40"/>
  <c r="U12" i="40" s="1"/>
  <c r="Q12" i="40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S7" i="40"/>
  <c r="U7" i="40" s="1"/>
  <c r="Q7" i="40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K212" i="39"/>
  <c r="N10" i="8" s="1"/>
  <c r="R10" i="8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M195" i="39"/>
  <c r="J195" i="39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M167" i="39"/>
  <c r="J167" i="39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M144" i="39"/>
  <c r="J144" i="39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M135" i="39"/>
  <c r="J135" i="39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S102" i="39"/>
  <c r="U102" i="39" s="1"/>
  <c r="Q102" i="39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S99" i="39"/>
  <c r="U99" i="39" s="1"/>
  <c r="Q99" i="39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S94" i="39"/>
  <c r="U94" i="39" s="1"/>
  <c r="Q94" i="39"/>
  <c r="J94" i="39"/>
  <c r="M94" i="39" s="1"/>
  <c r="X93" i="39"/>
  <c r="U93" i="39"/>
  <c r="S93" i="39"/>
  <c r="Q93" i="39"/>
  <c r="J93" i="39"/>
  <c r="M93" i="39" s="1"/>
  <c r="X92" i="39"/>
  <c r="Q92" i="39"/>
  <c r="S92" i="39" s="1"/>
  <c r="U92" i="39" s="1"/>
  <c r="J92" i="39"/>
  <c r="M92" i="39" s="1"/>
  <c r="X91" i="39"/>
  <c r="S91" i="39"/>
  <c r="U91" i="39" s="1"/>
  <c r="Q91" i="39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S86" i="39"/>
  <c r="U86" i="39" s="1"/>
  <c r="Q86" i="39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S83" i="39"/>
  <c r="U83" i="39" s="1"/>
  <c r="Q83" i="39"/>
  <c r="J83" i="39"/>
  <c r="M83" i="39" s="1"/>
  <c r="X82" i="39"/>
  <c r="Q82" i="39"/>
  <c r="S82" i="39" s="1"/>
  <c r="U82" i="39" s="1"/>
  <c r="J82" i="39"/>
  <c r="M82" i="39" s="1"/>
  <c r="X81" i="39"/>
  <c r="S81" i="39"/>
  <c r="U81" i="39" s="1"/>
  <c r="Q81" i="39"/>
  <c r="J81" i="39"/>
  <c r="M81" i="39" s="1"/>
  <c r="X80" i="39"/>
  <c r="Q80" i="39"/>
  <c r="S80" i="39" s="1"/>
  <c r="U80" i="39" s="1"/>
  <c r="M80" i="39"/>
  <c r="J80" i="39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S77" i="39"/>
  <c r="U77" i="39" s="1"/>
  <c r="Q77" i="39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S74" i="39"/>
  <c r="U74" i="39" s="1"/>
  <c r="Q74" i="39"/>
  <c r="J74" i="39"/>
  <c r="M74" i="39" s="1"/>
  <c r="X73" i="39"/>
  <c r="U73" i="39"/>
  <c r="S73" i="39"/>
  <c r="Q73" i="39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M71" i="39"/>
  <c r="J71" i="39"/>
  <c r="X70" i="39"/>
  <c r="S70" i="39"/>
  <c r="U70" i="39" s="1"/>
  <c r="Q70" i="39"/>
  <c r="J70" i="39"/>
  <c r="M70" i="39" s="1"/>
  <c r="X69" i="39"/>
  <c r="U69" i="39"/>
  <c r="S69" i="39"/>
  <c r="Q69" i="39"/>
  <c r="J69" i="39"/>
  <c r="M69" i="39" s="1"/>
  <c r="X68" i="39"/>
  <c r="Q68" i="39"/>
  <c r="S68" i="39" s="1"/>
  <c r="U68" i="39" s="1"/>
  <c r="J68" i="39"/>
  <c r="M68" i="39" s="1"/>
  <c r="X67" i="39"/>
  <c r="S67" i="39"/>
  <c r="U67" i="39" s="1"/>
  <c r="Q67" i="39"/>
  <c r="J67" i="39"/>
  <c r="M67" i="39" s="1"/>
  <c r="X66" i="39"/>
  <c r="U66" i="39"/>
  <c r="S66" i="39"/>
  <c r="Q66" i="39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S62" i="39"/>
  <c r="U62" i="39" s="1"/>
  <c r="Q62" i="39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M57" i="39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S54" i="39"/>
  <c r="U54" i="39" s="1"/>
  <c r="Q54" i="39"/>
  <c r="J54" i="39"/>
  <c r="M54" i="39" s="1"/>
  <c r="X53" i="39"/>
  <c r="S53" i="39"/>
  <c r="U53" i="39" s="1"/>
  <c r="Q53" i="39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U50" i="39"/>
  <c r="S50" i="39"/>
  <c r="Q50" i="39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S47" i="39"/>
  <c r="U47" i="39" s="1"/>
  <c r="Q47" i="39"/>
  <c r="J47" i="39"/>
  <c r="M47" i="39" s="1"/>
  <c r="X46" i="39"/>
  <c r="Q46" i="39"/>
  <c r="S46" i="39" s="1"/>
  <c r="U46" i="39" s="1"/>
  <c r="J46" i="39"/>
  <c r="M46" i="39" s="1"/>
  <c r="X45" i="39"/>
  <c r="S45" i="39"/>
  <c r="U45" i="39" s="1"/>
  <c r="Q45" i="39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U42" i="39"/>
  <c r="S42" i="39"/>
  <c r="Q42" i="39"/>
  <c r="J42" i="39"/>
  <c r="M42" i="39" s="1"/>
  <c r="X41" i="39"/>
  <c r="U41" i="39"/>
  <c r="S41" i="39"/>
  <c r="Q41" i="39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S38" i="39"/>
  <c r="U38" i="39" s="1"/>
  <c r="Q38" i="39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S35" i="39"/>
  <c r="U35" i="39" s="1"/>
  <c r="Q35" i="39"/>
  <c r="J35" i="39"/>
  <c r="M35" i="39" s="1"/>
  <c r="X34" i="39"/>
  <c r="Q34" i="39"/>
  <c r="S34" i="39" s="1"/>
  <c r="U34" i="39" s="1"/>
  <c r="J34" i="39"/>
  <c r="M34" i="39" s="1"/>
  <c r="X33" i="39"/>
  <c r="S33" i="39"/>
  <c r="U33" i="39" s="1"/>
  <c r="Q33" i="39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S27" i="39"/>
  <c r="U27" i="39" s="1"/>
  <c r="Q27" i="39"/>
  <c r="J27" i="39"/>
  <c r="M27" i="39" s="1"/>
  <c r="X26" i="39"/>
  <c r="U26" i="39"/>
  <c r="S26" i="39"/>
  <c r="Q26" i="39"/>
  <c r="J26" i="39"/>
  <c r="M26" i="39" s="1"/>
  <c r="X25" i="39"/>
  <c r="Q25" i="39"/>
  <c r="S25" i="39" s="1"/>
  <c r="U25" i="39" s="1"/>
  <c r="J25" i="39"/>
  <c r="M25" i="39" s="1"/>
  <c r="X24" i="39"/>
  <c r="S24" i="39"/>
  <c r="U24" i="39" s="1"/>
  <c r="Q24" i="39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S19" i="39"/>
  <c r="U19" i="39" s="1"/>
  <c r="Q19" i="39"/>
  <c r="J19" i="39"/>
  <c r="M19" i="39" s="1"/>
  <c r="X18" i="39"/>
  <c r="S18" i="39"/>
  <c r="U18" i="39" s="1"/>
  <c r="Q18" i="39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S14" i="39"/>
  <c r="U14" i="39" s="1"/>
  <c r="Q14" i="39"/>
  <c r="J14" i="39"/>
  <c r="M14" i="39" s="1"/>
  <c r="X13" i="39"/>
  <c r="U13" i="39"/>
  <c r="Q13" i="39"/>
  <c r="S13" i="39" s="1"/>
  <c r="J13" i="39"/>
  <c r="M13" i="39" s="1"/>
  <c r="X12" i="39"/>
  <c r="Q12" i="39"/>
  <c r="S12" i="39" s="1"/>
  <c r="U12" i="39" s="1"/>
  <c r="J12" i="39"/>
  <c r="M12" i="39" s="1"/>
  <c r="X11" i="39"/>
  <c r="S11" i="39"/>
  <c r="U11" i="39" s="1"/>
  <c r="Q11" i="39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S8" i="39"/>
  <c r="U8" i="39" s="1"/>
  <c r="Q8" i="39"/>
  <c r="J8" i="39"/>
  <c r="M8" i="39" s="1"/>
  <c r="X7" i="39"/>
  <c r="Q7" i="39"/>
  <c r="S7" i="39" s="1"/>
  <c r="U7" i="39" s="1"/>
  <c r="J7" i="39"/>
  <c r="M7" i="39" s="1"/>
  <c r="X6" i="39"/>
  <c r="S6" i="39"/>
  <c r="U6" i="39" s="1"/>
  <c r="Q6" i="39"/>
  <c r="J6" i="39"/>
  <c r="M6" i="39" s="1"/>
  <c r="X5" i="39"/>
  <c r="S5" i="39"/>
  <c r="U5" i="39" s="1"/>
  <c r="Q5" i="39"/>
  <c r="J5" i="39"/>
  <c r="M5" i="39" s="1"/>
  <c r="K212" i="38"/>
  <c r="N9" i="8" s="1"/>
  <c r="K209" i="38"/>
  <c r="J204" i="38"/>
  <c r="M204" i="38" s="1"/>
  <c r="M203" i="38"/>
  <c r="J203" i="38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M183" i="38"/>
  <c r="J183" i="38"/>
  <c r="J182" i="38"/>
  <c r="M182" i="38" s="1"/>
  <c r="M181" i="38"/>
  <c r="J181" i="38"/>
  <c r="M180" i="38"/>
  <c r="J180" i="38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M139" i="38"/>
  <c r="J139" i="38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M104" i="38"/>
  <c r="J104" i="38"/>
  <c r="X103" i="38"/>
  <c r="S103" i="38"/>
  <c r="U103" i="38" s="1"/>
  <c r="Q103" i="38"/>
  <c r="J103" i="38"/>
  <c r="M103" i="38" s="1"/>
  <c r="X102" i="38"/>
  <c r="S102" i="38"/>
  <c r="U102" i="38" s="1"/>
  <c r="Q102" i="38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S95" i="38"/>
  <c r="U95" i="38" s="1"/>
  <c r="Q95" i="38"/>
  <c r="J95" i="38"/>
  <c r="M95" i="38" s="1"/>
  <c r="X94" i="38"/>
  <c r="S94" i="38"/>
  <c r="U94" i="38" s="1"/>
  <c r="Q94" i="38"/>
  <c r="J94" i="38"/>
  <c r="M94" i="38" s="1"/>
  <c r="X93" i="38"/>
  <c r="Q93" i="38"/>
  <c r="S93" i="38" s="1"/>
  <c r="U93" i="38" s="1"/>
  <c r="J93" i="38"/>
  <c r="M93" i="38" s="1"/>
  <c r="X92" i="38"/>
  <c r="S92" i="38"/>
  <c r="U92" i="38" s="1"/>
  <c r="Q92" i="38"/>
  <c r="J92" i="38"/>
  <c r="M92" i="38" s="1"/>
  <c r="X91" i="38"/>
  <c r="Q91" i="38"/>
  <c r="S91" i="38" s="1"/>
  <c r="U91" i="38" s="1"/>
  <c r="J91" i="38"/>
  <c r="M91" i="38" s="1"/>
  <c r="X90" i="38"/>
  <c r="S90" i="38"/>
  <c r="U90" i="38" s="1"/>
  <c r="Q90" i="38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U86" i="38"/>
  <c r="S86" i="38"/>
  <c r="Q86" i="38"/>
  <c r="J86" i="38"/>
  <c r="M86" i="38" s="1"/>
  <c r="X85" i="38"/>
  <c r="Q85" i="38"/>
  <c r="S85" i="38" s="1"/>
  <c r="U85" i="38" s="1"/>
  <c r="J85" i="38"/>
  <c r="M85" i="38" s="1"/>
  <c r="X84" i="38"/>
  <c r="S84" i="38"/>
  <c r="U84" i="38" s="1"/>
  <c r="Q84" i="38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S79" i="38"/>
  <c r="U79" i="38" s="1"/>
  <c r="Q79" i="38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S76" i="38"/>
  <c r="U76" i="38" s="1"/>
  <c r="Q76" i="38"/>
  <c r="J76" i="38"/>
  <c r="M76" i="38" s="1"/>
  <c r="X75" i="38"/>
  <c r="Q75" i="38"/>
  <c r="S75" i="38" s="1"/>
  <c r="U75" i="38" s="1"/>
  <c r="J75" i="38"/>
  <c r="M75" i="38" s="1"/>
  <c r="X74" i="38"/>
  <c r="S74" i="38"/>
  <c r="U74" i="38" s="1"/>
  <c r="Q74" i="38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S70" i="38"/>
  <c r="U70" i="38" s="1"/>
  <c r="Q70" i="38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M68" i="38"/>
  <c r="J68" i="38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U65" i="38"/>
  <c r="Q65" i="38"/>
  <c r="S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S58" i="38"/>
  <c r="U58" i="38" s="1"/>
  <c r="Q58" i="38"/>
  <c r="J58" i="38"/>
  <c r="M58" i="38" s="1"/>
  <c r="X57" i="38"/>
  <c r="Q57" i="38"/>
  <c r="S57" i="38" s="1"/>
  <c r="U57" i="38" s="1"/>
  <c r="J57" i="38"/>
  <c r="M57" i="38" s="1"/>
  <c r="X56" i="38"/>
  <c r="S56" i="38"/>
  <c r="U56" i="38" s="1"/>
  <c r="Q56" i="38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U53" i="38"/>
  <c r="Q53" i="38"/>
  <c r="S53" i="38" s="1"/>
  <c r="J53" i="38"/>
  <c r="M53" i="38" s="1"/>
  <c r="X52" i="38"/>
  <c r="S52" i="38"/>
  <c r="U52" i="38" s="1"/>
  <c r="Q52" i="38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U49" i="38"/>
  <c r="Q49" i="38"/>
  <c r="S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S44" i="38"/>
  <c r="U44" i="38" s="1"/>
  <c r="Q44" i="38"/>
  <c r="J44" i="38"/>
  <c r="M44" i="38" s="1"/>
  <c r="X43" i="38"/>
  <c r="Q43" i="38"/>
  <c r="S43" i="38" s="1"/>
  <c r="U43" i="38" s="1"/>
  <c r="J43" i="38"/>
  <c r="M43" i="38" s="1"/>
  <c r="X42" i="38"/>
  <c r="S42" i="38"/>
  <c r="U42" i="38" s="1"/>
  <c r="Q42" i="38"/>
  <c r="J42" i="38"/>
  <c r="M42" i="38" s="1"/>
  <c r="X41" i="38"/>
  <c r="U41" i="38"/>
  <c r="Q41" i="38"/>
  <c r="S41" i="38" s="1"/>
  <c r="J41" i="38"/>
  <c r="M41" i="38" s="1"/>
  <c r="X40" i="38"/>
  <c r="S40" i="38"/>
  <c r="U40" i="38" s="1"/>
  <c r="Q40" i="38"/>
  <c r="J40" i="38"/>
  <c r="M40" i="38" s="1"/>
  <c r="X39" i="38"/>
  <c r="S39" i="38"/>
  <c r="U39" i="38" s="1"/>
  <c r="Q39" i="38"/>
  <c r="J39" i="38"/>
  <c r="M39" i="38" s="1"/>
  <c r="X38" i="38"/>
  <c r="U38" i="38"/>
  <c r="S38" i="38"/>
  <c r="Q38" i="38"/>
  <c r="J38" i="38"/>
  <c r="M38" i="38" s="1"/>
  <c r="X37" i="38"/>
  <c r="Q37" i="38"/>
  <c r="S37" i="38" s="1"/>
  <c r="U37" i="38" s="1"/>
  <c r="J37" i="38"/>
  <c r="M37" i="38" s="1"/>
  <c r="X36" i="38"/>
  <c r="S36" i="38"/>
  <c r="U36" i="38" s="1"/>
  <c r="Q36" i="38"/>
  <c r="J36" i="38"/>
  <c r="M36" i="38" s="1"/>
  <c r="X35" i="38"/>
  <c r="Q35" i="38"/>
  <c r="S35" i="38" s="1"/>
  <c r="U35" i="38" s="1"/>
  <c r="J35" i="38"/>
  <c r="M35" i="38" s="1"/>
  <c r="X34" i="38"/>
  <c r="S34" i="38"/>
  <c r="U34" i="38" s="1"/>
  <c r="Q34" i="38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S26" i="38"/>
  <c r="U26" i="38" s="1"/>
  <c r="Q26" i="38"/>
  <c r="J26" i="38"/>
  <c r="M26" i="38" s="1"/>
  <c r="X25" i="38"/>
  <c r="Q25" i="38"/>
  <c r="S25" i="38" s="1"/>
  <c r="U25" i="38" s="1"/>
  <c r="M25" i="38"/>
  <c r="J25" i="38"/>
  <c r="X24" i="38"/>
  <c r="Q24" i="38"/>
  <c r="S24" i="38" s="1"/>
  <c r="U24" i="38" s="1"/>
  <c r="J24" i="38"/>
  <c r="M24" i="38" s="1"/>
  <c r="X23" i="38"/>
  <c r="S23" i="38"/>
  <c r="U23" i="38" s="1"/>
  <c r="Q23" i="38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S20" i="38"/>
  <c r="U20" i="38" s="1"/>
  <c r="Q20" i="38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M14" i="38"/>
  <c r="J14" i="38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S10" i="38"/>
  <c r="U10" i="38" s="1"/>
  <c r="Q10" i="38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M193" i="37"/>
  <c r="J193" i="37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M143" i="37"/>
  <c r="J143" i="37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M129" i="37"/>
  <c r="J129" i="37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S100" i="37"/>
  <c r="U100" i="37" s="1"/>
  <c r="Q100" i="37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S90" i="37"/>
  <c r="U90" i="37" s="1"/>
  <c r="Q90" i="37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S85" i="37"/>
  <c r="U85" i="37" s="1"/>
  <c r="Q85" i="37"/>
  <c r="J85" i="37"/>
  <c r="M85" i="37" s="1"/>
  <c r="X84" i="37"/>
  <c r="S84" i="37"/>
  <c r="U84" i="37" s="1"/>
  <c r="Q84" i="37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S78" i="37"/>
  <c r="U78" i="37" s="1"/>
  <c r="Q78" i="37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S74" i="37"/>
  <c r="U74" i="37" s="1"/>
  <c r="Q74" i="37"/>
  <c r="J74" i="37"/>
  <c r="M74" i="37" s="1"/>
  <c r="X73" i="37"/>
  <c r="U73" i="37"/>
  <c r="Q73" i="37"/>
  <c r="S73" i="37" s="1"/>
  <c r="J73" i="37"/>
  <c r="M73" i="37" s="1"/>
  <c r="X72" i="37"/>
  <c r="S72" i="37"/>
  <c r="U72" i="37" s="1"/>
  <c r="Q72" i="37"/>
  <c r="J72" i="37"/>
  <c r="M72" i="37" s="1"/>
  <c r="X71" i="37"/>
  <c r="Q71" i="37"/>
  <c r="S71" i="37" s="1"/>
  <c r="U71" i="37" s="1"/>
  <c r="J71" i="37"/>
  <c r="M71" i="37" s="1"/>
  <c r="X70" i="37"/>
  <c r="S70" i="37"/>
  <c r="U70" i="37" s="1"/>
  <c r="Q70" i="37"/>
  <c r="J70" i="37"/>
  <c r="M70" i="37" s="1"/>
  <c r="X69" i="37"/>
  <c r="S69" i="37"/>
  <c r="U69" i="37" s="1"/>
  <c r="Q69" i="37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S62" i="37"/>
  <c r="U62" i="37" s="1"/>
  <c r="Q62" i="37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S58" i="37"/>
  <c r="U58" i="37" s="1"/>
  <c r="Q58" i="37"/>
  <c r="J58" i="37"/>
  <c r="M58" i="37" s="1"/>
  <c r="X57" i="37"/>
  <c r="U57" i="37"/>
  <c r="Q57" i="37"/>
  <c r="S57" i="37" s="1"/>
  <c r="J57" i="37"/>
  <c r="M57" i="37" s="1"/>
  <c r="X56" i="37"/>
  <c r="S56" i="37"/>
  <c r="U56" i="37" s="1"/>
  <c r="Q56" i="37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U53" i="37"/>
  <c r="S53" i="37"/>
  <c r="Q53" i="37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U47" i="37"/>
  <c r="Q47" i="37"/>
  <c r="S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S40" i="37"/>
  <c r="U40" i="37" s="1"/>
  <c r="Q40" i="37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E31" i="37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X30" i="37"/>
  <c r="S30" i="37"/>
  <c r="U30" i="37" s="1"/>
  <c r="Q30" i="37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S18" i="37"/>
  <c r="U18" i="37" s="1"/>
  <c r="Q18" i="37"/>
  <c r="J18" i="37"/>
  <c r="M18" i="37" s="1"/>
  <c r="X17" i="37"/>
  <c r="Q17" i="37"/>
  <c r="S17" i="37" s="1"/>
  <c r="U17" i="37" s="1"/>
  <c r="J17" i="37"/>
  <c r="M17" i="37" s="1"/>
  <c r="X16" i="37"/>
  <c r="S16" i="37"/>
  <c r="U16" i="37" s="1"/>
  <c r="Q16" i="37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S10" i="37"/>
  <c r="U10" i="37" s="1"/>
  <c r="Q10" i="37"/>
  <c r="J10" i="37"/>
  <c r="M10" i="37" s="1"/>
  <c r="X9" i="37"/>
  <c r="Q9" i="37"/>
  <c r="S9" i="37" s="1"/>
  <c r="U9" i="37" s="1"/>
  <c r="J9" i="37"/>
  <c r="M9" i="37" s="1"/>
  <c r="X8" i="37"/>
  <c r="S8" i="37"/>
  <c r="U8" i="37" s="1"/>
  <c r="Q8" i="37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M196" i="36"/>
  <c r="J196" i="36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M181" i="36"/>
  <c r="J181" i="36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S103" i="36"/>
  <c r="U103" i="36" s="1"/>
  <c r="Q103" i="36"/>
  <c r="J103" i="36"/>
  <c r="M103" i="36" s="1"/>
  <c r="X102" i="36"/>
  <c r="U102" i="36"/>
  <c r="S102" i="36"/>
  <c r="Q102" i="36"/>
  <c r="J102" i="36"/>
  <c r="M102" i="36" s="1"/>
  <c r="X101" i="36"/>
  <c r="Q101" i="36"/>
  <c r="S101" i="36" s="1"/>
  <c r="U101" i="36" s="1"/>
  <c r="J101" i="36"/>
  <c r="M101" i="36" s="1"/>
  <c r="X100" i="36"/>
  <c r="S100" i="36"/>
  <c r="U100" i="36" s="1"/>
  <c r="Q100" i="36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U97" i="36"/>
  <c r="Q97" i="36"/>
  <c r="S97" i="36" s="1"/>
  <c r="J97" i="36"/>
  <c r="M97" i="36" s="1"/>
  <c r="X96" i="36"/>
  <c r="Q96" i="36"/>
  <c r="S96" i="36" s="1"/>
  <c r="U96" i="36" s="1"/>
  <c r="M96" i="36"/>
  <c r="J96" i="36"/>
  <c r="X95" i="36"/>
  <c r="S95" i="36"/>
  <c r="U95" i="36" s="1"/>
  <c r="Q95" i="36"/>
  <c r="J95" i="36"/>
  <c r="M95" i="36" s="1"/>
  <c r="X94" i="36"/>
  <c r="U94" i="36"/>
  <c r="S94" i="36"/>
  <c r="Q94" i="36"/>
  <c r="J94" i="36"/>
  <c r="M94" i="36" s="1"/>
  <c r="X93" i="36"/>
  <c r="Q93" i="36"/>
  <c r="S93" i="36" s="1"/>
  <c r="U93" i="36" s="1"/>
  <c r="J93" i="36"/>
  <c r="M93" i="36" s="1"/>
  <c r="X92" i="36"/>
  <c r="S92" i="36"/>
  <c r="U92" i="36" s="1"/>
  <c r="Q92" i="36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U89" i="36"/>
  <c r="Q89" i="36"/>
  <c r="S89" i="36" s="1"/>
  <c r="J89" i="36"/>
  <c r="M89" i="36" s="1"/>
  <c r="X88" i="36"/>
  <c r="Q88" i="36"/>
  <c r="S88" i="36" s="1"/>
  <c r="U88" i="36" s="1"/>
  <c r="J88" i="36"/>
  <c r="M88" i="36" s="1"/>
  <c r="X87" i="36"/>
  <c r="S87" i="36"/>
  <c r="U87" i="36" s="1"/>
  <c r="Q87" i="36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U81" i="36"/>
  <c r="Q81" i="36"/>
  <c r="S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U75" i="36"/>
  <c r="Q75" i="36"/>
  <c r="S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U71" i="36"/>
  <c r="S71" i="36"/>
  <c r="Q71" i="36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X67" i="36"/>
  <c r="Q67" i="36"/>
  <c r="S67" i="36" s="1"/>
  <c r="U67" i="36" s="1"/>
  <c r="J67" i="36"/>
  <c r="M67" i="36" s="1"/>
  <c r="X66" i="36"/>
  <c r="S66" i="36"/>
  <c r="U66" i="36" s="1"/>
  <c r="Q66" i="36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M64" i="36"/>
  <c r="J64" i="36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S58" i="36"/>
  <c r="U58" i="36" s="1"/>
  <c r="Q58" i="36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S54" i="36"/>
  <c r="U54" i="36" s="1"/>
  <c r="Q54" i="36"/>
  <c r="J54" i="36"/>
  <c r="M54" i="36" s="1"/>
  <c r="X53" i="36"/>
  <c r="Q53" i="36"/>
  <c r="S53" i="36" s="1"/>
  <c r="U53" i="36" s="1"/>
  <c r="J53" i="36"/>
  <c r="M53" i="36" s="1"/>
  <c r="X52" i="36"/>
  <c r="S52" i="36"/>
  <c r="U52" i="36" s="1"/>
  <c r="Q52" i="36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U43" i="36"/>
  <c r="Q43" i="36"/>
  <c r="S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S36" i="36"/>
  <c r="U36" i="36" s="1"/>
  <c r="Q36" i="36"/>
  <c r="J36" i="36"/>
  <c r="M36" i="36" s="1"/>
  <c r="X35" i="36"/>
  <c r="Q35" i="36"/>
  <c r="S35" i="36" s="1"/>
  <c r="U35" i="36" s="1"/>
  <c r="J35" i="36"/>
  <c r="M35" i="36" s="1"/>
  <c r="X34" i="36"/>
  <c r="S34" i="36"/>
  <c r="U34" i="36" s="1"/>
  <c r="Q34" i="36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S27" i="36"/>
  <c r="U27" i="36" s="1"/>
  <c r="Q27" i="36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U17" i="36"/>
  <c r="S17" i="36"/>
  <c r="Q17" i="36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S14" i="36"/>
  <c r="U14" i="36" s="1"/>
  <c r="Q14" i="36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S6" i="36"/>
  <c r="U6" i="36" s="1"/>
  <c r="Q6" i="36"/>
  <c r="J6" i="36"/>
  <c r="M6" i="36" s="1"/>
  <c r="X5" i="36"/>
  <c r="Q5" i="36"/>
  <c r="S5" i="36" s="1"/>
  <c r="U5" i="36" s="1"/>
  <c r="J5" i="36"/>
  <c r="K212" i="35"/>
  <c r="N6" i="8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M197" i="35"/>
  <c r="J197" i="35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M182" i="35"/>
  <c r="J182" i="35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J105" i="35"/>
  <c r="M105" i="35" s="1"/>
  <c r="X104" i="35"/>
  <c r="Q104" i="35"/>
  <c r="S104" i="35" s="1"/>
  <c r="U104" i="35" s="1"/>
  <c r="J104" i="35"/>
  <c r="M104" i="35" s="1"/>
  <c r="X103" i="35"/>
  <c r="S103" i="35"/>
  <c r="U103" i="35" s="1"/>
  <c r="Q103" i="35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S95" i="35"/>
  <c r="U95" i="35" s="1"/>
  <c r="Q95" i="35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M93" i="35"/>
  <c r="J93" i="35"/>
  <c r="X92" i="35"/>
  <c r="S92" i="35"/>
  <c r="U92" i="35" s="1"/>
  <c r="Q92" i="35"/>
  <c r="J92" i="35"/>
  <c r="M92" i="35" s="1"/>
  <c r="X91" i="35"/>
  <c r="S91" i="35"/>
  <c r="U91" i="35" s="1"/>
  <c r="Q91" i="35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S84" i="35"/>
  <c r="U84" i="35" s="1"/>
  <c r="Q84" i="35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U75" i="35"/>
  <c r="S75" i="35"/>
  <c r="Q75" i="35"/>
  <c r="J75" i="35"/>
  <c r="M75" i="35" s="1"/>
  <c r="X74" i="35"/>
  <c r="Q74" i="35"/>
  <c r="S74" i="35" s="1"/>
  <c r="U74" i="35" s="1"/>
  <c r="J74" i="35"/>
  <c r="M74" i="35" s="1"/>
  <c r="X73" i="35"/>
  <c r="S73" i="35"/>
  <c r="U73" i="35" s="1"/>
  <c r="Q73" i="35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S63" i="35"/>
  <c r="U63" i="35" s="1"/>
  <c r="Q63" i="35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S43" i="35"/>
  <c r="U43" i="35" s="1"/>
  <c r="Q43" i="35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U37" i="35"/>
  <c r="S37" i="35"/>
  <c r="Q37" i="35"/>
  <c r="J37" i="35"/>
  <c r="M37" i="35" s="1"/>
  <c r="X36" i="35"/>
  <c r="Q36" i="35"/>
  <c r="S36" i="35" s="1"/>
  <c r="U36" i="35" s="1"/>
  <c r="J36" i="35"/>
  <c r="M36" i="35" s="1"/>
  <c r="X35" i="35"/>
  <c r="S35" i="35"/>
  <c r="U35" i="35" s="1"/>
  <c r="Q35" i="35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U31" i="35"/>
  <c r="Q31" i="35"/>
  <c r="S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S26" i="35"/>
  <c r="U26" i="35" s="1"/>
  <c r="Q26" i="35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S19" i="35"/>
  <c r="U19" i="35" s="1"/>
  <c r="Q19" i="35"/>
  <c r="J19" i="35"/>
  <c r="M19" i="35" s="1"/>
  <c r="X18" i="35"/>
  <c r="Q18" i="35"/>
  <c r="S18" i="35" s="1"/>
  <c r="U18" i="35" s="1"/>
  <c r="J18" i="35"/>
  <c r="M18" i="35" s="1"/>
  <c r="X17" i="35"/>
  <c r="S17" i="35"/>
  <c r="U17" i="35" s="1"/>
  <c r="Q17" i="35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S11" i="35"/>
  <c r="U11" i="35" s="1"/>
  <c r="Q11" i="35"/>
  <c r="J11" i="35"/>
  <c r="M11" i="35" s="1"/>
  <c r="X10" i="35"/>
  <c r="Q10" i="35"/>
  <c r="S10" i="35" s="1"/>
  <c r="U10" i="35" s="1"/>
  <c r="M10" i="35"/>
  <c r="J10" i="35"/>
  <c r="X9" i="35"/>
  <c r="S9" i="35"/>
  <c r="U9" i="35" s="1"/>
  <c r="Q9" i="35"/>
  <c r="J9" i="35"/>
  <c r="M9" i="35" s="1"/>
  <c r="X8" i="35"/>
  <c r="S8" i="35"/>
  <c r="U8" i="35" s="1"/>
  <c r="Q8" i="35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M5" i="35"/>
  <c r="J5" i="35"/>
  <c r="K212" i="34"/>
  <c r="N5" i="8" s="1"/>
  <c r="J204" i="34"/>
  <c r="R13" i="8" l="1"/>
  <c r="K219" i="42"/>
  <c r="X107" i="36"/>
  <c r="J206" i="36" s="1"/>
  <c r="R11" i="8"/>
  <c r="K219" i="40"/>
  <c r="X107" i="37"/>
  <c r="J206" i="37" s="1"/>
  <c r="K207" i="37" s="1"/>
  <c r="K219" i="37"/>
  <c r="R8" i="8"/>
  <c r="R16" i="8"/>
  <c r="K219" i="45"/>
  <c r="C176" i="48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R9" i="8"/>
  <c r="K219" i="38"/>
  <c r="M5" i="41"/>
  <c r="K207" i="41"/>
  <c r="C178" i="48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R12" i="8"/>
  <c r="K219" i="41"/>
  <c r="X107" i="52"/>
  <c r="J206" i="52" s="1"/>
  <c r="K207" i="52" s="1"/>
  <c r="R14" i="8"/>
  <c r="K219" i="43"/>
  <c r="R24" i="8"/>
  <c r="K219" i="53"/>
  <c r="X107" i="57"/>
  <c r="J206" i="57" s="1"/>
  <c r="X107" i="45"/>
  <c r="J206" i="45" s="1"/>
  <c r="R17" i="8"/>
  <c r="K219" i="46"/>
  <c r="X107" i="44"/>
  <c r="J206" i="44" s="1"/>
  <c r="K207" i="44" s="1"/>
  <c r="R15" i="8"/>
  <c r="K219" i="44"/>
  <c r="X107" i="61"/>
  <c r="J206" i="61" s="1"/>
  <c r="X107" i="50"/>
  <c r="J206" i="50" s="1"/>
  <c r="X107" i="54"/>
  <c r="J206" i="54" s="1"/>
  <c r="R25" i="8"/>
  <c r="K219" i="54"/>
  <c r="R29" i="8"/>
  <c r="K219" i="58"/>
  <c r="R33" i="8"/>
  <c r="K219" i="62"/>
  <c r="R32" i="8"/>
  <c r="K219" i="61"/>
  <c r="R31" i="8"/>
  <c r="K219" i="60"/>
  <c r="R30" i="8"/>
  <c r="K219" i="59"/>
  <c r="R28" i="8"/>
  <c r="R27" i="8"/>
  <c r="K219" i="56"/>
  <c r="K219" i="55"/>
  <c r="R26" i="8"/>
  <c r="R23" i="8"/>
  <c r="K219" i="52"/>
  <c r="R22" i="8"/>
  <c r="K219" i="51"/>
  <c r="N36" i="8"/>
  <c r="R21" i="8"/>
  <c r="K219" i="50"/>
  <c r="R20" i="8"/>
  <c r="K219" i="49"/>
  <c r="R19" i="8"/>
  <c r="K219" i="48"/>
  <c r="R18" i="8"/>
  <c r="K219" i="47"/>
  <c r="R7" i="8"/>
  <c r="K219" i="36"/>
  <c r="R6" i="8"/>
  <c r="K219" i="35"/>
  <c r="M5" i="36"/>
  <c r="N204" i="36" s="1"/>
  <c r="J204" i="8"/>
  <c r="N204" i="64"/>
  <c r="X107" i="64"/>
  <c r="J206" i="64" s="1"/>
  <c r="K207" i="64"/>
  <c r="M5" i="63"/>
  <c r="N204" i="63" s="1"/>
  <c r="X107" i="63"/>
  <c r="J206" i="63" s="1"/>
  <c r="K207" i="63" s="1"/>
  <c r="M5" i="62"/>
  <c r="N204" i="62" s="1"/>
  <c r="X107" i="62"/>
  <c r="J206" i="62" s="1"/>
  <c r="K207" i="62" s="1"/>
  <c r="K207" i="61"/>
  <c r="M5" i="61"/>
  <c r="N204" i="61" s="1"/>
  <c r="N204" i="60"/>
  <c r="X107" i="60"/>
  <c r="J206" i="60" s="1"/>
  <c r="K207" i="60" s="1"/>
  <c r="N204" i="59"/>
  <c r="X107" i="59"/>
  <c r="J206" i="59" s="1"/>
  <c r="K207" i="59" s="1"/>
  <c r="X107" i="58"/>
  <c r="J206" i="58" s="1"/>
  <c r="K207" i="58" s="1"/>
  <c r="M5" i="58"/>
  <c r="N204" i="58" s="1"/>
  <c r="K207" i="57"/>
  <c r="M5" i="57"/>
  <c r="N204" i="57" s="1"/>
  <c r="M5" i="56"/>
  <c r="N204" i="56" s="1"/>
  <c r="X107" i="56"/>
  <c r="J206" i="56" s="1"/>
  <c r="K207" i="56" s="1"/>
  <c r="N204" i="55"/>
  <c r="X107" i="55"/>
  <c r="J206" i="55" s="1"/>
  <c r="K207" i="55" s="1"/>
  <c r="K213" i="55" s="1"/>
  <c r="N204" i="54"/>
  <c r="K207" i="54"/>
  <c r="N204" i="53"/>
  <c r="X107" i="53"/>
  <c r="J206" i="53" s="1"/>
  <c r="K207" i="53" s="1"/>
  <c r="N204" i="52"/>
  <c r="N204" i="51"/>
  <c r="X107" i="51"/>
  <c r="J206" i="51" s="1"/>
  <c r="K207" i="51" s="1"/>
  <c r="K207" i="50"/>
  <c r="N204" i="50"/>
  <c r="N204" i="49"/>
  <c r="X107" i="49"/>
  <c r="J206" i="49" s="1"/>
  <c r="K207" i="49" s="1"/>
  <c r="N204" i="48"/>
  <c r="X107" i="48"/>
  <c r="J206" i="48" s="1"/>
  <c r="K207" i="48"/>
  <c r="K207" i="47"/>
  <c r="M5" i="47"/>
  <c r="N204" i="47" s="1"/>
  <c r="X107" i="47"/>
  <c r="J206" i="47" s="1"/>
  <c r="X107" i="46"/>
  <c r="J206" i="46" s="1"/>
  <c r="K207" i="46"/>
  <c r="M5" i="46"/>
  <c r="N204" i="46" s="1"/>
  <c r="N204" i="45"/>
  <c r="K207" i="45"/>
  <c r="M5" i="44"/>
  <c r="N204" i="44" s="1"/>
  <c r="N204" i="43"/>
  <c r="X107" i="43"/>
  <c r="J206" i="43" s="1"/>
  <c r="K207" i="43"/>
  <c r="X107" i="42"/>
  <c r="J206" i="42" s="1"/>
  <c r="K207" i="42" s="1"/>
  <c r="M5" i="42"/>
  <c r="N204" i="42" s="1"/>
  <c r="N204" i="41"/>
  <c r="X107" i="41"/>
  <c r="J206" i="41" s="1"/>
  <c r="X107" i="40"/>
  <c r="J206" i="40" s="1"/>
  <c r="K207" i="40" s="1"/>
  <c r="N204" i="40"/>
  <c r="X107" i="39"/>
  <c r="J206" i="39" s="1"/>
  <c r="K207" i="39" s="1"/>
  <c r="N204" i="39"/>
  <c r="N204" i="38"/>
  <c r="K207" i="38"/>
  <c r="X107" i="38"/>
  <c r="J206" i="38" s="1"/>
  <c r="M5" i="37"/>
  <c r="N204" i="37" s="1"/>
  <c r="K207" i="36"/>
  <c r="N204" i="35"/>
  <c r="X107" i="35"/>
  <c r="J206" i="35" s="1"/>
  <c r="K207" i="35" s="1"/>
  <c r="K213" i="35" s="1"/>
  <c r="C6" i="34"/>
  <c r="C7" i="34"/>
  <c r="C8" i="34"/>
  <c r="C9" i="34"/>
  <c r="C10" i="34"/>
  <c r="E10" i="34" s="1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1" i="34"/>
  <c r="E12" i="34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3" i="34"/>
  <c r="E13" i="34" s="1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4" i="34"/>
  <c r="E14" i="34" s="1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5" i="34"/>
  <c r="C16" i="34"/>
  <c r="C17" i="34"/>
  <c r="C18" i="34"/>
  <c r="E18" i="34" s="1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9" i="34"/>
  <c r="E19" i="34" s="1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20" i="34"/>
  <c r="E20" i="34" s="1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1" i="34"/>
  <c r="E21" i="34" s="1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2" i="34"/>
  <c r="E22" i="34" s="1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3" i="34"/>
  <c r="C24" i="34"/>
  <c r="C26" i="34"/>
  <c r="C27" i="34"/>
  <c r="E27" i="34" s="1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8" i="34"/>
  <c r="E28" i="34" s="1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9" i="34"/>
  <c r="E29" i="34" s="1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30" i="34"/>
  <c r="E30" i="34" s="1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2" i="34"/>
  <c r="C33" i="34"/>
  <c r="C34" i="34"/>
  <c r="E34" i="34" s="1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5" i="34"/>
  <c r="C36" i="34"/>
  <c r="E36" i="34" s="1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7" i="34"/>
  <c r="E37" i="34" s="1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8" i="34"/>
  <c r="E38" i="34" s="1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9" i="34"/>
  <c r="C41" i="34"/>
  <c r="E41" i="34" s="1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2" i="34"/>
  <c r="E42" i="34" s="1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4" i="34"/>
  <c r="E44" i="34" s="1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5" i="34"/>
  <c r="E45" i="34" s="1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6" i="34"/>
  <c r="E46" i="34" s="1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8" i="34"/>
  <c r="C49" i="34"/>
  <c r="E49" i="34" s="1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50" i="34"/>
  <c r="C51" i="34"/>
  <c r="C52" i="34"/>
  <c r="E52" i="34" s="1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E53" i="34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4" i="34"/>
  <c r="E54" i="34" s="1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5" i="34"/>
  <c r="C57" i="34"/>
  <c r="C58" i="34"/>
  <c r="E58" i="34" s="1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9" i="34"/>
  <c r="C60" i="34"/>
  <c r="E60" i="34" s="1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1" i="34"/>
  <c r="E61" i="34" s="1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2" i="34"/>
  <c r="C63" i="34"/>
  <c r="C64" i="34"/>
  <c r="E64" i="34" s="1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5" i="34"/>
  <c r="C66" i="34"/>
  <c r="E66" i="34" s="1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8" i="34"/>
  <c r="E68" i="34" s="1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9" i="34"/>
  <c r="E69" i="34" s="1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70" i="34"/>
  <c r="C71" i="34"/>
  <c r="E71" i="34" s="1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2" i="34"/>
  <c r="C73" i="34"/>
  <c r="E73" i="34" s="1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4" i="34"/>
  <c r="E74" i="34" s="1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5" i="34"/>
  <c r="E75" i="34" s="1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6" i="34"/>
  <c r="E76" i="34" s="1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7" i="34"/>
  <c r="C78" i="34"/>
  <c r="E78" i="34" s="1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9" i="34"/>
  <c r="C82" i="34"/>
  <c r="C83" i="34"/>
  <c r="E83" i="34" s="1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4" i="34"/>
  <c r="E84" i="34" s="1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5" i="34"/>
  <c r="E85" i="34" s="1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6" i="34"/>
  <c r="C87" i="34"/>
  <c r="E87" i="34" s="1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8" i="34"/>
  <c r="C89" i="34"/>
  <c r="C90" i="34"/>
  <c r="C91" i="34"/>
  <c r="C92" i="34"/>
  <c r="E92" i="34" s="1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3" i="34"/>
  <c r="E93" i="34" s="1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4" i="34"/>
  <c r="C95" i="34"/>
  <c r="C96" i="34"/>
  <c r="E96" i="34" s="1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7" i="34"/>
  <c r="C100" i="34"/>
  <c r="E100" i="34" s="1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1" i="34"/>
  <c r="E101" i="34" s="1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E102" i="34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3" i="34"/>
  <c r="E103" i="34" s="1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4" i="34"/>
  <c r="C105" i="34"/>
  <c r="E105" i="34" s="1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6" i="34"/>
  <c r="C107" i="34"/>
  <c r="C108" i="34"/>
  <c r="E108" i="34" s="1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9" i="34"/>
  <c r="E109" i="34" s="1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10" i="34"/>
  <c r="E110" i="34" s="1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1" i="34"/>
  <c r="E111" i="34" s="1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2" i="34"/>
  <c r="E112" i="34" s="1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3" i="34"/>
  <c r="E113" i="34" s="1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4" i="34"/>
  <c r="C115" i="34"/>
  <c r="C116" i="34"/>
  <c r="E116" i="34" s="1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7" i="34"/>
  <c r="E117" i="34" s="1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8" i="34"/>
  <c r="E118" i="34" s="1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9" i="34"/>
  <c r="E119" i="34" s="1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20" i="34"/>
  <c r="C121" i="34"/>
  <c r="C122" i="34"/>
  <c r="C123" i="34"/>
  <c r="C124" i="34"/>
  <c r="C125" i="34"/>
  <c r="E125" i="34" s="1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6" i="34"/>
  <c r="E126" i="34" s="1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7" i="34"/>
  <c r="E127" i="34" s="1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8" i="34"/>
  <c r="C129" i="34"/>
  <c r="E129" i="34" s="1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30" i="34"/>
  <c r="C131" i="34"/>
  <c r="C132" i="34"/>
  <c r="E132" i="34" s="1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3" i="34"/>
  <c r="E133" i="34" s="1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4" i="34"/>
  <c r="E134" i="34" s="1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5" i="34"/>
  <c r="C136" i="34"/>
  <c r="E136" i="34" s="1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7" i="34"/>
  <c r="E137" i="34" s="1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8" i="34"/>
  <c r="C139" i="34"/>
  <c r="C140" i="34"/>
  <c r="E140" i="34" s="1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1" i="34"/>
  <c r="E141" i="34" s="1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2" i="34"/>
  <c r="E142" i="34" s="1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3" i="34"/>
  <c r="E143" i="34" s="1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4" i="34"/>
  <c r="C145" i="34"/>
  <c r="E145" i="34" s="1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7" i="34"/>
  <c r="C149" i="34"/>
  <c r="E149" i="34" s="1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50" i="34"/>
  <c r="E150" i="34" s="1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1" i="34"/>
  <c r="E151" i="34" s="1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2" i="34"/>
  <c r="E152" i="34" s="1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3" i="34"/>
  <c r="C154" i="34"/>
  <c r="C155" i="34"/>
  <c r="E155" i="34" s="1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6" i="34"/>
  <c r="E156" i="34" s="1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7" i="34"/>
  <c r="E157" i="34" s="1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8" i="34"/>
  <c r="E158" i="34" s="1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9" i="34"/>
  <c r="E159" i="34" s="1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60" i="34"/>
  <c r="E160" i="34" s="1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1" i="34"/>
  <c r="E161" i="34" s="1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2" i="34"/>
  <c r="C163" i="34"/>
  <c r="E164" i="34"/>
  <c r="G164" i="34" s="1"/>
  <c r="C164" i="3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E165" i="34"/>
  <c r="G165" i="34" s="1"/>
  <c r="C165" i="3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6" i="34"/>
  <c r="C167" i="34"/>
  <c r="E167" i="34" s="1"/>
  <c r="G167" i="34" s="1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8" i="34"/>
  <c r="E168" i="34" s="1"/>
  <c r="G168" i="34" s="1"/>
  <c r="C168" i="3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9" i="34"/>
  <c r="E169" i="34" s="1"/>
  <c r="G169" i="34" s="1"/>
  <c r="C169" i="3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70" i="34"/>
  <c r="C171" i="34"/>
  <c r="E171" i="34" s="1"/>
  <c r="G171" i="34" s="1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2" i="34"/>
  <c r="E172" i="34" s="1"/>
  <c r="G172" i="34" s="1"/>
  <c r="C172" i="3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3" i="34"/>
  <c r="E173" i="34" s="1"/>
  <c r="G173" i="34" s="1"/>
  <c r="C173" i="3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4" i="34"/>
  <c r="E174" i="34" s="1"/>
  <c r="G174" i="34" s="1"/>
  <c r="C174" i="3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5" i="34"/>
  <c r="E175" i="34" s="1"/>
  <c r="G175" i="34" s="1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6" i="34"/>
  <c r="E176" i="34" s="1"/>
  <c r="G176" i="34" s="1"/>
  <c r="C176" i="3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7" i="34"/>
  <c r="C178" i="34"/>
  <c r="C179" i="34"/>
  <c r="E179" i="34" s="1"/>
  <c r="G179" i="34" s="1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80" i="34"/>
  <c r="E180" i="34" s="1"/>
  <c r="G180" i="34" s="1"/>
  <c r="C180" i="3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1" i="34"/>
  <c r="E181" i="34" s="1"/>
  <c r="G181" i="34" s="1"/>
  <c r="C181" i="3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2" i="34"/>
  <c r="E182" i="34" s="1"/>
  <c r="G182" i="34" s="1"/>
  <c r="C182" i="3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3" i="34"/>
  <c r="C184" i="34"/>
  <c r="E184" i="34" s="1"/>
  <c r="G184" i="34" s="1"/>
  <c r="C184" i="3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5" i="34"/>
  <c r="E185" i="34" s="1"/>
  <c r="G185" i="34" s="1"/>
  <c r="C185" i="3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6" i="34"/>
  <c r="C187" i="34"/>
  <c r="C188" i="34"/>
  <c r="E188" i="34" s="1"/>
  <c r="G188" i="34" s="1"/>
  <c r="C188" i="3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9" i="34"/>
  <c r="E189" i="34" s="1"/>
  <c r="G189" i="34" s="1"/>
  <c r="C189" i="3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90" i="34"/>
  <c r="E190" i="34" s="1"/>
  <c r="G190" i="34" s="1"/>
  <c r="C190" i="3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1" i="34"/>
  <c r="C192" i="34"/>
  <c r="C193" i="34"/>
  <c r="E193" i="34" s="1"/>
  <c r="G193" i="34" s="1"/>
  <c r="C193" i="3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4" i="34"/>
  <c r="C195" i="34"/>
  <c r="E195" i="34" s="1"/>
  <c r="G195" i="34" s="1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6" i="34"/>
  <c r="E196" i="34" s="1"/>
  <c r="G196" i="34" s="1"/>
  <c r="C196" i="3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7" i="34"/>
  <c r="E197" i="34" s="1"/>
  <c r="G197" i="34" s="1"/>
  <c r="C197" i="3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8" i="34"/>
  <c r="E198" i="34" s="1"/>
  <c r="G198" i="34" s="1"/>
  <c r="C198" i="3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9" i="34"/>
  <c r="E199" i="34" s="1"/>
  <c r="G199" i="34" s="1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200" i="34"/>
  <c r="E200" i="34" s="1"/>
  <c r="G200" i="34" s="1"/>
  <c r="C200" i="35" s="1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1" i="34"/>
  <c r="E201" i="34" s="1"/>
  <c r="G201" i="34" s="1"/>
  <c r="C201" i="35" s="1"/>
  <c r="E201" i="35" s="1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2" i="34"/>
  <c r="C203" i="34"/>
  <c r="E203" i="34" s="1"/>
  <c r="G203" i="34" s="1"/>
  <c r="C203" i="35" s="1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4" i="34"/>
  <c r="E204" i="34" s="1"/>
  <c r="G204" i="34" s="1"/>
  <c r="C204" i="35" s="1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5" i="34"/>
  <c r="K209" i="34"/>
  <c r="M204" i="34"/>
  <c r="J203" i="34"/>
  <c r="J202" i="34"/>
  <c r="E202" i="34"/>
  <c r="G202" i="34" s="1"/>
  <c r="C202" i="35" s="1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J201" i="34"/>
  <c r="J200" i="34"/>
  <c r="J200" i="8" s="1"/>
  <c r="J199" i="34"/>
  <c r="J199" i="8" s="1"/>
  <c r="J198" i="34"/>
  <c r="J198" i="8" s="1"/>
  <c r="J197" i="34"/>
  <c r="J196" i="34"/>
  <c r="J196" i="8" s="1"/>
  <c r="J195" i="34"/>
  <c r="J194" i="34"/>
  <c r="E194" i="34"/>
  <c r="G194" i="34" s="1"/>
  <c r="C194" i="3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J193" i="34"/>
  <c r="J192" i="34"/>
  <c r="J192" i="8" s="1"/>
  <c r="E192" i="34"/>
  <c r="G192" i="34" s="1"/>
  <c r="C192" i="3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J191" i="34"/>
  <c r="E191" i="34"/>
  <c r="G191" i="34" s="1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J190" i="34"/>
  <c r="J190" i="8" s="1"/>
  <c r="J189" i="34"/>
  <c r="J188" i="34"/>
  <c r="J187" i="34"/>
  <c r="E187" i="34"/>
  <c r="G187" i="34" s="1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J186" i="34"/>
  <c r="E186" i="34"/>
  <c r="G186" i="34" s="1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J185" i="34"/>
  <c r="J184" i="34"/>
  <c r="J183" i="34"/>
  <c r="J183" i="8" s="1"/>
  <c r="E183" i="34"/>
  <c r="G183" i="34" s="1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J182" i="34"/>
  <c r="J182" i="8" s="1"/>
  <c r="J181" i="34"/>
  <c r="J180" i="34"/>
  <c r="J179" i="34"/>
  <c r="J178" i="34"/>
  <c r="E178" i="34"/>
  <c r="G178" i="34" s="1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J177" i="34"/>
  <c r="E177" i="34"/>
  <c r="G177" i="34" s="1"/>
  <c r="C177" i="3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J176" i="34"/>
  <c r="M175" i="34"/>
  <c r="J175" i="34"/>
  <c r="J175" i="8" s="1"/>
  <c r="J174" i="34"/>
  <c r="J173" i="34"/>
  <c r="J172" i="34"/>
  <c r="J171" i="34"/>
  <c r="J170" i="34"/>
  <c r="E170" i="34"/>
  <c r="G170" i="34" s="1"/>
  <c r="C170" i="3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J169" i="34"/>
  <c r="J168" i="34"/>
  <c r="J167" i="34"/>
  <c r="J167" i="8" s="1"/>
  <c r="M166" i="34"/>
  <c r="J166" i="34"/>
  <c r="J166" i="8" s="1"/>
  <c r="E166" i="34"/>
  <c r="G166" i="34" s="1"/>
  <c r="C166" i="3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J165" i="34"/>
  <c r="J164" i="34"/>
  <c r="J164" i="8" s="1"/>
  <c r="J163" i="34"/>
  <c r="E163" i="34"/>
  <c r="G163" i="34" s="1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J162" i="34"/>
  <c r="E162" i="34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J161" i="34"/>
  <c r="J160" i="34"/>
  <c r="J160" i="8" s="1"/>
  <c r="J159" i="34"/>
  <c r="J159" i="8" s="1"/>
  <c r="J158" i="34"/>
  <c r="J157" i="34"/>
  <c r="J156" i="34"/>
  <c r="J155" i="34"/>
  <c r="J154" i="34"/>
  <c r="E154" i="34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J153" i="34"/>
  <c r="E153" i="34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J152" i="34"/>
  <c r="J152" i="8" s="1"/>
  <c r="J151" i="34"/>
  <c r="J150" i="34"/>
  <c r="J150" i="8" s="1"/>
  <c r="J149" i="34"/>
  <c r="J148" i="34"/>
  <c r="J148" i="8" s="1"/>
  <c r="E148" i="34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J147" i="34"/>
  <c r="E147" i="34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J146" i="34"/>
  <c r="E146" i="34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J145" i="34"/>
  <c r="J144" i="34"/>
  <c r="J144" i="8" s="1"/>
  <c r="E144" i="34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J143" i="34"/>
  <c r="M142" i="34"/>
  <c r="J142" i="34"/>
  <c r="J142" i="8" s="1"/>
  <c r="J141" i="34"/>
  <c r="J140" i="34"/>
  <c r="J139" i="34"/>
  <c r="E139" i="34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J138" i="34"/>
  <c r="E138" i="34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J137" i="34"/>
  <c r="J136" i="34"/>
  <c r="J135" i="34"/>
  <c r="J135" i="8" s="1"/>
  <c r="E135" i="34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J134" i="34"/>
  <c r="J134" i="8" s="1"/>
  <c r="J133" i="34"/>
  <c r="J132" i="34"/>
  <c r="J131" i="34"/>
  <c r="E131" i="34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J130" i="34"/>
  <c r="E130" i="34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J129" i="34"/>
  <c r="J128" i="34"/>
  <c r="E128" i="34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J127" i="34"/>
  <c r="J126" i="34"/>
  <c r="J125" i="34"/>
  <c r="J124" i="34"/>
  <c r="E124" i="34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J123" i="34"/>
  <c r="E123" i="34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J122" i="34"/>
  <c r="E122" i="34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J121" i="34"/>
  <c r="E121" i="34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J120" i="34"/>
  <c r="J120" i="8" s="1"/>
  <c r="E120" i="34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J119" i="34"/>
  <c r="J119" i="8" s="1"/>
  <c r="J118" i="34"/>
  <c r="J117" i="34"/>
  <c r="J116" i="34"/>
  <c r="J116" i="8" s="1"/>
  <c r="J115" i="34"/>
  <c r="E115" i="34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J114" i="34"/>
  <c r="E114" i="34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J113" i="34"/>
  <c r="J112" i="34"/>
  <c r="J112" i="8" s="1"/>
  <c r="J111" i="34"/>
  <c r="J110" i="34"/>
  <c r="J109" i="34"/>
  <c r="J108" i="34"/>
  <c r="J108" i="8" s="1"/>
  <c r="J107" i="34"/>
  <c r="E107" i="34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J106" i="34"/>
  <c r="E106" i="34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J105" i="34"/>
  <c r="X104" i="34"/>
  <c r="Q104" i="34"/>
  <c r="S104" i="34" s="1"/>
  <c r="U104" i="34" s="1"/>
  <c r="J104" i="34"/>
  <c r="E104" i="34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X103" i="34"/>
  <c r="S103" i="34"/>
  <c r="U103" i="34" s="1"/>
  <c r="Q103" i="34"/>
  <c r="J103" i="34"/>
  <c r="X102" i="34"/>
  <c r="S102" i="34"/>
  <c r="U102" i="34" s="1"/>
  <c r="Q102" i="34"/>
  <c r="J102" i="34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E99" i="34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X98" i="34"/>
  <c r="Q98" i="34"/>
  <c r="S98" i="34" s="1"/>
  <c r="U98" i="34" s="1"/>
  <c r="J98" i="34"/>
  <c r="E98" i="34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X97" i="34"/>
  <c r="Q97" i="34"/>
  <c r="S97" i="34" s="1"/>
  <c r="U97" i="34" s="1"/>
  <c r="J97" i="34"/>
  <c r="E97" i="34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X96" i="34"/>
  <c r="Q96" i="34"/>
  <c r="S96" i="34" s="1"/>
  <c r="U96" i="34" s="1"/>
  <c r="J96" i="34"/>
  <c r="J96" i="8" s="1"/>
  <c r="X95" i="34"/>
  <c r="Q95" i="34"/>
  <c r="S95" i="34" s="1"/>
  <c r="U95" i="34" s="1"/>
  <c r="J95" i="34"/>
  <c r="E95" i="34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X94" i="34"/>
  <c r="Q94" i="34"/>
  <c r="S94" i="34" s="1"/>
  <c r="U94" i="34" s="1"/>
  <c r="J94" i="34"/>
  <c r="E94" i="34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X93" i="34"/>
  <c r="Q93" i="34"/>
  <c r="S93" i="34" s="1"/>
  <c r="U93" i="34" s="1"/>
  <c r="M93" i="34"/>
  <c r="J93" i="34"/>
  <c r="J93" i="8" s="1"/>
  <c r="X92" i="34"/>
  <c r="Q92" i="34"/>
  <c r="S92" i="34" s="1"/>
  <c r="U92" i="34" s="1"/>
  <c r="J92" i="34"/>
  <c r="X91" i="34"/>
  <c r="U91" i="34"/>
  <c r="S91" i="34"/>
  <c r="Q91" i="34"/>
  <c r="J91" i="34"/>
  <c r="J91" i="8" s="1"/>
  <c r="E91" i="34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X90" i="34"/>
  <c r="Q90" i="34"/>
  <c r="S90" i="34" s="1"/>
  <c r="U90" i="34" s="1"/>
  <c r="J90" i="34"/>
  <c r="E90" i="34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X89" i="34"/>
  <c r="Q89" i="34"/>
  <c r="S89" i="34" s="1"/>
  <c r="U89" i="34" s="1"/>
  <c r="J89" i="34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X88" i="34"/>
  <c r="Q88" i="34"/>
  <c r="S88" i="34" s="1"/>
  <c r="U88" i="34" s="1"/>
  <c r="J88" i="34"/>
  <c r="E88" i="34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X87" i="34"/>
  <c r="Q87" i="34"/>
  <c r="S87" i="34" s="1"/>
  <c r="U87" i="34" s="1"/>
  <c r="J87" i="34"/>
  <c r="X86" i="34"/>
  <c r="Q86" i="34"/>
  <c r="S86" i="34" s="1"/>
  <c r="U86" i="34" s="1"/>
  <c r="J86" i="34"/>
  <c r="E86" i="34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X85" i="34"/>
  <c r="Q85" i="34"/>
  <c r="S85" i="34" s="1"/>
  <c r="U85" i="34" s="1"/>
  <c r="J85" i="34"/>
  <c r="J85" i="8" s="1"/>
  <c r="X84" i="34"/>
  <c r="Q84" i="34"/>
  <c r="S84" i="34" s="1"/>
  <c r="U84" i="34" s="1"/>
  <c r="J84" i="34"/>
  <c r="X83" i="34"/>
  <c r="Q83" i="34"/>
  <c r="S83" i="34" s="1"/>
  <c r="U83" i="34" s="1"/>
  <c r="J83" i="34"/>
  <c r="X82" i="34"/>
  <c r="Q82" i="34"/>
  <c r="S82" i="34" s="1"/>
  <c r="U82" i="34" s="1"/>
  <c r="J82" i="34"/>
  <c r="E82" i="34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X81" i="34"/>
  <c r="Q81" i="34"/>
  <c r="S81" i="34" s="1"/>
  <c r="U81" i="34" s="1"/>
  <c r="J81" i="34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X80" i="34"/>
  <c r="Q80" i="34"/>
  <c r="S80" i="34" s="1"/>
  <c r="U80" i="34" s="1"/>
  <c r="J80" i="34"/>
  <c r="E80" i="34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X79" i="34"/>
  <c r="S79" i="34"/>
  <c r="U79" i="34" s="1"/>
  <c r="Q79" i="34"/>
  <c r="J79" i="34"/>
  <c r="E79" i="34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X78" i="34"/>
  <c r="S78" i="34"/>
  <c r="U78" i="34" s="1"/>
  <c r="Q78" i="34"/>
  <c r="M78" i="34"/>
  <c r="J78" i="34"/>
  <c r="J78" i="8" s="1"/>
  <c r="X77" i="34"/>
  <c r="Q77" i="34"/>
  <c r="S77" i="34" s="1"/>
  <c r="U77" i="34" s="1"/>
  <c r="J77" i="34"/>
  <c r="E77" i="34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X76" i="34"/>
  <c r="Q76" i="34"/>
  <c r="S76" i="34" s="1"/>
  <c r="U76" i="34" s="1"/>
  <c r="J76" i="34"/>
  <c r="X75" i="34"/>
  <c r="Q75" i="34"/>
  <c r="S75" i="34" s="1"/>
  <c r="U75" i="34" s="1"/>
  <c r="J75" i="34"/>
  <c r="X74" i="34"/>
  <c r="Q74" i="34"/>
  <c r="S74" i="34" s="1"/>
  <c r="U74" i="34" s="1"/>
  <c r="J74" i="34"/>
  <c r="X73" i="34"/>
  <c r="Q73" i="34"/>
  <c r="S73" i="34" s="1"/>
  <c r="U73" i="34" s="1"/>
  <c r="J73" i="34"/>
  <c r="J73" i="8" s="1"/>
  <c r="X72" i="34"/>
  <c r="Q72" i="34"/>
  <c r="S72" i="34" s="1"/>
  <c r="U72" i="34" s="1"/>
  <c r="J72" i="34"/>
  <c r="J72" i="8" s="1"/>
  <c r="E72" i="34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X71" i="34"/>
  <c r="Q71" i="34"/>
  <c r="S71" i="34" s="1"/>
  <c r="U71" i="34" s="1"/>
  <c r="J71" i="34"/>
  <c r="X70" i="34"/>
  <c r="Q70" i="34"/>
  <c r="S70" i="34" s="1"/>
  <c r="U70" i="34" s="1"/>
  <c r="J70" i="34"/>
  <c r="E70" i="34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X69" i="34"/>
  <c r="Q69" i="34"/>
  <c r="S69" i="34" s="1"/>
  <c r="U69" i="34" s="1"/>
  <c r="J69" i="34"/>
  <c r="X68" i="34"/>
  <c r="Q68" i="34"/>
  <c r="S68" i="34" s="1"/>
  <c r="U68" i="34" s="1"/>
  <c r="J68" i="34"/>
  <c r="X67" i="34"/>
  <c r="U67" i="34"/>
  <c r="S67" i="34"/>
  <c r="Q67" i="34"/>
  <c r="J67" i="34"/>
  <c r="J67" i="8" s="1"/>
  <c r="E67" i="34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X66" i="34"/>
  <c r="Q66" i="34"/>
  <c r="S66" i="34" s="1"/>
  <c r="U66" i="34" s="1"/>
  <c r="J66" i="34"/>
  <c r="X65" i="34"/>
  <c r="Q65" i="34"/>
  <c r="S65" i="34" s="1"/>
  <c r="U65" i="34" s="1"/>
  <c r="J65" i="34"/>
  <c r="J65" i="8" s="1"/>
  <c r="E65" i="34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X64" i="34"/>
  <c r="Q64" i="34"/>
  <c r="S64" i="34" s="1"/>
  <c r="U64" i="34" s="1"/>
  <c r="J64" i="34"/>
  <c r="X63" i="34"/>
  <c r="Q63" i="34"/>
  <c r="S63" i="34" s="1"/>
  <c r="U63" i="34" s="1"/>
  <c r="J63" i="34"/>
  <c r="E63" i="34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X62" i="34"/>
  <c r="Q62" i="34"/>
  <c r="S62" i="34" s="1"/>
  <c r="U62" i="34" s="1"/>
  <c r="J62" i="34"/>
  <c r="J62" i="8" s="1"/>
  <c r="E62" i="34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X61" i="34"/>
  <c r="Q61" i="34"/>
  <c r="S61" i="34" s="1"/>
  <c r="U61" i="34" s="1"/>
  <c r="J61" i="34"/>
  <c r="J61" i="8" s="1"/>
  <c r="X60" i="34"/>
  <c r="Q60" i="34"/>
  <c r="S60" i="34" s="1"/>
  <c r="U60" i="34" s="1"/>
  <c r="J60" i="34"/>
  <c r="X59" i="34"/>
  <c r="S59" i="34"/>
  <c r="U59" i="34" s="1"/>
  <c r="Q59" i="34"/>
  <c r="J59" i="34"/>
  <c r="J59" i="8" s="1"/>
  <c r="E59" i="34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X58" i="34"/>
  <c r="Q58" i="34"/>
  <c r="S58" i="34" s="1"/>
  <c r="U58" i="34" s="1"/>
  <c r="J58" i="34"/>
  <c r="X57" i="34"/>
  <c r="Q57" i="34"/>
  <c r="S57" i="34" s="1"/>
  <c r="U57" i="34" s="1"/>
  <c r="J57" i="34"/>
  <c r="E57" i="34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X56" i="34"/>
  <c r="Q56" i="34"/>
  <c r="S56" i="34" s="1"/>
  <c r="U56" i="34" s="1"/>
  <c r="J56" i="34"/>
  <c r="J56" i="8" s="1"/>
  <c r="E56" i="34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X55" i="34"/>
  <c r="Q55" i="34"/>
  <c r="S55" i="34" s="1"/>
  <c r="U55" i="34" s="1"/>
  <c r="J55" i="34"/>
  <c r="E55" i="34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X54" i="34"/>
  <c r="U54" i="34"/>
  <c r="S54" i="34"/>
  <c r="Q54" i="34"/>
  <c r="J54" i="34"/>
  <c r="X53" i="34"/>
  <c r="Q53" i="34"/>
  <c r="S53" i="34" s="1"/>
  <c r="U53" i="34" s="1"/>
  <c r="J53" i="34"/>
  <c r="X52" i="34"/>
  <c r="S52" i="34"/>
  <c r="U52" i="34" s="1"/>
  <c r="Q52" i="34"/>
  <c r="J52" i="34"/>
  <c r="X51" i="34"/>
  <c r="Q51" i="34"/>
  <c r="S51" i="34" s="1"/>
  <c r="U51" i="34" s="1"/>
  <c r="J51" i="34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X50" i="34"/>
  <c r="Q50" i="34"/>
  <c r="S50" i="34" s="1"/>
  <c r="U50" i="34" s="1"/>
  <c r="J50" i="34"/>
  <c r="E50" i="34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X49" i="34"/>
  <c r="S49" i="34"/>
  <c r="U49" i="34" s="1"/>
  <c r="Q49" i="34"/>
  <c r="M49" i="34"/>
  <c r="J49" i="34"/>
  <c r="J49" i="8" s="1"/>
  <c r="X48" i="34"/>
  <c r="Q48" i="34"/>
  <c r="S48" i="34" s="1"/>
  <c r="U48" i="34" s="1"/>
  <c r="J48" i="34"/>
  <c r="J48" i="8" s="1"/>
  <c r="E48" i="34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X47" i="34"/>
  <c r="S47" i="34"/>
  <c r="U47" i="34" s="1"/>
  <c r="Q47" i="34"/>
  <c r="J47" i="34"/>
  <c r="E47" i="34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X46" i="34"/>
  <c r="S46" i="34"/>
  <c r="U46" i="34" s="1"/>
  <c r="Q46" i="34"/>
  <c r="J46" i="34"/>
  <c r="X45" i="34"/>
  <c r="Q45" i="34"/>
  <c r="S45" i="34" s="1"/>
  <c r="U45" i="34" s="1"/>
  <c r="J45" i="34"/>
  <c r="X44" i="34"/>
  <c r="Q44" i="34"/>
  <c r="S44" i="34" s="1"/>
  <c r="U44" i="34" s="1"/>
  <c r="J44" i="34"/>
  <c r="X43" i="34"/>
  <c r="Q43" i="34"/>
  <c r="S43" i="34" s="1"/>
  <c r="U43" i="34" s="1"/>
  <c r="J43" i="34"/>
  <c r="E43" i="34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X42" i="34"/>
  <c r="Q42" i="34"/>
  <c r="S42" i="34" s="1"/>
  <c r="U42" i="34" s="1"/>
  <c r="J42" i="34"/>
  <c r="X41" i="34"/>
  <c r="S41" i="34"/>
  <c r="U41" i="34" s="1"/>
  <c r="Q41" i="34"/>
  <c r="J41" i="34"/>
  <c r="X40" i="34"/>
  <c r="Q40" i="34"/>
  <c r="S40" i="34" s="1"/>
  <c r="U40" i="34" s="1"/>
  <c r="J40" i="34"/>
  <c r="E40" i="34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X39" i="34"/>
  <c r="S39" i="34"/>
  <c r="U39" i="34" s="1"/>
  <c r="Q39" i="34"/>
  <c r="J39" i="34"/>
  <c r="E39" i="34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X38" i="34"/>
  <c r="S38" i="34"/>
  <c r="U38" i="34" s="1"/>
  <c r="Q38" i="34"/>
  <c r="J38" i="34"/>
  <c r="X37" i="34"/>
  <c r="Q37" i="34"/>
  <c r="S37" i="34" s="1"/>
  <c r="U37" i="34" s="1"/>
  <c r="J37" i="34"/>
  <c r="X36" i="34"/>
  <c r="Q36" i="34"/>
  <c r="S36" i="34" s="1"/>
  <c r="U36" i="34" s="1"/>
  <c r="J36" i="34"/>
  <c r="X35" i="34"/>
  <c r="Q35" i="34"/>
  <c r="S35" i="34" s="1"/>
  <c r="U35" i="34" s="1"/>
  <c r="J35" i="34"/>
  <c r="E35" i="34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X34" i="34"/>
  <c r="Q34" i="34"/>
  <c r="S34" i="34" s="1"/>
  <c r="U34" i="34" s="1"/>
  <c r="J34" i="34"/>
  <c r="X33" i="34"/>
  <c r="S33" i="34"/>
  <c r="U33" i="34" s="1"/>
  <c r="Q33" i="34"/>
  <c r="J33" i="34"/>
  <c r="J33" i="8" s="1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X32" i="34"/>
  <c r="Q32" i="34"/>
  <c r="S32" i="34" s="1"/>
  <c r="U32" i="34" s="1"/>
  <c r="M32" i="34"/>
  <c r="J32" i="34"/>
  <c r="J32" i="8" s="1"/>
  <c r="E32" i="34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X31" i="34"/>
  <c r="Q31" i="34"/>
  <c r="S31" i="34" s="1"/>
  <c r="U31" i="34" s="1"/>
  <c r="J31" i="34"/>
  <c r="E31" i="34"/>
  <c r="G31" i="34" s="1"/>
  <c r="C31" i="35" s="1"/>
  <c r="E31" i="35" s="1"/>
  <c r="G31" i="35" s="1"/>
  <c r="C31" i="36" s="1"/>
  <c r="E31" i="36" s="1"/>
  <c r="G31" i="36" s="1"/>
  <c r="X30" i="34"/>
  <c r="Q30" i="34"/>
  <c r="S30" i="34" s="1"/>
  <c r="U30" i="34" s="1"/>
  <c r="J30" i="34"/>
  <c r="J30" i="8" s="1"/>
  <c r="X29" i="34"/>
  <c r="Q29" i="34"/>
  <c r="S29" i="34" s="1"/>
  <c r="U29" i="34" s="1"/>
  <c r="J29" i="34"/>
  <c r="X28" i="34"/>
  <c r="Q28" i="34"/>
  <c r="S28" i="34" s="1"/>
  <c r="U28" i="34" s="1"/>
  <c r="J28" i="34"/>
  <c r="X27" i="34"/>
  <c r="Q27" i="34"/>
  <c r="S27" i="34" s="1"/>
  <c r="U27" i="34" s="1"/>
  <c r="J27" i="34"/>
  <c r="X26" i="34"/>
  <c r="Q26" i="34"/>
  <c r="S26" i="34" s="1"/>
  <c r="U26" i="34" s="1"/>
  <c r="J26" i="34"/>
  <c r="E26" i="34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X25" i="34"/>
  <c r="Q25" i="34"/>
  <c r="S25" i="34" s="1"/>
  <c r="U25" i="34" s="1"/>
  <c r="J25" i="34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X24" i="34"/>
  <c r="Q24" i="34"/>
  <c r="S24" i="34" s="1"/>
  <c r="U24" i="34" s="1"/>
  <c r="J24" i="34"/>
  <c r="E24" i="34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X23" i="34"/>
  <c r="Q23" i="34"/>
  <c r="S23" i="34" s="1"/>
  <c r="U23" i="34" s="1"/>
  <c r="J23" i="34"/>
  <c r="E23" i="34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X22" i="34"/>
  <c r="S22" i="34"/>
  <c r="U22" i="34" s="1"/>
  <c r="Q22" i="34"/>
  <c r="J22" i="34"/>
  <c r="X21" i="34"/>
  <c r="Q21" i="34"/>
  <c r="S21" i="34" s="1"/>
  <c r="U21" i="34" s="1"/>
  <c r="J21" i="34"/>
  <c r="X20" i="34"/>
  <c r="S20" i="34"/>
  <c r="U20" i="34" s="1"/>
  <c r="Q20" i="34"/>
  <c r="J20" i="34"/>
  <c r="X19" i="34"/>
  <c r="Q19" i="34"/>
  <c r="S19" i="34" s="1"/>
  <c r="U19" i="34" s="1"/>
  <c r="J19" i="34"/>
  <c r="X18" i="34"/>
  <c r="Q18" i="34"/>
  <c r="S18" i="34" s="1"/>
  <c r="U18" i="34" s="1"/>
  <c r="J18" i="34"/>
  <c r="X17" i="34"/>
  <c r="Q17" i="34"/>
  <c r="S17" i="34" s="1"/>
  <c r="U17" i="34" s="1"/>
  <c r="J17" i="34"/>
  <c r="E17" i="34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X16" i="34"/>
  <c r="Q16" i="34"/>
  <c r="S16" i="34" s="1"/>
  <c r="U16" i="34" s="1"/>
  <c r="J16" i="34"/>
  <c r="E16" i="34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X15" i="34"/>
  <c r="Q15" i="34"/>
  <c r="S15" i="34" s="1"/>
  <c r="U15" i="34" s="1"/>
  <c r="J15" i="34"/>
  <c r="E15" i="34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X14" i="34"/>
  <c r="S14" i="34"/>
  <c r="U14" i="34" s="1"/>
  <c r="Q14" i="34"/>
  <c r="J14" i="34"/>
  <c r="X13" i="34"/>
  <c r="Q13" i="34"/>
  <c r="S13" i="34" s="1"/>
  <c r="U13" i="34" s="1"/>
  <c r="J13" i="34"/>
  <c r="X12" i="34"/>
  <c r="S12" i="34"/>
  <c r="U12" i="34" s="1"/>
  <c r="Q12" i="34"/>
  <c r="J12" i="34"/>
  <c r="X11" i="34"/>
  <c r="Q11" i="34"/>
  <c r="S11" i="34" s="1"/>
  <c r="U11" i="34" s="1"/>
  <c r="J11" i="34"/>
  <c r="E11" i="34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X10" i="34"/>
  <c r="S10" i="34"/>
  <c r="U10" i="34" s="1"/>
  <c r="Q10" i="34"/>
  <c r="J10" i="34"/>
  <c r="X9" i="34"/>
  <c r="Q9" i="34"/>
  <c r="S9" i="34" s="1"/>
  <c r="U9" i="34" s="1"/>
  <c r="J9" i="34"/>
  <c r="E9" i="34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X8" i="34"/>
  <c r="Q8" i="34"/>
  <c r="S8" i="34" s="1"/>
  <c r="U8" i="34" s="1"/>
  <c r="J8" i="34"/>
  <c r="E8" i="34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X7" i="34"/>
  <c r="Q7" i="34"/>
  <c r="S7" i="34" s="1"/>
  <c r="U7" i="34" s="1"/>
  <c r="J7" i="34"/>
  <c r="E7" i="34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X6" i="34"/>
  <c r="Q6" i="34"/>
  <c r="S6" i="34" s="1"/>
  <c r="U6" i="34" s="1"/>
  <c r="J6" i="34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X5" i="34"/>
  <c r="Q5" i="34"/>
  <c r="S5" i="34" s="1"/>
  <c r="U5" i="34" s="1"/>
  <c r="J5" i="34"/>
  <c r="J5" i="8" s="1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143" i="48" l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75" i="48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64" i="6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178" i="6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69" i="48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7" i="48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73" i="48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161" i="48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51" i="48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201" i="48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E195" i="48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48"/>
  <c r="E171" i="48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48"/>
  <c r="E137" i="48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48"/>
  <c r="C113" i="48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79" i="48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45" i="48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29" i="48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05" i="48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87" i="48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176" i="6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19" i="48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03" i="48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75" i="48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66" i="48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E58" i="6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1"/>
  <c r="C185" i="48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27" i="48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11" i="48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E160" i="48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48"/>
  <c r="C142" i="48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18" i="48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74" i="48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65" i="48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E107" i="48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48"/>
  <c r="E62" i="6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1"/>
  <c r="E104" i="48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48"/>
  <c r="C144" i="48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E177" i="48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48"/>
  <c r="E85" i="48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48"/>
  <c r="E51" i="6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1"/>
  <c r="C95" i="48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E97" i="48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48"/>
  <c r="E106" i="48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48"/>
  <c r="E115" i="48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48"/>
  <c r="C147" i="48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E162" i="48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48"/>
  <c r="E191" i="48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48"/>
  <c r="E203" i="48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48"/>
  <c r="C155" i="48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E69" i="42"/>
  <c r="G69" i="42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2"/>
  <c r="E60" i="6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1"/>
  <c r="E63" i="6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1"/>
  <c r="E70" i="48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48"/>
  <c r="M73" i="34"/>
  <c r="E99" i="48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48"/>
  <c r="C120" i="48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4" i="48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39" i="48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E186" i="48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48"/>
  <c r="C202" i="48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136" i="48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12" i="48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E76" i="48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48"/>
  <c r="C68" i="48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55" i="6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94" i="48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E135" i="48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48"/>
  <c r="C93" i="48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89" i="48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148" i="48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E193" i="48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48"/>
  <c r="E82" i="48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48"/>
  <c r="E121" i="48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48"/>
  <c r="C183" i="48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26" i="48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E102" i="48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48"/>
  <c r="E84" i="48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48"/>
  <c r="C199" i="48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01" i="48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E72" i="48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48"/>
  <c r="E91" i="48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48"/>
  <c r="C187" i="48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68" i="48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E67" i="42"/>
  <c r="G67" i="42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2"/>
  <c r="E141" i="48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48"/>
  <c r="C117" i="48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79" i="48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M91" i="34"/>
  <c r="C98" i="48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M108" i="34"/>
  <c r="C122" i="48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31" i="48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M183" i="34"/>
  <c r="C194" i="48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M199" i="34"/>
  <c r="R5" i="8"/>
  <c r="K219" i="34"/>
  <c r="C198" i="48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E190" i="48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48"/>
  <c r="E182" i="48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48"/>
  <c r="C174" i="48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58" i="48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E150" i="48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48"/>
  <c r="E140" i="48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48"/>
  <c r="C132" i="48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16" i="48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E108" i="48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48"/>
  <c r="E100" i="48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48"/>
  <c r="C54" i="6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80" i="48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E153" i="48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48"/>
  <c r="E77" i="48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48"/>
  <c r="C86" i="48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M112" i="34"/>
  <c r="M116" i="34"/>
  <c r="E184" i="48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48"/>
  <c r="E152" i="48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48"/>
  <c r="E50" i="6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1"/>
  <c r="C159" i="48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25" i="48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83" i="48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M59" i="34"/>
  <c r="C81" i="48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E88" i="48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48"/>
  <c r="E114" i="48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48"/>
  <c r="C146" i="48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M150" i="34"/>
  <c r="C166" i="48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97" i="48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89" i="48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E181" i="48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48"/>
  <c r="C173" i="48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65" i="48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57" i="48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E149" i="48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48"/>
  <c r="C71" i="48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53" i="6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163" i="48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92" i="48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E57" i="6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1"/>
  <c r="E130" i="48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48"/>
  <c r="M159" i="34"/>
  <c r="M167" i="34"/>
  <c r="C200" i="48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E134" i="48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48"/>
  <c r="E110" i="48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48"/>
  <c r="C92" i="48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E59" i="6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1"/>
  <c r="M62" i="34"/>
  <c r="M65" i="34"/>
  <c r="C154" i="48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33" i="48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E109" i="48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48"/>
  <c r="E56" i="6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1"/>
  <c r="C90" i="48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123" i="48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E128" i="48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48"/>
  <c r="E138" i="48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48"/>
  <c r="C170" i="48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204" i="48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E196" i="48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48"/>
  <c r="E188" i="48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48"/>
  <c r="C180" i="48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72" i="48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E164" i="48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48"/>
  <c r="E156" i="48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48"/>
  <c r="C96" i="48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78" i="48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E61" i="6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1"/>
  <c r="E52" i="6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1"/>
  <c r="K213" i="64"/>
  <c r="M35" i="8"/>
  <c r="K213" i="63"/>
  <c r="K215" i="63" s="1"/>
  <c r="M34" i="8"/>
  <c r="K213" i="62"/>
  <c r="K216" i="62" s="1"/>
  <c r="M33" i="8"/>
  <c r="K213" i="61"/>
  <c r="K216" i="61" s="1"/>
  <c r="M32" i="8"/>
  <c r="K213" i="60"/>
  <c r="K216" i="60" s="1"/>
  <c r="M31" i="8"/>
  <c r="K213" i="59"/>
  <c r="K215" i="59" s="1"/>
  <c r="K218" i="59" s="1"/>
  <c r="M30" i="8"/>
  <c r="K213" i="58"/>
  <c r="K216" i="58" s="1"/>
  <c r="M29" i="8"/>
  <c r="K213" i="57"/>
  <c r="K216" i="57" s="1"/>
  <c r="M28" i="8"/>
  <c r="K213" i="56"/>
  <c r="K216" i="56" s="1"/>
  <c r="M27" i="8"/>
  <c r="K215" i="55"/>
  <c r="K218" i="55" s="1"/>
  <c r="M26" i="8"/>
  <c r="K213" i="54"/>
  <c r="K215" i="54" s="1"/>
  <c r="K218" i="54" s="1"/>
  <c r="M25" i="8"/>
  <c r="K213" i="53"/>
  <c r="K216" i="53" s="1"/>
  <c r="M24" i="8"/>
  <c r="K213" i="52"/>
  <c r="K215" i="52" s="1"/>
  <c r="K218" i="52" s="1"/>
  <c r="M23" i="8"/>
  <c r="K213" i="51"/>
  <c r="K216" i="51" s="1"/>
  <c r="M22" i="8"/>
  <c r="K213" i="50"/>
  <c r="K215" i="50" s="1"/>
  <c r="K218" i="50" s="1"/>
  <c r="M21" i="8"/>
  <c r="K213" i="49"/>
  <c r="K216" i="49" s="1"/>
  <c r="M20" i="8"/>
  <c r="K213" i="48"/>
  <c r="K216" i="48" s="1"/>
  <c r="M19" i="8"/>
  <c r="K213" i="47"/>
  <c r="K215" i="47" s="1"/>
  <c r="K218" i="47" s="1"/>
  <c r="M18" i="8"/>
  <c r="K213" i="46"/>
  <c r="K216" i="46" s="1"/>
  <c r="M17" i="8"/>
  <c r="K213" i="45"/>
  <c r="K216" i="45" s="1"/>
  <c r="M16" i="8"/>
  <c r="K213" i="44"/>
  <c r="K216" i="44" s="1"/>
  <c r="M15" i="8"/>
  <c r="K213" i="43"/>
  <c r="K216" i="43" s="1"/>
  <c r="M14" i="8"/>
  <c r="K213" i="42"/>
  <c r="K215" i="42" s="1"/>
  <c r="K218" i="42" s="1"/>
  <c r="M13" i="8"/>
  <c r="K213" i="41"/>
  <c r="K215" i="41" s="1"/>
  <c r="K218" i="41" s="1"/>
  <c r="M12" i="8"/>
  <c r="K213" i="40"/>
  <c r="K215" i="40" s="1"/>
  <c r="K218" i="40" s="1"/>
  <c r="M11" i="8"/>
  <c r="K213" i="39"/>
  <c r="K215" i="39" s="1"/>
  <c r="K218" i="39" s="1"/>
  <c r="M10" i="8"/>
  <c r="K213" i="38"/>
  <c r="K216" i="38" s="1"/>
  <c r="M9" i="8"/>
  <c r="K213" i="37"/>
  <c r="K216" i="37" s="1"/>
  <c r="M8" i="8"/>
  <c r="K213" i="36"/>
  <c r="K215" i="36" s="1"/>
  <c r="K218" i="36" s="1"/>
  <c r="M7" i="8"/>
  <c r="K215" i="35"/>
  <c r="K218" i="35" s="1"/>
  <c r="M6" i="8"/>
  <c r="M125" i="34"/>
  <c r="J125" i="8"/>
  <c r="M170" i="34"/>
  <c r="J170" i="8"/>
  <c r="M180" i="34"/>
  <c r="J180" i="8"/>
  <c r="M26" i="34"/>
  <c r="J26" i="8"/>
  <c r="M118" i="34"/>
  <c r="J118" i="8"/>
  <c r="M121" i="34"/>
  <c r="J121" i="8"/>
  <c r="M126" i="34"/>
  <c r="J126" i="8"/>
  <c r="M130" i="34"/>
  <c r="J130" i="8"/>
  <c r="M139" i="34"/>
  <c r="J139" i="8"/>
  <c r="M147" i="34"/>
  <c r="J147" i="8"/>
  <c r="M151" i="34"/>
  <c r="J151" i="8"/>
  <c r="M155" i="34"/>
  <c r="J155" i="8"/>
  <c r="M163" i="34"/>
  <c r="J163" i="8"/>
  <c r="M176" i="34"/>
  <c r="J176" i="8"/>
  <c r="M181" i="34"/>
  <c r="J181" i="8"/>
  <c r="M184" i="34"/>
  <c r="J184" i="8"/>
  <c r="M188" i="34"/>
  <c r="J188" i="8"/>
  <c r="M192" i="34"/>
  <c r="M196" i="34"/>
  <c r="M200" i="34"/>
  <c r="M95" i="34"/>
  <c r="J95" i="8"/>
  <c r="M110" i="34"/>
  <c r="J110" i="8"/>
  <c r="M135" i="34"/>
  <c r="M140" i="34"/>
  <c r="J140" i="8"/>
  <c r="M156" i="34"/>
  <c r="J156" i="8"/>
  <c r="M171" i="34"/>
  <c r="J171" i="8"/>
  <c r="M189" i="34"/>
  <c r="J189" i="8"/>
  <c r="M197" i="34"/>
  <c r="J197" i="8"/>
  <c r="M67" i="34"/>
  <c r="M28" i="34"/>
  <c r="J28" i="8"/>
  <c r="M7" i="34"/>
  <c r="J7" i="8"/>
  <c r="M9" i="34"/>
  <c r="J9" i="8"/>
  <c r="M48" i="34"/>
  <c r="M53" i="34"/>
  <c r="J53" i="8"/>
  <c r="M87" i="34"/>
  <c r="J87" i="8"/>
  <c r="M164" i="34"/>
  <c r="M172" i="34"/>
  <c r="J172" i="8"/>
  <c r="M177" i="34"/>
  <c r="J177" i="8"/>
  <c r="M201" i="34"/>
  <c r="J201" i="8"/>
  <c r="M16" i="34"/>
  <c r="J16" i="8"/>
  <c r="M20" i="34"/>
  <c r="J20" i="8"/>
  <c r="M22" i="34"/>
  <c r="J22" i="8"/>
  <c r="M24" i="34"/>
  <c r="J24" i="8"/>
  <c r="M103" i="34"/>
  <c r="J103" i="8"/>
  <c r="M56" i="34"/>
  <c r="M13" i="34"/>
  <c r="J13" i="8"/>
  <c r="M58" i="34"/>
  <c r="J58" i="8"/>
  <c r="M92" i="34"/>
  <c r="J92" i="8"/>
  <c r="M102" i="34"/>
  <c r="J102" i="8"/>
  <c r="M152" i="34"/>
  <c r="M185" i="34"/>
  <c r="J185" i="8"/>
  <c r="M193" i="34"/>
  <c r="J193" i="8"/>
  <c r="M11" i="34"/>
  <c r="J11" i="8"/>
  <c r="M15" i="34"/>
  <c r="J15" i="8"/>
  <c r="M17" i="34"/>
  <c r="J17" i="8"/>
  <c r="M35" i="34"/>
  <c r="J35" i="8"/>
  <c r="M41" i="34"/>
  <c r="J41" i="8"/>
  <c r="M45" i="34"/>
  <c r="J45" i="8"/>
  <c r="M55" i="34"/>
  <c r="J55" i="8"/>
  <c r="M66" i="34"/>
  <c r="J66" i="8"/>
  <c r="M71" i="34"/>
  <c r="J71" i="8"/>
  <c r="M74" i="34"/>
  <c r="J74" i="8"/>
  <c r="M79" i="34"/>
  <c r="J79" i="8"/>
  <c r="M84" i="34"/>
  <c r="J84" i="8"/>
  <c r="M89" i="34"/>
  <c r="J89" i="8"/>
  <c r="M94" i="34"/>
  <c r="J94" i="8"/>
  <c r="M99" i="34"/>
  <c r="J99" i="8"/>
  <c r="M106" i="34"/>
  <c r="J106" i="8"/>
  <c r="M111" i="34"/>
  <c r="J111" i="8"/>
  <c r="M115" i="34"/>
  <c r="J115" i="8"/>
  <c r="M119" i="34"/>
  <c r="M132" i="34"/>
  <c r="J132" i="8"/>
  <c r="M148" i="34"/>
  <c r="M157" i="34"/>
  <c r="J157" i="8"/>
  <c r="M165" i="34"/>
  <c r="J165" i="8"/>
  <c r="M168" i="34"/>
  <c r="J168" i="8"/>
  <c r="M173" i="34"/>
  <c r="J173" i="8"/>
  <c r="M182" i="34"/>
  <c r="M190" i="34"/>
  <c r="M198" i="34"/>
  <c r="M18" i="34"/>
  <c r="J18" i="8"/>
  <c r="M75" i="34"/>
  <c r="J75" i="8"/>
  <c r="M88" i="34"/>
  <c r="J88" i="8"/>
  <c r="M143" i="34"/>
  <c r="J143" i="8"/>
  <c r="M42" i="34"/>
  <c r="J42" i="8"/>
  <c r="M90" i="34"/>
  <c r="J90" i="8"/>
  <c r="M100" i="34"/>
  <c r="J100" i="8"/>
  <c r="M105" i="34"/>
  <c r="J105" i="8"/>
  <c r="M114" i="34"/>
  <c r="J114" i="8"/>
  <c r="M37" i="34"/>
  <c r="J37" i="8"/>
  <c r="M39" i="34"/>
  <c r="J39" i="8"/>
  <c r="M97" i="34"/>
  <c r="J97" i="8"/>
  <c r="M122" i="34"/>
  <c r="J122" i="8"/>
  <c r="M127" i="34"/>
  <c r="J127" i="8"/>
  <c r="M131" i="34"/>
  <c r="J131" i="8"/>
  <c r="M136" i="34"/>
  <c r="J136" i="8"/>
  <c r="M141" i="34"/>
  <c r="J141" i="8"/>
  <c r="M144" i="34"/>
  <c r="M160" i="34"/>
  <c r="M21" i="34"/>
  <c r="J21" i="8"/>
  <c r="M19" i="34"/>
  <c r="J19" i="8"/>
  <c r="M23" i="34"/>
  <c r="J23" i="8"/>
  <c r="M25" i="34"/>
  <c r="J25" i="8"/>
  <c r="M43" i="34"/>
  <c r="J43" i="8"/>
  <c r="M47" i="34"/>
  <c r="J47" i="8"/>
  <c r="M50" i="34"/>
  <c r="J50" i="8"/>
  <c r="M60" i="34"/>
  <c r="J60" i="8"/>
  <c r="M63" i="34"/>
  <c r="J63" i="8"/>
  <c r="M76" i="34"/>
  <c r="J76" i="8"/>
  <c r="M81" i="34"/>
  <c r="J81" i="8"/>
  <c r="M86" i="34"/>
  <c r="J86" i="8"/>
  <c r="M123" i="34"/>
  <c r="J123" i="8"/>
  <c r="M128" i="34"/>
  <c r="J128" i="8"/>
  <c r="M133" i="34"/>
  <c r="J133" i="8"/>
  <c r="M137" i="34"/>
  <c r="J137" i="8"/>
  <c r="M145" i="34"/>
  <c r="J145" i="8"/>
  <c r="M149" i="34"/>
  <c r="J149" i="8"/>
  <c r="M153" i="34"/>
  <c r="J153" i="8"/>
  <c r="M158" i="34"/>
  <c r="J158" i="8"/>
  <c r="M161" i="34"/>
  <c r="J161" i="8"/>
  <c r="M174" i="34"/>
  <c r="J174" i="8"/>
  <c r="M178" i="34"/>
  <c r="J178" i="8"/>
  <c r="M186" i="34"/>
  <c r="J186" i="8"/>
  <c r="M194" i="34"/>
  <c r="J194" i="8"/>
  <c r="M202" i="34"/>
  <c r="J202" i="8"/>
  <c r="M31" i="34"/>
  <c r="J31" i="8"/>
  <c r="M98" i="34"/>
  <c r="J98" i="8"/>
  <c r="M80" i="34"/>
  <c r="J80" i="8"/>
  <c r="M85" i="34"/>
  <c r="M61" i="34"/>
  <c r="M69" i="34"/>
  <c r="J69" i="8"/>
  <c r="M72" i="34"/>
  <c r="M77" i="34"/>
  <c r="J77" i="8"/>
  <c r="M82" i="34"/>
  <c r="J82" i="8"/>
  <c r="M30" i="34"/>
  <c r="M33" i="34"/>
  <c r="M6" i="34"/>
  <c r="J6" i="8"/>
  <c r="K207" i="34"/>
  <c r="M5" i="8" s="1"/>
  <c r="M27" i="34"/>
  <c r="J27" i="8"/>
  <c r="M29" i="34"/>
  <c r="J29" i="8"/>
  <c r="M38" i="34"/>
  <c r="J38" i="8"/>
  <c r="M54" i="34"/>
  <c r="J54" i="8"/>
  <c r="M57" i="34"/>
  <c r="J57" i="8"/>
  <c r="M68" i="34"/>
  <c r="J68" i="8"/>
  <c r="M70" i="34"/>
  <c r="J70" i="8"/>
  <c r="M101" i="34"/>
  <c r="J101" i="8"/>
  <c r="M104" i="34"/>
  <c r="J104" i="8"/>
  <c r="M107" i="34"/>
  <c r="J107" i="8"/>
  <c r="M169" i="34"/>
  <c r="J169" i="8"/>
  <c r="M191" i="34"/>
  <c r="J191" i="8"/>
  <c r="M34" i="34"/>
  <c r="J34" i="8"/>
  <c r="M40" i="34"/>
  <c r="J40" i="8"/>
  <c r="M44" i="34"/>
  <c r="J44" i="8"/>
  <c r="M113" i="34"/>
  <c r="J113" i="8"/>
  <c r="M51" i="34"/>
  <c r="J51" i="8"/>
  <c r="M109" i="34"/>
  <c r="J109" i="8"/>
  <c r="M64" i="34"/>
  <c r="J64" i="8"/>
  <c r="M8" i="34"/>
  <c r="J8" i="8"/>
  <c r="M10" i="34"/>
  <c r="J10" i="8"/>
  <c r="M12" i="34"/>
  <c r="J12" i="8"/>
  <c r="M14" i="34"/>
  <c r="J14" i="8"/>
  <c r="M36" i="34"/>
  <c r="J36" i="8"/>
  <c r="M46" i="34"/>
  <c r="J46" i="8"/>
  <c r="M52" i="34"/>
  <c r="J52" i="8"/>
  <c r="M83" i="34"/>
  <c r="J83" i="8"/>
  <c r="M96" i="34"/>
  <c r="M117" i="34"/>
  <c r="J117" i="8"/>
  <c r="M120" i="34"/>
  <c r="M124" i="34"/>
  <c r="J124" i="8"/>
  <c r="M129" i="34"/>
  <c r="J129" i="8"/>
  <c r="M134" i="34"/>
  <c r="M138" i="34"/>
  <c r="J138" i="8"/>
  <c r="M146" i="34"/>
  <c r="J146" i="8"/>
  <c r="M154" i="34"/>
  <c r="J154" i="8"/>
  <c r="M162" i="34"/>
  <c r="J162" i="8"/>
  <c r="M179" i="34"/>
  <c r="J179" i="8"/>
  <c r="M187" i="34"/>
  <c r="J187" i="8"/>
  <c r="M195" i="34"/>
  <c r="J195" i="8"/>
  <c r="M203" i="34"/>
  <c r="J203" i="8"/>
  <c r="K216" i="64"/>
  <c r="K215" i="64"/>
  <c r="K216" i="63"/>
  <c r="K215" i="62"/>
  <c r="K218" i="62" s="1"/>
  <c r="K216" i="52"/>
  <c r="K216" i="40"/>
  <c r="X107" i="34"/>
  <c r="J206" i="34" s="1"/>
  <c r="J206" i="8" s="1"/>
  <c r="M5" i="34"/>
  <c r="E83" i="61" l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1"/>
  <c r="C183" i="6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87" i="6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159" i="6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E197" i="6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1"/>
  <c r="C116" i="6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94" i="6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17" i="6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E68" i="6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1"/>
  <c r="C139" i="6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11" i="6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9" i="6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E161" i="6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1"/>
  <c r="C78" i="6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157" i="6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89" i="6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E167" i="6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1"/>
  <c r="C172" i="6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92" i="6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81" i="6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E180" i="6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1"/>
  <c r="C166" i="6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32" i="6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26" i="6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E148" i="6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1"/>
  <c r="C124" i="6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7" i="6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73" i="6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E120" i="6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1"/>
  <c r="C96" i="6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154" i="6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65" i="6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E146" i="6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1"/>
  <c r="C125" i="6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2" i="6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01" i="6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E93" i="6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1"/>
  <c r="C112" i="6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44" i="6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74" i="6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E105" i="6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1"/>
  <c r="C169" i="6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73" i="6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95" i="6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E118" i="6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1"/>
  <c r="C129" i="6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33" i="6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6" i="6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E90" i="6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1"/>
  <c r="C200" i="6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163" i="6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86" i="6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E98" i="6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1"/>
  <c r="C168" i="6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202" i="6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147" i="6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E142" i="6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1"/>
  <c r="C66" i="6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145" i="6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80" i="6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E65" i="6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1"/>
  <c r="C123" i="6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99" i="6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204" i="6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E158" i="6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1"/>
  <c r="C187" i="6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94" i="6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155" i="6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E75" i="6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1"/>
  <c r="C179" i="6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201" i="6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175" i="6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31" i="6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1"/>
  <c r="C185" i="6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92" i="6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8" i="6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E170" i="6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1"/>
  <c r="C71" i="6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189" i="6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74" i="6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E79" i="6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1"/>
  <c r="C103" i="6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13" i="6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51" i="6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E143" i="6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1"/>
  <c r="C156" i="6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88" i="6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10" i="6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E114" i="6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1"/>
  <c r="C77" i="6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140" i="6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82" i="6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E91" i="6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1"/>
  <c r="C84" i="6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121" i="6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70" i="6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E191" i="6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1"/>
  <c r="C106" i="6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85" i="6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171" i="6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E138" i="6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1"/>
  <c r="C130" i="6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52" i="6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00" i="6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E141" i="6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1"/>
  <c r="C164" i="6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09" i="6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88" i="6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E153" i="6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1"/>
  <c r="C82" i="6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69" i="48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97" i="6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E107" i="6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1"/>
  <c r="C162" i="6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77" i="6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95" i="6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E128" i="6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1"/>
  <c r="C134" i="6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50" i="6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72" i="6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E149" i="6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1"/>
  <c r="C181" i="6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93" i="6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35" i="6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E76" i="6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1"/>
  <c r="C186" i="6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99" i="6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160" i="6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E196" i="6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1"/>
  <c r="C184" i="6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90" i="6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E203" i="6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1"/>
  <c r="C115" i="6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04" i="6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37" i="6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E108" i="6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1"/>
  <c r="C102" i="6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K215" i="60"/>
  <c r="K218" i="60" s="1"/>
  <c r="K216" i="59"/>
  <c r="K215" i="58"/>
  <c r="K218" i="58" s="1"/>
  <c r="K215" i="57"/>
  <c r="K218" i="57" s="1"/>
  <c r="K215" i="56"/>
  <c r="K218" i="56" s="1"/>
  <c r="K216" i="55"/>
  <c r="K216" i="54"/>
  <c r="K216" i="50"/>
  <c r="K215" i="49"/>
  <c r="K218" i="49" s="1"/>
  <c r="K216" i="47"/>
  <c r="K215" i="46"/>
  <c r="K218" i="46" s="1"/>
  <c r="K215" i="45"/>
  <c r="K218" i="45" s="1"/>
  <c r="K215" i="44"/>
  <c r="K218" i="44" s="1"/>
  <c r="K215" i="43"/>
  <c r="K218" i="43" s="1"/>
  <c r="K216" i="42"/>
  <c r="K216" i="41"/>
  <c r="K216" i="39"/>
  <c r="K216" i="36"/>
  <c r="K216" i="35"/>
  <c r="K213" i="34"/>
  <c r="K215" i="34" s="1"/>
  <c r="K218" i="34" s="1"/>
  <c r="K215" i="61"/>
  <c r="K218" i="61" s="1"/>
  <c r="K215" i="53"/>
  <c r="K218" i="53" s="1"/>
  <c r="K215" i="51"/>
  <c r="K218" i="51" s="1"/>
  <c r="K215" i="48"/>
  <c r="K218" i="48" s="1"/>
  <c r="K215" i="38"/>
  <c r="K218" i="38" s="1"/>
  <c r="K215" i="37"/>
  <c r="K218" i="37" s="1"/>
  <c r="N204" i="34"/>
  <c r="C69" i="61" l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7" i="6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K216" i="34"/>
  <c r="S5" i="8"/>
  <c r="C205" i="8" l="1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S35" i="8" l="1"/>
  <c r="U35" i="8" s="1"/>
  <c r="S12" i="8" l="1"/>
  <c r="S15" i="8"/>
  <c r="U15" i="8" s="1"/>
  <c r="S13" i="8"/>
  <c r="S11" i="8"/>
  <c r="S16" i="8"/>
  <c r="S19" i="8"/>
  <c r="S17" i="8"/>
  <c r="U17" i="8" s="1"/>
  <c r="S18" i="8"/>
  <c r="T36" i="8"/>
  <c r="P36" i="8"/>
  <c r="O36" i="8"/>
  <c r="E29" i="8"/>
  <c r="E93" i="8"/>
  <c r="E99" i="8"/>
  <c r="E130" i="8"/>
  <c r="E162" i="8"/>
  <c r="E171" i="8"/>
  <c r="E195" i="8"/>
  <c r="E205" i="8"/>
  <c r="E206" i="8"/>
  <c r="E208" i="8"/>
  <c r="E210" i="8"/>
  <c r="E211" i="8"/>
  <c r="E213" i="8"/>
  <c r="E214" i="8"/>
  <c r="E216" i="8"/>
  <c r="E218" i="8"/>
  <c r="E219" i="8"/>
  <c r="E221" i="8"/>
  <c r="E222" i="8"/>
  <c r="E223" i="8"/>
  <c r="E224" i="8"/>
  <c r="E217" i="8"/>
  <c r="E215" i="8"/>
  <c r="E209" i="8"/>
  <c r="E207" i="8"/>
  <c r="S34" i="8"/>
  <c r="S33" i="8"/>
  <c r="S32" i="8"/>
  <c r="S31" i="8"/>
  <c r="U31" i="8" s="1"/>
  <c r="S30" i="8"/>
  <c r="S29" i="8"/>
  <c r="S28" i="8"/>
  <c r="S27" i="8"/>
  <c r="S26" i="8"/>
  <c r="S25" i="8"/>
  <c r="U25" i="8" s="1"/>
  <c r="S24" i="8"/>
  <c r="S23" i="8"/>
  <c r="U23" i="8" s="1"/>
  <c r="S22" i="8"/>
  <c r="S21" i="8"/>
  <c r="S20" i="8"/>
  <c r="S14" i="8"/>
  <c r="R36" i="8"/>
  <c r="E20" i="8"/>
  <c r="E49" i="8"/>
  <c r="E61" i="8"/>
  <c r="E73" i="8"/>
  <c r="E83" i="8"/>
  <c r="E122" i="8"/>
  <c r="E129" i="8"/>
  <c r="E133" i="8"/>
  <c r="E169" i="8"/>
  <c r="E177" i="8"/>
  <c r="E185" i="8"/>
  <c r="Q36" i="8"/>
  <c r="E194" i="8"/>
  <c r="E193" i="8"/>
  <c r="E192" i="8"/>
  <c r="E178" i="8"/>
  <c r="E160" i="8"/>
  <c r="E151" i="8"/>
  <c r="E146" i="8"/>
  <c r="E145" i="8"/>
  <c r="E136" i="8"/>
  <c r="E127" i="8"/>
  <c r="E112" i="8"/>
  <c r="E111" i="8"/>
  <c r="E96" i="8"/>
  <c r="E90" i="8"/>
  <c r="E82" i="8"/>
  <c r="E81" i="8"/>
  <c r="E79" i="8"/>
  <c r="E74" i="8"/>
  <c r="E58" i="8"/>
  <c r="E56" i="8"/>
  <c r="E48" i="8"/>
  <c r="E47" i="8"/>
  <c r="E40" i="8"/>
  <c r="E32" i="8"/>
  <c r="E26" i="8"/>
  <c r="E24" i="8"/>
  <c r="E23" i="8"/>
  <c r="E17" i="8"/>
  <c r="E15" i="8"/>
  <c r="U33" i="8" l="1"/>
  <c r="E98" i="8"/>
  <c r="E62" i="8"/>
  <c r="E43" i="8"/>
  <c r="E54" i="8"/>
  <c r="E100" i="8"/>
  <c r="E157" i="8"/>
  <c r="E101" i="8"/>
  <c r="E19" i="8"/>
  <c r="E201" i="8"/>
  <c r="E135" i="8"/>
  <c r="E139" i="8"/>
  <c r="E187" i="8"/>
  <c r="E198" i="8"/>
  <c r="E63" i="8"/>
  <c r="E109" i="8"/>
  <c r="E113" i="8"/>
  <c r="E9" i="8"/>
  <c r="E51" i="8"/>
  <c r="E13" i="8"/>
  <c r="E18" i="8"/>
  <c r="E34" i="8"/>
  <c r="E69" i="8"/>
  <c r="E106" i="8"/>
  <c r="E147" i="8"/>
  <c r="E66" i="8"/>
  <c r="E85" i="8"/>
  <c r="E143" i="8"/>
  <c r="E154" i="8"/>
  <c r="E176" i="8"/>
  <c r="E183" i="8"/>
  <c r="E202" i="8"/>
  <c r="E174" i="8"/>
  <c r="E103" i="8"/>
  <c r="E107" i="8"/>
  <c r="E89" i="8"/>
  <c r="E68" i="8"/>
  <c r="E203" i="8"/>
  <c r="E149" i="8"/>
  <c r="E86" i="8"/>
  <c r="E12" i="8"/>
  <c r="E53" i="8"/>
  <c r="E94" i="8"/>
  <c r="E50" i="8"/>
  <c r="E115" i="8"/>
  <c r="E28" i="8"/>
  <c r="E33" i="8"/>
  <c r="E38" i="8"/>
  <c r="E65" i="8"/>
  <c r="E70" i="8"/>
  <c r="E141" i="8"/>
  <c r="E6" i="8"/>
  <c r="E30" i="8"/>
  <c r="E45" i="8"/>
  <c r="E55" i="8"/>
  <c r="E57" i="8"/>
  <c r="E105" i="8"/>
  <c r="E131" i="8"/>
  <c r="E125" i="8"/>
  <c r="E25" i="8"/>
  <c r="E21" i="8"/>
  <c r="E27" i="8"/>
  <c r="E104" i="8"/>
  <c r="E117" i="8"/>
  <c r="E165" i="8"/>
  <c r="E137" i="8"/>
  <c r="E10" i="8"/>
  <c r="E71" i="8"/>
  <c r="E110" i="8"/>
  <c r="E75" i="8"/>
  <c r="E37" i="8"/>
  <c r="E11" i="8"/>
  <c r="E78" i="8"/>
  <c r="E181" i="8"/>
  <c r="E8" i="8"/>
  <c r="E88" i="8"/>
  <c r="E95" i="8"/>
  <c r="E97" i="8"/>
  <c r="E142" i="8"/>
  <c r="E153" i="8"/>
  <c r="E175" i="8"/>
  <c r="E179" i="8"/>
  <c r="E186" i="8"/>
  <c r="E197" i="8"/>
  <c r="E22" i="8"/>
  <c r="E121" i="8"/>
  <c r="E173" i="8"/>
  <c r="E46" i="8"/>
  <c r="E189" i="8"/>
  <c r="E150" i="8"/>
  <c r="E5" i="8"/>
  <c r="E16" i="8"/>
  <c r="E42" i="8"/>
  <c r="E59" i="8"/>
  <c r="E67" i="8"/>
  <c r="E120" i="8"/>
  <c r="E128" i="8"/>
  <c r="E132" i="8"/>
  <c r="E161" i="8"/>
  <c r="E168" i="8"/>
  <c r="E163" i="8"/>
  <c r="E126" i="8"/>
  <c r="E102" i="8"/>
  <c r="E35" i="8"/>
  <c r="E191" i="8"/>
  <c r="E155" i="8"/>
  <c r="E123" i="8"/>
  <c r="E91" i="8"/>
  <c r="E80" i="8"/>
  <c r="E199" i="8"/>
  <c r="E182" i="8"/>
  <c r="E158" i="8"/>
  <c r="E64" i="8"/>
  <c r="E72" i="8"/>
  <c r="E159" i="8"/>
  <c r="E170" i="8"/>
  <c r="E87" i="8"/>
  <c r="E144" i="8"/>
  <c r="E184" i="8"/>
  <c r="E84" i="8"/>
  <c r="E7" i="8"/>
  <c r="E152" i="8"/>
  <c r="E200" i="8"/>
  <c r="E166" i="8"/>
  <c r="E118" i="8"/>
  <c r="E114" i="8"/>
  <c r="E172" i="8"/>
  <c r="E134" i="8"/>
  <c r="E31" i="8"/>
  <c r="E39" i="8"/>
  <c r="E119" i="8"/>
  <c r="E138" i="8"/>
  <c r="E167" i="8"/>
  <c r="E204" i="8"/>
  <c r="E190" i="8"/>
  <c r="E41" i="8"/>
  <c r="E77" i="8"/>
  <c r="K228" i="8"/>
  <c r="J229" i="8"/>
  <c r="F228" i="8"/>
  <c r="J233" i="8"/>
  <c r="F230" i="8"/>
  <c r="E212" i="8"/>
  <c r="E196" i="8"/>
  <c r="E188" i="8"/>
  <c r="E180" i="8"/>
  <c r="E164" i="8"/>
  <c r="E156" i="8"/>
  <c r="E148" i="8"/>
  <c r="E140" i="8"/>
  <c r="E124" i="8"/>
  <c r="E116" i="8"/>
  <c r="E108" i="8"/>
  <c r="E92" i="8"/>
  <c r="E76" i="8"/>
  <c r="E60" i="8"/>
  <c r="E52" i="8"/>
  <c r="E44" i="8"/>
  <c r="E36" i="8"/>
  <c r="E14" i="8"/>
  <c r="E22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S10" i="8" l="1"/>
  <c r="U10" i="8" s="1"/>
  <c r="S9" i="8"/>
  <c r="U9" i="8" s="1"/>
  <c r="J227" i="8"/>
  <c r="S7" i="8"/>
  <c r="U7" i="8" s="1"/>
  <c r="S8" i="8"/>
  <c r="U8" i="8" s="1"/>
  <c r="S6" i="8"/>
  <c r="U6" i="8" s="1"/>
  <c r="K230" i="8"/>
  <c r="D229" i="8" s="1"/>
  <c r="B230" i="8" s="1"/>
  <c r="F231" i="8"/>
  <c r="J230" i="8" l="1"/>
  <c r="D228" i="8"/>
  <c r="D231" i="8" s="1"/>
  <c r="D233" i="8" s="1"/>
  <c r="M36" i="8"/>
  <c r="J231" i="8"/>
  <c r="B228" i="8" l="1"/>
  <c r="B231" i="8" s="1"/>
  <c r="J232" i="8"/>
  <c r="S36" i="8"/>
  <c r="J235" i="8"/>
  <c r="U5" i="8" l="1"/>
  <c r="U3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4C2C67DB-FB33-4CAF-B923-8A3FE90E45D5}">
      <text>
        <r>
          <rPr>
            <b/>
            <sz val="9"/>
            <color indexed="81"/>
            <rFont val="Tahoma"/>
            <family val="2"/>
          </rPr>
          <t>กล่องเป็นรูมดขึ้น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7" authorId="0" shapeId="0" xr:uid="{6B327D04-0EA9-4845-A9E2-EDCED879FEB0}">
      <text>
        <r>
          <rPr>
            <b/>
            <sz val="9"/>
            <color indexed="81"/>
            <rFont val="Tahoma"/>
            <family val="2"/>
          </rPr>
          <t>บูธลงสลับกันในใบสต๊อก</t>
        </r>
      </text>
    </comment>
    <comment ref="C13" authorId="0" shapeId="0" xr:uid="{701147DD-4ED5-432E-AC16-0B685A0EA1F3}">
      <text>
        <r>
          <rPr>
            <b/>
            <sz val="9"/>
            <color indexed="81"/>
            <rFont val="Tahoma"/>
            <family val="2"/>
          </rPr>
          <t>บูธลงสลับกันในใบสต๊อก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B5017BE6-038B-40CA-907B-97525829B60B}">
      <text>
        <r>
          <rPr>
            <b/>
            <sz val="9"/>
            <color indexed="81"/>
            <rFont val="Tahoma"/>
            <family val="2"/>
          </rPr>
          <t>ซีนรั่ว</t>
        </r>
      </text>
    </comment>
  </commentList>
</comments>
</file>

<file path=xl/sharedStrings.xml><?xml version="1.0" encoding="utf-8"?>
<sst xmlns="http://schemas.openxmlformats.org/spreadsheetml/2006/main" count="17245" uniqueCount="268">
  <si>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</si>
  <si>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</si>
  <si>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</si>
  <si>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</si>
  <si>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</si>
  <si>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</si>
  <si>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</si>
  <si>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</si>
  <si>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</si>
  <si>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</si>
  <si>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</si>
  <si>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</si>
  <si>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</si>
  <si>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</si>
  <si>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</si>
  <si>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</si>
  <si>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</si>
  <si>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</si>
  <si>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</si>
  <si>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</si>
  <si>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</si>
  <si>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</si>
  <si>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</si>
  <si>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</si>
  <si>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</si>
  <si>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</si>
  <si>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</si>
  <si>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</si>
  <si>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</si>
  <si>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</si>
  <si>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</si>
  <si>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</si>
  <si>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</si>
  <si>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</si>
  <si>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</si>
  <si>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</si>
  <si>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</si>
  <si>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</si>
  <si>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</si>
  <si>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</si>
  <si>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</si>
  <si>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</si>
  <si>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</si>
  <si>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</si>
  <si>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</si>
  <si>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</si>
  <si>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</si>
  <si>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</si>
  <si>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</si>
  <si>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</si>
  <si>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</si>
  <si>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</si>
  <si>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</si>
  <si>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</si>
  <si>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</si>
  <si>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</si>
  <si>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</si>
  <si>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</si>
  <si>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</si>
  <si>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</si>
  <si>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</si>
  <si>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</si>
  <si>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</si>
  <si>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</si>
  <si>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</si>
  <si>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</si>
  <si>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</si>
  <si>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</si>
  <si>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</si>
  <si>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</si>
  <si>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</si>
  <si>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</si>
  <si>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</si>
  <si>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</si>
  <si>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</si>
  <si>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</si>
  <si>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</si>
  <si>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</si>
  <si>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</si>
  <si>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</si>
  <si>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</si>
  <si>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</si>
  <si>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</si>
  <si>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</si>
  <si>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</si>
  <si>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</si>
  <si>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</si>
  <si>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</si>
  <si>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</si>
  <si>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</si>
  <si>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</si>
  <si>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</si>
  <si>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</si>
  <si>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</si>
  <si>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</si>
  <si>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</si>
  <si>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</si>
  <si>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</si>
  <si>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</si>
  <si>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</si>
  <si>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</si>
  <si>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</si>
  <si>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</si>
  <si>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</si>
  <si>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</si>
  <si>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</si>
  <si>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</si>
  <si>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</si>
  <si>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</si>
  <si>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</si>
  <si>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</si>
  <si>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</si>
  <si>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</si>
  <si>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</si>
  <si>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</si>
  <si>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</si>
  <si>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</si>
  <si>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</si>
  <si>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</si>
  <si>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</si>
  <si>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</si>
  <si>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</si>
  <si>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</si>
  <si>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</si>
  <si>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</si>
  <si>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</si>
  <si>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</si>
  <si>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</si>
  <si>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</si>
  <si>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</si>
  <si>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</si>
  <si>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</si>
  <si>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</si>
  <si>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</si>
  <si>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</si>
  <si>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</si>
  <si>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</si>
  <si>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</si>
  <si>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</si>
  <si>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</si>
  <si>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</si>
  <si>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</si>
  <si>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</si>
  <si>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</si>
  <si>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</si>
  <si>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</si>
  <si>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</si>
  <si>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</si>
  <si>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</si>
  <si>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</si>
  <si>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</si>
  <si>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</si>
  <si>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</si>
  <si>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</si>
  <si>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</si>
  <si>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</si>
  <si>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</si>
  <si>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</si>
  <si>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</si>
  <si>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</si>
  <si>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</si>
  <si>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</si>
  <si>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</si>
  <si>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</si>
  <si>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</si>
  <si>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</si>
  <si>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</si>
  <si>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</si>
  <si>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</si>
  <si>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</si>
  <si>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</si>
  <si>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</si>
  <si>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</si>
  <si>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</si>
  <si>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</si>
  <si>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</si>
  <si>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</si>
  <si>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</si>
  <si>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</si>
  <si>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</si>
  <si>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</si>
  <si>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</si>
  <si>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</si>
  <si>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</si>
  <si>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</si>
  <si>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</si>
  <si>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</si>
  <si>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</si>
  <si>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</si>
  <si>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</si>
  <si>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</si>
  <si>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</si>
  <si>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</si>
  <si>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</si>
  <si>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</si>
  <si>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</si>
  <si>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</si>
  <si>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</si>
  <si>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</si>
  <si>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</si>
  <si>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</si>
  <si>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</si>
  <si>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</si>
  <si>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</si>
  <si>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</si>
  <si>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</si>
  <si>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</si>
  <si>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</si>
  <si>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</si>
  <si>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</si>
  <si>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</si>
  <si>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</si>
  <si>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</si>
  <si>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</si>
  <si>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</si>
  <si>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</si>
  <si>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</si>
  <si>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</si>
  <si>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</si>
  <si>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</si>
  <si>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</si>
  <si>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</si>
  <si>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</si>
  <si>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</si>
  <si>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</si>
  <si>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</si>
  <si>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</si>
  <si>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</si>
  <si>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</si>
  <si>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</si>
  <si>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</si>
  <si>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</si>
  <si>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</si>
  <si>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</si>
  <si>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</si>
  <si>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</si>
  <si>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</si>
  <si>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</si>
  <si>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</si>
  <si>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</si>
  <si>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</si>
  <si>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</si>
  <si>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สรุป บูธ แก้วมณีกาญจน์ วันที่ 1-29/02/2567</t>
  </si>
  <si>
    <t>แถม*1</t>
  </si>
  <si>
    <t>บูธ แก้วมณีกาญจน์ วันที่ 1-31/1/2566</t>
  </si>
  <si>
    <t>ลด 50%</t>
  </si>
  <si>
    <t>แถม 1</t>
  </si>
  <si>
    <t>ยอดขายหักส่วนลด</t>
  </si>
  <si>
    <t>ยอดเงินสด</t>
  </si>
  <si>
    <t>ยอดโอน</t>
  </si>
  <si>
    <t>แถม</t>
  </si>
  <si>
    <t>โปร</t>
  </si>
  <si>
    <t>พี่กวางขายผิด ราคาไม่ตรง</t>
  </si>
  <si>
    <t xml:space="preserve">แถม </t>
  </si>
  <si>
    <t>แถม เพิ่มเงิน 5 บาท</t>
  </si>
  <si>
    <t>ลด50%</t>
  </si>
  <si>
    <t>แถม +เงิน5บาท</t>
  </si>
  <si>
    <t>ค่าถ่ายเอกสาร 40</t>
  </si>
  <si>
    <t>แถม1</t>
  </si>
  <si>
    <t>ชิฟฟ่อน สอดไส้ (ล) 3 ชิ้น กาแฟ</t>
  </si>
  <si>
    <t>ลด50%=1</t>
  </si>
  <si>
    <t>แถม2</t>
  </si>
  <si>
    <t>ถ่ายเอกสาร</t>
  </si>
  <si>
    <t>โปรคู่</t>
  </si>
  <si>
    <t>2กล่อง150</t>
  </si>
  <si>
    <t>Sale</t>
  </si>
  <si>
    <t>แถม1 +5 บาท</t>
  </si>
  <si>
    <t>บูธ แก้วมณีกาญจน์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</si>
</sst>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7" xfId="1" applyFont="1" applyFill="1" applyBorder="1"/>
    <xf numFmtId="43" fontId="2" fillId="17" borderId="0" xfId="0" applyNumberFormat="1" applyFont="1" applyFill="1"/>
    <xf numFmtId="43" fontId="2" fillId="10" borderId="0" xfId="0" applyNumberFormat="1" applyFont="1" applyFill="1"/>
    <xf numFmtId="43" fontId="2" fillId="0" borderId="14" xfId="2" applyFont="1" applyBorder="1" applyAlignment="1">
      <alignment horizontal="center"/>
    </xf>
    <xf numFmtId="43" fontId="2" fillId="3" borderId="16" xfId="2" applyFont="1" applyFill="1" applyBorder="1"/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" xfId="2" applyNumberFormat="1" applyFont="1" applyFill="1" applyBorder="1" applyAlignment="1">
      <alignment horizontal="center"/>
    </xf>
    <xf numFmtId="0" fontId="8" fillId="5" borderId="16" xfId="2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0" borderId="17" xfId="2" applyFont="1" applyFill="1" applyBorder="1"/>
    <xf numFmtId="43" fontId="2" fillId="2" borderId="14" xfId="1" applyFont="1" applyFill="1" applyBorder="1" applyAlignment="1">
      <alignment horizontal="center"/>
    </xf>
    <xf numFmtId="0" fontId="2" fillId="2" borderId="15" xfId="0" applyFont="1" applyFill="1" applyBorder="1"/>
    <xf numFmtId="0" fontId="2" fillId="0" borderId="0" xfId="0" applyFont="1" applyAlignment="1">
      <alignment horizontal="right"/>
    </xf>
    <xf numFmtId="43" fontId="2" fillId="18" borderId="14" xfId="1" applyFont="1" applyFill="1" applyBorder="1" applyAlignment="1">
      <alignment horizontal="center"/>
    </xf>
    <xf numFmtId="43" fontId="2" fillId="19" borderId="14" xfId="1" applyFont="1" applyFill="1" applyBorder="1" applyAlignment="1">
      <alignment horizontal="center"/>
    </xf>
    <xf numFmtId="43" fontId="2" fillId="20" borderId="0" xfId="0" applyNumberFormat="1" applyFont="1" applyFill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2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Relationship Id="rId1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37"/>
  <sheetViews>
    <sheetView zoomScale="90" zoomScaleNormal="90" workbookViewId="0">
      <pane xSplit="5" ySplit="4" topLeftCell="F11" activePane="bottomRight" state="frozen"/>
      <selection pane="topRight" activeCell="F1" sqref="F1"/>
      <selection pane="bottomLeft" activeCell="A5" sqref="A5"/>
      <selection pane="bottomRight" activeCell="O13" sqref="B11:O13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28" t="s">
        <v>242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42"/>
      <c r="O2" s="42"/>
      <c r="P2" s="42"/>
      <c r="Q2" s="42"/>
      <c r="R2" s="42"/>
      <c r="S2" s="42"/>
      <c r="T2" s="42"/>
    </row>
    <row r="3" spans="1:22" s="5" customFormat="1">
      <c r="A3" s="129" t="s">
        <v>1</v>
      </c>
      <c r="B3" s="129" t="s">
        <v>2</v>
      </c>
      <c r="C3" s="131" t="s">
        <v>3</v>
      </c>
      <c r="D3" s="131" t="s">
        <v>4</v>
      </c>
      <c r="E3" s="131" t="s">
        <v>5</v>
      </c>
      <c r="F3" s="43" t="s">
        <v>6</v>
      </c>
      <c r="G3" s="131" t="s">
        <v>7</v>
      </c>
      <c r="H3" s="132" t="s">
        <v>8</v>
      </c>
      <c r="I3" s="132"/>
      <c r="J3" s="132"/>
      <c r="K3" s="131" t="s">
        <v>9</v>
      </c>
      <c r="L3" s="115" t="s">
        <v>214</v>
      </c>
      <c r="M3" s="115" t="s">
        <v>215</v>
      </c>
      <c r="N3" s="115" t="s">
        <v>10</v>
      </c>
      <c r="O3" s="115" t="s">
        <v>216</v>
      </c>
      <c r="P3" s="115" t="s">
        <v>217</v>
      </c>
      <c r="Q3" s="113" t="s">
        <v>218</v>
      </c>
      <c r="R3" s="113" t="s">
        <v>219</v>
      </c>
      <c r="S3" s="113" t="s">
        <v>220</v>
      </c>
      <c r="T3" s="115" t="s">
        <v>221</v>
      </c>
      <c r="U3" s="116" t="s">
        <v>222</v>
      </c>
    </row>
    <row r="4" spans="1:22" s="5" customFormat="1">
      <c r="A4" s="130"/>
      <c r="B4" s="130"/>
      <c r="C4" s="131"/>
      <c r="D4" s="131"/>
      <c r="E4" s="131"/>
      <c r="F4" s="43" t="s">
        <v>11</v>
      </c>
      <c r="G4" s="131"/>
      <c r="H4" s="43" t="s">
        <v>12</v>
      </c>
      <c r="I4" s="44" t="s">
        <v>13</v>
      </c>
      <c r="J4" s="43" t="s">
        <v>14</v>
      </c>
      <c r="K4" s="131"/>
      <c r="L4" s="115"/>
      <c r="M4" s="115"/>
      <c r="N4" s="115"/>
      <c r="O4" s="115"/>
      <c r="P4" s="115"/>
      <c r="Q4" s="114"/>
      <c r="R4" s="114"/>
      <c r="S4" s="114"/>
      <c r="T4" s="115"/>
      <c r="U4" s="117"/>
    </row>
    <row r="5" spans="1:22">
      <c r="A5" s="10">
        <v>1</v>
      </c>
      <c r="B5" s="11" t="s">
        <v>15</v>
      </c>
      <c r="C5" s="45">
        <v>0</v>
      </c>
      <c r="D5" s="46">
        <f>+'1'!D5+'2'!D5+'3'!D5+'4'!D5+'5'!D5+'6'!D5+'7'!D5+'8'!D5+'9'!D5+'10'!D5+'11'!D5+'12'!D5+'13'!D5+'14'!D5+'15'!D5+'16'!D5+'17'!D5+'18'!D5+'19'!D5+'20'!D5+'21'!D5+'22'!D5+'23'!D5+'24'!D5+'25'!D5+'26'!D5+'27'!D5+'28'!D5+'29'!D5+'30'!D5+'31'!D5</f>
        <v>14</v>
      </c>
      <c r="E5" s="45">
        <f>+C5+D5</f>
        <v>14</v>
      </c>
      <c r="F5" s="46">
        <f>+'1'!F5+'2'!F5+'3'!F5+'4'!F5+'5'!F5+'6'!F5+'7'!F5+'8'!F5+'9'!F5+'10'!F5+'11'!F5+'12'!F5+'13'!F5+'14'!F5+'15'!F5+'16'!F5+'17'!F5+'18'!F5+'19'!F5+'20'!F5+'21'!F5+'22'!F5+'23'!F5+'24'!F5+'25'!F5+'26'!F5+'27'!F5+'28'!F5+'29'!F5+'30'!F5+'31'!F5</f>
        <v>2</v>
      </c>
      <c r="G5" s="45">
        <v>0</v>
      </c>
      <c r="H5" s="46">
        <f>+'1'!H5+'2'!H5+'3'!H5+'4'!H5+'5'!H5+'6'!H5+'7'!H5+'8'!H5+'9'!H5+'10'!H5+'11'!H5+'12'!H5+'13'!H5+'14'!H5+'15'!H5+'16'!H5+'17'!H5+'18'!H5+'19'!H5+'20'!H5+'21'!H5+'22'!H5+'23'!H5+'24'!H5+'25'!H5+'26'!H5+'27'!H5+'28'!H5+'29'!H5+'30'!H5+'31'!H5</f>
        <v>18</v>
      </c>
      <c r="I5" s="15">
        <v>50</v>
      </c>
      <c r="J5" s="46">
        <f>+'1'!J5+'2'!J5+'3'!J5+'4'!J5+'5'!J5+'6'!J5+'7'!J5+'8'!J5+'9'!J5+'10'!J5+'11'!J5+'12'!J5+'13'!J5+'14'!J5+'15'!J5+'16'!J5+'17'!J5+'18'!J5+'19'!J5+'20'!J5+'21'!J5+'22'!J5+'23'!J5+'24'!J5+'25'!J5+'26'!J5+'27'!J5+'28'!J5+'29'!J5+'30'!J5+'31'!J5</f>
        <v>900</v>
      </c>
      <c r="K5" s="15"/>
      <c r="L5" s="47">
        <v>1</v>
      </c>
      <c r="M5" s="48">
        <f>+'1'!K207</f>
        <v>1335</v>
      </c>
      <c r="N5" s="48">
        <f>+'1'!K212</f>
        <v>232</v>
      </c>
      <c r="O5" s="48">
        <f>+'1'!K210</f>
        <v>0</v>
      </c>
      <c r="P5" s="48">
        <f>+'1'!K208</f>
        <v>15</v>
      </c>
      <c r="Q5" s="48">
        <f>+'1'!K211</f>
        <v>0</v>
      </c>
      <c r="R5" s="48">
        <f>+'1'!K209</f>
        <v>450</v>
      </c>
      <c r="S5" s="48">
        <f>+M5-N5-P5-R5-Q5</f>
        <v>638</v>
      </c>
      <c r="T5" s="48">
        <f>+'1'!K214</f>
        <v>638</v>
      </c>
      <c r="U5" s="49">
        <f>+T5-S5</f>
        <v>0</v>
      </c>
      <c r="V5" s="5"/>
    </row>
    <row r="6" spans="1:22">
      <c r="A6" s="10">
        <v>2</v>
      </c>
      <c r="B6" s="11" t="s">
        <v>17</v>
      </c>
      <c r="C6" s="45">
        <v>90</v>
      </c>
      <c r="D6" s="46">
        <f>+'1'!D6+'2'!D6+'3'!D6+'4'!D6+'5'!D6+'6'!D6+'7'!D6+'8'!D6+'9'!D6+'10'!D6+'11'!D6+'12'!D6+'13'!D6+'14'!D6+'15'!D6+'16'!D6+'17'!D6+'18'!D6+'19'!D6+'20'!D6+'21'!D6+'22'!D6+'23'!D6+'24'!D6+'25'!D6+'26'!D6+'27'!D6+'28'!D6+'29'!D6+'30'!D6+'31'!D6</f>
        <v>80</v>
      </c>
      <c r="E6" s="45">
        <f t="shared" ref="E6:E69" si="0">+C6+D6</f>
        <v>170</v>
      </c>
      <c r="F6" s="46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5">
        <v>0</v>
      </c>
      <c r="H6" s="46">
        <f>+'1'!H6+'2'!H6+'3'!H6+'4'!H6+'5'!H6+'6'!H6+'7'!H6+'8'!H6+'9'!H6+'10'!H6+'11'!H6+'12'!H6+'13'!H6+'14'!H6+'15'!H6+'16'!H6+'17'!H6+'18'!H6+'19'!H6+'20'!H6+'21'!H6+'22'!H6+'23'!H6+'24'!H6+'25'!H6+'26'!H6+'27'!H6+'28'!H6+'29'!H6+'30'!H6+'31'!H6</f>
        <v>90</v>
      </c>
      <c r="I6" s="15">
        <v>100</v>
      </c>
      <c r="J6" s="46">
        <f>+'1'!J6+'2'!J6+'3'!J6+'4'!J6+'5'!J6+'6'!J6+'7'!J6+'8'!J6+'9'!J6+'10'!J6+'11'!J6+'12'!J6+'13'!J6+'14'!J6+'15'!J6+'16'!J6+'17'!J6+'18'!J6+'19'!J6+'20'!J6+'21'!J6+'22'!J6+'23'!J6+'24'!J6+'25'!J6+'26'!J6+'27'!J6+'28'!J6+'29'!J6+'30'!J6+'31'!J6</f>
        <v>9000</v>
      </c>
      <c r="K6" s="15"/>
      <c r="L6" s="47">
        <v>2</v>
      </c>
      <c r="M6" s="48">
        <f>+'2'!K207</f>
        <v>3260</v>
      </c>
      <c r="N6" s="48">
        <f>+'2'!K212</f>
        <v>595</v>
      </c>
      <c r="O6" s="48">
        <f>+'2'!K210</f>
        <v>0</v>
      </c>
      <c r="P6" s="48">
        <f>+'2'!K208</f>
        <v>15</v>
      </c>
      <c r="Q6" s="48">
        <f>+'2'!K211</f>
        <v>0</v>
      </c>
      <c r="R6" s="48">
        <f>+'2'!K209</f>
        <v>1175</v>
      </c>
      <c r="S6" s="48">
        <f t="shared" ref="S6:S35" si="1">+M6-N6-P6-R6-Q6</f>
        <v>1475</v>
      </c>
      <c r="T6" s="48">
        <f>+'2'!K214</f>
        <v>1645</v>
      </c>
      <c r="U6" s="49">
        <f t="shared" ref="U6:U35" si="2">+T6-S6</f>
        <v>170</v>
      </c>
      <c r="V6" s="5"/>
    </row>
    <row r="7" spans="1:22">
      <c r="A7" s="10">
        <v>3</v>
      </c>
      <c r="B7" s="11" t="s">
        <v>18</v>
      </c>
      <c r="C7" s="45">
        <v>0</v>
      </c>
      <c r="D7" s="46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5">
        <f t="shared" si="0"/>
        <v>0</v>
      </c>
      <c r="F7" s="46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5">
        <v>0</v>
      </c>
      <c r="H7" s="46">
        <f>+'1'!H7+'2'!H7+'3'!H7+'4'!H7+'5'!H7+'6'!H7+'7'!H7+'8'!H7+'9'!H7+'10'!H7+'11'!H7+'12'!H7+'13'!H7+'14'!H7+'15'!H7+'16'!H7+'17'!H7+'18'!H7+'19'!H7+'20'!H7+'21'!H7+'22'!H7+'23'!H7+'24'!H7+'25'!H7+'26'!H7+'27'!H7+'28'!H7+'29'!H7+'30'!H7+'31'!H7</f>
        <v>5</v>
      </c>
      <c r="I7" s="15">
        <v>50</v>
      </c>
      <c r="J7" s="46">
        <f>+'1'!J7+'2'!J7+'3'!J7+'4'!J7+'5'!J7+'6'!J7+'7'!J7+'8'!J7+'9'!J7+'10'!J7+'11'!J7+'12'!J7+'13'!J7+'14'!J7+'15'!J7+'16'!J7+'17'!J7+'18'!J7+'19'!J7+'20'!J7+'21'!J7+'22'!J7+'23'!J7+'24'!J7+'25'!J7+'26'!J7+'27'!J7+'28'!J7+'29'!J7+'30'!J7+'31'!J7</f>
        <v>250</v>
      </c>
      <c r="K7" s="15"/>
      <c r="L7" s="47">
        <v>3</v>
      </c>
      <c r="M7" s="48">
        <f>+'3'!K207</f>
        <v>3100</v>
      </c>
      <c r="N7" s="48">
        <f>+'3'!K212</f>
        <v>500</v>
      </c>
      <c r="O7" s="48">
        <f>+'3'!K210</f>
        <v>0</v>
      </c>
      <c r="P7" s="48">
        <f>+'3'!K208</f>
        <v>15</v>
      </c>
      <c r="Q7" s="48">
        <f>+'3'!K211</f>
        <v>0</v>
      </c>
      <c r="R7" s="48">
        <f>+'3'!K209</f>
        <v>1200</v>
      </c>
      <c r="S7" s="48">
        <f>+M7-N7-P7-R7-Q7</f>
        <v>1385</v>
      </c>
      <c r="T7" s="48">
        <f>+'3'!K214</f>
        <v>1385</v>
      </c>
      <c r="U7" s="49">
        <f>+T7-S7</f>
        <v>0</v>
      </c>
      <c r="V7" s="5"/>
    </row>
    <row r="8" spans="1:22">
      <c r="A8" s="10">
        <v>4</v>
      </c>
      <c r="B8" s="11" t="s">
        <v>19</v>
      </c>
      <c r="C8" s="45">
        <v>0</v>
      </c>
      <c r="D8" s="46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5">
        <f t="shared" si="0"/>
        <v>0</v>
      </c>
      <c r="F8" s="46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5">
        <v>0</v>
      </c>
      <c r="H8" s="46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6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7">
        <v>4</v>
      </c>
      <c r="M8" s="48">
        <f>+'4'!K207</f>
        <v>2320</v>
      </c>
      <c r="N8" s="48">
        <f>+'4'!K212</f>
        <v>220</v>
      </c>
      <c r="O8" s="48">
        <f>+'4'!K210</f>
        <v>0</v>
      </c>
      <c r="P8" s="48">
        <f>+'4'!K208</f>
        <v>15</v>
      </c>
      <c r="Q8" s="48">
        <f>+'4'!K211</f>
        <v>0</v>
      </c>
      <c r="R8" s="48">
        <f>+'4'!K209</f>
        <v>0</v>
      </c>
      <c r="S8" s="48">
        <f t="shared" si="1"/>
        <v>2085</v>
      </c>
      <c r="T8" s="48">
        <f>+'4'!K214</f>
        <v>2085</v>
      </c>
      <c r="U8" s="49">
        <f t="shared" si="2"/>
        <v>0</v>
      </c>
      <c r="V8" s="5"/>
    </row>
    <row r="9" spans="1:22">
      <c r="A9" s="10">
        <v>5</v>
      </c>
      <c r="B9" s="11" t="s">
        <v>20</v>
      </c>
      <c r="C9" s="45">
        <v>0</v>
      </c>
      <c r="D9" s="46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5">
        <f t="shared" si="0"/>
        <v>0</v>
      </c>
      <c r="F9" s="46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5">
        <v>0</v>
      </c>
      <c r="H9" s="46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6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+'5'!K207</f>
        <v>1295</v>
      </c>
      <c r="N9" s="48">
        <f>+'5'!K212</f>
        <v>100</v>
      </c>
      <c r="O9" s="48">
        <f>+'5'!K210</f>
        <v>0</v>
      </c>
      <c r="P9" s="48">
        <f>+'5'!K208</f>
        <v>15</v>
      </c>
      <c r="Q9" s="48">
        <f>+'5'!K211</f>
        <v>0</v>
      </c>
      <c r="R9" s="48">
        <f>+'5'!K209</f>
        <v>60</v>
      </c>
      <c r="S9" s="48">
        <f t="shared" si="1"/>
        <v>1120</v>
      </c>
      <c r="T9" s="48">
        <f>+'5'!K214</f>
        <v>1120</v>
      </c>
      <c r="U9" s="49">
        <f t="shared" si="2"/>
        <v>0</v>
      </c>
      <c r="V9" s="5"/>
    </row>
    <row r="10" spans="1:22">
      <c r="A10" s="10">
        <v>6</v>
      </c>
      <c r="B10" s="11" t="s">
        <v>21</v>
      </c>
      <c r="C10" s="45">
        <v>0</v>
      </c>
      <c r="D10" s="46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5">
        <f t="shared" si="0"/>
        <v>0</v>
      </c>
      <c r="F10" s="46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5">
        <v>0</v>
      </c>
      <c r="H10" s="46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6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+'6'!K207</f>
        <v>2120</v>
      </c>
      <c r="N10" s="48">
        <f>+'6'!K212</f>
        <v>300</v>
      </c>
      <c r="O10" s="48">
        <f>+'6'!K210</f>
        <v>0</v>
      </c>
      <c r="P10" s="48">
        <f>+'6'!K208</f>
        <v>20</v>
      </c>
      <c r="Q10" s="48">
        <f>+'6'!K211</f>
        <v>0</v>
      </c>
      <c r="R10" s="48">
        <f>+'6'!K209</f>
        <v>1060</v>
      </c>
      <c r="S10" s="48">
        <f t="shared" si="1"/>
        <v>740</v>
      </c>
      <c r="T10" s="48">
        <f>+'6'!K214</f>
        <v>760</v>
      </c>
      <c r="U10" s="49">
        <f t="shared" si="2"/>
        <v>20</v>
      </c>
      <c r="V10" s="5"/>
    </row>
    <row r="11" spans="1:22">
      <c r="A11" s="10">
        <v>7</v>
      </c>
      <c r="B11" s="19" t="s">
        <v>22</v>
      </c>
      <c r="C11" s="45">
        <v>0</v>
      </c>
      <c r="D11" s="46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5">
        <f t="shared" si="0"/>
        <v>0</v>
      </c>
      <c r="F11" s="46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5">
        <v>0</v>
      </c>
      <c r="H11" s="46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6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+'7'!K207</f>
        <v>655</v>
      </c>
      <c r="N11" s="48">
        <f>+'7'!K212</f>
        <v>0</v>
      </c>
      <c r="O11" s="48">
        <f>+'7'!K210</f>
        <v>0</v>
      </c>
      <c r="P11" s="48">
        <f>+'7'!K208</f>
        <v>20</v>
      </c>
      <c r="Q11" s="48">
        <f>+'7'!K211</f>
        <v>0</v>
      </c>
      <c r="R11" s="48">
        <f>+'7'!K209</f>
        <v>205</v>
      </c>
      <c r="S11" s="48">
        <f t="shared" si="1"/>
        <v>430</v>
      </c>
      <c r="T11" s="48">
        <f>+'7'!K214</f>
        <v>430</v>
      </c>
      <c r="U11" s="49">
        <f t="shared" si="2"/>
        <v>0</v>
      </c>
      <c r="V11" s="5"/>
    </row>
    <row r="12" spans="1:22">
      <c r="A12" s="10">
        <v>8</v>
      </c>
      <c r="B12" s="19" t="s">
        <v>23</v>
      </c>
      <c r="C12" s="45">
        <v>0</v>
      </c>
      <c r="D12" s="46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</v>
      </c>
      <c r="E12" s="45">
        <f t="shared" si="0"/>
        <v>5</v>
      </c>
      <c r="F12" s="46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5">
        <v>0</v>
      </c>
      <c r="H12" s="46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10</v>
      </c>
      <c r="I12" s="20">
        <v>50</v>
      </c>
      <c r="J12" s="46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500</v>
      </c>
      <c r="K12" s="15"/>
      <c r="L12" s="47">
        <v>8</v>
      </c>
      <c r="M12" s="48">
        <f>+'8'!K207</f>
        <v>2305</v>
      </c>
      <c r="N12" s="48">
        <f>+'8'!K212</f>
        <v>705</v>
      </c>
      <c r="O12" s="48">
        <f>+'8'!K210</f>
        <v>0</v>
      </c>
      <c r="P12" s="48">
        <f>+'8'!K208</f>
        <v>20</v>
      </c>
      <c r="Q12" s="48">
        <f>+'8'!K211</f>
        <v>40</v>
      </c>
      <c r="R12" s="48">
        <f>+'8'!K209</f>
        <v>380</v>
      </c>
      <c r="S12" s="48">
        <f t="shared" si="1"/>
        <v>1160</v>
      </c>
      <c r="T12" s="48">
        <f>+'8'!K214</f>
        <v>1160</v>
      </c>
      <c r="U12" s="49">
        <f t="shared" si="2"/>
        <v>0</v>
      </c>
      <c r="V12" s="5"/>
    </row>
    <row r="13" spans="1:22">
      <c r="A13" s="10">
        <v>9</v>
      </c>
      <c r="B13" s="19" t="s">
        <v>24</v>
      </c>
      <c r="C13" s="45">
        <v>0</v>
      </c>
      <c r="D13" s="46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4</v>
      </c>
      <c r="E13" s="45">
        <f t="shared" si="0"/>
        <v>4</v>
      </c>
      <c r="F13" s="46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5">
        <v>0</v>
      </c>
      <c r="H13" s="46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1</v>
      </c>
      <c r="I13" s="20">
        <v>55</v>
      </c>
      <c r="J13" s="46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55</v>
      </c>
      <c r="K13" s="15"/>
      <c r="L13" s="47">
        <v>9</v>
      </c>
      <c r="M13" s="48">
        <f>+'9'!K207</f>
        <v>2965</v>
      </c>
      <c r="N13" s="48">
        <f>+'9'!K212</f>
        <v>758</v>
      </c>
      <c r="O13" s="48">
        <f>+'9'!K210</f>
        <v>0</v>
      </c>
      <c r="P13" s="48">
        <f>+'9'!K208</f>
        <v>20</v>
      </c>
      <c r="Q13" s="48">
        <f>+'9'!K211</f>
        <v>0</v>
      </c>
      <c r="R13" s="48">
        <f>+'9'!K209</f>
        <v>760</v>
      </c>
      <c r="S13" s="48">
        <f t="shared" si="1"/>
        <v>1427</v>
      </c>
      <c r="T13" s="48">
        <f>+'9'!K214</f>
        <v>1427</v>
      </c>
      <c r="U13" s="49">
        <f t="shared" si="2"/>
        <v>0</v>
      </c>
      <c r="V13" s="5"/>
    </row>
    <row r="14" spans="1:22">
      <c r="A14" s="10">
        <v>10</v>
      </c>
      <c r="B14" s="19" t="s">
        <v>25</v>
      </c>
      <c r="C14" s="45">
        <v>0</v>
      </c>
      <c r="D14" s="46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5">
        <f t="shared" si="0"/>
        <v>0</v>
      </c>
      <c r="F14" s="46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5">
        <v>0</v>
      </c>
      <c r="H14" s="46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6</v>
      </c>
      <c r="I14" s="20">
        <v>65</v>
      </c>
      <c r="J14" s="46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390</v>
      </c>
      <c r="K14" s="15"/>
      <c r="L14" s="47">
        <v>10</v>
      </c>
      <c r="M14" s="48">
        <f>+'10'!K207</f>
        <v>1885</v>
      </c>
      <c r="N14" s="48">
        <f>+'10'!K212</f>
        <v>207</v>
      </c>
      <c r="O14" s="48">
        <f>+'10'!K210</f>
        <v>0</v>
      </c>
      <c r="P14" s="48">
        <f>+'10'!K208</f>
        <v>20</v>
      </c>
      <c r="Q14" s="48">
        <f>+'10'!K211</f>
        <v>0</v>
      </c>
      <c r="R14" s="48">
        <f>+'10'!K209</f>
        <v>350</v>
      </c>
      <c r="S14" s="48">
        <f t="shared" si="1"/>
        <v>1308</v>
      </c>
      <c r="T14" s="48">
        <f>+'10'!K214</f>
        <v>1308</v>
      </c>
      <c r="U14" s="49">
        <f t="shared" si="2"/>
        <v>0</v>
      </c>
      <c r="V14" s="5"/>
    </row>
    <row r="15" spans="1:22">
      <c r="A15" s="10">
        <v>11</v>
      </c>
      <c r="B15" s="11" t="s">
        <v>26</v>
      </c>
      <c r="C15" s="45">
        <v>3</v>
      </c>
      <c r="D15" s="46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5">
        <f t="shared" si="0"/>
        <v>3</v>
      </c>
      <c r="F15" s="46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5">
        <v>0</v>
      </c>
      <c r="H15" s="46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6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7">
        <v>11</v>
      </c>
      <c r="M15" s="48">
        <f>+'11'!K207</f>
        <v>4145</v>
      </c>
      <c r="N15" s="48">
        <f>+'11'!K212</f>
        <v>550</v>
      </c>
      <c r="O15" s="48">
        <f>+'11'!K210</f>
        <v>0</v>
      </c>
      <c r="P15" s="48">
        <f>+'11'!K208</f>
        <v>20</v>
      </c>
      <c r="Q15" s="48">
        <f>+'11'!K211</f>
        <v>0</v>
      </c>
      <c r="R15" s="48">
        <f>+'11'!K209</f>
        <v>875</v>
      </c>
      <c r="S15" s="48">
        <f t="shared" si="1"/>
        <v>2700</v>
      </c>
      <c r="T15" s="48">
        <f>+'11'!K214</f>
        <v>2700</v>
      </c>
      <c r="U15" s="49">
        <f t="shared" si="2"/>
        <v>0</v>
      </c>
      <c r="V15" s="5"/>
    </row>
    <row r="16" spans="1:22">
      <c r="A16" s="10">
        <v>12</v>
      </c>
      <c r="B16" s="11" t="s">
        <v>27</v>
      </c>
      <c r="C16" s="45">
        <v>0</v>
      </c>
      <c r="D16" s="46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5">
        <f t="shared" si="0"/>
        <v>0</v>
      </c>
      <c r="F16" s="46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5">
        <v>0</v>
      </c>
      <c r="H16" s="46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6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7">
        <v>12</v>
      </c>
      <c r="M16" s="48">
        <f>+'12'!K207</f>
        <v>3465</v>
      </c>
      <c r="N16" s="48">
        <f>+'12'!K212</f>
        <v>367</v>
      </c>
      <c r="O16" s="48">
        <f>+'12'!K210</f>
        <v>0</v>
      </c>
      <c r="P16" s="48">
        <f>+'12'!K208</f>
        <v>15</v>
      </c>
      <c r="Q16" s="48">
        <f>+'12'!K211</f>
        <v>0</v>
      </c>
      <c r="R16" s="48">
        <f>+'12'!K209</f>
        <v>670</v>
      </c>
      <c r="S16" s="48">
        <f t="shared" si="1"/>
        <v>2413</v>
      </c>
      <c r="T16" s="48">
        <f>+'12'!K214</f>
        <v>2413</v>
      </c>
      <c r="U16" s="49">
        <f t="shared" si="2"/>
        <v>0</v>
      </c>
      <c r="V16" s="5"/>
    </row>
    <row r="17" spans="1:22">
      <c r="A17" s="10">
        <v>13</v>
      </c>
      <c r="B17" s="11" t="s">
        <v>28</v>
      </c>
      <c r="C17" s="45">
        <v>1</v>
      </c>
      <c r="D17" s="46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7</v>
      </c>
      <c r="E17" s="45">
        <f t="shared" si="0"/>
        <v>8</v>
      </c>
      <c r="F17" s="46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5">
        <v>0</v>
      </c>
      <c r="H17" s="46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3</v>
      </c>
      <c r="I17" s="15">
        <v>50</v>
      </c>
      <c r="J17" s="46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150</v>
      </c>
      <c r="K17" s="15"/>
      <c r="L17" s="47">
        <v>13</v>
      </c>
      <c r="M17" s="48">
        <f>+'13'!K207</f>
        <v>4120</v>
      </c>
      <c r="N17" s="48">
        <f>+'13'!K212</f>
        <v>710</v>
      </c>
      <c r="O17" s="48">
        <f>+'13'!K210</f>
        <v>0</v>
      </c>
      <c r="P17" s="48">
        <f>+'13'!K208</f>
        <v>15</v>
      </c>
      <c r="Q17" s="48">
        <f>+'13'!K211</f>
        <v>0</v>
      </c>
      <c r="R17" s="48">
        <f>+'13'!K209</f>
        <v>780</v>
      </c>
      <c r="S17" s="48">
        <f t="shared" si="1"/>
        <v>2615</v>
      </c>
      <c r="T17" s="48">
        <f>+'13'!K214</f>
        <v>2615</v>
      </c>
      <c r="U17" s="49">
        <f t="shared" si="2"/>
        <v>0</v>
      </c>
      <c r="V17" s="5"/>
    </row>
    <row r="18" spans="1:22">
      <c r="A18" s="10">
        <v>14</v>
      </c>
      <c r="B18" s="19" t="s">
        <v>29</v>
      </c>
      <c r="C18" s="45">
        <v>0</v>
      </c>
      <c r="D18" s="46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4</v>
      </c>
      <c r="E18" s="45">
        <f t="shared" si="0"/>
        <v>4</v>
      </c>
      <c r="F18" s="46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5">
        <v>0</v>
      </c>
      <c r="H18" s="46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2</v>
      </c>
      <c r="I18" s="20">
        <v>50</v>
      </c>
      <c r="J18" s="46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100</v>
      </c>
      <c r="K18" s="15"/>
      <c r="L18" s="47">
        <v>14</v>
      </c>
      <c r="M18" s="48">
        <f>+'14'!K207</f>
        <v>2315</v>
      </c>
      <c r="N18" s="48">
        <f>+'14'!K212</f>
        <v>250</v>
      </c>
      <c r="O18" s="48">
        <f>+'14'!K210</f>
        <v>0</v>
      </c>
      <c r="P18" s="48">
        <f>+'14'!K208</f>
        <v>15</v>
      </c>
      <c r="Q18" s="48">
        <f>+'14'!K211</f>
        <v>0</v>
      </c>
      <c r="R18" s="48">
        <f>+'14'!K209</f>
        <v>950</v>
      </c>
      <c r="S18" s="48">
        <f t="shared" si="1"/>
        <v>1100</v>
      </c>
      <c r="T18" s="48">
        <f>+'14'!K214</f>
        <v>1100</v>
      </c>
      <c r="U18" s="49">
        <f t="shared" si="2"/>
        <v>0</v>
      </c>
      <c r="V18" s="5"/>
    </row>
    <row r="19" spans="1:22">
      <c r="A19" s="10">
        <v>15</v>
      </c>
      <c r="B19" s="11" t="s">
        <v>30</v>
      </c>
      <c r="C19" s="45">
        <v>0</v>
      </c>
      <c r="D19" s="46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9</v>
      </c>
      <c r="E19" s="45">
        <f t="shared" si="0"/>
        <v>9</v>
      </c>
      <c r="F19" s="46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5">
        <v>0</v>
      </c>
      <c r="H19" s="46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9</v>
      </c>
      <c r="I19" s="15">
        <v>50</v>
      </c>
      <c r="J19" s="46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450</v>
      </c>
      <c r="K19" s="15"/>
      <c r="L19" s="47">
        <v>15</v>
      </c>
      <c r="M19" s="48">
        <f>+'15'!K207</f>
        <v>2140</v>
      </c>
      <c r="N19" s="48">
        <f>+'15'!K212</f>
        <v>150</v>
      </c>
      <c r="O19" s="48">
        <f>+'15'!K210</f>
        <v>0</v>
      </c>
      <c r="P19" s="48">
        <f>+'15'!K208</f>
        <v>20</v>
      </c>
      <c r="Q19" s="48">
        <f>+'15'!K211</f>
        <v>40</v>
      </c>
      <c r="R19" s="48">
        <f>+'15'!K209</f>
        <v>760</v>
      </c>
      <c r="S19" s="48">
        <f t="shared" si="1"/>
        <v>1170</v>
      </c>
      <c r="T19" s="48">
        <f>+'15'!K214</f>
        <v>1170</v>
      </c>
      <c r="U19" s="49">
        <f t="shared" si="2"/>
        <v>0</v>
      </c>
      <c r="V19" s="5"/>
    </row>
    <row r="20" spans="1:22">
      <c r="A20" s="10">
        <v>16</v>
      </c>
      <c r="B20" s="11" t="s">
        <v>31</v>
      </c>
      <c r="C20" s="45">
        <v>0</v>
      </c>
      <c r="D20" s="46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4</v>
      </c>
      <c r="E20" s="45">
        <f t="shared" si="0"/>
        <v>4</v>
      </c>
      <c r="F20" s="46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5">
        <v>0</v>
      </c>
      <c r="H20" s="46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1</v>
      </c>
      <c r="I20" s="15">
        <v>50</v>
      </c>
      <c r="J20" s="46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50</v>
      </c>
      <c r="K20" s="15"/>
      <c r="L20" s="47">
        <v>16</v>
      </c>
      <c r="M20" s="48">
        <f>+'16'!K207</f>
        <v>1470</v>
      </c>
      <c r="N20" s="48">
        <f>+'16'!K212</f>
        <v>260</v>
      </c>
      <c r="O20" s="48">
        <f>+'17'!K210</f>
        <v>0</v>
      </c>
      <c r="P20" s="48">
        <f>+'16'!K208</f>
        <v>20</v>
      </c>
      <c r="Q20" s="48">
        <f>+'16'!K211</f>
        <v>0</v>
      </c>
      <c r="R20" s="48">
        <f>+'16'!K209</f>
        <v>220</v>
      </c>
      <c r="S20" s="48">
        <f t="shared" si="1"/>
        <v>970</v>
      </c>
      <c r="T20" s="48">
        <f>+'16'!K214</f>
        <v>970</v>
      </c>
      <c r="U20" s="49">
        <f t="shared" si="2"/>
        <v>0</v>
      </c>
      <c r="V20" s="5"/>
    </row>
    <row r="21" spans="1:22">
      <c r="A21" s="10">
        <v>17</v>
      </c>
      <c r="B21" s="11" t="s">
        <v>32</v>
      </c>
      <c r="C21" s="45">
        <v>0</v>
      </c>
      <c r="D21" s="46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5">
        <f t="shared" si="0"/>
        <v>0</v>
      </c>
      <c r="F21" s="46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5">
        <v>0</v>
      </c>
      <c r="H21" s="46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6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+'17'!K207</f>
        <v>2990</v>
      </c>
      <c r="N21" s="48">
        <f>+'17'!K212</f>
        <v>360</v>
      </c>
      <c r="O21" s="48">
        <f>+'18'!K210</f>
        <v>0</v>
      </c>
      <c r="P21" s="48">
        <f>+'17'!K208</f>
        <v>20</v>
      </c>
      <c r="Q21" s="48">
        <f>+'17'!K211</f>
        <v>0</v>
      </c>
      <c r="R21" s="48">
        <f>+'17'!K209</f>
        <v>210</v>
      </c>
      <c r="S21" s="48">
        <f t="shared" si="1"/>
        <v>2400</v>
      </c>
      <c r="T21" s="48">
        <f>+'17'!K214</f>
        <v>2400</v>
      </c>
      <c r="U21" s="49">
        <f t="shared" si="2"/>
        <v>0</v>
      </c>
      <c r="V21" s="5"/>
    </row>
    <row r="22" spans="1:22">
      <c r="A22" s="10">
        <v>18</v>
      </c>
      <c r="B22" s="11" t="s">
        <v>33</v>
      </c>
      <c r="C22" s="45">
        <v>0</v>
      </c>
      <c r="D22" s="46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8</v>
      </c>
      <c r="E22" s="45">
        <f t="shared" si="0"/>
        <v>8</v>
      </c>
      <c r="F22" s="46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5">
        <v>0</v>
      </c>
      <c r="H22" s="46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14</v>
      </c>
      <c r="I22" s="15">
        <v>85</v>
      </c>
      <c r="J22" s="46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1190</v>
      </c>
      <c r="K22" s="15"/>
      <c r="L22" s="47">
        <v>18</v>
      </c>
      <c r="M22" s="48">
        <f>+'18'!K207</f>
        <v>2190</v>
      </c>
      <c r="N22" s="48">
        <f>+'18'!K212</f>
        <v>535</v>
      </c>
      <c r="O22" s="48">
        <f>+'19'!K210</f>
        <v>0</v>
      </c>
      <c r="P22" s="48">
        <f>+'18'!K208</f>
        <v>20</v>
      </c>
      <c r="Q22" s="48">
        <f>+'18'!K211</f>
        <v>0</v>
      </c>
      <c r="R22" s="48">
        <f>+'18'!K209</f>
        <v>435</v>
      </c>
      <c r="S22" s="48">
        <f t="shared" si="1"/>
        <v>1200</v>
      </c>
      <c r="T22" s="48">
        <f>+'18'!K214</f>
        <v>1200</v>
      </c>
      <c r="U22" s="49">
        <f t="shared" si="2"/>
        <v>0</v>
      </c>
      <c r="V22" s="5"/>
    </row>
    <row r="23" spans="1:22">
      <c r="A23" s="10">
        <v>19</v>
      </c>
      <c r="B23" s="11" t="s">
        <v>34</v>
      </c>
      <c r="C23" s="45">
        <v>54</v>
      </c>
      <c r="D23" s="46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80</v>
      </c>
      <c r="E23" s="45">
        <f t="shared" si="0"/>
        <v>134</v>
      </c>
      <c r="F23" s="46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5">
        <v>0</v>
      </c>
      <c r="H23" s="46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86</v>
      </c>
      <c r="I23" s="15">
        <v>100</v>
      </c>
      <c r="J23" s="46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8600</v>
      </c>
      <c r="K23" s="15"/>
      <c r="L23" s="47">
        <v>19</v>
      </c>
      <c r="M23" s="48">
        <f>+'19'!K207</f>
        <v>1215</v>
      </c>
      <c r="N23" s="48">
        <f>+'19'!K212</f>
        <v>115</v>
      </c>
      <c r="O23" s="48">
        <f>+'20'!K210</f>
        <v>0</v>
      </c>
      <c r="P23" s="48">
        <f>+'19'!K208</f>
        <v>20</v>
      </c>
      <c r="Q23" s="48">
        <f>+'19'!K211</f>
        <v>0</v>
      </c>
      <c r="R23" s="48">
        <f>+'19'!K209</f>
        <v>300</v>
      </c>
      <c r="S23" s="48">
        <f t="shared" si="1"/>
        <v>780</v>
      </c>
      <c r="T23" s="48">
        <f>+'19'!K214</f>
        <v>780</v>
      </c>
      <c r="U23" s="49">
        <f t="shared" si="2"/>
        <v>0</v>
      </c>
      <c r="V23" s="5"/>
    </row>
    <row r="24" spans="1:22">
      <c r="A24" s="10">
        <v>20</v>
      </c>
      <c r="B24" s="11" t="s">
        <v>35</v>
      </c>
      <c r="C24" s="45">
        <v>0</v>
      </c>
      <c r="D24" s="46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24</v>
      </c>
      <c r="E24" s="45">
        <f t="shared" si="0"/>
        <v>24</v>
      </c>
      <c r="F24" s="46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5">
        <v>0</v>
      </c>
      <c r="H24" s="46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21</v>
      </c>
      <c r="I24" s="21">
        <v>100</v>
      </c>
      <c r="J24" s="46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2100</v>
      </c>
      <c r="K24" s="15"/>
      <c r="L24" s="47">
        <v>20</v>
      </c>
      <c r="M24" s="48">
        <f>+'20'!K207</f>
        <v>1815</v>
      </c>
      <c r="N24" s="48">
        <f>+'20'!K212</f>
        <v>240</v>
      </c>
      <c r="O24" s="48">
        <f>+'21'!K210</f>
        <v>0</v>
      </c>
      <c r="P24" s="48">
        <f>+'20'!K208</f>
        <v>20</v>
      </c>
      <c r="Q24" s="48">
        <f>+'20'!K211</f>
        <v>0</v>
      </c>
      <c r="R24" s="48">
        <f>+'20'!K209</f>
        <v>1230</v>
      </c>
      <c r="S24" s="48">
        <f t="shared" si="1"/>
        <v>325</v>
      </c>
      <c r="T24" s="48">
        <f>+'20'!K214</f>
        <v>325</v>
      </c>
      <c r="U24" s="49">
        <f t="shared" si="2"/>
        <v>0</v>
      </c>
      <c r="V24" s="5"/>
    </row>
    <row r="25" spans="1:22">
      <c r="A25" s="10">
        <v>21</v>
      </c>
      <c r="B25" s="11" t="s">
        <v>36</v>
      </c>
      <c r="C25" s="45">
        <v>0</v>
      </c>
      <c r="D25" s="46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5">
        <f t="shared" si="0"/>
        <v>0</v>
      </c>
      <c r="F25" s="46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5">
        <v>0</v>
      </c>
      <c r="H25" s="46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6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+'21'!K207</f>
        <v>810</v>
      </c>
      <c r="N25" s="48">
        <f>+'21'!K212</f>
        <v>50</v>
      </c>
      <c r="O25" s="48">
        <f>+'22'!K210</f>
        <v>0</v>
      </c>
      <c r="P25" s="48">
        <f>+'21'!K208</f>
        <v>20</v>
      </c>
      <c r="Q25" s="48">
        <f>+'21'!K211</f>
        <v>0</v>
      </c>
      <c r="R25" s="48">
        <f>+'21'!K209</f>
        <v>540</v>
      </c>
      <c r="S25" s="48">
        <f t="shared" si="1"/>
        <v>200</v>
      </c>
      <c r="T25" s="48">
        <f>+'21'!K214</f>
        <v>200</v>
      </c>
      <c r="U25" s="49">
        <f t="shared" si="2"/>
        <v>0</v>
      </c>
      <c r="V25" s="5"/>
    </row>
    <row r="26" spans="1:22">
      <c r="A26" s="10">
        <v>22</v>
      </c>
      <c r="B26" s="11" t="s">
        <v>37</v>
      </c>
      <c r="C26" s="45">
        <v>0</v>
      </c>
      <c r="D26" s="46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5">
        <f t="shared" si="0"/>
        <v>0</v>
      </c>
      <c r="F26" s="46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4</v>
      </c>
      <c r="G26" s="45">
        <v>0</v>
      </c>
      <c r="H26" s="46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</v>
      </c>
      <c r="I26" s="21">
        <v>100</v>
      </c>
      <c r="J26" s="46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100</v>
      </c>
      <c r="K26" s="15"/>
      <c r="L26" s="47">
        <v>22</v>
      </c>
      <c r="M26" s="48">
        <f>+'22'!K207</f>
        <v>1505</v>
      </c>
      <c r="N26" s="48">
        <f>+'22'!K212</f>
        <v>100</v>
      </c>
      <c r="O26" s="48">
        <f>+'22'!K210</f>
        <v>0</v>
      </c>
      <c r="P26" s="48">
        <f>+'22'!K208</f>
        <v>20</v>
      </c>
      <c r="Q26" s="48">
        <f>+'22'!K211</f>
        <v>0</v>
      </c>
      <c r="R26" s="48">
        <f>+'22'!K209</f>
        <v>500</v>
      </c>
      <c r="S26" s="48">
        <f t="shared" si="1"/>
        <v>885</v>
      </c>
      <c r="T26" s="48">
        <f>+'22'!K214</f>
        <v>885</v>
      </c>
      <c r="U26" s="49">
        <f t="shared" si="2"/>
        <v>0</v>
      </c>
      <c r="V26" s="5"/>
    </row>
    <row r="27" spans="1:22">
      <c r="A27" s="10">
        <v>23</v>
      </c>
      <c r="B27" s="19" t="s">
        <v>38</v>
      </c>
      <c r="C27" s="45">
        <v>0</v>
      </c>
      <c r="D27" s="46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5</v>
      </c>
      <c r="E27" s="45">
        <f t="shared" si="0"/>
        <v>5</v>
      </c>
      <c r="F27" s="46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5">
        <v>0</v>
      </c>
      <c r="H27" s="46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</v>
      </c>
      <c r="I27" s="20">
        <v>100</v>
      </c>
      <c r="J27" s="46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300</v>
      </c>
      <c r="K27" s="15"/>
      <c r="L27" s="47">
        <v>23</v>
      </c>
      <c r="M27" s="48">
        <f>+'23'!K207</f>
        <v>2520</v>
      </c>
      <c r="N27" s="48">
        <f>+'23'!K212</f>
        <v>470</v>
      </c>
      <c r="O27" s="48">
        <f>+'23'!K210</f>
        <v>0</v>
      </c>
      <c r="P27" s="48">
        <f>+'23'!K208</f>
        <v>20</v>
      </c>
      <c r="Q27" s="48">
        <f>+'23'!K211</f>
        <v>0</v>
      </c>
      <c r="R27" s="48">
        <f>+'23'!K209</f>
        <v>350</v>
      </c>
      <c r="S27" s="48">
        <f t="shared" si="1"/>
        <v>1680</v>
      </c>
      <c r="T27" s="48">
        <f>+'23'!K214</f>
        <v>1680</v>
      </c>
      <c r="U27" s="49">
        <f t="shared" si="2"/>
        <v>0</v>
      </c>
      <c r="V27" s="5"/>
    </row>
    <row r="28" spans="1:22">
      <c r="A28" s="10">
        <v>24</v>
      </c>
      <c r="B28" s="19" t="s">
        <v>39</v>
      </c>
      <c r="C28" s="45">
        <v>0</v>
      </c>
      <c r="D28" s="46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5">
        <f t="shared" si="0"/>
        <v>0</v>
      </c>
      <c r="F28" s="46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5">
        <v>0</v>
      </c>
      <c r="H28" s="46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6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+'24'!K207</f>
        <v>4050</v>
      </c>
      <c r="N28" s="48">
        <f>+'24'!K212</f>
        <v>490</v>
      </c>
      <c r="O28" s="48">
        <f>+'24'!K210</f>
        <v>0</v>
      </c>
      <c r="P28" s="48">
        <f>+'24'!K208</f>
        <v>20</v>
      </c>
      <c r="Q28" s="48">
        <f>+'24'!K211</f>
        <v>0</v>
      </c>
      <c r="R28" s="48">
        <f>+'24'!K209</f>
        <v>1250</v>
      </c>
      <c r="S28" s="48">
        <f t="shared" si="1"/>
        <v>2290</v>
      </c>
      <c r="T28" s="48">
        <f>+'24'!K214</f>
        <v>2290</v>
      </c>
      <c r="U28" s="49">
        <f t="shared" si="2"/>
        <v>0</v>
      </c>
      <c r="V28" s="5"/>
    </row>
    <row r="29" spans="1:22">
      <c r="A29" s="10">
        <v>25</v>
      </c>
      <c r="B29" s="11" t="s">
        <v>40</v>
      </c>
      <c r="C29" s="45">
        <v>0</v>
      </c>
      <c r="D29" s="46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10</v>
      </c>
      <c r="E29" s="45">
        <f t="shared" si="0"/>
        <v>10</v>
      </c>
      <c r="F29" s="46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5">
        <v>0</v>
      </c>
      <c r="H29" s="46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8</v>
      </c>
      <c r="I29" s="15">
        <v>100</v>
      </c>
      <c r="J29" s="46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800</v>
      </c>
      <c r="K29" s="15"/>
      <c r="L29" s="47">
        <v>25</v>
      </c>
      <c r="M29" s="48">
        <f>+'25'!K207</f>
        <v>2920</v>
      </c>
      <c r="N29" s="48">
        <f>+'25'!K212</f>
        <v>400</v>
      </c>
      <c r="O29" s="48">
        <f>+'25'!K210</f>
        <v>0</v>
      </c>
      <c r="P29" s="48">
        <f>+'25'!K208</f>
        <v>20</v>
      </c>
      <c r="Q29" s="48">
        <f>+'25'!K211</f>
        <v>0</v>
      </c>
      <c r="R29" s="48">
        <f>+'25'!K209</f>
        <v>765</v>
      </c>
      <c r="S29" s="48">
        <f t="shared" si="1"/>
        <v>1735</v>
      </c>
      <c r="T29" s="48">
        <f>+'25'!K214</f>
        <v>1735</v>
      </c>
      <c r="U29" s="49">
        <f t="shared" si="2"/>
        <v>0</v>
      </c>
      <c r="V29" s="5"/>
    </row>
    <row r="30" spans="1:22">
      <c r="A30" s="10">
        <v>26</v>
      </c>
      <c r="B30" s="11" t="s">
        <v>41</v>
      </c>
      <c r="C30" s="45">
        <v>0</v>
      </c>
      <c r="D30" s="46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5">
        <f t="shared" si="0"/>
        <v>0</v>
      </c>
      <c r="F30" s="46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5">
        <v>0</v>
      </c>
      <c r="H30" s="46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2</v>
      </c>
      <c r="I30" s="15">
        <v>100</v>
      </c>
      <c r="J30" s="46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200</v>
      </c>
      <c r="K30" s="15"/>
      <c r="L30" s="47">
        <v>26</v>
      </c>
      <c r="M30" s="48">
        <f>+'26'!K207</f>
        <v>3125</v>
      </c>
      <c r="N30" s="48">
        <f>+'26'!K212</f>
        <v>540</v>
      </c>
      <c r="O30" s="48">
        <f>+'26'!K210</f>
        <v>0</v>
      </c>
      <c r="P30" s="48">
        <f>+'26'!K208</f>
        <v>20</v>
      </c>
      <c r="Q30" s="48">
        <f>+'26'!K211</f>
        <v>0</v>
      </c>
      <c r="R30" s="48">
        <f>+'26'!K209</f>
        <v>910</v>
      </c>
      <c r="S30" s="48">
        <f t="shared" si="1"/>
        <v>1655</v>
      </c>
      <c r="T30" s="48">
        <f>+'26'!K214</f>
        <v>1655</v>
      </c>
      <c r="U30" s="49">
        <f t="shared" si="2"/>
        <v>0</v>
      </c>
      <c r="V30" s="5"/>
    </row>
    <row r="31" spans="1:22">
      <c r="A31" s="10">
        <v>27</v>
      </c>
      <c r="B31" s="11" t="s">
        <v>42</v>
      </c>
      <c r="C31" s="45">
        <v>0</v>
      </c>
      <c r="D31" s="46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5</v>
      </c>
      <c r="E31" s="45">
        <f t="shared" si="0"/>
        <v>5</v>
      </c>
      <c r="F31" s="46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45">
        <v>0</v>
      </c>
      <c r="H31" s="46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4</v>
      </c>
      <c r="I31" s="15">
        <v>100</v>
      </c>
      <c r="J31" s="46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400</v>
      </c>
      <c r="K31" s="15"/>
      <c r="L31" s="47">
        <v>27</v>
      </c>
      <c r="M31" s="48">
        <f>+'27'!K207</f>
        <v>1855</v>
      </c>
      <c r="N31" s="48">
        <f>+'27'!K212</f>
        <v>435</v>
      </c>
      <c r="O31" s="48">
        <f>+'27'!K210</f>
        <v>0</v>
      </c>
      <c r="P31" s="48">
        <f>+'27'!K208</f>
        <v>20</v>
      </c>
      <c r="Q31" s="48">
        <f>+'27'!K211</f>
        <v>0</v>
      </c>
      <c r="R31" s="48">
        <f>+'27'!K209</f>
        <v>270</v>
      </c>
      <c r="S31" s="48">
        <f t="shared" si="1"/>
        <v>1130</v>
      </c>
      <c r="T31" s="48">
        <f>+'27'!K214</f>
        <v>1130</v>
      </c>
      <c r="U31" s="49">
        <f t="shared" si="2"/>
        <v>0</v>
      </c>
      <c r="V31" s="5"/>
    </row>
    <row r="32" spans="1:22">
      <c r="A32" s="10">
        <v>28</v>
      </c>
      <c r="B32" s="11" t="s">
        <v>43</v>
      </c>
      <c r="C32" s="45">
        <v>0</v>
      </c>
      <c r="D32" s="46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5">
        <f t="shared" si="0"/>
        <v>0</v>
      </c>
      <c r="F32" s="46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5">
        <v>0</v>
      </c>
      <c r="H32" s="46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6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7">
        <v>28</v>
      </c>
      <c r="M32" s="48">
        <f>+'28'!K207</f>
        <v>1775</v>
      </c>
      <c r="N32" s="48">
        <f>+'28'!K212</f>
        <v>430</v>
      </c>
      <c r="O32" s="48">
        <f>+'28'!K210</f>
        <v>0</v>
      </c>
      <c r="P32" s="48">
        <f>+'28'!K208</f>
        <v>20</v>
      </c>
      <c r="Q32" s="48">
        <f>+'28'!K211</f>
        <v>0</v>
      </c>
      <c r="R32" s="48">
        <f>+'28'!K209</f>
        <v>500</v>
      </c>
      <c r="S32" s="48">
        <f t="shared" si="1"/>
        <v>825</v>
      </c>
      <c r="T32" s="48">
        <f>+'28'!K214</f>
        <v>825</v>
      </c>
      <c r="U32" s="49">
        <f t="shared" si="2"/>
        <v>0</v>
      </c>
      <c r="V32" s="5"/>
    </row>
    <row r="33" spans="1:22">
      <c r="A33" s="10">
        <v>29</v>
      </c>
      <c r="B33" s="11" t="s">
        <v>44</v>
      </c>
      <c r="C33" s="45">
        <v>0</v>
      </c>
      <c r="D33" s="46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10</v>
      </c>
      <c r="E33" s="45">
        <f t="shared" si="0"/>
        <v>10</v>
      </c>
      <c r="F33" s="46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5">
        <v>0</v>
      </c>
      <c r="H33" s="46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10</v>
      </c>
      <c r="I33" s="15">
        <v>130</v>
      </c>
      <c r="J33" s="46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1300</v>
      </c>
      <c r="K33" s="15"/>
      <c r="L33" s="47">
        <v>29</v>
      </c>
      <c r="M33" s="48">
        <f>+'29'!K207</f>
        <v>2425</v>
      </c>
      <c r="N33" s="48">
        <f>+'29'!K212</f>
        <v>710</v>
      </c>
      <c r="O33" s="48">
        <f>+'29'!K210</f>
        <v>0</v>
      </c>
      <c r="P33" s="48">
        <f>+'29'!K208</f>
        <v>20</v>
      </c>
      <c r="Q33" s="48">
        <f>+'29'!K211</f>
        <v>0</v>
      </c>
      <c r="R33" s="48">
        <f>+'29'!K209</f>
        <v>705</v>
      </c>
      <c r="S33" s="48">
        <f t="shared" si="1"/>
        <v>990</v>
      </c>
      <c r="T33" s="48">
        <f>+'29'!K214</f>
        <v>990</v>
      </c>
      <c r="U33" s="49">
        <f t="shared" si="2"/>
        <v>0</v>
      </c>
      <c r="V33" s="5"/>
    </row>
    <row r="34" spans="1:22">
      <c r="A34" s="10">
        <v>30</v>
      </c>
      <c r="B34" s="11" t="s">
        <v>45</v>
      </c>
      <c r="C34" s="45">
        <v>0</v>
      </c>
      <c r="D34" s="46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5</v>
      </c>
      <c r="E34" s="45">
        <f t="shared" si="0"/>
        <v>5</v>
      </c>
      <c r="F34" s="46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5">
        <v>0</v>
      </c>
      <c r="H34" s="46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10</v>
      </c>
      <c r="I34" s="15">
        <v>130</v>
      </c>
      <c r="J34" s="46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1300</v>
      </c>
      <c r="K34" s="15"/>
      <c r="L34" s="47">
        <v>30</v>
      </c>
      <c r="M34" s="48">
        <f>+'30'!K207</f>
        <v>0</v>
      </c>
      <c r="N34" s="48">
        <f>+'30'!K212</f>
        <v>0</v>
      </c>
      <c r="O34" s="48">
        <f>+'30'!K210</f>
        <v>0</v>
      </c>
      <c r="P34" s="48">
        <f>+'30'!K208</f>
        <v>0</v>
      </c>
      <c r="Q34" s="48">
        <f>+'30'!K211</f>
        <v>0</v>
      </c>
      <c r="R34" s="48">
        <f>+'30'!K209</f>
        <v>0</v>
      </c>
      <c r="S34" s="48">
        <f t="shared" si="1"/>
        <v>0</v>
      </c>
      <c r="T34" s="48">
        <f>+'30'!K214</f>
        <v>0</v>
      </c>
      <c r="U34" s="49">
        <f t="shared" si="2"/>
        <v>0</v>
      </c>
      <c r="V34" s="5"/>
    </row>
    <row r="35" spans="1:22">
      <c r="A35" s="10">
        <v>31</v>
      </c>
      <c r="B35" s="11" t="s">
        <v>46</v>
      </c>
      <c r="C35" s="45">
        <v>9</v>
      </c>
      <c r="D35" s="46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5</v>
      </c>
      <c r="E35" s="45">
        <f t="shared" si="0"/>
        <v>14</v>
      </c>
      <c r="F35" s="46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5">
        <v>0</v>
      </c>
      <c r="H35" s="46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12</v>
      </c>
      <c r="I35" s="15">
        <v>130</v>
      </c>
      <c r="J35" s="46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1560</v>
      </c>
      <c r="K35" s="15"/>
      <c r="L35" s="47">
        <v>31</v>
      </c>
      <c r="M35" s="48">
        <f>+'31'!K207</f>
        <v>0</v>
      </c>
      <c r="N35" s="48">
        <f>+'31'!K212</f>
        <v>0</v>
      </c>
      <c r="O35" s="48">
        <f>+'31'!K210</f>
        <v>0</v>
      </c>
      <c r="P35" s="48">
        <f>+'31'!K208</f>
        <v>0</v>
      </c>
      <c r="Q35" s="48">
        <f>+'30'!K211</f>
        <v>0</v>
      </c>
      <c r="R35" s="48">
        <f>+'31'!K209</f>
        <v>0</v>
      </c>
      <c r="S35" s="48">
        <f t="shared" si="1"/>
        <v>0</v>
      </c>
      <c r="T35" s="48">
        <f>+'31'!K214</f>
        <v>0</v>
      </c>
      <c r="U35" s="49">
        <f t="shared" si="2"/>
        <v>0</v>
      </c>
      <c r="V35" s="5"/>
    </row>
    <row r="36" spans="1:22">
      <c r="A36" s="10">
        <v>32</v>
      </c>
      <c r="B36" s="11" t="s">
        <v>47</v>
      </c>
      <c r="C36" s="45">
        <v>0</v>
      </c>
      <c r="D36" s="46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5">
        <f t="shared" si="0"/>
        <v>0</v>
      </c>
      <c r="F36" s="46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5">
        <v>0</v>
      </c>
      <c r="H36" s="46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6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>SUM(M5:M35)</f>
        <v>68090</v>
      </c>
      <c r="N36" s="51">
        <f>SUM(N5:N35)</f>
        <v>10779</v>
      </c>
      <c r="O36" s="51">
        <f t="shared" ref="O36:U36" si="3">SUM(O5:O35)</f>
        <v>0</v>
      </c>
      <c r="P36" s="51">
        <f t="shared" si="3"/>
        <v>540</v>
      </c>
      <c r="Q36" s="51">
        <f t="shared" si="3"/>
        <v>80</v>
      </c>
      <c r="R36" s="51">
        <f t="shared" si="3"/>
        <v>17860</v>
      </c>
      <c r="S36" s="51">
        <f t="shared" si="3"/>
        <v>38831</v>
      </c>
      <c r="T36" s="51">
        <f t="shared" si="3"/>
        <v>39021</v>
      </c>
      <c r="U36" s="51">
        <f t="shared" si="3"/>
        <v>190</v>
      </c>
    </row>
    <row r="37" spans="1:22">
      <c r="A37" s="10">
        <v>33</v>
      </c>
      <c r="B37" s="11" t="s">
        <v>48</v>
      </c>
      <c r="C37" s="45">
        <v>0</v>
      </c>
      <c r="D37" s="46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30</v>
      </c>
      <c r="E37" s="45">
        <f t="shared" si="0"/>
        <v>30</v>
      </c>
      <c r="F37" s="46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5">
        <v>0</v>
      </c>
      <c r="H37" s="46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46</v>
      </c>
      <c r="I37" s="15">
        <v>100</v>
      </c>
      <c r="J37" s="46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4600</v>
      </c>
      <c r="K37" s="15"/>
      <c r="P37" s="52"/>
      <c r="S37" s="52"/>
      <c r="U37" s="5"/>
    </row>
    <row r="38" spans="1:22">
      <c r="A38" s="10">
        <v>34</v>
      </c>
      <c r="B38" s="11" t="s">
        <v>49</v>
      </c>
      <c r="C38" s="45">
        <v>3</v>
      </c>
      <c r="D38" s="46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16</v>
      </c>
      <c r="E38" s="45">
        <f t="shared" si="0"/>
        <v>19</v>
      </c>
      <c r="F38" s="46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5">
        <v>0</v>
      </c>
      <c r="H38" s="46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21</v>
      </c>
      <c r="I38" s="15">
        <v>50</v>
      </c>
      <c r="J38" s="46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1050</v>
      </c>
      <c r="K38" s="15"/>
      <c r="M38" s="53"/>
      <c r="N38" s="52"/>
      <c r="U38" s="5"/>
    </row>
    <row r="39" spans="1:22">
      <c r="A39" s="10">
        <v>35</v>
      </c>
      <c r="B39" s="11" t="s">
        <v>50</v>
      </c>
      <c r="C39" s="45">
        <v>7</v>
      </c>
      <c r="D39" s="46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14</v>
      </c>
      <c r="E39" s="45">
        <f t="shared" si="0"/>
        <v>21</v>
      </c>
      <c r="F39" s="46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5">
        <v>0</v>
      </c>
      <c r="H39" s="46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19</v>
      </c>
      <c r="I39" s="15">
        <v>50</v>
      </c>
      <c r="J39" s="46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950</v>
      </c>
      <c r="K39" s="15"/>
      <c r="M39" s="54"/>
      <c r="O39" s="52"/>
      <c r="U39" s="5"/>
    </row>
    <row r="40" spans="1:22">
      <c r="A40" s="10">
        <v>36</v>
      </c>
      <c r="B40" s="11" t="s">
        <v>51</v>
      </c>
      <c r="C40" s="45">
        <v>5</v>
      </c>
      <c r="D40" s="46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14</v>
      </c>
      <c r="E40" s="45">
        <f t="shared" si="0"/>
        <v>19</v>
      </c>
      <c r="F40" s="46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1</v>
      </c>
      <c r="G40" s="45">
        <v>0</v>
      </c>
      <c r="H40" s="46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18</v>
      </c>
      <c r="I40" s="15">
        <v>50</v>
      </c>
      <c r="J40" s="46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900</v>
      </c>
      <c r="K40" s="15"/>
      <c r="M40" s="54"/>
      <c r="U40" s="5"/>
    </row>
    <row r="41" spans="1:22">
      <c r="A41" s="10">
        <v>37</v>
      </c>
      <c r="B41" s="11" t="s">
        <v>52</v>
      </c>
      <c r="C41" s="45">
        <v>0</v>
      </c>
      <c r="D41" s="46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5">
        <f t="shared" si="0"/>
        <v>10</v>
      </c>
      <c r="F41" s="46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5">
        <v>0</v>
      </c>
      <c r="H41" s="46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11</v>
      </c>
      <c r="I41" s="15">
        <v>50</v>
      </c>
      <c r="J41" s="46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550</v>
      </c>
      <c r="K41" s="15"/>
      <c r="M41" s="54"/>
      <c r="U41" s="5"/>
    </row>
    <row r="42" spans="1:22">
      <c r="A42" s="10">
        <v>38</v>
      </c>
      <c r="B42" s="11" t="s">
        <v>53</v>
      </c>
      <c r="C42" s="45">
        <v>15</v>
      </c>
      <c r="D42" s="46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5">
        <f t="shared" si="0"/>
        <v>25</v>
      </c>
      <c r="F42" s="46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4</v>
      </c>
      <c r="G42" s="45">
        <v>0</v>
      </c>
      <c r="H42" s="46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13</v>
      </c>
      <c r="I42" s="15">
        <v>50</v>
      </c>
      <c r="J42" s="46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650</v>
      </c>
      <c r="K42" s="15"/>
      <c r="M42" s="54"/>
      <c r="U42" s="5"/>
    </row>
    <row r="43" spans="1:22">
      <c r="A43" s="10">
        <v>39</v>
      </c>
      <c r="B43" s="11" t="s">
        <v>54</v>
      </c>
      <c r="C43" s="45">
        <v>0</v>
      </c>
      <c r="D43" s="46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5">
        <f t="shared" si="0"/>
        <v>10</v>
      </c>
      <c r="F43" s="46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5">
        <v>0</v>
      </c>
      <c r="H43" s="46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7</v>
      </c>
      <c r="I43" s="15">
        <v>50</v>
      </c>
      <c r="J43" s="46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350</v>
      </c>
      <c r="K43" s="15"/>
      <c r="M43" s="54"/>
      <c r="U43" s="5"/>
    </row>
    <row r="44" spans="1:22">
      <c r="A44" s="10">
        <v>40</v>
      </c>
      <c r="B44" s="11" t="s">
        <v>55</v>
      </c>
      <c r="C44" s="45">
        <v>0</v>
      </c>
      <c r="D44" s="46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5">
        <f t="shared" si="0"/>
        <v>10</v>
      </c>
      <c r="F44" s="46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5">
        <v>0</v>
      </c>
      <c r="H44" s="46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15</v>
      </c>
      <c r="I44" s="15">
        <v>50</v>
      </c>
      <c r="J44" s="46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750</v>
      </c>
      <c r="K44" s="15"/>
      <c r="M44" s="54"/>
      <c r="U44" s="5"/>
    </row>
    <row r="45" spans="1:22">
      <c r="A45" s="10">
        <v>41</v>
      </c>
      <c r="B45" s="11" t="s">
        <v>56</v>
      </c>
      <c r="C45" s="45">
        <v>0</v>
      </c>
      <c r="D45" s="46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5">
        <f t="shared" si="0"/>
        <v>0</v>
      </c>
      <c r="F45" s="46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5">
        <v>0</v>
      </c>
      <c r="H45" s="46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4</v>
      </c>
      <c r="I45" s="15">
        <v>50</v>
      </c>
      <c r="J45" s="46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200</v>
      </c>
      <c r="K45" s="15"/>
      <c r="M45" s="54"/>
      <c r="O45" s="52"/>
      <c r="U45" s="5"/>
    </row>
    <row r="46" spans="1:22">
      <c r="A46" s="10">
        <v>42</v>
      </c>
      <c r="B46" s="11" t="s">
        <v>57</v>
      </c>
      <c r="C46" s="45">
        <v>15</v>
      </c>
      <c r="D46" s="46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5">
        <f t="shared" si="0"/>
        <v>25</v>
      </c>
      <c r="F46" s="46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5">
        <v>0</v>
      </c>
      <c r="H46" s="46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17</v>
      </c>
      <c r="I46" s="15">
        <v>50</v>
      </c>
      <c r="J46" s="46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850</v>
      </c>
      <c r="K46" s="22"/>
      <c r="M46" s="54"/>
      <c r="U46" s="5"/>
    </row>
    <row r="47" spans="1:22">
      <c r="A47" s="10">
        <v>43</v>
      </c>
      <c r="B47" s="11" t="s">
        <v>58</v>
      </c>
      <c r="C47" s="45">
        <v>0</v>
      </c>
      <c r="D47" s="46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35</v>
      </c>
      <c r="E47" s="45">
        <f t="shared" si="0"/>
        <v>35</v>
      </c>
      <c r="F47" s="46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5">
        <v>0</v>
      </c>
      <c r="H47" s="46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24</v>
      </c>
      <c r="I47" s="15">
        <v>50</v>
      </c>
      <c r="J47" s="46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1200</v>
      </c>
      <c r="K47" s="22"/>
      <c r="M47" s="54"/>
      <c r="U47" s="5"/>
    </row>
    <row r="48" spans="1:22">
      <c r="A48" s="10">
        <v>44</v>
      </c>
      <c r="B48" s="11" t="s">
        <v>59</v>
      </c>
      <c r="C48" s="45">
        <v>0</v>
      </c>
      <c r="D48" s="46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5">
        <f t="shared" si="0"/>
        <v>5</v>
      </c>
      <c r="F48" s="46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3</v>
      </c>
      <c r="G48" s="45">
        <v>0</v>
      </c>
      <c r="H48" s="46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5">
        <v>50</v>
      </c>
      <c r="J48" s="46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22"/>
      <c r="M48" s="54"/>
      <c r="U48" s="5"/>
    </row>
    <row r="49" spans="1:21">
      <c r="A49" s="10">
        <v>45</v>
      </c>
      <c r="B49" s="11" t="s">
        <v>60</v>
      </c>
      <c r="C49" s="45">
        <v>0</v>
      </c>
      <c r="D49" s="46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5">
        <f t="shared" si="0"/>
        <v>0</v>
      </c>
      <c r="F49" s="46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5">
        <v>0</v>
      </c>
      <c r="H49" s="46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</v>
      </c>
      <c r="I49" s="15">
        <v>50</v>
      </c>
      <c r="J49" s="46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</v>
      </c>
      <c r="K49" s="22"/>
      <c r="M49" s="54"/>
      <c r="U49" s="5"/>
    </row>
    <row r="50" spans="1:21">
      <c r="A50" s="10">
        <v>46</v>
      </c>
      <c r="B50" s="11" t="s">
        <v>61</v>
      </c>
      <c r="C50" s="45">
        <v>19</v>
      </c>
      <c r="D50" s="46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16</v>
      </c>
      <c r="E50" s="45">
        <f t="shared" si="0"/>
        <v>35</v>
      </c>
      <c r="F50" s="46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5">
        <v>0</v>
      </c>
      <c r="H50" s="46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22</v>
      </c>
      <c r="I50" s="15">
        <v>120</v>
      </c>
      <c r="J50" s="46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2640</v>
      </c>
      <c r="K50" s="22"/>
      <c r="M50" s="54"/>
      <c r="U50" s="5"/>
    </row>
    <row r="51" spans="1:21">
      <c r="A51" s="10">
        <v>47</v>
      </c>
      <c r="B51" s="11" t="s">
        <v>62</v>
      </c>
      <c r="C51" s="45">
        <v>0</v>
      </c>
      <c r="D51" s="46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10</v>
      </c>
      <c r="E51" s="45">
        <f t="shared" si="0"/>
        <v>10</v>
      </c>
      <c r="F51" s="46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5">
        <v>0</v>
      </c>
      <c r="H51" s="46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6</v>
      </c>
      <c r="I51" s="15">
        <v>120</v>
      </c>
      <c r="J51" s="46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720</v>
      </c>
      <c r="K51" s="22"/>
      <c r="M51" s="54"/>
      <c r="U51" s="5"/>
    </row>
    <row r="52" spans="1:21">
      <c r="A52" s="10">
        <v>48</v>
      </c>
      <c r="B52" s="11" t="s">
        <v>63</v>
      </c>
      <c r="C52" s="45">
        <v>2</v>
      </c>
      <c r="D52" s="46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20</v>
      </c>
      <c r="E52" s="45">
        <f t="shared" si="0"/>
        <v>22</v>
      </c>
      <c r="F52" s="46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5">
        <v>0</v>
      </c>
      <c r="H52" s="46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15</v>
      </c>
      <c r="I52" s="21">
        <v>120</v>
      </c>
      <c r="J52" s="46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1800</v>
      </c>
      <c r="K52" s="22"/>
      <c r="M52" s="54"/>
      <c r="U52" s="5"/>
    </row>
    <row r="53" spans="1:21">
      <c r="A53" s="10">
        <v>49</v>
      </c>
      <c r="B53" s="11" t="s">
        <v>64</v>
      </c>
      <c r="C53" s="45">
        <v>0</v>
      </c>
      <c r="D53" s="46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14</v>
      </c>
      <c r="E53" s="45">
        <f t="shared" si="0"/>
        <v>14</v>
      </c>
      <c r="F53" s="46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5">
        <v>0</v>
      </c>
      <c r="H53" s="46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15</v>
      </c>
      <c r="I53" s="15">
        <v>120</v>
      </c>
      <c r="J53" s="46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1800</v>
      </c>
      <c r="K53" s="22"/>
      <c r="M53" s="54"/>
      <c r="U53" s="5"/>
    </row>
    <row r="54" spans="1:21">
      <c r="A54" s="10">
        <v>50</v>
      </c>
      <c r="B54" s="11" t="s">
        <v>65</v>
      </c>
      <c r="C54" s="45">
        <v>12</v>
      </c>
      <c r="D54" s="46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5</v>
      </c>
      <c r="E54" s="45">
        <f t="shared" si="0"/>
        <v>17</v>
      </c>
      <c r="F54" s="46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5">
        <v>0</v>
      </c>
      <c r="H54" s="46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9</v>
      </c>
      <c r="I54" s="15">
        <v>120</v>
      </c>
      <c r="J54" s="46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1080</v>
      </c>
      <c r="K54" s="22"/>
      <c r="M54" s="54"/>
      <c r="U54" s="5"/>
    </row>
    <row r="55" spans="1:21">
      <c r="A55" s="10">
        <v>51</v>
      </c>
      <c r="B55" s="11" t="s">
        <v>66</v>
      </c>
      <c r="C55" s="45">
        <v>9</v>
      </c>
      <c r="D55" s="46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25</v>
      </c>
      <c r="E55" s="45">
        <f t="shared" si="0"/>
        <v>34</v>
      </c>
      <c r="F55" s="46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5">
        <v>0</v>
      </c>
      <c r="H55" s="46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32</v>
      </c>
      <c r="I55" s="21">
        <v>120</v>
      </c>
      <c r="J55" s="46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3840</v>
      </c>
      <c r="K55" s="20"/>
      <c r="M55" s="54"/>
      <c r="U55" s="5"/>
    </row>
    <row r="56" spans="1:21">
      <c r="A56" s="10">
        <v>52</v>
      </c>
      <c r="B56" s="11" t="s">
        <v>67</v>
      </c>
      <c r="C56" s="45">
        <v>0</v>
      </c>
      <c r="D56" s="46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5</v>
      </c>
      <c r="E56" s="45">
        <f t="shared" si="0"/>
        <v>5</v>
      </c>
      <c r="F56" s="46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5">
        <v>0</v>
      </c>
      <c r="H56" s="46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2</v>
      </c>
      <c r="I56" s="21">
        <v>120</v>
      </c>
      <c r="J56" s="46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240</v>
      </c>
      <c r="K56" s="20"/>
      <c r="M56" s="54"/>
      <c r="U56" s="5"/>
    </row>
    <row r="57" spans="1:21">
      <c r="A57" s="10">
        <v>53</v>
      </c>
      <c r="B57" s="11" t="s">
        <v>68</v>
      </c>
      <c r="C57" s="45">
        <v>18</v>
      </c>
      <c r="D57" s="46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10</v>
      </c>
      <c r="E57" s="45">
        <f t="shared" si="0"/>
        <v>28</v>
      </c>
      <c r="F57" s="46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8</v>
      </c>
      <c r="G57" s="45">
        <v>0</v>
      </c>
      <c r="H57" s="46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8</v>
      </c>
      <c r="I57" s="21">
        <v>120</v>
      </c>
      <c r="J57" s="46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960</v>
      </c>
      <c r="K57" s="20"/>
      <c r="M57" s="54"/>
      <c r="U57" s="5"/>
    </row>
    <row r="58" spans="1:21">
      <c r="A58" s="10">
        <v>54</v>
      </c>
      <c r="B58" s="11" t="s">
        <v>69</v>
      </c>
      <c r="C58" s="45">
        <v>4</v>
      </c>
      <c r="D58" s="46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5">
        <f t="shared" si="0"/>
        <v>4</v>
      </c>
      <c r="F58" s="46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5">
        <v>0</v>
      </c>
      <c r="H58" s="46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1">
        <v>120</v>
      </c>
      <c r="J58" s="46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20"/>
      <c r="M58" s="54"/>
      <c r="U58" s="5"/>
    </row>
    <row r="59" spans="1:21">
      <c r="A59" s="10">
        <v>55</v>
      </c>
      <c r="B59" s="11" t="s">
        <v>70</v>
      </c>
      <c r="C59" s="45">
        <v>0</v>
      </c>
      <c r="D59" s="46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5">
        <f t="shared" si="0"/>
        <v>0</v>
      </c>
      <c r="F59" s="46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5">
        <v>0</v>
      </c>
      <c r="H59" s="46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6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>
      <c r="A60" s="10">
        <v>56</v>
      </c>
      <c r="B60" s="11" t="s">
        <v>71</v>
      </c>
      <c r="C60" s="45">
        <v>0</v>
      </c>
      <c r="D60" s="46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5">
        <f t="shared" si="0"/>
        <v>0</v>
      </c>
      <c r="F60" s="46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5">
        <v>0</v>
      </c>
      <c r="H60" s="46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6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>
      <c r="A61" s="10">
        <v>57</v>
      </c>
      <c r="B61" s="11" t="s">
        <v>72</v>
      </c>
      <c r="C61" s="45">
        <v>0</v>
      </c>
      <c r="D61" s="46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5">
        <f t="shared" si="0"/>
        <v>0</v>
      </c>
      <c r="F61" s="46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5">
        <v>0</v>
      </c>
      <c r="H61" s="46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6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4"/>
      <c r="U61" s="5"/>
    </row>
    <row r="62" spans="1:21">
      <c r="A62" s="10">
        <v>58</v>
      </c>
      <c r="B62" s="19" t="s">
        <v>73</v>
      </c>
      <c r="C62" s="45">
        <v>0</v>
      </c>
      <c r="D62" s="46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5">
        <f t="shared" si="0"/>
        <v>0</v>
      </c>
      <c r="F62" s="46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5">
        <v>0</v>
      </c>
      <c r="H62" s="46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0">
        <v>50</v>
      </c>
      <c r="J62" s="46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4"/>
      <c r="U62" s="5"/>
    </row>
    <row r="63" spans="1:21">
      <c r="A63" s="10">
        <v>59</v>
      </c>
      <c r="B63" s="19" t="s">
        <v>74</v>
      </c>
      <c r="C63" s="45">
        <v>0</v>
      </c>
      <c r="D63" s="46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5">
        <f t="shared" si="0"/>
        <v>0</v>
      </c>
      <c r="F63" s="46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5">
        <v>0</v>
      </c>
      <c r="H63" s="46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0">
        <v>50</v>
      </c>
      <c r="J63" s="46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4"/>
      <c r="U63" s="5"/>
    </row>
    <row r="64" spans="1:21">
      <c r="A64" s="10">
        <v>60</v>
      </c>
      <c r="B64" s="11" t="s">
        <v>75</v>
      </c>
      <c r="C64" s="45">
        <v>0</v>
      </c>
      <c r="D64" s="46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5">
        <f t="shared" si="0"/>
        <v>0</v>
      </c>
      <c r="F64" s="46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5">
        <v>0</v>
      </c>
      <c r="H64" s="46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6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>
      <c r="A65" s="10">
        <v>61</v>
      </c>
      <c r="B65" s="11" t="s">
        <v>76</v>
      </c>
      <c r="C65" s="45">
        <v>0</v>
      </c>
      <c r="D65" s="46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5">
        <f t="shared" si="0"/>
        <v>0</v>
      </c>
      <c r="F65" s="46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5">
        <v>0</v>
      </c>
      <c r="H65" s="46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6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>
      <c r="A66" s="10">
        <v>62</v>
      </c>
      <c r="B66" s="11" t="s">
        <v>77</v>
      </c>
      <c r="C66" s="45">
        <v>1</v>
      </c>
      <c r="D66" s="46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5">
        <f t="shared" si="0"/>
        <v>1</v>
      </c>
      <c r="F66" s="46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5">
        <v>0</v>
      </c>
      <c r="H66" s="46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6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19"/>
      <c r="M66" s="54"/>
      <c r="U66" s="5"/>
    </row>
    <row r="67" spans="1:21">
      <c r="A67" s="10">
        <v>63</v>
      </c>
      <c r="B67" s="11" t="s">
        <v>78</v>
      </c>
      <c r="C67" s="45">
        <v>3</v>
      </c>
      <c r="D67" s="46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5">
        <f t="shared" si="0"/>
        <v>3</v>
      </c>
      <c r="F67" s="46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5">
        <v>0</v>
      </c>
      <c r="H67" s="46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5">
        <v>50</v>
      </c>
      <c r="J67" s="46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9"/>
      <c r="M67" s="54"/>
      <c r="U67" s="5"/>
    </row>
    <row r="68" spans="1:21">
      <c r="A68" s="10">
        <v>64</v>
      </c>
      <c r="B68" s="19" t="s">
        <v>79</v>
      </c>
      <c r="C68" s="45">
        <v>0</v>
      </c>
      <c r="D68" s="46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5">
        <f t="shared" si="0"/>
        <v>0</v>
      </c>
      <c r="F68" s="46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5">
        <v>0</v>
      </c>
      <c r="H68" s="46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35</v>
      </c>
      <c r="J68" s="46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>
      <c r="A69" s="10">
        <v>65</v>
      </c>
      <c r="B69" s="19" t="s">
        <v>80</v>
      </c>
      <c r="C69" s="45">
        <v>0</v>
      </c>
      <c r="D69" s="46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5">
        <f t="shared" si="0"/>
        <v>0</v>
      </c>
      <c r="F69" s="46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1</v>
      </c>
      <c r="G69" s="45">
        <v>0</v>
      </c>
      <c r="H69" s="46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1</v>
      </c>
      <c r="I69" s="20">
        <v>25</v>
      </c>
      <c r="J69" s="46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25</v>
      </c>
      <c r="K69" s="19"/>
      <c r="M69" s="54"/>
      <c r="U69" s="5"/>
    </row>
    <row r="70" spans="1:21">
      <c r="A70" s="10">
        <v>66</v>
      </c>
      <c r="B70" s="19" t="s">
        <v>81</v>
      </c>
      <c r="C70" s="45">
        <v>13</v>
      </c>
      <c r="D70" s="46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10</v>
      </c>
      <c r="E70" s="45">
        <f t="shared" ref="E70:E202" si="4">+C70+D70</f>
        <v>23</v>
      </c>
      <c r="F70" s="46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5">
        <v>0</v>
      </c>
      <c r="H70" s="46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15</v>
      </c>
      <c r="I70" s="20">
        <v>60</v>
      </c>
      <c r="J70" s="46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790</v>
      </c>
      <c r="K70" s="19"/>
      <c r="M70" s="54"/>
      <c r="U70" s="5"/>
    </row>
    <row r="71" spans="1:21">
      <c r="A71" s="10">
        <v>67</v>
      </c>
      <c r="B71" s="19" t="s">
        <v>82</v>
      </c>
      <c r="C71" s="45">
        <v>0</v>
      </c>
      <c r="D71" s="46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5">
        <f t="shared" si="4"/>
        <v>0</v>
      </c>
      <c r="F71" s="46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5">
        <v>0</v>
      </c>
      <c r="H71" s="46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0">
        <v>60</v>
      </c>
      <c r="J71" s="46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19"/>
      <c r="M71" s="54"/>
      <c r="U71" s="5"/>
    </row>
    <row r="72" spans="1:21">
      <c r="A72" s="10">
        <v>68</v>
      </c>
      <c r="B72" s="19" t="s">
        <v>83</v>
      </c>
      <c r="C72" s="45">
        <v>0</v>
      </c>
      <c r="D72" s="46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6</v>
      </c>
      <c r="E72" s="45">
        <f t="shared" si="4"/>
        <v>6</v>
      </c>
      <c r="F72" s="46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5">
        <v>0</v>
      </c>
      <c r="H72" s="46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7</v>
      </c>
      <c r="I72" s="22">
        <v>50</v>
      </c>
      <c r="J72" s="46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350</v>
      </c>
      <c r="K72" s="19"/>
      <c r="M72" s="54"/>
      <c r="U72" s="5"/>
    </row>
    <row r="73" spans="1:21">
      <c r="A73" s="10">
        <v>69</v>
      </c>
      <c r="B73" s="19" t="s">
        <v>84</v>
      </c>
      <c r="C73" s="45">
        <v>0</v>
      </c>
      <c r="D73" s="46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14</v>
      </c>
      <c r="E73" s="45">
        <f t="shared" si="4"/>
        <v>14</v>
      </c>
      <c r="F73" s="46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5">
        <v>0</v>
      </c>
      <c r="H73" s="46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14</v>
      </c>
      <c r="I73" s="20">
        <v>60</v>
      </c>
      <c r="J73" s="46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840</v>
      </c>
      <c r="K73" s="19"/>
      <c r="M73" s="54"/>
      <c r="U73" s="5"/>
    </row>
    <row r="74" spans="1:21">
      <c r="A74" s="10">
        <v>70</v>
      </c>
      <c r="B74" s="19" t="s">
        <v>85</v>
      </c>
      <c r="C74" s="45">
        <v>0</v>
      </c>
      <c r="D74" s="46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14</v>
      </c>
      <c r="E74" s="45">
        <f t="shared" si="4"/>
        <v>14</v>
      </c>
      <c r="F74" s="46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5">
        <v>0</v>
      </c>
      <c r="H74" s="46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15</v>
      </c>
      <c r="I74" s="22">
        <v>120</v>
      </c>
      <c r="J74" s="46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1800</v>
      </c>
      <c r="K74" s="19"/>
      <c r="M74" s="54"/>
      <c r="U74" s="5"/>
    </row>
    <row r="75" spans="1:21">
      <c r="A75" s="10">
        <v>71</v>
      </c>
      <c r="B75" s="19" t="s">
        <v>86</v>
      </c>
      <c r="C75" s="45">
        <v>0</v>
      </c>
      <c r="D75" s="46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5">
        <f t="shared" si="4"/>
        <v>0</v>
      </c>
      <c r="F75" s="46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2</v>
      </c>
      <c r="G75" s="45">
        <v>0</v>
      </c>
      <c r="H75" s="46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8</v>
      </c>
      <c r="I75" s="22">
        <v>60</v>
      </c>
      <c r="J75" s="46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480</v>
      </c>
      <c r="K75" s="19"/>
      <c r="M75" s="54"/>
      <c r="U75" s="5"/>
    </row>
    <row r="76" spans="1:21">
      <c r="A76" s="10">
        <v>72</v>
      </c>
      <c r="B76" s="19" t="s">
        <v>87</v>
      </c>
      <c r="C76" s="45">
        <v>0</v>
      </c>
      <c r="D76" s="46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10</v>
      </c>
      <c r="E76" s="45">
        <f t="shared" si="4"/>
        <v>10</v>
      </c>
      <c r="F76" s="46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5</v>
      </c>
      <c r="G76" s="45">
        <v>0</v>
      </c>
      <c r="H76" s="46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11</v>
      </c>
      <c r="I76" s="22">
        <v>120</v>
      </c>
      <c r="J76" s="46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1320</v>
      </c>
      <c r="K76" s="19"/>
      <c r="M76" s="54"/>
      <c r="U76" s="5"/>
    </row>
    <row r="77" spans="1:21">
      <c r="A77" s="10">
        <v>73</v>
      </c>
      <c r="B77" s="19" t="s">
        <v>88</v>
      </c>
      <c r="C77" s="45">
        <v>3</v>
      </c>
      <c r="D77" s="46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45">
        <f t="shared" si="4"/>
        <v>3</v>
      </c>
      <c r="F77" s="46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5">
        <v>0</v>
      </c>
      <c r="H77" s="46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20">
        <v>50</v>
      </c>
      <c r="J77" s="46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19"/>
      <c r="M77" s="54"/>
      <c r="U77" s="5"/>
    </row>
    <row r="78" spans="1:21">
      <c r="A78" s="10">
        <v>74</v>
      </c>
      <c r="B78" s="19" t="s">
        <v>89</v>
      </c>
      <c r="C78" s="45">
        <v>0</v>
      </c>
      <c r="D78" s="46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5">
        <f t="shared" si="4"/>
        <v>0</v>
      </c>
      <c r="F78" s="46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5">
        <v>0</v>
      </c>
      <c r="H78" s="46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2">
        <v>120</v>
      </c>
      <c r="J78" s="46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4"/>
      <c r="T78" s="5"/>
    </row>
    <row r="79" spans="1:21">
      <c r="A79" s="10">
        <v>75</v>
      </c>
      <c r="B79" s="19" t="s">
        <v>90</v>
      </c>
      <c r="C79" s="45">
        <v>9</v>
      </c>
      <c r="D79" s="46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13</v>
      </c>
      <c r="E79" s="45">
        <f t="shared" si="4"/>
        <v>22</v>
      </c>
      <c r="F79" s="46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5">
        <v>0</v>
      </c>
      <c r="H79" s="46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18</v>
      </c>
      <c r="I79" s="22">
        <v>50</v>
      </c>
      <c r="J79" s="46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900</v>
      </c>
      <c r="K79" s="19"/>
      <c r="M79" s="54"/>
      <c r="T79" s="5"/>
    </row>
    <row r="80" spans="1:21">
      <c r="A80" s="10">
        <v>76</v>
      </c>
      <c r="B80" s="19" t="s">
        <v>91</v>
      </c>
      <c r="C80" s="45">
        <v>0</v>
      </c>
      <c r="D80" s="46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2</v>
      </c>
      <c r="E80" s="45">
        <f t="shared" si="4"/>
        <v>2</v>
      </c>
      <c r="F80" s="46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5">
        <v>0</v>
      </c>
      <c r="H80" s="46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5</v>
      </c>
      <c r="I80" s="22">
        <v>55</v>
      </c>
      <c r="J80" s="46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260</v>
      </c>
      <c r="K80" s="19"/>
      <c r="M80" s="54"/>
      <c r="T80" s="5"/>
    </row>
    <row r="81" spans="1:21">
      <c r="A81" s="10">
        <v>77</v>
      </c>
      <c r="B81" s="19" t="s">
        <v>92</v>
      </c>
      <c r="C81" s="45">
        <v>6</v>
      </c>
      <c r="D81" s="46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4</v>
      </c>
      <c r="E81" s="45">
        <f t="shared" si="4"/>
        <v>10</v>
      </c>
      <c r="F81" s="46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1</v>
      </c>
      <c r="G81" s="45">
        <v>0</v>
      </c>
      <c r="H81" s="46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6</v>
      </c>
      <c r="I81" s="20">
        <v>55</v>
      </c>
      <c r="J81" s="46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330</v>
      </c>
      <c r="K81" s="19"/>
      <c r="M81" s="54"/>
      <c r="T81" s="5"/>
    </row>
    <row r="82" spans="1:21">
      <c r="A82" s="10">
        <v>78</v>
      </c>
      <c r="B82" s="19" t="s">
        <v>93</v>
      </c>
      <c r="C82" s="45">
        <v>0</v>
      </c>
      <c r="D82" s="46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5">
        <f t="shared" si="4"/>
        <v>0</v>
      </c>
      <c r="F82" s="46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5">
        <v>0</v>
      </c>
      <c r="H82" s="46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2">
        <v>55</v>
      </c>
      <c r="J82" s="46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4"/>
      <c r="U82" s="5"/>
    </row>
    <row r="83" spans="1:21">
      <c r="A83" s="10">
        <v>79</v>
      </c>
      <c r="B83" s="19" t="s">
        <v>94</v>
      </c>
      <c r="C83" s="45">
        <v>0</v>
      </c>
      <c r="D83" s="46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5">
        <f t="shared" si="4"/>
        <v>0</v>
      </c>
      <c r="F83" s="46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1</v>
      </c>
      <c r="G83" s="45">
        <v>0</v>
      </c>
      <c r="H83" s="46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1</v>
      </c>
      <c r="I83" s="22">
        <v>55</v>
      </c>
      <c r="J83" s="46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55</v>
      </c>
      <c r="K83" s="19"/>
      <c r="M83" s="54"/>
      <c r="U83" s="5"/>
    </row>
    <row r="84" spans="1:21">
      <c r="A84" s="10">
        <v>80</v>
      </c>
      <c r="B84" s="19" t="s">
        <v>95</v>
      </c>
      <c r="C84" s="45">
        <v>0</v>
      </c>
      <c r="D84" s="46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5">
        <f t="shared" si="4"/>
        <v>0</v>
      </c>
      <c r="F84" s="46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5">
        <v>0</v>
      </c>
      <c r="H84" s="46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6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>
      <c r="A85" s="10">
        <v>81</v>
      </c>
      <c r="B85" s="19" t="s">
        <v>96</v>
      </c>
      <c r="C85" s="45">
        <v>4</v>
      </c>
      <c r="D85" s="46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3</v>
      </c>
      <c r="E85" s="45">
        <f t="shared" si="4"/>
        <v>7</v>
      </c>
      <c r="F85" s="46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5">
        <v>0</v>
      </c>
      <c r="H85" s="46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</v>
      </c>
      <c r="I85" s="22">
        <v>100</v>
      </c>
      <c r="J85" s="46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100</v>
      </c>
      <c r="K85" s="19"/>
      <c r="M85" s="54"/>
      <c r="U85" s="5"/>
    </row>
    <row r="86" spans="1:21">
      <c r="A86" s="10">
        <v>82</v>
      </c>
      <c r="B86" s="19" t="s">
        <v>97</v>
      </c>
      <c r="C86" s="45">
        <v>9</v>
      </c>
      <c r="D86" s="46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6</v>
      </c>
      <c r="E86" s="45">
        <f t="shared" si="4"/>
        <v>15</v>
      </c>
      <c r="F86" s="46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5">
        <v>0</v>
      </c>
      <c r="H86" s="46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6</v>
      </c>
      <c r="I86" s="20">
        <v>55</v>
      </c>
      <c r="J86" s="46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330</v>
      </c>
      <c r="K86" s="19"/>
      <c r="M86" s="54"/>
      <c r="U86" s="5"/>
    </row>
    <row r="87" spans="1:21">
      <c r="A87" s="10">
        <v>83</v>
      </c>
      <c r="B87" s="19" t="s">
        <v>98</v>
      </c>
      <c r="C87" s="45">
        <v>1</v>
      </c>
      <c r="D87" s="46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7</v>
      </c>
      <c r="E87" s="45">
        <f t="shared" si="4"/>
        <v>8</v>
      </c>
      <c r="F87" s="46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5">
        <v>0</v>
      </c>
      <c r="H87" s="46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0">
        <v>60</v>
      </c>
      <c r="J87" s="46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19"/>
      <c r="M87" s="54"/>
      <c r="U87" s="5"/>
    </row>
    <row r="88" spans="1:21">
      <c r="A88" s="10">
        <v>84</v>
      </c>
      <c r="B88" s="19" t="s">
        <v>99</v>
      </c>
      <c r="C88" s="45">
        <v>0</v>
      </c>
      <c r="D88" s="46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</v>
      </c>
      <c r="E88" s="45">
        <f t="shared" si="4"/>
        <v>2</v>
      </c>
      <c r="F88" s="46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5">
        <v>0</v>
      </c>
      <c r="H88" s="46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</v>
      </c>
      <c r="I88" s="20">
        <v>100</v>
      </c>
      <c r="J88" s="46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</v>
      </c>
      <c r="K88" s="19"/>
      <c r="M88" s="54"/>
      <c r="U88" s="5"/>
    </row>
    <row r="89" spans="1:21">
      <c r="A89" s="10">
        <v>85</v>
      </c>
      <c r="B89" s="19" t="s">
        <v>100</v>
      </c>
      <c r="C89" s="45">
        <v>5</v>
      </c>
      <c r="D89" s="46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3</v>
      </c>
      <c r="E89" s="45">
        <f t="shared" si="4"/>
        <v>8</v>
      </c>
      <c r="F89" s="46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3</v>
      </c>
      <c r="G89" s="45">
        <v>0</v>
      </c>
      <c r="H89" s="46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0">
        <v>55</v>
      </c>
      <c r="J89" s="46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19"/>
      <c r="M89" s="54"/>
      <c r="U89" s="5"/>
    </row>
    <row r="90" spans="1:21">
      <c r="A90" s="10">
        <v>86</v>
      </c>
      <c r="B90" s="19" t="s">
        <v>101</v>
      </c>
      <c r="C90" s="45">
        <v>1</v>
      </c>
      <c r="D90" s="46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2</v>
      </c>
      <c r="E90" s="45">
        <f t="shared" si="4"/>
        <v>3</v>
      </c>
      <c r="F90" s="46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5">
        <v>0</v>
      </c>
      <c r="H90" s="46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2</v>
      </c>
      <c r="I90" s="20">
        <v>50</v>
      </c>
      <c r="J90" s="46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100</v>
      </c>
      <c r="K90" s="19"/>
      <c r="M90" s="54"/>
      <c r="U90" s="5"/>
    </row>
    <row r="91" spans="1:21">
      <c r="A91" s="10">
        <v>87</v>
      </c>
      <c r="B91" s="19" t="s">
        <v>102</v>
      </c>
      <c r="C91" s="45">
        <v>0</v>
      </c>
      <c r="D91" s="46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2</v>
      </c>
      <c r="E91" s="45">
        <f t="shared" si="4"/>
        <v>2</v>
      </c>
      <c r="F91" s="46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5">
        <v>0</v>
      </c>
      <c r="H91" s="46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2</v>
      </c>
      <c r="I91" s="22">
        <v>50</v>
      </c>
      <c r="J91" s="46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100</v>
      </c>
      <c r="K91" s="19"/>
      <c r="M91" s="54"/>
      <c r="U91" s="5"/>
    </row>
    <row r="92" spans="1:21">
      <c r="A92" s="10">
        <v>88</v>
      </c>
      <c r="B92" s="19" t="s">
        <v>103</v>
      </c>
      <c r="C92" s="45">
        <v>0</v>
      </c>
      <c r="D92" s="46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5">
        <f t="shared" si="4"/>
        <v>0</v>
      </c>
      <c r="F92" s="46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5">
        <v>0</v>
      </c>
      <c r="H92" s="46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6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>
      <c r="A93" s="10">
        <v>89</v>
      </c>
      <c r="B93" s="19" t="s">
        <v>104</v>
      </c>
      <c r="C93" s="45">
        <v>0</v>
      </c>
      <c r="D93" s="46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5">
        <f t="shared" si="4"/>
        <v>0</v>
      </c>
      <c r="F93" s="46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5">
        <v>0</v>
      </c>
      <c r="H93" s="46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6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>
      <c r="A94" s="10">
        <v>90</v>
      </c>
      <c r="B94" s="19" t="s">
        <v>105</v>
      </c>
      <c r="C94" s="45">
        <v>0</v>
      </c>
      <c r="D94" s="46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5">
        <f t="shared" si="4"/>
        <v>0</v>
      </c>
      <c r="F94" s="46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5">
        <v>0</v>
      </c>
      <c r="H94" s="46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6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>
      <c r="A95" s="10">
        <v>91</v>
      </c>
      <c r="B95" s="19" t="s">
        <v>106</v>
      </c>
      <c r="C95" s="45">
        <v>0</v>
      </c>
      <c r="D95" s="46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5">
        <f t="shared" si="4"/>
        <v>0</v>
      </c>
      <c r="F95" s="46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5">
        <v>0</v>
      </c>
      <c r="H95" s="46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6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>
      <c r="A96" s="10">
        <v>92</v>
      </c>
      <c r="B96" s="19" t="s">
        <v>107</v>
      </c>
      <c r="C96" s="45">
        <v>0</v>
      </c>
      <c r="D96" s="46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5">
        <f t="shared" si="4"/>
        <v>0</v>
      </c>
      <c r="F96" s="46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5">
        <v>0</v>
      </c>
      <c r="H96" s="46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6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>
      <c r="A97" s="10">
        <v>93</v>
      </c>
      <c r="B97" s="19" t="s">
        <v>108</v>
      </c>
      <c r="C97" s="45">
        <v>0</v>
      </c>
      <c r="D97" s="46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5">
        <f t="shared" si="4"/>
        <v>0</v>
      </c>
      <c r="F97" s="46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5">
        <v>0</v>
      </c>
      <c r="H97" s="46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45</v>
      </c>
      <c r="J97" s="46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>
      <c r="A98" s="10">
        <v>94</v>
      </c>
      <c r="B98" s="19" t="s">
        <v>109</v>
      </c>
      <c r="C98" s="45">
        <v>0</v>
      </c>
      <c r="D98" s="46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5">
        <f t="shared" si="4"/>
        <v>0</v>
      </c>
      <c r="F98" s="46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1</v>
      </c>
      <c r="G98" s="45">
        <v>0</v>
      </c>
      <c r="H98" s="46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6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>
      <c r="A99" s="10">
        <v>95</v>
      </c>
      <c r="B99" s="19" t="s">
        <v>110</v>
      </c>
      <c r="C99" s="45">
        <v>0</v>
      </c>
      <c r="D99" s="46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5">
        <f t="shared" si="4"/>
        <v>0</v>
      </c>
      <c r="F99" s="46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5">
        <v>0</v>
      </c>
      <c r="H99" s="46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6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>
      <c r="A100" s="10">
        <v>96</v>
      </c>
      <c r="B100" s="19" t="s">
        <v>111</v>
      </c>
      <c r="C100" s="45">
        <v>0</v>
      </c>
      <c r="D100" s="46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5">
        <f t="shared" si="4"/>
        <v>0</v>
      </c>
      <c r="F100" s="46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5">
        <v>0</v>
      </c>
      <c r="H100" s="46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6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>
      <c r="A101" s="10">
        <v>97</v>
      </c>
      <c r="B101" s="19" t="s">
        <v>112</v>
      </c>
      <c r="C101" s="45">
        <v>0</v>
      </c>
      <c r="D101" s="46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5">
        <f t="shared" si="4"/>
        <v>0</v>
      </c>
      <c r="F101" s="46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5">
        <v>0</v>
      </c>
      <c r="H101" s="46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6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>
      <c r="A102" s="10">
        <v>98</v>
      </c>
      <c r="B102" s="19" t="s">
        <v>113</v>
      </c>
      <c r="C102" s="45">
        <v>6</v>
      </c>
      <c r="D102" s="46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5">
        <f t="shared" si="4"/>
        <v>6</v>
      </c>
      <c r="F102" s="46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5">
        <v>0</v>
      </c>
      <c r="H102" s="46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0">
        <v>50</v>
      </c>
      <c r="J102" s="46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4"/>
      <c r="U102" s="5"/>
    </row>
    <row r="103" spans="1:21">
      <c r="A103" s="10">
        <v>99</v>
      </c>
      <c r="B103" s="19" t="s">
        <v>114</v>
      </c>
      <c r="C103" s="45">
        <v>0</v>
      </c>
      <c r="D103" s="46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5">
        <f t="shared" si="4"/>
        <v>0</v>
      </c>
      <c r="F103" s="46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5">
        <v>0</v>
      </c>
      <c r="H103" s="46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6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>
      <c r="A104" s="10">
        <v>100</v>
      </c>
      <c r="B104" s="19" t="s">
        <v>115</v>
      </c>
      <c r="C104" s="45">
        <v>0</v>
      </c>
      <c r="D104" s="46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5">
        <f t="shared" si="4"/>
        <v>0</v>
      </c>
      <c r="F104" s="46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5">
        <v>0</v>
      </c>
      <c r="H104" s="46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6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>
      <c r="A105" s="10">
        <v>101</v>
      </c>
      <c r="B105" s="19" t="s">
        <v>116</v>
      </c>
      <c r="C105" s="45">
        <v>0</v>
      </c>
      <c r="D105" s="46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5">
        <f t="shared" si="4"/>
        <v>0</v>
      </c>
      <c r="F105" s="46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5">
        <v>0</v>
      </c>
      <c r="H105" s="46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6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>
      <c r="A106" s="10">
        <v>102</v>
      </c>
      <c r="B106" s="19" t="s">
        <v>117</v>
      </c>
      <c r="C106" s="45">
        <v>0</v>
      </c>
      <c r="D106" s="46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5">
        <f t="shared" si="4"/>
        <v>0</v>
      </c>
      <c r="F106" s="46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5">
        <v>0</v>
      </c>
      <c r="H106" s="46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2">
        <v>20</v>
      </c>
      <c r="J106" s="46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4"/>
      <c r="U106" s="5"/>
    </row>
    <row r="107" spans="1:21">
      <c r="A107" s="10">
        <v>103</v>
      </c>
      <c r="B107" s="19" t="s">
        <v>118</v>
      </c>
      <c r="C107" s="45">
        <v>0</v>
      </c>
      <c r="D107" s="46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5">
        <f t="shared" si="4"/>
        <v>0</v>
      </c>
      <c r="F107" s="46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5">
        <v>0</v>
      </c>
      <c r="H107" s="46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6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>
      <c r="A108" s="10">
        <v>104</v>
      </c>
      <c r="B108" s="19" t="s">
        <v>120</v>
      </c>
      <c r="C108" s="45">
        <v>0</v>
      </c>
      <c r="D108" s="46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5">
        <f t="shared" si="4"/>
        <v>0</v>
      </c>
      <c r="F108" s="46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5">
        <v>0</v>
      </c>
      <c r="H108" s="46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6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>
      <c r="A109" s="10">
        <v>105</v>
      </c>
      <c r="B109" s="19" t="s">
        <v>121</v>
      </c>
      <c r="C109" s="45">
        <v>0</v>
      </c>
      <c r="D109" s="46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5">
        <f t="shared" si="4"/>
        <v>0</v>
      </c>
      <c r="F109" s="46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5">
        <v>0</v>
      </c>
      <c r="H109" s="46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6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>
      <c r="A110" s="10">
        <v>106</v>
      </c>
      <c r="B110" s="19" t="s">
        <v>122</v>
      </c>
      <c r="C110" s="45">
        <v>0</v>
      </c>
      <c r="D110" s="46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2</v>
      </c>
      <c r="E110" s="45">
        <f t="shared" si="4"/>
        <v>2</v>
      </c>
      <c r="F110" s="46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5">
        <v>0</v>
      </c>
      <c r="H110" s="46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2</v>
      </c>
      <c r="I110" s="20">
        <v>35</v>
      </c>
      <c r="J110" s="46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70</v>
      </c>
      <c r="K110" s="19"/>
      <c r="M110" s="54"/>
      <c r="U110" s="5"/>
    </row>
    <row r="111" spans="1:21">
      <c r="A111" s="10">
        <v>107</v>
      </c>
      <c r="B111" s="19" t="s">
        <v>123</v>
      </c>
      <c r="C111" s="45">
        <v>0</v>
      </c>
      <c r="D111" s="46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5">
        <f t="shared" si="4"/>
        <v>0</v>
      </c>
      <c r="F111" s="46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5">
        <v>0</v>
      </c>
      <c r="H111" s="46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6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>
      <c r="A112" s="10">
        <v>108</v>
      </c>
      <c r="B112" s="19" t="s">
        <v>124</v>
      </c>
      <c r="C112" s="45">
        <v>0</v>
      </c>
      <c r="D112" s="46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5">
        <f t="shared" si="4"/>
        <v>0</v>
      </c>
      <c r="F112" s="46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5">
        <v>0</v>
      </c>
      <c r="H112" s="46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6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>
      <c r="A113" s="10">
        <v>109</v>
      </c>
      <c r="B113" s="19" t="s">
        <v>125</v>
      </c>
      <c r="C113" s="45">
        <v>0</v>
      </c>
      <c r="D113" s="46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5">
        <f t="shared" si="4"/>
        <v>0</v>
      </c>
      <c r="F113" s="46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5">
        <v>0</v>
      </c>
      <c r="H113" s="46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6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>
      <c r="A114" s="10">
        <v>110</v>
      </c>
      <c r="B114" s="19" t="s">
        <v>126</v>
      </c>
      <c r="C114" s="45">
        <v>0</v>
      </c>
      <c r="D114" s="46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5</v>
      </c>
      <c r="E114" s="45">
        <f t="shared" si="4"/>
        <v>5</v>
      </c>
      <c r="F114" s="46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5">
        <v>0</v>
      </c>
      <c r="H114" s="46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7</v>
      </c>
      <c r="I114" s="20">
        <v>35</v>
      </c>
      <c r="J114" s="46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245</v>
      </c>
      <c r="K114" s="19"/>
      <c r="M114" s="54"/>
      <c r="U114" s="5"/>
    </row>
    <row r="115" spans="1:21">
      <c r="A115" s="10">
        <v>111</v>
      </c>
      <c r="B115" s="19" t="s">
        <v>127</v>
      </c>
      <c r="C115" s="45">
        <v>0</v>
      </c>
      <c r="D115" s="46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5">
        <f t="shared" si="4"/>
        <v>0</v>
      </c>
      <c r="F115" s="46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5">
        <v>0</v>
      </c>
      <c r="H115" s="46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2</v>
      </c>
      <c r="I115" s="20">
        <v>50</v>
      </c>
      <c r="J115" s="46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100</v>
      </c>
      <c r="K115" s="19"/>
      <c r="M115" s="54"/>
      <c r="U115" s="5"/>
    </row>
    <row r="116" spans="1:21">
      <c r="A116" s="10">
        <v>112</v>
      </c>
      <c r="B116" s="19" t="s">
        <v>128</v>
      </c>
      <c r="C116" s="45">
        <v>0</v>
      </c>
      <c r="D116" s="46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5">
        <f t="shared" si="4"/>
        <v>0</v>
      </c>
      <c r="F116" s="46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5">
        <v>0</v>
      </c>
      <c r="H116" s="46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6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>
      <c r="A117" s="10">
        <v>113</v>
      </c>
      <c r="B117" s="19" t="s">
        <v>129</v>
      </c>
      <c r="C117" s="45">
        <v>0</v>
      </c>
      <c r="D117" s="46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5">
        <f t="shared" si="4"/>
        <v>0</v>
      </c>
      <c r="F117" s="46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5">
        <v>0</v>
      </c>
      <c r="H117" s="46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6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>
      <c r="A118" s="10">
        <v>114</v>
      </c>
      <c r="B118" s="19" t="s">
        <v>130</v>
      </c>
      <c r="C118" s="45">
        <v>0</v>
      </c>
      <c r="D118" s="46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5">
        <f t="shared" si="4"/>
        <v>0</v>
      </c>
      <c r="F118" s="46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5">
        <v>0</v>
      </c>
      <c r="H118" s="46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2</v>
      </c>
      <c r="I118" s="20">
        <v>50</v>
      </c>
      <c r="J118" s="46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100</v>
      </c>
      <c r="K118" s="19"/>
      <c r="M118" s="54"/>
      <c r="U118" s="5"/>
    </row>
    <row r="119" spans="1:21">
      <c r="A119" s="10">
        <v>115</v>
      </c>
      <c r="B119" s="19" t="s">
        <v>131</v>
      </c>
      <c r="C119" s="45">
        <v>0</v>
      </c>
      <c r="D119" s="46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5">
        <f t="shared" si="4"/>
        <v>0</v>
      </c>
      <c r="F119" s="46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5">
        <v>0</v>
      </c>
      <c r="H119" s="46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6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>
      <c r="A120" s="10">
        <v>116</v>
      </c>
      <c r="B120" s="19" t="s">
        <v>132</v>
      </c>
      <c r="C120" s="45">
        <v>0</v>
      </c>
      <c r="D120" s="46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5">
        <f t="shared" si="4"/>
        <v>0</v>
      </c>
      <c r="F120" s="46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5">
        <v>0</v>
      </c>
      <c r="H120" s="46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6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>
      <c r="A121" s="10">
        <v>117</v>
      </c>
      <c r="B121" s="19" t="s">
        <v>133</v>
      </c>
      <c r="C121" s="45">
        <v>0</v>
      </c>
      <c r="D121" s="46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5">
        <f t="shared" si="4"/>
        <v>0</v>
      </c>
      <c r="F121" s="46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5">
        <v>0</v>
      </c>
      <c r="H121" s="46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6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>
      <c r="A122" s="10">
        <v>118</v>
      </c>
      <c r="B122" s="19" t="s">
        <v>134</v>
      </c>
      <c r="C122" s="45">
        <v>0</v>
      </c>
      <c r="D122" s="46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5">
        <f t="shared" si="4"/>
        <v>0</v>
      </c>
      <c r="F122" s="46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5">
        <v>0</v>
      </c>
      <c r="H122" s="46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6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>
      <c r="A123" s="10">
        <v>119</v>
      </c>
      <c r="B123" s="19" t="s">
        <v>135</v>
      </c>
      <c r="C123" s="45">
        <v>0</v>
      </c>
      <c r="D123" s="46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5">
        <f t="shared" si="4"/>
        <v>0</v>
      </c>
      <c r="F123" s="46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5">
        <v>0</v>
      </c>
      <c r="H123" s="46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6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>
      <c r="A124" s="10">
        <v>120</v>
      </c>
      <c r="B124" s="19" t="s">
        <v>136</v>
      </c>
      <c r="C124" s="45">
        <v>0</v>
      </c>
      <c r="D124" s="46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5">
        <f t="shared" si="4"/>
        <v>0</v>
      </c>
      <c r="F124" s="46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5">
        <v>0</v>
      </c>
      <c r="H124" s="46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6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>
      <c r="A125" s="10">
        <v>121</v>
      </c>
      <c r="B125" s="19" t="s">
        <v>137</v>
      </c>
      <c r="C125" s="45">
        <v>0</v>
      </c>
      <c r="D125" s="46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5">
        <f t="shared" si="4"/>
        <v>0</v>
      </c>
      <c r="F125" s="46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5">
        <v>0</v>
      </c>
      <c r="H125" s="46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6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>
      <c r="A126" s="10">
        <v>122</v>
      </c>
      <c r="B126" s="19" t="s">
        <v>138</v>
      </c>
      <c r="C126" s="45">
        <v>0</v>
      </c>
      <c r="D126" s="46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5">
        <f t="shared" si="4"/>
        <v>0</v>
      </c>
      <c r="F126" s="46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5">
        <v>0</v>
      </c>
      <c r="H126" s="46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6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>
      <c r="A127" s="10">
        <v>123</v>
      </c>
      <c r="B127" s="19" t="s">
        <v>139</v>
      </c>
      <c r="C127" s="45">
        <v>0</v>
      </c>
      <c r="D127" s="46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5">
        <f t="shared" si="4"/>
        <v>0</v>
      </c>
      <c r="F127" s="46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5">
        <v>0</v>
      </c>
      <c r="H127" s="46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6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>
      <c r="A128" s="10">
        <v>124</v>
      </c>
      <c r="B128" s="19" t="s">
        <v>140</v>
      </c>
      <c r="C128" s="45">
        <v>0</v>
      </c>
      <c r="D128" s="46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5">
        <f t="shared" si="4"/>
        <v>0</v>
      </c>
      <c r="F128" s="46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5">
        <v>0</v>
      </c>
      <c r="H128" s="46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25</v>
      </c>
      <c r="J128" s="46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>
      <c r="A129" s="10">
        <v>125</v>
      </c>
      <c r="B129" s="19" t="s">
        <v>141</v>
      </c>
      <c r="C129" s="45">
        <v>0</v>
      </c>
      <c r="D129" s="46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5">
        <f t="shared" si="4"/>
        <v>0</v>
      </c>
      <c r="F129" s="46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5">
        <v>0</v>
      </c>
      <c r="H129" s="46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6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>
      <c r="A130" s="10">
        <v>126</v>
      </c>
      <c r="B130" s="19" t="s">
        <v>142</v>
      </c>
      <c r="C130" s="45">
        <v>0</v>
      </c>
      <c r="D130" s="46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5">
        <f t="shared" si="4"/>
        <v>0</v>
      </c>
      <c r="F130" s="46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5">
        <v>0</v>
      </c>
      <c r="H130" s="46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6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>
      <c r="A131" s="10">
        <v>127</v>
      </c>
      <c r="B131" s="19" t="s">
        <v>143</v>
      </c>
      <c r="C131" s="45">
        <v>0</v>
      </c>
      <c r="D131" s="46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5">
        <f t="shared" si="4"/>
        <v>0</v>
      </c>
      <c r="F131" s="46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5">
        <v>0</v>
      </c>
      <c r="H131" s="46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6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>
      <c r="A132" s="10">
        <v>128</v>
      </c>
      <c r="B132" s="19" t="s">
        <v>144</v>
      </c>
      <c r="C132" s="45">
        <v>0</v>
      </c>
      <c r="D132" s="46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5">
        <f t="shared" si="4"/>
        <v>0</v>
      </c>
      <c r="F132" s="46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5">
        <v>0</v>
      </c>
      <c r="H132" s="46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6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>
      <c r="A133" s="10">
        <v>129</v>
      </c>
      <c r="B133" s="19" t="s">
        <v>145</v>
      </c>
      <c r="C133" s="45">
        <v>0</v>
      </c>
      <c r="D133" s="46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5">
        <f t="shared" si="4"/>
        <v>0</v>
      </c>
      <c r="F133" s="46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5">
        <v>0</v>
      </c>
      <c r="H133" s="46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6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>
      <c r="A134" s="10">
        <v>130</v>
      </c>
      <c r="B134" s="19" t="s">
        <v>146</v>
      </c>
      <c r="C134" s="45">
        <v>0</v>
      </c>
      <c r="D134" s="46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5">
        <f t="shared" si="4"/>
        <v>0</v>
      </c>
      <c r="F134" s="46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5">
        <v>0</v>
      </c>
      <c r="H134" s="46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6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>
      <c r="A135" s="10">
        <v>131</v>
      </c>
      <c r="B135" s="19" t="s">
        <v>147</v>
      </c>
      <c r="C135" s="45">
        <v>0</v>
      </c>
      <c r="D135" s="46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5">
        <f t="shared" si="4"/>
        <v>0</v>
      </c>
      <c r="F135" s="46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5">
        <v>0</v>
      </c>
      <c r="H135" s="46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6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>
      <c r="A136" s="10">
        <v>132</v>
      </c>
      <c r="B136" s="19" t="s">
        <v>148</v>
      </c>
      <c r="C136" s="45">
        <v>0</v>
      </c>
      <c r="D136" s="46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5">
        <f t="shared" si="4"/>
        <v>0</v>
      </c>
      <c r="F136" s="46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5">
        <v>0</v>
      </c>
      <c r="H136" s="46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6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>
      <c r="A137" s="10">
        <v>133</v>
      </c>
      <c r="B137" s="19" t="s">
        <v>149</v>
      </c>
      <c r="C137" s="45">
        <v>0</v>
      </c>
      <c r="D137" s="46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5">
        <f t="shared" si="4"/>
        <v>0</v>
      </c>
      <c r="F137" s="46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5">
        <v>0</v>
      </c>
      <c r="H137" s="46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6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>
      <c r="A138" s="10">
        <v>134</v>
      </c>
      <c r="B138" s="19" t="s">
        <v>150</v>
      </c>
      <c r="C138" s="45">
        <v>0</v>
      </c>
      <c r="D138" s="46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5">
        <f t="shared" si="4"/>
        <v>0</v>
      </c>
      <c r="F138" s="46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5">
        <v>0</v>
      </c>
      <c r="H138" s="46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6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>
      <c r="A139" s="10">
        <v>135</v>
      </c>
      <c r="B139" s="19" t="s">
        <v>151</v>
      </c>
      <c r="C139" s="45">
        <v>0</v>
      </c>
      <c r="D139" s="46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5">
        <f t="shared" si="4"/>
        <v>0</v>
      </c>
      <c r="F139" s="46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5">
        <v>0</v>
      </c>
      <c r="H139" s="46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6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>
      <c r="A140" s="10">
        <v>136</v>
      </c>
      <c r="B140" s="19" t="s">
        <v>152</v>
      </c>
      <c r="C140" s="45">
        <v>0</v>
      </c>
      <c r="D140" s="46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5">
        <f t="shared" si="4"/>
        <v>0</v>
      </c>
      <c r="F140" s="46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5">
        <v>0</v>
      </c>
      <c r="H140" s="46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6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>
      <c r="A141" s="10">
        <v>137</v>
      </c>
      <c r="B141" s="19" t="s">
        <v>153</v>
      </c>
      <c r="C141" s="45">
        <v>0</v>
      </c>
      <c r="D141" s="46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5">
        <f t="shared" si="4"/>
        <v>0</v>
      </c>
      <c r="F141" s="46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5">
        <v>0</v>
      </c>
      <c r="H141" s="46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6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>
      <c r="A142" s="10">
        <v>138</v>
      </c>
      <c r="B142" s="19" t="s">
        <v>154</v>
      </c>
      <c r="C142" s="45">
        <v>0</v>
      </c>
      <c r="D142" s="46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5">
        <f t="shared" si="4"/>
        <v>0</v>
      </c>
      <c r="F142" s="46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5">
        <v>0</v>
      </c>
      <c r="H142" s="46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6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4"/>
      <c r="U142" s="5"/>
    </row>
    <row r="143" spans="1:21">
      <c r="A143" s="10">
        <v>139</v>
      </c>
      <c r="B143" s="19" t="s">
        <v>155</v>
      </c>
      <c r="C143" s="45">
        <v>0</v>
      </c>
      <c r="D143" s="46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5">
        <f t="shared" si="4"/>
        <v>0</v>
      </c>
      <c r="F143" s="46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5">
        <v>0</v>
      </c>
      <c r="H143" s="46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6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>
      <c r="A144" s="10">
        <v>140</v>
      </c>
      <c r="B144" s="19" t="s">
        <v>156</v>
      </c>
      <c r="C144" s="45">
        <v>0</v>
      </c>
      <c r="D144" s="46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5">
        <f t="shared" si="4"/>
        <v>0</v>
      </c>
      <c r="F144" s="46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5">
        <v>0</v>
      </c>
      <c r="H144" s="46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1</v>
      </c>
      <c r="I144" s="20">
        <v>120</v>
      </c>
      <c r="J144" s="46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120</v>
      </c>
      <c r="K144" s="19"/>
      <c r="M144" s="54"/>
      <c r="U144" s="5"/>
    </row>
    <row r="145" spans="1:21">
      <c r="A145" s="10">
        <v>141</v>
      </c>
      <c r="B145" s="19" t="s">
        <v>157</v>
      </c>
      <c r="C145" s="45">
        <v>0</v>
      </c>
      <c r="D145" s="46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5">
        <f t="shared" si="4"/>
        <v>0</v>
      </c>
      <c r="F145" s="46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5">
        <v>0</v>
      </c>
      <c r="H145" s="46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6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>
      <c r="A146" s="10">
        <v>142</v>
      </c>
      <c r="B146" s="19" t="s">
        <v>158</v>
      </c>
      <c r="C146" s="45">
        <v>0</v>
      </c>
      <c r="D146" s="46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5">
        <f t="shared" si="4"/>
        <v>0</v>
      </c>
      <c r="F146" s="46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5">
        <v>0</v>
      </c>
      <c r="H146" s="46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6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>
      <c r="A147" s="10">
        <v>143</v>
      </c>
      <c r="B147" s="19" t="s">
        <v>159</v>
      </c>
      <c r="C147" s="45">
        <v>0</v>
      </c>
      <c r="D147" s="46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5">
        <f t="shared" si="4"/>
        <v>0</v>
      </c>
      <c r="F147" s="46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5">
        <v>0</v>
      </c>
      <c r="H147" s="46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6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>
      <c r="A148" s="10">
        <v>144</v>
      </c>
      <c r="B148" s="19" t="s">
        <v>160</v>
      </c>
      <c r="C148" s="45">
        <v>0</v>
      </c>
      <c r="D148" s="46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5">
        <f t="shared" si="4"/>
        <v>0</v>
      </c>
      <c r="F148" s="46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5">
        <v>0</v>
      </c>
      <c r="H148" s="46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1</v>
      </c>
      <c r="I148" s="20">
        <v>185</v>
      </c>
      <c r="J148" s="46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185</v>
      </c>
      <c r="K148" s="19"/>
      <c r="M148" s="54"/>
      <c r="U148" s="5"/>
    </row>
    <row r="149" spans="1:21">
      <c r="A149" s="10">
        <v>145</v>
      </c>
      <c r="B149" s="19" t="s">
        <v>161</v>
      </c>
      <c r="C149" s="45">
        <v>0</v>
      </c>
      <c r="D149" s="46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5">
        <f t="shared" si="4"/>
        <v>0</v>
      </c>
      <c r="F149" s="46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5">
        <v>0</v>
      </c>
      <c r="H149" s="46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6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>
      <c r="A150" s="10">
        <v>146</v>
      </c>
      <c r="B150" s="19" t="s">
        <v>162</v>
      </c>
      <c r="C150" s="45">
        <v>0</v>
      </c>
      <c r="D150" s="46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12</v>
      </c>
      <c r="E150" s="45">
        <f t="shared" si="4"/>
        <v>12</v>
      </c>
      <c r="F150" s="46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5">
        <v>0</v>
      </c>
      <c r="H150" s="46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5</v>
      </c>
      <c r="I150" s="20">
        <v>120</v>
      </c>
      <c r="J150" s="46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600</v>
      </c>
      <c r="K150" s="19"/>
      <c r="M150" s="54"/>
      <c r="U150" s="5"/>
    </row>
    <row r="151" spans="1:21">
      <c r="A151" s="10">
        <v>147</v>
      </c>
      <c r="B151" s="19" t="s">
        <v>163</v>
      </c>
      <c r="C151" s="45">
        <v>0</v>
      </c>
      <c r="D151" s="46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10</v>
      </c>
      <c r="E151" s="45">
        <f t="shared" si="4"/>
        <v>10</v>
      </c>
      <c r="F151" s="46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5">
        <v>0</v>
      </c>
      <c r="H151" s="46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7</v>
      </c>
      <c r="I151" s="20">
        <v>120</v>
      </c>
      <c r="J151" s="46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840</v>
      </c>
      <c r="K151" s="19"/>
      <c r="M151" s="54"/>
      <c r="U151" s="5"/>
    </row>
    <row r="152" spans="1:21">
      <c r="A152" s="10">
        <v>148</v>
      </c>
      <c r="B152" s="19" t="s">
        <v>164</v>
      </c>
      <c r="C152" s="45">
        <v>0</v>
      </c>
      <c r="D152" s="46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</v>
      </c>
      <c r="E152" s="45">
        <f t="shared" si="4"/>
        <v>2</v>
      </c>
      <c r="F152" s="46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5">
        <v>0</v>
      </c>
      <c r="H152" s="46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</v>
      </c>
      <c r="I152" s="20">
        <v>120</v>
      </c>
      <c r="J152" s="46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120</v>
      </c>
      <c r="K152" s="19"/>
      <c r="M152" s="54"/>
      <c r="U152" s="5"/>
    </row>
    <row r="153" spans="1:21">
      <c r="A153" s="10">
        <v>149</v>
      </c>
      <c r="B153" s="19" t="s">
        <v>165</v>
      </c>
      <c r="C153" s="45">
        <v>0</v>
      </c>
      <c r="D153" s="46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10</v>
      </c>
      <c r="E153" s="45">
        <f t="shared" si="4"/>
        <v>10</v>
      </c>
      <c r="F153" s="46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5">
        <v>0</v>
      </c>
      <c r="H153" s="46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2</v>
      </c>
      <c r="I153" s="20">
        <v>120</v>
      </c>
      <c r="J153" s="46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240</v>
      </c>
      <c r="K153" s="19"/>
      <c r="M153" s="54"/>
      <c r="U153" s="5"/>
    </row>
    <row r="154" spans="1:21">
      <c r="A154" s="10">
        <v>150</v>
      </c>
      <c r="B154" s="19" t="s">
        <v>166</v>
      </c>
      <c r="C154" s="45">
        <v>0</v>
      </c>
      <c r="D154" s="46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5">
        <f t="shared" si="4"/>
        <v>0</v>
      </c>
      <c r="F154" s="46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5">
        <v>0</v>
      </c>
      <c r="H154" s="46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2</v>
      </c>
      <c r="I154" s="20">
        <v>185</v>
      </c>
      <c r="J154" s="46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370</v>
      </c>
      <c r="K154" s="19"/>
      <c r="M154" s="54"/>
      <c r="U154" s="5"/>
    </row>
    <row r="155" spans="1:21">
      <c r="A155" s="10">
        <v>151</v>
      </c>
      <c r="B155" s="19" t="s">
        <v>167</v>
      </c>
      <c r="C155" s="45">
        <v>0</v>
      </c>
      <c r="D155" s="46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5">
        <f t="shared" si="4"/>
        <v>0</v>
      </c>
      <c r="F155" s="46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5">
        <v>0</v>
      </c>
      <c r="H155" s="46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6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4"/>
      <c r="U155" s="5"/>
    </row>
    <row r="156" spans="1:21">
      <c r="A156" s="10">
        <v>152</v>
      </c>
      <c r="B156" s="19" t="s">
        <v>168</v>
      </c>
      <c r="C156" s="45">
        <v>0</v>
      </c>
      <c r="D156" s="46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1</v>
      </c>
      <c r="E156" s="45">
        <f t="shared" si="4"/>
        <v>1</v>
      </c>
      <c r="F156" s="46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5">
        <v>0</v>
      </c>
      <c r="H156" s="46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6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4"/>
      <c r="U156" s="5"/>
    </row>
    <row r="157" spans="1:21">
      <c r="A157" s="10">
        <v>153</v>
      </c>
      <c r="B157" s="19" t="s">
        <v>169</v>
      </c>
      <c r="C157" s="45">
        <v>0</v>
      </c>
      <c r="D157" s="46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1</v>
      </c>
      <c r="E157" s="45">
        <f t="shared" si="4"/>
        <v>1</v>
      </c>
      <c r="F157" s="46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5">
        <v>0</v>
      </c>
      <c r="H157" s="46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1</v>
      </c>
      <c r="I157" s="20">
        <v>185</v>
      </c>
      <c r="J157" s="46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185</v>
      </c>
      <c r="K157" s="19"/>
      <c r="M157" s="54"/>
      <c r="U157" s="5"/>
    </row>
    <row r="158" spans="1:21">
      <c r="A158" s="10">
        <v>154</v>
      </c>
      <c r="B158" s="19" t="s">
        <v>170</v>
      </c>
      <c r="C158" s="45">
        <v>0</v>
      </c>
      <c r="D158" s="46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5">
        <f t="shared" si="4"/>
        <v>0</v>
      </c>
      <c r="F158" s="46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5">
        <v>0</v>
      </c>
      <c r="H158" s="46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6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>
      <c r="A159" s="10">
        <v>155</v>
      </c>
      <c r="B159" s="19" t="s">
        <v>171</v>
      </c>
      <c r="C159" s="45">
        <v>0</v>
      </c>
      <c r="D159" s="46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5">
        <f t="shared" si="4"/>
        <v>0</v>
      </c>
      <c r="F159" s="46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5">
        <v>0</v>
      </c>
      <c r="H159" s="46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6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>
      <c r="A160" s="10">
        <v>156</v>
      </c>
      <c r="B160" s="19" t="s">
        <v>172</v>
      </c>
      <c r="C160" s="45">
        <v>0</v>
      </c>
      <c r="D160" s="46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5">
        <f t="shared" si="4"/>
        <v>0</v>
      </c>
      <c r="F160" s="46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5">
        <v>0</v>
      </c>
      <c r="H160" s="46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0">
        <v>90</v>
      </c>
      <c r="J160" s="46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4"/>
      <c r="U160" s="5"/>
    </row>
    <row r="161" spans="1:21">
      <c r="A161" s="10">
        <v>157</v>
      </c>
      <c r="B161" s="19" t="s">
        <v>173</v>
      </c>
      <c r="C161" s="45">
        <v>0</v>
      </c>
      <c r="D161" s="46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5">
        <f t="shared" si="4"/>
        <v>0</v>
      </c>
      <c r="F161" s="46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5">
        <v>0</v>
      </c>
      <c r="H161" s="46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6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4"/>
      <c r="U161" s="5"/>
    </row>
    <row r="162" spans="1:21">
      <c r="A162" s="10">
        <v>158</v>
      </c>
      <c r="B162" s="19" t="s">
        <v>174</v>
      </c>
      <c r="C162" s="45">
        <v>0</v>
      </c>
      <c r="D162" s="46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5">
        <f t="shared" si="4"/>
        <v>0</v>
      </c>
      <c r="F162" s="46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5">
        <v>0</v>
      </c>
      <c r="H162" s="46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6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4"/>
      <c r="U162" s="5"/>
    </row>
    <row r="163" spans="1:21">
      <c r="A163" s="10">
        <v>159</v>
      </c>
      <c r="B163" s="19" t="s">
        <v>175</v>
      </c>
      <c r="C163" s="45">
        <v>0</v>
      </c>
      <c r="D163" s="46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5">
        <f t="shared" si="4"/>
        <v>0</v>
      </c>
      <c r="F163" s="46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5">
        <v>0</v>
      </c>
      <c r="H163" s="46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6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>
      <c r="A164" s="10">
        <v>160</v>
      </c>
      <c r="B164" s="19" t="s">
        <v>176</v>
      </c>
      <c r="C164" s="45">
        <v>3</v>
      </c>
      <c r="D164" s="46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5">
        <f t="shared" si="4"/>
        <v>3</v>
      </c>
      <c r="F164" s="46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1</v>
      </c>
      <c r="G164" s="45">
        <v>0</v>
      </c>
      <c r="H164" s="46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6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4"/>
      <c r="U164" s="5"/>
    </row>
    <row r="165" spans="1:21">
      <c r="A165" s="10">
        <v>161</v>
      </c>
      <c r="B165" s="19" t="s">
        <v>177</v>
      </c>
      <c r="C165" s="45">
        <v>0</v>
      </c>
      <c r="D165" s="46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5">
        <f t="shared" si="4"/>
        <v>0</v>
      </c>
      <c r="F165" s="46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5">
        <v>0</v>
      </c>
      <c r="H165" s="46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6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>
      <c r="A166" s="10">
        <v>162</v>
      </c>
      <c r="B166" s="19" t="s">
        <v>178</v>
      </c>
      <c r="C166" s="45">
        <v>0</v>
      </c>
      <c r="D166" s="46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5">
        <f t="shared" si="4"/>
        <v>0</v>
      </c>
      <c r="F166" s="46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5">
        <v>0</v>
      </c>
      <c r="H166" s="46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6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>
      <c r="A167" s="10">
        <v>163</v>
      </c>
      <c r="B167" s="19" t="s">
        <v>179</v>
      </c>
      <c r="C167" s="45">
        <v>0</v>
      </c>
      <c r="D167" s="46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3</v>
      </c>
      <c r="E167" s="45">
        <f t="shared" si="4"/>
        <v>3</v>
      </c>
      <c r="F167" s="46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5">
        <v>0</v>
      </c>
      <c r="H167" s="46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4</v>
      </c>
      <c r="I167" s="20">
        <v>50</v>
      </c>
      <c r="J167" s="46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200</v>
      </c>
      <c r="K167" s="19"/>
      <c r="M167" s="54"/>
      <c r="U167" s="5"/>
    </row>
    <row r="168" spans="1:21">
      <c r="A168" s="10">
        <v>164</v>
      </c>
      <c r="B168" s="19" t="s">
        <v>180</v>
      </c>
      <c r="C168" s="45">
        <v>0</v>
      </c>
      <c r="D168" s="46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15</v>
      </c>
      <c r="E168" s="45">
        <f t="shared" si="4"/>
        <v>15</v>
      </c>
      <c r="F168" s="46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5">
        <v>0</v>
      </c>
      <c r="H168" s="46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8</v>
      </c>
      <c r="I168" s="20">
        <v>55</v>
      </c>
      <c r="J168" s="46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440</v>
      </c>
      <c r="K168" s="19"/>
      <c r="M168" s="54"/>
      <c r="U168" s="5"/>
    </row>
    <row r="169" spans="1:21">
      <c r="A169" s="10">
        <v>165</v>
      </c>
      <c r="B169" s="19" t="s">
        <v>181</v>
      </c>
      <c r="C169" s="45">
        <v>30</v>
      </c>
      <c r="D169" s="46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5">
        <f t="shared" si="4"/>
        <v>30</v>
      </c>
      <c r="F169" s="46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5">
        <v>0</v>
      </c>
      <c r="H169" s="46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1</v>
      </c>
      <c r="I169" s="20">
        <v>85</v>
      </c>
      <c r="J169" s="46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85</v>
      </c>
      <c r="K169" s="19"/>
      <c r="M169" s="54"/>
      <c r="U169" s="5"/>
    </row>
    <row r="170" spans="1:21">
      <c r="A170" s="10">
        <v>166</v>
      </c>
      <c r="B170" s="19" t="s">
        <v>182</v>
      </c>
      <c r="C170" s="45">
        <v>0</v>
      </c>
      <c r="D170" s="46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5">
        <f t="shared" si="4"/>
        <v>0</v>
      </c>
      <c r="F170" s="46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5">
        <v>0</v>
      </c>
      <c r="H170" s="46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0">
        <v>80</v>
      </c>
      <c r="J170" s="46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4"/>
      <c r="U170" s="5"/>
    </row>
    <row r="171" spans="1:21">
      <c r="A171" s="10">
        <v>167</v>
      </c>
      <c r="B171" s="19" t="s">
        <v>183</v>
      </c>
      <c r="C171" s="45">
        <v>0</v>
      </c>
      <c r="D171" s="46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5">
        <f t="shared" si="4"/>
        <v>0</v>
      </c>
      <c r="F171" s="46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5">
        <v>0</v>
      </c>
      <c r="H171" s="46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6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>
      <c r="A172" s="10">
        <v>168</v>
      </c>
      <c r="B172" s="19" t="s">
        <v>184</v>
      </c>
      <c r="C172" s="45">
        <v>0</v>
      </c>
      <c r="D172" s="46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5">
        <f t="shared" si="4"/>
        <v>0</v>
      </c>
      <c r="F172" s="46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5">
        <v>0</v>
      </c>
      <c r="H172" s="46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6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>
      <c r="A173" s="10">
        <v>169</v>
      </c>
      <c r="B173" s="19" t="s">
        <v>185</v>
      </c>
      <c r="C173" s="45">
        <v>0</v>
      </c>
      <c r="D173" s="46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5">
        <f t="shared" si="4"/>
        <v>0</v>
      </c>
      <c r="F173" s="46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5">
        <v>0</v>
      </c>
      <c r="H173" s="46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6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>
      <c r="A174" s="10">
        <v>170</v>
      </c>
      <c r="B174" s="19" t="s">
        <v>186</v>
      </c>
      <c r="C174" s="45">
        <v>0</v>
      </c>
      <c r="D174" s="46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5">
        <f t="shared" si="4"/>
        <v>0</v>
      </c>
      <c r="F174" s="46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5">
        <v>0</v>
      </c>
      <c r="H174" s="46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6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>
      <c r="A175" s="10">
        <v>171</v>
      </c>
      <c r="B175" s="19" t="s">
        <v>187</v>
      </c>
      <c r="C175" s="45">
        <v>0</v>
      </c>
      <c r="D175" s="46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5">
        <f t="shared" si="4"/>
        <v>0</v>
      </c>
      <c r="F175" s="46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5">
        <v>0</v>
      </c>
      <c r="H175" s="46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6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>
      <c r="A176" s="10">
        <v>172</v>
      </c>
      <c r="B176" s="19" t="s">
        <v>188</v>
      </c>
      <c r="C176" s="45">
        <v>0</v>
      </c>
      <c r="D176" s="46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3</v>
      </c>
      <c r="E176" s="45">
        <f t="shared" si="4"/>
        <v>3</v>
      </c>
      <c r="F176" s="46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5">
        <v>0</v>
      </c>
      <c r="H176" s="46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5</v>
      </c>
      <c r="I176" s="20">
        <v>50</v>
      </c>
      <c r="J176" s="46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250</v>
      </c>
      <c r="K176" s="19"/>
      <c r="M176" s="54"/>
      <c r="U176" s="5"/>
    </row>
    <row r="177" spans="1:21">
      <c r="A177" s="10">
        <v>173</v>
      </c>
      <c r="B177" s="19" t="s">
        <v>189</v>
      </c>
      <c r="C177" s="45">
        <v>0</v>
      </c>
      <c r="D177" s="46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5">
        <f t="shared" si="4"/>
        <v>0</v>
      </c>
      <c r="F177" s="46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5">
        <v>0</v>
      </c>
      <c r="H177" s="46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6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>
      <c r="A178" s="10">
        <v>174</v>
      </c>
      <c r="B178" s="19" t="s">
        <v>190</v>
      </c>
      <c r="C178" s="45">
        <v>0</v>
      </c>
      <c r="D178" s="46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5">
        <f t="shared" si="4"/>
        <v>0</v>
      </c>
      <c r="F178" s="46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5">
        <v>0</v>
      </c>
      <c r="H178" s="46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</v>
      </c>
      <c r="I178" s="20">
        <v>120</v>
      </c>
      <c r="J178" s="46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120</v>
      </c>
      <c r="K178" s="19"/>
      <c r="M178" s="54"/>
      <c r="U178" s="5"/>
    </row>
    <row r="179" spans="1:21">
      <c r="A179" s="10">
        <v>175</v>
      </c>
      <c r="B179" s="19" t="s">
        <v>191</v>
      </c>
      <c r="C179" s="45">
        <v>50</v>
      </c>
      <c r="D179" s="46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5">
        <f t="shared" si="4"/>
        <v>50</v>
      </c>
      <c r="F179" s="46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5">
        <v>0</v>
      </c>
      <c r="H179" s="46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0">
        <v>10</v>
      </c>
      <c r="J179" s="46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9"/>
      <c r="M179" s="54"/>
      <c r="U179" s="5"/>
    </row>
    <row r="180" spans="1:21">
      <c r="A180" s="10">
        <v>176</v>
      </c>
      <c r="B180" s="19" t="s">
        <v>192</v>
      </c>
      <c r="C180" s="45">
        <v>4</v>
      </c>
      <c r="D180" s="46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20</v>
      </c>
      <c r="E180" s="45">
        <f t="shared" si="4"/>
        <v>24</v>
      </c>
      <c r="F180" s="46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4</v>
      </c>
      <c r="G180" s="45">
        <v>0</v>
      </c>
      <c r="H180" s="46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2</v>
      </c>
      <c r="I180" s="20">
        <v>35</v>
      </c>
      <c r="J180" s="46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70</v>
      </c>
      <c r="K180" s="19"/>
      <c r="M180" s="54"/>
      <c r="U180" s="5"/>
    </row>
    <row r="181" spans="1:21">
      <c r="A181" s="10">
        <v>177</v>
      </c>
      <c r="B181" s="19" t="s">
        <v>193</v>
      </c>
      <c r="C181" s="45">
        <v>0</v>
      </c>
      <c r="D181" s="46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5">
        <f t="shared" si="4"/>
        <v>0</v>
      </c>
      <c r="F181" s="46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5">
        <v>0</v>
      </c>
      <c r="H181" s="46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6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>
      <c r="A182" s="10">
        <v>178</v>
      </c>
      <c r="B182" s="19" t="s">
        <v>194</v>
      </c>
      <c r="C182" s="45">
        <v>0</v>
      </c>
      <c r="D182" s="46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5">
        <f t="shared" si="4"/>
        <v>0</v>
      </c>
      <c r="F182" s="46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5">
        <v>0</v>
      </c>
      <c r="H182" s="46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6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>
      <c r="A183" s="10">
        <v>179</v>
      </c>
      <c r="B183" s="19" t="s">
        <v>195</v>
      </c>
      <c r="C183" s="45">
        <v>0</v>
      </c>
      <c r="D183" s="46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5">
        <f t="shared" si="4"/>
        <v>0</v>
      </c>
      <c r="F183" s="46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5">
        <v>0</v>
      </c>
      <c r="H183" s="46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6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>
      <c r="A184" s="10">
        <v>180</v>
      </c>
      <c r="B184" s="19" t="s">
        <v>196</v>
      </c>
      <c r="C184" s="45">
        <v>0</v>
      </c>
      <c r="D184" s="46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5">
        <f t="shared" si="4"/>
        <v>0</v>
      </c>
      <c r="F184" s="46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5">
        <v>0</v>
      </c>
      <c r="H184" s="46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6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>
      <c r="A185" s="10">
        <v>181</v>
      </c>
      <c r="B185" s="19" t="s">
        <v>197</v>
      </c>
      <c r="C185" s="45">
        <v>0</v>
      </c>
      <c r="D185" s="46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5">
        <f t="shared" si="4"/>
        <v>0</v>
      </c>
      <c r="F185" s="46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5">
        <v>0</v>
      </c>
      <c r="H185" s="46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6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>
      <c r="A186" s="10">
        <v>182</v>
      </c>
      <c r="B186" s="19" t="s">
        <v>198</v>
      </c>
      <c r="C186" s="45">
        <v>0</v>
      </c>
      <c r="D186" s="46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5">
        <f t="shared" si="4"/>
        <v>0</v>
      </c>
      <c r="F186" s="46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5">
        <v>0</v>
      </c>
      <c r="H186" s="46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40</v>
      </c>
      <c r="J186" s="46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>
      <c r="A187" s="10">
        <v>183</v>
      </c>
      <c r="B187" s="19" t="s">
        <v>199</v>
      </c>
      <c r="C187" s="45">
        <v>0</v>
      </c>
      <c r="D187" s="46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5">
        <f t="shared" si="4"/>
        <v>0</v>
      </c>
      <c r="F187" s="46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5">
        <v>0</v>
      </c>
      <c r="H187" s="46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150</v>
      </c>
      <c r="J187" s="46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>
      <c r="A188" s="10">
        <v>184</v>
      </c>
      <c r="B188" s="19" t="s">
        <v>200</v>
      </c>
      <c r="C188" s="45">
        <v>0</v>
      </c>
      <c r="D188" s="46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5">
        <f t="shared" si="4"/>
        <v>0</v>
      </c>
      <c r="F188" s="46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5">
        <v>0</v>
      </c>
      <c r="H188" s="46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150</v>
      </c>
      <c r="J188" s="46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>
      <c r="A189" s="10">
        <v>185</v>
      </c>
      <c r="B189" s="19" t="s">
        <v>201</v>
      </c>
      <c r="C189" s="45">
        <v>0</v>
      </c>
      <c r="D189" s="46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5">
        <f t="shared" si="4"/>
        <v>0</v>
      </c>
      <c r="F189" s="46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5">
        <v>0</v>
      </c>
      <c r="H189" s="46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150</v>
      </c>
      <c r="J189" s="46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>
      <c r="A190" s="10">
        <v>186</v>
      </c>
      <c r="B190" s="19" t="s">
        <v>239</v>
      </c>
      <c r="C190" s="45">
        <v>0</v>
      </c>
      <c r="D190" s="46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5">
        <f t="shared" si="4"/>
        <v>0</v>
      </c>
      <c r="F190" s="46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5">
        <v>0</v>
      </c>
      <c r="H190" s="46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55</v>
      </c>
      <c r="J190" s="46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>
      <c r="A191" s="10">
        <v>187</v>
      </c>
      <c r="B191" s="19" t="s">
        <v>241</v>
      </c>
      <c r="C191" s="45">
        <v>0</v>
      </c>
      <c r="D191" s="46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5">
        <f t="shared" si="4"/>
        <v>0</v>
      </c>
      <c r="F191" s="46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5">
        <v>0</v>
      </c>
      <c r="H191" s="46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25</v>
      </c>
      <c r="J191" s="46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4"/>
      <c r="U191" s="5"/>
    </row>
    <row r="192" spans="1:21">
      <c r="A192" s="10">
        <v>188</v>
      </c>
      <c r="B192" s="19"/>
      <c r="C192" s="45">
        <v>0</v>
      </c>
      <c r="D192" s="46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5">
        <f t="shared" si="4"/>
        <v>0</v>
      </c>
      <c r="F192" s="46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5">
        <v>0</v>
      </c>
      <c r="H192" s="46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0</v>
      </c>
      <c r="J192" s="46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4"/>
      <c r="U192" s="5"/>
    </row>
    <row r="193" spans="1:21">
      <c r="A193" s="10">
        <v>189</v>
      </c>
      <c r="B193" s="19"/>
      <c r="C193" s="45">
        <v>0</v>
      </c>
      <c r="D193" s="46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5">
        <f t="shared" si="4"/>
        <v>0</v>
      </c>
      <c r="F193" s="46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5">
        <v>0</v>
      </c>
      <c r="H193" s="46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0</v>
      </c>
      <c r="J193" s="46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4"/>
      <c r="U193" s="5"/>
    </row>
    <row r="194" spans="1:21">
      <c r="A194" s="10">
        <v>190</v>
      </c>
      <c r="B194" s="19"/>
      <c r="C194" s="45">
        <v>0</v>
      </c>
      <c r="D194" s="46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5">
        <f t="shared" si="4"/>
        <v>0</v>
      </c>
      <c r="F194" s="46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5">
        <v>0</v>
      </c>
      <c r="H194" s="46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0</v>
      </c>
      <c r="J194" s="46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4"/>
      <c r="U194" s="5"/>
    </row>
    <row r="195" spans="1:21">
      <c r="A195" s="10">
        <v>191</v>
      </c>
      <c r="B195" s="19"/>
      <c r="C195" s="45">
        <v>0</v>
      </c>
      <c r="D195" s="46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5">
        <f t="shared" si="4"/>
        <v>0</v>
      </c>
      <c r="F195" s="46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5">
        <v>0</v>
      </c>
      <c r="H195" s="46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0</v>
      </c>
      <c r="J195" s="46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>
      <c r="A196" s="10">
        <v>192</v>
      </c>
      <c r="B196" s="19"/>
      <c r="C196" s="45">
        <v>0</v>
      </c>
      <c r="D196" s="46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5">
        <f t="shared" si="4"/>
        <v>0</v>
      </c>
      <c r="F196" s="46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5">
        <v>0</v>
      </c>
      <c r="H196" s="46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0</v>
      </c>
      <c r="J196" s="46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>
      <c r="A197" s="10">
        <v>193</v>
      </c>
      <c r="B197" s="19"/>
      <c r="C197" s="45">
        <v>0</v>
      </c>
      <c r="D197" s="46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5">
        <f t="shared" si="4"/>
        <v>0</v>
      </c>
      <c r="F197" s="46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5">
        <v>0</v>
      </c>
      <c r="H197" s="46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6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>
      <c r="A198" s="10">
        <v>194</v>
      </c>
      <c r="B198" s="19"/>
      <c r="C198" s="45">
        <v>0</v>
      </c>
      <c r="D198" s="46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5">
        <f t="shared" si="4"/>
        <v>0</v>
      </c>
      <c r="F198" s="46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5">
        <v>0</v>
      </c>
      <c r="H198" s="46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0</v>
      </c>
      <c r="J198" s="46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4"/>
      <c r="U198" s="5"/>
    </row>
    <row r="199" spans="1:21">
      <c r="A199" s="10">
        <v>195</v>
      </c>
      <c r="B199" s="19"/>
      <c r="C199" s="45">
        <v>0</v>
      </c>
      <c r="D199" s="46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5">
        <f t="shared" si="4"/>
        <v>0</v>
      </c>
      <c r="F199" s="46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5">
        <v>0</v>
      </c>
      <c r="H199" s="46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0</v>
      </c>
      <c r="J199" s="46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>
      <c r="A200" s="10">
        <v>196</v>
      </c>
      <c r="B200" s="19"/>
      <c r="C200" s="45">
        <v>0</v>
      </c>
      <c r="D200" s="46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5">
        <f t="shared" si="4"/>
        <v>0</v>
      </c>
      <c r="F200" s="46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5">
        <v>0</v>
      </c>
      <c r="H200" s="46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6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>
      <c r="A201" s="10">
        <v>197</v>
      </c>
      <c r="B201" s="19"/>
      <c r="C201" s="45">
        <v>0</v>
      </c>
      <c r="D201" s="46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5">
        <f t="shared" si="4"/>
        <v>0</v>
      </c>
      <c r="F201" s="46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5">
        <v>0</v>
      </c>
      <c r="H201" s="46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6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4"/>
      <c r="U201" s="5"/>
    </row>
    <row r="202" spans="1:21">
      <c r="A202" s="10">
        <v>198</v>
      </c>
      <c r="B202" s="19"/>
      <c r="C202" s="45">
        <v>0</v>
      </c>
      <c r="D202" s="46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5">
        <f t="shared" si="4"/>
        <v>0</v>
      </c>
      <c r="F202" s="46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5">
        <v>0</v>
      </c>
      <c r="H202" s="46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6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>
      <c r="A203" s="10">
        <v>199</v>
      </c>
      <c r="B203" s="19"/>
      <c r="C203" s="45">
        <v>0</v>
      </c>
      <c r="D203" s="46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5">
        <f t="shared" ref="E203:E224" si="5">+C203+D203</f>
        <v>0</v>
      </c>
      <c r="F203" s="46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5">
        <v>0</v>
      </c>
      <c r="H203" s="46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6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>
      <c r="A204" s="10">
        <v>200</v>
      </c>
      <c r="B204" s="19"/>
      <c r="C204" s="45">
        <v>0</v>
      </c>
      <c r="D204" s="46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5">
        <f t="shared" si="5"/>
        <v>0</v>
      </c>
      <c r="F204" s="46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5">
        <v>0</v>
      </c>
      <c r="H204" s="46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6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>
      <c r="A205" s="10">
        <v>201</v>
      </c>
      <c r="B205" s="11"/>
      <c r="C205" s="45">
        <f>+ยกมา!G205</f>
        <v>0</v>
      </c>
      <c r="D205" s="46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5">
        <f t="shared" si="5"/>
        <v>0</v>
      </c>
      <c r="F205" s="46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5">
        <v>0</v>
      </c>
      <c r="H205" s="46">
        <v>0</v>
      </c>
      <c r="I205" s="15">
        <v>0</v>
      </c>
      <c r="J205" s="46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>
      <c r="A206" s="10">
        <v>202</v>
      </c>
      <c r="B206" s="11"/>
      <c r="C206" s="45">
        <f>+ยกมา!G206</f>
        <v>0</v>
      </c>
      <c r="D206" s="46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5">
        <f t="shared" si="5"/>
        <v>0</v>
      </c>
      <c r="F206" s="46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5">
        <v>0</v>
      </c>
      <c r="H206" s="46">
        <v>0</v>
      </c>
      <c r="I206" s="15">
        <v>0</v>
      </c>
      <c r="J206" s="46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>
      <c r="A207" s="10">
        <v>203</v>
      </c>
      <c r="B207" s="11"/>
      <c r="C207" s="45">
        <f>+ยกมา!G207</f>
        <v>0</v>
      </c>
      <c r="D207" s="46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5">
        <f t="shared" si="5"/>
        <v>0</v>
      </c>
      <c r="F207" s="46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5">
        <v>0</v>
      </c>
      <c r="H207" s="46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6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>
      <c r="A208" s="10">
        <v>204</v>
      </c>
      <c r="B208" s="11"/>
      <c r="C208" s="45">
        <f>+ยกมา!G208</f>
        <v>0</v>
      </c>
      <c r="D208" s="46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5">
        <f t="shared" si="5"/>
        <v>0</v>
      </c>
      <c r="F208" s="46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5">
        <v>0</v>
      </c>
      <c r="H208" s="46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0</v>
      </c>
      <c r="J208" s="46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2">
      <c r="A209" s="10">
        <v>205</v>
      </c>
      <c r="B209" s="11"/>
      <c r="C209" s="45">
        <f>+ยกมา!G209</f>
        <v>0</v>
      </c>
      <c r="D209" s="46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5">
        <f t="shared" si="5"/>
        <v>0</v>
      </c>
      <c r="F209" s="46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5">
        <v>0</v>
      </c>
      <c r="H209" s="46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0</v>
      </c>
      <c r="J209" s="46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2">
      <c r="A210" s="10">
        <v>206</v>
      </c>
      <c r="B210" s="11"/>
      <c r="C210" s="45">
        <f>+ยกมา!G210</f>
        <v>0</v>
      </c>
      <c r="D210" s="46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5">
        <f t="shared" si="5"/>
        <v>0</v>
      </c>
      <c r="F210" s="46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5">
        <v>0</v>
      </c>
      <c r="H210" s="46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0</v>
      </c>
      <c r="J210" s="46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2">
      <c r="A211" s="10">
        <v>207</v>
      </c>
      <c r="B211" s="11"/>
      <c r="C211" s="45">
        <f>+ยกมา!G211</f>
        <v>0</v>
      </c>
      <c r="D211" s="46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5">
        <f t="shared" si="5"/>
        <v>0</v>
      </c>
      <c r="F211" s="46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5">
        <v>0</v>
      </c>
      <c r="H211" s="46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5">
        <v>0</v>
      </c>
      <c r="J211" s="46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2">
      <c r="A212" s="10">
        <v>208</v>
      </c>
      <c r="B212" s="11"/>
      <c r="C212" s="45">
        <f>+ยกมา!G212</f>
        <v>0</v>
      </c>
      <c r="D212" s="46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5">
        <f t="shared" si="5"/>
        <v>0</v>
      </c>
      <c r="F212" s="46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5">
        <v>0</v>
      </c>
      <c r="H212" s="46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5">
        <v>0</v>
      </c>
      <c r="J212" s="46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2">
      <c r="A213" s="10">
        <v>209</v>
      </c>
      <c r="B213" s="11"/>
      <c r="C213" s="45">
        <f>+ยกมา!G213</f>
        <v>0</v>
      </c>
      <c r="D213" s="46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5">
        <f t="shared" si="5"/>
        <v>0</v>
      </c>
      <c r="F213" s="46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5">
        <v>0</v>
      </c>
      <c r="H213" s="46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5">
        <v>0</v>
      </c>
      <c r="J213" s="46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2">
      <c r="A214" s="10">
        <v>210</v>
      </c>
      <c r="B214" s="11"/>
      <c r="C214" s="45">
        <f>+ยกมา!G214</f>
        <v>0</v>
      </c>
      <c r="D214" s="46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5">
        <f t="shared" si="5"/>
        <v>0</v>
      </c>
      <c r="F214" s="46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5">
        <v>0</v>
      </c>
      <c r="H214" s="46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5">
        <v>0</v>
      </c>
      <c r="J214" s="46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2">
      <c r="A215" s="10">
        <v>211</v>
      </c>
      <c r="B215" s="11"/>
      <c r="C215" s="45">
        <f>+ยกมา!G215</f>
        <v>0</v>
      </c>
      <c r="D215" s="46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5">
        <f t="shared" si="5"/>
        <v>0</v>
      </c>
      <c r="F215" s="46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5">
        <v>0</v>
      </c>
      <c r="H215" s="46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5">
        <v>0</v>
      </c>
      <c r="J215" s="46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2">
      <c r="A216" s="10">
        <v>212</v>
      </c>
      <c r="B216" s="11"/>
      <c r="C216" s="45">
        <f>+ยกมา!G216</f>
        <v>0</v>
      </c>
      <c r="D216" s="46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5">
        <f t="shared" si="5"/>
        <v>0</v>
      </c>
      <c r="F216" s="46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5">
        <v>0</v>
      </c>
      <c r="H216" s="46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5">
        <v>0</v>
      </c>
      <c r="J216" s="46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2">
      <c r="A217" s="10">
        <v>213</v>
      </c>
      <c r="B217" s="11"/>
      <c r="C217" s="45">
        <f>+ยกมา!G217</f>
        <v>0</v>
      </c>
      <c r="D217" s="46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5">
        <f t="shared" si="5"/>
        <v>0</v>
      </c>
      <c r="F217" s="46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5">
        <v>0</v>
      </c>
      <c r="H217" s="46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5">
        <v>0</v>
      </c>
      <c r="J217" s="46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2">
      <c r="A218" s="10">
        <v>214</v>
      </c>
      <c r="B218" s="11"/>
      <c r="C218" s="45">
        <f>+ยกมา!G218</f>
        <v>0</v>
      </c>
      <c r="D218" s="46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5">
        <f t="shared" si="5"/>
        <v>0</v>
      </c>
      <c r="F218" s="46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5">
        <v>0</v>
      </c>
      <c r="H218" s="46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5">
        <v>0</v>
      </c>
      <c r="J218" s="46">
        <v>0</v>
      </c>
      <c r="K218" s="19"/>
      <c r="M218" s="54"/>
      <c r="U218" s="5"/>
    </row>
    <row r="219" spans="1:22">
      <c r="A219" s="10">
        <v>215</v>
      </c>
      <c r="B219" s="11"/>
      <c r="C219" s="45">
        <f>+ยกมา!G219</f>
        <v>0</v>
      </c>
      <c r="D219" s="46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5">
        <f t="shared" si="5"/>
        <v>0</v>
      </c>
      <c r="F219" s="46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5">
        <v>0</v>
      </c>
      <c r="H219" s="46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5">
        <v>0</v>
      </c>
      <c r="J219" s="46">
        <v>0</v>
      </c>
      <c r="K219" s="19"/>
      <c r="M219" s="54"/>
      <c r="U219" s="5"/>
    </row>
    <row r="220" spans="1:22">
      <c r="A220" s="10">
        <v>216</v>
      </c>
      <c r="B220" s="11"/>
      <c r="C220" s="45">
        <f>+ยกมา!G220</f>
        <v>0</v>
      </c>
      <c r="D220" s="46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5">
        <f t="shared" si="5"/>
        <v>0</v>
      </c>
      <c r="F220" s="46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5">
        <v>0</v>
      </c>
      <c r="H220" s="46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5">
        <v>0</v>
      </c>
      <c r="J220" s="46">
        <v>0</v>
      </c>
      <c r="K220" s="19"/>
      <c r="M220" s="54"/>
      <c r="U220" s="5"/>
    </row>
    <row r="221" spans="1:22">
      <c r="A221" s="10">
        <v>217</v>
      </c>
      <c r="B221" s="11"/>
      <c r="C221" s="45">
        <f>+ยกมา!G221</f>
        <v>0</v>
      </c>
      <c r="D221" s="46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5">
        <f t="shared" si="5"/>
        <v>0</v>
      </c>
      <c r="F221" s="46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5">
        <v>0</v>
      </c>
      <c r="H221" s="46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5">
        <v>0</v>
      </c>
      <c r="J221" s="46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2">
      <c r="A222" s="10">
        <v>218</v>
      </c>
      <c r="B222" s="11"/>
      <c r="C222" s="45">
        <f>+ยกมา!G222</f>
        <v>0</v>
      </c>
      <c r="D222" s="46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5">
        <f t="shared" si="5"/>
        <v>0</v>
      </c>
      <c r="F222" s="46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5">
        <v>0</v>
      </c>
      <c r="H222" s="46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15">
        <v>0</v>
      </c>
      <c r="J222" s="46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2">
      <c r="A223" s="10">
        <v>219</v>
      </c>
      <c r="B223" s="11"/>
      <c r="C223" s="45">
        <f>+ยกมา!G223</f>
        <v>0</v>
      </c>
      <c r="D223" s="46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5">
        <f t="shared" si="5"/>
        <v>0</v>
      </c>
      <c r="F223" s="46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5">
        <v>0</v>
      </c>
      <c r="H223" s="46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15">
        <v>0</v>
      </c>
      <c r="J223" s="46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2" ht="29.25">
      <c r="A224" s="10">
        <v>220</v>
      </c>
      <c r="B224" s="11"/>
      <c r="C224" s="45">
        <f>+ยกมา!G224</f>
        <v>0</v>
      </c>
      <c r="D224" s="46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5">
        <f t="shared" si="5"/>
        <v>0</v>
      </c>
      <c r="F224" s="46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5">
        <v>0</v>
      </c>
      <c r="H224" s="46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15">
        <v>0</v>
      </c>
      <c r="J224" s="46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  <c r="V224" s="55"/>
    </row>
    <row r="225" spans="1:22" ht="26.25">
      <c r="A225" s="10">
        <v>233</v>
      </c>
      <c r="B225" s="19"/>
      <c r="C225" s="45"/>
      <c r="D225" s="46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45"/>
      <c r="F225" s="46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5"/>
      <c r="H225" s="46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5"/>
      <c r="J225" s="46"/>
      <c r="K225" s="19"/>
      <c r="M225" s="54"/>
      <c r="U225" s="5"/>
      <c r="V225" s="58"/>
    </row>
    <row r="226" spans="1:22" s="55" customFormat="1" ht="27.75" customHeight="1">
      <c r="A226" s="118" t="s">
        <v>223</v>
      </c>
      <c r="B226" s="119"/>
      <c r="C226" s="119"/>
      <c r="D226" s="119"/>
      <c r="E226" s="119"/>
      <c r="F226" s="119"/>
      <c r="G226" s="119"/>
      <c r="H226" s="119"/>
      <c r="I226" s="119"/>
      <c r="J226" s="119"/>
      <c r="K226" s="120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>
      <c r="A227" s="121" t="s">
        <v>224</v>
      </c>
      <c r="B227" s="122"/>
      <c r="C227" s="123" t="s">
        <v>240</v>
      </c>
      <c r="D227" s="124"/>
      <c r="E227" s="125" t="s">
        <v>225</v>
      </c>
      <c r="F227" s="126"/>
      <c r="G227" s="127" t="s">
        <v>226</v>
      </c>
      <c r="H227" s="127"/>
      <c r="I227" s="127"/>
      <c r="J227" s="61">
        <f>SUM(J5:J225)</f>
        <v>68090</v>
      </c>
      <c r="K227" s="62" t="s">
        <v>219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>
      <c r="A228" s="63" t="s">
        <v>227</v>
      </c>
      <c r="B228" s="64">
        <f>+J230</f>
        <v>68090</v>
      </c>
      <c r="C228" s="65" t="s">
        <v>228</v>
      </c>
      <c r="D228" s="66">
        <f>+J227</f>
        <v>68090</v>
      </c>
      <c r="E228" s="67" t="s">
        <v>217</v>
      </c>
      <c r="F228" s="68">
        <f>SUM(P36)</f>
        <v>540</v>
      </c>
      <c r="G228" s="109"/>
      <c r="H228" s="109"/>
      <c r="I228" s="109"/>
      <c r="J228" s="70"/>
      <c r="K228" s="70">
        <f>+R36</f>
        <v>17860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>
      <c r="A229" s="63"/>
      <c r="B229" s="64"/>
      <c r="C229" s="65" t="s">
        <v>229</v>
      </c>
      <c r="D229" s="66">
        <f>K230</f>
        <v>10779</v>
      </c>
      <c r="E229" s="67"/>
      <c r="F229" s="71">
        <v>0</v>
      </c>
      <c r="G229" s="109" t="s">
        <v>230</v>
      </c>
      <c r="H229" s="109"/>
      <c r="I229" s="109"/>
      <c r="J229" s="70">
        <f>-O36</f>
        <v>0</v>
      </c>
      <c r="K229" s="70" t="s">
        <v>229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>
      <c r="A230" s="73" t="s">
        <v>10</v>
      </c>
      <c r="B230" s="64">
        <f>+D229</f>
        <v>10779</v>
      </c>
      <c r="C230" s="65"/>
      <c r="D230" s="66"/>
      <c r="E230" s="67" t="s">
        <v>231</v>
      </c>
      <c r="F230" s="71">
        <f>+Q36</f>
        <v>80</v>
      </c>
      <c r="G230" s="110" t="s">
        <v>232</v>
      </c>
      <c r="H230" s="111"/>
      <c r="I230" s="112"/>
      <c r="J230" s="70">
        <f>+J227-J228</f>
        <v>68090</v>
      </c>
      <c r="K230" s="74">
        <f>+N36</f>
        <v>10779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>
      <c r="A231" s="75" t="s">
        <v>233</v>
      </c>
      <c r="B231" s="64">
        <f>B228-B230</f>
        <v>57311</v>
      </c>
      <c r="C231" s="65" t="s">
        <v>233</v>
      </c>
      <c r="D231" s="66">
        <f>+D228-D229</f>
        <v>57311</v>
      </c>
      <c r="E231" s="67" t="s">
        <v>234</v>
      </c>
      <c r="F231" s="71">
        <f>SUM(F228:F230)</f>
        <v>620</v>
      </c>
      <c r="G231" s="109" t="s">
        <v>206</v>
      </c>
      <c r="H231" s="109"/>
      <c r="I231" s="109"/>
      <c r="J231" s="70">
        <f>F231</f>
        <v>620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>
      <c r="A232" s="76"/>
      <c r="B232" s="76"/>
      <c r="C232" s="65" t="s">
        <v>235</v>
      </c>
      <c r="D232" s="66">
        <v>100000</v>
      </c>
      <c r="G232" s="102" t="s">
        <v>208</v>
      </c>
      <c r="H232" s="103"/>
      <c r="I232" s="104"/>
      <c r="J232" s="70">
        <f>J230-J231-K228-K230</f>
        <v>38831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>
      <c r="A233" s="76"/>
      <c r="B233" s="76"/>
      <c r="C233" s="65" t="s">
        <v>236</v>
      </c>
      <c r="D233" s="66">
        <f>D231-D232</f>
        <v>-42689</v>
      </c>
      <c r="G233" s="102" t="s">
        <v>209</v>
      </c>
      <c r="H233" s="103"/>
      <c r="I233" s="104"/>
      <c r="J233" s="70">
        <f>+T36</f>
        <v>39021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>
      <c r="A234" s="76"/>
      <c r="B234" s="76"/>
      <c r="C234" s="65" t="s">
        <v>237</v>
      </c>
      <c r="D234" s="66">
        <v>0</v>
      </c>
      <c r="G234" s="102" t="s">
        <v>210</v>
      </c>
      <c r="H234" s="103"/>
      <c r="I234" s="104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6"/>
      <c r="B235" s="76"/>
      <c r="G235" s="105" t="s">
        <v>211</v>
      </c>
      <c r="H235" s="105"/>
      <c r="I235" s="105"/>
      <c r="J235" s="77">
        <f>+J233-J232</f>
        <v>190</v>
      </c>
      <c r="K235" s="78"/>
    </row>
    <row r="236" spans="1:22" ht="24.75" customHeight="1" thickBot="1">
      <c r="F236" s="106" t="s">
        <v>238</v>
      </c>
      <c r="G236" s="107"/>
      <c r="H236" s="107"/>
      <c r="I236" s="107"/>
      <c r="J236" s="107"/>
      <c r="K236" s="108"/>
    </row>
    <row r="237" spans="1:22">
      <c r="D237" s="23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291"/>
  <sheetViews>
    <sheetView zoomScaleNormal="100" workbookViewId="0">
      <selection activeCell="A3" sqref="A3:A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>
      <c r="A2" s="144" t="s">
        <v>244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82">
        <v>3</v>
      </c>
      <c r="D5" s="83">
        <v>5</v>
      </c>
      <c r="E5" s="82">
        <v>8</v>
      </c>
      <c r="F5" s="83">
        <v>0</v>
      </c>
      <c r="G5" s="82">
        <v>6</v>
      </c>
      <c r="H5" s="84">
        <v>2</v>
      </c>
      <c r="I5" s="15">
        <v>50</v>
      </c>
      <c r="J5" s="95">
        <v>100</v>
      </c>
      <c r="K5" s="17" t="s">
        <v>16</v>
      </c>
      <c r="L5" s="18">
        <v>0</v>
      </c>
      <c r="M5" s="23">
        <v>100</v>
      </c>
      <c r="N5"/>
      <c r="O5" s="10">
        <v>1</v>
      </c>
      <c r="P5" s="11"/>
      <c r="Q5" s="82">
        <v>0</v>
      </c>
      <c r="R5" s="83">
        <v>0</v>
      </c>
      <c r="S5" s="82">
        <v>0</v>
      </c>
      <c r="T5" s="83">
        <v>0</v>
      </c>
      <c r="U5" s="82">
        <v>0</v>
      </c>
      <c r="V5" s="84">
        <v>0</v>
      </c>
      <c r="W5" s="15"/>
      <c r="X5" s="85"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v>0</v>
      </c>
      <c r="D6" s="83">
        <v>35</v>
      </c>
      <c r="E6" s="82">
        <v>35</v>
      </c>
      <c r="F6" s="83">
        <v>0</v>
      </c>
      <c r="G6" s="82">
        <v>33</v>
      </c>
      <c r="H6" s="84">
        <v>2</v>
      </c>
      <c r="I6" s="15">
        <v>100</v>
      </c>
      <c r="J6" s="95">
        <v>200</v>
      </c>
      <c r="K6" s="17" t="s">
        <v>16</v>
      </c>
      <c r="L6" s="18">
        <v>0</v>
      </c>
      <c r="M6" s="81">
        <v>200</v>
      </c>
      <c r="N6"/>
      <c r="O6" s="10">
        <v>2</v>
      </c>
      <c r="P6" s="11"/>
      <c r="Q6" s="82">
        <v>0</v>
      </c>
      <c r="R6" s="83">
        <v>0</v>
      </c>
      <c r="S6" s="82">
        <v>0</v>
      </c>
      <c r="T6" s="83">
        <v>0</v>
      </c>
      <c r="U6" s="82">
        <v>0</v>
      </c>
      <c r="V6" s="84">
        <v>0</v>
      </c>
      <c r="W6" s="15"/>
      <c r="X6" s="85"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v>1</v>
      </c>
      <c r="D7" s="83">
        <v>3</v>
      </c>
      <c r="E7" s="82">
        <v>4</v>
      </c>
      <c r="F7" s="83">
        <v>0</v>
      </c>
      <c r="G7" s="82">
        <v>2</v>
      </c>
      <c r="H7" s="84">
        <v>2</v>
      </c>
      <c r="I7" s="15">
        <v>50</v>
      </c>
      <c r="J7" s="95">
        <v>100</v>
      </c>
      <c r="K7" s="17" t="s">
        <v>243</v>
      </c>
      <c r="L7" s="18">
        <v>50</v>
      </c>
      <c r="M7" s="23">
        <v>50</v>
      </c>
      <c r="N7"/>
      <c r="O7" s="10">
        <v>3</v>
      </c>
      <c r="P7" s="11"/>
      <c r="Q7" s="82">
        <v>0</v>
      </c>
      <c r="R7" s="83">
        <v>0</v>
      </c>
      <c r="S7" s="82">
        <v>0</v>
      </c>
      <c r="T7" s="83">
        <v>0</v>
      </c>
      <c r="U7" s="82">
        <v>0</v>
      </c>
      <c r="V7" s="84">
        <v>0</v>
      </c>
      <c r="W7" s="15"/>
      <c r="X7" s="85"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v>0</v>
      </c>
      <c r="D8" s="83">
        <v>0</v>
      </c>
      <c r="E8" s="82">
        <v>0</v>
      </c>
      <c r="F8" s="83">
        <v>0</v>
      </c>
      <c r="G8" s="82">
        <v>0</v>
      </c>
      <c r="H8" s="84">
        <v>0</v>
      </c>
      <c r="I8" s="15">
        <v>100</v>
      </c>
      <c r="J8" s="95">
        <v>0</v>
      </c>
      <c r="K8" s="17" t="s">
        <v>16</v>
      </c>
      <c r="L8" s="18">
        <v>0</v>
      </c>
      <c r="M8" s="23">
        <v>0</v>
      </c>
      <c r="N8"/>
      <c r="O8" s="10">
        <v>4</v>
      </c>
      <c r="P8" s="11"/>
      <c r="Q8" s="82">
        <v>0</v>
      </c>
      <c r="R8" s="83">
        <v>0</v>
      </c>
      <c r="S8" s="82">
        <v>0</v>
      </c>
      <c r="T8" s="83">
        <v>0</v>
      </c>
      <c r="U8" s="82">
        <v>0</v>
      </c>
      <c r="V8" s="84">
        <v>0</v>
      </c>
      <c r="W8" s="15"/>
      <c r="X8" s="85"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v>0</v>
      </c>
      <c r="D9" s="83">
        <v>0</v>
      </c>
      <c r="E9" s="82">
        <v>0</v>
      </c>
      <c r="F9" s="83">
        <v>0</v>
      </c>
      <c r="G9" s="82">
        <v>0</v>
      </c>
      <c r="H9" s="84">
        <v>0</v>
      </c>
      <c r="I9" s="15">
        <v>10</v>
      </c>
      <c r="J9" s="95">
        <v>0</v>
      </c>
      <c r="K9" s="17" t="s">
        <v>16</v>
      </c>
      <c r="L9" s="18">
        <v>0</v>
      </c>
      <c r="M9" s="23">
        <v>0</v>
      </c>
      <c r="N9"/>
      <c r="O9" s="10">
        <v>5</v>
      </c>
      <c r="P9" s="11"/>
      <c r="Q9" s="82">
        <v>0</v>
      </c>
      <c r="R9" s="83">
        <v>0</v>
      </c>
      <c r="S9" s="82">
        <v>0</v>
      </c>
      <c r="T9" s="83">
        <v>0</v>
      </c>
      <c r="U9" s="82">
        <v>0</v>
      </c>
      <c r="V9" s="84">
        <v>0</v>
      </c>
      <c r="W9" s="15"/>
      <c r="X9" s="85"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v>0</v>
      </c>
      <c r="D10" s="83">
        <v>0</v>
      </c>
      <c r="E10" s="82">
        <v>0</v>
      </c>
      <c r="F10" s="83">
        <v>0</v>
      </c>
      <c r="G10" s="82">
        <v>0</v>
      </c>
      <c r="H10" s="84">
        <v>0</v>
      </c>
      <c r="I10" s="15">
        <v>12</v>
      </c>
      <c r="J10" s="95">
        <v>0</v>
      </c>
      <c r="K10" s="17" t="s">
        <v>16</v>
      </c>
      <c r="L10" s="18">
        <v>0</v>
      </c>
      <c r="M10" s="23">
        <v>0</v>
      </c>
      <c r="N10"/>
      <c r="O10" s="10">
        <v>6</v>
      </c>
      <c r="P10" s="11"/>
      <c r="Q10" s="82">
        <v>0</v>
      </c>
      <c r="R10" s="83">
        <v>0</v>
      </c>
      <c r="S10" s="82">
        <v>0</v>
      </c>
      <c r="T10" s="83">
        <v>0</v>
      </c>
      <c r="U10" s="82">
        <v>0</v>
      </c>
      <c r="V10" s="84">
        <v>0</v>
      </c>
      <c r="W10" s="15"/>
      <c r="X10" s="85"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v>0</v>
      </c>
      <c r="D11" s="83">
        <v>0</v>
      </c>
      <c r="E11" s="82">
        <v>0</v>
      </c>
      <c r="F11" s="83">
        <v>0</v>
      </c>
      <c r="G11" s="82">
        <v>0</v>
      </c>
      <c r="H11" s="84">
        <v>0</v>
      </c>
      <c r="I11" s="15">
        <v>40</v>
      </c>
      <c r="J11" s="95">
        <v>0</v>
      </c>
      <c r="K11" s="17" t="s">
        <v>16</v>
      </c>
      <c r="L11" s="18">
        <v>0</v>
      </c>
      <c r="M11" s="23">
        <v>0</v>
      </c>
      <c r="N11"/>
      <c r="O11" s="10">
        <v>7</v>
      </c>
      <c r="P11" s="11"/>
      <c r="Q11" s="82">
        <v>0</v>
      </c>
      <c r="R11" s="83">
        <v>0</v>
      </c>
      <c r="S11" s="82">
        <v>0</v>
      </c>
      <c r="T11" s="83">
        <v>0</v>
      </c>
      <c r="U11" s="82">
        <v>0</v>
      </c>
      <c r="V11" s="84">
        <v>0</v>
      </c>
      <c r="W11" s="15"/>
      <c r="X11" s="85"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v>0</v>
      </c>
      <c r="D12" s="83">
        <v>0</v>
      </c>
      <c r="E12" s="82">
        <v>0</v>
      </c>
      <c r="F12" s="83">
        <v>0</v>
      </c>
      <c r="G12" s="82">
        <v>0</v>
      </c>
      <c r="H12" s="84">
        <v>0</v>
      </c>
      <c r="I12" s="86">
        <v>50</v>
      </c>
      <c r="J12" s="95">
        <v>0</v>
      </c>
      <c r="K12" s="17" t="s">
        <v>16</v>
      </c>
      <c r="L12" s="18">
        <v>0</v>
      </c>
      <c r="M12" s="23">
        <v>0</v>
      </c>
      <c r="N12"/>
      <c r="O12" s="10">
        <v>8</v>
      </c>
      <c r="P12" s="11"/>
      <c r="Q12" s="82">
        <v>0</v>
      </c>
      <c r="R12" s="83">
        <v>0</v>
      </c>
      <c r="S12" s="82">
        <v>0</v>
      </c>
      <c r="T12" s="83">
        <v>0</v>
      </c>
      <c r="U12" s="82">
        <v>0</v>
      </c>
      <c r="V12" s="84">
        <v>0</v>
      </c>
      <c r="W12" s="15"/>
      <c r="X12" s="85"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v>0</v>
      </c>
      <c r="D13" s="83">
        <v>0</v>
      </c>
      <c r="E13" s="82">
        <v>0</v>
      </c>
      <c r="F13" s="83">
        <v>0</v>
      </c>
      <c r="G13" s="82">
        <v>0</v>
      </c>
      <c r="H13" s="84">
        <v>0</v>
      </c>
      <c r="I13" s="86">
        <v>55</v>
      </c>
      <c r="J13" s="95">
        <v>0</v>
      </c>
      <c r="K13" s="17" t="s">
        <v>16</v>
      </c>
      <c r="L13" s="18">
        <v>0</v>
      </c>
      <c r="M13" s="23">
        <v>0</v>
      </c>
      <c r="N13"/>
      <c r="O13" s="10">
        <v>9</v>
      </c>
      <c r="P13" s="11"/>
      <c r="Q13" s="82">
        <v>0</v>
      </c>
      <c r="R13" s="83">
        <v>0</v>
      </c>
      <c r="S13" s="82">
        <v>0</v>
      </c>
      <c r="T13" s="83">
        <v>0</v>
      </c>
      <c r="U13" s="82">
        <v>0</v>
      </c>
      <c r="V13" s="84">
        <v>0</v>
      </c>
      <c r="W13" s="15"/>
      <c r="X13" s="85"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2">
        <v>0</v>
      </c>
      <c r="D14" s="83">
        <v>6</v>
      </c>
      <c r="E14" s="82">
        <v>6</v>
      </c>
      <c r="F14" s="83">
        <v>0</v>
      </c>
      <c r="G14" s="82">
        <v>6</v>
      </c>
      <c r="H14" s="84">
        <v>0</v>
      </c>
      <c r="I14" s="86">
        <v>65</v>
      </c>
      <c r="J14" s="95">
        <v>0</v>
      </c>
      <c r="K14" s="17" t="s">
        <v>16</v>
      </c>
      <c r="L14" s="18">
        <v>0</v>
      </c>
      <c r="M14" s="23">
        <v>0</v>
      </c>
      <c r="N14"/>
      <c r="O14" s="10">
        <v>10</v>
      </c>
      <c r="P14" s="11"/>
      <c r="Q14" s="82">
        <v>0</v>
      </c>
      <c r="R14" s="83">
        <v>0</v>
      </c>
      <c r="S14" s="82">
        <v>0</v>
      </c>
      <c r="T14" s="83">
        <v>0</v>
      </c>
      <c r="U14" s="82">
        <v>0</v>
      </c>
      <c r="V14" s="84">
        <v>0</v>
      </c>
      <c r="W14" s="15"/>
      <c r="X14" s="85"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v>0</v>
      </c>
      <c r="D15" s="83">
        <v>0</v>
      </c>
      <c r="E15" s="82">
        <v>0</v>
      </c>
      <c r="F15" s="83">
        <v>0</v>
      </c>
      <c r="G15" s="82">
        <v>0</v>
      </c>
      <c r="H15" s="84">
        <v>0</v>
      </c>
      <c r="I15" s="86">
        <v>50</v>
      </c>
      <c r="J15" s="95">
        <v>0</v>
      </c>
      <c r="K15" s="17" t="s">
        <v>16</v>
      </c>
      <c r="L15" s="18">
        <v>0</v>
      </c>
      <c r="M15" s="23">
        <v>0</v>
      </c>
      <c r="N15"/>
      <c r="O15" s="10">
        <v>11</v>
      </c>
      <c r="P15" s="11"/>
      <c r="Q15" s="82">
        <v>0</v>
      </c>
      <c r="R15" s="83">
        <v>0</v>
      </c>
      <c r="S15" s="82">
        <v>0</v>
      </c>
      <c r="T15" s="83">
        <v>0</v>
      </c>
      <c r="U15" s="82">
        <v>0</v>
      </c>
      <c r="V15" s="84">
        <v>0</v>
      </c>
      <c r="W15" s="15"/>
      <c r="X15" s="85"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v>0</v>
      </c>
      <c r="D16" s="83">
        <v>0</v>
      </c>
      <c r="E16" s="82">
        <v>0</v>
      </c>
      <c r="F16" s="83">
        <v>0</v>
      </c>
      <c r="G16" s="82">
        <v>0</v>
      </c>
      <c r="H16" s="84">
        <v>0</v>
      </c>
      <c r="I16" s="15">
        <v>50</v>
      </c>
      <c r="J16" s="95">
        <v>0</v>
      </c>
      <c r="K16" s="17" t="s">
        <v>16</v>
      </c>
      <c r="L16" s="18">
        <v>0</v>
      </c>
      <c r="M16" s="23">
        <v>0</v>
      </c>
      <c r="N16"/>
      <c r="O16" s="10">
        <v>12</v>
      </c>
      <c r="P16" s="11"/>
      <c r="Q16" s="82">
        <v>0</v>
      </c>
      <c r="R16" s="83">
        <v>0</v>
      </c>
      <c r="S16" s="82">
        <v>0</v>
      </c>
      <c r="T16" s="83">
        <v>0</v>
      </c>
      <c r="U16" s="82">
        <v>0</v>
      </c>
      <c r="V16" s="84">
        <v>0</v>
      </c>
      <c r="W16" s="15"/>
      <c r="X16" s="85"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v>0</v>
      </c>
      <c r="D17" s="83">
        <v>0</v>
      </c>
      <c r="E17" s="82">
        <v>0</v>
      </c>
      <c r="F17" s="83">
        <v>0</v>
      </c>
      <c r="G17" s="82">
        <v>0</v>
      </c>
      <c r="H17" s="84">
        <v>0</v>
      </c>
      <c r="I17" s="15">
        <v>50</v>
      </c>
      <c r="J17" s="95">
        <v>0</v>
      </c>
      <c r="K17" s="17" t="s">
        <v>16</v>
      </c>
      <c r="L17" s="18">
        <v>0</v>
      </c>
      <c r="M17" s="23">
        <v>0</v>
      </c>
      <c r="N17"/>
      <c r="O17" s="10">
        <v>13</v>
      </c>
      <c r="P17" s="11"/>
      <c r="Q17" s="82">
        <v>0</v>
      </c>
      <c r="R17" s="83">
        <v>0</v>
      </c>
      <c r="S17" s="82">
        <v>0</v>
      </c>
      <c r="T17" s="83">
        <v>0</v>
      </c>
      <c r="U17" s="82">
        <v>0</v>
      </c>
      <c r="V17" s="84">
        <v>0</v>
      </c>
      <c r="W17" s="15"/>
      <c r="X17" s="85"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v>0</v>
      </c>
      <c r="D18" s="83">
        <v>0</v>
      </c>
      <c r="E18" s="82">
        <v>0</v>
      </c>
      <c r="F18" s="83">
        <v>0</v>
      </c>
      <c r="G18" s="82">
        <v>0</v>
      </c>
      <c r="H18" s="84">
        <v>0</v>
      </c>
      <c r="I18" s="86">
        <v>50</v>
      </c>
      <c r="J18" s="95">
        <v>0</v>
      </c>
      <c r="K18" s="17" t="s">
        <v>16</v>
      </c>
      <c r="L18" s="18">
        <v>0</v>
      </c>
      <c r="M18" s="23">
        <v>0</v>
      </c>
      <c r="N18"/>
      <c r="O18" s="10">
        <v>14</v>
      </c>
      <c r="P18" s="11"/>
      <c r="Q18" s="82">
        <v>0</v>
      </c>
      <c r="R18" s="83">
        <v>0</v>
      </c>
      <c r="S18" s="82">
        <v>0</v>
      </c>
      <c r="T18" s="83">
        <v>0</v>
      </c>
      <c r="U18" s="82">
        <v>0</v>
      </c>
      <c r="V18" s="84">
        <v>0</v>
      </c>
      <c r="W18" s="15"/>
      <c r="X18" s="85"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v>0</v>
      </c>
      <c r="D19" s="83">
        <v>0</v>
      </c>
      <c r="E19" s="82">
        <v>0</v>
      </c>
      <c r="F19" s="83">
        <v>0</v>
      </c>
      <c r="G19" s="82">
        <v>0</v>
      </c>
      <c r="H19" s="84">
        <v>0</v>
      </c>
      <c r="I19" s="15">
        <v>50</v>
      </c>
      <c r="J19" s="95">
        <v>0</v>
      </c>
      <c r="K19" s="17" t="s">
        <v>16</v>
      </c>
      <c r="L19" s="18">
        <v>0</v>
      </c>
      <c r="M19" s="23">
        <v>0</v>
      </c>
      <c r="N19"/>
      <c r="O19" s="10">
        <v>15</v>
      </c>
      <c r="P19" s="11"/>
      <c r="Q19" s="82">
        <v>0</v>
      </c>
      <c r="R19" s="83">
        <v>0</v>
      </c>
      <c r="S19" s="82">
        <v>0</v>
      </c>
      <c r="T19" s="83">
        <v>0</v>
      </c>
      <c r="U19" s="82">
        <v>0</v>
      </c>
      <c r="V19" s="84">
        <v>0</v>
      </c>
      <c r="W19" s="15"/>
      <c r="X19" s="85"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v>0</v>
      </c>
      <c r="D20" s="83">
        <v>0</v>
      </c>
      <c r="E20" s="82">
        <v>0</v>
      </c>
      <c r="F20" s="83">
        <v>0</v>
      </c>
      <c r="G20" s="82">
        <v>0</v>
      </c>
      <c r="H20" s="84">
        <v>0</v>
      </c>
      <c r="I20" s="15">
        <v>50</v>
      </c>
      <c r="J20" s="95">
        <v>0</v>
      </c>
      <c r="K20" s="17" t="s">
        <v>16</v>
      </c>
      <c r="L20" s="18">
        <v>0</v>
      </c>
      <c r="M20" s="23">
        <v>0</v>
      </c>
      <c r="N20"/>
      <c r="O20" s="10">
        <v>16</v>
      </c>
      <c r="P20" s="11"/>
      <c r="Q20" s="82">
        <v>0</v>
      </c>
      <c r="R20" s="83">
        <v>0</v>
      </c>
      <c r="S20" s="82">
        <v>0</v>
      </c>
      <c r="T20" s="83">
        <v>0</v>
      </c>
      <c r="U20" s="82">
        <v>0</v>
      </c>
      <c r="V20" s="84">
        <v>0</v>
      </c>
      <c r="W20" s="15"/>
      <c r="X20" s="85"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v>0</v>
      </c>
      <c r="D21" s="83">
        <v>0</v>
      </c>
      <c r="E21" s="82">
        <v>0</v>
      </c>
      <c r="F21" s="83">
        <v>0</v>
      </c>
      <c r="G21" s="82">
        <v>0</v>
      </c>
      <c r="H21" s="84">
        <v>0</v>
      </c>
      <c r="I21" s="15">
        <v>50</v>
      </c>
      <c r="J21" s="95">
        <v>0</v>
      </c>
      <c r="K21" s="17" t="s">
        <v>16</v>
      </c>
      <c r="L21" s="18">
        <v>0</v>
      </c>
      <c r="M21" s="23">
        <v>0</v>
      </c>
      <c r="N21"/>
      <c r="O21" s="10">
        <v>17</v>
      </c>
      <c r="P21" s="11"/>
      <c r="Q21" s="82">
        <v>0</v>
      </c>
      <c r="R21" s="83">
        <v>0</v>
      </c>
      <c r="S21" s="82">
        <v>0</v>
      </c>
      <c r="T21" s="83">
        <v>0</v>
      </c>
      <c r="U21" s="82">
        <v>0</v>
      </c>
      <c r="V21" s="84">
        <v>0</v>
      </c>
      <c r="W21" s="15"/>
      <c r="X21" s="85"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v>1</v>
      </c>
      <c r="D22" s="83">
        <v>5</v>
      </c>
      <c r="E22" s="82">
        <v>6</v>
      </c>
      <c r="F22" s="83">
        <v>0</v>
      </c>
      <c r="G22" s="82">
        <v>6</v>
      </c>
      <c r="H22" s="84">
        <v>0</v>
      </c>
      <c r="I22" s="15">
        <v>85</v>
      </c>
      <c r="J22" s="95">
        <v>0</v>
      </c>
      <c r="K22" s="17" t="s">
        <v>16</v>
      </c>
      <c r="L22" s="18">
        <v>0</v>
      </c>
      <c r="M22" s="81">
        <v>0</v>
      </c>
      <c r="N22"/>
      <c r="O22" s="10">
        <v>18</v>
      </c>
      <c r="P22" s="11"/>
      <c r="Q22" s="82">
        <v>0</v>
      </c>
      <c r="R22" s="83">
        <v>0</v>
      </c>
      <c r="S22" s="82">
        <v>0</v>
      </c>
      <c r="T22" s="83">
        <v>0</v>
      </c>
      <c r="U22" s="82">
        <v>0</v>
      </c>
      <c r="V22" s="84">
        <v>0</v>
      </c>
      <c r="W22" s="87"/>
      <c r="X22" s="85"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v>0</v>
      </c>
      <c r="D23" s="83">
        <v>30</v>
      </c>
      <c r="E23" s="82">
        <v>30</v>
      </c>
      <c r="F23" s="83">
        <v>0</v>
      </c>
      <c r="G23" s="82">
        <v>27</v>
      </c>
      <c r="H23" s="84">
        <v>3</v>
      </c>
      <c r="I23" s="15">
        <v>100</v>
      </c>
      <c r="J23" s="95">
        <v>300</v>
      </c>
      <c r="K23" s="17" t="s">
        <v>16</v>
      </c>
      <c r="L23" s="18">
        <v>0</v>
      </c>
      <c r="M23" s="81">
        <v>300</v>
      </c>
      <c r="N23"/>
      <c r="O23" s="10">
        <v>19</v>
      </c>
      <c r="P23" s="11"/>
      <c r="Q23" s="82">
        <v>0</v>
      </c>
      <c r="R23" s="83">
        <v>0</v>
      </c>
      <c r="S23" s="82">
        <v>0</v>
      </c>
      <c r="T23" s="83">
        <v>0</v>
      </c>
      <c r="U23" s="82">
        <v>0</v>
      </c>
      <c r="V23" s="84">
        <v>0</v>
      </c>
      <c r="W23" s="15"/>
      <c r="X23" s="85"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v>13</v>
      </c>
      <c r="D24" s="83">
        <v>0</v>
      </c>
      <c r="E24" s="82">
        <v>13</v>
      </c>
      <c r="F24" s="83">
        <v>0</v>
      </c>
      <c r="G24" s="82">
        <v>6</v>
      </c>
      <c r="H24" s="84">
        <v>7</v>
      </c>
      <c r="I24" s="87">
        <v>100</v>
      </c>
      <c r="J24" s="95">
        <v>700</v>
      </c>
      <c r="K24" s="17" t="s">
        <v>16</v>
      </c>
      <c r="L24" s="18">
        <v>0</v>
      </c>
      <c r="M24" s="81">
        <v>700</v>
      </c>
      <c r="N24"/>
      <c r="O24" s="10">
        <v>20</v>
      </c>
      <c r="P24" s="11"/>
      <c r="Q24" s="82">
        <v>0</v>
      </c>
      <c r="R24" s="83">
        <v>0</v>
      </c>
      <c r="S24" s="82">
        <v>0</v>
      </c>
      <c r="T24" s="83">
        <v>0</v>
      </c>
      <c r="U24" s="82">
        <v>0</v>
      </c>
      <c r="V24" s="84">
        <v>0</v>
      </c>
      <c r="W24" s="87"/>
      <c r="X24" s="85"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v>5</v>
      </c>
      <c r="D25" s="83">
        <v>0</v>
      </c>
      <c r="E25" s="82">
        <v>5</v>
      </c>
      <c r="F25" s="83">
        <v>0</v>
      </c>
      <c r="G25" s="82">
        <v>5</v>
      </c>
      <c r="H25" s="84">
        <v>0</v>
      </c>
      <c r="I25" s="87">
        <v>100</v>
      </c>
      <c r="J25" s="95">
        <v>0</v>
      </c>
      <c r="K25" s="17" t="s">
        <v>16</v>
      </c>
      <c r="L25" s="18">
        <v>0</v>
      </c>
      <c r="M25" s="23">
        <v>0</v>
      </c>
      <c r="N25"/>
      <c r="O25" s="10">
        <v>21</v>
      </c>
      <c r="P25" s="11"/>
      <c r="Q25" s="82">
        <v>0</v>
      </c>
      <c r="R25" s="83">
        <v>0</v>
      </c>
      <c r="S25" s="82">
        <v>0</v>
      </c>
      <c r="T25" s="83">
        <v>0</v>
      </c>
      <c r="U25" s="82">
        <v>0</v>
      </c>
      <c r="V25" s="84">
        <v>0</v>
      </c>
      <c r="W25" s="15"/>
      <c r="X25" s="85"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v>0</v>
      </c>
      <c r="D26" s="83">
        <v>5</v>
      </c>
      <c r="E26" s="82">
        <v>5</v>
      </c>
      <c r="F26" s="83">
        <v>0</v>
      </c>
      <c r="G26" s="82">
        <v>5</v>
      </c>
      <c r="H26" s="84">
        <v>0</v>
      </c>
      <c r="I26" s="87">
        <v>100</v>
      </c>
      <c r="J26" s="95">
        <v>0</v>
      </c>
      <c r="K26" s="17" t="s">
        <v>16</v>
      </c>
      <c r="L26" s="18">
        <v>0</v>
      </c>
      <c r="M26" s="23">
        <v>0</v>
      </c>
      <c r="N26"/>
      <c r="O26" s="10">
        <v>22</v>
      </c>
      <c r="P26" s="11"/>
      <c r="Q26" s="82">
        <v>0</v>
      </c>
      <c r="R26" s="83">
        <v>0</v>
      </c>
      <c r="S26" s="82">
        <v>0</v>
      </c>
      <c r="T26" s="83">
        <v>0</v>
      </c>
      <c r="U26" s="82">
        <v>0</v>
      </c>
      <c r="V26" s="84">
        <v>0</v>
      </c>
      <c r="W26" s="87"/>
      <c r="X26" s="85"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v>0</v>
      </c>
      <c r="D27" s="83">
        <v>5</v>
      </c>
      <c r="E27" s="82">
        <v>5</v>
      </c>
      <c r="F27" s="83">
        <v>0</v>
      </c>
      <c r="G27" s="82">
        <v>5</v>
      </c>
      <c r="H27" s="84">
        <v>0</v>
      </c>
      <c r="I27" s="86">
        <v>100</v>
      </c>
      <c r="J27" s="95">
        <v>0</v>
      </c>
      <c r="K27" s="17" t="s">
        <v>16</v>
      </c>
      <c r="L27" s="18">
        <v>0</v>
      </c>
      <c r="M27" s="23">
        <v>0</v>
      </c>
      <c r="N27"/>
      <c r="O27" s="10">
        <v>23</v>
      </c>
      <c r="P27" s="11"/>
      <c r="Q27" s="82">
        <v>0</v>
      </c>
      <c r="R27" s="83">
        <v>0</v>
      </c>
      <c r="S27" s="82">
        <v>0</v>
      </c>
      <c r="T27" s="83">
        <v>0</v>
      </c>
      <c r="U27" s="82">
        <v>0</v>
      </c>
      <c r="V27" s="84">
        <v>0</v>
      </c>
      <c r="W27" s="15"/>
      <c r="X27" s="85"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v>0</v>
      </c>
      <c r="D28" s="83">
        <v>0</v>
      </c>
      <c r="E28" s="82">
        <v>0</v>
      </c>
      <c r="F28" s="83">
        <v>0</v>
      </c>
      <c r="G28" s="82">
        <v>0</v>
      </c>
      <c r="H28" s="84">
        <v>0</v>
      </c>
      <c r="I28" s="86">
        <v>100</v>
      </c>
      <c r="J28" s="95">
        <v>0</v>
      </c>
      <c r="K28" s="17" t="s">
        <v>16</v>
      </c>
      <c r="L28" s="18">
        <v>0</v>
      </c>
      <c r="M28" s="23">
        <v>0</v>
      </c>
      <c r="N28"/>
      <c r="O28" s="10">
        <v>24</v>
      </c>
      <c r="P28" s="11"/>
      <c r="Q28" s="82">
        <v>0</v>
      </c>
      <c r="R28" s="83">
        <v>0</v>
      </c>
      <c r="S28" s="82">
        <v>0</v>
      </c>
      <c r="T28" s="83">
        <v>0</v>
      </c>
      <c r="U28" s="82">
        <v>0</v>
      </c>
      <c r="V28" s="84">
        <v>0</v>
      </c>
      <c r="W28" s="15"/>
      <c r="X28" s="85"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v>0</v>
      </c>
      <c r="D29" s="83">
        <v>0</v>
      </c>
      <c r="E29" s="82">
        <v>0</v>
      </c>
      <c r="F29" s="83">
        <v>0</v>
      </c>
      <c r="G29" s="82">
        <v>0</v>
      </c>
      <c r="H29" s="84">
        <v>0</v>
      </c>
      <c r="I29" s="15">
        <v>100</v>
      </c>
      <c r="J29" s="95">
        <v>0</v>
      </c>
      <c r="K29" s="17" t="s">
        <v>16</v>
      </c>
      <c r="L29" s="18">
        <v>0</v>
      </c>
      <c r="M29" s="81">
        <v>0</v>
      </c>
      <c r="N29"/>
      <c r="O29" s="10">
        <v>25</v>
      </c>
      <c r="P29" s="19"/>
      <c r="Q29" s="82">
        <v>0</v>
      </c>
      <c r="R29" s="83">
        <v>0</v>
      </c>
      <c r="S29" s="82">
        <v>0</v>
      </c>
      <c r="T29" s="83">
        <v>0</v>
      </c>
      <c r="U29" s="82">
        <v>0</v>
      </c>
      <c r="V29" s="84">
        <v>0</v>
      </c>
      <c r="W29" s="86"/>
      <c r="X29" s="85"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v>5</v>
      </c>
      <c r="D30" s="83">
        <v>0</v>
      </c>
      <c r="E30" s="82">
        <v>5</v>
      </c>
      <c r="F30" s="83">
        <v>0</v>
      </c>
      <c r="G30" s="82">
        <v>5</v>
      </c>
      <c r="H30" s="84">
        <v>0</v>
      </c>
      <c r="I30" s="15">
        <v>100</v>
      </c>
      <c r="J30" s="95">
        <v>0</v>
      </c>
      <c r="K30" s="17" t="s">
        <v>16</v>
      </c>
      <c r="L30" s="18">
        <v>0</v>
      </c>
      <c r="M30" s="23">
        <v>0</v>
      </c>
      <c r="N30"/>
      <c r="O30" s="10">
        <v>26</v>
      </c>
      <c r="P30" s="11"/>
      <c r="Q30" s="82">
        <v>0</v>
      </c>
      <c r="R30" s="83">
        <v>0</v>
      </c>
      <c r="S30" s="82">
        <v>0</v>
      </c>
      <c r="T30" s="83">
        <v>0</v>
      </c>
      <c r="U30" s="82">
        <v>0</v>
      </c>
      <c r="V30" s="84">
        <v>0</v>
      </c>
      <c r="W30" s="87"/>
      <c r="X30" s="85"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v>0</v>
      </c>
      <c r="D31" s="83">
        <v>5</v>
      </c>
      <c r="E31" s="82">
        <v>5</v>
      </c>
      <c r="F31" s="83">
        <v>0</v>
      </c>
      <c r="G31" s="82">
        <v>5</v>
      </c>
      <c r="H31" s="84">
        <v>0</v>
      </c>
      <c r="I31" s="15">
        <v>100</v>
      </c>
      <c r="J31" s="95">
        <v>0</v>
      </c>
      <c r="K31" s="17" t="s">
        <v>16</v>
      </c>
      <c r="L31" s="18">
        <v>0</v>
      </c>
      <c r="M31" s="23">
        <v>0</v>
      </c>
      <c r="N31"/>
      <c r="O31" s="10">
        <v>27</v>
      </c>
      <c r="P31" s="19"/>
      <c r="Q31" s="82">
        <v>0</v>
      </c>
      <c r="R31" s="83">
        <v>0</v>
      </c>
      <c r="S31" s="82">
        <v>0</v>
      </c>
      <c r="T31" s="83">
        <v>0</v>
      </c>
      <c r="U31" s="82">
        <v>0</v>
      </c>
      <c r="V31" s="84">
        <v>0</v>
      </c>
      <c r="W31" s="22"/>
      <c r="X31" s="85"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v>0</v>
      </c>
      <c r="D32" s="83">
        <v>0</v>
      </c>
      <c r="E32" s="82">
        <v>0</v>
      </c>
      <c r="F32" s="83">
        <v>0</v>
      </c>
      <c r="G32" s="82">
        <v>0</v>
      </c>
      <c r="H32" s="84">
        <v>0</v>
      </c>
      <c r="I32" s="15">
        <v>130</v>
      </c>
      <c r="J32" s="95">
        <v>0</v>
      </c>
      <c r="K32" s="17" t="s">
        <v>16</v>
      </c>
      <c r="L32" s="18">
        <v>0</v>
      </c>
      <c r="M32" s="23">
        <v>0</v>
      </c>
      <c r="N32"/>
      <c r="O32" s="10">
        <v>28</v>
      </c>
      <c r="P32" s="19"/>
      <c r="Q32" s="82">
        <v>0</v>
      </c>
      <c r="R32" s="83">
        <v>0</v>
      </c>
      <c r="S32" s="82">
        <v>0</v>
      </c>
      <c r="T32" s="83">
        <v>0</v>
      </c>
      <c r="U32" s="82">
        <v>0</v>
      </c>
      <c r="V32" s="84">
        <v>0</v>
      </c>
      <c r="W32" s="86"/>
      <c r="X32" s="85"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v>0</v>
      </c>
      <c r="D33" s="83">
        <v>0</v>
      </c>
      <c r="E33" s="82">
        <v>0</v>
      </c>
      <c r="F33" s="83">
        <v>0</v>
      </c>
      <c r="G33" s="82">
        <v>0</v>
      </c>
      <c r="H33" s="84">
        <v>0</v>
      </c>
      <c r="I33" s="15">
        <v>130</v>
      </c>
      <c r="J33" s="95">
        <v>0</v>
      </c>
      <c r="K33" s="17" t="s">
        <v>16</v>
      </c>
      <c r="L33" s="18">
        <v>0</v>
      </c>
      <c r="M33" s="81">
        <v>0</v>
      </c>
      <c r="N33"/>
      <c r="O33" s="10">
        <v>29</v>
      </c>
      <c r="P33" s="19"/>
      <c r="Q33" s="82">
        <v>0</v>
      </c>
      <c r="R33" s="83">
        <v>0</v>
      </c>
      <c r="S33" s="82">
        <v>0</v>
      </c>
      <c r="T33" s="83">
        <v>0</v>
      </c>
      <c r="U33" s="82">
        <v>0</v>
      </c>
      <c r="V33" s="84">
        <v>0</v>
      </c>
      <c r="W33" s="22"/>
      <c r="X33" s="85"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v>0</v>
      </c>
      <c r="D34" s="83">
        <v>6</v>
      </c>
      <c r="E34" s="82">
        <v>6</v>
      </c>
      <c r="F34" s="83">
        <v>0</v>
      </c>
      <c r="G34" s="82">
        <v>5</v>
      </c>
      <c r="H34" s="84">
        <v>1</v>
      </c>
      <c r="I34" s="15">
        <v>130</v>
      </c>
      <c r="J34" s="95">
        <v>130</v>
      </c>
      <c r="K34" s="17" t="s">
        <v>16</v>
      </c>
      <c r="L34" s="18">
        <v>0</v>
      </c>
      <c r="M34" s="81">
        <v>130</v>
      </c>
      <c r="N34"/>
      <c r="O34" s="10">
        <v>30</v>
      </c>
      <c r="P34" s="19"/>
      <c r="Q34" s="82">
        <v>0</v>
      </c>
      <c r="R34" s="83">
        <v>0</v>
      </c>
      <c r="S34" s="82">
        <v>0</v>
      </c>
      <c r="T34" s="83">
        <v>0</v>
      </c>
      <c r="U34" s="82">
        <v>0</v>
      </c>
      <c r="V34" s="84">
        <v>0</v>
      </c>
      <c r="W34" s="22"/>
      <c r="X34" s="85"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v>2</v>
      </c>
      <c r="D35" s="83">
        <v>6</v>
      </c>
      <c r="E35" s="82">
        <v>8</v>
      </c>
      <c r="F35" s="83">
        <v>0</v>
      </c>
      <c r="G35" s="82">
        <v>7</v>
      </c>
      <c r="H35" s="84">
        <v>1</v>
      </c>
      <c r="I35" s="15">
        <v>130</v>
      </c>
      <c r="J35" s="95">
        <v>130</v>
      </c>
      <c r="K35" s="17" t="s">
        <v>16</v>
      </c>
      <c r="L35" s="18">
        <v>0</v>
      </c>
      <c r="M35" s="81">
        <v>130</v>
      </c>
      <c r="N35"/>
      <c r="O35" s="10">
        <v>31</v>
      </c>
      <c r="P35" s="19"/>
      <c r="Q35" s="82">
        <v>0</v>
      </c>
      <c r="R35" s="83">
        <v>0</v>
      </c>
      <c r="S35" s="82">
        <v>0</v>
      </c>
      <c r="T35" s="83">
        <v>0</v>
      </c>
      <c r="U35" s="82">
        <v>0</v>
      </c>
      <c r="V35" s="84">
        <v>0</v>
      </c>
      <c r="W35" s="22"/>
      <c r="X35" s="85"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v>0</v>
      </c>
      <c r="D36" s="83">
        <v>0</v>
      </c>
      <c r="E36" s="82">
        <v>0</v>
      </c>
      <c r="F36" s="83">
        <v>0</v>
      </c>
      <c r="G36" s="82">
        <v>0</v>
      </c>
      <c r="H36" s="84">
        <v>0</v>
      </c>
      <c r="I36" s="15">
        <v>100</v>
      </c>
      <c r="J36" s="95">
        <v>0</v>
      </c>
      <c r="K36" s="17" t="s">
        <v>16</v>
      </c>
      <c r="L36" s="18">
        <v>0</v>
      </c>
      <c r="M36" s="23">
        <v>0</v>
      </c>
      <c r="N36"/>
      <c r="O36" s="10">
        <v>32</v>
      </c>
      <c r="P36" s="19"/>
      <c r="Q36" s="82">
        <v>0</v>
      </c>
      <c r="R36" s="83">
        <v>0</v>
      </c>
      <c r="S36" s="82">
        <v>0</v>
      </c>
      <c r="T36" s="83">
        <v>0</v>
      </c>
      <c r="U36" s="82">
        <v>0</v>
      </c>
      <c r="V36" s="84">
        <v>0</v>
      </c>
      <c r="W36" s="22"/>
      <c r="X36" s="85"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v>3</v>
      </c>
      <c r="D37" s="83">
        <v>15</v>
      </c>
      <c r="E37" s="82">
        <v>18</v>
      </c>
      <c r="F37" s="83">
        <v>0</v>
      </c>
      <c r="G37" s="82">
        <v>16</v>
      </c>
      <c r="H37" s="84">
        <v>2</v>
      </c>
      <c r="I37" s="15">
        <v>100</v>
      </c>
      <c r="J37" s="95">
        <v>200</v>
      </c>
      <c r="K37" s="17" t="s">
        <v>16</v>
      </c>
      <c r="L37" s="18">
        <v>0</v>
      </c>
      <c r="M37" s="23">
        <v>200</v>
      </c>
      <c r="N37"/>
      <c r="O37" s="10">
        <v>33</v>
      </c>
      <c r="P37" s="19"/>
      <c r="Q37" s="82">
        <v>0</v>
      </c>
      <c r="R37" s="83">
        <v>0</v>
      </c>
      <c r="S37" s="82">
        <v>0</v>
      </c>
      <c r="T37" s="83">
        <v>0</v>
      </c>
      <c r="U37" s="82">
        <v>0</v>
      </c>
      <c r="V37" s="84">
        <v>0</v>
      </c>
      <c r="W37" s="22"/>
      <c r="X37" s="85"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v>0</v>
      </c>
      <c r="D38" s="83">
        <v>5</v>
      </c>
      <c r="E38" s="82">
        <v>5</v>
      </c>
      <c r="F38" s="83">
        <v>0</v>
      </c>
      <c r="G38" s="82">
        <v>5</v>
      </c>
      <c r="H38" s="84">
        <v>0</v>
      </c>
      <c r="I38" s="15">
        <v>50</v>
      </c>
      <c r="J38" s="95">
        <v>0</v>
      </c>
      <c r="K38" s="17" t="s">
        <v>16</v>
      </c>
      <c r="L38" s="18">
        <v>0</v>
      </c>
      <c r="M38" s="23">
        <v>0</v>
      </c>
      <c r="N38"/>
      <c r="O38" s="10">
        <v>34</v>
      </c>
      <c r="P38" s="19"/>
      <c r="Q38" s="82">
        <v>0</v>
      </c>
      <c r="R38" s="83">
        <v>0</v>
      </c>
      <c r="S38" s="82">
        <v>0</v>
      </c>
      <c r="T38" s="83">
        <v>0</v>
      </c>
      <c r="U38" s="82">
        <v>0</v>
      </c>
      <c r="V38" s="84">
        <v>0</v>
      </c>
      <c r="W38" s="86"/>
      <c r="X38" s="85"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v>2</v>
      </c>
      <c r="D39" s="83">
        <v>5</v>
      </c>
      <c r="E39" s="82">
        <v>7</v>
      </c>
      <c r="F39" s="83">
        <v>0</v>
      </c>
      <c r="G39" s="82">
        <v>5</v>
      </c>
      <c r="H39" s="84">
        <v>2</v>
      </c>
      <c r="I39" s="15">
        <v>50</v>
      </c>
      <c r="J39" s="95">
        <v>100</v>
      </c>
      <c r="K39" s="17" t="s">
        <v>16</v>
      </c>
      <c r="L39" s="18">
        <v>0</v>
      </c>
      <c r="M39" s="81">
        <v>100</v>
      </c>
      <c r="N39"/>
      <c r="O39" s="10">
        <v>35</v>
      </c>
      <c r="P39" s="19"/>
      <c r="Q39" s="82">
        <v>0</v>
      </c>
      <c r="R39" s="83">
        <v>0</v>
      </c>
      <c r="S39" s="82">
        <v>0</v>
      </c>
      <c r="T39" s="83">
        <v>0</v>
      </c>
      <c r="U39" s="82">
        <v>0</v>
      </c>
      <c r="V39" s="84">
        <v>0</v>
      </c>
      <c r="W39" s="22"/>
      <c r="X39" s="85"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v>2</v>
      </c>
      <c r="D40" s="83">
        <v>0</v>
      </c>
      <c r="E40" s="82">
        <v>2</v>
      </c>
      <c r="F40" s="83">
        <v>0</v>
      </c>
      <c r="G40" s="82">
        <v>1</v>
      </c>
      <c r="H40" s="84">
        <v>1</v>
      </c>
      <c r="I40" s="15">
        <v>50</v>
      </c>
      <c r="J40" s="95">
        <v>50</v>
      </c>
      <c r="K40" s="17" t="s">
        <v>16</v>
      </c>
      <c r="L40" s="18">
        <v>0</v>
      </c>
      <c r="M40" s="81">
        <v>50</v>
      </c>
      <c r="N40"/>
      <c r="O40" s="10">
        <v>36</v>
      </c>
      <c r="P40" s="19"/>
      <c r="Q40" s="82">
        <v>0</v>
      </c>
      <c r="R40" s="83">
        <v>0</v>
      </c>
      <c r="S40" s="82">
        <v>0</v>
      </c>
      <c r="T40" s="83">
        <v>0</v>
      </c>
      <c r="U40" s="82">
        <v>0</v>
      </c>
      <c r="V40" s="84">
        <v>0</v>
      </c>
      <c r="W40" s="86"/>
      <c r="X40" s="85"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v>5</v>
      </c>
      <c r="D41" s="83">
        <v>0</v>
      </c>
      <c r="E41" s="82">
        <v>5</v>
      </c>
      <c r="F41" s="83">
        <v>0</v>
      </c>
      <c r="G41" s="82">
        <v>5</v>
      </c>
      <c r="H41" s="84">
        <v>0</v>
      </c>
      <c r="I41" s="15">
        <v>50</v>
      </c>
      <c r="J41" s="95">
        <v>0</v>
      </c>
      <c r="K41" s="17" t="s">
        <v>16</v>
      </c>
      <c r="L41" s="18">
        <v>0</v>
      </c>
      <c r="M41" s="23">
        <v>0</v>
      </c>
      <c r="N41"/>
      <c r="O41" s="10">
        <v>37</v>
      </c>
      <c r="P41" s="19"/>
      <c r="Q41" s="82">
        <v>0</v>
      </c>
      <c r="R41" s="83">
        <v>0</v>
      </c>
      <c r="S41" s="82">
        <v>0</v>
      </c>
      <c r="T41" s="83">
        <v>0</v>
      </c>
      <c r="U41" s="82">
        <v>0</v>
      </c>
      <c r="V41" s="84">
        <v>0</v>
      </c>
      <c r="W41" s="22"/>
      <c r="X41" s="85"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v>8</v>
      </c>
      <c r="D42" s="83">
        <v>0</v>
      </c>
      <c r="E42" s="82">
        <v>8</v>
      </c>
      <c r="F42" s="83">
        <v>0</v>
      </c>
      <c r="G42" s="82">
        <v>8</v>
      </c>
      <c r="H42" s="84">
        <v>0</v>
      </c>
      <c r="I42" s="15">
        <v>50</v>
      </c>
      <c r="J42" s="95">
        <v>0</v>
      </c>
      <c r="K42" s="17" t="s">
        <v>16</v>
      </c>
      <c r="L42" s="18">
        <v>0</v>
      </c>
      <c r="M42" s="23">
        <v>0</v>
      </c>
      <c r="N42"/>
      <c r="O42" s="10">
        <v>38</v>
      </c>
      <c r="P42" s="19"/>
      <c r="Q42" s="82">
        <v>0</v>
      </c>
      <c r="R42" s="83">
        <v>0</v>
      </c>
      <c r="S42" s="82">
        <v>0</v>
      </c>
      <c r="T42" s="83">
        <v>0</v>
      </c>
      <c r="U42" s="82">
        <v>0</v>
      </c>
      <c r="V42" s="84">
        <v>0</v>
      </c>
      <c r="W42" s="22"/>
      <c r="X42" s="85"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v>3</v>
      </c>
      <c r="D43" s="83">
        <v>0</v>
      </c>
      <c r="E43" s="82">
        <v>3</v>
      </c>
      <c r="F43" s="83">
        <v>0</v>
      </c>
      <c r="G43" s="82">
        <v>2</v>
      </c>
      <c r="H43" s="84">
        <v>1</v>
      </c>
      <c r="I43" s="15">
        <v>50</v>
      </c>
      <c r="J43" s="95">
        <v>50</v>
      </c>
      <c r="K43" s="17" t="s">
        <v>16</v>
      </c>
      <c r="L43" s="18">
        <v>0</v>
      </c>
      <c r="M43" s="81">
        <v>50</v>
      </c>
      <c r="N43"/>
      <c r="O43" s="10">
        <v>39</v>
      </c>
      <c r="P43" s="19"/>
      <c r="Q43" s="82">
        <v>0</v>
      </c>
      <c r="R43" s="83">
        <v>0</v>
      </c>
      <c r="S43" s="82">
        <v>0</v>
      </c>
      <c r="T43" s="83">
        <v>0</v>
      </c>
      <c r="U43" s="82">
        <v>0</v>
      </c>
      <c r="V43" s="84">
        <v>0</v>
      </c>
      <c r="W43" s="22"/>
      <c r="X43" s="85"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v>0</v>
      </c>
      <c r="D44" s="83">
        <v>5</v>
      </c>
      <c r="E44" s="82">
        <v>5</v>
      </c>
      <c r="F44" s="83">
        <v>0</v>
      </c>
      <c r="G44" s="82">
        <v>5</v>
      </c>
      <c r="H44" s="84">
        <v>0</v>
      </c>
      <c r="I44" s="15">
        <v>50</v>
      </c>
      <c r="J44" s="95">
        <v>0</v>
      </c>
      <c r="K44" s="17" t="s">
        <v>16</v>
      </c>
      <c r="L44" s="18">
        <v>0</v>
      </c>
      <c r="M44" s="81">
        <v>0</v>
      </c>
      <c r="N44"/>
      <c r="O44" s="10">
        <v>40</v>
      </c>
      <c r="P44" s="19"/>
      <c r="Q44" s="82">
        <v>0</v>
      </c>
      <c r="R44" s="83">
        <v>0</v>
      </c>
      <c r="S44" s="82">
        <v>0</v>
      </c>
      <c r="T44" s="83">
        <v>0</v>
      </c>
      <c r="U44" s="82">
        <v>0</v>
      </c>
      <c r="V44" s="84">
        <v>0</v>
      </c>
      <c r="W44" s="86"/>
      <c r="X44" s="85"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v>4</v>
      </c>
      <c r="D45" s="83">
        <v>0</v>
      </c>
      <c r="E45" s="82">
        <v>4</v>
      </c>
      <c r="F45" s="83">
        <v>0</v>
      </c>
      <c r="G45" s="82">
        <v>4</v>
      </c>
      <c r="H45" s="84">
        <v>0</v>
      </c>
      <c r="I45" s="15">
        <v>50</v>
      </c>
      <c r="J45" s="95">
        <v>0</v>
      </c>
      <c r="K45" s="17" t="s">
        <v>16</v>
      </c>
      <c r="L45" s="18">
        <v>0</v>
      </c>
      <c r="M45" s="23">
        <v>0</v>
      </c>
      <c r="N45"/>
      <c r="O45" s="10">
        <v>41</v>
      </c>
      <c r="P45" s="19"/>
      <c r="Q45" s="82">
        <v>0</v>
      </c>
      <c r="R45" s="83">
        <v>0</v>
      </c>
      <c r="S45" s="82">
        <v>0</v>
      </c>
      <c r="T45" s="83">
        <v>0</v>
      </c>
      <c r="U45" s="82">
        <v>0</v>
      </c>
      <c r="V45" s="84">
        <v>0</v>
      </c>
      <c r="W45" s="86"/>
      <c r="X45" s="85"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v>3</v>
      </c>
      <c r="D46" s="83">
        <v>5</v>
      </c>
      <c r="E46" s="82">
        <v>8</v>
      </c>
      <c r="F46" s="83">
        <v>0</v>
      </c>
      <c r="G46" s="82">
        <v>7</v>
      </c>
      <c r="H46" s="84">
        <v>1</v>
      </c>
      <c r="I46" s="15">
        <v>50</v>
      </c>
      <c r="J46" s="95">
        <v>50</v>
      </c>
      <c r="K46" s="17" t="s">
        <v>16</v>
      </c>
      <c r="L46" s="18">
        <v>0</v>
      </c>
      <c r="M46" s="23">
        <v>50</v>
      </c>
      <c r="N46"/>
      <c r="O46" s="10">
        <v>42</v>
      </c>
      <c r="P46" s="19"/>
      <c r="Q46" s="82">
        <v>0</v>
      </c>
      <c r="R46" s="83">
        <v>0</v>
      </c>
      <c r="S46" s="82">
        <v>0</v>
      </c>
      <c r="T46" s="83">
        <v>0</v>
      </c>
      <c r="U46" s="82">
        <v>0</v>
      </c>
      <c r="V46" s="84">
        <v>0</v>
      </c>
      <c r="W46" s="86"/>
      <c r="X46" s="85"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v>1</v>
      </c>
      <c r="D47" s="83">
        <v>0</v>
      </c>
      <c r="E47" s="82">
        <v>1</v>
      </c>
      <c r="F47" s="83">
        <v>0</v>
      </c>
      <c r="G47" s="82">
        <v>1</v>
      </c>
      <c r="H47" s="84">
        <v>0</v>
      </c>
      <c r="I47" s="15">
        <v>50</v>
      </c>
      <c r="J47" s="95">
        <v>0</v>
      </c>
      <c r="K47" s="17" t="s">
        <v>16</v>
      </c>
      <c r="L47" s="18">
        <v>0</v>
      </c>
      <c r="M47" s="81">
        <v>0</v>
      </c>
      <c r="N47"/>
      <c r="O47" s="10">
        <v>43</v>
      </c>
      <c r="P47" s="19"/>
      <c r="Q47" s="82">
        <v>0</v>
      </c>
      <c r="R47" s="83">
        <v>0</v>
      </c>
      <c r="S47" s="82">
        <v>0</v>
      </c>
      <c r="T47" s="83">
        <v>0</v>
      </c>
      <c r="U47" s="82">
        <v>0</v>
      </c>
      <c r="V47" s="84">
        <v>0</v>
      </c>
      <c r="W47" s="86"/>
      <c r="X47" s="85"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v>4</v>
      </c>
      <c r="D48" s="83">
        <v>0</v>
      </c>
      <c r="E48" s="82">
        <v>4</v>
      </c>
      <c r="F48" s="83">
        <v>0</v>
      </c>
      <c r="G48" s="82">
        <v>4</v>
      </c>
      <c r="H48" s="84">
        <v>0</v>
      </c>
      <c r="I48" s="15">
        <v>50</v>
      </c>
      <c r="J48" s="95">
        <v>0</v>
      </c>
      <c r="K48" s="17" t="s">
        <v>16</v>
      </c>
      <c r="L48" s="18">
        <v>0</v>
      </c>
      <c r="M48" s="81">
        <v>0</v>
      </c>
      <c r="N48"/>
      <c r="O48" s="10">
        <v>44</v>
      </c>
      <c r="P48" s="19"/>
      <c r="Q48" s="82">
        <v>0</v>
      </c>
      <c r="R48" s="83">
        <v>0</v>
      </c>
      <c r="S48" s="82">
        <v>0</v>
      </c>
      <c r="T48" s="83">
        <v>0</v>
      </c>
      <c r="U48" s="82">
        <v>0</v>
      </c>
      <c r="V48" s="84">
        <v>0</v>
      </c>
      <c r="W48" s="22"/>
      <c r="X48" s="85"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v>2</v>
      </c>
      <c r="D49" s="83">
        <v>0</v>
      </c>
      <c r="E49" s="82">
        <v>2</v>
      </c>
      <c r="F49" s="83">
        <v>0</v>
      </c>
      <c r="G49" s="82">
        <v>2</v>
      </c>
      <c r="H49" s="84">
        <v>0</v>
      </c>
      <c r="I49" s="15">
        <v>50</v>
      </c>
      <c r="J49" s="95">
        <v>0</v>
      </c>
      <c r="K49" s="17" t="s">
        <v>16</v>
      </c>
      <c r="L49" s="18">
        <v>0</v>
      </c>
      <c r="M49" s="23">
        <v>0</v>
      </c>
      <c r="N49"/>
      <c r="O49" s="10">
        <v>45</v>
      </c>
      <c r="P49" s="19"/>
      <c r="Q49" s="82">
        <v>0</v>
      </c>
      <c r="R49" s="83">
        <v>0</v>
      </c>
      <c r="S49" s="82">
        <v>0</v>
      </c>
      <c r="T49" s="83">
        <v>0</v>
      </c>
      <c r="U49" s="82">
        <v>0</v>
      </c>
      <c r="V49" s="84">
        <v>0</v>
      </c>
      <c r="W49" s="22"/>
      <c r="X49" s="85"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v>1</v>
      </c>
      <c r="D50" s="83">
        <v>6</v>
      </c>
      <c r="E50" s="82">
        <v>7</v>
      </c>
      <c r="F50" s="83">
        <v>0</v>
      </c>
      <c r="G50" s="82">
        <v>6</v>
      </c>
      <c r="H50" s="84">
        <v>1</v>
      </c>
      <c r="I50" s="15">
        <v>120</v>
      </c>
      <c r="J50" s="95">
        <v>120</v>
      </c>
      <c r="K50" s="17" t="s">
        <v>16</v>
      </c>
      <c r="L50" s="18">
        <v>35</v>
      </c>
      <c r="M50" s="23">
        <v>85</v>
      </c>
      <c r="N50"/>
      <c r="O50" s="10">
        <v>46</v>
      </c>
      <c r="P50" s="19"/>
      <c r="Q50" s="82">
        <v>0</v>
      </c>
      <c r="R50" s="83">
        <v>0</v>
      </c>
      <c r="S50" s="82">
        <v>0</v>
      </c>
      <c r="T50" s="83">
        <v>0</v>
      </c>
      <c r="U50" s="82">
        <v>0</v>
      </c>
      <c r="V50" s="84">
        <v>0</v>
      </c>
      <c r="W50" s="22"/>
      <c r="X50" s="85"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v>1</v>
      </c>
      <c r="D51" s="83">
        <v>0</v>
      </c>
      <c r="E51" s="82">
        <v>1</v>
      </c>
      <c r="F51" s="83">
        <v>0</v>
      </c>
      <c r="G51" s="82">
        <v>0</v>
      </c>
      <c r="H51" s="84">
        <v>1</v>
      </c>
      <c r="I51" s="15">
        <v>120</v>
      </c>
      <c r="J51" s="95">
        <v>120</v>
      </c>
      <c r="K51" s="17" t="s">
        <v>16</v>
      </c>
      <c r="L51" s="18">
        <v>35</v>
      </c>
      <c r="M51" s="81">
        <v>85</v>
      </c>
      <c r="N51"/>
      <c r="O51" s="10">
        <v>47</v>
      </c>
      <c r="P51" s="19"/>
      <c r="Q51" s="82">
        <v>0</v>
      </c>
      <c r="R51" s="83">
        <v>0</v>
      </c>
      <c r="S51" s="82">
        <v>0</v>
      </c>
      <c r="T51" s="83">
        <v>0</v>
      </c>
      <c r="U51" s="82">
        <v>0</v>
      </c>
      <c r="V51" s="84">
        <v>0</v>
      </c>
      <c r="W51" s="22"/>
      <c r="X51" s="85"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v>4</v>
      </c>
      <c r="D52" s="83">
        <v>0</v>
      </c>
      <c r="E52" s="82">
        <v>4</v>
      </c>
      <c r="F52" s="83">
        <v>0</v>
      </c>
      <c r="G52" s="82">
        <v>4</v>
      </c>
      <c r="H52" s="84">
        <v>0</v>
      </c>
      <c r="I52" s="87">
        <v>120</v>
      </c>
      <c r="J52" s="95">
        <v>0</v>
      </c>
      <c r="K52" s="17" t="s">
        <v>16</v>
      </c>
      <c r="L52" s="18">
        <v>0</v>
      </c>
      <c r="M52" s="23">
        <v>0</v>
      </c>
      <c r="N52"/>
      <c r="O52" s="10">
        <v>48</v>
      </c>
      <c r="P52" s="19"/>
      <c r="Q52" s="82">
        <v>0</v>
      </c>
      <c r="R52" s="83">
        <v>0</v>
      </c>
      <c r="S52" s="82">
        <v>0</v>
      </c>
      <c r="T52" s="83">
        <v>0</v>
      </c>
      <c r="U52" s="82">
        <v>0</v>
      </c>
      <c r="V52" s="84">
        <v>0</v>
      </c>
      <c r="W52" s="22"/>
      <c r="X52" s="85"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v>4</v>
      </c>
      <c r="D53" s="83">
        <v>0</v>
      </c>
      <c r="E53" s="82">
        <v>4</v>
      </c>
      <c r="F53" s="83">
        <v>0</v>
      </c>
      <c r="G53" s="82">
        <v>4</v>
      </c>
      <c r="H53" s="84">
        <v>0</v>
      </c>
      <c r="I53" s="15">
        <v>120</v>
      </c>
      <c r="J53" s="95">
        <v>0</v>
      </c>
      <c r="K53" s="17" t="s">
        <v>16</v>
      </c>
      <c r="L53" s="18">
        <v>0</v>
      </c>
      <c r="M53" s="23">
        <v>0</v>
      </c>
      <c r="N53"/>
      <c r="O53" s="10">
        <v>49</v>
      </c>
      <c r="P53" s="19"/>
      <c r="Q53" s="82">
        <v>0</v>
      </c>
      <c r="R53" s="83">
        <v>0</v>
      </c>
      <c r="S53" s="82">
        <v>0</v>
      </c>
      <c r="T53" s="83">
        <v>0</v>
      </c>
      <c r="U53" s="82">
        <v>0</v>
      </c>
      <c r="V53" s="84">
        <v>0</v>
      </c>
      <c r="W53" s="22"/>
      <c r="X53" s="85"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v>2</v>
      </c>
      <c r="D54" s="83">
        <v>6</v>
      </c>
      <c r="E54" s="82">
        <v>8</v>
      </c>
      <c r="F54" s="83">
        <v>0</v>
      </c>
      <c r="G54" s="82">
        <v>7</v>
      </c>
      <c r="H54" s="84">
        <v>1</v>
      </c>
      <c r="I54" s="15">
        <v>120</v>
      </c>
      <c r="J54" s="95">
        <v>120</v>
      </c>
      <c r="K54" s="17" t="s">
        <v>16</v>
      </c>
      <c r="L54" s="18">
        <v>35</v>
      </c>
      <c r="M54" s="23">
        <v>85</v>
      </c>
      <c r="N54"/>
      <c r="O54" s="10">
        <v>50</v>
      </c>
      <c r="P54" s="19"/>
      <c r="Q54" s="82">
        <v>0</v>
      </c>
      <c r="R54" s="83">
        <v>0</v>
      </c>
      <c r="S54" s="82">
        <v>0</v>
      </c>
      <c r="T54" s="83">
        <v>0</v>
      </c>
      <c r="U54" s="82">
        <v>0</v>
      </c>
      <c r="V54" s="84">
        <v>0</v>
      </c>
      <c r="W54" s="22"/>
      <c r="X54" s="85"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v>7</v>
      </c>
      <c r="D55" s="83">
        <v>0</v>
      </c>
      <c r="E55" s="82">
        <v>7</v>
      </c>
      <c r="F55" s="83">
        <v>0</v>
      </c>
      <c r="G55" s="82">
        <v>7</v>
      </c>
      <c r="H55" s="84">
        <v>0</v>
      </c>
      <c r="I55" s="87">
        <v>120</v>
      </c>
      <c r="J55" s="95">
        <v>0</v>
      </c>
      <c r="K55" s="17" t="s">
        <v>16</v>
      </c>
      <c r="L55" s="18">
        <v>0</v>
      </c>
      <c r="M55" s="23">
        <v>0</v>
      </c>
      <c r="N55"/>
      <c r="O55" s="10">
        <v>51</v>
      </c>
      <c r="P55" s="19"/>
      <c r="Q55" s="82">
        <v>0</v>
      </c>
      <c r="R55" s="83">
        <v>0</v>
      </c>
      <c r="S55" s="82">
        <v>0</v>
      </c>
      <c r="T55" s="83">
        <v>0</v>
      </c>
      <c r="U55" s="82">
        <v>0</v>
      </c>
      <c r="V55" s="84">
        <v>0</v>
      </c>
      <c r="W55" s="86"/>
      <c r="X55" s="85"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v>0</v>
      </c>
      <c r="D56" s="83">
        <v>0</v>
      </c>
      <c r="E56" s="82">
        <v>0</v>
      </c>
      <c r="F56" s="83">
        <v>0</v>
      </c>
      <c r="G56" s="82">
        <v>0</v>
      </c>
      <c r="H56" s="84">
        <v>0</v>
      </c>
      <c r="I56" s="87">
        <v>120</v>
      </c>
      <c r="J56" s="95">
        <v>0</v>
      </c>
      <c r="K56" s="17" t="s">
        <v>16</v>
      </c>
      <c r="L56" s="18">
        <v>0</v>
      </c>
      <c r="M56" s="23">
        <v>0</v>
      </c>
      <c r="N56"/>
      <c r="O56" s="10">
        <v>52</v>
      </c>
      <c r="P56" s="19"/>
      <c r="Q56" s="82">
        <v>0</v>
      </c>
      <c r="R56" s="83">
        <v>0</v>
      </c>
      <c r="S56" s="82">
        <v>0</v>
      </c>
      <c r="T56" s="83">
        <v>0</v>
      </c>
      <c r="U56" s="82">
        <v>0</v>
      </c>
      <c r="V56" s="84">
        <v>0</v>
      </c>
      <c r="W56" s="86"/>
      <c r="X56" s="85"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v>2</v>
      </c>
      <c r="D57" s="83">
        <v>5</v>
      </c>
      <c r="E57" s="82">
        <v>7</v>
      </c>
      <c r="F57" s="83">
        <v>0</v>
      </c>
      <c r="G57" s="82">
        <v>6</v>
      </c>
      <c r="H57" s="84">
        <v>1</v>
      </c>
      <c r="I57" s="87">
        <v>120</v>
      </c>
      <c r="J57" s="95">
        <v>120</v>
      </c>
      <c r="K57" s="17" t="s">
        <v>16</v>
      </c>
      <c r="L57" s="18">
        <v>35</v>
      </c>
      <c r="M57" s="81">
        <v>85</v>
      </c>
      <c r="N57"/>
      <c r="O57" s="10">
        <v>53</v>
      </c>
      <c r="P57" s="19"/>
      <c r="Q57" s="82">
        <v>0</v>
      </c>
      <c r="R57" s="83">
        <v>0</v>
      </c>
      <c r="S57" s="82">
        <v>0</v>
      </c>
      <c r="T57" s="83">
        <v>0</v>
      </c>
      <c r="U57" s="82">
        <v>0</v>
      </c>
      <c r="V57" s="84">
        <v>0</v>
      </c>
      <c r="W57" s="86"/>
      <c r="X57" s="85"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v>1</v>
      </c>
      <c r="D58" s="83">
        <v>0</v>
      </c>
      <c r="E58" s="82">
        <v>1</v>
      </c>
      <c r="F58" s="83">
        <v>0</v>
      </c>
      <c r="G58" s="82">
        <v>1</v>
      </c>
      <c r="H58" s="84">
        <v>0</v>
      </c>
      <c r="I58" s="87">
        <v>120</v>
      </c>
      <c r="J58" s="95">
        <v>0</v>
      </c>
      <c r="K58" s="17" t="s">
        <v>16</v>
      </c>
      <c r="L58" s="18">
        <v>0</v>
      </c>
      <c r="M58" s="23">
        <v>0</v>
      </c>
      <c r="N58"/>
      <c r="O58" s="10">
        <v>54</v>
      </c>
      <c r="P58" s="19"/>
      <c r="Q58" s="82">
        <v>0</v>
      </c>
      <c r="R58" s="83">
        <v>0</v>
      </c>
      <c r="S58" s="82">
        <v>0</v>
      </c>
      <c r="T58" s="83">
        <v>0</v>
      </c>
      <c r="U58" s="82">
        <v>0</v>
      </c>
      <c r="V58" s="84">
        <v>0</v>
      </c>
      <c r="W58" s="86"/>
      <c r="X58" s="85"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v>0</v>
      </c>
      <c r="D59" s="83">
        <v>0</v>
      </c>
      <c r="E59" s="82">
        <v>0</v>
      </c>
      <c r="F59" s="83">
        <v>0</v>
      </c>
      <c r="G59" s="82">
        <v>0</v>
      </c>
      <c r="H59" s="84">
        <v>0</v>
      </c>
      <c r="I59" s="15">
        <v>70</v>
      </c>
      <c r="J59" s="95">
        <v>0</v>
      </c>
      <c r="K59" s="17" t="s">
        <v>16</v>
      </c>
      <c r="L59" s="18">
        <v>0</v>
      </c>
      <c r="M59" s="23">
        <v>0</v>
      </c>
      <c r="N59"/>
      <c r="O59" s="10">
        <v>55</v>
      </c>
      <c r="P59" s="19"/>
      <c r="Q59" s="82">
        <v>0</v>
      </c>
      <c r="R59" s="83">
        <v>0</v>
      </c>
      <c r="S59" s="82">
        <v>0</v>
      </c>
      <c r="T59" s="83">
        <v>0</v>
      </c>
      <c r="U59" s="82">
        <v>0</v>
      </c>
      <c r="V59" s="84">
        <v>0</v>
      </c>
      <c r="W59" s="86"/>
      <c r="X59" s="85"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v>0</v>
      </c>
      <c r="D60" s="83">
        <v>0</v>
      </c>
      <c r="E60" s="82">
        <v>0</v>
      </c>
      <c r="F60" s="83">
        <v>0</v>
      </c>
      <c r="G60" s="82">
        <v>0</v>
      </c>
      <c r="H60" s="84">
        <v>0</v>
      </c>
      <c r="I60" s="87">
        <v>80</v>
      </c>
      <c r="J60" s="95">
        <v>0</v>
      </c>
      <c r="K60" s="17" t="s">
        <v>16</v>
      </c>
      <c r="L60" s="18">
        <v>0</v>
      </c>
      <c r="M60" s="23">
        <v>0</v>
      </c>
      <c r="N60"/>
      <c r="O60" s="10">
        <v>56</v>
      </c>
      <c r="P60" s="19"/>
      <c r="Q60" s="82">
        <v>0</v>
      </c>
      <c r="R60" s="83">
        <v>0</v>
      </c>
      <c r="S60" s="82">
        <v>0</v>
      </c>
      <c r="T60" s="83">
        <v>0</v>
      </c>
      <c r="U60" s="82">
        <v>0</v>
      </c>
      <c r="V60" s="84">
        <v>0</v>
      </c>
      <c r="W60" s="86"/>
      <c r="X60" s="85"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v>0</v>
      </c>
      <c r="D61" s="83">
        <v>0</v>
      </c>
      <c r="E61" s="82">
        <v>0</v>
      </c>
      <c r="F61" s="83">
        <v>0</v>
      </c>
      <c r="G61" s="82">
        <v>0</v>
      </c>
      <c r="H61" s="84">
        <v>0</v>
      </c>
      <c r="I61" s="15">
        <v>50</v>
      </c>
      <c r="J61" s="95">
        <v>0</v>
      </c>
      <c r="K61" s="17" t="s">
        <v>16</v>
      </c>
      <c r="L61" s="18">
        <v>0</v>
      </c>
      <c r="M61" s="23">
        <v>0</v>
      </c>
      <c r="N61"/>
      <c r="O61" s="10">
        <v>57</v>
      </c>
      <c r="P61" s="19"/>
      <c r="Q61" s="82">
        <v>0</v>
      </c>
      <c r="R61" s="83">
        <v>0</v>
      </c>
      <c r="S61" s="82">
        <v>0</v>
      </c>
      <c r="T61" s="83">
        <v>0</v>
      </c>
      <c r="U61" s="82">
        <v>0</v>
      </c>
      <c r="V61" s="84">
        <v>0</v>
      </c>
      <c r="W61" s="86"/>
      <c r="X61" s="85"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v>0</v>
      </c>
      <c r="D62" s="83">
        <v>0</v>
      </c>
      <c r="E62" s="82">
        <v>0</v>
      </c>
      <c r="F62" s="83">
        <v>0</v>
      </c>
      <c r="G62" s="82">
        <v>0</v>
      </c>
      <c r="H62" s="84">
        <v>0</v>
      </c>
      <c r="I62" s="86">
        <v>50</v>
      </c>
      <c r="J62" s="95">
        <v>0</v>
      </c>
      <c r="K62" s="17" t="s">
        <v>16</v>
      </c>
      <c r="L62" s="18">
        <v>0</v>
      </c>
      <c r="M62" s="23">
        <v>0</v>
      </c>
      <c r="N62"/>
      <c r="O62" s="10">
        <v>58</v>
      </c>
      <c r="P62" s="19"/>
      <c r="Q62" s="82">
        <v>0</v>
      </c>
      <c r="R62" s="83">
        <v>0</v>
      </c>
      <c r="S62" s="82">
        <v>0</v>
      </c>
      <c r="T62" s="83">
        <v>0</v>
      </c>
      <c r="U62" s="82">
        <v>0</v>
      </c>
      <c r="V62" s="84">
        <v>0</v>
      </c>
      <c r="W62" s="86"/>
      <c r="X62" s="85"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v>0</v>
      </c>
      <c r="D63" s="83">
        <v>0</v>
      </c>
      <c r="E63" s="82">
        <v>0</v>
      </c>
      <c r="F63" s="83">
        <v>0</v>
      </c>
      <c r="G63" s="82">
        <v>0</v>
      </c>
      <c r="H63" s="84">
        <v>0</v>
      </c>
      <c r="I63" s="86">
        <v>50</v>
      </c>
      <c r="J63" s="95">
        <v>0</v>
      </c>
      <c r="K63" s="17" t="s">
        <v>16</v>
      </c>
      <c r="L63" s="18">
        <v>0</v>
      </c>
      <c r="M63" s="23">
        <v>0</v>
      </c>
      <c r="N63"/>
      <c r="O63" s="10">
        <v>59</v>
      </c>
      <c r="P63" s="19"/>
      <c r="Q63" s="82">
        <v>0</v>
      </c>
      <c r="R63" s="83">
        <v>0</v>
      </c>
      <c r="S63" s="82">
        <v>0</v>
      </c>
      <c r="T63" s="83">
        <v>0</v>
      </c>
      <c r="U63" s="82">
        <v>0</v>
      </c>
      <c r="V63" s="84">
        <v>0</v>
      </c>
      <c r="W63" s="86"/>
      <c r="X63" s="85"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v>0</v>
      </c>
      <c r="D64" s="83">
        <v>0</v>
      </c>
      <c r="E64" s="82">
        <v>0</v>
      </c>
      <c r="F64" s="83">
        <v>0</v>
      </c>
      <c r="G64" s="82">
        <v>0</v>
      </c>
      <c r="H64" s="84">
        <v>0</v>
      </c>
      <c r="I64" s="87">
        <v>30</v>
      </c>
      <c r="J64" s="95">
        <v>0</v>
      </c>
      <c r="K64" s="17" t="s">
        <v>16</v>
      </c>
      <c r="L64" s="18">
        <v>0</v>
      </c>
      <c r="M64" s="81">
        <v>0</v>
      </c>
      <c r="N64"/>
      <c r="O64" s="10">
        <v>60</v>
      </c>
      <c r="P64" s="19"/>
      <c r="Q64" s="82">
        <v>0</v>
      </c>
      <c r="R64" s="83">
        <v>0</v>
      </c>
      <c r="S64" s="82">
        <v>0</v>
      </c>
      <c r="T64" s="83">
        <v>0</v>
      </c>
      <c r="U64" s="82">
        <v>0</v>
      </c>
      <c r="V64" s="84">
        <v>0</v>
      </c>
      <c r="W64" s="86"/>
      <c r="X64" s="85"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v>0</v>
      </c>
      <c r="D65" s="83">
        <v>0</v>
      </c>
      <c r="E65" s="82">
        <v>0</v>
      </c>
      <c r="F65" s="83">
        <v>0</v>
      </c>
      <c r="G65" s="82">
        <v>0</v>
      </c>
      <c r="H65" s="84">
        <v>0</v>
      </c>
      <c r="I65" s="87">
        <v>30</v>
      </c>
      <c r="J65" s="95">
        <v>0</v>
      </c>
      <c r="K65" s="17" t="s">
        <v>16</v>
      </c>
      <c r="L65" s="18">
        <v>0</v>
      </c>
      <c r="M65" s="23">
        <v>0</v>
      </c>
      <c r="N65"/>
      <c r="O65" s="10">
        <v>61</v>
      </c>
      <c r="P65" s="19"/>
      <c r="Q65" s="82">
        <v>0</v>
      </c>
      <c r="R65" s="83">
        <v>0</v>
      </c>
      <c r="S65" s="82">
        <v>0</v>
      </c>
      <c r="T65" s="83">
        <v>0</v>
      </c>
      <c r="U65" s="82">
        <v>0</v>
      </c>
      <c r="V65" s="84">
        <v>0</v>
      </c>
      <c r="W65" s="86"/>
      <c r="X65" s="85"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v>0</v>
      </c>
      <c r="D66" s="83">
        <v>0</v>
      </c>
      <c r="E66" s="82">
        <v>0</v>
      </c>
      <c r="F66" s="83">
        <v>0</v>
      </c>
      <c r="G66" s="82">
        <v>0</v>
      </c>
      <c r="H66" s="84">
        <v>0</v>
      </c>
      <c r="I66" s="15">
        <v>50</v>
      </c>
      <c r="J66" s="95">
        <v>0</v>
      </c>
      <c r="K66" s="17" t="s">
        <v>16</v>
      </c>
      <c r="L66" s="18">
        <v>0</v>
      </c>
      <c r="M66" s="23">
        <v>0</v>
      </c>
      <c r="N66"/>
      <c r="O66" s="10">
        <v>62</v>
      </c>
      <c r="P66" s="19"/>
      <c r="Q66" s="82">
        <v>0</v>
      </c>
      <c r="R66" s="83">
        <v>0</v>
      </c>
      <c r="S66" s="82">
        <v>0</v>
      </c>
      <c r="T66" s="83">
        <v>0</v>
      </c>
      <c r="U66" s="82">
        <v>0</v>
      </c>
      <c r="V66" s="84">
        <v>0</v>
      </c>
      <c r="W66" s="86"/>
      <c r="X66" s="85"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v>3</v>
      </c>
      <c r="D67" s="83">
        <v>0</v>
      </c>
      <c r="E67" s="82">
        <v>3</v>
      </c>
      <c r="F67" s="83">
        <v>0</v>
      </c>
      <c r="G67" s="82">
        <v>3</v>
      </c>
      <c r="H67" s="84">
        <v>0</v>
      </c>
      <c r="I67" s="15">
        <v>50</v>
      </c>
      <c r="J67" s="95">
        <v>0</v>
      </c>
      <c r="K67" s="17" t="s">
        <v>16</v>
      </c>
      <c r="L67" s="18">
        <v>0</v>
      </c>
      <c r="M67" s="23">
        <v>0</v>
      </c>
      <c r="N67"/>
      <c r="O67" s="10">
        <v>63</v>
      </c>
      <c r="P67" s="19"/>
      <c r="Q67" s="82">
        <v>0</v>
      </c>
      <c r="R67" s="83">
        <v>0</v>
      </c>
      <c r="S67" s="82">
        <v>0</v>
      </c>
      <c r="T67" s="83">
        <v>0</v>
      </c>
      <c r="U67" s="82">
        <v>0</v>
      </c>
      <c r="V67" s="84">
        <v>0</v>
      </c>
      <c r="W67" s="86"/>
      <c r="X67" s="85"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v>0</v>
      </c>
      <c r="D68" s="83">
        <v>0</v>
      </c>
      <c r="E68" s="82">
        <v>0</v>
      </c>
      <c r="F68" s="83">
        <v>0</v>
      </c>
      <c r="G68" s="82">
        <v>0</v>
      </c>
      <c r="H68" s="84">
        <v>0</v>
      </c>
      <c r="I68" s="86">
        <v>35</v>
      </c>
      <c r="J68" s="95">
        <v>0</v>
      </c>
      <c r="K68" s="17" t="s">
        <v>16</v>
      </c>
      <c r="L68" s="18">
        <v>0</v>
      </c>
      <c r="M68" s="23">
        <v>0</v>
      </c>
      <c r="N68"/>
      <c r="O68" s="10">
        <v>64</v>
      </c>
      <c r="P68" s="19"/>
      <c r="Q68" s="82">
        <v>0</v>
      </c>
      <c r="R68" s="83">
        <v>0</v>
      </c>
      <c r="S68" s="82">
        <v>0</v>
      </c>
      <c r="T68" s="83">
        <v>0</v>
      </c>
      <c r="U68" s="82">
        <v>0</v>
      </c>
      <c r="V68" s="84">
        <v>0</v>
      </c>
      <c r="W68" s="86"/>
      <c r="X68" s="85"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v>0</v>
      </c>
      <c r="D69" s="83">
        <v>0</v>
      </c>
      <c r="E69" s="82">
        <v>0</v>
      </c>
      <c r="F69" s="83">
        <v>0</v>
      </c>
      <c r="G69" s="82">
        <v>0</v>
      </c>
      <c r="H69" s="84">
        <v>0</v>
      </c>
      <c r="I69" s="86">
        <v>25</v>
      </c>
      <c r="J69" s="95">
        <v>0</v>
      </c>
      <c r="K69" s="17" t="s">
        <v>16</v>
      </c>
      <c r="L69" s="18">
        <v>0</v>
      </c>
      <c r="M69" s="23">
        <v>0</v>
      </c>
      <c r="N69"/>
      <c r="O69" s="10">
        <v>65</v>
      </c>
      <c r="P69" s="19"/>
      <c r="Q69" s="82">
        <v>0</v>
      </c>
      <c r="R69" s="83">
        <v>0</v>
      </c>
      <c r="S69" s="82">
        <v>0</v>
      </c>
      <c r="T69" s="83">
        <v>0</v>
      </c>
      <c r="U69" s="82">
        <v>0</v>
      </c>
      <c r="V69" s="84">
        <v>0</v>
      </c>
      <c r="W69" s="86"/>
      <c r="X69" s="85"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v>1</v>
      </c>
      <c r="D70" s="83">
        <v>4</v>
      </c>
      <c r="E70" s="82">
        <v>5</v>
      </c>
      <c r="F70" s="83">
        <v>0</v>
      </c>
      <c r="G70" s="82">
        <v>5</v>
      </c>
      <c r="H70" s="84">
        <v>0</v>
      </c>
      <c r="I70" s="86">
        <v>60</v>
      </c>
      <c r="J70" s="95">
        <v>0</v>
      </c>
      <c r="K70" s="17" t="s">
        <v>16</v>
      </c>
      <c r="L70" s="18">
        <v>0</v>
      </c>
      <c r="M70" s="23">
        <v>0</v>
      </c>
      <c r="N70"/>
      <c r="O70" s="10">
        <v>66</v>
      </c>
      <c r="P70" s="19"/>
      <c r="Q70" s="82">
        <v>0</v>
      </c>
      <c r="R70" s="83">
        <v>0</v>
      </c>
      <c r="S70" s="82">
        <v>0</v>
      </c>
      <c r="T70" s="83">
        <v>0</v>
      </c>
      <c r="U70" s="82">
        <v>0</v>
      </c>
      <c r="V70" s="84">
        <v>0</v>
      </c>
      <c r="W70" s="86"/>
      <c r="X70" s="85"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v>0</v>
      </c>
      <c r="D71" s="83">
        <v>0</v>
      </c>
      <c r="E71" s="82">
        <v>0</v>
      </c>
      <c r="F71" s="83">
        <v>0</v>
      </c>
      <c r="G71" s="82">
        <v>0</v>
      </c>
      <c r="H71" s="84">
        <v>0</v>
      </c>
      <c r="I71" s="86">
        <v>60</v>
      </c>
      <c r="J71" s="95">
        <v>0</v>
      </c>
      <c r="K71" s="17" t="s">
        <v>16</v>
      </c>
      <c r="L71" s="18">
        <v>0</v>
      </c>
      <c r="M71" s="81">
        <v>0</v>
      </c>
      <c r="N71"/>
      <c r="O71" s="10">
        <v>67</v>
      </c>
      <c r="P71" s="19"/>
      <c r="Q71" s="82">
        <v>0</v>
      </c>
      <c r="R71" s="83">
        <v>0</v>
      </c>
      <c r="S71" s="82">
        <v>0</v>
      </c>
      <c r="T71" s="83">
        <v>0</v>
      </c>
      <c r="U71" s="82">
        <v>0</v>
      </c>
      <c r="V71" s="84">
        <v>0</v>
      </c>
      <c r="W71" s="86"/>
      <c r="X71" s="85"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v>0</v>
      </c>
      <c r="D72" s="83">
        <v>3</v>
      </c>
      <c r="E72" s="82">
        <v>3</v>
      </c>
      <c r="F72" s="83">
        <v>0</v>
      </c>
      <c r="G72" s="82">
        <v>2</v>
      </c>
      <c r="H72" s="84">
        <v>1</v>
      </c>
      <c r="I72" s="22">
        <v>50</v>
      </c>
      <c r="J72" s="95">
        <v>50</v>
      </c>
      <c r="K72" s="17" t="s">
        <v>243</v>
      </c>
      <c r="L72" s="18">
        <v>50</v>
      </c>
      <c r="M72" s="81">
        <v>0</v>
      </c>
      <c r="N72"/>
      <c r="O72" s="10">
        <v>68</v>
      </c>
      <c r="P72" s="19"/>
      <c r="Q72" s="82">
        <v>0</v>
      </c>
      <c r="R72" s="83">
        <v>0</v>
      </c>
      <c r="S72" s="82">
        <v>0</v>
      </c>
      <c r="T72" s="83">
        <v>0</v>
      </c>
      <c r="U72" s="82">
        <v>0</v>
      </c>
      <c r="V72" s="84">
        <v>0</v>
      </c>
      <c r="W72" s="86"/>
      <c r="X72" s="85"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v>8</v>
      </c>
      <c r="D73" s="83">
        <v>0</v>
      </c>
      <c r="E73" s="82">
        <v>8</v>
      </c>
      <c r="F73" s="83">
        <v>0</v>
      </c>
      <c r="G73" s="82">
        <v>7</v>
      </c>
      <c r="H73" s="84">
        <v>1</v>
      </c>
      <c r="I73" s="86">
        <v>60</v>
      </c>
      <c r="J73" s="95">
        <v>60</v>
      </c>
      <c r="K73" s="17" t="s">
        <v>16</v>
      </c>
      <c r="L73" s="18">
        <v>0</v>
      </c>
      <c r="M73" s="23">
        <v>60</v>
      </c>
      <c r="N73"/>
      <c r="O73" s="10">
        <v>69</v>
      </c>
      <c r="P73" s="19"/>
      <c r="Q73" s="82">
        <v>0</v>
      </c>
      <c r="R73" s="83">
        <v>0</v>
      </c>
      <c r="S73" s="82">
        <v>0</v>
      </c>
      <c r="T73" s="83">
        <v>0</v>
      </c>
      <c r="U73" s="82">
        <v>0</v>
      </c>
      <c r="V73" s="84">
        <v>0</v>
      </c>
      <c r="W73" s="86"/>
      <c r="X73" s="85"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v>8</v>
      </c>
      <c r="D74" s="83">
        <v>0</v>
      </c>
      <c r="E74" s="82">
        <v>8</v>
      </c>
      <c r="F74" s="83">
        <v>0</v>
      </c>
      <c r="G74" s="82">
        <v>6</v>
      </c>
      <c r="H74" s="84">
        <v>2</v>
      </c>
      <c r="I74" s="22">
        <v>120</v>
      </c>
      <c r="J74" s="95">
        <v>240</v>
      </c>
      <c r="K74" s="17" t="s">
        <v>16</v>
      </c>
      <c r="L74" s="18">
        <v>0</v>
      </c>
      <c r="M74" s="81">
        <v>240</v>
      </c>
      <c r="N74"/>
      <c r="O74" s="10">
        <v>70</v>
      </c>
      <c r="P74" s="19"/>
      <c r="Q74" s="82">
        <v>0</v>
      </c>
      <c r="R74" s="83">
        <v>0</v>
      </c>
      <c r="S74" s="82">
        <v>0</v>
      </c>
      <c r="T74" s="83">
        <v>0</v>
      </c>
      <c r="U74" s="82">
        <v>0</v>
      </c>
      <c r="V74" s="84">
        <v>0</v>
      </c>
      <c r="W74" s="86"/>
      <c r="X74" s="85"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v>2</v>
      </c>
      <c r="D75" s="83">
        <v>10</v>
      </c>
      <c r="E75" s="82">
        <v>12</v>
      </c>
      <c r="F75" s="83">
        <v>0</v>
      </c>
      <c r="G75" s="82">
        <v>12</v>
      </c>
      <c r="H75" s="84">
        <v>0</v>
      </c>
      <c r="I75" s="22">
        <v>60</v>
      </c>
      <c r="J75" s="95">
        <v>0</v>
      </c>
      <c r="K75" s="17" t="s">
        <v>16</v>
      </c>
      <c r="L75" s="18">
        <v>0</v>
      </c>
      <c r="M75" s="23">
        <v>0</v>
      </c>
      <c r="N75"/>
      <c r="O75" s="10">
        <v>71</v>
      </c>
      <c r="P75" s="19"/>
      <c r="Q75" s="82">
        <v>0</v>
      </c>
      <c r="R75" s="83">
        <v>0</v>
      </c>
      <c r="S75" s="82">
        <v>0</v>
      </c>
      <c r="T75" s="83">
        <v>0</v>
      </c>
      <c r="U75" s="82">
        <v>0</v>
      </c>
      <c r="V75" s="84">
        <v>0</v>
      </c>
      <c r="W75" s="86"/>
      <c r="X75" s="85"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v>5</v>
      </c>
      <c r="D76" s="83">
        <v>5</v>
      </c>
      <c r="E76" s="82">
        <v>10</v>
      </c>
      <c r="F76" s="83">
        <v>0</v>
      </c>
      <c r="G76" s="82">
        <v>10</v>
      </c>
      <c r="H76" s="84">
        <v>0</v>
      </c>
      <c r="I76" s="22">
        <v>120</v>
      </c>
      <c r="J76" s="95">
        <v>0</v>
      </c>
      <c r="K76" s="17" t="s">
        <v>16</v>
      </c>
      <c r="L76" s="18">
        <v>0</v>
      </c>
      <c r="M76" s="23">
        <v>0</v>
      </c>
      <c r="N76"/>
      <c r="O76" s="10">
        <v>72</v>
      </c>
      <c r="P76" s="19"/>
      <c r="Q76" s="82">
        <v>0</v>
      </c>
      <c r="R76" s="83">
        <v>0</v>
      </c>
      <c r="S76" s="82">
        <v>0</v>
      </c>
      <c r="T76" s="83">
        <v>0</v>
      </c>
      <c r="U76" s="82">
        <v>0</v>
      </c>
      <c r="V76" s="84">
        <v>0</v>
      </c>
      <c r="W76" s="86"/>
      <c r="X76" s="85"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v>0</v>
      </c>
      <c r="D77" s="83">
        <v>0</v>
      </c>
      <c r="E77" s="82">
        <v>0</v>
      </c>
      <c r="F77" s="83">
        <v>0</v>
      </c>
      <c r="G77" s="82">
        <v>0</v>
      </c>
      <c r="H77" s="84">
        <v>0</v>
      </c>
      <c r="I77" s="86">
        <v>50</v>
      </c>
      <c r="J77" s="95">
        <v>0</v>
      </c>
      <c r="K77" s="17" t="s">
        <v>16</v>
      </c>
      <c r="L77" s="18">
        <v>0</v>
      </c>
      <c r="M77" s="23">
        <v>0</v>
      </c>
      <c r="N77"/>
      <c r="O77" s="10">
        <v>73</v>
      </c>
      <c r="P77" s="19"/>
      <c r="Q77" s="82">
        <v>0</v>
      </c>
      <c r="R77" s="83">
        <v>0</v>
      </c>
      <c r="S77" s="82">
        <v>0</v>
      </c>
      <c r="T77" s="83">
        <v>0</v>
      </c>
      <c r="U77" s="82">
        <v>0</v>
      </c>
      <c r="V77" s="84">
        <v>0</v>
      </c>
      <c r="W77" s="86"/>
      <c r="X77" s="85"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v>0</v>
      </c>
      <c r="D78" s="83">
        <v>0</v>
      </c>
      <c r="E78" s="82">
        <v>0</v>
      </c>
      <c r="F78" s="83">
        <v>0</v>
      </c>
      <c r="G78" s="82">
        <v>0</v>
      </c>
      <c r="H78" s="84">
        <v>0</v>
      </c>
      <c r="I78" s="22">
        <v>120</v>
      </c>
      <c r="J78" s="95">
        <v>0</v>
      </c>
      <c r="K78" s="17" t="s">
        <v>16</v>
      </c>
      <c r="L78" s="18">
        <v>0</v>
      </c>
      <c r="M78" s="23">
        <v>0</v>
      </c>
      <c r="N78"/>
      <c r="O78" s="10">
        <v>74</v>
      </c>
      <c r="P78" s="19"/>
      <c r="Q78" s="82">
        <v>0</v>
      </c>
      <c r="R78" s="83">
        <v>0</v>
      </c>
      <c r="S78" s="82">
        <v>0</v>
      </c>
      <c r="T78" s="83">
        <v>0</v>
      </c>
      <c r="U78" s="82">
        <v>0</v>
      </c>
      <c r="V78" s="84">
        <v>0</v>
      </c>
      <c r="W78" s="86"/>
      <c r="X78" s="85"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v>0</v>
      </c>
      <c r="D79" s="83">
        <v>6</v>
      </c>
      <c r="E79" s="82">
        <v>6</v>
      </c>
      <c r="F79" s="83">
        <v>0</v>
      </c>
      <c r="G79" s="82">
        <v>5</v>
      </c>
      <c r="H79" s="84">
        <v>1</v>
      </c>
      <c r="I79" s="22">
        <v>50</v>
      </c>
      <c r="J79" s="95">
        <v>50</v>
      </c>
      <c r="K79" s="17" t="s">
        <v>16</v>
      </c>
      <c r="L79" s="18">
        <v>0</v>
      </c>
      <c r="M79" s="23">
        <v>50</v>
      </c>
      <c r="N79"/>
      <c r="O79" s="10">
        <v>75</v>
      </c>
      <c r="P79" s="19"/>
      <c r="Q79" s="82">
        <v>0</v>
      </c>
      <c r="R79" s="83">
        <v>0</v>
      </c>
      <c r="S79" s="82">
        <v>0</v>
      </c>
      <c r="T79" s="83">
        <v>0</v>
      </c>
      <c r="U79" s="82">
        <v>0</v>
      </c>
      <c r="V79" s="84">
        <v>0</v>
      </c>
      <c r="W79" s="86"/>
      <c r="X79" s="85"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v>6</v>
      </c>
      <c r="D80" s="83">
        <v>0</v>
      </c>
      <c r="E80" s="82">
        <v>6</v>
      </c>
      <c r="F80" s="83">
        <v>0</v>
      </c>
      <c r="G80" s="82">
        <v>5</v>
      </c>
      <c r="H80" s="84">
        <v>1</v>
      </c>
      <c r="I80" s="22">
        <v>55</v>
      </c>
      <c r="J80" s="95">
        <v>55</v>
      </c>
      <c r="K80" s="17" t="s">
        <v>243</v>
      </c>
      <c r="L80" s="18">
        <v>55</v>
      </c>
      <c r="M80" s="23">
        <v>0</v>
      </c>
      <c r="N80"/>
      <c r="O80" s="10">
        <v>76</v>
      </c>
      <c r="P80" s="19"/>
      <c r="Q80" s="82">
        <v>0</v>
      </c>
      <c r="R80" s="83">
        <v>0</v>
      </c>
      <c r="S80" s="82">
        <v>0</v>
      </c>
      <c r="T80" s="83">
        <v>0</v>
      </c>
      <c r="U80" s="82">
        <v>0</v>
      </c>
      <c r="V80" s="84">
        <v>0</v>
      </c>
      <c r="W80" s="86"/>
      <c r="X80" s="85"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v>1</v>
      </c>
      <c r="D81" s="83">
        <v>3</v>
      </c>
      <c r="E81" s="82">
        <v>4</v>
      </c>
      <c r="F81" s="83">
        <v>0</v>
      </c>
      <c r="G81" s="82">
        <v>4</v>
      </c>
      <c r="H81" s="84">
        <v>0</v>
      </c>
      <c r="I81" s="86">
        <v>55</v>
      </c>
      <c r="J81" s="95">
        <v>0</v>
      </c>
      <c r="K81" s="17" t="s">
        <v>16</v>
      </c>
      <c r="L81" s="18">
        <v>0</v>
      </c>
      <c r="M81" s="81">
        <v>0</v>
      </c>
      <c r="N81"/>
      <c r="O81" s="10">
        <v>77</v>
      </c>
      <c r="P81" s="19"/>
      <c r="Q81" s="82">
        <v>0</v>
      </c>
      <c r="R81" s="83">
        <v>0</v>
      </c>
      <c r="S81" s="82">
        <v>0</v>
      </c>
      <c r="T81" s="83">
        <v>0</v>
      </c>
      <c r="U81" s="82">
        <v>0</v>
      </c>
      <c r="V81" s="84">
        <v>0</v>
      </c>
      <c r="W81" s="86"/>
      <c r="X81" s="85"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v>0</v>
      </c>
      <c r="D82" s="83">
        <v>0</v>
      </c>
      <c r="E82" s="82">
        <v>0</v>
      </c>
      <c r="F82" s="83">
        <v>0</v>
      </c>
      <c r="G82" s="82">
        <v>0</v>
      </c>
      <c r="H82" s="84">
        <v>0</v>
      </c>
      <c r="I82" s="22">
        <v>55</v>
      </c>
      <c r="J82" s="95">
        <v>0</v>
      </c>
      <c r="K82" s="17" t="s">
        <v>16</v>
      </c>
      <c r="L82" s="18">
        <v>0</v>
      </c>
      <c r="M82" s="23">
        <v>0</v>
      </c>
      <c r="N82"/>
      <c r="O82" s="10">
        <v>78</v>
      </c>
      <c r="P82" s="19"/>
      <c r="Q82" s="82">
        <v>0</v>
      </c>
      <c r="R82" s="83">
        <v>0</v>
      </c>
      <c r="S82" s="82">
        <v>0</v>
      </c>
      <c r="T82" s="83">
        <v>0</v>
      </c>
      <c r="U82" s="82">
        <v>0</v>
      </c>
      <c r="V82" s="84">
        <v>0</v>
      </c>
      <c r="W82" s="86"/>
      <c r="X82" s="85"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v>0</v>
      </c>
      <c r="D83" s="83">
        <v>2</v>
      </c>
      <c r="E83" s="82">
        <v>2</v>
      </c>
      <c r="F83" s="83">
        <v>0</v>
      </c>
      <c r="G83" s="82">
        <v>2</v>
      </c>
      <c r="H83" s="84">
        <v>0</v>
      </c>
      <c r="I83" s="22">
        <v>55</v>
      </c>
      <c r="J83" s="95">
        <v>0</v>
      </c>
      <c r="K83" s="17" t="s">
        <v>16</v>
      </c>
      <c r="L83" s="18">
        <v>0</v>
      </c>
      <c r="M83" s="23">
        <v>0</v>
      </c>
      <c r="N83"/>
      <c r="O83" s="10">
        <v>79</v>
      </c>
      <c r="P83" s="19"/>
      <c r="Q83" s="82">
        <v>0</v>
      </c>
      <c r="R83" s="83">
        <v>0</v>
      </c>
      <c r="S83" s="82">
        <v>0</v>
      </c>
      <c r="T83" s="83">
        <v>0</v>
      </c>
      <c r="U83" s="82">
        <v>0</v>
      </c>
      <c r="V83" s="84">
        <v>0</v>
      </c>
      <c r="W83" s="86"/>
      <c r="X83" s="85"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v>0</v>
      </c>
      <c r="D84" s="83">
        <v>0</v>
      </c>
      <c r="E84" s="82">
        <v>0</v>
      </c>
      <c r="F84" s="83">
        <v>0</v>
      </c>
      <c r="G84" s="82">
        <v>0</v>
      </c>
      <c r="H84" s="84">
        <v>0</v>
      </c>
      <c r="I84" s="22">
        <v>55</v>
      </c>
      <c r="J84" s="95">
        <v>0</v>
      </c>
      <c r="K84" s="17" t="s">
        <v>16</v>
      </c>
      <c r="L84" s="18">
        <v>0</v>
      </c>
      <c r="M84" s="23">
        <v>0</v>
      </c>
      <c r="N84"/>
      <c r="O84" s="10">
        <v>80</v>
      </c>
      <c r="P84" s="19"/>
      <c r="Q84" s="82">
        <v>0</v>
      </c>
      <c r="R84" s="83">
        <v>0</v>
      </c>
      <c r="S84" s="82">
        <v>0</v>
      </c>
      <c r="T84" s="83">
        <v>0</v>
      </c>
      <c r="U84" s="82">
        <v>0</v>
      </c>
      <c r="V84" s="84">
        <v>0</v>
      </c>
      <c r="W84" s="86"/>
      <c r="X84" s="85"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v>4</v>
      </c>
      <c r="D85" s="83">
        <v>0</v>
      </c>
      <c r="E85" s="82">
        <v>4</v>
      </c>
      <c r="F85" s="83">
        <v>0</v>
      </c>
      <c r="G85" s="82">
        <v>4</v>
      </c>
      <c r="H85" s="84">
        <v>0</v>
      </c>
      <c r="I85" s="22">
        <v>100</v>
      </c>
      <c r="J85" s="95">
        <v>0</v>
      </c>
      <c r="K85" s="17" t="s">
        <v>16</v>
      </c>
      <c r="L85" s="18">
        <v>0</v>
      </c>
      <c r="M85" s="81">
        <v>0</v>
      </c>
      <c r="N85"/>
      <c r="O85" s="10">
        <v>81</v>
      </c>
      <c r="P85" s="19"/>
      <c r="Q85" s="82">
        <v>0</v>
      </c>
      <c r="R85" s="83">
        <v>0</v>
      </c>
      <c r="S85" s="82">
        <v>0</v>
      </c>
      <c r="T85" s="83">
        <v>0</v>
      </c>
      <c r="U85" s="82">
        <v>0</v>
      </c>
      <c r="V85" s="84">
        <v>0</v>
      </c>
      <c r="W85" s="86"/>
      <c r="X85" s="85"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v>3</v>
      </c>
      <c r="D86" s="83">
        <v>0</v>
      </c>
      <c r="E86" s="82">
        <v>3</v>
      </c>
      <c r="F86" s="83">
        <v>0</v>
      </c>
      <c r="G86" s="82">
        <v>3</v>
      </c>
      <c r="H86" s="84">
        <v>0</v>
      </c>
      <c r="I86" s="86">
        <v>55</v>
      </c>
      <c r="J86" s="95">
        <v>0</v>
      </c>
      <c r="K86" s="17" t="s">
        <v>16</v>
      </c>
      <c r="L86" s="18">
        <v>0</v>
      </c>
      <c r="M86" s="81">
        <v>0</v>
      </c>
      <c r="N86"/>
      <c r="O86" s="10">
        <v>82</v>
      </c>
      <c r="P86" s="19"/>
      <c r="Q86" s="82">
        <v>0</v>
      </c>
      <c r="R86" s="83">
        <v>0</v>
      </c>
      <c r="S86" s="82">
        <v>0</v>
      </c>
      <c r="T86" s="83">
        <v>0</v>
      </c>
      <c r="U86" s="82">
        <v>0</v>
      </c>
      <c r="V86" s="84">
        <v>0</v>
      </c>
      <c r="W86" s="86"/>
      <c r="X86" s="85"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v>0</v>
      </c>
      <c r="D87" s="83">
        <v>0</v>
      </c>
      <c r="E87" s="82">
        <v>0</v>
      </c>
      <c r="F87" s="83">
        <v>0</v>
      </c>
      <c r="G87" s="82">
        <v>0</v>
      </c>
      <c r="H87" s="84">
        <v>0</v>
      </c>
      <c r="I87" s="86">
        <v>60</v>
      </c>
      <c r="J87" s="95">
        <v>0</v>
      </c>
      <c r="K87" s="17" t="s">
        <v>16</v>
      </c>
      <c r="L87" s="18">
        <v>0</v>
      </c>
      <c r="M87" s="23">
        <v>0</v>
      </c>
      <c r="N87"/>
      <c r="O87" s="10">
        <v>83</v>
      </c>
      <c r="P87" s="19"/>
      <c r="Q87" s="82">
        <v>0</v>
      </c>
      <c r="R87" s="83">
        <v>0</v>
      </c>
      <c r="S87" s="82">
        <v>0</v>
      </c>
      <c r="T87" s="83">
        <v>0</v>
      </c>
      <c r="U87" s="82">
        <v>0</v>
      </c>
      <c r="V87" s="84">
        <v>0</v>
      </c>
      <c r="W87" s="86"/>
      <c r="X87" s="85"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v>0</v>
      </c>
      <c r="D88" s="83">
        <v>0</v>
      </c>
      <c r="E88" s="82">
        <v>0</v>
      </c>
      <c r="F88" s="83">
        <v>0</v>
      </c>
      <c r="G88" s="82">
        <v>0</v>
      </c>
      <c r="H88" s="84">
        <v>0</v>
      </c>
      <c r="I88" s="86">
        <v>100</v>
      </c>
      <c r="J88" s="95">
        <v>0</v>
      </c>
      <c r="K88" s="17" t="s">
        <v>16</v>
      </c>
      <c r="L88" s="18">
        <v>0</v>
      </c>
      <c r="M88" s="23">
        <v>0</v>
      </c>
      <c r="N88"/>
      <c r="O88" s="10">
        <v>84</v>
      </c>
      <c r="P88" s="19"/>
      <c r="Q88" s="82">
        <v>0</v>
      </c>
      <c r="R88" s="83">
        <v>0</v>
      </c>
      <c r="S88" s="82">
        <v>0</v>
      </c>
      <c r="T88" s="83">
        <v>0</v>
      </c>
      <c r="U88" s="82">
        <v>0</v>
      </c>
      <c r="V88" s="84">
        <v>0</v>
      </c>
      <c r="W88" s="86"/>
      <c r="X88" s="85"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v>6</v>
      </c>
      <c r="D89" s="83">
        <v>0</v>
      </c>
      <c r="E89" s="82">
        <v>6</v>
      </c>
      <c r="F89" s="83">
        <v>0</v>
      </c>
      <c r="G89" s="82">
        <v>6</v>
      </c>
      <c r="H89" s="84">
        <v>0</v>
      </c>
      <c r="I89" s="86">
        <v>55</v>
      </c>
      <c r="J89" s="95">
        <v>0</v>
      </c>
      <c r="K89" s="17" t="s">
        <v>16</v>
      </c>
      <c r="L89" s="18">
        <v>0</v>
      </c>
      <c r="M89" s="23">
        <v>0</v>
      </c>
      <c r="N89"/>
      <c r="O89" s="10">
        <v>85</v>
      </c>
      <c r="P89" s="19"/>
      <c r="Q89" s="82">
        <v>0</v>
      </c>
      <c r="R89" s="83">
        <v>0</v>
      </c>
      <c r="S89" s="82">
        <v>0</v>
      </c>
      <c r="T89" s="83">
        <v>0</v>
      </c>
      <c r="U89" s="82">
        <v>0</v>
      </c>
      <c r="V89" s="84">
        <v>0</v>
      </c>
      <c r="W89" s="86"/>
      <c r="X89" s="85"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v>0</v>
      </c>
      <c r="D90" s="83">
        <v>0</v>
      </c>
      <c r="E90" s="82">
        <v>0</v>
      </c>
      <c r="F90" s="83">
        <v>0</v>
      </c>
      <c r="G90" s="82">
        <v>0</v>
      </c>
      <c r="H90" s="84">
        <v>0</v>
      </c>
      <c r="I90" s="86">
        <v>50</v>
      </c>
      <c r="J90" s="95">
        <v>0</v>
      </c>
      <c r="K90" s="17" t="s">
        <v>16</v>
      </c>
      <c r="L90" s="18">
        <v>0</v>
      </c>
      <c r="M90" s="23">
        <v>0</v>
      </c>
      <c r="N90"/>
      <c r="O90" s="10">
        <v>86</v>
      </c>
      <c r="P90" s="19"/>
      <c r="Q90" s="82">
        <v>0</v>
      </c>
      <c r="R90" s="83">
        <v>0</v>
      </c>
      <c r="S90" s="82">
        <v>0</v>
      </c>
      <c r="T90" s="83">
        <v>0</v>
      </c>
      <c r="U90" s="82">
        <v>0</v>
      </c>
      <c r="V90" s="84">
        <v>0</v>
      </c>
      <c r="W90" s="86"/>
      <c r="X90" s="85"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v>0</v>
      </c>
      <c r="D91" s="83">
        <v>0</v>
      </c>
      <c r="E91" s="82">
        <v>0</v>
      </c>
      <c r="F91" s="83">
        <v>0</v>
      </c>
      <c r="G91" s="82">
        <v>0</v>
      </c>
      <c r="H91" s="84">
        <v>0</v>
      </c>
      <c r="I91" s="22">
        <v>50</v>
      </c>
      <c r="J91" s="95">
        <v>0</v>
      </c>
      <c r="K91" s="17" t="s">
        <v>16</v>
      </c>
      <c r="L91" s="18">
        <v>0</v>
      </c>
      <c r="M91" s="23">
        <v>0</v>
      </c>
      <c r="N91"/>
      <c r="O91" s="10">
        <v>87</v>
      </c>
      <c r="P91" s="19"/>
      <c r="Q91" s="82">
        <v>0</v>
      </c>
      <c r="R91" s="83">
        <v>0</v>
      </c>
      <c r="S91" s="82">
        <v>0</v>
      </c>
      <c r="T91" s="83">
        <v>0</v>
      </c>
      <c r="U91" s="82">
        <v>0</v>
      </c>
      <c r="V91" s="84">
        <v>0</v>
      </c>
      <c r="W91" s="86"/>
      <c r="X91" s="85"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v>0</v>
      </c>
      <c r="D92" s="83">
        <v>0</v>
      </c>
      <c r="E92" s="82">
        <v>0</v>
      </c>
      <c r="F92" s="83">
        <v>0</v>
      </c>
      <c r="G92" s="82">
        <v>0</v>
      </c>
      <c r="H92" s="84">
        <v>0</v>
      </c>
      <c r="I92" s="22">
        <v>120</v>
      </c>
      <c r="J92" s="95">
        <v>0</v>
      </c>
      <c r="K92" s="17" t="s">
        <v>16</v>
      </c>
      <c r="L92" s="18">
        <v>0</v>
      </c>
      <c r="M92" s="23">
        <v>0</v>
      </c>
      <c r="N92"/>
      <c r="O92" s="10">
        <v>88</v>
      </c>
      <c r="P92" s="19"/>
      <c r="Q92" s="82">
        <v>0</v>
      </c>
      <c r="R92" s="83">
        <v>0</v>
      </c>
      <c r="S92" s="82">
        <v>0</v>
      </c>
      <c r="T92" s="83">
        <v>0</v>
      </c>
      <c r="U92" s="82">
        <v>0</v>
      </c>
      <c r="V92" s="84">
        <v>0</v>
      </c>
      <c r="W92" s="86"/>
      <c r="X92" s="85"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v>0</v>
      </c>
      <c r="D93" s="83">
        <v>0</v>
      </c>
      <c r="E93" s="82">
        <v>0</v>
      </c>
      <c r="F93" s="83">
        <v>0</v>
      </c>
      <c r="G93" s="82">
        <v>0</v>
      </c>
      <c r="H93" s="84">
        <v>0</v>
      </c>
      <c r="I93" s="86">
        <v>250</v>
      </c>
      <c r="J93" s="95">
        <v>0</v>
      </c>
      <c r="K93" s="17" t="s">
        <v>16</v>
      </c>
      <c r="L93" s="18">
        <v>0</v>
      </c>
      <c r="M93" s="23">
        <v>0</v>
      </c>
      <c r="N93"/>
      <c r="O93" s="10">
        <v>89</v>
      </c>
      <c r="P93" s="19"/>
      <c r="Q93" s="82">
        <v>0</v>
      </c>
      <c r="R93" s="83">
        <v>0</v>
      </c>
      <c r="S93" s="82">
        <v>0</v>
      </c>
      <c r="T93" s="83">
        <v>0</v>
      </c>
      <c r="U93" s="82">
        <v>0</v>
      </c>
      <c r="V93" s="84">
        <v>0</v>
      </c>
      <c r="W93" s="86"/>
      <c r="X93" s="85"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v>0</v>
      </c>
      <c r="D94" s="83">
        <v>0</v>
      </c>
      <c r="E94" s="82">
        <v>0</v>
      </c>
      <c r="F94" s="83">
        <v>0</v>
      </c>
      <c r="G94" s="82">
        <v>0</v>
      </c>
      <c r="H94" s="84">
        <v>0</v>
      </c>
      <c r="I94" s="86">
        <v>120</v>
      </c>
      <c r="J94" s="95">
        <v>0</v>
      </c>
      <c r="K94" s="17" t="s">
        <v>16</v>
      </c>
      <c r="L94" s="18">
        <v>0</v>
      </c>
      <c r="M94" s="23">
        <v>0</v>
      </c>
      <c r="N94"/>
      <c r="O94" s="10">
        <v>90</v>
      </c>
      <c r="P94" s="19"/>
      <c r="Q94" s="82">
        <v>0</v>
      </c>
      <c r="R94" s="83">
        <v>0</v>
      </c>
      <c r="S94" s="82">
        <v>0</v>
      </c>
      <c r="T94" s="83">
        <v>0</v>
      </c>
      <c r="U94" s="82">
        <v>0</v>
      </c>
      <c r="V94" s="84">
        <v>0</v>
      </c>
      <c r="W94" s="86"/>
      <c r="X94" s="85"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v>0</v>
      </c>
      <c r="D95" s="83">
        <v>0</v>
      </c>
      <c r="E95" s="82">
        <v>0</v>
      </c>
      <c r="F95" s="83">
        <v>0</v>
      </c>
      <c r="G95" s="82">
        <v>0</v>
      </c>
      <c r="H95" s="84">
        <v>0</v>
      </c>
      <c r="I95" s="86">
        <v>120</v>
      </c>
      <c r="J95" s="95">
        <v>0</v>
      </c>
      <c r="K95" s="17" t="s">
        <v>16</v>
      </c>
      <c r="L95" s="18">
        <v>0</v>
      </c>
      <c r="M95" s="23">
        <v>0</v>
      </c>
      <c r="N95"/>
      <c r="O95" s="10">
        <v>91</v>
      </c>
      <c r="P95" s="19"/>
      <c r="Q95" s="82">
        <v>0</v>
      </c>
      <c r="R95" s="83">
        <v>0</v>
      </c>
      <c r="S95" s="82">
        <v>0</v>
      </c>
      <c r="T95" s="83">
        <v>0</v>
      </c>
      <c r="U95" s="82">
        <v>0</v>
      </c>
      <c r="V95" s="84">
        <v>0</v>
      </c>
      <c r="W95" s="86"/>
      <c r="X95" s="85"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v>0</v>
      </c>
      <c r="D96" s="83">
        <v>0</v>
      </c>
      <c r="E96" s="82">
        <v>0</v>
      </c>
      <c r="F96" s="83">
        <v>0</v>
      </c>
      <c r="G96" s="82">
        <v>0</v>
      </c>
      <c r="H96" s="84">
        <v>0</v>
      </c>
      <c r="I96" s="86">
        <v>120</v>
      </c>
      <c r="J96" s="95">
        <v>0</v>
      </c>
      <c r="K96" s="17" t="s">
        <v>16</v>
      </c>
      <c r="L96" s="18">
        <v>0</v>
      </c>
      <c r="M96" s="23">
        <v>0</v>
      </c>
      <c r="N96"/>
      <c r="O96" s="10">
        <v>92</v>
      </c>
      <c r="P96" s="19"/>
      <c r="Q96" s="82">
        <v>0</v>
      </c>
      <c r="R96" s="83">
        <v>0</v>
      </c>
      <c r="S96" s="82">
        <v>0</v>
      </c>
      <c r="T96" s="83">
        <v>0</v>
      </c>
      <c r="U96" s="82">
        <v>0</v>
      </c>
      <c r="V96" s="84">
        <v>0</v>
      </c>
      <c r="W96" s="86"/>
      <c r="X96" s="85"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v>0</v>
      </c>
      <c r="D97" s="83">
        <v>0</v>
      </c>
      <c r="E97" s="82">
        <v>0</v>
      </c>
      <c r="F97" s="83">
        <v>0</v>
      </c>
      <c r="G97" s="82">
        <v>0</v>
      </c>
      <c r="H97" s="84">
        <v>0</v>
      </c>
      <c r="I97" s="86">
        <v>45</v>
      </c>
      <c r="J97" s="95">
        <v>0</v>
      </c>
      <c r="K97" s="17" t="s">
        <v>16</v>
      </c>
      <c r="L97" s="18">
        <v>0</v>
      </c>
      <c r="M97" s="23">
        <v>0</v>
      </c>
      <c r="N97"/>
      <c r="O97" s="10">
        <v>93</v>
      </c>
      <c r="P97" s="19"/>
      <c r="Q97" s="82">
        <v>0</v>
      </c>
      <c r="R97" s="83">
        <v>0</v>
      </c>
      <c r="S97" s="82">
        <v>0</v>
      </c>
      <c r="T97" s="83">
        <v>0</v>
      </c>
      <c r="U97" s="82">
        <v>0</v>
      </c>
      <c r="V97" s="84">
        <v>0</v>
      </c>
      <c r="W97" s="86"/>
      <c r="X97" s="85"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v>0</v>
      </c>
      <c r="D98" s="83">
        <v>0</v>
      </c>
      <c r="E98" s="82">
        <v>0</v>
      </c>
      <c r="F98" s="83">
        <v>0</v>
      </c>
      <c r="G98" s="82">
        <v>0</v>
      </c>
      <c r="H98" s="84">
        <v>0</v>
      </c>
      <c r="I98" s="86">
        <v>50</v>
      </c>
      <c r="J98" s="95">
        <v>0</v>
      </c>
      <c r="K98" s="17" t="s">
        <v>16</v>
      </c>
      <c r="L98" s="18">
        <v>0</v>
      </c>
      <c r="M98" s="23">
        <v>0</v>
      </c>
      <c r="N98"/>
      <c r="O98" s="10">
        <v>94</v>
      </c>
      <c r="P98" s="19"/>
      <c r="Q98" s="82">
        <v>0</v>
      </c>
      <c r="R98" s="83">
        <v>0</v>
      </c>
      <c r="S98" s="82">
        <v>0</v>
      </c>
      <c r="T98" s="83">
        <v>0</v>
      </c>
      <c r="U98" s="82">
        <v>0</v>
      </c>
      <c r="V98" s="84">
        <v>0</v>
      </c>
      <c r="W98" s="86"/>
      <c r="X98" s="85"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v>1</v>
      </c>
      <c r="D99" s="83">
        <v>0</v>
      </c>
      <c r="E99" s="82">
        <v>1</v>
      </c>
      <c r="F99" s="83">
        <v>0</v>
      </c>
      <c r="G99" s="82">
        <v>1</v>
      </c>
      <c r="H99" s="84">
        <v>0</v>
      </c>
      <c r="I99" s="86">
        <v>50</v>
      </c>
      <c r="J99" s="95">
        <v>0</v>
      </c>
      <c r="K99" s="17" t="s">
        <v>16</v>
      </c>
      <c r="L99" s="18">
        <v>0</v>
      </c>
      <c r="M99" s="23">
        <v>0</v>
      </c>
      <c r="N99"/>
      <c r="O99" s="10">
        <v>95</v>
      </c>
      <c r="P99" s="19"/>
      <c r="Q99" s="82">
        <v>0</v>
      </c>
      <c r="R99" s="83">
        <v>0</v>
      </c>
      <c r="S99" s="82">
        <v>0</v>
      </c>
      <c r="T99" s="83">
        <v>0</v>
      </c>
      <c r="U99" s="82">
        <v>0</v>
      </c>
      <c r="V99" s="84">
        <v>0</v>
      </c>
      <c r="W99" s="86"/>
      <c r="X99" s="85"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v>0</v>
      </c>
      <c r="D100" s="83">
        <v>0</v>
      </c>
      <c r="E100" s="82">
        <v>0</v>
      </c>
      <c r="F100" s="83">
        <v>0</v>
      </c>
      <c r="G100" s="82">
        <v>0</v>
      </c>
      <c r="H100" s="84">
        <v>0</v>
      </c>
      <c r="I100" s="86">
        <v>60</v>
      </c>
      <c r="J100" s="95">
        <v>0</v>
      </c>
      <c r="K100" s="17" t="s">
        <v>16</v>
      </c>
      <c r="L100" s="18">
        <v>0</v>
      </c>
      <c r="M100" s="23">
        <v>0</v>
      </c>
      <c r="N100"/>
      <c r="O100" s="10">
        <v>96</v>
      </c>
      <c r="P100" s="19"/>
      <c r="Q100" s="82">
        <v>0</v>
      </c>
      <c r="R100" s="83">
        <v>0</v>
      </c>
      <c r="S100" s="82">
        <v>0</v>
      </c>
      <c r="T100" s="83">
        <v>0</v>
      </c>
      <c r="U100" s="82">
        <v>0</v>
      </c>
      <c r="V100" s="84">
        <v>0</v>
      </c>
      <c r="W100" s="86"/>
      <c r="X100" s="85"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v>0</v>
      </c>
      <c r="D101" s="83">
        <v>0</v>
      </c>
      <c r="E101" s="82">
        <v>0</v>
      </c>
      <c r="F101" s="83">
        <v>0</v>
      </c>
      <c r="G101" s="82">
        <v>0</v>
      </c>
      <c r="H101" s="84">
        <v>0</v>
      </c>
      <c r="I101" s="86">
        <v>55</v>
      </c>
      <c r="J101" s="95">
        <v>0</v>
      </c>
      <c r="K101" s="17" t="s">
        <v>16</v>
      </c>
      <c r="L101" s="18">
        <v>0</v>
      </c>
      <c r="M101" s="23">
        <v>0</v>
      </c>
      <c r="N101"/>
      <c r="O101" s="10">
        <v>97</v>
      </c>
      <c r="P101" s="19"/>
      <c r="Q101" s="82">
        <v>0</v>
      </c>
      <c r="R101" s="83">
        <v>0</v>
      </c>
      <c r="S101" s="82">
        <v>0</v>
      </c>
      <c r="T101" s="83">
        <v>0</v>
      </c>
      <c r="U101" s="82">
        <v>0</v>
      </c>
      <c r="V101" s="84">
        <v>0</v>
      </c>
      <c r="W101" s="86"/>
      <c r="X101" s="85"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2">
        <v>2</v>
      </c>
      <c r="D102" s="83">
        <v>0</v>
      </c>
      <c r="E102" s="82">
        <v>2</v>
      </c>
      <c r="F102" s="83">
        <v>0</v>
      </c>
      <c r="G102" s="82">
        <v>2</v>
      </c>
      <c r="H102" s="84">
        <v>0</v>
      </c>
      <c r="I102" s="86">
        <v>50</v>
      </c>
      <c r="J102" s="95">
        <v>0</v>
      </c>
      <c r="K102" s="17" t="s">
        <v>16</v>
      </c>
      <c r="L102" s="18">
        <v>0</v>
      </c>
      <c r="M102" s="23">
        <v>0</v>
      </c>
      <c r="N102"/>
      <c r="O102" s="10">
        <v>98</v>
      </c>
      <c r="P102" s="19"/>
      <c r="Q102" s="82">
        <v>0</v>
      </c>
      <c r="R102" s="83">
        <v>0</v>
      </c>
      <c r="S102" s="82">
        <v>0</v>
      </c>
      <c r="T102" s="83">
        <v>0</v>
      </c>
      <c r="U102" s="82">
        <v>0</v>
      </c>
      <c r="V102" s="84">
        <v>0</v>
      </c>
      <c r="W102" s="86"/>
      <c r="X102" s="85"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v>0</v>
      </c>
      <c r="D103" s="83">
        <v>0</v>
      </c>
      <c r="E103" s="82">
        <v>0</v>
      </c>
      <c r="F103" s="83">
        <v>0</v>
      </c>
      <c r="G103" s="82">
        <v>0</v>
      </c>
      <c r="H103" s="84">
        <v>0</v>
      </c>
      <c r="I103" s="86">
        <v>100</v>
      </c>
      <c r="J103" s="95">
        <v>0</v>
      </c>
      <c r="K103" s="17" t="s">
        <v>16</v>
      </c>
      <c r="L103" s="18">
        <v>0</v>
      </c>
      <c r="M103" s="23">
        <v>0</v>
      </c>
      <c r="N103"/>
      <c r="O103" s="10">
        <v>99</v>
      </c>
      <c r="P103" s="19"/>
      <c r="Q103" s="82">
        <v>0</v>
      </c>
      <c r="R103" s="83">
        <v>0</v>
      </c>
      <c r="S103" s="82">
        <v>0</v>
      </c>
      <c r="T103" s="83">
        <v>0</v>
      </c>
      <c r="U103" s="82">
        <v>0</v>
      </c>
      <c r="V103" s="84">
        <v>0</v>
      </c>
      <c r="W103" s="86"/>
      <c r="X103" s="85"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v>0</v>
      </c>
      <c r="D104" s="83">
        <v>0</v>
      </c>
      <c r="E104" s="82">
        <v>0</v>
      </c>
      <c r="F104" s="83">
        <v>0</v>
      </c>
      <c r="G104" s="82">
        <v>0</v>
      </c>
      <c r="H104" s="84">
        <v>0</v>
      </c>
      <c r="I104" s="86">
        <v>100</v>
      </c>
      <c r="J104" s="95">
        <v>0</v>
      </c>
      <c r="K104" s="17" t="s">
        <v>16</v>
      </c>
      <c r="L104" s="18">
        <v>0</v>
      </c>
      <c r="M104" s="23">
        <v>0</v>
      </c>
      <c r="N104"/>
      <c r="O104" s="10">
        <v>100</v>
      </c>
      <c r="P104" s="19"/>
      <c r="Q104" s="82">
        <v>0</v>
      </c>
      <c r="R104" s="83">
        <v>0</v>
      </c>
      <c r="S104" s="82">
        <v>0</v>
      </c>
      <c r="T104" s="83">
        <v>0</v>
      </c>
      <c r="U104" s="82">
        <v>0</v>
      </c>
      <c r="V104" s="84">
        <v>0</v>
      </c>
      <c r="W104" s="86"/>
      <c r="X104" s="85"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v>0</v>
      </c>
      <c r="D105" s="83">
        <v>0</v>
      </c>
      <c r="E105" s="82">
        <v>0</v>
      </c>
      <c r="F105" s="83">
        <v>0</v>
      </c>
      <c r="G105" s="82">
        <v>0</v>
      </c>
      <c r="H105" s="84">
        <v>0</v>
      </c>
      <c r="I105" s="22">
        <v>30</v>
      </c>
      <c r="J105" s="95">
        <v>0</v>
      </c>
      <c r="K105" s="17" t="s">
        <v>16</v>
      </c>
      <c r="L105" s="18">
        <v>0</v>
      </c>
      <c r="M105" s="23">
        <v>0</v>
      </c>
      <c r="N105"/>
      <c r="O105" s="1"/>
      <c r="P105"/>
      <c r="Q105" s="88"/>
      <c r="R105" s="89"/>
      <c r="S105" s="88"/>
      <c r="T105" s="89"/>
      <c r="U105" s="88"/>
      <c r="V105" s="88"/>
      <c r="W105" s="90"/>
      <c r="X105" s="89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v>0</v>
      </c>
      <c r="D106" s="83">
        <v>0</v>
      </c>
      <c r="E106" s="82">
        <v>0</v>
      </c>
      <c r="F106" s="83">
        <v>0</v>
      </c>
      <c r="G106" s="82">
        <v>0</v>
      </c>
      <c r="H106" s="84">
        <v>0</v>
      </c>
      <c r="I106" s="22">
        <v>20</v>
      </c>
      <c r="J106" s="95">
        <v>0</v>
      </c>
      <c r="K106" s="17" t="s">
        <v>16</v>
      </c>
      <c r="L106" s="18">
        <v>0</v>
      </c>
      <c r="M106" s="23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10">
        <v>103</v>
      </c>
      <c r="B107" s="19" t="s">
        <v>118</v>
      </c>
      <c r="C107" s="82">
        <v>0</v>
      </c>
      <c r="D107" s="83">
        <v>0</v>
      </c>
      <c r="E107" s="82">
        <v>0</v>
      </c>
      <c r="F107" s="83">
        <v>0</v>
      </c>
      <c r="G107" s="82">
        <v>0</v>
      </c>
      <c r="H107" s="84">
        <v>0</v>
      </c>
      <c r="I107" s="86">
        <v>100</v>
      </c>
      <c r="J107" s="95">
        <v>0</v>
      </c>
      <c r="K107" s="17" t="s">
        <v>16</v>
      </c>
      <c r="L107" s="18">
        <v>0</v>
      </c>
      <c r="M107" s="23">
        <v>0</v>
      </c>
      <c r="N107"/>
      <c r="O107"/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v>0</v>
      </c>
      <c r="Y107"/>
      <c r="Z107"/>
    </row>
    <row r="108" spans="1:26" ht="25.5">
      <c r="A108" s="10">
        <v>104</v>
      </c>
      <c r="B108" s="19" t="s">
        <v>120</v>
      </c>
      <c r="C108" s="82">
        <v>0</v>
      </c>
      <c r="D108" s="83">
        <v>0</v>
      </c>
      <c r="E108" s="82">
        <v>0</v>
      </c>
      <c r="F108" s="83">
        <v>0</v>
      </c>
      <c r="G108" s="82">
        <v>0</v>
      </c>
      <c r="H108" s="84">
        <v>0</v>
      </c>
      <c r="I108" s="86">
        <v>80</v>
      </c>
      <c r="J108" s="95">
        <v>0</v>
      </c>
      <c r="K108" s="17" t="s">
        <v>16</v>
      </c>
      <c r="L108" s="18">
        <v>0</v>
      </c>
      <c r="M108" s="23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10">
        <v>105</v>
      </c>
      <c r="B109" s="19" t="s">
        <v>121</v>
      </c>
      <c r="C109" s="82">
        <v>0</v>
      </c>
      <c r="D109" s="83">
        <v>0</v>
      </c>
      <c r="E109" s="82">
        <v>0</v>
      </c>
      <c r="F109" s="83">
        <v>0</v>
      </c>
      <c r="G109" s="82">
        <v>0</v>
      </c>
      <c r="H109" s="84">
        <v>0</v>
      </c>
      <c r="I109" s="86">
        <v>60</v>
      </c>
      <c r="J109" s="95">
        <v>0</v>
      </c>
      <c r="K109" s="17" t="s">
        <v>16</v>
      </c>
      <c r="L109" s="18">
        <v>0</v>
      </c>
      <c r="M109" s="23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10">
        <v>106</v>
      </c>
      <c r="B110" s="19" t="s">
        <v>122</v>
      </c>
      <c r="C110" s="82">
        <v>0</v>
      </c>
      <c r="D110" s="83">
        <v>0</v>
      </c>
      <c r="E110" s="82">
        <v>0</v>
      </c>
      <c r="F110" s="83">
        <v>0</v>
      </c>
      <c r="G110" s="82">
        <v>0</v>
      </c>
      <c r="H110" s="84">
        <v>0</v>
      </c>
      <c r="I110" s="86">
        <v>35</v>
      </c>
      <c r="J110" s="95">
        <v>0</v>
      </c>
      <c r="K110" s="17" t="s">
        <v>16</v>
      </c>
      <c r="L110" s="18">
        <v>0</v>
      </c>
      <c r="M110" s="23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10">
        <v>107</v>
      </c>
      <c r="B111" s="19" t="s">
        <v>123</v>
      </c>
      <c r="C111" s="82">
        <v>0</v>
      </c>
      <c r="D111" s="83">
        <v>0</v>
      </c>
      <c r="E111" s="82">
        <v>0</v>
      </c>
      <c r="F111" s="83">
        <v>0</v>
      </c>
      <c r="G111" s="82">
        <v>0</v>
      </c>
      <c r="H111" s="84">
        <v>0</v>
      </c>
      <c r="I111" s="86">
        <v>35</v>
      </c>
      <c r="J111" s="95">
        <v>0</v>
      </c>
      <c r="K111" s="17" t="s">
        <v>16</v>
      </c>
      <c r="L111" s="18">
        <v>0</v>
      </c>
      <c r="M111" s="23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10">
        <v>108</v>
      </c>
      <c r="B112" s="19" t="s">
        <v>124</v>
      </c>
      <c r="C112" s="82">
        <v>0</v>
      </c>
      <c r="D112" s="83">
        <v>0</v>
      </c>
      <c r="E112" s="82">
        <v>0</v>
      </c>
      <c r="F112" s="83">
        <v>0</v>
      </c>
      <c r="G112" s="82">
        <v>0</v>
      </c>
      <c r="H112" s="84">
        <v>0</v>
      </c>
      <c r="I112" s="86">
        <v>35</v>
      </c>
      <c r="J112" s="95">
        <v>0</v>
      </c>
      <c r="K112" s="17" t="s">
        <v>16</v>
      </c>
      <c r="L112" s="18">
        <v>0</v>
      </c>
      <c r="M112" s="23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10">
        <v>109</v>
      </c>
      <c r="B113" s="19" t="s">
        <v>125</v>
      </c>
      <c r="C113" s="82">
        <v>0</v>
      </c>
      <c r="D113" s="83">
        <v>0</v>
      </c>
      <c r="E113" s="82">
        <v>0</v>
      </c>
      <c r="F113" s="83">
        <v>0</v>
      </c>
      <c r="G113" s="82">
        <v>0</v>
      </c>
      <c r="H113" s="84">
        <v>0</v>
      </c>
      <c r="I113" s="86">
        <v>35</v>
      </c>
      <c r="J113" s="95">
        <v>0</v>
      </c>
      <c r="K113" s="17" t="s">
        <v>16</v>
      </c>
      <c r="L113" s="18">
        <v>0</v>
      </c>
      <c r="M113" s="23">
        <v>0</v>
      </c>
    </row>
    <row r="114" spans="1:13" ht="25.5">
      <c r="A114" s="10">
        <v>110</v>
      </c>
      <c r="B114" s="19" t="s">
        <v>126</v>
      </c>
      <c r="C114" s="82">
        <v>0</v>
      </c>
      <c r="D114" s="83">
        <v>3</v>
      </c>
      <c r="E114" s="82">
        <v>3</v>
      </c>
      <c r="F114" s="83">
        <v>0</v>
      </c>
      <c r="G114" s="82">
        <v>3</v>
      </c>
      <c r="H114" s="84">
        <v>0</v>
      </c>
      <c r="I114" s="86">
        <v>35</v>
      </c>
      <c r="J114" s="95">
        <v>0</v>
      </c>
      <c r="K114" s="17" t="s">
        <v>16</v>
      </c>
      <c r="L114" s="18">
        <v>0</v>
      </c>
      <c r="M114" s="23">
        <v>0</v>
      </c>
    </row>
    <row r="115" spans="1:13" ht="25.5">
      <c r="A115" s="10">
        <v>111</v>
      </c>
      <c r="B115" s="19" t="s">
        <v>127</v>
      </c>
      <c r="C115" s="82">
        <v>0</v>
      </c>
      <c r="D115" s="83">
        <v>2</v>
      </c>
      <c r="E115" s="82">
        <v>2</v>
      </c>
      <c r="F115" s="83">
        <v>0</v>
      </c>
      <c r="G115" s="82">
        <v>2</v>
      </c>
      <c r="H115" s="84">
        <v>0</v>
      </c>
      <c r="I115" s="86">
        <v>50</v>
      </c>
      <c r="J115" s="95">
        <v>0</v>
      </c>
      <c r="K115" s="17" t="s">
        <v>16</v>
      </c>
      <c r="L115" s="18">
        <v>0</v>
      </c>
      <c r="M115" s="23">
        <v>0</v>
      </c>
    </row>
    <row r="116" spans="1:13" ht="25.5">
      <c r="A116" s="10">
        <v>112</v>
      </c>
      <c r="B116" s="19" t="s">
        <v>128</v>
      </c>
      <c r="C116" s="82">
        <v>0</v>
      </c>
      <c r="D116" s="83">
        <v>0</v>
      </c>
      <c r="E116" s="82">
        <v>0</v>
      </c>
      <c r="F116" s="83">
        <v>0</v>
      </c>
      <c r="G116" s="82">
        <v>0</v>
      </c>
      <c r="H116" s="84">
        <v>0</v>
      </c>
      <c r="I116" s="86">
        <v>50</v>
      </c>
      <c r="J116" s="95">
        <v>0</v>
      </c>
      <c r="K116" s="17" t="s">
        <v>16</v>
      </c>
      <c r="L116" s="18">
        <v>0</v>
      </c>
      <c r="M116" s="23">
        <v>0</v>
      </c>
    </row>
    <row r="117" spans="1:13" ht="25.5">
      <c r="A117" s="10">
        <v>113</v>
      </c>
      <c r="B117" s="19" t="s">
        <v>129</v>
      </c>
      <c r="C117" s="82">
        <v>0</v>
      </c>
      <c r="D117" s="83">
        <v>0</v>
      </c>
      <c r="E117" s="82">
        <v>0</v>
      </c>
      <c r="F117" s="83">
        <v>0</v>
      </c>
      <c r="G117" s="82">
        <v>0</v>
      </c>
      <c r="H117" s="84">
        <v>0</v>
      </c>
      <c r="I117" s="86">
        <v>50</v>
      </c>
      <c r="J117" s="95">
        <v>0</v>
      </c>
      <c r="K117" s="17" t="s">
        <v>16</v>
      </c>
      <c r="L117" s="18">
        <v>0</v>
      </c>
      <c r="M117" s="23">
        <v>0</v>
      </c>
    </row>
    <row r="118" spans="1:13" ht="25.5">
      <c r="A118" s="10">
        <v>114</v>
      </c>
      <c r="B118" s="19" t="s">
        <v>130</v>
      </c>
      <c r="C118" s="82">
        <v>0</v>
      </c>
      <c r="D118" s="83">
        <v>2</v>
      </c>
      <c r="E118" s="82">
        <v>2</v>
      </c>
      <c r="F118" s="83">
        <v>0</v>
      </c>
      <c r="G118" s="82">
        <v>2</v>
      </c>
      <c r="H118" s="84">
        <v>0</v>
      </c>
      <c r="I118" s="86">
        <v>50</v>
      </c>
      <c r="J118" s="95">
        <v>0</v>
      </c>
      <c r="K118" s="17" t="s">
        <v>16</v>
      </c>
      <c r="L118" s="18">
        <v>0</v>
      </c>
      <c r="M118" s="23">
        <v>0</v>
      </c>
    </row>
    <row r="119" spans="1:13" ht="25.5">
      <c r="A119" s="10">
        <v>115</v>
      </c>
      <c r="B119" s="19" t="s">
        <v>131</v>
      </c>
      <c r="C119" s="82">
        <v>0</v>
      </c>
      <c r="D119" s="83">
        <v>0</v>
      </c>
      <c r="E119" s="82">
        <v>0</v>
      </c>
      <c r="F119" s="83">
        <v>0</v>
      </c>
      <c r="G119" s="82">
        <v>0</v>
      </c>
      <c r="H119" s="84">
        <v>0</v>
      </c>
      <c r="I119" s="86">
        <v>50</v>
      </c>
      <c r="J119" s="95">
        <v>0</v>
      </c>
      <c r="K119" s="17" t="s">
        <v>16</v>
      </c>
      <c r="L119" s="18">
        <v>0</v>
      </c>
      <c r="M119" s="23">
        <v>0</v>
      </c>
    </row>
    <row r="120" spans="1:13" ht="25.5">
      <c r="A120" s="10">
        <v>116</v>
      </c>
      <c r="B120" s="19" t="s">
        <v>132</v>
      </c>
      <c r="C120" s="82">
        <v>0</v>
      </c>
      <c r="D120" s="83">
        <v>0</v>
      </c>
      <c r="E120" s="82">
        <v>0</v>
      </c>
      <c r="F120" s="83">
        <v>0</v>
      </c>
      <c r="G120" s="82">
        <v>0</v>
      </c>
      <c r="H120" s="84">
        <v>0</v>
      </c>
      <c r="I120" s="86">
        <v>50</v>
      </c>
      <c r="J120" s="95">
        <v>0</v>
      </c>
      <c r="K120" s="17" t="s">
        <v>16</v>
      </c>
      <c r="L120" s="18">
        <v>0</v>
      </c>
      <c r="M120" s="23">
        <v>0</v>
      </c>
    </row>
    <row r="121" spans="1:13" ht="25.5">
      <c r="A121" s="10">
        <v>117</v>
      </c>
      <c r="B121" s="19" t="s">
        <v>133</v>
      </c>
      <c r="C121" s="82">
        <v>0</v>
      </c>
      <c r="D121" s="83">
        <v>0</v>
      </c>
      <c r="E121" s="82">
        <v>0</v>
      </c>
      <c r="F121" s="83">
        <v>0</v>
      </c>
      <c r="G121" s="82">
        <v>0</v>
      </c>
      <c r="H121" s="84">
        <v>0</v>
      </c>
      <c r="I121" s="86">
        <v>40</v>
      </c>
      <c r="J121" s="95">
        <v>0</v>
      </c>
      <c r="K121" s="17" t="s">
        <v>16</v>
      </c>
      <c r="L121" s="18">
        <v>0</v>
      </c>
      <c r="M121" s="23">
        <v>0</v>
      </c>
    </row>
    <row r="122" spans="1:13" ht="25.5">
      <c r="A122" s="10">
        <v>118</v>
      </c>
      <c r="B122" s="19" t="s">
        <v>134</v>
      </c>
      <c r="C122" s="82">
        <v>0</v>
      </c>
      <c r="D122" s="83">
        <v>0</v>
      </c>
      <c r="E122" s="82">
        <v>0</v>
      </c>
      <c r="F122" s="83">
        <v>0</v>
      </c>
      <c r="G122" s="82">
        <v>0</v>
      </c>
      <c r="H122" s="84">
        <v>0</v>
      </c>
      <c r="I122" s="86">
        <v>35</v>
      </c>
      <c r="J122" s="95">
        <v>0</v>
      </c>
      <c r="K122" s="17" t="s">
        <v>16</v>
      </c>
      <c r="L122" s="18">
        <v>0</v>
      </c>
      <c r="M122" s="23">
        <v>0</v>
      </c>
    </row>
    <row r="123" spans="1:13" ht="25.5">
      <c r="A123" s="10">
        <v>119</v>
      </c>
      <c r="B123" s="19" t="s">
        <v>135</v>
      </c>
      <c r="C123" s="82">
        <v>0</v>
      </c>
      <c r="D123" s="83">
        <v>0</v>
      </c>
      <c r="E123" s="82">
        <v>0</v>
      </c>
      <c r="F123" s="83">
        <v>0</v>
      </c>
      <c r="G123" s="82">
        <v>0</v>
      </c>
      <c r="H123" s="84">
        <v>0</v>
      </c>
      <c r="I123" s="86">
        <v>40</v>
      </c>
      <c r="J123" s="95">
        <v>0</v>
      </c>
      <c r="K123" s="17" t="s">
        <v>16</v>
      </c>
      <c r="L123" s="18">
        <v>0</v>
      </c>
      <c r="M123" s="81">
        <v>0</v>
      </c>
    </row>
    <row r="124" spans="1:13" ht="25.5">
      <c r="A124" s="10">
        <v>120</v>
      </c>
      <c r="B124" s="19" t="s">
        <v>136</v>
      </c>
      <c r="C124" s="82">
        <v>0</v>
      </c>
      <c r="D124" s="83">
        <v>0</v>
      </c>
      <c r="E124" s="82">
        <v>0</v>
      </c>
      <c r="F124" s="83">
        <v>0</v>
      </c>
      <c r="G124" s="82">
        <v>0</v>
      </c>
      <c r="H124" s="84">
        <v>0</v>
      </c>
      <c r="I124" s="86">
        <v>40</v>
      </c>
      <c r="J124" s="95">
        <v>0</v>
      </c>
      <c r="K124" s="17" t="s">
        <v>16</v>
      </c>
      <c r="L124" s="18">
        <v>0</v>
      </c>
      <c r="M124" s="23">
        <v>0</v>
      </c>
    </row>
    <row r="125" spans="1:13" ht="25.5">
      <c r="A125" s="10">
        <v>121</v>
      </c>
      <c r="B125" s="19" t="s">
        <v>137</v>
      </c>
      <c r="C125" s="82">
        <v>0</v>
      </c>
      <c r="D125" s="83">
        <v>0</v>
      </c>
      <c r="E125" s="82">
        <v>0</v>
      </c>
      <c r="F125" s="83">
        <v>0</v>
      </c>
      <c r="G125" s="82">
        <v>0</v>
      </c>
      <c r="H125" s="84">
        <v>0</v>
      </c>
      <c r="I125" s="86">
        <v>30</v>
      </c>
      <c r="J125" s="95">
        <v>0</v>
      </c>
      <c r="K125" s="17" t="s">
        <v>16</v>
      </c>
      <c r="L125" s="18">
        <v>0</v>
      </c>
      <c r="M125" s="23">
        <v>0</v>
      </c>
    </row>
    <row r="126" spans="1:13" ht="25.5">
      <c r="A126" s="10">
        <v>122</v>
      </c>
      <c r="B126" s="19" t="s">
        <v>138</v>
      </c>
      <c r="C126" s="82">
        <v>0</v>
      </c>
      <c r="D126" s="83">
        <v>0</v>
      </c>
      <c r="E126" s="82">
        <v>0</v>
      </c>
      <c r="F126" s="83">
        <v>0</v>
      </c>
      <c r="G126" s="82">
        <v>0</v>
      </c>
      <c r="H126" s="84">
        <v>0</v>
      </c>
      <c r="I126" s="86">
        <v>40</v>
      </c>
      <c r="J126" s="95">
        <v>0</v>
      </c>
      <c r="K126" s="17" t="s">
        <v>16</v>
      </c>
      <c r="L126" s="18">
        <v>0</v>
      </c>
      <c r="M126" s="23">
        <v>0</v>
      </c>
    </row>
    <row r="127" spans="1:13" ht="25.5">
      <c r="A127" s="10">
        <v>123</v>
      </c>
      <c r="B127" s="19" t="s">
        <v>139</v>
      </c>
      <c r="C127" s="82">
        <v>0</v>
      </c>
      <c r="D127" s="83">
        <v>0</v>
      </c>
      <c r="E127" s="82">
        <v>0</v>
      </c>
      <c r="F127" s="83">
        <v>0</v>
      </c>
      <c r="G127" s="82">
        <v>0</v>
      </c>
      <c r="H127" s="84">
        <v>0</v>
      </c>
      <c r="I127" s="86">
        <v>20</v>
      </c>
      <c r="J127" s="95">
        <v>0</v>
      </c>
      <c r="K127" s="17" t="s">
        <v>16</v>
      </c>
      <c r="L127" s="18">
        <v>0</v>
      </c>
      <c r="M127" s="23">
        <v>0</v>
      </c>
    </row>
    <row r="128" spans="1:13" ht="25.5">
      <c r="A128" s="10">
        <v>124</v>
      </c>
      <c r="B128" s="19" t="s">
        <v>140</v>
      </c>
      <c r="C128" s="82">
        <v>0</v>
      </c>
      <c r="D128" s="83">
        <v>0</v>
      </c>
      <c r="E128" s="82">
        <v>0</v>
      </c>
      <c r="F128" s="83">
        <v>0</v>
      </c>
      <c r="G128" s="82">
        <v>0</v>
      </c>
      <c r="H128" s="84">
        <v>0</v>
      </c>
      <c r="I128" s="86">
        <v>25</v>
      </c>
      <c r="J128" s="95">
        <v>0</v>
      </c>
      <c r="K128" s="17" t="s">
        <v>16</v>
      </c>
      <c r="L128" s="18">
        <v>0</v>
      </c>
      <c r="M128" s="23">
        <v>0</v>
      </c>
    </row>
    <row r="129" spans="1:13" ht="25.5">
      <c r="A129" s="10">
        <v>125</v>
      </c>
      <c r="B129" s="19" t="s">
        <v>141</v>
      </c>
      <c r="C129" s="82">
        <v>0</v>
      </c>
      <c r="D129" s="83">
        <v>0</v>
      </c>
      <c r="E129" s="82">
        <v>0</v>
      </c>
      <c r="F129" s="83">
        <v>0</v>
      </c>
      <c r="G129" s="82">
        <v>0</v>
      </c>
      <c r="H129" s="84">
        <v>0</v>
      </c>
      <c r="I129" s="86">
        <v>40</v>
      </c>
      <c r="J129" s="95">
        <v>0</v>
      </c>
      <c r="K129" s="17" t="s">
        <v>16</v>
      </c>
      <c r="L129" s="18">
        <v>0</v>
      </c>
      <c r="M129" s="23">
        <v>0</v>
      </c>
    </row>
    <row r="130" spans="1:13" ht="25.5">
      <c r="A130" s="10">
        <v>126</v>
      </c>
      <c r="B130" s="19" t="s">
        <v>142</v>
      </c>
      <c r="C130" s="82">
        <v>0</v>
      </c>
      <c r="D130" s="83">
        <v>0</v>
      </c>
      <c r="E130" s="82">
        <v>0</v>
      </c>
      <c r="F130" s="83">
        <v>0</v>
      </c>
      <c r="G130" s="82">
        <v>0</v>
      </c>
      <c r="H130" s="84">
        <v>0</v>
      </c>
      <c r="I130" s="86">
        <v>50</v>
      </c>
      <c r="J130" s="95">
        <v>0</v>
      </c>
      <c r="K130" s="17" t="s">
        <v>16</v>
      </c>
      <c r="L130" s="18">
        <v>0</v>
      </c>
      <c r="M130" s="23">
        <v>0</v>
      </c>
    </row>
    <row r="131" spans="1:13" ht="25.5">
      <c r="A131" s="10">
        <v>127</v>
      </c>
      <c r="B131" s="19" t="s">
        <v>143</v>
      </c>
      <c r="C131" s="82">
        <v>0</v>
      </c>
      <c r="D131" s="83">
        <v>0</v>
      </c>
      <c r="E131" s="82">
        <v>0</v>
      </c>
      <c r="F131" s="83">
        <v>0</v>
      </c>
      <c r="G131" s="82">
        <v>0</v>
      </c>
      <c r="H131" s="84">
        <v>0</v>
      </c>
      <c r="I131" s="86">
        <v>55</v>
      </c>
      <c r="J131" s="95">
        <v>0</v>
      </c>
      <c r="K131" s="17" t="s">
        <v>16</v>
      </c>
      <c r="L131" s="18">
        <v>0</v>
      </c>
      <c r="M131" s="23">
        <v>0</v>
      </c>
    </row>
    <row r="132" spans="1:13" ht="25.5">
      <c r="A132" s="10">
        <v>128</v>
      </c>
      <c r="B132" s="19" t="s">
        <v>144</v>
      </c>
      <c r="C132" s="82">
        <v>0</v>
      </c>
      <c r="D132" s="83">
        <v>0</v>
      </c>
      <c r="E132" s="82">
        <v>0</v>
      </c>
      <c r="F132" s="83">
        <v>0</v>
      </c>
      <c r="G132" s="82">
        <v>0</v>
      </c>
      <c r="H132" s="84">
        <v>0</v>
      </c>
      <c r="I132" s="86">
        <v>55</v>
      </c>
      <c r="J132" s="95">
        <v>0</v>
      </c>
      <c r="K132" s="17" t="s">
        <v>16</v>
      </c>
      <c r="L132" s="18">
        <v>0</v>
      </c>
      <c r="M132" s="23">
        <v>0</v>
      </c>
    </row>
    <row r="133" spans="1:13" ht="25.5">
      <c r="A133" s="10">
        <v>129</v>
      </c>
      <c r="B133" s="19" t="s">
        <v>145</v>
      </c>
      <c r="C133" s="82">
        <v>0</v>
      </c>
      <c r="D133" s="83">
        <v>0</v>
      </c>
      <c r="E133" s="82">
        <v>0</v>
      </c>
      <c r="F133" s="83">
        <v>0</v>
      </c>
      <c r="G133" s="82">
        <v>0</v>
      </c>
      <c r="H133" s="84">
        <v>0</v>
      </c>
      <c r="I133" s="86">
        <v>45</v>
      </c>
      <c r="J133" s="95">
        <v>0</v>
      </c>
      <c r="K133" s="17" t="s">
        <v>16</v>
      </c>
      <c r="L133" s="18">
        <v>0</v>
      </c>
      <c r="M133" s="23">
        <v>0</v>
      </c>
    </row>
    <row r="134" spans="1:13" ht="25.5">
      <c r="A134" s="10">
        <v>130</v>
      </c>
      <c r="B134" s="19" t="s">
        <v>146</v>
      </c>
      <c r="C134" s="82">
        <v>0</v>
      </c>
      <c r="D134" s="83">
        <v>0</v>
      </c>
      <c r="E134" s="82">
        <v>0</v>
      </c>
      <c r="F134" s="83">
        <v>0</v>
      </c>
      <c r="G134" s="82">
        <v>0</v>
      </c>
      <c r="H134" s="84">
        <v>0</v>
      </c>
      <c r="I134" s="86">
        <v>45</v>
      </c>
      <c r="J134" s="95">
        <v>0</v>
      </c>
      <c r="K134" s="17" t="s">
        <v>16</v>
      </c>
      <c r="L134" s="18">
        <v>0</v>
      </c>
      <c r="M134" s="23">
        <v>0</v>
      </c>
    </row>
    <row r="135" spans="1:13" ht="25.5">
      <c r="A135" s="10">
        <v>131</v>
      </c>
      <c r="B135" s="19" t="s">
        <v>147</v>
      </c>
      <c r="C135" s="82">
        <v>0</v>
      </c>
      <c r="D135" s="83">
        <v>0</v>
      </c>
      <c r="E135" s="82">
        <v>0</v>
      </c>
      <c r="F135" s="83">
        <v>0</v>
      </c>
      <c r="G135" s="82">
        <v>0</v>
      </c>
      <c r="H135" s="84">
        <v>0</v>
      </c>
      <c r="I135" s="86">
        <v>55</v>
      </c>
      <c r="J135" s="95">
        <v>0</v>
      </c>
      <c r="K135" s="17" t="s">
        <v>16</v>
      </c>
      <c r="L135" s="18">
        <v>0</v>
      </c>
      <c r="M135" s="23">
        <v>0</v>
      </c>
    </row>
    <row r="136" spans="1:13" ht="25.5">
      <c r="A136" s="10">
        <v>132</v>
      </c>
      <c r="B136" s="19" t="s">
        <v>148</v>
      </c>
      <c r="C136" s="82">
        <v>0</v>
      </c>
      <c r="D136" s="83">
        <v>0</v>
      </c>
      <c r="E136" s="82">
        <v>0</v>
      </c>
      <c r="F136" s="83">
        <v>0</v>
      </c>
      <c r="G136" s="82">
        <v>0</v>
      </c>
      <c r="H136" s="84">
        <v>0</v>
      </c>
      <c r="I136" s="86">
        <v>45</v>
      </c>
      <c r="J136" s="95">
        <v>0</v>
      </c>
      <c r="K136" s="17" t="s">
        <v>16</v>
      </c>
      <c r="L136" s="18">
        <v>0</v>
      </c>
      <c r="M136" s="23">
        <v>0</v>
      </c>
    </row>
    <row r="137" spans="1:13" ht="25.5">
      <c r="A137" s="10">
        <v>133</v>
      </c>
      <c r="B137" s="19" t="s">
        <v>149</v>
      </c>
      <c r="C137" s="82">
        <v>0</v>
      </c>
      <c r="D137" s="83">
        <v>0</v>
      </c>
      <c r="E137" s="82">
        <v>0</v>
      </c>
      <c r="F137" s="83">
        <v>0</v>
      </c>
      <c r="G137" s="82">
        <v>0</v>
      </c>
      <c r="H137" s="84">
        <v>0</v>
      </c>
      <c r="I137" s="86">
        <v>45</v>
      </c>
      <c r="J137" s="95">
        <v>0</v>
      </c>
      <c r="K137" s="17" t="s">
        <v>16</v>
      </c>
      <c r="L137" s="18">
        <v>0</v>
      </c>
      <c r="M137" s="23">
        <v>0</v>
      </c>
    </row>
    <row r="138" spans="1:13" ht="25.5">
      <c r="A138" s="10">
        <v>134</v>
      </c>
      <c r="B138" s="19" t="s">
        <v>150</v>
      </c>
      <c r="C138" s="82">
        <v>0</v>
      </c>
      <c r="D138" s="83">
        <v>0</v>
      </c>
      <c r="E138" s="82">
        <v>0</v>
      </c>
      <c r="F138" s="83">
        <v>0</v>
      </c>
      <c r="G138" s="82">
        <v>0</v>
      </c>
      <c r="H138" s="84">
        <v>0</v>
      </c>
      <c r="I138" s="86">
        <v>45</v>
      </c>
      <c r="J138" s="95">
        <v>0</v>
      </c>
      <c r="K138" s="17" t="s">
        <v>16</v>
      </c>
      <c r="L138" s="18">
        <v>0</v>
      </c>
      <c r="M138" s="23">
        <v>0</v>
      </c>
    </row>
    <row r="139" spans="1:13" ht="25.5">
      <c r="A139" s="10">
        <v>135</v>
      </c>
      <c r="B139" s="19" t="s">
        <v>151</v>
      </c>
      <c r="C139" s="82">
        <v>0</v>
      </c>
      <c r="D139" s="83">
        <v>0</v>
      </c>
      <c r="E139" s="82">
        <v>0</v>
      </c>
      <c r="F139" s="83">
        <v>0</v>
      </c>
      <c r="G139" s="82">
        <v>0</v>
      </c>
      <c r="H139" s="84">
        <v>0</v>
      </c>
      <c r="I139" s="86">
        <v>45</v>
      </c>
      <c r="J139" s="95">
        <v>0</v>
      </c>
      <c r="K139" s="17" t="s">
        <v>16</v>
      </c>
      <c r="L139" s="18">
        <v>0</v>
      </c>
      <c r="M139" s="23">
        <v>0</v>
      </c>
    </row>
    <row r="140" spans="1:13" ht="25.5">
      <c r="A140" s="10">
        <v>136</v>
      </c>
      <c r="B140" s="19" t="s">
        <v>152</v>
      </c>
      <c r="C140" s="82">
        <v>0</v>
      </c>
      <c r="D140" s="83">
        <v>0</v>
      </c>
      <c r="E140" s="82">
        <v>0</v>
      </c>
      <c r="F140" s="83">
        <v>0</v>
      </c>
      <c r="G140" s="82">
        <v>0</v>
      </c>
      <c r="H140" s="84">
        <v>0</v>
      </c>
      <c r="I140" s="86">
        <v>45</v>
      </c>
      <c r="J140" s="95">
        <v>0</v>
      </c>
      <c r="K140" s="17" t="s">
        <v>16</v>
      </c>
      <c r="L140" s="18">
        <v>0</v>
      </c>
      <c r="M140" s="81">
        <v>0</v>
      </c>
    </row>
    <row r="141" spans="1:13" ht="25.5">
      <c r="A141" s="10">
        <v>137</v>
      </c>
      <c r="B141" s="19" t="s">
        <v>153</v>
      </c>
      <c r="C141" s="82">
        <v>0</v>
      </c>
      <c r="D141" s="83">
        <v>0</v>
      </c>
      <c r="E141" s="82">
        <v>0</v>
      </c>
      <c r="F141" s="83">
        <v>0</v>
      </c>
      <c r="G141" s="82">
        <v>0</v>
      </c>
      <c r="H141" s="84">
        <v>0</v>
      </c>
      <c r="I141" s="86">
        <v>45</v>
      </c>
      <c r="J141" s="95">
        <v>0</v>
      </c>
      <c r="K141" s="17" t="s">
        <v>16</v>
      </c>
      <c r="L141" s="18">
        <v>0</v>
      </c>
      <c r="M141" s="23">
        <v>0</v>
      </c>
    </row>
    <row r="142" spans="1:13" ht="25.5">
      <c r="A142" s="10">
        <v>138</v>
      </c>
      <c r="B142" s="19" t="s">
        <v>154</v>
      </c>
      <c r="C142" s="82">
        <v>0</v>
      </c>
      <c r="D142" s="83">
        <v>0</v>
      </c>
      <c r="E142" s="82">
        <v>0</v>
      </c>
      <c r="F142" s="83">
        <v>0</v>
      </c>
      <c r="G142" s="82">
        <v>0</v>
      </c>
      <c r="H142" s="84">
        <v>0</v>
      </c>
      <c r="I142" s="86">
        <v>120</v>
      </c>
      <c r="J142" s="95">
        <v>0</v>
      </c>
      <c r="K142" s="17" t="s">
        <v>16</v>
      </c>
      <c r="L142" s="18">
        <v>0</v>
      </c>
      <c r="M142" s="81">
        <v>0</v>
      </c>
    </row>
    <row r="143" spans="1:13" ht="25.5">
      <c r="A143" s="10">
        <v>139</v>
      </c>
      <c r="B143" s="19" t="s">
        <v>155</v>
      </c>
      <c r="C143" s="82">
        <v>0</v>
      </c>
      <c r="D143" s="83">
        <v>0</v>
      </c>
      <c r="E143" s="82">
        <v>0</v>
      </c>
      <c r="F143" s="83">
        <v>0</v>
      </c>
      <c r="G143" s="82">
        <v>0</v>
      </c>
      <c r="H143" s="84">
        <v>0</v>
      </c>
      <c r="I143" s="86">
        <v>120</v>
      </c>
      <c r="J143" s="95">
        <v>0</v>
      </c>
      <c r="K143" s="17" t="s">
        <v>16</v>
      </c>
      <c r="L143" s="18">
        <v>0</v>
      </c>
      <c r="M143" s="23">
        <v>0</v>
      </c>
    </row>
    <row r="144" spans="1:13" ht="25.5">
      <c r="A144" s="10">
        <v>140</v>
      </c>
      <c r="B144" s="19" t="s">
        <v>156</v>
      </c>
      <c r="C144" s="82">
        <v>1</v>
      </c>
      <c r="D144" s="83">
        <v>0</v>
      </c>
      <c r="E144" s="82">
        <v>1</v>
      </c>
      <c r="F144" s="83">
        <v>0</v>
      </c>
      <c r="G144" s="82">
        <v>1</v>
      </c>
      <c r="H144" s="84">
        <v>0</v>
      </c>
      <c r="I144" s="86">
        <v>120</v>
      </c>
      <c r="J144" s="95">
        <v>0</v>
      </c>
      <c r="K144" s="17" t="s">
        <v>16</v>
      </c>
      <c r="L144" s="18">
        <v>0</v>
      </c>
      <c r="M144" s="23">
        <v>0</v>
      </c>
    </row>
    <row r="145" spans="1:13" ht="25.5">
      <c r="A145" s="10">
        <v>141</v>
      </c>
      <c r="B145" s="19" t="s">
        <v>157</v>
      </c>
      <c r="C145" s="82">
        <v>0</v>
      </c>
      <c r="D145" s="83">
        <v>0</v>
      </c>
      <c r="E145" s="82">
        <v>0</v>
      </c>
      <c r="F145" s="83">
        <v>0</v>
      </c>
      <c r="G145" s="82">
        <v>0</v>
      </c>
      <c r="H145" s="84">
        <v>0</v>
      </c>
      <c r="I145" s="86">
        <v>120</v>
      </c>
      <c r="J145" s="95">
        <v>0</v>
      </c>
      <c r="K145" s="17" t="s">
        <v>16</v>
      </c>
      <c r="L145" s="18">
        <v>0</v>
      </c>
      <c r="M145" s="23">
        <v>0</v>
      </c>
    </row>
    <row r="146" spans="1:13" ht="25.5">
      <c r="A146" s="10">
        <v>142</v>
      </c>
      <c r="B146" s="19" t="s">
        <v>158</v>
      </c>
      <c r="C146" s="82">
        <v>1</v>
      </c>
      <c r="D146" s="83">
        <v>0</v>
      </c>
      <c r="E146" s="82">
        <v>1</v>
      </c>
      <c r="F146" s="83">
        <v>0</v>
      </c>
      <c r="G146" s="82">
        <v>1</v>
      </c>
      <c r="H146" s="84">
        <v>0</v>
      </c>
      <c r="I146" s="86">
        <v>185</v>
      </c>
      <c r="J146" s="95">
        <v>0</v>
      </c>
      <c r="K146" s="17" t="s">
        <v>16</v>
      </c>
      <c r="L146" s="18">
        <v>0</v>
      </c>
      <c r="M146" s="23">
        <v>0</v>
      </c>
    </row>
    <row r="147" spans="1:13" ht="25.5">
      <c r="A147" s="10">
        <v>143</v>
      </c>
      <c r="B147" s="19" t="s">
        <v>159</v>
      </c>
      <c r="C147" s="82">
        <v>0</v>
      </c>
      <c r="D147" s="83">
        <v>0</v>
      </c>
      <c r="E147" s="82">
        <v>0</v>
      </c>
      <c r="F147" s="83">
        <v>0</v>
      </c>
      <c r="G147" s="82">
        <v>0</v>
      </c>
      <c r="H147" s="84">
        <v>0</v>
      </c>
      <c r="I147" s="86">
        <v>185</v>
      </c>
      <c r="J147" s="95">
        <v>0</v>
      </c>
      <c r="K147" s="17" t="s">
        <v>16</v>
      </c>
      <c r="L147" s="18">
        <v>0</v>
      </c>
      <c r="M147" s="23">
        <v>0</v>
      </c>
    </row>
    <row r="148" spans="1:13" ht="25.5">
      <c r="A148" s="10">
        <v>144</v>
      </c>
      <c r="B148" s="19" t="s">
        <v>160</v>
      </c>
      <c r="C148" s="82">
        <v>0</v>
      </c>
      <c r="D148" s="83">
        <v>0</v>
      </c>
      <c r="E148" s="82">
        <v>0</v>
      </c>
      <c r="F148" s="83">
        <v>0</v>
      </c>
      <c r="G148" s="82">
        <v>0</v>
      </c>
      <c r="H148" s="84">
        <v>0</v>
      </c>
      <c r="I148" s="86">
        <v>185</v>
      </c>
      <c r="J148" s="95">
        <v>0</v>
      </c>
      <c r="K148" s="17" t="s">
        <v>16</v>
      </c>
      <c r="L148" s="18">
        <v>0</v>
      </c>
      <c r="M148" s="23">
        <v>0</v>
      </c>
    </row>
    <row r="149" spans="1:13" ht="25.5">
      <c r="A149" s="10">
        <v>145</v>
      </c>
      <c r="B149" s="19" t="s">
        <v>161</v>
      </c>
      <c r="C149" s="82">
        <v>0</v>
      </c>
      <c r="D149" s="83">
        <v>0</v>
      </c>
      <c r="E149" s="82">
        <v>0</v>
      </c>
      <c r="F149" s="83">
        <v>0</v>
      </c>
      <c r="G149" s="82">
        <v>0</v>
      </c>
      <c r="H149" s="84">
        <v>0</v>
      </c>
      <c r="I149" s="86">
        <v>185</v>
      </c>
      <c r="J149" s="95">
        <v>0</v>
      </c>
      <c r="K149" s="17" t="s">
        <v>16</v>
      </c>
      <c r="L149" s="18">
        <v>0</v>
      </c>
      <c r="M149" s="23">
        <v>0</v>
      </c>
    </row>
    <row r="150" spans="1:13" ht="25.5">
      <c r="A150" s="10">
        <v>146</v>
      </c>
      <c r="B150" s="19" t="s">
        <v>162</v>
      </c>
      <c r="C150" s="82">
        <v>1</v>
      </c>
      <c r="D150" s="83">
        <v>0</v>
      </c>
      <c r="E150" s="82">
        <v>1</v>
      </c>
      <c r="F150" s="83">
        <v>0</v>
      </c>
      <c r="G150" s="82">
        <v>1</v>
      </c>
      <c r="H150" s="84">
        <v>0</v>
      </c>
      <c r="I150" s="86">
        <v>120</v>
      </c>
      <c r="J150" s="95">
        <v>0</v>
      </c>
      <c r="K150" s="17" t="s">
        <v>16</v>
      </c>
      <c r="L150" s="18">
        <v>0</v>
      </c>
      <c r="M150" s="23">
        <v>0</v>
      </c>
    </row>
    <row r="151" spans="1:13" ht="25.5">
      <c r="A151" s="10">
        <v>147</v>
      </c>
      <c r="B151" s="19" t="s">
        <v>163</v>
      </c>
      <c r="C151" s="82">
        <v>0</v>
      </c>
      <c r="D151" s="83">
        <v>0</v>
      </c>
      <c r="E151" s="82">
        <v>0</v>
      </c>
      <c r="F151" s="83">
        <v>0</v>
      </c>
      <c r="G151" s="82">
        <v>0</v>
      </c>
      <c r="H151" s="84">
        <v>0</v>
      </c>
      <c r="I151" s="86">
        <v>120</v>
      </c>
      <c r="J151" s="95">
        <v>0</v>
      </c>
      <c r="K151" s="17" t="s">
        <v>16</v>
      </c>
      <c r="L151" s="18">
        <v>0</v>
      </c>
      <c r="M151" s="23">
        <v>0</v>
      </c>
    </row>
    <row r="152" spans="1:13" ht="25.5">
      <c r="A152" s="10">
        <v>148</v>
      </c>
      <c r="B152" s="19" t="s">
        <v>164</v>
      </c>
      <c r="C152" s="82">
        <v>0</v>
      </c>
      <c r="D152" s="83">
        <v>0</v>
      </c>
      <c r="E152" s="82">
        <v>0</v>
      </c>
      <c r="F152" s="83">
        <v>0</v>
      </c>
      <c r="G152" s="82">
        <v>0</v>
      </c>
      <c r="H152" s="84">
        <v>0</v>
      </c>
      <c r="I152" s="86">
        <v>120</v>
      </c>
      <c r="J152" s="95">
        <v>0</v>
      </c>
      <c r="K152" s="17" t="s">
        <v>16</v>
      </c>
      <c r="L152" s="18">
        <v>0</v>
      </c>
      <c r="M152" s="23">
        <v>0</v>
      </c>
    </row>
    <row r="153" spans="1:13" ht="25.5">
      <c r="A153" s="10">
        <v>149</v>
      </c>
      <c r="B153" s="19" t="s">
        <v>165</v>
      </c>
      <c r="C153" s="82">
        <v>0</v>
      </c>
      <c r="D153" s="83">
        <v>0</v>
      </c>
      <c r="E153" s="82">
        <v>0</v>
      </c>
      <c r="F153" s="83">
        <v>0</v>
      </c>
      <c r="G153" s="82">
        <v>0</v>
      </c>
      <c r="H153" s="84">
        <v>0</v>
      </c>
      <c r="I153" s="86">
        <v>120</v>
      </c>
      <c r="J153" s="95">
        <v>0</v>
      </c>
      <c r="K153" s="17" t="s">
        <v>16</v>
      </c>
      <c r="L153" s="18">
        <v>0</v>
      </c>
      <c r="M153" s="23">
        <v>0</v>
      </c>
    </row>
    <row r="154" spans="1:13" ht="25.5">
      <c r="A154" s="10">
        <v>150</v>
      </c>
      <c r="B154" s="19" t="s">
        <v>166</v>
      </c>
      <c r="C154" s="82">
        <v>1</v>
      </c>
      <c r="D154" s="83">
        <v>0</v>
      </c>
      <c r="E154" s="82">
        <v>1</v>
      </c>
      <c r="F154" s="83">
        <v>0</v>
      </c>
      <c r="G154" s="82">
        <v>1</v>
      </c>
      <c r="H154" s="84">
        <v>0</v>
      </c>
      <c r="I154" s="86">
        <v>185</v>
      </c>
      <c r="J154" s="95">
        <v>0</v>
      </c>
      <c r="K154" s="17" t="s">
        <v>16</v>
      </c>
      <c r="L154" s="18">
        <v>0</v>
      </c>
      <c r="M154" s="81">
        <v>0</v>
      </c>
    </row>
    <row r="155" spans="1:13" ht="25.5">
      <c r="A155" s="10">
        <v>151</v>
      </c>
      <c r="B155" s="19" t="s">
        <v>167</v>
      </c>
      <c r="C155" s="82">
        <v>0</v>
      </c>
      <c r="D155" s="83">
        <v>0</v>
      </c>
      <c r="E155" s="82">
        <v>0</v>
      </c>
      <c r="F155" s="83">
        <v>0</v>
      </c>
      <c r="G155" s="82">
        <v>0</v>
      </c>
      <c r="H155" s="84">
        <v>0</v>
      </c>
      <c r="I155" s="86">
        <v>185</v>
      </c>
      <c r="J155" s="95">
        <v>0</v>
      </c>
      <c r="K155" s="17" t="s">
        <v>16</v>
      </c>
      <c r="L155" s="18">
        <v>0</v>
      </c>
      <c r="M155" s="23">
        <v>0</v>
      </c>
    </row>
    <row r="156" spans="1:13" ht="25.5">
      <c r="A156" s="10">
        <v>152</v>
      </c>
      <c r="B156" s="19" t="s">
        <v>168</v>
      </c>
      <c r="C156" s="82">
        <v>0</v>
      </c>
      <c r="D156" s="83">
        <v>0</v>
      </c>
      <c r="E156" s="82">
        <v>0</v>
      </c>
      <c r="F156" s="83">
        <v>0</v>
      </c>
      <c r="G156" s="82">
        <v>0</v>
      </c>
      <c r="H156" s="84">
        <v>0</v>
      </c>
      <c r="I156" s="86">
        <v>185</v>
      </c>
      <c r="J156" s="95">
        <v>0</v>
      </c>
      <c r="K156" s="17" t="s">
        <v>16</v>
      </c>
      <c r="L156" s="18">
        <v>0</v>
      </c>
      <c r="M156" s="23">
        <v>0</v>
      </c>
    </row>
    <row r="157" spans="1:13" ht="25.5">
      <c r="A157" s="10">
        <v>153</v>
      </c>
      <c r="B157" s="19" t="s">
        <v>169</v>
      </c>
      <c r="C157" s="82">
        <v>0</v>
      </c>
      <c r="D157" s="83">
        <v>0</v>
      </c>
      <c r="E157" s="82">
        <v>0</v>
      </c>
      <c r="F157" s="83">
        <v>0</v>
      </c>
      <c r="G157" s="82">
        <v>0</v>
      </c>
      <c r="H157" s="84">
        <v>0</v>
      </c>
      <c r="I157" s="86">
        <v>185</v>
      </c>
      <c r="J157" s="95">
        <v>0</v>
      </c>
      <c r="K157" s="17" t="s">
        <v>16</v>
      </c>
      <c r="L157" s="18">
        <v>0</v>
      </c>
      <c r="M157" s="23">
        <v>0</v>
      </c>
    </row>
    <row r="158" spans="1:13" ht="25.5">
      <c r="A158" s="10">
        <v>154</v>
      </c>
      <c r="B158" s="19" t="s">
        <v>170</v>
      </c>
      <c r="C158" s="82">
        <v>0</v>
      </c>
      <c r="D158" s="83">
        <v>0</v>
      </c>
      <c r="E158" s="82">
        <v>0</v>
      </c>
      <c r="F158" s="83">
        <v>0</v>
      </c>
      <c r="G158" s="82">
        <v>0</v>
      </c>
      <c r="H158" s="84">
        <v>0</v>
      </c>
      <c r="I158" s="86">
        <v>135</v>
      </c>
      <c r="J158" s="95">
        <v>0</v>
      </c>
      <c r="K158" s="17" t="s">
        <v>16</v>
      </c>
      <c r="L158" s="18">
        <v>0</v>
      </c>
      <c r="M158" s="23">
        <v>0</v>
      </c>
    </row>
    <row r="159" spans="1:13" ht="25.5">
      <c r="A159" s="10">
        <v>155</v>
      </c>
      <c r="B159" s="19" t="s">
        <v>171</v>
      </c>
      <c r="C159" s="82">
        <v>0</v>
      </c>
      <c r="D159" s="83">
        <v>0</v>
      </c>
      <c r="E159" s="82">
        <v>0</v>
      </c>
      <c r="F159" s="83">
        <v>0</v>
      </c>
      <c r="G159" s="82">
        <v>0</v>
      </c>
      <c r="H159" s="84">
        <v>0</v>
      </c>
      <c r="I159" s="86">
        <v>90</v>
      </c>
      <c r="J159" s="95">
        <v>0</v>
      </c>
      <c r="K159" s="17" t="s">
        <v>16</v>
      </c>
      <c r="L159" s="18">
        <v>0</v>
      </c>
      <c r="M159" s="23">
        <v>0</v>
      </c>
    </row>
    <row r="160" spans="1:13" ht="25.5">
      <c r="A160" s="10">
        <v>156</v>
      </c>
      <c r="B160" s="19" t="s">
        <v>172</v>
      </c>
      <c r="C160" s="82">
        <v>0</v>
      </c>
      <c r="D160" s="83">
        <v>0</v>
      </c>
      <c r="E160" s="82">
        <v>0</v>
      </c>
      <c r="F160" s="83">
        <v>0</v>
      </c>
      <c r="G160" s="82">
        <v>0</v>
      </c>
      <c r="H160" s="84">
        <v>0</v>
      </c>
      <c r="I160" s="86">
        <v>90</v>
      </c>
      <c r="J160" s="95">
        <v>0</v>
      </c>
      <c r="K160" s="17" t="s">
        <v>16</v>
      </c>
      <c r="L160" s="18">
        <v>0</v>
      </c>
      <c r="M160" s="23">
        <v>0</v>
      </c>
    </row>
    <row r="161" spans="1:13" ht="25.5">
      <c r="A161" s="10">
        <v>157</v>
      </c>
      <c r="B161" s="19" t="s">
        <v>173</v>
      </c>
      <c r="C161" s="82">
        <v>0</v>
      </c>
      <c r="D161" s="83">
        <v>0</v>
      </c>
      <c r="E161" s="82">
        <v>0</v>
      </c>
      <c r="F161" s="83">
        <v>0</v>
      </c>
      <c r="G161" s="82">
        <v>0</v>
      </c>
      <c r="H161" s="84">
        <v>0</v>
      </c>
      <c r="I161" s="86">
        <v>90</v>
      </c>
      <c r="J161" s="95">
        <v>0</v>
      </c>
      <c r="K161" s="17" t="s">
        <v>16</v>
      </c>
      <c r="L161" s="18">
        <v>0</v>
      </c>
      <c r="M161" s="23">
        <v>0</v>
      </c>
    </row>
    <row r="162" spans="1:13" ht="25.5">
      <c r="A162" s="10">
        <v>158</v>
      </c>
      <c r="B162" s="19" t="s">
        <v>174</v>
      </c>
      <c r="C162" s="82">
        <v>0</v>
      </c>
      <c r="D162" s="83">
        <v>0</v>
      </c>
      <c r="E162" s="82">
        <v>0</v>
      </c>
      <c r="F162" s="83">
        <v>0</v>
      </c>
      <c r="G162" s="82">
        <v>0</v>
      </c>
      <c r="H162" s="84">
        <v>0</v>
      </c>
      <c r="I162" s="86">
        <v>90</v>
      </c>
      <c r="J162" s="95">
        <v>0</v>
      </c>
      <c r="K162" s="17" t="s">
        <v>16</v>
      </c>
      <c r="L162" s="18">
        <v>0</v>
      </c>
      <c r="M162" s="23">
        <v>0</v>
      </c>
    </row>
    <row r="163" spans="1:13" ht="25.5">
      <c r="A163" s="10">
        <v>159</v>
      </c>
      <c r="B163" s="19" t="s">
        <v>175</v>
      </c>
      <c r="C163" s="82">
        <v>0</v>
      </c>
      <c r="D163" s="83">
        <v>0</v>
      </c>
      <c r="E163" s="82">
        <v>0</v>
      </c>
      <c r="F163" s="83">
        <v>0</v>
      </c>
      <c r="G163" s="82">
        <v>0</v>
      </c>
      <c r="H163" s="84">
        <v>0</v>
      </c>
      <c r="I163" s="86">
        <v>25</v>
      </c>
      <c r="J163" s="95">
        <v>0</v>
      </c>
      <c r="K163" s="17" t="s">
        <v>16</v>
      </c>
      <c r="L163" s="18">
        <v>0</v>
      </c>
      <c r="M163" s="23">
        <v>0</v>
      </c>
    </row>
    <row r="164" spans="1:13" ht="25.5">
      <c r="A164" s="10">
        <v>160</v>
      </c>
      <c r="B164" s="19" t="s">
        <v>176</v>
      </c>
      <c r="C164" s="82">
        <v>2</v>
      </c>
      <c r="D164" s="83">
        <v>0</v>
      </c>
      <c r="E164" s="82">
        <v>2</v>
      </c>
      <c r="F164" s="83">
        <v>0</v>
      </c>
      <c r="G164" s="82">
        <v>2</v>
      </c>
      <c r="H164" s="84">
        <v>0</v>
      </c>
      <c r="I164" s="86">
        <v>50</v>
      </c>
      <c r="J164" s="95">
        <v>0</v>
      </c>
      <c r="K164" s="17" t="s">
        <v>16</v>
      </c>
      <c r="L164" s="18">
        <v>0</v>
      </c>
      <c r="M164" s="23">
        <v>0</v>
      </c>
    </row>
    <row r="165" spans="1:13" ht="25.5">
      <c r="A165" s="10">
        <v>161</v>
      </c>
      <c r="B165" s="19" t="s">
        <v>177</v>
      </c>
      <c r="C165" s="82">
        <v>0</v>
      </c>
      <c r="D165" s="83">
        <v>0</v>
      </c>
      <c r="E165" s="82">
        <v>0</v>
      </c>
      <c r="F165" s="83">
        <v>0</v>
      </c>
      <c r="G165" s="82">
        <v>0</v>
      </c>
      <c r="H165" s="84">
        <v>0</v>
      </c>
      <c r="I165" s="86">
        <v>50</v>
      </c>
      <c r="J165" s="95">
        <v>0</v>
      </c>
      <c r="K165" s="17" t="s">
        <v>16</v>
      </c>
      <c r="L165" s="18">
        <v>0</v>
      </c>
      <c r="M165" s="23">
        <v>0</v>
      </c>
    </row>
    <row r="166" spans="1:13" ht="25.5">
      <c r="A166" s="10">
        <v>162</v>
      </c>
      <c r="B166" s="19" t="s">
        <v>178</v>
      </c>
      <c r="C166" s="82">
        <v>0</v>
      </c>
      <c r="D166" s="83">
        <v>0</v>
      </c>
      <c r="E166" s="82">
        <v>0</v>
      </c>
      <c r="F166" s="83">
        <v>0</v>
      </c>
      <c r="G166" s="82">
        <v>0</v>
      </c>
      <c r="H166" s="84">
        <v>0</v>
      </c>
      <c r="I166" s="86">
        <v>50</v>
      </c>
      <c r="J166" s="95">
        <v>0</v>
      </c>
      <c r="K166" s="17" t="s">
        <v>16</v>
      </c>
      <c r="L166" s="18">
        <v>0</v>
      </c>
      <c r="M166" s="23">
        <v>0</v>
      </c>
    </row>
    <row r="167" spans="1:13" ht="25.5">
      <c r="A167" s="10">
        <v>163</v>
      </c>
      <c r="B167" s="19" t="s">
        <v>179</v>
      </c>
      <c r="C167" s="82">
        <v>0</v>
      </c>
      <c r="D167" s="83">
        <v>2</v>
      </c>
      <c r="E167" s="82">
        <v>2</v>
      </c>
      <c r="F167" s="83">
        <v>0</v>
      </c>
      <c r="G167" s="82">
        <v>1</v>
      </c>
      <c r="H167" s="84">
        <v>1</v>
      </c>
      <c r="I167" s="86">
        <v>50</v>
      </c>
      <c r="J167" s="95">
        <v>50</v>
      </c>
      <c r="K167" s="17" t="s">
        <v>243</v>
      </c>
      <c r="L167" s="18">
        <v>50</v>
      </c>
      <c r="M167" s="23">
        <v>0</v>
      </c>
    </row>
    <row r="168" spans="1:13" ht="25.5">
      <c r="A168" s="10">
        <v>164</v>
      </c>
      <c r="B168" s="19" t="s">
        <v>180</v>
      </c>
      <c r="C168" s="82">
        <v>2</v>
      </c>
      <c r="D168" s="83">
        <v>0</v>
      </c>
      <c r="E168" s="82">
        <v>2</v>
      </c>
      <c r="F168" s="83">
        <v>0</v>
      </c>
      <c r="G168" s="82">
        <v>2</v>
      </c>
      <c r="H168" s="84">
        <v>0</v>
      </c>
      <c r="I168" s="86">
        <v>55</v>
      </c>
      <c r="J168" s="95">
        <v>0</v>
      </c>
      <c r="K168" s="17" t="s">
        <v>16</v>
      </c>
      <c r="L168" s="18">
        <v>0</v>
      </c>
      <c r="M168" s="23">
        <v>0</v>
      </c>
    </row>
    <row r="169" spans="1:13" ht="25.5">
      <c r="A169" s="10">
        <v>165</v>
      </c>
      <c r="B169" s="19" t="s">
        <v>181</v>
      </c>
      <c r="C169" s="82">
        <v>13</v>
      </c>
      <c r="D169" s="83">
        <v>0</v>
      </c>
      <c r="E169" s="82">
        <v>13</v>
      </c>
      <c r="F169" s="83">
        <v>0</v>
      </c>
      <c r="G169" s="82">
        <v>13</v>
      </c>
      <c r="H169" s="84">
        <v>0</v>
      </c>
      <c r="I169" s="86">
        <v>85</v>
      </c>
      <c r="J169" s="95">
        <v>0</v>
      </c>
      <c r="K169" s="17" t="s">
        <v>16</v>
      </c>
      <c r="L169" s="18">
        <v>0</v>
      </c>
      <c r="M169" s="23">
        <v>0</v>
      </c>
    </row>
    <row r="170" spans="1:13" ht="25.5">
      <c r="A170" s="10">
        <v>166</v>
      </c>
      <c r="B170" s="19" t="s">
        <v>182</v>
      </c>
      <c r="C170" s="82">
        <v>0</v>
      </c>
      <c r="D170" s="83">
        <v>0</v>
      </c>
      <c r="E170" s="82">
        <v>0</v>
      </c>
      <c r="F170" s="83">
        <v>0</v>
      </c>
      <c r="G170" s="82">
        <v>0</v>
      </c>
      <c r="H170" s="84">
        <v>0</v>
      </c>
      <c r="I170" s="86">
        <v>80</v>
      </c>
      <c r="J170" s="95">
        <v>0</v>
      </c>
      <c r="K170" s="17" t="s">
        <v>16</v>
      </c>
      <c r="L170" s="18">
        <v>0</v>
      </c>
      <c r="M170" s="23">
        <v>0</v>
      </c>
    </row>
    <row r="171" spans="1:13" ht="25.5">
      <c r="A171" s="10">
        <v>167</v>
      </c>
      <c r="B171" s="19" t="s">
        <v>183</v>
      </c>
      <c r="C171" s="82">
        <v>0</v>
      </c>
      <c r="D171" s="83">
        <v>0</v>
      </c>
      <c r="E171" s="82">
        <v>0</v>
      </c>
      <c r="F171" s="83">
        <v>0</v>
      </c>
      <c r="G171" s="82">
        <v>0</v>
      </c>
      <c r="H171" s="84">
        <v>0</v>
      </c>
      <c r="I171" s="86">
        <v>40</v>
      </c>
      <c r="J171" s="95">
        <v>0</v>
      </c>
      <c r="K171" s="17" t="s">
        <v>16</v>
      </c>
      <c r="L171" s="18">
        <v>0</v>
      </c>
      <c r="M171" s="23">
        <v>0</v>
      </c>
    </row>
    <row r="172" spans="1:13" ht="25.5">
      <c r="A172" s="10">
        <v>168</v>
      </c>
      <c r="B172" s="19" t="s">
        <v>184</v>
      </c>
      <c r="C172" s="82">
        <v>0</v>
      </c>
      <c r="D172" s="83">
        <v>0</v>
      </c>
      <c r="E172" s="82">
        <v>0</v>
      </c>
      <c r="F172" s="83">
        <v>0</v>
      </c>
      <c r="G172" s="82">
        <v>0</v>
      </c>
      <c r="H172" s="84">
        <v>0</v>
      </c>
      <c r="I172" s="86">
        <v>120</v>
      </c>
      <c r="J172" s="95">
        <v>0</v>
      </c>
      <c r="K172" s="17" t="s">
        <v>16</v>
      </c>
      <c r="L172" s="18">
        <v>0</v>
      </c>
      <c r="M172" s="23">
        <v>0</v>
      </c>
    </row>
    <row r="173" spans="1:13" ht="25.5">
      <c r="A173" s="10">
        <v>169</v>
      </c>
      <c r="B173" s="19" t="s">
        <v>185</v>
      </c>
      <c r="C173" s="82">
        <v>0</v>
      </c>
      <c r="D173" s="83">
        <v>0</v>
      </c>
      <c r="E173" s="82">
        <v>0</v>
      </c>
      <c r="F173" s="83">
        <v>0</v>
      </c>
      <c r="G173" s="82">
        <v>0</v>
      </c>
      <c r="H173" s="84">
        <v>0</v>
      </c>
      <c r="I173" s="86">
        <v>120</v>
      </c>
      <c r="J173" s="95">
        <v>0</v>
      </c>
      <c r="K173" s="17" t="s">
        <v>16</v>
      </c>
      <c r="L173" s="18">
        <v>0</v>
      </c>
      <c r="M173" s="23">
        <v>0</v>
      </c>
    </row>
    <row r="174" spans="1:13" ht="25.5">
      <c r="A174" s="10">
        <v>170</v>
      </c>
      <c r="B174" s="19" t="s">
        <v>186</v>
      </c>
      <c r="C174" s="82">
        <v>0</v>
      </c>
      <c r="D174" s="83">
        <v>0</v>
      </c>
      <c r="E174" s="82">
        <v>0</v>
      </c>
      <c r="F174" s="83">
        <v>0</v>
      </c>
      <c r="G174" s="82">
        <v>0</v>
      </c>
      <c r="H174" s="84">
        <v>0</v>
      </c>
      <c r="I174" s="86">
        <v>55</v>
      </c>
      <c r="J174" s="95">
        <v>0</v>
      </c>
      <c r="K174" s="17" t="s">
        <v>16</v>
      </c>
      <c r="L174" s="18">
        <v>0</v>
      </c>
      <c r="M174" s="23">
        <v>0</v>
      </c>
    </row>
    <row r="175" spans="1:13" ht="25.5">
      <c r="A175" s="10">
        <v>171</v>
      </c>
      <c r="B175" s="19" t="s">
        <v>187</v>
      </c>
      <c r="C175" s="82">
        <v>0</v>
      </c>
      <c r="D175" s="83">
        <v>0</v>
      </c>
      <c r="E175" s="82">
        <v>0</v>
      </c>
      <c r="F175" s="83">
        <v>0</v>
      </c>
      <c r="G175" s="82">
        <v>0</v>
      </c>
      <c r="H175" s="84">
        <v>0</v>
      </c>
      <c r="I175" s="86">
        <v>50</v>
      </c>
      <c r="J175" s="95">
        <v>0</v>
      </c>
      <c r="K175" s="17" t="s">
        <v>16</v>
      </c>
      <c r="L175" s="18">
        <v>0</v>
      </c>
      <c r="M175" s="23">
        <v>0</v>
      </c>
    </row>
    <row r="176" spans="1:13" ht="25.5">
      <c r="A176" s="10">
        <v>172</v>
      </c>
      <c r="B176" s="19" t="s">
        <v>188</v>
      </c>
      <c r="C176" s="82">
        <v>0</v>
      </c>
      <c r="D176" s="83">
        <v>4</v>
      </c>
      <c r="E176" s="82">
        <v>4</v>
      </c>
      <c r="F176" s="83">
        <v>0</v>
      </c>
      <c r="G176" s="82">
        <v>3</v>
      </c>
      <c r="H176" s="84">
        <v>1</v>
      </c>
      <c r="I176" s="86">
        <v>50</v>
      </c>
      <c r="J176" s="95">
        <v>50</v>
      </c>
      <c r="K176" s="17" t="s">
        <v>16</v>
      </c>
      <c r="L176" s="18">
        <v>0</v>
      </c>
      <c r="M176" s="23">
        <v>50</v>
      </c>
    </row>
    <row r="177" spans="1:13" ht="25.5">
      <c r="A177" s="10">
        <v>173</v>
      </c>
      <c r="B177" s="19" t="s">
        <v>189</v>
      </c>
      <c r="C177" s="82">
        <v>0</v>
      </c>
      <c r="D177" s="83">
        <v>0</v>
      </c>
      <c r="E177" s="82">
        <v>0</v>
      </c>
      <c r="F177" s="83">
        <v>0</v>
      </c>
      <c r="G177" s="82">
        <v>0</v>
      </c>
      <c r="H177" s="84">
        <v>0</v>
      </c>
      <c r="I177" s="86">
        <v>120</v>
      </c>
      <c r="J177" s="95">
        <v>0</v>
      </c>
      <c r="K177" s="17" t="s">
        <v>16</v>
      </c>
      <c r="L177" s="18">
        <v>0</v>
      </c>
      <c r="M177" s="23">
        <v>0</v>
      </c>
    </row>
    <row r="178" spans="1:13" ht="25.5">
      <c r="A178" s="10">
        <v>174</v>
      </c>
      <c r="B178" s="19" t="s">
        <v>190</v>
      </c>
      <c r="C178" s="82">
        <v>2</v>
      </c>
      <c r="D178" s="83">
        <v>0</v>
      </c>
      <c r="E178" s="82">
        <v>2</v>
      </c>
      <c r="F178" s="83">
        <v>0</v>
      </c>
      <c r="G178" s="82">
        <v>2</v>
      </c>
      <c r="H178" s="84">
        <v>0</v>
      </c>
      <c r="I178" s="86">
        <v>120</v>
      </c>
      <c r="J178" s="95">
        <v>0</v>
      </c>
      <c r="K178" s="17" t="s">
        <v>16</v>
      </c>
      <c r="L178" s="18">
        <v>0</v>
      </c>
      <c r="M178" s="23">
        <v>0</v>
      </c>
    </row>
    <row r="179" spans="1:13" ht="25.5">
      <c r="A179" s="10">
        <v>175</v>
      </c>
      <c r="B179" s="19" t="s">
        <v>191</v>
      </c>
      <c r="C179" s="82">
        <v>44</v>
      </c>
      <c r="D179" s="83">
        <v>0</v>
      </c>
      <c r="E179" s="82">
        <v>44</v>
      </c>
      <c r="F179" s="83">
        <v>0</v>
      </c>
      <c r="G179" s="82">
        <v>44</v>
      </c>
      <c r="H179" s="84">
        <v>0</v>
      </c>
      <c r="I179" s="86">
        <v>10</v>
      </c>
      <c r="J179" s="95">
        <v>0</v>
      </c>
      <c r="K179" s="17" t="s">
        <v>16</v>
      </c>
      <c r="L179" s="18">
        <v>0</v>
      </c>
      <c r="M179" s="23">
        <v>0</v>
      </c>
    </row>
    <row r="180" spans="1:13" ht="25.5">
      <c r="A180" s="10">
        <v>176</v>
      </c>
      <c r="B180" s="19" t="s">
        <v>192</v>
      </c>
      <c r="C180" s="82">
        <v>4</v>
      </c>
      <c r="D180" s="83">
        <v>0</v>
      </c>
      <c r="E180" s="82">
        <v>4</v>
      </c>
      <c r="F180" s="83">
        <v>0</v>
      </c>
      <c r="G180" s="82">
        <v>4</v>
      </c>
      <c r="H180" s="84">
        <v>0</v>
      </c>
      <c r="I180" s="86">
        <v>35</v>
      </c>
      <c r="J180" s="95">
        <v>0</v>
      </c>
      <c r="K180" s="17" t="s">
        <v>16</v>
      </c>
      <c r="L180" s="18">
        <v>0</v>
      </c>
      <c r="M180" s="23">
        <v>0</v>
      </c>
    </row>
    <row r="181" spans="1:13" ht="25.5">
      <c r="A181" s="10">
        <v>177</v>
      </c>
      <c r="B181" s="19" t="s">
        <v>193</v>
      </c>
      <c r="C181" s="82">
        <v>0</v>
      </c>
      <c r="D181" s="83">
        <v>0</v>
      </c>
      <c r="E181" s="82">
        <v>0</v>
      </c>
      <c r="F181" s="83">
        <v>0</v>
      </c>
      <c r="G181" s="82">
        <v>0</v>
      </c>
      <c r="H181" s="84">
        <v>0</v>
      </c>
      <c r="I181" s="86">
        <v>10</v>
      </c>
      <c r="J181" s="95">
        <v>0</v>
      </c>
      <c r="K181" s="17" t="s">
        <v>16</v>
      </c>
      <c r="L181" s="18">
        <v>0</v>
      </c>
      <c r="M181" s="23">
        <v>0</v>
      </c>
    </row>
    <row r="182" spans="1:13" ht="25.5">
      <c r="A182" s="10">
        <v>178</v>
      </c>
      <c r="B182" s="19" t="s">
        <v>194</v>
      </c>
      <c r="C182" s="82">
        <v>0</v>
      </c>
      <c r="D182" s="83">
        <v>0</v>
      </c>
      <c r="E182" s="82">
        <v>0</v>
      </c>
      <c r="F182" s="83">
        <v>0</v>
      </c>
      <c r="G182" s="82">
        <v>0</v>
      </c>
      <c r="H182" s="84">
        <v>0</v>
      </c>
      <c r="I182" s="86">
        <v>10</v>
      </c>
      <c r="J182" s="95">
        <v>0</v>
      </c>
      <c r="K182" s="17" t="s">
        <v>16</v>
      </c>
      <c r="L182" s="18">
        <v>0</v>
      </c>
      <c r="M182" s="23">
        <v>0</v>
      </c>
    </row>
    <row r="183" spans="1:13" ht="25.5">
      <c r="A183" s="10">
        <v>179</v>
      </c>
      <c r="B183" s="19" t="s">
        <v>195</v>
      </c>
      <c r="C183" s="82">
        <v>0</v>
      </c>
      <c r="D183" s="83">
        <v>0</v>
      </c>
      <c r="E183" s="82">
        <v>0</v>
      </c>
      <c r="F183" s="83">
        <v>0</v>
      </c>
      <c r="G183" s="82">
        <v>0</v>
      </c>
      <c r="H183" s="84">
        <v>0</v>
      </c>
      <c r="I183" s="86">
        <v>10</v>
      </c>
      <c r="J183" s="95">
        <v>0</v>
      </c>
      <c r="K183" s="17" t="s">
        <v>16</v>
      </c>
      <c r="L183" s="18">
        <v>0</v>
      </c>
      <c r="M183" s="23">
        <v>0</v>
      </c>
    </row>
    <row r="184" spans="1:13" ht="25.5">
      <c r="A184" s="10">
        <v>180</v>
      </c>
      <c r="B184" s="19" t="s">
        <v>196</v>
      </c>
      <c r="C184" s="82">
        <v>0</v>
      </c>
      <c r="D184" s="83">
        <v>0</v>
      </c>
      <c r="E184" s="82">
        <v>0</v>
      </c>
      <c r="F184" s="83">
        <v>0</v>
      </c>
      <c r="G184" s="82">
        <v>0</v>
      </c>
      <c r="H184" s="84">
        <v>0</v>
      </c>
      <c r="I184" s="86">
        <v>10</v>
      </c>
      <c r="J184" s="95">
        <v>0</v>
      </c>
      <c r="K184" s="17" t="s">
        <v>16</v>
      </c>
      <c r="L184" s="18">
        <v>0</v>
      </c>
      <c r="M184" s="23">
        <v>0</v>
      </c>
    </row>
    <row r="185" spans="1:13" ht="25.5">
      <c r="A185" s="10">
        <v>181</v>
      </c>
      <c r="B185" s="19" t="s">
        <v>197</v>
      </c>
      <c r="C185" s="82">
        <v>0</v>
      </c>
      <c r="D185" s="83">
        <v>0</v>
      </c>
      <c r="E185" s="82">
        <v>0</v>
      </c>
      <c r="F185" s="83">
        <v>0</v>
      </c>
      <c r="G185" s="82">
        <v>0</v>
      </c>
      <c r="H185" s="84">
        <v>0</v>
      </c>
      <c r="I185" s="86">
        <v>10</v>
      </c>
      <c r="J185" s="95">
        <v>0</v>
      </c>
      <c r="K185" s="17" t="s">
        <v>16</v>
      </c>
      <c r="L185" s="18">
        <v>0</v>
      </c>
      <c r="M185" s="23">
        <v>0</v>
      </c>
    </row>
    <row r="186" spans="1:13" ht="25.5">
      <c r="A186" s="10">
        <v>182</v>
      </c>
      <c r="B186" s="19" t="s">
        <v>198</v>
      </c>
      <c r="C186" s="82">
        <v>0</v>
      </c>
      <c r="D186" s="83">
        <v>0</v>
      </c>
      <c r="E186" s="82">
        <v>0</v>
      </c>
      <c r="F186" s="83">
        <v>0</v>
      </c>
      <c r="G186" s="82">
        <v>0</v>
      </c>
      <c r="H186" s="84">
        <v>0</v>
      </c>
      <c r="I186" s="86">
        <v>40</v>
      </c>
      <c r="J186" s="95">
        <v>0</v>
      </c>
      <c r="K186" s="17" t="s">
        <v>16</v>
      </c>
      <c r="L186" s="18">
        <v>0</v>
      </c>
      <c r="M186" s="23">
        <v>0</v>
      </c>
    </row>
    <row r="187" spans="1:13" ht="25.5">
      <c r="A187" s="10">
        <v>183</v>
      </c>
      <c r="B187" s="19" t="s">
        <v>199</v>
      </c>
      <c r="C187" s="82">
        <v>0</v>
      </c>
      <c r="D187" s="83">
        <v>0</v>
      </c>
      <c r="E187" s="82">
        <v>0</v>
      </c>
      <c r="F187" s="83">
        <v>0</v>
      </c>
      <c r="G187" s="82">
        <v>0</v>
      </c>
      <c r="H187" s="84">
        <v>0</v>
      </c>
      <c r="I187" s="15">
        <v>150</v>
      </c>
      <c r="J187" s="95">
        <v>0</v>
      </c>
      <c r="K187" s="17" t="s">
        <v>16</v>
      </c>
      <c r="L187" s="18">
        <v>0</v>
      </c>
      <c r="M187" s="23">
        <v>0</v>
      </c>
    </row>
    <row r="188" spans="1:13" ht="25.5">
      <c r="A188" s="10">
        <v>184</v>
      </c>
      <c r="B188" s="19" t="s">
        <v>200</v>
      </c>
      <c r="C188" s="82">
        <v>0</v>
      </c>
      <c r="D188" s="83">
        <v>0</v>
      </c>
      <c r="E188" s="82">
        <v>0</v>
      </c>
      <c r="F188" s="83">
        <v>0</v>
      </c>
      <c r="G188" s="82">
        <v>0</v>
      </c>
      <c r="H188" s="84">
        <v>0</v>
      </c>
      <c r="I188" s="15">
        <v>150</v>
      </c>
      <c r="J188" s="95">
        <v>0</v>
      </c>
      <c r="K188" s="17" t="s">
        <v>16</v>
      </c>
      <c r="L188" s="18">
        <v>0</v>
      </c>
      <c r="M188" s="23">
        <v>0</v>
      </c>
    </row>
    <row r="189" spans="1:13" ht="25.5">
      <c r="A189" s="10">
        <v>185</v>
      </c>
      <c r="B189" s="19" t="s">
        <v>201</v>
      </c>
      <c r="C189" s="82">
        <v>0</v>
      </c>
      <c r="D189" s="83">
        <v>0</v>
      </c>
      <c r="E189" s="82">
        <v>0</v>
      </c>
      <c r="F189" s="83">
        <v>0</v>
      </c>
      <c r="G189" s="82">
        <v>0</v>
      </c>
      <c r="H189" s="84">
        <v>0</v>
      </c>
      <c r="I189" s="15">
        <v>150</v>
      </c>
      <c r="J189" s="95">
        <v>0</v>
      </c>
      <c r="K189" s="17" t="s">
        <v>16</v>
      </c>
      <c r="L189" s="18">
        <v>0</v>
      </c>
      <c r="M189" s="23">
        <v>0</v>
      </c>
    </row>
    <row r="190" spans="1:13" ht="25.5">
      <c r="A190" s="10">
        <v>186</v>
      </c>
      <c r="B190" s="19" t="s">
        <v>239</v>
      </c>
      <c r="C190" s="82">
        <v>0</v>
      </c>
      <c r="D190" s="83">
        <v>0</v>
      </c>
      <c r="E190" s="82">
        <v>0</v>
      </c>
      <c r="F190" s="83">
        <v>0</v>
      </c>
      <c r="G190" s="82">
        <v>0</v>
      </c>
      <c r="H190" s="84">
        <v>0</v>
      </c>
      <c r="I190" s="15">
        <v>55</v>
      </c>
      <c r="J190" s="95">
        <v>0</v>
      </c>
      <c r="K190" s="17" t="s">
        <v>16</v>
      </c>
      <c r="L190" s="18">
        <v>0</v>
      </c>
      <c r="M190" s="23">
        <v>0</v>
      </c>
    </row>
    <row r="191" spans="1:13" ht="25.5">
      <c r="A191" s="10">
        <v>187</v>
      </c>
      <c r="B191" s="19" t="s">
        <v>241</v>
      </c>
      <c r="C191" s="82">
        <v>0</v>
      </c>
      <c r="D191" s="83">
        <v>0</v>
      </c>
      <c r="E191" s="82">
        <v>0</v>
      </c>
      <c r="F191" s="83">
        <v>0</v>
      </c>
      <c r="G191" s="82">
        <v>0</v>
      </c>
      <c r="H191" s="84">
        <v>0</v>
      </c>
      <c r="I191" s="15">
        <v>25</v>
      </c>
      <c r="J191" s="95">
        <v>0</v>
      </c>
      <c r="K191" s="17" t="s">
        <v>16</v>
      </c>
      <c r="L191" s="18">
        <v>0</v>
      </c>
      <c r="M191" s="23">
        <v>0</v>
      </c>
    </row>
    <row r="192" spans="1:13" ht="25.5">
      <c r="A192" s="10">
        <v>188</v>
      </c>
      <c r="B192" s="19"/>
      <c r="C192" s="82">
        <v>0</v>
      </c>
      <c r="D192" s="83">
        <v>0</v>
      </c>
      <c r="E192" s="82">
        <v>0</v>
      </c>
      <c r="F192" s="83">
        <v>0</v>
      </c>
      <c r="G192" s="82">
        <v>0</v>
      </c>
      <c r="H192" s="84">
        <v>0</v>
      </c>
      <c r="I192" s="15">
        <v>0</v>
      </c>
      <c r="J192" s="95">
        <v>0</v>
      </c>
      <c r="K192" s="17" t="s">
        <v>16</v>
      </c>
      <c r="L192" s="18">
        <v>0</v>
      </c>
      <c r="M192" s="23">
        <v>0</v>
      </c>
    </row>
    <row r="193" spans="1:26" ht="25.5">
      <c r="A193" s="10">
        <v>189</v>
      </c>
      <c r="B193" s="19"/>
      <c r="C193" s="82">
        <v>0</v>
      </c>
      <c r="D193" s="83">
        <v>0</v>
      </c>
      <c r="E193" s="82">
        <v>0</v>
      </c>
      <c r="F193" s="83">
        <v>0</v>
      </c>
      <c r="G193" s="82">
        <v>0</v>
      </c>
      <c r="H193" s="84">
        <v>0</v>
      </c>
      <c r="I193" s="15">
        <v>0</v>
      </c>
      <c r="J193" s="95">
        <v>0</v>
      </c>
      <c r="K193" s="17" t="s">
        <v>16</v>
      </c>
      <c r="L193" s="18">
        <v>0</v>
      </c>
      <c r="M193" s="23">
        <v>0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25.5">
      <c r="A194" s="10">
        <v>190</v>
      </c>
      <c r="B194" s="19"/>
      <c r="C194" s="82">
        <v>0</v>
      </c>
      <c r="D194" s="83">
        <v>0</v>
      </c>
      <c r="E194" s="82">
        <v>0</v>
      </c>
      <c r="F194" s="83">
        <v>0</v>
      </c>
      <c r="G194" s="82">
        <v>0</v>
      </c>
      <c r="H194" s="84">
        <v>0</v>
      </c>
      <c r="I194" s="15">
        <v>0</v>
      </c>
      <c r="J194" s="95">
        <v>0</v>
      </c>
      <c r="K194" s="17" t="s">
        <v>16</v>
      </c>
      <c r="L194" s="18">
        <v>0</v>
      </c>
      <c r="M194" s="23">
        <v>0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25.5">
      <c r="A195" s="10">
        <v>191</v>
      </c>
      <c r="B195" s="19"/>
      <c r="C195" s="82">
        <v>0</v>
      </c>
      <c r="D195" s="83">
        <v>0</v>
      </c>
      <c r="E195" s="82">
        <v>0</v>
      </c>
      <c r="F195" s="83">
        <v>0</v>
      </c>
      <c r="G195" s="82">
        <v>0</v>
      </c>
      <c r="H195" s="84">
        <v>0</v>
      </c>
      <c r="I195" s="15">
        <v>0</v>
      </c>
      <c r="J195" s="95">
        <v>0</v>
      </c>
      <c r="K195" s="17" t="s">
        <v>16</v>
      </c>
      <c r="L195" s="18">
        <v>0</v>
      </c>
      <c r="M195" s="23">
        <v>0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25.5">
      <c r="A196" s="10">
        <v>192</v>
      </c>
      <c r="B196" s="19"/>
      <c r="C196" s="82">
        <v>0</v>
      </c>
      <c r="D196" s="83">
        <v>0</v>
      </c>
      <c r="E196" s="82">
        <v>0</v>
      </c>
      <c r="F196" s="83">
        <v>0</v>
      </c>
      <c r="G196" s="82">
        <v>0</v>
      </c>
      <c r="H196" s="84">
        <v>0</v>
      </c>
      <c r="I196" s="15">
        <v>0</v>
      </c>
      <c r="J196" s="95">
        <v>0</v>
      </c>
      <c r="K196" s="17" t="s">
        <v>16</v>
      </c>
      <c r="L196" s="18">
        <v>0</v>
      </c>
      <c r="M196" s="23">
        <v>0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25.5">
      <c r="A197" s="10">
        <v>193</v>
      </c>
      <c r="B197" s="19"/>
      <c r="C197" s="82">
        <v>0</v>
      </c>
      <c r="D197" s="83">
        <v>0</v>
      </c>
      <c r="E197" s="82">
        <v>0</v>
      </c>
      <c r="F197" s="83">
        <v>0</v>
      </c>
      <c r="G197" s="82">
        <v>0</v>
      </c>
      <c r="H197" s="84">
        <v>0</v>
      </c>
      <c r="I197" s="15">
        <v>0</v>
      </c>
      <c r="J197" s="95">
        <v>0</v>
      </c>
      <c r="K197" s="17" t="s">
        <v>16</v>
      </c>
      <c r="L197" s="18">
        <v>0</v>
      </c>
      <c r="M197" s="23">
        <v>0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25.5">
      <c r="A198" s="10">
        <v>194</v>
      </c>
      <c r="B198" s="19"/>
      <c r="C198" s="82">
        <v>0</v>
      </c>
      <c r="D198" s="83">
        <v>0</v>
      </c>
      <c r="E198" s="82">
        <v>0</v>
      </c>
      <c r="F198" s="83">
        <v>0</v>
      </c>
      <c r="G198" s="82">
        <v>0</v>
      </c>
      <c r="H198" s="84">
        <v>0</v>
      </c>
      <c r="I198" s="15">
        <v>0</v>
      </c>
      <c r="J198" s="95">
        <v>0</v>
      </c>
      <c r="K198" s="17" t="s">
        <v>16</v>
      </c>
      <c r="L198" s="18">
        <v>0</v>
      </c>
      <c r="M198" s="23">
        <v>0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25.5">
      <c r="A199" s="10">
        <v>195</v>
      </c>
      <c r="B199" s="19"/>
      <c r="C199" s="82">
        <v>0</v>
      </c>
      <c r="D199" s="83">
        <v>0</v>
      </c>
      <c r="E199" s="82">
        <v>0</v>
      </c>
      <c r="F199" s="83">
        <v>0</v>
      </c>
      <c r="G199" s="82">
        <v>0</v>
      </c>
      <c r="H199" s="84">
        <v>0</v>
      </c>
      <c r="I199" s="15">
        <v>0</v>
      </c>
      <c r="J199" s="95">
        <v>0</v>
      </c>
      <c r="K199" s="17" t="s">
        <v>16</v>
      </c>
      <c r="L199" s="18">
        <v>0</v>
      </c>
      <c r="M199" s="23">
        <v>0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ht="25.5">
      <c r="A200" s="10">
        <v>196</v>
      </c>
      <c r="B200" s="19"/>
      <c r="C200" s="82">
        <v>0</v>
      </c>
      <c r="D200" s="83">
        <v>0</v>
      </c>
      <c r="E200" s="82">
        <v>0</v>
      </c>
      <c r="F200" s="83">
        <v>0</v>
      </c>
      <c r="G200" s="82">
        <v>0</v>
      </c>
      <c r="H200" s="84">
        <v>0</v>
      </c>
      <c r="I200" s="15">
        <v>0</v>
      </c>
      <c r="J200" s="95">
        <v>0</v>
      </c>
      <c r="K200" s="17" t="s">
        <v>16</v>
      </c>
      <c r="L200" s="18">
        <v>0</v>
      </c>
      <c r="M200" s="23">
        <v>0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 ht="25.5">
      <c r="A201" s="10">
        <v>197</v>
      </c>
      <c r="B201" s="19"/>
      <c r="C201" s="82">
        <v>0</v>
      </c>
      <c r="D201" s="83">
        <v>0</v>
      </c>
      <c r="E201" s="82">
        <v>0</v>
      </c>
      <c r="F201" s="83">
        <v>0</v>
      </c>
      <c r="G201" s="82">
        <v>0</v>
      </c>
      <c r="H201" s="84">
        <v>0</v>
      </c>
      <c r="I201" s="15">
        <v>0</v>
      </c>
      <c r="J201" s="95">
        <v>0</v>
      </c>
      <c r="K201" s="17" t="s">
        <v>16</v>
      </c>
      <c r="L201" s="18">
        <v>0</v>
      </c>
      <c r="M201" s="23">
        <v>0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 ht="25.5">
      <c r="A202" s="10">
        <v>198</v>
      </c>
      <c r="B202" s="19"/>
      <c r="C202" s="82">
        <v>0</v>
      </c>
      <c r="D202" s="83">
        <v>0</v>
      </c>
      <c r="E202" s="82">
        <v>0</v>
      </c>
      <c r="F202" s="83">
        <v>0</v>
      </c>
      <c r="G202" s="82">
        <v>0</v>
      </c>
      <c r="H202" s="84">
        <v>0</v>
      </c>
      <c r="I202" s="15">
        <v>0</v>
      </c>
      <c r="J202" s="95">
        <v>0</v>
      </c>
      <c r="K202" s="17" t="s">
        <v>16</v>
      </c>
      <c r="L202" s="18">
        <v>0</v>
      </c>
      <c r="M202" s="23">
        <v>0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ht="25.5">
      <c r="A203" s="10">
        <v>199</v>
      </c>
      <c r="B203" s="19"/>
      <c r="C203" s="82">
        <v>0</v>
      </c>
      <c r="D203" s="83">
        <v>0</v>
      </c>
      <c r="E203" s="82">
        <v>0</v>
      </c>
      <c r="F203" s="83">
        <v>0</v>
      </c>
      <c r="G203" s="82">
        <v>0</v>
      </c>
      <c r="H203" s="84">
        <v>0</v>
      </c>
      <c r="I203" s="15">
        <v>0</v>
      </c>
      <c r="J203" s="95">
        <v>0</v>
      </c>
      <c r="K203" s="17" t="s">
        <v>16</v>
      </c>
      <c r="L203" s="18">
        <v>0</v>
      </c>
      <c r="M203" s="23">
        <v>0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 ht="25.5">
      <c r="A204" s="10">
        <v>200</v>
      </c>
      <c r="B204" s="19"/>
      <c r="C204" s="82">
        <v>0</v>
      </c>
      <c r="D204" s="83">
        <v>0</v>
      </c>
      <c r="E204" s="82">
        <v>0</v>
      </c>
      <c r="F204" s="83">
        <v>0</v>
      </c>
      <c r="G204" s="82">
        <v>0</v>
      </c>
      <c r="H204" s="84">
        <v>0</v>
      </c>
      <c r="I204" s="15">
        <v>0</v>
      </c>
      <c r="J204" s="95">
        <v>0</v>
      </c>
      <c r="K204" s="17" t="s">
        <v>16</v>
      </c>
      <c r="L204" s="18">
        <v>0</v>
      </c>
      <c r="M204" s="23">
        <v>0</v>
      </c>
      <c r="N204" s="23">
        <v>2800</v>
      </c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 ht="25.5">
      <c r="A205" s="1"/>
      <c r="B205"/>
      <c r="C205" s="88"/>
      <c r="D205" s="89"/>
      <c r="E205" s="88"/>
      <c r="F205" s="89"/>
      <c r="G205" s="88"/>
      <c r="H205" s="88"/>
      <c r="I205" s="90"/>
      <c r="J205" s="91"/>
      <c r="K205" s="27"/>
      <c r="L205" s="18">
        <v>0</v>
      </c>
      <c r="M205" s="148" t="s">
        <v>213</v>
      </c>
      <c r="N205" s="148"/>
      <c r="O205"/>
      <c r="P205"/>
      <c r="Q205"/>
      <c r="R205"/>
      <c r="S205"/>
      <c r="T205"/>
      <c r="U205"/>
      <c r="V205"/>
      <c r="W205"/>
      <c r="X205"/>
      <c r="Y205"/>
      <c r="Z205" s="29"/>
    </row>
    <row r="206" spans="1:26" ht="25.5" customHeight="1">
      <c r="A206" s="1"/>
      <c r="B206"/>
      <c r="C206" s="88"/>
      <c r="D206" s="89"/>
      <c r="E206" s="88"/>
      <c r="F206" s="89"/>
      <c r="G206" s="88"/>
      <c r="H206" s="152" t="s">
        <v>212</v>
      </c>
      <c r="I206" s="153"/>
      <c r="J206" s="92">
        <v>0</v>
      </c>
      <c r="K206" s="27"/>
      <c r="L206" s="29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29"/>
    </row>
    <row r="207" spans="1:26" ht="25.5">
      <c r="A207" s="1"/>
      <c r="B207"/>
      <c r="C207" s="93"/>
      <c r="D207"/>
      <c r="E207" s="93"/>
      <c r="F207"/>
      <c r="G207" s="93"/>
      <c r="H207" s="32"/>
      <c r="I207" s="154" t="s">
        <v>202</v>
      </c>
      <c r="J207" s="154"/>
      <c r="K207" s="33">
        <v>3145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1:26" ht="25.5">
      <c r="A208" s="1"/>
      <c r="B208"/>
      <c r="C208" s="93"/>
      <c r="D208"/>
      <c r="E208" s="93"/>
      <c r="F208"/>
      <c r="G208" s="93"/>
      <c r="H208"/>
      <c r="I208" s="133" t="s">
        <v>203</v>
      </c>
      <c r="J208" s="134"/>
      <c r="K208" s="36">
        <v>15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1:14" ht="25.5">
      <c r="A209" s="1"/>
      <c r="B209"/>
      <c r="C209" s="93"/>
      <c r="D209"/>
      <c r="E209" s="93"/>
      <c r="F209"/>
      <c r="G209" s="93"/>
      <c r="H209"/>
      <c r="I209" s="34" t="s">
        <v>204</v>
      </c>
      <c r="J209" s="35"/>
      <c r="K209" s="36">
        <v>550</v>
      </c>
      <c r="L209" s="2">
        <v>100</v>
      </c>
      <c r="M209" s="2">
        <v>280</v>
      </c>
      <c r="N209" s="2">
        <v>170</v>
      </c>
    </row>
    <row r="210" spans="1:14" ht="25.5">
      <c r="A210" s="1"/>
      <c r="B210"/>
      <c r="C210" s="93"/>
      <c r="D210"/>
      <c r="E210" s="93"/>
      <c r="F210"/>
      <c r="G210" s="93"/>
      <c r="H210"/>
      <c r="I210" s="133" t="s">
        <v>205</v>
      </c>
      <c r="J210" s="134"/>
      <c r="K210" s="36">
        <v>0</v>
      </c>
      <c r="L210"/>
      <c r="M210"/>
      <c r="N210"/>
    </row>
    <row r="211" spans="1:14" ht="25.5">
      <c r="A211" s="1"/>
      <c r="B211"/>
      <c r="C211" s="93"/>
      <c r="D211"/>
      <c r="E211" s="93"/>
      <c r="F211"/>
      <c r="G211" s="93"/>
      <c r="H211"/>
      <c r="I211" s="133" t="s">
        <v>206</v>
      </c>
      <c r="J211" s="134"/>
      <c r="K211" s="36">
        <v>0</v>
      </c>
      <c r="L211"/>
      <c r="M211"/>
      <c r="N211"/>
    </row>
    <row r="212" spans="1:14" ht="25.5">
      <c r="A212" s="1"/>
      <c r="B212"/>
      <c r="C212" s="93"/>
      <c r="D212"/>
      <c r="E212" s="93"/>
      <c r="F212"/>
      <c r="G212" s="93"/>
      <c r="H212"/>
      <c r="I212" s="133" t="s">
        <v>207</v>
      </c>
      <c r="J212" s="134"/>
      <c r="K212" s="94">
        <v>345</v>
      </c>
      <c r="L212"/>
      <c r="M212"/>
      <c r="N212"/>
    </row>
    <row r="213" spans="1:14" ht="25.5">
      <c r="A213" s="1"/>
      <c r="B213"/>
      <c r="C213" s="93"/>
      <c r="D213"/>
      <c r="E213" s="93"/>
      <c r="F213"/>
      <c r="G213" s="93"/>
      <c r="H213"/>
      <c r="I213" s="133" t="s">
        <v>208</v>
      </c>
      <c r="J213" s="134"/>
      <c r="K213" s="33">
        <v>2235</v>
      </c>
      <c r="L213"/>
      <c r="M213"/>
      <c r="N213"/>
    </row>
    <row r="214" spans="1:14" ht="25.5">
      <c r="A214" s="1"/>
      <c r="B214"/>
      <c r="C214" s="93"/>
      <c r="D214"/>
      <c r="E214" s="93"/>
      <c r="F214"/>
      <c r="G214" s="93"/>
      <c r="H214"/>
      <c r="I214" s="133" t="s">
        <v>209</v>
      </c>
      <c r="J214" s="134"/>
      <c r="K214" s="94">
        <v>2235</v>
      </c>
      <c r="L214"/>
      <c r="M214"/>
      <c r="N214"/>
    </row>
    <row r="215" spans="1:14" ht="25.5">
      <c r="A215" s="1"/>
      <c r="B215"/>
      <c r="C215" s="93"/>
      <c r="D215"/>
      <c r="E215" s="93"/>
      <c r="F215"/>
      <c r="G215" s="93"/>
      <c r="H215"/>
      <c r="I215" s="133" t="s">
        <v>210</v>
      </c>
      <c r="J215" s="134"/>
      <c r="K215" s="33">
        <v>0</v>
      </c>
      <c r="L215"/>
      <c r="M215"/>
      <c r="N215"/>
    </row>
    <row r="216" spans="1:14" ht="25.5">
      <c r="A216"/>
      <c r="B216"/>
      <c r="C216"/>
      <c r="D216"/>
      <c r="E216"/>
      <c r="F216"/>
      <c r="G216" s="2"/>
      <c r="H216"/>
      <c r="I216" s="133" t="s">
        <v>211</v>
      </c>
      <c r="J216" s="134"/>
      <c r="K216" s="33">
        <v>0</v>
      </c>
      <c r="L216"/>
      <c r="M216"/>
      <c r="N216"/>
    </row>
    <row r="217" spans="1:14">
      <c r="A217"/>
      <c r="B217"/>
      <c r="C217"/>
      <c r="D217"/>
      <c r="E217"/>
      <c r="F217"/>
      <c r="G217" s="2"/>
      <c r="H217"/>
      <c r="I217" s="2"/>
      <c r="J217"/>
      <c r="K217"/>
      <c r="L217"/>
      <c r="M217"/>
      <c r="N217"/>
    </row>
    <row r="218" spans="1:14">
      <c r="A218"/>
      <c r="B218"/>
      <c r="C218"/>
      <c r="D218"/>
      <c r="E218"/>
      <c r="F218"/>
      <c r="G218" s="2"/>
      <c r="H218"/>
      <c r="I218" s="2"/>
      <c r="J218"/>
      <c r="K218"/>
      <c r="L218"/>
      <c r="M218"/>
      <c r="N218"/>
    </row>
    <row r="219" spans="1:14">
      <c r="A219"/>
      <c r="B219"/>
      <c r="C219"/>
      <c r="D219"/>
      <c r="E219"/>
      <c r="F219"/>
      <c r="G219" s="2"/>
      <c r="H219"/>
      <c r="I219" s="2"/>
      <c r="J219"/>
      <c r="K219"/>
      <c r="L219"/>
      <c r="M219"/>
      <c r="N219"/>
    </row>
    <row r="220" spans="1:14">
      <c r="A220"/>
      <c r="B220"/>
      <c r="C220"/>
      <c r="D220"/>
      <c r="E220"/>
      <c r="F220"/>
      <c r="G220" s="2"/>
      <c r="H220"/>
      <c r="I220" s="2"/>
      <c r="J220"/>
      <c r="K220"/>
      <c r="L220"/>
      <c r="M220"/>
      <c r="N220"/>
    </row>
    <row r="221" spans="1:14">
      <c r="A221"/>
      <c r="B221"/>
      <c r="C221"/>
      <c r="D221"/>
      <c r="E221"/>
      <c r="F221"/>
      <c r="G221" s="2"/>
      <c r="H221"/>
      <c r="I221" s="2"/>
      <c r="J221"/>
      <c r="K221"/>
      <c r="L221"/>
      <c r="M221"/>
      <c r="N221"/>
    </row>
    <row r="222" spans="1:14">
      <c r="A222"/>
      <c r="B222"/>
      <c r="C222"/>
      <c r="D222"/>
      <c r="E222"/>
      <c r="F222"/>
      <c r="G222" s="2"/>
      <c r="H222"/>
      <c r="I222" s="2"/>
      <c r="J222"/>
      <c r="K222"/>
      <c r="L222"/>
      <c r="M222"/>
      <c r="N222"/>
    </row>
    <row r="223" spans="1:14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</row>
    <row r="224" spans="1:14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I215:J215"/>
    <mergeCell ref="I216:J216"/>
    <mergeCell ref="H3:J3"/>
    <mergeCell ref="K3:K4"/>
    <mergeCell ref="M205:N205"/>
    <mergeCell ref="L3:L4"/>
    <mergeCell ref="Y3:Y4"/>
    <mergeCell ref="P107:W107"/>
    <mergeCell ref="I213:J213"/>
    <mergeCell ref="I214:J214"/>
    <mergeCell ref="H206:I206"/>
    <mergeCell ref="I207:J207"/>
    <mergeCell ref="I208:J20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10:J210"/>
    <mergeCell ref="I211:J211"/>
    <mergeCell ref="I212:J21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C4CD-2769-490B-8A7C-E0C5DC1B9958}">
  <sheetPr>
    <tabColor theme="5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+ยกมา!G5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69" si="4">+E6-F6-H6</f>
        <v>33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96"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3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+ยกมา!G14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+ยกมา!G22</f>
        <v>6</v>
      </c>
      <c r="D22" s="13">
        <v>0</v>
      </c>
      <c r="E22" s="12">
        <f>C22+D22</f>
        <v>6</v>
      </c>
      <c r="F22" s="13">
        <v>0</v>
      </c>
      <c r="G22" s="12">
        <f t="shared" si="4"/>
        <v>5</v>
      </c>
      <c r="H22" s="14">
        <v>1</v>
      </c>
      <c r="I22" s="15">
        <v>85</v>
      </c>
      <c r="J22" s="79">
        <f t="shared" si="5"/>
        <v>85</v>
      </c>
      <c r="K22" s="17" t="s">
        <v>245</v>
      </c>
      <c r="L22" s="18">
        <v>42</v>
      </c>
      <c r="M22" s="23">
        <f t="shared" si="6"/>
        <v>43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+ยกมา!G23</f>
        <v>27</v>
      </c>
      <c r="D23" s="13">
        <v>0</v>
      </c>
      <c r="E23" s="12">
        <f>C23+D23</f>
        <v>27</v>
      </c>
      <c r="F23" s="13">
        <v>0</v>
      </c>
      <c r="G23" s="12">
        <f t="shared" si="4"/>
        <v>25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+ยกมา!G24</f>
        <v>6</v>
      </c>
      <c r="D24" s="13">
        <v>0</v>
      </c>
      <c r="E24" s="12">
        <f t="shared" si="0"/>
        <v>6</v>
      </c>
      <c r="F24" s="13">
        <v>0</v>
      </c>
      <c r="G24" s="12">
        <f t="shared" si="4"/>
        <v>4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96"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+ยกมา!G26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+ยกมา!G27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4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+ยกมา!G30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96"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+ยกมา!G34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+ยกมา!G35</f>
        <v>7</v>
      </c>
      <c r="D35" s="13">
        <v>0</v>
      </c>
      <c r="E35" s="12">
        <f t="shared" si="0"/>
        <v>7</v>
      </c>
      <c r="F35" s="13">
        <v>0</v>
      </c>
      <c r="G35" s="12">
        <f t="shared" si="4"/>
        <v>6</v>
      </c>
      <c r="H35" s="14">
        <v>1</v>
      </c>
      <c r="I35" s="15">
        <v>130</v>
      </c>
      <c r="J35" s="79">
        <f t="shared" si="5"/>
        <v>130</v>
      </c>
      <c r="K35" s="17" t="s">
        <v>245</v>
      </c>
      <c r="L35" s="18">
        <v>65</v>
      </c>
      <c r="M35" s="23">
        <f t="shared" si="6"/>
        <v>65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+ยกมา!G37</f>
        <v>16</v>
      </c>
      <c r="D37" s="13">
        <v>0</v>
      </c>
      <c r="E37" s="12">
        <f t="shared" si="0"/>
        <v>16</v>
      </c>
      <c r="F37" s="13">
        <v>0</v>
      </c>
      <c r="G37" s="12">
        <f t="shared" si="4"/>
        <v>15</v>
      </c>
      <c r="H37" s="14">
        <v>1</v>
      </c>
      <c r="I37" s="15">
        <v>100</v>
      </c>
      <c r="J37" s="79">
        <f t="shared" si="5"/>
        <v>100</v>
      </c>
      <c r="K37" s="17" t="s">
        <v>245</v>
      </c>
      <c r="L37" s="18">
        <v>50</v>
      </c>
      <c r="M37" s="23">
        <f t="shared" si="6"/>
        <v>50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+ยกมา!G38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246</v>
      </c>
      <c r="L38" s="18">
        <v>50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+ยกมา!G39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96"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+ยกมา!G41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3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+ยกมา!G42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96"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+ยกมา!G44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+ยกมา!G45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+ยกมา!G46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5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96"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+ยกมา!G49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+ยกมา!G50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+ยกมา!G52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4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+ยกมา!G54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+ยกมา!G55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7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97" t="s">
        <v>67</v>
      </c>
      <c r="C56" s="12"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+ยกมา!G57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97" t="s">
        <v>69</v>
      </c>
      <c r="C58" s="12">
        <f>+ยกมา!G58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96"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+ยกมา!G70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+ยกมา!G72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+ยกมา!G73</f>
        <v>7</v>
      </c>
      <c r="D73" s="13">
        <v>0</v>
      </c>
      <c r="E73" s="12">
        <f t="shared" si="0"/>
        <v>7</v>
      </c>
      <c r="F73" s="13">
        <v>0</v>
      </c>
      <c r="G73" s="12">
        <f t="shared" si="9"/>
        <v>7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+ยกมา!G74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+ยกมา!G75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+ยกมา!G76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+ยกมา!G77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+ยกมา!G79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96"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2</v>
      </c>
      <c r="H80" s="14">
        <v>1</v>
      </c>
      <c r="I80" s="22">
        <v>50</v>
      </c>
      <c r="J80" s="79">
        <f t="shared" si="10"/>
        <v>50</v>
      </c>
      <c r="K80" s="17" t="s">
        <v>245</v>
      </c>
      <c r="L80" s="18">
        <v>25</v>
      </c>
      <c r="M80" s="23">
        <f t="shared" si="11"/>
        <v>25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96"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+ยกมา!G83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+ยกมา!G85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+ยกมา!G86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+ยกมา!G87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+ยกมา!G88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+ยกมา!G89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96"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96"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96"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+ยกมา!G114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+ยกมา!G115</f>
        <v>2</v>
      </c>
      <c r="D115" s="13">
        <v>0</v>
      </c>
      <c r="E115" s="12">
        <f t="shared" si="13"/>
        <v>2</v>
      </c>
      <c r="F115" s="13">
        <v>0</v>
      </c>
      <c r="G115" s="12">
        <f t="shared" si="9"/>
        <v>2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+ยกมา!G118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+ยกมา!G144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0</v>
      </c>
      <c r="H144" s="14">
        <v>1</v>
      </c>
      <c r="I144" s="20">
        <v>120</v>
      </c>
      <c r="J144" s="79">
        <f t="shared" si="15"/>
        <v>120</v>
      </c>
      <c r="K144" s="17" t="s">
        <v>16</v>
      </c>
      <c r="L144" s="18">
        <v>0</v>
      </c>
      <c r="M144" s="23">
        <f t="shared" si="16"/>
        <v>120</v>
      </c>
    </row>
    <row r="145" spans="1:13" ht="25.5">
      <c r="A145" s="10">
        <v>141</v>
      </c>
      <c r="B145" s="19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96"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96"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+ยกมา!G150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+ยกมา!G154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96"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+ยกมา!G167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+ยกมา!G168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+ยกมา!G169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+ยกมา!G176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4"/>
        <v>3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+ยกมา!G178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+ยกมา!G179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+ยกมา!G180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1103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1335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450</v>
      </c>
      <c r="L209" s="2">
        <v>300</v>
      </c>
      <c r="M209" s="2">
        <v>50</v>
      </c>
      <c r="N209" s="2">
        <v>100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232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638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638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1103</v>
      </c>
    </row>
    <row r="219" spans="1:14">
      <c r="G219" s="2"/>
      <c r="I219" s="2"/>
      <c r="J219" s="2" t="s">
        <v>248</v>
      </c>
      <c r="K219" s="23">
        <f>SUM(K208:K209)</f>
        <v>465</v>
      </c>
    </row>
    <row r="220" spans="1:14">
      <c r="G220" s="2"/>
      <c r="I220" s="2"/>
      <c r="J220" s="2" t="s">
        <v>249</v>
      </c>
      <c r="K220" s="23">
        <f>+K214</f>
        <v>638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B0B-7F6F-47F0-9CCE-BBDD8F2CC97E}">
  <sheetPr>
    <tabColor theme="5" tint="0.79998168889431442"/>
  </sheetPr>
  <dimension ref="A1:Z291"/>
  <sheetViews>
    <sheetView zoomScale="90" zoomScaleNormal="9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20" style="2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5</v>
      </c>
      <c r="H5" s="14">
        <v>1</v>
      </c>
      <c r="I5" s="15">
        <v>50</v>
      </c>
      <c r="J5" s="79">
        <f>+I5*H5</f>
        <v>50</v>
      </c>
      <c r="K5" s="17" t="s">
        <v>250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+'1'!G6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69" si="4">+E6-F6-H6</f>
        <v>33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+'1'!G14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0">
        <v>65</v>
      </c>
      <c r="J14" s="79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+'1'!G23</f>
        <v>25</v>
      </c>
      <c r="D23" s="13">
        <v>0</v>
      </c>
      <c r="E23" s="12">
        <f>C23+D23</f>
        <v>25</v>
      </c>
      <c r="F23" s="13">
        <v>0</v>
      </c>
      <c r="G23" s="12">
        <f t="shared" si="4"/>
        <v>19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2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+'1'!G27</f>
        <v>4</v>
      </c>
      <c r="D27" s="13">
        <v>0</v>
      </c>
      <c r="E27" s="12">
        <f t="shared" si="0"/>
        <v>4</v>
      </c>
      <c r="F27" s="13">
        <v>0</v>
      </c>
      <c r="G27" s="12">
        <f t="shared" si="4"/>
        <v>4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+'1'!G35</f>
        <v>6</v>
      </c>
      <c r="D35" s="13">
        <v>0</v>
      </c>
      <c r="E35" s="12">
        <f t="shared" si="0"/>
        <v>6</v>
      </c>
      <c r="F35" s="13">
        <v>0</v>
      </c>
      <c r="G35" s="12">
        <f t="shared" si="4"/>
        <v>5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12</v>
      </c>
      <c r="H37" s="14">
        <v>3</v>
      </c>
      <c r="I37" s="15">
        <v>100</v>
      </c>
      <c r="J37" s="79">
        <f t="shared" si="5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1</v>
      </c>
      <c r="H38" s="14">
        <v>3</v>
      </c>
      <c r="I38" s="15">
        <v>50</v>
      </c>
      <c r="J38" s="79">
        <f t="shared" si="5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5</v>
      </c>
      <c r="H40" s="14">
        <v>1</v>
      </c>
      <c r="I40" s="15">
        <v>50</v>
      </c>
      <c r="J40" s="79">
        <f t="shared" si="5"/>
        <v>50</v>
      </c>
      <c r="K40" s="17" t="s">
        <v>250</v>
      </c>
      <c r="L40" s="18">
        <v>50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7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3</v>
      </c>
      <c r="H44" s="14">
        <v>2</v>
      </c>
      <c r="I44" s="15">
        <v>50</v>
      </c>
      <c r="J44" s="79">
        <f t="shared" si="5"/>
        <v>100</v>
      </c>
      <c r="K44" s="17" t="s">
        <v>246</v>
      </c>
      <c r="L44" s="18">
        <v>50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5</v>
      </c>
      <c r="H50" s="14">
        <v>1</v>
      </c>
      <c r="I50" s="15">
        <v>120</v>
      </c>
      <c r="J50" s="79">
        <f t="shared" si="5"/>
        <v>120</v>
      </c>
      <c r="K50" s="17" t="s">
        <v>251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251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5</v>
      </c>
      <c r="H54" s="14">
        <v>2</v>
      </c>
      <c r="I54" s="15">
        <v>120</v>
      </c>
      <c r="J54" s="79">
        <f t="shared" si="5"/>
        <v>240</v>
      </c>
      <c r="K54" s="17" t="s">
        <v>251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4</v>
      </c>
      <c r="H55" s="14">
        <v>3</v>
      </c>
      <c r="I55" s="21">
        <v>120</v>
      </c>
      <c r="J55" s="79">
        <f t="shared" si="5"/>
        <v>360</v>
      </c>
      <c r="K55" s="17" t="s">
        <v>251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3</v>
      </c>
      <c r="H57" s="14">
        <v>3</v>
      </c>
      <c r="I57" s="21">
        <v>120</v>
      </c>
      <c r="J57" s="79">
        <f t="shared" si="5"/>
        <v>360</v>
      </c>
      <c r="K57" s="17" t="s">
        <v>251</v>
      </c>
      <c r="L57" s="18">
        <v>105</v>
      </c>
      <c r="M57" s="23">
        <f t="shared" si="6"/>
        <v>255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4</v>
      </c>
      <c r="H70" s="14">
        <v>1</v>
      </c>
      <c r="I70" s="20">
        <v>50</v>
      </c>
      <c r="J70" s="79">
        <f t="shared" ref="J70:J133" si="10">+I70*H70</f>
        <v>50</v>
      </c>
      <c r="K70" s="17" t="s">
        <v>245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9"/>
        <v>6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+'1'!G75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+'1'!G80</f>
        <v>2</v>
      </c>
      <c r="D80" s="13"/>
      <c r="E80" s="12">
        <f t="shared" si="0"/>
        <v>2</v>
      </c>
      <c r="F80" s="13">
        <v>0</v>
      </c>
      <c r="G80" s="12">
        <f t="shared" si="9"/>
        <v>0</v>
      </c>
      <c r="H80" s="14">
        <v>2</v>
      </c>
      <c r="I80" s="22">
        <v>50</v>
      </c>
      <c r="J80" s="79">
        <f t="shared" si="10"/>
        <v>100</v>
      </c>
      <c r="K80" s="17" t="s">
        <v>245</v>
      </c>
      <c r="L80" s="18">
        <v>50</v>
      </c>
      <c r="M80" s="23">
        <f t="shared" si="11"/>
        <v>50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2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+'1'!G115</f>
        <v>2</v>
      </c>
      <c r="D115" s="13">
        <v>0</v>
      </c>
      <c r="E115" s="12">
        <f t="shared" si="13"/>
        <v>2</v>
      </c>
      <c r="F115" s="13">
        <v>0</v>
      </c>
      <c r="G115" s="12">
        <f t="shared" si="9"/>
        <v>1</v>
      </c>
      <c r="H115" s="14">
        <v>1</v>
      </c>
      <c r="I115" s="20">
        <v>50</v>
      </c>
      <c r="J115" s="79">
        <f t="shared" si="10"/>
        <v>50</v>
      </c>
      <c r="K115" s="17" t="s">
        <v>252</v>
      </c>
      <c r="L115" s="18">
        <v>20</v>
      </c>
      <c r="M115" s="23">
        <f t="shared" si="11"/>
        <v>30</v>
      </c>
    </row>
    <row r="116" spans="1:13" ht="25.5">
      <c r="A116" s="10">
        <v>112</v>
      </c>
      <c r="B116" s="19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+'1'!G176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4"/>
        <v>3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2665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3260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8" ht="25.5">
      <c r="A209" s="1"/>
      <c r="C209" s="31"/>
      <c r="E209" s="31"/>
      <c r="G209" s="31"/>
      <c r="I209" s="34" t="s">
        <v>204</v>
      </c>
      <c r="J209" s="35"/>
      <c r="K209" s="36">
        <f>SUM(L209:AO209)</f>
        <v>1175</v>
      </c>
      <c r="L209" s="2">
        <v>170</v>
      </c>
      <c r="M209" s="2">
        <v>65</v>
      </c>
      <c r="N209" s="2">
        <v>225</v>
      </c>
      <c r="O209" s="2">
        <v>65</v>
      </c>
      <c r="P209" s="2">
        <v>400</v>
      </c>
      <c r="Q209" s="2">
        <v>150</v>
      </c>
      <c r="R209" s="2">
        <v>100</v>
      </c>
    </row>
    <row r="210" spans="1:18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8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8" ht="25.5">
      <c r="A212" s="1"/>
      <c r="C212" s="31"/>
      <c r="E212" s="31"/>
      <c r="G212" s="31"/>
      <c r="I212" s="133" t="s">
        <v>207</v>
      </c>
      <c r="J212" s="134"/>
      <c r="K212" s="37">
        <f>SUM(L5:L205)</f>
        <v>595</v>
      </c>
    </row>
    <row r="213" spans="1:18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1475</v>
      </c>
    </row>
    <row r="214" spans="1:18" ht="25.5">
      <c r="A214" s="1"/>
      <c r="C214" s="31"/>
      <c r="E214" s="31"/>
      <c r="G214" s="31"/>
      <c r="I214" s="133" t="s">
        <v>209</v>
      </c>
      <c r="J214" s="134"/>
      <c r="K214" s="37">
        <v>1645</v>
      </c>
    </row>
    <row r="215" spans="1:18" ht="25.5">
      <c r="A215" s="1"/>
      <c r="C215" s="31"/>
      <c r="E215" s="31"/>
      <c r="G215" s="31"/>
      <c r="I215" s="133" t="s">
        <v>210</v>
      </c>
      <c r="J215" s="134"/>
      <c r="K215" s="33">
        <f>+K214-K213</f>
        <v>170</v>
      </c>
    </row>
    <row r="216" spans="1:18" ht="25.5">
      <c r="G216" s="2"/>
      <c r="I216" s="133" t="s">
        <v>211</v>
      </c>
      <c r="J216" s="134"/>
      <c r="K216" s="33">
        <f>+K214-K213</f>
        <v>170</v>
      </c>
    </row>
    <row r="217" spans="1:18">
      <c r="G217" s="2"/>
      <c r="I217" s="2"/>
    </row>
    <row r="218" spans="1:18">
      <c r="G218" s="2"/>
      <c r="I218" s="2"/>
      <c r="J218" s="98" t="s">
        <v>247</v>
      </c>
      <c r="K218" s="23">
        <f>+K207-K212+K215</f>
        <v>2835</v>
      </c>
    </row>
    <row r="219" spans="1:18">
      <c r="G219" s="2"/>
      <c r="I219" s="2"/>
      <c r="J219" s="2" t="s">
        <v>248</v>
      </c>
      <c r="K219" s="23">
        <f>SUM(K208:K209)</f>
        <v>1190</v>
      </c>
    </row>
    <row r="220" spans="1:18">
      <c r="G220" s="2"/>
      <c r="I220" s="2"/>
      <c r="J220" s="2" t="s">
        <v>249</v>
      </c>
      <c r="K220" s="23">
        <f>+K214</f>
        <v>1645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EF25-478D-4453-BAA5-037BB9D1D235}">
  <sheetPr>
    <tabColor theme="5" tint="0.79998168889431442"/>
  </sheetPr>
  <dimension ref="A1:Z291"/>
  <sheetViews>
    <sheetView zoomScale="90" zoomScaleNormal="90" workbookViewId="0">
      <pane ySplit="4" topLeftCell="A15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+'2'!G6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69" si="4">+E6-F6-H6</f>
        <v>29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>SUM(J7-L7)</f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+'2'!G23</f>
        <v>19</v>
      </c>
      <c r="D23" s="13">
        <v>0</v>
      </c>
      <c r="E23" s="12">
        <f>C23+D23</f>
        <v>19</v>
      </c>
      <c r="F23" s="13">
        <v>0</v>
      </c>
      <c r="G23" s="12">
        <f t="shared" si="4"/>
        <v>17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+'2'!G24</f>
        <v>2</v>
      </c>
      <c r="D24" s="13">
        <v>0</v>
      </c>
      <c r="E24" s="12">
        <f t="shared" si="0"/>
        <v>2</v>
      </c>
      <c r="F24" s="13">
        <v>0</v>
      </c>
      <c r="G24" s="12">
        <f t="shared" si="4"/>
        <v>1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+'2'!G27</f>
        <v>4</v>
      </c>
      <c r="D27" s="13">
        <v>0</v>
      </c>
      <c r="E27" s="12">
        <f t="shared" si="0"/>
        <v>4</v>
      </c>
      <c r="F27" s="13">
        <v>0</v>
      </c>
      <c r="G27" s="12">
        <f t="shared" si="4"/>
        <v>3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3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9</v>
      </c>
      <c r="H37" s="14">
        <v>3</v>
      </c>
      <c r="I37" s="15">
        <v>100</v>
      </c>
      <c r="J37" s="79">
        <f t="shared" si="5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253</v>
      </c>
      <c r="L41" s="18">
        <v>50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+'2'!G42</f>
        <v>7</v>
      </c>
      <c r="D42" s="13">
        <v>0</v>
      </c>
      <c r="E42" s="12">
        <f t="shared" si="0"/>
        <v>7</v>
      </c>
      <c r="F42" s="13">
        <v>3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253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3</v>
      </c>
      <c r="H50" s="14">
        <v>2</v>
      </c>
      <c r="I50" s="15">
        <v>120</v>
      </c>
      <c r="J50" s="79">
        <f t="shared" si="5"/>
        <v>240</v>
      </c>
      <c r="K50" s="17" t="s">
        <v>251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3</v>
      </c>
      <c r="H52" s="14">
        <v>1</v>
      </c>
      <c r="I52" s="21">
        <v>120</v>
      </c>
      <c r="J52" s="79">
        <f t="shared" si="5"/>
        <v>120</v>
      </c>
      <c r="K52" s="17" t="s">
        <v>251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2</v>
      </c>
      <c r="H53" s="14">
        <v>1</v>
      </c>
      <c r="I53" s="15">
        <v>120</v>
      </c>
      <c r="J53" s="79">
        <f t="shared" si="5"/>
        <v>120</v>
      </c>
      <c r="K53" s="17" t="s">
        <v>251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0</v>
      </c>
      <c r="H55" s="14">
        <v>4</v>
      </c>
      <c r="I55" s="21">
        <v>120</v>
      </c>
      <c r="J55" s="79">
        <f t="shared" si="5"/>
        <v>480</v>
      </c>
      <c r="K55" s="17" t="s">
        <v>251</v>
      </c>
      <c r="L55" s="18">
        <v>140</v>
      </c>
      <c r="M55" s="23">
        <f t="shared" si="6"/>
        <v>340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1</v>
      </c>
      <c r="H57" s="14">
        <v>2</v>
      </c>
      <c r="I57" s="21">
        <v>120</v>
      </c>
      <c r="J57" s="79">
        <f t="shared" si="5"/>
        <v>240</v>
      </c>
      <c r="K57" s="17" t="s">
        <v>251</v>
      </c>
      <c r="L57" s="18">
        <v>70</v>
      </c>
      <c r="M57" s="23">
        <f t="shared" si="6"/>
        <v>170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5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+'2'!G75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3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1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+'2'!G176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4"/>
        <v>2</v>
      </c>
      <c r="H176" s="14">
        <v>1</v>
      </c>
      <c r="I176" s="20">
        <v>50</v>
      </c>
      <c r="J176" s="79">
        <f t="shared" si="15"/>
        <v>50</v>
      </c>
      <c r="K176" s="17" t="s">
        <v>253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2600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3100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1200</v>
      </c>
      <c r="L209" s="2">
        <v>250</v>
      </c>
      <c r="M209" s="2">
        <v>350</v>
      </c>
      <c r="N209" s="2">
        <v>600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500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1385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1385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2600</v>
      </c>
    </row>
    <row r="219" spans="1:14">
      <c r="G219" s="2"/>
      <c r="I219" s="2"/>
      <c r="J219" s="2" t="s">
        <v>248</v>
      </c>
      <c r="K219" s="23">
        <f>SUM(K208:K209)</f>
        <v>1215</v>
      </c>
    </row>
    <row r="220" spans="1:14">
      <c r="G220" s="2"/>
      <c r="I220" s="2"/>
      <c r="J220" s="2" t="s">
        <v>249</v>
      </c>
      <c r="K220" s="23">
        <f>+K214</f>
        <v>1385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8424-6732-4AB6-8812-992B8D854123}">
  <sheetPr>
    <tabColor theme="5" tint="0.79998168889431442"/>
  </sheetPr>
  <dimension ref="A1:Z291"/>
  <sheetViews>
    <sheetView zoomScale="90" zoomScaleNormal="90" workbookViewId="0">
      <pane ySplit="4" topLeftCell="A15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+'3'!G6</f>
        <v>29</v>
      </c>
      <c r="D6" s="13">
        <v>0</v>
      </c>
      <c r="E6" s="12">
        <f t="shared" si="0"/>
        <v>29</v>
      </c>
      <c r="F6" s="13">
        <v>0</v>
      </c>
      <c r="G6" s="12">
        <f t="shared" ref="G6:G69" si="4">+E6-F6-H6</f>
        <v>24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80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+'3'!G12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+'3'!G23</f>
        <v>17</v>
      </c>
      <c r="D23" s="13">
        <v>0</v>
      </c>
      <c r="E23" s="12">
        <f>C23+D23</f>
        <v>17</v>
      </c>
      <c r="F23" s="13">
        <v>0</v>
      </c>
      <c r="G23" s="12">
        <f t="shared" si="4"/>
        <v>13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80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+'3'!G27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3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250</v>
      </c>
      <c r="L40" s="18">
        <v>50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1</v>
      </c>
      <c r="H41" s="14">
        <v>1</v>
      </c>
      <c r="I41" s="15">
        <v>50</v>
      </c>
      <c r="J41" s="79">
        <f t="shared" si="5"/>
        <v>50</v>
      </c>
      <c r="K41" s="17" t="s">
        <v>250</v>
      </c>
      <c r="L41" s="18">
        <v>50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2</v>
      </c>
      <c r="H42" s="14">
        <v>1</v>
      </c>
      <c r="I42" s="15">
        <v>50</v>
      </c>
      <c r="J42" s="79">
        <f t="shared" si="5"/>
        <v>50</v>
      </c>
      <c r="K42" s="17" t="s">
        <v>250</v>
      </c>
      <c r="L42" s="18">
        <v>50</v>
      </c>
      <c r="M42" s="80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80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1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2</v>
      </c>
      <c r="H50" s="14">
        <v>1</v>
      </c>
      <c r="I50" s="15">
        <v>120</v>
      </c>
      <c r="J50" s="79">
        <f t="shared" si="5"/>
        <v>120</v>
      </c>
      <c r="K50" s="17" t="s">
        <v>251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2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0</v>
      </c>
      <c r="H57" s="14">
        <v>1</v>
      </c>
      <c r="I57" s="21">
        <v>120</v>
      </c>
      <c r="J57" s="79">
        <f t="shared" si="5"/>
        <v>120</v>
      </c>
      <c r="K57" s="17" t="s">
        <v>251</v>
      </c>
      <c r="L57" s="18">
        <v>35</v>
      </c>
      <c r="M57" s="80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+'3'!G72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+'3'!G74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+'3'!G75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11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+'3'!G76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+'3'!G83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+'3'!G86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+'3'!G89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+'3'!G98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+'3'!G114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2</v>
      </c>
      <c r="H114" s="14">
        <v>1</v>
      </c>
      <c r="I114" s="20">
        <v>35</v>
      </c>
      <c r="J114" s="79">
        <f t="shared" si="10"/>
        <v>35</v>
      </c>
      <c r="K114" s="17" t="s">
        <v>16</v>
      </c>
      <c r="L114" s="18">
        <v>0</v>
      </c>
      <c r="M114" s="23">
        <f t="shared" si="11"/>
        <v>35</v>
      </c>
    </row>
    <row r="115" spans="1:13" ht="25.5">
      <c r="A115" s="10">
        <v>111</v>
      </c>
      <c r="B115" s="19" t="s">
        <v>127</v>
      </c>
      <c r="C115" s="12">
        <f>+'3'!G115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1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+'3'!G118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+'3'!G148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+'3'!G150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+'3'!G154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0</v>
      </c>
      <c r="H154" s="14">
        <v>1</v>
      </c>
      <c r="I154" s="20">
        <v>185</v>
      </c>
      <c r="J154" s="79">
        <f t="shared" si="15"/>
        <v>185</v>
      </c>
      <c r="K154" s="17" t="s">
        <v>16</v>
      </c>
      <c r="L154" s="18">
        <v>0</v>
      </c>
      <c r="M154" s="23">
        <f t="shared" si="16"/>
        <v>185</v>
      </c>
    </row>
    <row r="155" spans="1:13" ht="25.5">
      <c r="A155" s="10">
        <v>151</v>
      </c>
      <c r="B155" s="19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+'3'!G164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+'3'!G167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+'3'!G168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+'3'!G169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+'3'!G176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+'3'!G180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2100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2320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1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1" ht="25.5">
      <c r="A212" s="1"/>
      <c r="C212" s="31"/>
      <c r="E212" s="31"/>
      <c r="G212" s="31"/>
      <c r="I212" s="133" t="s">
        <v>207</v>
      </c>
      <c r="J212" s="134"/>
      <c r="K212" s="37">
        <f>SUM(L5:L205)</f>
        <v>220</v>
      </c>
    </row>
    <row r="213" spans="1:11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2085</v>
      </c>
    </row>
    <row r="214" spans="1:11" ht="25.5">
      <c r="A214" s="1"/>
      <c r="C214" s="31"/>
      <c r="E214" s="31"/>
      <c r="G214" s="31"/>
      <c r="I214" s="133" t="s">
        <v>209</v>
      </c>
      <c r="J214" s="134"/>
      <c r="K214" s="37">
        <v>2085</v>
      </c>
    </row>
    <row r="215" spans="1:11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1" ht="25.5">
      <c r="G216" s="2"/>
      <c r="I216" s="133" t="s">
        <v>211</v>
      </c>
      <c r="J216" s="134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98" t="s">
        <v>247</v>
      </c>
      <c r="K218" s="23">
        <f>+K207-K212+K215</f>
        <v>2100</v>
      </c>
    </row>
    <row r="219" spans="1:11">
      <c r="G219" s="2"/>
      <c r="I219" s="2"/>
      <c r="J219" s="2" t="s">
        <v>248</v>
      </c>
      <c r="K219" s="23">
        <f>SUM(K208:K209)</f>
        <v>15</v>
      </c>
    </row>
    <row r="220" spans="1:11">
      <c r="G220" s="2"/>
      <c r="I220" s="2"/>
      <c r="J220" s="2" t="s">
        <v>249</v>
      </c>
      <c r="K220" s="23">
        <f>+K214</f>
        <v>2085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DB9-512C-4121-8876-82DC94609A5B}">
  <sheetPr>
    <tabColor theme="5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+'4'!G6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22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+'4'!G7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+'4'!G12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+'4'!G22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+'4'!G23</f>
        <v>13</v>
      </c>
      <c r="D23" s="13">
        <v>0</v>
      </c>
      <c r="E23" s="12">
        <f>C23+D23</f>
        <v>13</v>
      </c>
      <c r="F23" s="13">
        <v>0</v>
      </c>
      <c r="G23" s="12">
        <f t="shared" si="4"/>
        <v>10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+'4'!G26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+'4'!G27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+'4'!G30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+'4'!G31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+'4'!G35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3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+'4'!G37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1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+'4'!G41</f>
        <v>1</v>
      </c>
      <c r="D41" s="13">
        <v>0</v>
      </c>
      <c r="E41" s="12">
        <f t="shared" si="0"/>
        <v>1</v>
      </c>
      <c r="F41" s="13">
        <v>0</v>
      </c>
      <c r="G41" s="12">
        <f t="shared" si="4"/>
        <v>0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+'4'!G42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+'4'!G43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+'4'!G45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3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3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+'4'!G49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+'4'!G50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+'4'!G52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+'4'!G53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2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+'4'!G54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+'4'!G56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+'4'!G58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+'4'!G67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+'4'!G70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+'4'!G72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1</v>
      </c>
      <c r="H72" s="14">
        <v>1</v>
      </c>
      <c r="I72" s="22">
        <v>50</v>
      </c>
      <c r="J72" s="79">
        <f t="shared" si="10"/>
        <v>50</v>
      </c>
      <c r="K72" s="17" t="s">
        <v>250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+'4'!G74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+'4'!G75</f>
        <v>11</v>
      </c>
      <c r="D75" s="13">
        <v>0</v>
      </c>
      <c r="E75" s="12">
        <f t="shared" si="0"/>
        <v>11</v>
      </c>
      <c r="F75" s="13">
        <v>2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+'4'!G76</f>
        <v>10</v>
      </c>
      <c r="D76" s="13">
        <v>0</v>
      </c>
      <c r="E76" s="12">
        <f t="shared" si="0"/>
        <v>10</v>
      </c>
      <c r="F76" s="13">
        <v>5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+'4'!G83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+'4'!G85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+'4'!G86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+'4'!G87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+'4'!G89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+'4'!G98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+'4'!G114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+'4'!G115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1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+'4'!G118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+'4'!G148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+'4'!G150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+'4'!G164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+'4'!G167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+'4'!G168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1</v>
      </c>
      <c r="H168" s="14">
        <v>1</v>
      </c>
      <c r="I168" s="20">
        <v>55</v>
      </c>
      <c r="J168" s="79">
        <f t="shared" si="15"/>
        <v>55</v>
      </c>
      <c r="K168" s="17" t="s">
        <v>254</v>
      </c>
      <c r="L168" s="18">
        <v>50</v>
      </c>
      <c r="M168" s="23">
        <f t="shared" si="16"/>
        <v>5</v>
      </c>
    </row>
    <row r="169" spans="1:13" ht="25.5">
      <c r="A169" s="10">
        <v>165</v>
      </c>
      <c r="B169" s="19" t="s">
        <v>181</v>
      </c>
      <c r="C169" s="12">
        <f>+'4'!G169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+'4'!G176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+'4'!G180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1195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1295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60</v>
      </c>
      <c r="L209" s="2">
        <v>60</v>
      </c>
    </row>
    <row r="210" spans="1:12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2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2" ht="25.5">
      <c r="A212" s="1"/>
      <c r="C212" s="31"/>
      <c r="E212" s="31"/>
      <c r="G212" s="31"/>
      <c r="I212" s="133" t="s">
        <v>207</v>
      </c>
      <c r="J212" s="134"/>
      <c r="K212" s="37">
        <f>SUM(L5:L205)</f>
        <v>100</v>
      </c>
    </row>
    <row r="213" spans="1:12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1120</v>
      </c>
    </row>
    <row r="214" spans="1:12" ht="25.5">
      <c r="A214" s="1"/>
      <c r="C214" s="31"/>
      <c r="E214" s="31"/>
      <c r="G214" s="31"/>
      <c r="I214" s="133" t="s">
        <v>209</v>
      </c>
      <c r="J214" s="134"/>
      <c r="K214" s="37">
        <v>1120</v>
      </c>
    </row>
    <row r="215" spans="1:12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2" ht="25.5">
      <c r="G216" s="2"/>
      <c r="I216" s="133" t="s">
        <v>211</v>
      </c>
      <c r="J216" s="134"/>
      <c r="K216" s="33">
        <f>+K214-K213</f>
        <v>0</v>
      </c>
    </row>
    <row r="217" spans="1:12">
      <c r="G217" s="2"/>
      <c r="I217" s="2"/>
    </row>
    <row r="218" spans="1:12">
      <c r="G218" s="2"/>
      <c r="I218" s="2"/>
      <c r="J218" s="98" t="s">
        <v>247</v>
      </c>
      <c r="K218" s="23">
        <f>+K207-K212+K215</f>
        <v>1195</v>
      </c>
    </row>
    <row r="219" spans="1:12">
      <c r="G219" s="2"/>
      <c r="I219" s="2"/>
      <c r="J219" s="2" t="s">
        <v>248</v>
      </c>
      <c r="K219" s="23">
        <f>SUM(K208:K211)</f>
        <v>75</v>
      </c>
    </row>
    <row r="220" spans="1:12">
      <c r="G220" s="2"/>
      <c r="I220" s="2"/>
      <c r="J220" s="2" t="s">
        <v>249</v>
      </c>
      <c r="K220" s="23">
        <f>+K214</f>
        <v>1120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C834-0FEB-4271-8C7B-836410714F80}">
  <sheetPr>
    <tabColor theme="5" tint="0.79998168889431442"/>
  </sheetPr>
  <dimension ref="A1:Z291"/>
  <sheetViews>
    <sheetView zoomScale="90" zoomScaleNormal="90" workbookViewId="0">
      <pane ySplit="4" topLeftCell="A18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4</v>
      </c>
      <c r="H5" s="14">
        <v>1</v>
      </c>
      <c r="I5" s="15">
        <v>50</v>
      </c>
      <c r="J5" s="79">
        <f>+I5*H5</f>
        <v>50</v>
      </c>
      <c r="K5" s="17" t="s">
        <v>245</v>
      </c>
      <c r="L5" s="18">
        <v>25</v>
      </c>
      <c r="M5" s="23">
        <f>SUM(J5-L5)</f>
        <v>25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+'5'!G6</f>
        <v>22</v>
      </c>
      <c r="D6" s="13">
        <v>0</v>
      </c>
      <c r="E6" s="12">
        <f t="shared" si="0"/>
        <v>22</v>
      </c>
      <c r="F6" s="13">
        <v>0</v>
      </c>
      <c r="G6" s="12">
        <f t="shared" ref="G6:G69" si="4">+E6-F6-H6</f>
        <v>16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+'5'!G7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1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+'5'!G12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+'5'!G22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+'5'!G23</f>
        <v>10</v>
      </c>
      <c r="D23" s="13">
        <v>0</v>
      </c>
      <c r="E23" s="12">
        <f>C23+D23</f>
        <v>10</v>
      </c>
      <c r="F23" s="13">
        <v>0</v>
      </c>
      <c r="G23" s="12">
        <f t="shared" si="4"/>
        <v>9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+'5'!G26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+'5'!G27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+'5'!G30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+'5'!G31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+'5'!G37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1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250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250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+'5'!G43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+'5'!G44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0</v>
      </c>
      <c r="H44" s="14">
        <v>3</v>
      </c>
      <c r="I44" s="15">
        <v>50</v>
      </c>
      <c r="J44" s="79">
        <f t="shared" si="5"/>
        <v>150</v>
      </c>
      <c r="K44" s="17" t="s">
        <v>16</v>
      </c>
      <c r="L44" s="18">
        <v>0</v>
      </c>
      <c r="M44" s="23">
        <f t="shared" si="6"/>
        <v>150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+'5'!G45</f>
        <v>3</v>
      </c>
      <c r="D45" s="13">
        <v>0</v>
      </c>
      <c r="E45" s="12">
        <f t="shared" si="0"/>
        <v>3</v>
      </c>
      <c r="F45" s="13">
        <v>0</v>
      </c>
      <c r="G45" s="12">
        <f t="shared" si="4"/>
        <v>0</v>
      </c>
      <c r="H45" s="14">
        <v>3</v>
      </c>
      <c r="I45" s="15">
        <v>50</v>
      </c>
      <c r="J45" s="79">
        <f t="shared" si="5"/>
        <v>150</v>
      </c>
      <c r="K45" s="17" t="s">
        <v>16</v>
      </c>
      <c r="L45" s="18">
        <v>0</v>
      </c>
      <c r="M45" s="23">
        <f t="shared" si="6"/>
        <v>150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+'5'!G49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+'5'!G50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1</v>
      </c>
      <c r="H50" s="14">
        <v>1</v>
      </c>
      <c r="I50" s="15">
        <v>120</v>
      </c>
      <c r="J50" s="79">
        <f t="shared" si="5"/>
        <v>120</v>
      </c>
      <c r="K50" s="17" t="s">
        <v>251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+'5'!G52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1</v>
      </c>
      <c r="H53" s="14">
        <v>1</v>
      </c>
      <c r="I53" s="15">
        <v>120</v>
      </c>
      <c r="J53" s="79">
        <f t="shared" si="5"/>
        <v>120</v>
      </c>
      <c r="K53" s="17" t="s">
        <v>251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+'5'!G54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+'5'!G56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+'5'!G58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+'5'!G67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+'5'!G70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+'5'!G72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+'5'!G75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+'5'!G76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+'5'!G79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2</v>
      </c>
      <c r="H81" s="14">
        <v>1</v>
      </c>
      <c r="I81" s="20">
        <v>55</v>
      </c>
      <c r="J81" s="79">
        <f t="shared" si="10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+'5'!G83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+'5'!G85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+'5'!G86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+'5'!G87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+'5'!G89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+'5'!G98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+'5'!G114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+'5'!G115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0</v>
      </c>
      <c r="H115" s="14">
        <v>1</v>
      </c>
      <c r="I115" s="20">
        <v>50</v>
      </c>
      <c r="J115" s="79">
        <f t="shared" si="10"/>
        <v>50</v>
      </c>
      <c r="K115" s="17" t="s">
        <v>251</v>
      </c>
      <c r="L115" s="18">
        <v>35</v>
      </c>
      <c r="M115" s="23">
        <f t="shared" si="11"/>
        <v>15</v>
      </c>
    </row>
    <row r="116" spans="1:13" ht="25.5">
      <c r="A116" s="10">
        <v>112</v>
      </c>
      <c r="B116" s="19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+'5'!G118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0</v>
      </c>
      <c r="H118" s="14">
        <v>2</v>
      </c>
      <c r="I118" s="20">
        <v>50</v>
      </c>
      <c r="J118" s="79">
        <f t="shared" si="10"/>
        <v>100</v>
      </c>
      <c r="K118" s="17" t="s">
        <v>251</v>
      </c>
      <c r="L118" s="18">
        <v>70</v>
      </c>
      <c r="M118" s="23">
        <f t="shared" si="11"/>
        <v>30</v>
      </c>
    </row>
    <row r="119" spans="1:13" ht="25.5">
      <c r="A119" s="10">
        <v>115</v>
      </c>
      <c r="B119" s="19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+'5'!G148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0</v>
      </c>
      <c r="H148" s="14">
        <v>1</v>
      </c>
      <c r="I148" s="20">
        <v>185</v>
      </c>
      <c r="J148" s="79">
        <f t="shared" si="15"/>
        <v>185</v>
      </c>
      <c r="K148" s="17" t="s">
        <v>16</v>
      </c>
      <c r="L148" s="18">
        <v>0</v>
      </c>
      <c r="M148" s="23">
        <f t="shared" si="16"/>
        <v>185</v>
      </c>
    </row>
    <row r="149" spans="1:13" ht="25.5">
      <c r="A149" s="10">
        <v>145</v>
      </c>
      <c r="B149" s="19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+'5'!G150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120</v>
      </c>
      <c r="J150" s="79">
        <f t="shared" si="15"/>
        <v>120</v>
      </c>
      <c r="K150" s="17" t="s">
        <v>16</v>
      </c>
      <c r="L150" s="18">
        <v>0</v>
      </c>
      <c r="M150" s="23">
        <f t="shared" si="16"/>
        <v>120</v>
      </c>
    </row>
    <row r="151" spans="1:13" ht="25.5">
      <c r="A151" s="10">
        <v>147</v>
      </c>
      <c r="B151" s="19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+'5'!G164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+'5'!G167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+'5'!G168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+'5'!G169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+'5'!G176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+'5'!G180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1820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2120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1060</v>
      </c>
      <c r="L209" s="2">
        <v>185</v>
      </c>
      <c r="M209" s="2">
        <v>105</v>
      </c>
      <c r="N209" s="2">
        <v>170</v>
      </c>
      <c r="O209" s="2">
        <v>200</v>
      </c>
      <c r="P209" s="2">
        <v>400</v>
      </c>
    </row>
    <row r="210" spans="1:16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6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6" ht="25.5">
      <c r="A212" s="1"/>
      <c r="C212" s="31"/>
      <c r="E212" s="31"/>
      <c r="G212" s="31"/>
      <c r="I212" s="133" t="s">
        <v>207</v>
      </c>
      <c r="J212" s="134"/>
      <c r="K212" s="37">
        <f>SUM(L5:L205)</f>
        <v>300</v>
      </c>
    </row>
    <row r="213" spans="1:16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740</v>
      </c>
    </row>
    <row r="214" spans="1:16" ht="25.5">
      <c r="A214" s="1"/>
      <c r="C214" s="31"/>
      <c r="E214" s="31"/>
      <c r="G214" s="31"/>
      <c r="I214" s="133" t="s">
        <v>209</v>
      </c>
      <c r="J214" s="134"/>
      <c r="K214" s="37">
        <v>760</v>
      </c>
    </row>
    <row r="215" spans="1:16" ht="25.5">
      <c r="A215" s="1"/>
      <c r="C215" s="31"/>
      <c r="E215" s="31"/>
      <c r="G215" s="31"/>
      <c r="I215" s="133" t="s">
        <v>210</v>
      </c>
      <c r="J215" s="134"/>
      <c r="K215" s="33">
        <f>+K214-K213</f>
        <v>20</v>
      </c>
    </row>
    <row r="216" spans="1:16" ht="25.5">
      <c r="G216" s="2"/>
      <c r="I216" s="133" t="s">
        <v>211</v>
      </c>
      <c r="J216" s="134"/>
      <c r="K216" s="33">
        <f>+K214-K213</f>
        <v>20</v>
      </c>
    </row>
    <row r="217" spans="1:16">
      <c r="G217" s="2"/>
      <c r="I217" s="2"/>
    </row>
    <row r="218" spans="1:16">
      <c r="G218" s="2"/>
      <c r="I218" s="2"/>
      <c r="J218" s="98" t="s">
        <v>247</v>
      </c>
      <c r="K218" s="23">
        <f>+K207-K212+K215</f>
        <v>1840</v>
      </c>
    </row>
    <row r="219" spans="1:16">
      <c r="G219" s="2"/>
      <c r="I219" s="2"/>
      <c r="J219" s="2" t="s">
        <v>248</v>
      </c>
      <c r="K219" s="23">
        <f>SUM(K208:K211)</f>
        <v>1080</v>
      </c>
    </row>
    <row r="220" spans="1:16">
      <c r="G220" s="2"/>
      <c r="I220" s="2"/>
      <c r="J220" s="2" t="s">
        <v>249</v>
      </c>
      <c r="K220" s="23">
        <f>+K214</f>
        <v>760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10E-8E3D-48CD-A2A9-B9C01962E6BD}">
  <sheetPr>
    <tabColor theme="5" tint="0.79998168889431442"/>
  </sheetPr>
  <dimension ref="A1:Z291"/>
  <sheetViews>
    <sheetView topLeftCell="E1" zoomScale="90" zoomScaleNormal="90" workbookViewId="0">
      <pane ySplit="4" topLeftCell="A19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+'6'!G5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+'6'!G6</f>
        <v>16</v>
      </c>
      <c r="D6" s="13">
        <v>0</v>
      </c>
      <c r="E6" s="12">
        <f t="shared" si="0"/>
        <v>16</v>
      </c>
      <c r="F6" s="13">
        <v>0</v>
      </c>
      <c r="G6" s="12">
        <f t="shared" ref="G6:G69" si="4">+E6-F6-H6</f>
        <v>15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+'6'!G7</f>
        <v>1</v>
      </c>
      <c r="D7" s="13">
        <v>0</v>
      </c>
      <c r="E7" s="12">
        <f>C7+D7</f>
        <v>1</v>
      </c>
      <c r="F7" s="13">
        <v>0</v>
      </c>
      <c r="G7" s="12">
        <f t="shared" si="4"/>
        <v>0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+'6'!G12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+'6'!G14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+'6'!G22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+'6'!G23</f>
        <v>9</v>
      </c>
      <c r="D23" s="13">
        <v>0</v>
      </c>
      <c r="E23" s="12">
        <f>C23+D23</f>
        <v>9</v>
      </c>
      <c r="F23" s="13">
        <v>0</v>
      </c>
      <c r="G23" s="12">
        <f t="shared" si="4"/>
        <v>9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+'6'!G26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+'6'!G27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+'6'!G30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+'6'!G31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+'6'!G37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+'6'!G39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0</v>
      </c>
      <c r="H39" s="14">
        <v>3</v>
      </c>
      <c r="I39" s="15">
        <v>50</v>
      </c>
      <c r="J39" s="79">
        <f t="shared" si="5"/>
        <v>150</v>
      </c>
      <c r="K39" s="17" t="s">
        <v>16</v>
      </c>
      <c r="L39" s="18">
        <v>0</v>
      </c>
      <c r="M39" s="23">
        <f t="shared" si="6"/>
        <v>150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+'6'!G43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+'6'!G46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+'6'!G47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+'6'!G49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+'6'!G50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+'6'!G52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+'6'!G53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+'6'!G54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+'6'!G56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+'6'!G58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+'6'!G67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+'6'!G70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+'6'!G72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+'6'!G75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+'6'!G79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+'6'!G83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+'6'!G85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1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+'6'!G89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+'6'!G98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+'6'!G114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+'6'!G164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+'6'!G167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+'6'!G168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+'6'!G169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+'6'!G180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655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655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205</v>
      </c>
      <c r="L209" s="2">
        <v>205</v>
      </c>
    </row>
    <row r="210" spans="1:12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2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2" ht="25.5">
      <c r="A212" s="1"/>
      <c r="C212" s="31"/>
      <c r="E212" s="31"/>
      <c r="G212" s="31"/>
      <c r="I212" s="133" t="s">
        <v>207</v>
      </c>
      <c r="J212" s="134"/>
      <c r="K212" s="37">
        <f>SUM(L5:L205)</f>
        <v>0</v>
      </c>
    </row>
    <row r="213" spans="1:12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430</v>
      </c>
    </row>
    <row r="214" spans="1:12" ht="25.5">
      <c r="A214" s="1"/>
      <c r="C214" s="31"/>
      <c r="E214" s="31"/>
      <c r="G214" s="31"/>
      <c r="I214" s="133" t="s">
        <v>209</v>
      </c>
      <c r="J214" s="134"/>
      <c r="K214" s="37">
        <v>430</v>
      </c>
    </row>
    <row r="215" spans="1:12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2" ht="25.5">
      <c r="G216" s="2"/>
      <c r="I216" s="133" t="s">
        <v>211</v>
      </c>
      <c r="J216" s="134"/>
      <c r="K216" s="33">
        <f>+K214-K213</f>
        <v>0</v>
      </c>
    </row>
    <row r="217" spans="1:12">
      <c r="G217" s="2"/>
      <c r="I217" s="2"/>
    </row>
    <row r="218" spans="1:12">
      <c r="G218" s="2"/>
      <c r="I218" s="2"/>
      <c r="J218" s="98" t="s">
        <v>247</v>
      </c>
      <c r="K218" s="23">
        <f>+K207-K212+K215</f>
        <v>655</v>
      </c>
    </row>
    <row r="219" spans="1:12">
      <c r="G219" s="2"/>
      <c r="I219" s="2"/>
      <c r="J219" s="2" t="s">
        <v>248</v>
      </c>
      <c r="K219" s="23">
        <f>SUM(K208:K211)</f>
        <v>225</v>
      </c>
    </row>
    <row r="220" spans="1:12">
      <c r="G220" s="2"/>
      <c r="I220" s="2"/>
      <c r="J220" s="2" t="s">
        <v>249</v>
      </c>
      <c r="K220" s="23">
        <f>+K214</f>
        <v>430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A5E7-6ADA-4356-AF79-594256DC3B5F}">
  <sheetPr>
    <tabColor theme="5" tint="0.79998168889431442"/>
  </sheetPr>
  <dimension ref="A1:Z291"/>
  <sheetViews>
    <sheetView topLeftCell="D1" zoomScale="90" zoomScaleNormal="90" workbookViewId="0">
      <pane ySplit="4" topLeftCell="A19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+'7'!G5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+'7'!G6</f>
        <v>15</v>
      </c>
      <c r="D6" s="13">
        <v>0</v>
      </c>
      <c r="E6" s="12">
        <f t="shared" si="0"/>
        <v>15</v>
      </c>
      <c r="F6" s="13">
        <v>0</v>
      </c>
      <c r="G6" s="12">
        <f t="shared" ref="G6:G69" si="4">+E6-F6-H6</f>
        <v>12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2</v>
      </c>
      <c r="H14" s="14">
        <v>3</v>
      </c>
      <c r="I14" s="20">
        <v>65</v>
      </c>
      <c r="J14" s="79">
        <f t="shared" si="5"/>
        <v>195</v>
      </c>
      <c r="K14" s="17" t="s">
        <v>16</v>
      </c>
      <c r="L14" s="18">
        <v>96</v>
      </c>
      <c r="M14" s="23">
        <f t="shared" si="6"/>
        <v>99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+'7'!G22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2</v>
      </c>
      <c r="H22" s="14">
        <v>3</v>
      </c>
      <c r="I22" s="15">
        <v>85</v>
      </c>
      <c r="J22" s="79">
        <f t="shared" si="5"/>
        <v>255</v>
      </c>
      <c r="K22" s="17" t="s">
        <v>16</v>
      </c>
      <c r="L22" s="18">
        <v>126</v>
      </c>
      <c r="M22" s="23">
        <f t="shared" si="6"/>
        <v>129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+'7'!G23</f>
        <v>9</v>
      </c>
      <c r="D23" s="13">
        <v>0</v>
      </c>
      <c r="E23" s="12">
        <f>C23+D23</f>
        <v>9</v>
      </c>
      <c r="F23" s="13">
        <v>0</v>
      </c>
      <c r="G23" s="12">
        <f t="shared" si="4"/>
        <v>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+'7'!G26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4</v>
      </c>
      <c r="H26" s="14">
        <v>1</v>
      </c>
      <c r="I26" s="21">
        <v>100</v>
      </c>
      <c r="J26" s="79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+'7'!G27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+'7'!G30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+'7'!G31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2</v>
      </c>
      <c r="H34" s="14">
        <v>1</v>
      </c>
      <c r="I34" s="15">
        <v>130</v>
      </c>
      <c r="J34" s="79">
        <f t="shared" si="5"/>
        <v>130</v>
      </c>
      <c r="K34" s="17" t="s">
        <v>255</v>
      </c>
      <c r="L34" s="18">
        <v>65</v>
      </c>
      <c r="M34" s="23">
        <f t="shared" si="6"/>
        <v>65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1</v>
      </c>
      <c r="H35" s="14">
        <v>2</v>
      </c>
      <c r="I35" s="15">
        <v>130</v>
      </c>
      <c r="J35" s="79">
        <f t="shared" si="5"/>
        <v>260</v>
      </c>
      <c r="K35" s="17" t="s">
        <v>16</v>
      </c>
      <c r="L35" s="18">
        <v>130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+'7'!G42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+'7'!G43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+'7'!G47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+'7'!G49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+'7'!G50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+'7'!G52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2</v>
      </c>
      <c r="H52" s="14">
        <v>1</v>
      </c>
      <c r="I52" s="21">
        <v>120</v>
      </c>
      <c r="J52" s="79">
        <f t="shared" si="5"/>
        <v>120</v>
      </c>
      <c r="K52" s="17" t="s">
        <v>251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+'7'!G53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0</v>
      </c>
      <c r="H53" s="14">
        <v>1</v>
      </c>
      <c r="I53" s="15">
        <v>120</v>
      </c>
      <c r="J53" s="79">
        <f t="shared" si="5"/>
        <v>120</v>
      </c>
      <c r="K53" s="17" t="s">
        <v>251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+'7'!G54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+'7'!G56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+'7'!G58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+'7'!G67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+'7'!G70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2</v>
      </c>
      <c r="H70" s="14">
        <v>1</v>
      </c>
      <c r="I70" s="20">
        <v>50</v>
      </c>
      <c r="J70" s="79">
        <f t="shared" ref="J70:J133" si="10">+I70*H70</f>
        <v>50</v>
      </c>
      <c r="K70" s="17" t="s">
        <v>255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+'7'!G72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2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+'7'!G75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7</v>
      </c>
      <c r="H75" s="14">
        <v>2</v>
      </c>
      <c r="I75" s="22">
        <v>60</v>
      </c>
      <c r="J75" s="79">
        <f t="shared" si="10"/>
        <v>120</v>
      </c>
      <c r="K75" s="17" t="s">
        <v>16</v>
      </c>
      <c r="L75" s="18">
        <v>0</v>
      </c>
      <c r="M75" s="23">
        <f t="shared" si="11"/>
        <v>120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1</v>
      </c>
      <c r="H79" s="14">
        <v>2</v>
      </c>
      <c r="I79" s="22">
        <v>50</v>
      </c>
      <c r="J79" s="79">
        <f t="shared" si="10"/>
        <v>100</v>
      </c>
      <c r="K79" s="17" t="s">
        <v>255</v>
      </c>
      <c r="L79" s="18">
        <v>50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1</v>
      </c>
      <c r="H81" s="14">
        <v>1</v>
      </c>
      <c r="I81" s="20">
        <v>55</v>
      </c>
      <c r="J81" s="79">
        <f t="shared" si="10"/>
        <v>55</v>
      </c>
      <c r="K81" s="17" t="s">
        <v>251</v>
      </c>
      <c r="L81" s="18">
        <v>29</v>
      </c>
      <c r="M81" s="23">
        <f t="shared" si="11"/>
        <v>26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+'7'!G83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1</v>
      </c>
      <c r="H83" s="14">
        <v>1</v>
      </c>
      <c r="I83" s="22">
        <v>55</v>
      </c>
      <c r="J83" s="79">
        <f t="shared" si="10"/>
        <v>55</v>
      </c>
      <c r="K83" s="17" t="s">
        <v>251</v>
      </c>
      <c r="L83" s="18">
        <v>29</v>
      </c>
      <c r="M83" s="23">
        <f t="shared" si="11"/>
        <v>26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+'7'!G89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5</v>
      </c>
      <c r="H89" s="14">
        <v>1</v>
      </c>
      <c r="I89" s="20">
        <v>55</v>
      </c>
      <c r="J89" s="79">
        <f t="shared" si="10"/>
        <v>55</v>
      </c>
      <c r="K89" s="17" t="s">
        <v>256</v>
      </c>
      <c r="L89" s="18">
        <v>50</v>
      </c>
      <c r="M89" s="23">
        <f t="shared" si="11"/>
        <v>5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+'7'!G98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+'7'!G114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0</v>
      </c>
      <c r="H114" s="14">
        <v>2</v>
      </c>
      <c r="I114" s="20">
        <v>35</v>
      </c>
      <c r="J114" s="79">
        <f t="shared" si="10"/>
        <v>70</v>
      </c>
      <c r="K114" s="17" t="s">
        <v>255</v>
      </c>
      <c r="L114" s="18">
        <v>35</v>
      </c>
      <c r="M114" s="23">
        <f t="shared" si="11"/>
        <v>35</v>
      </c>
    </row>
    <row r="115" spans="1:13" ht="25.5">
      <c r="A115" s="10">
        <v>111</v>
      </c>
      <c r="B115" s="19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+'7'!G164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+'7'!G167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+'7'!G168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+'7'!G169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+'7'!G180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2305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380</v>
      </c>
      <c r="L209" s="2">
        <v>180</v>
      </c>
      <c r="M209" s="2">
        <v>200</v>
      </c>
    </row>
    <row r="210" spans="1:13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3" ht="25.5">
      <c r="A211" s="1"/>
      <c r="B211" s="2" t="s">
        <v>257</v>
      </c>
      <c r="C211" s="31"/>
      <c r="E211" s="31"/>
      <c r="G211" s="31"/>
      <c r="I211" s="133" t="s">
        <v>206</v>
      </c>
      <c r="J211" s="134"/>
      <c r="K211" s="36">
        <f>SUM(L211:N211)</f>
        <v>40</v>
      </c>
      <c r="L211" s="2">
        <v>40</v>
      </c>
    </row>
    <row r="212" spans="1:13" ht="25.5">
      <c r="A212" s="1"/>
      <c r="C212" s="31"/>
      <c r="E212" s="31"/>
      <c r="G212" s="31"/>
      <c r="I212" s="133" t="s">
        <v>207</v>
      </c>
      <c r="J212" s="134"/>
      <c r="K212" s="37">
        <f>SUM(L5:L205)</f>
        <v>705</v>
      </c>
    </row>
    <row r="213" spans="1:13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1160</v>
      </c>
    </row>
    <row r="214" spans="1:13" ht="25.5">
      <c r="A214" s="1"/>
      <c r="C214" s="31"/>
      <c r="E214" s="31"/>
      <c r="G214" s="31"/>
      <c r="I214" s="133" t="s">
        <v>209</v>
      </c>
      <c r="J214" s="134"/>
      <c r="K214" s="37">
        <v>1160</v>
      </c>
    </row>
    <row r="215" spans="1:13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3" ht="25.5">
      <c r="G216" s="2"/>
      <c r="I216" s="133" t="s">
        <v>211</v>
      </c>
      <c r="J216" s="134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247</v>
      </c>
      <c r="K218" s="23">
        <f>+K207-K212+K215</f>
        <v>1600</v>
      </c>
    </row>
    <row r="219" spans="1:13">
      <c r="G219" s="2"/>
      <c r="I219" s="2"/>
      <c r="J219" s="2" t="s">
        <v>248</v>
      </c>
      <c r="K219" s="23">
        <f>SUM(K208:K211)</f>
        <v>440</v>
      </c>
    </row>
    <row r="220" spans="1:13">
      <c r="G220" s="2"/>
      <c r="I220" s="2"/>
      <c r="J220" s="2" t="s">
        <v>249</v>
      </c>
      <c r="K220" s="23">
        <f>+K214</f>
        <v>1160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25D-988C-401D-AE31-EBE6849F2060}">
  <sheetPr>
    <tabColor theme="5" tint="0.79998168889431442"/>
  </sheetPr>
  <dimension ref="A1:Z291"/>
  <sheetViews>
    <sheetView topLeftCell="A2" zoomScale="90" zoomScaleNormal="90" workbookViewId="0">
      <pane ySplit="3" topLeftCell="A58" activePane="bottomLeft" state="frozen"/>
      <selection activeCell="A2" sqref="A2"/>
      <selection pane="bottomLeft" activeCell="A2" sqref="A1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ht="29.25">
      <c r="A1" s="144" t="s">
        <v>267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+'8'!G5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+'8'!G6</f>
        <v>12</v>
      </c>
      <c r="D6" s="13">
        <v>0</v>
      </c>
      <c r="E6" s="12">
        <f t="shared" si="0"/>
        <v>12</v>
      </c>
      <c r="F6" s="13">
        <v>0</v>
      </c>
      <c r="G6" s="12">
        <f t="shared" ref="G6:G69" si="4">+E6-F6-H6</f>
        <v>8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0</v>
      </c>
      <c r="H14" s="14">
        <v>2</v>
      </c>
      <c r="I14" s="20">
        <v>65</v>
      </c>
      <c r="J14" s="79">
        <f t="shared" si="5"/>
        <v>130</v>
      </c>
      <c r="K14" s="17" t="s">
        <v>255</v>
      </c>
      <c r="L14" s="18">
        <v>65</v>
      </c>
      <c r="M14" s="23">
        <f t="shared" si="6"/>
        <v>65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+'8'!G22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0</v>
      </c>
      <c r="H22" s="14">
        <v>2</v>
      </c>
      <c r="I22" s="15">
        <v>85</v>
      </c>
      <c r="J22" s="79">
        <f t="shared" si="5"/>
        <v>170</v>
      </c>
      <c r="K22" s="17" t="s">
        <v>255</v>
      </c>
      <c r="L22" s="18">
        <v>85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+'8'!G23</f>
        <v>7</v>
      </c>
      <c r="D23" s="13">
        <v>0</v>
      </c>
      <c r="E23" s="12">
        <f>C23+D23</f>
        <v>7</v>
      </c>
      <c r="F23" s="13">
        <v>0</v>
      </c>
      <c r="G23" s="12">
        <f t="shared" si="4"/>
        <v>2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+'8'!G27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+'8'!G30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4</v>
      </c>
      <c r="H30" s="14">
        <v>1</v>
      </c>
      <c r="I30" s="15">
        <v>100</v>
      </c>
      <c r="J30" s="79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+'8'!G31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+'8'!G34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0</v>
      </c>
      <c r="H34" s="14">
        <v>2</v>
      </c>
      <c r="I34" s="15">
        <v>130</v>
      </c>
      <c r="J34" s="79">
        <f t="shared" si="5"/>
        <v>260</v>
      </c>
      <c r="K34" s="17" t="s">
        <v>255</v>
      </c>
      <c r="L34" s="18">
        <v>130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+'8'!G35</f>
        <v>1</v>
      </c>
      <c r="D35" s="13">
        <v>0</v>
      </c>
      <c r="E35" s="12">
        <f t="shared" si="0"/>
        <v>1</v>
      </c>
      <c r="F35" s="13">
        <v>0</v>
      </c>
      <c r="G35" s="12">
        <f t="shared" si="4"/>
        <v>0</v>
      </c>
      <c r="H35" s="14">
        <v>1</v>
      </c>
      <c r="I35" s="15">
        <v>130</v>
      </c>
      <c r="J35" s="79">
        <f t="shared" si="5"/>
        <v>130</v>
      </c>
      <c r="K35" s="17" t="s">
        <v>255</v>
      </c>
      <c r="L35" s="18">
        <v>65</v>
      </c>
      <c r="M35" s="23">
        <f t="shared" si="6"/>
        <v>65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+'8'!G37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+'8'!G38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+'8'!G42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0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+'8'!G43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0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0</v>
      </c>
      <c r="H46" s="14">
        <v>3</v>
      </c>
      <c r="I46" s="15">
        <v>50</v>
      </c>
      <c r="J46" s="79">
        <f t="shared" si="5"/>
        <v>150</v>
      </c>
      <c r="K46" s="17" t="s">
        <v>258</v>
      </c>
      <c r="L46" s="18">
        <v>50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3</v>
      </c>
      <c r="H48" s="99">
        <v>1</v>
      </c>
      <c r="I48" s="15">
        <v>50</v>
      </c>
      <c r="J48" s="79">
        <f t="shared" si="5"/>
        <v>50</v>
      </c>
      <c r="K48" s="17" t="s">
        <v>258</v>
      </c>
      <c r="L48" s="18">
        <v>50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+'8'!G49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0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+'8'!G50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0</v>
      </c>
      <c r="H50" s="14">
        <v>1</v>
      </c>
      <c r="I50" s="15">
        <v>120</v>
      </c>
      <c r="J50" s="79">
        <f t="shared" si="5"/>
        <v>120</v>
      </c>
      <c r="K50" s="17" t="s">
        <v>251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21">
        <v>120</v>
      </c>
      <c r="J52" s="79">
        <f t="shared" si="5"/>
        <v>120</v>
      </c>
      <c r="K52" s="17" t="s">
        <v>251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+'8'!G54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2</v>
      </c>
      <c r="H54" s="14">
        <v>3</v>
      </c>
      <c r="I54" s="15">
        <v>120</v>
      </c>
      <c r="J54" s="79">
        <f t="shared" si="5"/>
        <v>360</v>
      </c>
      <c r="K54" s="17" t="s">
        <v>251</v>
      </c>
      <c r="L54" s="18">
        <v>105</v>
      </c>
      <c r="M54" s="23">
        <f t="shared" si="6"/>
        <v>255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+'8'!G56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+'8'!G58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21">
        <v>120</v>
      </c>
      <c r="J58" s="79">
        <f t="shared" si="5"/>
        <v>120</v>
      </c>
      <c r="K58" s="17" t="s">
        <v>251</v>
      </c>
      <c r="L58" s="18">
        <v>35</v>
      </c>
      <c r="M58" s="23">
        <f t="shared" si="6"/>
        <v>85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+'8'!G70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0</v>
      </c>
      <c r="H70" s="14">
        <v>2</v>
      </c>
      <c r="I70" s="20">
        <v>50</v>
      </c>
      <c r="J70" s="79">
        <f t="shared" ref="J70:J133" si="10">+I70*H70</f>
        <v>100</v>
      </c>
      <c r="K70" s="17" t="s">
        <v>255</v>
      </c>
      <c r="L70" s="18">
        <v>50</v>
      </c>
      <c r="M70" s="23">
        <f t="shared" ref="M70:M133" si="11">SUM(J70-L70)</f>
        <v>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+'8'!G72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+'8'!G73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+'8'!G74</f>
        <v>6</v>
      </c>
      <c r="D74" s="13">
        <v>0</v>
      </c>
      <c r="E74" s="12">
        <f t="shared" si="0"/>
        <v>6</v>
      </c>
      <c r="F74" s="13">
        <v>0</v>
      </c>
      <c r="G74" s="100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+'8'!G75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+'8'!G76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+'8'!G79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0</v>
      </c>
      <c r="H79" s="14">
        <v>1</v>
      </c>
      <c r="I79" s="22">
        <v>50</v>
      </c>
      <c r="J79" s="79">
        <f t="shared" si="10"/>
        <v>50</v>
      </c>
      <c r="K79" s="17" t="s">
        <v>255</v>
      </c>
      <c r="L79" s="18">
        <v>25</v>
      </c>
      <c r="M79" s="23">
        <f t="shared" si="11"/>
        <v>25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+'8'!G81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0</v>
      </c>
      <c r="H81" s="14">
        <v>1</v>
      </c>
      <c r="I81" s="20">
        <v>55</v>
      </c>
      <c r="J81" s="79">
        <f t="shared" si="10"/>
        <v>55</v>
      </c>
      <c r="K81" s="17" t="s">
        <v>255</v>
      </c>
      <c r="L81" s="18">
        <v>28</v>
      </c>
      <c r="M81" s="23">
        <f t="shared" si="11"/>
        <v>27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+'8'!G83</f>
        <v>1</v>
      </c>
      <c r="D83" s="13">
        <v>0</v>
      </c>
      <c r="E83" s="12">
        <f t="shared" si="0"/>
        <v>1</v>
      </c>
      <c r="F83" s="13">
        <v>0</v>
      </c>
      <c r="G83" s="12">
        <f t="shared" si="9"/>
        <v>1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+'8'!G89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+'8'!G98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+'8'!G164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+'8'!G167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+'8'!G168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+'8'!G169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+'8'!G180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2207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2965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760</v>
      </c>
      <c r="L209" s="2">
        <v>340</v>
      </c>
      <c r="M209" s="2">
        <v>50</v>
      </c>
      <c r="N209" s="2">
        <v>200</v>
      </c>
      <c r="O209" s="2">
        <v>100</v>
      </c>
      <c r="P209" s="2">
        <v>70</v>
      </c>
    </row>
    <row r="210" spans="1:16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6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6" ht="25.5">
      <c r="A212" s="1"/>
      <c r="C212" s="31"/>
      <c r="E212" s="31"/>
      <c r="G212" s="31"/>
      <c r="I212" s="133" t="s">
        <v>207</v>
      </c>
      <c r="J212" s="134"/>
      <c r="K212" s="37">
        <f>SUM(L5:L205)</f>
        <v>758</v>
      </c>
    </row>
    <row r="213" spans="1:16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1427</v>
      </c>
    </row>
    <row r="214" spans="1:16" ht="25.5">
      <c r="A214" s="1"/>
      <c r="C214" s="31"/>
      <c r="E214" s="31"/>
      <c r="G214" s="31"/>
      <c r="I214" s="133" t="s">
        <v>209</v>
      </c>
      <c r="J214" s="134"/>
      <c r="K214" s="37">
        <v>1427</v>
      </c>
    </row>
    <row r="215" spans="1:16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6" ht="25.5">
      <c r="G216" s="2"/>
      <c r="I216" s="133" t="s">
        <v>211</v>
      </c>
      <c r="J216" s="134"/>
      <c r="K216" s="33">
        <f>+K214-K213</f>
        <v>0</v>
      </c>
    </row>
    <row r="217" spans="1:16">
      <c r="G217" s="2"/>
      <c r="I217" s="2"/>
    </row>
    <row r="218" spans="1:16">
      <c r="G218" s="2"/>
      <c r="I218" s="2"/>
      <c r="J218" s="98" t="s">
        <v>247</v>
      </c>
      <c r="K218" s="23">
        <f>+K207-K212+K215</f>
        <v>2207</v>
      </c>
    </row>
    <row r="219" spans="1:16">
      <c r="G219" s="2"/>
      <c r="I219" s="2"/>
      <c r="J219" s="2" t="s">
        <v>248</v>
      </c>
      <c r="K219" s="23">
        <f>SUM(K208:K211)</f>
        <v>780</v>
      </c>
    </row>
    <row r="220" spans="1:16">
      <c r="G220" s="2"/>
      <c r="I220" s="2"/>
      <c r="J220" s="2" t="s">
        <v>249</v>
      </c>
      <c r="K220" s="23">
        <f>+K214</f>
        <v>1427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3">
    <mergeCell ref="A1:K1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A83-DB17-45D2-8436-428159FEF79B}">
  <sheetPr>
    <tabColor theme="5" tint="0.79998168889431442"/>
  </sheetPr>
  <dimension ref="A1:Z291"/>
  <sheetViews>
    <sheetView zoomScale="90" zoomScaleNormal="90" workbookViewId="0">
      <pane ySplit="4" topLeftCell="A6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+'9'!G5</f>
        <v>4</v>
      </c>
      <c r="D5" s="13">
        <v>5</v>
      </c>
      <c r="E5" s="12">
        <f t="shared" ref="E5:E94" si="0">C5+D5</f>
        <v>9</v>
      </c>
      <c r="F5" s="13">
        <v>0</v>
      </c>
      <c r="G5" s="12">
        <f>+E5-F5-H5</f>
        <v>6</v>
      </c>
      <c r="H5" s="14">
        <v>3</v>
      </c>
      <c r="I5" s="15">
        <v>50</v>
      </c>
      <c r="J5" s="79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+'9'!G6</f>
        <v>8</v>
      </c>
      <c r="D6" s="13">
        <v>20</v>
      </c>
      <c r="E6" s="12">
        <f t="shared" si="0"/>
        <v>28</v>
      </c>
      <c r="F6" s="13">
        <v>0</v>
      </c>
      <c r="G6" s="12">
        <f t="shared" ref="G6:G69" si="4">+E6-F6-H6</f>
        <v>26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259</v>
      </c>
      <c r="C13" s="12">
        <f>+'9'!G13</f>
        <v>0</v>
      </c>
      <c r="D13" s="13">
        <v>2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+'9'!G23</f>
        <v>2</v>
      </c>
      <c r="D23" s="13">
        <v>20</v>
      </c>
      <c r="E23" s="12">
        <f>C23+D23</f>
        <v>22</v>
      </c>
      <c r="F23" s="13">
        <v>0</v>
      </c>
      <c r="G23" s="12">
        <f t="shared" si="4"/>
        <v>20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10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+'9'!G27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+'9'!G29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+'9'!G30</f>
        <v>4</v>
      </c>
      <c r="D30" s="13">
        <v>0</v>
      </c>
      <c r="E30" s="12">
        <f t="shared" si="0"/>
        <v>4</v>
      </c>
      <c r="F30" s="13">
        <v>0</v>
      </c>
      <c r="G30" s="12">
        <f t="shared" si="4"/>
        <v>4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+'9'!G31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+'9'!G34</f>
        <v>0</v>
      </c>
      <c r="D34" s="13">
        <v>5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+'9'!G37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+'9'!G38</f>
        <v>0</v>
      </c>
      <c r="D38" s="13">
        <v>6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+'9'!G39</f>
        <v>0</v>
      </c>
      <c r="D39" s="13">
        <v>4</v>
      </c>
      <c r="E39" s="12">
        <f t="shared" si="0"/>
        <v>4</v>
      </c>
      <c r="F39" s="13">
        <v>0</v>
      </c>
      <c r="G39" s="12">
        <f t="shared" si="4"/>
        <v>2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+'9'!G40</f>
        <v>2</v>
      </c>
      <c r="D40" s="13">
        <v>4</v>
      </c>
      <c r="E40" s="12">
        <f t="shared" si="0"/>
        <v>6</v>
      </c>
      <c r="F40" s="13">
        <v>0</v>
      </c>
      <c r="G40" s="12">
        <f t="shared" si="4"/>
        <v>4</v>
      </c>
      <c r="H40" s="14">
        <v>2</v>
      </c>
      <c r="I40" s="15">
        <v>50</v>
      </c>
      <c r="J40" s="79">
        <f t="shared" si="5"/>
        <v>100</v>
      </c>
      <c r="K40" s="17" t="s">
        <v>260</v>
      </c>
      <c r="L40" s="18">
        <v>25</v>
      </c>
      <c r="M40" s="23">
        <f t="shared" si="6"/>
        <v>75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5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+'9'!G43</f>
        <v>0</v>
      </c>
      <c r="D43" s="13">
        <v>5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+'9'!G44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+'9'!G46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+'9'!G50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3</v>
      </c>
      <c r="H50" s="14">
        <v>2</v>
      </c>
      <c r="I50" s="15">
        <v>120</v>
      </c>
      <c r="J50" s="79">
        <f t="shared" si="5"/>
        <v>240</v>
      </c>
      <c r="K50" s="17" t="s">
        <v>251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+'9'!G51</f>
        <v>0</v>
      </c>
      <c r="D51" s="13">
        <v>5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+'9'!G52</f>
        <v>1</v>
      </c>
      <c r="D52" s="13">
        <v>5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10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+'9'!G56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99"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/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99">
        <v>2</v>
      </c>
      <c r="D69" s="13">
        <v>0</v>
      </c>
      <c r="E69" s="12">
        <f t="shared" si="0"/>
        <v>2</v>
      </c>
      <c r="F69" s="13">
        <v>0</v>
      </c>
      <c r="G69" s="12">
        <f t="shared" si="4"/>
        <v>1</v>
      </c>
      <c r="H69" s="14">
        <v>1</v>
      </c>
      <c r="I69" s="20">
        <v>25</v>
      </c>
      <c r="J69" s="79">
        <f t="shared" si="5"/>
        <v>25</v>
      </c>
      <c r="K69" s="17" t="s">
        <v>260</v>
      </c>
      <c r="L69" s="18">
        <v>12</v>
      </c>
      <c r="M69" s="23">
        <f t="shared" si="6"/>
        <v>13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+'9'!G70</f>
        <v>0</v>
      </c>
      <c r="D70" s="13">
        <v>3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+'9'!G72</f>
        <v>1</v>
      </c>
      <c r="D72" s="13">
        <v>2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+'9'!G73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2</v>
      </c>
      <c r="H74" s="14">
        <v>4</v>
      </c>
      <c r="I74" s="22">
        <v>120</v>
      </c>
      <c r="J74" s="79">
        <f t="shared" si="10"/>
        <v>480</v>
      </c>
      <c r="K74" s="17" t="s">
        <v>16</v>
      </c>
      <c r="L74" s="18">
        <v>0</v>
      </c>
      <c r="M74" s="23">
        <f t="shared" si="11"/>
        <v>480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+'9'!G75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+'9'!G76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2</v>
      </c>
      <c r="H76" s="14">
        <v>2</v>
      </c>
      <c r="I76" s="22">
        <v>120</v>
      </c>
      <c r="J76" s="79">
        <f t="shared" si="10"/>
        <v>240</v>
      </c>
      <c r="K76" s="17" t="s">
        <v>16</v>
      </c>
      <c r="L76" s="18">
        <v>0</v>
      </c>
      <c r="M76" s="23">
        <f t="shared" si="11"/>
        <v>240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+'9'!G79</f>
        <v>0</v>
      </c>
      <c r="D79" s="13">
        <v>4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+'9'!G81</f>
        <v>0</v>
      </c>
      <c r="D81" s="13">
        <v>2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+'9'!G83</f>
        <v>1</v>
      </c>
      <c r="D83" s="13">
        <v>0</v>
      </c>
      <c r="E83" s="12">
        <f t="shared" si="0"/>
        <v>1</v>
      </c>
      <c r="F83" s="13">
        <v>0</v>
      </c>
      <c r="G83" s="12">
        <f t="shared" si="9"/>
        <v>1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+'9'!G85</f>
        <v>3</v>
      </c>
      <c r="D85" s="13">
        <v>3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+'9'!G86</f>
        <v>1</v>
      </c>
      <c r="D86" s="13">
        <v>3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+'9'!G89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+'9'!G98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+'9'!G114</f>
        <v>0</v>
      </c>
      <c r="D114" s="13">
        <v>1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+'9'!G150</f>
        <v>0</v>
      </c>
      <c r="D150" s="13">
        <v>1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+'9'!G152</f>
        <v>0</v>
      </c>
      <c r="D152" s="13">
        <v>1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+'9'!G164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+'9'!G167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0</v>
      </c>
      <c r="H167" s="14">
        <v>1</v>
      </c>
      <c r="I167" s="20">
        <v>50</v>
      </c>
      <c r="J167" s="79">
        <f t="shared" si="15"/>
        <v>50</v>
      </c>
      <c r="K167" s="17" t="s">
        <v>250</v>
      </c>
      <c r="L167" s="18">
        <v>50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+'9'!G168</f>
        <v>1</v>
      </c>
      <c r="D168" s="13">
        <v>15</v>
      </c>
      <c r="E168" s="12">
        <f t="shared" si="13"/>
        <v>16</v>
      </c>
      <c r="F168" s="13">
        <v>0</v>
      </c>
      <c r="G168" s="12">
        <f t="shared" si="14"/>
        <v>16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+'9'!G169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+'9'!G176</f>
        <v>0</v>
      </c>
      <c r="D176" s="13">
        <v>1</v>
      </c>
      <c r="E176" s="12">
        <f t="shared" si="13"/>
        <v>1</v>
      </c>
      <c r="F176" s="13">
        <v>0</v>
      </c>
      <c r="G176" s="12">
        <f t="shared" si="14"/>
        <v>0</v>
      </c>
      <c r="H176" s="14">
        <v>1</v>
      </c>
      <c r="I176" s="20">
        <v>50</v>
      </c>
      <c r="J176" s="79">
        <f t="shared" si="15"/>
        <v>50</v>
      </c>
      <c r="K176" s="17" t="s">
        <v>250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+'9'!G178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+'9'!G180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1678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1885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350</v>
      </c>
      <c r="L209" s="2">
        <v>150</v>
      </c>
      <c r="M209" s="2">
        <v>200</v>
      </c>
    </row>
    <row r="210" spans="1:13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3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3" ht="25.5">
      <c r="A212" s="1"/>
      <c r="C212" s="31"/>
      <c r="E212" s="31"/>
      <c r="G212" s="31"/>
      <c r="I212" s="133" t="s">
        <v>207</v>
      </c>
      <c r="J212" s="134"/>
      <c r="K212" s="37">
        <f>SUM(L5:L205)</f>
        <v>207</v>
      </c>
    </row>
    <row r="213" spans="1:13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1308</v>
      </c>
    </row>
    <row r="214" spans="1:13" ht="25.5">
      <c r="A214" s="1"/>
      <c r="C214" s="31"/>
      <c r="E214" s="31"/>
      <c r="G214" s="31"/>
      <c r="I214" s="133" t="s">
        <v>209</v>
      </c>
      <c r="J214" s="134"/>
      <c r="K214" s="37">
        <v>1308</v>
      </c>
    </row>
    <row r="215" spans="1:13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3" ht="25.5">
      <c r="G216" s="2"/>
      <c r="I216" s="133" t="s">
        <v>211</v>
      </c>
      <c r="J216" s="134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247</v>
      </c>
      <c r="K218" s="23">
        <f>+K207-K212+K215</f>
        <v>1678</v>
      </c>
    </row>
    <row r="219" spans="1:13">
      <c r="G219" s="2"/>
      <c r="I219" s="2"/>
      <c r="J219" s="2" t="s">
        <v>248</v>
      </c>
      <c r="K219" s="23">
        <f>SUM(K208:K211)</f>
        <v>370</v>
      </c>
    </row>
    <row r="220" spans="1:13">
      <c r="G220" s="2"/>
      <c r="I220" s="2"/>
      <c r="J220" s="2" t="s">
        <v>249</v>
      </c>
      <c r="K220" s="23">
        <f>+K214</f>
        <v>1308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4EC-7F75-4C0A-B33F-7C0CA109DC35}">
  <sheetPr>
    <tabColor theme="5" tint="0.79998168889431442"/>
  </sheetPr>
  <dimension ref="A1:Z291"/>
  <sheetViews>
    <sheetView zoomScale="90" zoomScaleNormal="90" workbookViewId="0">
      <pane ySplit="4" topLeftCell="A7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+'10'!G5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+'10'!G6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69" si="4">+E6-F6-H6</f>
        <v>19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+'10'!G13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+'10'!G23</f>
        <v>20</v>
      </c>
      <c r="D23" s="13">
        <v>0</v>
      </c>
      <c r="E23" s="12">
        <f>C23+D23</f>
        <v>20</v>
      </c>
      <c r="F23" s="13">
        <v>0</v>
      </c>
      <c r="G23" s="12">
        <f t="shared" si="4"/>
        <v>15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+'10'!G24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+'10'!G27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2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+'10'!G30</f>
        <v>4</v>
      </c>
      <c r="D30" s="13">
        <v>0</v>
      </c>
      <c r="E30" s="12">
        <f t="shared" si="0"/>
        <v>4</v>
      </c>
      <c r="F30" s="13">
        <v>0</v>
      </c>
      <c r="G30" s="12">
        <f t="shared" si="4"/>
        <v>3</v>
      </c>
      <c r="H30" s="14">
        <v>1</v>
      </c>
      <c r="I30" s="15">
        <v>100</v>
      </c>
      <c r="J30" s="79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+'10'!G33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3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+'10'!G37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+'10'!G38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1</v>
      </c>
      <c r="H38" s="14">
        <v>5</v>
      </c>
      <c r="I38" s="15">
        <v>50</v>
      </c>
      <c r="J38" s="79">
        <f t="shared" si="5"/>
        <v>250</v>
      </c>
      <c r="K38" s="17" t="s">
        <v>261</v>
      </c>
      <c r="L38" s="18">
        <v>100</v>
      </c>
      <c r="M38" s="23">
        <f t="shared" si="6"/>
        <v>150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+'10'!G40</f>
        <v>4</v>
      </c>
      <c r="D40" s="13">
        <v>0</v>
      </c>
      <c r="E40" s="12">
        <f t="shared" si="0"/>
        <v>4</v>
      </c>
      <c r="F40" s="13">
        <v>1</v>
      </c>
      <c r="G40" s="12">
        <f t="shared" si="4"/>
        <v>1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+'10'!G47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+'10'!G50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0</v>
      </c>
      <c r="H50" s="14">
        <v>3</v>
      </c>
      <c r="I50" s="15">
        <v>120</v>
      </c>
      <c r="J50" s="79">
        <f t="shared" si="5"/>
        <v>360</v>
      </c>
      <c r="K50" s="17" t="s">
        <v>251</v>
      </c>
      <c r="L50" s="18">
        <v>105</v>
      </c>
      <c r="M50" s="23">
        <f t="shared" si="6"/>
        <v>255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+'10'!G51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251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+'10'!G52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+'10'!G53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251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0</v>
      </c>
      <c r="H54" s="14">
        <v>2</v>
      </c>
      <c r="I54" s="15">
        <v>120</v>
      </c>
      <c r="J54" s="79">
        <f t="shared" si="5"/>
        <v>240</v>
      </c>
      <c r="K54" s="17" t="s">
        <v>251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+'10'!G55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7</v>
      </c>
      <c r="H55" s="14">
        <v>3</v>
      </c>
      <c r="I55" s="21">
        <v>120</v>
      </c>
      <c r="J55" s="79">
        <f t="shared" si="5"/>
        <v>360</v>
      </c>
      <c r="K55" s="17" t="s">
        <v>251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+'10'!G56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+'10'!G69</f>
        <v>1</v>
      </c>
      <c r="D69" s="13">
        <v>0</v>
      </c>
      <c r="E69" s="12">
        <f t="shared" si="0"/>
        <v>1</v>
      </c>
      <c r="F69" s="13">
        <v>1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+'10'!G70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2</v>
      </c>
      <c r="H70" s="14">
        <v>1</v>
      </c>
      <c r="I70" s="20">
        <v>50</v>
      </c>
      <c r="J70" s="79">
        <f t="shared" ref="J70:J133" si="10">+I70*H70</f>
        <v>50</v>
      </c>
      <c r="K70" s="17" t="s">
        <v>258</v>
      </c>
      <c r="L70" s="18">
        <v>50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+'10'!G72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+'10'!G73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0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+'10'!G74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1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+'10'!G75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+'10'!G76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2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+'10'!G83</f>
        <v>1</v>
      </c>
      <c r="D83" s="13">
        <v>0</v>
      </c>
      <c r="E83" s="12">
        <f t="shared" si="0"/>
        <v>1</v>
      </c>
      <c r="F83" s="13">
        <v>1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+'10'!G86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+'10'!G89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4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+'10'!G98</f>
        <v>1</v>
      </c>
      <c r="D98" s="13">
        <v>0</v>
      </c>
      <c r="E98" s="12">
        <f t="shared" si="13"/>
        <v>1</v>
      </c>
      <c r="F98" s="13">
        <v>1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+'10'!G114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+'10'!G150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120</v>
      </c>
      <c r="J150" s="79">
        <f t="shared" si="15"/>
        <v>120</v>
      </c>
      <c r="K150" s="17" t="s">
        <v>16</v>
      </c>
      <c r="L150" s="18">
        <v>0</v>
      </c>
      <c r="M150" s="23">
        <f t="shared" si="16"/>
        <v>120</v>
      </c>
    </row>
    <row r="151" spans="1:13" ht="25.5">
      <c r="A151" s="10">
        <v>147</v>
      </c>
      <c r="B151" s="19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+'10'!G152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+'10'!G164</f>
        <v>1</v>
      </c>
      <c r="D164" s="13">
        <v>0</v>
      </c>
      <c r="E164" s="12">
        <f t="shared" si="13"/>
        <v>1</v>
      </c>
      <c r="F164" s="13">
        <v>1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+'10'!G168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13</v>
      </c>
      <c r="H168" s="14">
        <v>3</v>
      </c>
      <c r="I168" s="20">
        <v>55</v>
      </c>
      <c r="J168" s="79">
        <f t="shared" si="15"/>
        <v>165</v>
      </c>
      <c r="K168" s="17" t="s">
        <v>16</v>
      </c>
      <c r="L168" s="18">
        <v>0</v>
      </c>
      <c r="M168" s="23">
        <f t="shared" si="16"/>
        <v>165</v>
      </c>
    </row>
    <row r="169" spans="1:13" ht="25.5">
      <c r="A169" s="10">
        <v>165</v>
      </c>
      <c r="B169" s="19" t="s">
        <v>181</v>
      </c>
      <c r="C169" s="12">
        <f>+'10'!G169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-1</v>
      </c>
      <c r="H176" s="14">
        <v>1</v>
      </c>
      <c r="I176" s="20">
        <v>50</v>
      </c>
      <c r="J176" s="79">
        <f t="shared" si="15"/>
        <v>50</v>
      </c>
      <c r="K176" s="17" t="s">
        <v>250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+'10'!G178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+'10'!G180</f>
        <v>4</v>
      </c>
      <c r="D180" s="13">
        <v>0</v>
      </c>
      <c r="E180" s="12">
        <f t="shared" si="13"/>
        <v>4</v>
      </c>
      <c r="F180" s="13">
        <v>4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3595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4145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875</v>
      </c>
      <c r="L209" s="2">
        <v>100</v>
      </c>
      <c r="M209" s="2">
        <v>570</v>
      </c>
      <c r="N209" s="2">
        <v>205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550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2700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2700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3595</v>
      </c>
    </row>
    <row r="219" spans="1:14">
      <c r="G219" s="2"/>
      <c r="I219" s="2"/>
      <c r="J219" s="2" t="s">
        <v>248</v>
      </c>
      <c r="K219" s="23">
        <f>SUM(K208:K211)</f>
        <v>895</v>
      </c>
    </row>
    <row r="220" spans="1:14">
      <c r="G220" s="2"/>
      <c r="I220" s="2"/>
      <c r="J220" s="2" t="s">
        <v>249</v>
      </c>
      <c r="K220" s="23">
        <f>+K214</f>
        <v>2700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BFA2-796F-4D40-A564-5529B91C5716}">
  <sheetPr>
    <tabColor theme="5" tint="0.79998168889431442"/>
  </sheetPr>
  <dimension ref="A1:Z291"/>
  <sheetViews>
    <sheetView zoomScale="90" zoomScaleNormal="90" workbookViewId="0">
      <pane ySplit="4" topLeftCell="A7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2</v>
      </c>
      <c r="H5" s="14">
        <v>4</v>
      </c>
      <c r="I5" s="15">
        <v>50</v>
      </c>
      <c r="J5" s="79">
        <f>+I5*H5</f>
        <v>200</v>
      </c>
      <c r="K5" s="17" t="s">
        <v>258</v>
      </c>
      <c r="L5" s="18">
        <v>50</v>
      </c>
      <c r="M5" s="23">
        <f>SUM(J5-L5)</f>
        <v>150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+'11'!G6</f>
        <v>19</v>
      </c>
      <c r="D6" s="13">
        <v>0</v>
      </c>
      <c r="E6" s="12">
        <f t="shared" si="0"/>
        <v>19</v>
      </c>
      <c r="F6" s="13">
        <v>0</v>
      </c>
      <c r="G6" s="12">
        <f t="shared" ref="G6:G69" si="4">+E6-F6-H6</f>
        <v>7</v>
      </c>
      <c r="H6" s="14">
        <v>12</v>
      </c>
      <c r="I6" s="15">
        <v>100</v>
      </c>
      <c r="J6" s="79">
        <f t="shared" ref="J6:J69" si="5">+I6*H6</f>
        <v>1200</v>
      </c>
      <c r="K6" s="17" t="s">
        <v>16</v>
      </c>
      <c r="L6" s="18">
        <v>0</v>
      </c>
      <c r="M6" s="23">
        <f t="shared" ref="M6:M69" si="6">SUM(J6-L6)</f>
        <v>1200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+'11'!G13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+'11'!G23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10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+'11'!G24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8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+'11'!G26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+'11'!G27</f>
        <v>2</v>
      </c>
      <c r="D27" s="13">
        <v>0</v>
      </c>
      <c r="E27" s="12">
        <f t="shared" si="0"/>
        <v>2</v>
      </c>
      <c r="F27" s="13">
        <v>0</v>
      </c>
      <c r="G27" s="12">
        <f t="shared" si="4"/>
        <v>2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+'11'!G29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+'11'!G30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+'11'!G31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+'11'!G33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4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8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+'11'!G38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0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+'11'!G40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0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4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+'11'!G47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+'11'!G50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+'11'!G51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3</v>
      </c>
      <c r="H51" s="14">
        <v>1</v>
      </c>
      <c r="I51" s="15">
        <v>120</v>
      </c>
      <c r="J51" s="79">
        <f t="shared" si="5"/>
        <v>120</v>
      </c>
      <c r="K51" s="17" t="s">
        <v>251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+'11'!G52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5</v>
      </c>
      <c r="H52" s="14">
        <v>1</v>
      </c>
      <c r="I52" s="21">
        <v>120</v>
      </c>
      <c r="J52" s="79">
        <f t="shared" si="5"/>
        <v>120</v>
      </c>
      <c r="K52" s="17" t="s">
        <v>251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+'11'!G53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251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+'11'!G55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6</v>
      </c>
      <c r="H55" s="14">
        <v>1</v>
      </c>
      <c r="I55" s="21">
        <v>120</v>
      </c>
      <c r="J55" s="79">
        <f t="shared" si="5"/>
        <v>120</v>
      </c>
      <c r="K55" s="17" t="s">
        <v>251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+'11'!G56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+'11'!G70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+'11'!G72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258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+'11'!G74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+'11'!G75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+'11'!G76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+'11'!G79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1</v>
      </c>
      <c r="H79" s="14">
        <v>1</v>
      </c>
      <c r="I79" s="22">
        <v>50</v>
      </c>
      <c r="J79" s="79">
        <f t="shared" si="10"/>
        <v>50</v>
      </c>
      <c r="K79" s="17" t="s">
        <v>258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+'11'!G85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+'11'!G89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3</v>
      </c>
      <c r="H89" s="14">
        <v>1</v>
      </c>
      <c r="I89" s="20">
        <v>55</v>
      </c>
      <c r="J89" s="79">
        <f t="shared" si="10"/>
        <v>55</v>
      </c>
      <c r="K89" s="17" t="s">
        <v>255</v>
      </c>
      <c r="L89" s="18">
        <v>27</v>
      </c>
      <c r="M89" s="23">
        <f t="shared" si="11"/>
        <v>28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+'11'!G114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+'11'!G152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+'11'!G168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+'11'!G169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+'11'!G176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-2</v>
      </c>
      <c r="H176" s="14">
        <v>1</v>
      </c>
      <c r="I176" s="20">
        <v>50</v>
      </c>
      <c r="J176" s="79">
        <f t="shared" si="15"/>
        <v>50</v>
      </c>
      <c r="K176" s="17" t="s">
        <v>258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+'11'!G178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3098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3465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670</v>
      </c>
      <c r="L209" s="2">
        <v>300</v>
      </c>
      <c r="M209" s="2">
        <v>200</v>
      </c>
      <c r="N209" s="2">
        <v>130</v>
      </c>
      <c r="O209" s="2">
        <v>40</v>
      </c>
    </row>
    <row r="210" spans="1:15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5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5" ht="25.5">
      <c r="A212" s="1"/>
      <c r="C212" s="31"/>
      <c r="E212" s="31"/>
      <c r="G212" s="31"/>
      <c r="I212" s="133" t="s">
        <v>207</v>
      </c>
      <c r="J212" s="134"/>
      <c r="K212" s="37">
        <f>SUM(L5:L205)</f>
        <v>367</v>
      </c>
    </row>
    <row r="213" spans="1:15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2413</v>
      </c>
    </row>
    <row r="214" spans="1:15" ht="25.5">
      <c r="A214" s="1"/>
      <c r="C214" s="31"/>
      <c r="E214" s="31"/>
      <c r="G214" s="31"/>
      <c r="I214" s="133" t="s">
        <v>209</v>
      </c>
      <c r="J214" s="134"/>
      <c r="K214" s="37">
        <v>2413</v>
      </c>
    </row>
    <row r="215" spans="1:15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5" ht="25.5">
      <c r="G216" s="2"/>
      <c r="I216" s="133" t="s">
        <v>211</v>
      </c>
      <c r="J216" s="134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247</v>
      </c>
      <c r="K218" s="23">
        <f>+K207-K212+K215</f>
        <v>3098</v>
      </c>
    </row>
    <row r="219" spans="1:15">
      <c r="G219" s="2"/>
      <c r="I219" s="2"/>
      <c r="J219" s="2" t="s">
        <v>248</v>
      </c>
      <c r="K219" s="23">
        <f>SUM(K208:K211)</f>
        <v>685</v>
      </c>
    </row>
    <row r="220" spans="1:15">
      <c r="G220" s="2"/>
      <c r="I220" s="2"/>
      <c r="J220" s="2" t="s">
        <v>249</v>
      </c>
      <c r="K220" s="23">
        <f>+K214</f>
        <v>2413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8679-0796-4807-8226-AC4C26E23646}">
  <sheetPr>
    <tabColor theme="5" tint="0.79998168889431442"/>
  </sheetPr>
  <dimension ref="A1:Z291"/>
  <sheetViews>
    <sheetView zoomScaleNormal="100" workbookViewId="0">
      <pane ySplit="4" topLeftCell="A67" activePane="bottomLeft" state="frozen"/>
      <selection activeCell="B1" sqref="B1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+'12'!G5</f>
        <v>2</v>
      </c>
      <c r="D5" s="13">
        <v>0</v>
      </c>
      <c r="E5" s="12">
        <f t="shared" ref="E5:E94" si="0">C5+D5</f>
        <v>2</v>
      </c>
      <c r="F5" s="13">
        <v>0</v>
      </c>
      <c r="G5" s="12">
        <f>+E5-F5-H5</f>
        <v>1</v>
      </c>
      <c r="H5" s="14">
        <v>1</v>
      </c>
      <c r="I5" s="15">
        <v>50</v>
      </c>
      <c r="J5" s="79">
        <f>+I5*H5</f>
        <v>50</v>
      </c>
      <c r="K5" s="17" t="s">
        <v>258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+'12'!G6</f>
        <v>7</v>
      </c>
      <c r="D6" s="13">
        <v>0</v>
      </c>
      <c r="E6" s="12">
        <f t="shared" si="0"/>
        <v>7</v>
      </c>
      <c r="F6" s="13">
        <v>0</v>
      </c>
      <c r="G6" s="12">
        <f t="shared" ref="G6:G69" si="4">+E6-F6-H6</f>
        <v>6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+'12'!G13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+'12'!G23</f>
        <v>10</v>
      </c>
      <c r="D23" s="13">
        <v>0</v>
      </c>
      <c r="E23" s="12">
        <f>C23+D23</f>
        <v>10</v>
      </c>
      <c r="F23" s="13">
        <v>0</v>
      </c>
      <c r="G23" s="12">
        <f t="shared" si="4"/>
        <v>6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+'12'!G24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6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+'12'!G26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+'12'!G27</f>
        <v>2</v>
      </c>
      <c r="D27" s="13">
        <v>0</v>
      </c>
      <c r="E27" s="12">
        <f t="shared" si="0"/>
        <v>2</v>
      </c>
      <c r="F27" s="13">
        <v>0</v>
      </c>
      <c r="G27" s="12">
        <f t="shared" si="4"/>
        <v>2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+'12'!G29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+'12'!G30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+'12'!G33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+'12'!G34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3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+'12'!G37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1</v>
      </c>
      <c r="H37" s="14">
        <v>7</v>
      </c>
      <c r="I37" s="15">
        <v>100</v>
      </c>
      <c r="J37" s="79">
        <f t="shared" si="5"/>
        <v>700</v>
      </c>
      <c r="K37" s="17" t="s">
        <v>16</v>
      </c>
      <c r="L37" s="18">
        <v>0</v>
      </c>
      <c r="M37" s="23">
        <f t="shared" si="6"/>
        <v>700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3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3</v>
      </c>
      <c r="H44" s="14">
        <v>2</v>
      </c>
      <c r="I44" s="15">
        <v>50</v>
      </c>
      <c r="J44" s="79">
        <f t="shared" si="5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3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+'12'!G47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9</v>
      </c>
      <c r="H47" s="14">
        <v>1</v>
      </c>
      <c r="I47" s="15">
        <v>50</v>
      </c>
      <c r="J47" s="79">
        <f t="shared" si="5"/>
        <v>50</v>
      </c>
      <c r="K47" s="17" t="s">
        <v>258</v>
      </c>
      <c r="L47" s="18">
        <v>50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+'12'!G48</f>
        <v>3</v>
      </c>
      <c r="D48" s="13">
        <v>0</v>
      </c>
      <c r="E48" s="12">
        <f t="shared" si="0"/>
        <v>3</v>
      </c>
      <c r="F48" s="13">
        <v>3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+'12'!G50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+'12'!G51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0</v>
      </c>
      <c r="H51" s="14">
        <v>3</v>
      </c>
      <c r="I51" s="15">
        <v>120</v>
      </c>
      <c r="J51" s="79">
        <f t="shared" si="5"/>
        <v>360</v>
      </c>
      <c r="K51" s="17" t="s">
        <v>251</v>
      </c>
      <c r="L51" s="18">
        <v>105</v>
      </c>
      <c r="M51" s="23">
        <f t="shared" si="6"/>
        <v>255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+'12'!G52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0</v>
      </c>
      <c r="H52" s="14">
        <v>5</v>
      </c>
      <c r="I52" s="21">
        <v>120</v>
      </c>
      <c r="J52" s="79">
        <f t="shared" si="5"/>
        <v>600</v>
      </c>
      <c r="K52" s="17" t="s">
        <v>251</v>
      </c>
      <c r="L52" s="18">
        <v>175</v>
      </c>
      <c r="M52" s="23">
        <f t="shared" si="6"/>
        <v>425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+'12'!G53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0</v>
      </c>
      <c r="H53" s="14">
        <v>3</v>
      </c>
      <c r="I53" s="15">
        <v>120</v>
      </c>
      <c r="J53" s="79">
        <f t="shared" si="5"/>
        <v>360</v>
      </c>
      <c r="K53" s="17" t="s">
        <v>251</v>
      </c>
      <c r="L53" s="18">
        <v>105</v>
      </c>
      <c r="M53" s="23">
        <f t="shared" si="6"/>
        <v>255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+'12'!G55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1</v>
      </c>
      <c r="H55" s="14">
        <v>5</v>
      </c>
      <c r="I55" s="21">
        <v>120</v>
      </c>
      <c r="J55" s="79">
        <f t="shared" si="5"/>
        <v>600</v>
      </c>
      <c r="K55" s="17" t="s">
        <v>251</v>
      </c>
      <c r="L55" s="18">
        <v>175</v>
      </c>
      <c r="M55" s="23">
        <f t="shared" si="6"/>
        <v>425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+'12'!G56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+'12'!G70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50</v>
      </c>
      <c r="J70" s="79">
        <f t="shared" ref="J70:J133" si="10">+I70*H70</f>
        <v>50</v>
      </c>
      <c r="K70" s="17" t="s">
        <v>258</v>
      </c>
      <c r="L70" s="18">
        <v>50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+'12'!G72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+'12'!G74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+'12'!G75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+'12'!G76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+'12'!G79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+'12'!G86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+'12'!G89</f>
        <v>3</v>
      </c>
      <c r="D89" s="13">
        <v>0</v>
      </c>
      <c r="E89" s="12">
        <f t="shared" si="0"/>
        <v>3</v>
      </c>
      <c r="F89" s="13">
        <v>1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+'12'!G114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+'12'!G152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0</v>
      </c>
      <c r="H152" s="14">
        <v>1</v>
      </c>
      <c r="I152" s="20">
        <v>120</v>
      </c>
      <c r="J152" s="79">
        <f t="shared" si="15"/>
        <v>120</v>
      </c>
      <c r="K152" s="17" t="s">
        <v>16</v>
      </c>
      <c r="L152" s="18">
        <v>0</v>
      </c>
      <c r="M152" s="23">
        <f t="shared" si="16"/>
        <v>120</v>
      </c>
    </row>
    <row r="153" spans="1:13" ht="25.5">
      <c r="A153" s="10">
        <v>149</v>
      </c>
      <c r="B153" s="19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+'12'!G168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+'12'!G169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+'12'!G176</f>
        <v>-2</v>
      </c>
      <c r="D176" s="13">
        <v>0</v>
      </c>
      <c r="E176" s="12">
        <f t="shared" si="13"/>
        <v>-2</v>
      </c>
      <c r="F176" s="13">
        <v>0</v>
      </c>
      <c r="G176" s="12">
        <f t="shared" si="14"/>
        <v>-2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+'12'!G178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3410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4120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780</v>
      </c>
      <c r="L209" s="2">
        <v>100</v>
      </c>
      <c r="M209" s="2">
        <v>330</v>
      </c>
      <c r="N209" s="2">
        <v>100</v>
      </c>
      <c r="O209" s="2">
        <v>250</v>
      </c>
    </row>
    <row r="210" spans="1:15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5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5" ht="25.5">
      <c r="A212" s="1"/>
      <c r="C212" s="31"/>
      <c r="E212" s="31"/>
      <c r="G212" s="31"/>
      <c r="I212" s="133" t="s">
        <v>207</v>
      </c>
      <c r="J212" s="134"/>
      <c r="K212" s="37">
        <f>SUM(L5:L205)</f>
        <v>710</v>
      </c>
    </row>
    <row r="213" spans="1:15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2615</v>
      </c>
    </row>
    <row r="214" spans="1:15" ht="25.5">
      <c r="A214" s="1"/>
      <c r="C214" s="31"/>
      <c r="E214" s="31"/>
      <c r="G214" s="31"/>
      <c r="I214" s="133" t="s">
        <v>209</v>
      </c>
      <c r="J214" s="134"/>
      <c r="K214" s="37">
        <v>2615</v>
      </c>
    </row>
    <row r="215" spans="1:15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5" ht="25.5">
      <c r="G216" s="2"/>
      <c r="I216" s="133" t="s">
        <v>211</v>
      </c>
      <c r="J216" s="134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247</v>
      </c>
      <c r="K218" s="23">
        <f>+K207-K212+K215</f>
        <v>3410</v>
      </c>
    </row>
    <row r="219" spans="1:15">
      <c r="G219" s="2"/>
      <c r="I219" s="2"/>
      <c r="J219" s="2" t="s">
        <v>248</v>
      </c>
      <c r="K219" s="23">
        <f>SUM(K208:K211)</f>
        <v>795</v>
      </c>
    </row>
    <row r="220" spans="1:15">
      <c r="G220" s="2"/>
      <c r="I220" s="2"/>
      <c r="J220" s="2" t="s">
        <v>249</v>
      </c>
      <c r="K220" s="23">
        <f>+K214</f>
        <v>2615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8D3-599B-4C16-8418-1AA0CFA9B6B4}">
  <sheetPr>
    <tabColor theme="5" tint="0.79998168889431442"/>
  </sheetPr>
  <dimension ref="A1:Z291"/>
  <sheetViews>
    <sheetView zoomScale="95" zoomScaleNormal="95" workbookViewId="0">
      <pane ySplit="4" topLeftCell="A6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+'13'!G5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0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+'13'!G6</f>
        <v>6</v>
      </c>
      <c r="D6" s="13">
        <v>0</v>
      </c>
      <c r="E6" s="12">
        <f t="shared" si="0"/>
        <v>6</v>
      </c>
      <c r="F6" s="13">
        <v>0</v>
      </c>
      <c r="G6" s="12">
        <f t="shared" ref="G6:G69" si="4">+E6-F6-H6</f>
        <v>0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259</v>
      </c>
      <c r="C13" s="12">
        <f>+'13'!G13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+'13'!G23</f>
        <v>6</v>
      </c>
      <c r="D23" s="13">
        <v>0</v>
      </c>
      <c r="E23" s="12">
        <f>C23+D23</f>
        <v>6</v>
      </c>
      <c r="F23" s="13">
        <v>0</v>
      </c>
      <c r="G23" s="12">
        <f t="shared" si="4"/>
        <v>0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+'13'!G24</f>
        <v>6</v>
      </c>
      <c r="D24" s="13">
        <v>0</v>
      </c>
      <c r="E24" s="12">
        <f t="shared" si="0"/>
        <v>6</v>
      </c>
      <c r="F24" s="13">
        <v>0</v>
      </c>
      <c r="G24" s="12">
        <f t="shared" si="4"/>
        <v>5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+'13'!G26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2">
        <f t="shared" si="4"/>
        <v>2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+'13'!G30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0</v>
      </c>
      <c r="H31" s="14">
        <v>2</v>
      </c>
      <c r="I31" s="15">
        <v>100</v>
      </c>
      <c r="J31" s="79">
        <f t="shared" si="5"/>
        <v>200</v>
      </c>
      <c r="K31" s="17" t="s">
        <v>255</v>
      </c>
      <c r="L31" s="18">
        <v>100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+'13'!G33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1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+'13'!G37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3</v>
      </c>
      <c r="H43" s="14">
        <v>1</v>
      </c>
      <c r="I43" s="15">
        <v>50</v>
      </c>
      <c r="J43" s="79">
        <f t="shared" si="5"/>
        <v>50</v>
      </c>
      <c r="K43" s="17" t="s">
        <v>258</v>
      </c>
      <c r="L43" s="18">
        <v>50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+'13'!G47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+'13'!G50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1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+'13'!G56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+'13'!G70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+'13'!G72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+'13'!G74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+'13'!G75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+'13'!G76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0</v>
      </c>
      <c r="H79" s="14">
        <v>1</v>
      </c>
      <c r="I79" s="22">
        <v>50</v>
      </c>
      <c r="J79" s="79">
        <f t="shared" si="10"/>
        <v>50</v>
      </c>
      <c r="K79" s="17" t="s">
        <v>258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+'13'!G85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+'13'!G89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+'13'!G114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+'13'!G168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12</v>
      </c>
      <c r="H168" s="14">
        <v>1</v>
      </c>
      <c r="I168" s="20">
        <v>55</v>
      </c>
      <c r="J168" s="79">
        <f t="shared" si="15"/>
        <v>55</v>
      </c>
      <c r="K168" s="17" t="s">
        <v>256</v>
      </c>
      <c r="L168" s="18">
        <v>50</v>
      </c>
      <c r="M168" s="23">
        <f t="shared" si="16"/>
        <v>5</v>
      </c>
    </row>
    <row r="169" spans="1:13" ht="25.5">
      <c r="A169" s="10">
        <v>165</v>
      </c>
      <c r="B169" s="19" t="s">
        <v>181</v>
      </c>
      <c r="C169" s="12">
        <f>+'13'!G169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+'13'!G176</f>
        <v>-2</v>
      </c>
      <c r="D176" s="13">
        <v>0</v>
      </c>
      <c r="E176" s="12">
        <f t="shared" si="13"/>
        <v>-2</v>
      </c>
      <c r="F176" s="13">
        <v>0</v>
      </c>
      <c r="G176" s="12">
        <f t="shared" si="14"/>
        <v>-2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2065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2315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950</v>
      </c>
      <c r="L209" s="2">
        <v>50</v>
      </c>
      <c r="M209" s="2">
        <v>100</v>
      </c>
      <c r="N209" s="2">
        <v>800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250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1100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1100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2065</v>
      </c>
    </row>
    <row r="219" spans="1:14">
      <c r="G219" s="2"/>
      <c r="I219" s="2"/>
      <c r="J219" s="2" t="s">
        <v>248</v>
      </c>
      <c r="K219" s="23">
        <f>SUM(K208:K211)</f>
        <v>965</v>
      </c>
    </row>
    <row r="220" spans="1:14">
      <c r="G220" s="2"/>
      <c r="I220" s="2"/>
      <c r="J220" s="2" t="s">
        <v>249</v>
      </c>
      <c r="K220" s="23">
        <f>+K214</f>
        <v>1100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B1-66F0-45CE-A09B-A66B1A23FED5}">
  <sheetPr>
    <tabColor theme="5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+'14'!G5</f>
        <v>0</v>
      </c>
      <c r="D5" s="13">
        <v>5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+'14'!G6</f>
        <v>0</v>
      </c>
      <c r="D6" s="13">
        <v>20</v>
      </c>
      <c r="E6" s="12">
        <f t="shared" si="0"/>
        <v>20</v>
      </c>
      <c r="F6" s="13">
        <v>0</v>
      </c>
      <c r="G6" s="12">
        <f t="shared" ref="G6:G69" si="4">+E6-F6-H6</f>
        <v>20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+'14'!G12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0">
        <v>50</v>
      </c>
      <c r="J12" s="79">
        <f t="shared" si="5"/>
        <v>50</v>
      </c>
      <c r="K12" s="17" t="s">
        <v>258</v>
      </c>
      <c r="L12" s="18">
        <v>50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259</v>
      </c>
      <c r="C13" s="12">
        <f>+'14'!G13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+'14'!G19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+'14'!G22</f>
        <v>0</v>
      </c>
      <c r="D22" s="13">
        <v>4</v>
      </c>
      <c r="E22" s="12">
        <f>C22+D22</f>
        <v>4</v>
      </c>
      <c r="F22" s="13">
        <v>0</v>
      </c>
      <c r="G22" s="12">
        <f t="shared" si="4"/>
        <v>3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+'14'!G23</f>
        <v>0</v>
      </c>
      <c r="D23" s="13">
        <v>20</v>
      </c>
      <c r="E23" s="12">
        <f>C23+D23</f>
        <v>20</v>
      </c>
      <c r="F23" s="13">
        <v>0</v>
      </c>
      <c r="G23" s="12">
        <f t="shared" si="4"/>
        <v>15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+'14'!G24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4"/>
        <v>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+'14'!G26</f>
        <v>4</v>
      </c>
      <c r="D26" s="13">
        <v>0</v>
      </c>
      <c r="E26" s="12">
        <f t="shared" si="0"/>
        <v>4</v>
      </c>
      <c r="F26" s="13">
        <v>4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+'14'!G27</f>
        <v>2</v>
      </c>
      <c r="D27" s="13">
        <v>5</v>
      </c>
      <c r="E27" s="12">
        <f t="shared" si="0"/>
        <v>7</v>
      </c>
      <c r="F27" s="13">
        <v>2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+'14'!G30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1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+'14'!G33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+'14'!G38</f>
        <v>0</v>
      </c>
      <c r="D38" s="13">
        <v>6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+'14'!G39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+'14'!G40</f>
        <v>0</v>
      </c>
      <c r="D40" s="13">
        <v>5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+'14'!G41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5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+'14'!G44</f>
        <v>3</v>
      </c>
      <c r="D44" s="13">
        <v>5</v>
      </c>
      <c r="E44" s="12">
        <f t="shared" si="0"/>
        <v>8</v>
      </c>
      <c r="F44" s="13">
        <v>0</v>
      </c>
      <c r="G44" s="12">
        <f t="shared" si="4"/>
        <v>5</v>
      </c>
      <c r="H44" s="14">
        <v>3</v>
      </c>
      <c r="I44" s="15">
        <v>50</v>
      </c>
      <c r="J44" s="79">
        <f t="shared" si="5"/>
        <v>150</v>
      </c>
      <c r="K44" s="17" t="s">
        <v>258</v>
      </c>
      <c r="L44" s="18">
        <v>50</v>
      </c>
      <c r="M44" s="23">
        <f t="shared" si="6"/>
        <v>100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+'14'!G46</f>
        <v>3</v>
      </c>
      <c r="D46" s="13">
        <v>5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+'14'!G47</f>
        <v>9</v>
      </c>
      <c r="D47" s="13">
        <v>10</v>
      </c>
      <c r="E47" s="12">
        <f t="shared" si="0"/>
        <v>19</v>
      </c>
      <c r="F47" s="13">
        <v>0</v>
      </c>
      <c r="G47" s="12">
        <f t="shared" si="4"/>
        <v>9</v>
      </c>
      <c r="H47" s="14">
        <v>10</v>
      </c>
      <c r="I47" s="15">
        <v>50</v>
      </c>
      <c r="J47" s="79">
        <f t="shared" si="5"/>
        <v>500</v>
      </c>
      <c r="K47" s="17" t="s">
        <v>258</v>
      </c>
      <c r="L47" s="18">
        <v>50</v>
      </c>
      <c r="M47" s="23">
        <f t="shared" si="6"/>
        <v>450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+'14'!G48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+'14'!G50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+'14'!G52</f>
        <v>0</v>
      </c>
      <c r="D52" s="13">
        <v>5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+'14'!G55</f>
        <v>1</v>
      </c>
      <c r="D55" s="13">
        <v>5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+'14'!G56</f>
        <v>7</v>
      </c>
      <c r="D56" s="13">
        <v>5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+'14'!G57</f>
        <v>0</v>
      </c>
      <c r="D57" s="13">
        <v>10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+'14'!G70</f>
        <v>1</v>
      </c>
      <c r="D70" s="13">
        <v>3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+'14'!G72</f>
        <v>2</v>
      </c>
      <c r="D72" s="13">
        <v>2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+'14'!G73</f>
        <v>0</v>
      </c>
      <c r="D73" s="13">
        <v>5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+'14'!G74</f>
        <v>1</v>
      </c>
      <c r="D74" s="13">
        <v>5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+'14'!G75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+'14'!G76</f>
        <v>2</v>
      </c>
      <c r="D76" s="13">
        <v>5</v>
      </c>
      <c r="E76" s="12">
        <f t="shared" si="0"/>
        <v>7</v>
      </c>
      <c r="F76" s="13">
        <v>0</v>
      </c>
      <c r="G76" s="12">
        <f t="shared" si="9"/>
        <v>4</v>
      </c>
      <c r="H76" s="14">
        <v>3</v>
      </c>
      <c r="I76" s="22">
        <v>120</v>
      </c>
      <c r="J76" s="79">
        <f t="shared" si="10"/>
        <v>360</v>
      </c>
      <c r="K76" s="17" t="s">
        <v>16</v>
      </c>
      <c r="L76" s="18">
        <v>0</v>
      </c>
      <c r="M76" s="23">
        <f t="shared" si="11"/>
        <v>360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+'14'!G79</f>
        <v>0</v>
      </c>
      <c r="D79" s="13">
        <v>5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+'14'!G86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+'14'!G87</f>
        <v>0</v>
      </c>
      <c r="D87" s="13">
        <v>4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+'14'!G89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+'14'!G110</f>
        <v>0</v>
      </c>
      <c r="D110" s="13">
        <v>2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+'14'!G114</f>
        <v>1</v>
      </c>
      <c r="D114" s="13">
        <v>2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-1</v>
      </c>
      <c r="H154" s="14">
        <v>1</v>
      </c>
      <c r="I154" s="20">
        <v>185</v>
      </c>
      <c r="J154" s="79">
        <f t="shared" si="15"/>
        <v>185</v>
      </c>
      <c r="K154" s="17" t="s">
        <v>16</v>
      </c>
      <c r="L154" s="18">
        <v>0</v>
      </c>
      <c r="M154" s="23">
        <f t="shared" si="16"/>
        <v>185</v>
      </c>
    </row>
    <row r="155" spans="1:13" ht="25.5">
      <c r="A155" s="10">
        <v>151</v>
      </c>
      <c r="B155" s="19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+'14'!G168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+'14'!G169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+'14'!G176</f>
        <v>-2</v>
      </c>
      <c r="D176" s="13">
        <v>2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1990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2140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760</v>
      </c>
      <c r="L209" s="2">
        <v>260</v>
      </c>
      <c r="M209" s="2">
        <v>500</v>
      </c>
    </row>
    <row r="210" spans="1:13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3" ht="25.5">
      <c r="A211" s="1"/>
      <c r="C211" s="31"/>
      <c r="E211" s="31" t="s">
        <v>262</v>
      </c>
      <c r="G211" s="31"/>
      <c r="I211" s="133" t="s">
        <v>206</v>
      </c>
      <c r="J211" s="134"/>
      <c r="K211" s="36">
        <v>40</v>
      </c>
    </row>
    <row r="212" spans="1:13" ht="25.5">
      <c r="A212" s="1"/>
      <c r="C212" s="31"/>
      <c r="E212" s="31"/>
      <c r="G212" s="31"/>
      <c r="I212" s="133" t="s">
        <v>207</v>
      </c>
      <c r="J212" s="134"/>
      <c r="K212" s="37">
        <f>SUM(L5:L205)</f>
        <v>150</v>
      </c>
    </row>
    <row r="213" spans="1:13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1170</v>
      </c>
    </row>
    <row r="214" spans="1:13" ht="25.5">
      <c r="A214" s="1"/>
      <c r="C214" s="31"/>
      <c r="E214" s="31"/>
      <c r="G214" s="31"/>
      <c r="I214" s="133" t="s">
        <v>209</v>
      </c>
      <c r="J214" s="134"/>
      <c r="K214" s="37">
        <v>1170</v>
      </c>
    </row>
    <row r="215" spans="1:13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3" ht="25.5">
      <c r="G216" s="2"/>
      <c r="I216" s="133" t="s">
        <v>211</v>
      </c>
      <c r="J216" s="134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247</v>
      </c>
      <c r="K218" s="23">
        <f>+K207-K212+K215</f>
        <v>1990</v>
      </c>
    </row>
    <row r="219" spans="1:13">
      <c r="G219" s="2"/>
      <c r="I219" s="2"/>
      <c r="J219" s="2" t="s">
        <v>248</v>
      </c>
      <c r="K219" s="23">
        <f>SUM(K208:K211)</f>
        <v>820</v>
      </c>
    </row>
    <row r="220" spans="1:13">
      <c r="G220" s="2"/>
      <c r="I220" s="2"/>
      <c r="J220" s="2" t="s">
        <v>249</v>
      </c>
      <c r="K220" s="23">
        <f>+K214</f>
        <v>1170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FFE-AA1B-4B15-8C7C-9B9DF2E9B61D}">
  <sheetPr>
    <tabColor theme="5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+'15'!G6</f>
        <v>20</v>
      </c>
      <c r="D6" s="13">
        <v>0</v>
      </c>
      <c r="E6" s="12">
        <f t="shared" si="0"/>
        <v>20</v>
      </c>
      <c r="F6" s="13">
        <v>0</v>
      </c>
      <c r="G6" s="12">
        <f t="shared" ref="G6:G69" si="4">+E6-F6-H6</f>
        <v>20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+'15'!G13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+'15'!G22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+'15'!G23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11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+'15'!G27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+'15'!G30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+'15'!G31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+'15'!G33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+'15'!G37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8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7</v>
      </c>
      <c r="H46" s="14">
        <v>1</v>
      </c>
      <c r="I46" s="15">
        <v>50</v>
      </c>
      <c r="J46" s="79">
        <f t="shared" si="5"/>
        <v>50</v>
      </c>
      <c r="K46" s="17" t="s">
        <v>258</v>
      </c>
      <c r="L46" s="18">
        <v>50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+'15'!G47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+'15'!G50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+'15'!G52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+'15'!G53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1</v>
      </c>
      <c r="H55" s="14">
        <v>5</v>
      </c>
      <c r="I55" s="21">
        <v>120</v>
      </c>
      <c r="J55" s="79">
        <f t="shared" si="5"/>
        <v>600</v>
      </c>
      <c r="K55" s="17" t="s">
        <v>263</v>
      </c>
      <c r="L55" s="18">
        <v>175</v>
      </c>
      <c r="M55" s="23">
        <f t="shared" si="6"/>
        <v>425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+'15'!G56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+'15'!G57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9</v>
      </c>
      <c r="H57" s="14">
        <v>1</v>
      </c>
      <c r="I57" s="21">
        <v>120</v>
      </c>
      <c r="J57" s="79">
        <f t="shared" si="5"/>
        <v>120</v>
      </c>
      <c r="K57" s="17" t="s">
        <v>263</v>
      </c>
      <c r="L57" s="18">
        <v>35</v>
      </c>
      <c r="M57" s="23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+'15'!G70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+'15'!G72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+'15'!G75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+'15'!G76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+'15'!G86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+'15'!G89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+'15'!G110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+'15'!G114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+'15'!G154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+'15'!G168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+'15'!G169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+'15'!G178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1210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1470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220</v>
      </c>
      <c r="L209" s="2">
        <v>170</v>
      </c>
      <c r="M209" s="2">
        <v>50</v>
      </c>
    </row>
    <row r="210" spans="1:13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3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3" ht="25.5">
      <c r="A212" s="1"/>
      <c r="C212" s="31"/>
      <c r="E212" s="31"/>
      <c r="G212" s="31"/>
      <c r="I212" s="133" t="s">
        <v>207</v>
      </c>
      <c r="J212" s="134"/>
      <c r="K212" s="37">
        <f>SUM(L5:L205)</f>
        <v>260</v>
      </c>
    </row>
    <row r="213" spans="1:13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970</v>
      </c>
    </row>
    <row r="214" spans="1:13" ht="25.5">
      <c r="A214" s="1"/>
      <c r="C214" s="31"/>
      <c r="E214" s="31"/>
      <c r="G214" s="31"/>
      <c r="I214" s="133" t="s">
        <v>209</v>
      </c>
      <c r="J214" s="134"/>
      <c r="K214" s="37">
        <v>970</v>
      </c>
    </row>
    <row r="215" spans="1:13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3" ht="25.5">
      <c r="G216" s="2"/>
      <c r="I216" s="133" t="s">
        <v>211</v>
      </c>
      <c r="J216" s="134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247</v>
      </c>
      <c r="K218" s="23">
        <f>+K207-K212+K215</f>
        <v>1210</v>
      </c>
    </row>
    <row r="219" spans="1:13">
      <c r="G219" s="2"/>
      <c r="I219" s="2"/>
      <c r="J219" s="2" t="s">
        <v>248</v>
      </c>
      <c r="K219" s="23">
        <f>SUM(K208:K211)</f>
        <v>240</v>
      </c>
    </row>
    <row r="220" spans="1:13">
      <c r="G220" s="2"/>
      <c r="I220" s="2"/>
      <c r="J220" s="2" t="s">
        <v>249</v>
      </c>
      <c r="K220" s="23">
        <f>+K214</f>
        <v>970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743-D212-4D0D-8783-93246F459821}">
  <sheetPr>
    <tabColor theme="5" tint="0.79998168889431442"/>
  </sheetPr>
  <dimension ref="A1:Z291"/>
  <sheetViews>
    <sheetView zoomScale="90" zoomScaleNormal="90" workbookViewId="0">
      <pane ySplit="4" topLeftCell="A18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+'16'!G6</f>
        <v>20</v>
      </c>
      <c r="D6" s="13">
        <v>0</v>
      </c>
      <c r="E6" s="12">
        <f t="shared" si="0"/>
        <v>20</v>
      </c>
      <c r="F6" s="13">
        <v>0</v>
      </c>
      <c r="G6" s="12">
        <f t="shared" ref="G6:G69" si="4">+E6-F6-H6</f>
        <v>13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+'16'!G12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+'16'!G13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+'16'!G19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79">
        <f t="shared" si="5"/>
        <v>50</v>
      </c>
      <c r="K19" s="17" t="s">
        <v>258</v>
      </c>
      <c r="L19" s="18">
        <v>50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+'16'!G22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2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+'16'!G23</f>
        <v>11</v>
      </c>
      <c r="D23" s="13">
        <v>0</v>
      </c>
      <c r="E23" s="12">
        <f>C23+D23</f>
        <v>11</v>
      </c>
      <c r="F23" s="13">
        <v>0</v>
      </c>
      <c r="G23" s="12">
        <f t="shared" si="4"/>
        <v>7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5</v>
      </c>
      <c r="H24" s="14">
        <v>4</v>
      </c>
      <c r="I24" s="21">
        <v>100</v>
      </c>
      <c r="J24" s="79">
        <f t="shared" si="5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+'16'!G27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+'16'!G30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+'16'!G31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+'16'!G33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+'16'!G37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+'16'!G38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2</v>
      </c>
      <c r="H40" s="14">
        <v>3</v>
      </c>
      <c r="I40" s="15">
        <v>50</v>
      </c>
      <c r="J40" s="79">
        <f t="shared" si="5"/>
        <v>150</v>
      </c>
      <c r="K40" s="17" t="s">
        <v>258</v>
      </c>
      <c r="L40" s="18">
        <v>50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+'16'!G42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2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+'16'!G44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+'16'!G46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7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+'16'!G47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+'16'!G50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3</v>
      </c>
      <c r="H50" s="14">
        <v>2</v>
      </c>
      <c r="I50" s="15">
        <v>120</v>
      </c>
      <c r="J50" s="79">
        <f t="shared" si="5"/>
        <v>240</v>
      </c>
      <c r="K50" s="17" t="s">
        <v>263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+'16'!G52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3</v>
      </c>
      <c r="H52" s="14">
        <v>2</v>
      </c>
      <c r="I52" s="21">
        <v>120</v>
      </c>
      <c r="J52" s="79">
        <f t="shared" si="5"/>
        <v>240</v>
      </c>
      <c r="K52" s="17" t="s">
        <v>263</v>
      </c>
      <c r="L52" s="18">
        <v>70</v>
      </c>
      <c r="M52" s="23">
        <f t="shared" si="6"/>
        <v>170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+'16'!G53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+'16'!G55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263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+'16'!G56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+'16'!G57</f>
        <v>9</v>
      </c>
      <c r="D57" s="13">
        <v>0</v>
      </c>
      <c r="E57" s="12">
        <f t="shared" si="0"/>
        <v>9</v>
      </c>
      <c r="F57" s="13">
        <v>0</v>
      </c>
      <c r="G57" s="12">
        <f t="shared" si="4"/>
        <v>8</v>
      </c>
      <c r="H57" s="14">
        <v>1</v>
      </c>
      <c r="I57" s="21">
        <v>120</v>
      </c>
      <c r="J57" s="79">
        <f t="shared" si="5"/>
        <v>120</v>
      </c>
      <c r="K57" s="17" t="s">
        <v>263</v>
      </c>
      <c r="L57" s="18">
        <v>35</v>
      </c>
      <c r="M57" s="23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+'16'!G70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2</v>
      </c>
      <c r="H70" s="14">
        <v>2</v>
      </c>
      <c r="I70" s="20">
        <v>50</v>
      </c>
      <c r="J70" s="79">
        <f t="shared" ref="J70:J133" si="10">+I70*H70</f>
        <v>100</v>
      </c>
      <c r="K70" s="17" t="s">
        <v>258</v>
      </c>
      <c r="L70" s="18">
        <v>50</v>
      </c>
      <c r="M70" s="23">
        <f t="shared" ref="M70:M133" si="11">SUM(J70-L70)</f>
        <v>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+'16'!G72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+'16'!G75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6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+'16'!G79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+'16'!G86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2</v>
      </c>
      <c r="H87" s="14">
        <v>2</v>
      </c>
      <c r="I87" s="20">
        <v>60</v>
      </c>
      <c r="J87" s="79">
        <f t="shared" si="10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+'16'!G89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+'16'!G110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+'16'!G114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+'16'!G154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+'16'!G168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11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>
      <c r="A169" s="10">
        <v>165</v>
      </c>
      <c r="B169" s="19" t="s">
        <v>181</v>
      </c>
      <c r="C169" s="12">
        <f>+'16'!G169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+'16'!G178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2630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2990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210</v>
      </c>
      <c r="L209" s="2">
        <v>210</v>
      </c>
    </row>
    <row r="210" spans="1:12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2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2" ht="25.5">
      <c r="A212" s="1"/>
      <c r="C212" s="31"/>
      <c r="E212" s="31"/>
      <c r="G212" s="31"/>
      <c r="I212" s="133" t="s">
        <v>207</v>
      </c>
      <c r="J212" s="134"/>
      <c r="K212" s="37">
        <f>SUM(L5:L205)</f>
        <v>360</v>
      </c>
    </row>
    <row r="213" spans="1:12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2400</v>
      </c>
    </row>
    <row r="214" spans="1:12" ht="25.5">
      <c r="A214" s="1"/>
      <c r="C214" s="31"/>
      <c r="E214" s="31"/>
      <c r="G214" s="31"/>
      <c r="I214" s="133" t="s">
        <v>209</v>
      </c>
      <c r="J214" s="134"/>
      <c r="K214" s="37">
        <v>2400</v>
      </c>
    </row>
    <row r="215" spans="1:12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2" ht="25.5">
      <c r="G216" s="2"/>
      <c r="I216" s="133" t="s">
        <v>211</v>
      </c>
      <c r="J216" s="134"/>
      <c r="K216" s="33">
        <f>+K214-K213</f>
        <v>0</v>
      </c>
    </row>
    <row r="217" spans="1:12">
      <c r="G217" s="2"/>
      <c r="I217" s="2"/>
    </row>
    <row r="218" spans="1:12">
      <c r="G218" s="2"/>
      <c r="I218" s="2"/>
      <c r="J218" s="98" t="s">
        <v>247</v>
      </c>
      <c r="K218" s="23">
        <f>+K207-K212+K215</f>
        <v>2630</v>
      </c>
    </row>
    <row r="219" spans="1:12">
      <c r="G219" s="2"/>
      <c r="I219" s="2"/>
      <c r="J219" s="2" t="s">
        <v>248</v>
      </c>
      <c r="K219" s="23">
        <f>SUM(K208:K211)</f>
        <v>230</v>
      </c>
    </row>
    <row r="220" spans="1:12">
      <c r="G220" s="2"/>
      <c r="I220" s="2"/>
      <c r="J220" s="2" t="s">
        <v>249</v>
      </c>
      <c r="K220" s="23">
        <f>+K214</f>
        <v>2400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CC-D58F-4437-A76A-39CEB692FF54}">
  <sheetPr>
    <tabColor theme="5" tint="0.79998168889431442"/>
  </sheetPr>
  <dimension ref="A1:Z291"/>
  <sheetViews>
    <sheetView zoomScale="90" zoomScaleNormal="90" workbookViewId="0">
      <pane ySplit="4" topLeftCell="A19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+'17'!G6</f>
        <v>13</v>
      </c>
      <c r="D6" s="13">
        <v>0</v>
      </c>
      <c r="E6" s="12">
        <f t="shared" si="0"/>
        <v>13</v>
      </c>
      <c r="F6" s="13">
        <v>0</v>
      </c>
      <c r="G6" s="12">
        <f t="shared" ref="G6:G69" si="4">+E6-F6-H6</f>
        <v>11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259</v>
      </c>
      <c r="C13" s="12">
        <f>+'17'!G13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1</v>
      </c>
      <c r="H13" s="14">
        <v>1</v>
      </c>
      <c r="I13" s="20">
        <v>55</v>
      </c>
      <c r="J13" s="79">
        <f t="shared" si="5"/>
        <v>55</v>
      </c>
      <c r="K13" s="17" t="s">
        <v>251</v>
      </c>
      <c r="L13" s="18">
        <v>30</v>
      </c>
      <c r="M13" s="23">
        <f t="shared" si="6"/>
        <v>25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+'17'!G19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+'17'!G22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+'17'!G23</f>
        <v>7</v>
      </c>
      <c r="D23" s="13">
        <v>0</v>
      </c>
      <c r="E23" s="12">
        <f>C23+D23</f>
        <v>7</v>
      </c>
      <c r="F23" s="13">
        <v>0</v>
      </c>
      <c r="G23" s="12">
        <f t="shared" si="4"/>
        <v>7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+'17'!G27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+'17'!G30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+'17'!G31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+'17'!G33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0</v>
      </c>
      <c r="H33" s="14">
        <v>1</v>
      </c>
      <c r="I33" s="15">
        <v>130</v>
      </c>
      <c r="J33" s="79">
        <f t="shared" si="5"/>
        <v>130</v>
      </c>
      <c r="K33" s="17" t="s">
        <v>255</v>
      </c>
      <c r="L33" s="18">
        <v>65</v>
      </c>
      <c r="M33" s="23">
        <f t="shared" si="6"/>
        <v>65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1</v>
      </c>
      <c r="H34" s="14">
        <v>2</v>
      </c>
      <c r="I34" s="15">
        <v>130</v>
      </c>
      <c r="J34" s="79">
        <f t="shared" si="5"/>
        <v>260</v>
      </c>
      <c r="K34" s="17" t="s">
        <v>255</v>
      </c>
      <c r="L34" s="18">
        <v>130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79">
        <f t="shared" si="5"/>
        <v>100</v>
      </c>
      <c r="K38" s="17" t="s">
        <v>258</v>
      </c>
      <c r="L38" s="18">
        <v>50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+'17'!G42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+'17'!G43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+'17'!G46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7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+'17'!G47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8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+'17'!G50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0</v>
      </c>
      <c r="H50" s="14">
        <v>3</v>
      </c>
      <c r="I50" s="15">
        <v>120</v>
      </c>
      <c r="J50" s="79">
        <f t="shared" si="5"/>
        <v>360</v>
      </c>
      <c r="K50" s="17" t="s">
        <v>263</v>
      </c>
      <c r="L50" s="18">
        <v>105</v>
      </c>
      <c r="M50" s="23">
        <f t="shared" si="6"/>
        <v>255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+'17'!G52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+'17'!G53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263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+'17'!G56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+'17'!G57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+'17'!G70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0</v>
      </c>
      <c r="H70" s="14">
        <v>2</v>
      </c>
      <c r="I70" s="20">
        <v>50</v>
      </c>
      <c r="J70" s="79">
        <f t="shared" ref="J70:J133" si="10">+I70*H70</f>
        <v>100</v>
      </c>
      <c r="K70" s="17" t="s">
        <v>260</v>
      </c>
      <c r="L70" s="18">
        <v>25</v>
      </c>
      <c r="M70" s="23">
        <f t="shared" ref="M70:M133" si="11">SUM(J70-L70)</f>
        <v>75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+'17'!G72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3</v>
      </c>
      <c r="H72" s="14">
        <v>1</v>
      </c>
      <c r="I72" s="22">
        <v>50</v>
      </c>
      <c r="J72" s="79">
        <f t="shared" si="10"/>
        <v>50</v>
      </c>
      <c r="K72" s="17" t="s">
        <v>260</v>
      </c>
      <c r="L72" s="18">
        <v>25</v>
      </c>
      <c r="M72" s="23">
        <f t="shared" si="11"/>
        <v>25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4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+'17'!G75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3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2</v>
      </c>
      <c r="H79" s="14">
        <v>3</v>
      </c>
      <c r="I79" s="22">
        <v>50</v>
      </c>
      <c r="J79" s="79">
        <f t="shared" si="10"/>
        <v>150</v>
      </c>
      <c r="K79" s="17" t="s">
        <v>260</v>
      </c>
      <c r="L79" s="18">
        <v>25</v>
      </c>
      <c r="M79" s="23">
        <f t="shared" si="11"/>
        <v>125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1</v>
      </c>
      <c r="H81" s="14">
        <v>1</v>
      </c>
      <c r="I81" s="20">
        <v>55</v>
      </c>
      <c r="J81" s="79">
        <f t="shared" si="10"/>
        <v>55</v>
      </c>
      <c r="K81" s="17" t="s">
        <v>260</v>
      </c>
      <c r="L81" s="18">
        <v>27.5</v>
      </c>
      <c r="M81" s="23">
        <f t="shared" si="11"/>
        <v>27.5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+'17'!G86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2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+'17'!G87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1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+'17'!G89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+'17'!G110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+'17'!G114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2</v>
      </c>
      <c r="H114" s="14">
        <v>1</v>
      </c>
      <c r="I114" s="20">
        <v>35</v>
      </c>
      <c r="J114" s="79">
        <f t="shared" si="10"/>
        <v>35</v>
      </c>
      <c r="K114" s="17" t="s">
        <v>255</v>
      </c>
      <c r="L114" s="18">
        <v>17.5</v>
      </c>
      <c r="M114" s="23">
        <f t="shared" si="11"/>
        <v>17.5</v>
      </c>
    </row>
    <row r="115" spans="1:13" ht="25.5">
      <c r="A115" s="10">
        <v>111</v>
      </c>
      <c r="B115" s="19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+'17'!G154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+'17'!G168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+'17'!G169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1655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2190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435</v>
      </c>
      <c r="L209" s="2">
        <v>100</v>
      </c>
      <c r="M209" s="2">
        <v>120</v>
      </c>
      <c r="N209" s="2">
        <v>50</v>
      </c>
      <c r="O209" s="2">
        <v>50</v>
      </c>
      <c r="P209" s="2">
        <v>115</v>
      </c>
    </row>
    <row r="210" spans="1:16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6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6" ht="25.5">
      <c r="A212" s="1"/>
      <c r="C212" s="31"/>
      <c r="E212" s="31"/>
      <c r="G212" s="31"/>
      <c r="I212" s="133" t="s">
        <v>207</v>
      </c>
      <c r="J212" s="134"/>
      <c r="K212" s="37">
        <f>SUM(L5:L205)</f>
        <v>535</v>
      </c>
    </row>
    <row r="213" spans="1:16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1200</v>
      </c>
    </row>
    <row r="214" spans="1:16" ht="25.5">
      <c r="A214" s="1"/>
      <c r="C214" s="31"/>
      <c r="E214" s="31"/>
      <c r="G214" s="31"/>
      <c r="I214" s="133" t="s">
        <v>209</v>
      </c>
      <c r="J214" s="134"/>
      <c r="K214" s="37">
        <v>1200</v>
      </c>
    </row>
    <row r="215" spans="1:16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6" ht="25.5">
      <c r="G216" s="2"/>
      <c r="I216" s="133" t="s">
        <v>211</v>
      </c>
      <c r="J216" s="134"/>
      <c r="K216" s="33">
        <f>+K214-K213</f>
        <v>0</v>
      </c>
    </row>
    <row r="217" spans="1:16">
      <c r="G217" s="2"/>
      <c r="I217" s="2"/>
    </row>
    <row r="218" spans="1:16">
      <c r="G218" s="2"/>
      <c r="I218" s="2"/>
      <c r="J218" s="98" t="s">
        <v>247</v>
      </c>
      <c r="K218" s="23">
        <f>+K207-K212+K215</f>
        <v>1655</v>
      </c>
    </row>
    <row r="219" spans="1:16">
      <c r="G219" s="2"/>
      <c r="I219" s="2"/>
      <c r="J219" s="2" t="s">
        <v>248</v>
      </c>
      <c r="K219" s="23">
        <f>SUM(K208:K211)</f>
        <v>455</v>
      </c>
    </row>
    <row r="220" spans="1:16">
      <c r="G220" s="2"/>
      <c r="I220" s="2"/>
      <c r="J220" s="2" t="s">
        <v>249</v>
      </c>
      <c r="K220" s="23">
        <f>+K214</f>
        <v>1200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DB1-5616-4782-9400-B4DA972E4138}">
  <sheetPr>
    <tabColor theme="5" tint="0.79998168889431442"/>
  </sheetPr>
  <dimension ref="A1:Z291"/>
  <sheetViews>
    <sheetView zoomScale="90" zoomScaleNormal="90" workbookViewId="0">
      <pane ySplit="4" topLeftCell="A20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3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+'18'!G6</f>
        <v>11</v>
      </c>
      <c r="D6" s="13">
        <v>0</v>
      </c>
      <c r="E6" s="12">
        <f t="shared" si="0"/>
        <v>11</v>
      </c>
      <c r="F6" s="13">
        <v>0</v>
      </c>
      <c r="G6" s="12">
        <f t="shared" ref="G6:G69" si="4">+E6-F6-H6</f>
        <v>9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+'18'!G13</f>
        <v>1</v>
      </c>
      <c r="D13" s="13">
        <v>0</v>
      </c>
      <c r="E13" s="12">
        <f>C13+D13</f>
        <v>1</v>
      </c>
      <c r="F13" s="13">
        <v>0</v>
      </c>
      <c r="G13" s="12">
        <f t="shared" si="4"/>
        <v>1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+'18'!G19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2</v>
      </c>
      <c r="H19" s="14">
        <v>1</v>
      </c>
      <c r="I19" s="15">
        <v>50</v>
      </c>
      <c r="J19" s="79">
        <f t="shared" si="5"/>
        <v>50</v>
      </c>
      <c r="K19" s="17" t="s">
        <v>258</v>
      </c>
      <c r="L19" s="18">
        <v>50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+'18'!G22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1</v>
      </c>
      <c r="H22" s="14">
        <v>1</v>
      </c>
      <c r="I22" s="15">
        <v>85</v>
      </c>
      <c r="J22" s="79">
        <f t="shared" si="5"/>
        <v>85</v>
      </c>
      <c r="K22" s="17" t="str">
        <f>K23</f>
        <v>-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+'18'!G23</f>
        <v>7</v>
      </c>
      <c r="D23" s="13">
        <v>0</v>
      </c>
      <c r="E23" s="12">
        <f>C23+D23</f>
        <v>7</v>
      </c>
      <c r="F23" s="13">
        <v>0</v>
      </c>
      <c r="G23" s="12">
        <f t="shared" si="4"/>
        <v>7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+'18'!G27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+'18'!G30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+'18'!G31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+'18'!G34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0</v>
      </c>
      <c r="H34" s="14">
        <v>1</v>
      </c>
      <c r="I34" s="15">
        <v>130</v>
      </c>
      <c r="J34" s="79">
        <f t="shared" si="5"/>
        <v>130</v>
      </c>
      <c r="K34" s="17" t="s">
        <v>255</v>
      </c>
      <c r="L34" s="18">
        <v>65</v>
      </c>
      <c r="M34" s="23">
        <f t="shared" si="6"/>
        <v>65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+'18'!G37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6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+'18'!G39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0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+'18'!G43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+'18'!G46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6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+'18'!G47</f>
        <v>8</v>
      </c>
      <c r="D47" s="13">
        <v>0</v>
      </c>
      <c r="E47" s="12">
        <f t="shared" si="0"/>
        <v>8</v>
      </c>
      <c r="F47" s="13">
        <v>0</v>
      </c>
      <c r="G47" s="12">
        <f t="shared" si="4"/>
        <v>4</v>
      </c>
      <c r="H47" s="14">
        <v>4</v>
      </c>
      <c r="I47" s="15">
        <v>50</v>
      </c>
      <c r="J47" s="79">
        <f t="shared" si="5"/>
        <v>200</v>
      </c>
      <c r="K47" s="17" t="s">
        <v>16</v>
      </c>
      <c r="L47" s="18">
        <v>0</v>
      </c>
      <c r="M47" s="23">
        <f t="shared" si="6"/>
        <v>200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4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+'18'!G50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+'18'!G52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+'18'!G53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4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+'18'!G56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+'18'!G57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+'18'!G70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+'18'!G72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+'18'!G73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+'18'!G74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+'18'!G75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+'18'!G76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+'18'!G79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+'18'!G81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+'18'!G86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+'18'!G87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+'18'!G89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+'18'!G110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+'18'!G114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+'18'!G154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+'18'!G168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+'18'!G169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1215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300</v>
      </c>
      <c r="L209" s="2">
        <v>100</v>
      </c>
      <c r="M209" s="2">
        <v>100</v>
      </c>
      <c r="N209" s="2">
        <v>100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115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780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780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1100</v>
      </c>
    </row>
    <row r="219" spans="1:14">
      <c r="G219" s="2"/>
      <c r="I219" s="2"/>
      <c r="J219" s="2" t="s">
        <v>248</v>
      </c>
      <c r="K219" s="23">
        <f>SUM(K208:K211)</f>
        <v>320</v>
      </c>
    </row>
    <row r="220" spans="1:14">
      <c r="G220" s="2"/>
      <c r="I220" s="2"/>
      <c r="J220" s="2" t="s">
        <v>249</v>
      </c>
      <c r="K220" s="23">
        <f>+K214</f>
        <v>780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7DE6-26C7-4CF6-8EFE-F884862D9F7D}">
  <sheetPr>
    <tabColor theme="5" tint="0.79998168889431442"/>
  </sheetPr>
  <dimension ref="A1:Z291"/>
  <sheetViews>
    <sheetView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+'19'!G5</f>
        <v>3</v>
      </c>
      <c r="D5" s="13">
        <v>0</v>
      </c>
      <c r="E5" s="12">
        <f t="shared" ref="E5:E94" si="0">C5+D5</f>
        <v>3</v>
      </c>
      <c r="F5" s="13">
        <v>1</v>
      </c>
      <c r="G5" s="12">
        <f>+E5-F5-H5</f>
        <v>2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+'19'!G6</f>
        <v>9</v>
      </c>
      <c r="D6" s="13">
        <v>0</v>
      </c>
      <c r="E6" s="12">
        <f t="shared" si="0"/>
        <v>9</v>
      </c>
      <c r="F6" s="13">
        <v>0</v>
      </c>
      <c r="G6" s="12">
        <f t="shared" ref="G6:G69" si="4">+E6-F6-H6</f>
        <v>7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+'19'!G12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+'19'!G13</f>
        <v>1</v>
      </c>
      <c r="D13" s="13">
        <v>0</v>
      </c>
      <c r="E13" s="12">
        <f>C13+D13</f>
        <v>1</v>
      </c>
      <c r="F13" s="13">
        <v>0</v>
      </c>
      <c r="G13" s="12">
        <f t="shared" si="4"/>
        <v>1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+'19'!G19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+'19'!G22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0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+'19'!G23</f>
        <v>7</v>
      </c>
      <c r="D23" s="13">
        <v>0</v>
      </c>
      <c r="E23" s="12">
        <f>C23+D23</f>
        <v>7</v>
      </c>
      <c r="F23" s="13">
        <v>0</v>
      </c>
      <c r="G23" s="12">
        <f t="shared" si="4"/>
        <v>6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2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+'19'!G27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+'19'!G30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+'19'!G31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+'19'!G37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4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+'19'!G38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+'19'!G42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258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+'19'!G46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2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+'19'!G50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+'19'!G52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2</v>
      </c>
      <c r="H52" s="14">
        <v>1</v>
      </c>
      <c r="I52" s="21">
        <v>120</v>
      </c>
      <c r="J52" s="79">
        <f t="shared" si="5"/>
        <v>120</v>
      </c>
      <c r="K52" s="17" t="s">
        <v>263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+'19'!G53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263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+'19'!G56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+'19'!G57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+'19'!G70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+'19'!G72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+'19'!G73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3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+'19'!G74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2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+'19'!G75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+'19'!G76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2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+'19'!G79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+'19'!G81</f>
        <v>1</v>
      </c>
      <c r="D81" s="13">
        <v>0</v>
      </c>
      <c r="E81" s="12">
        <f t="shared" si="0"/>
        <v>1</v>
      </c>
      <c r="F81" s="13">
        <v>1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+'19'!G86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+'19'!G87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+'19'!G89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+'19'!G110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+'19'!G114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+'19'!G154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+'19'!G168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+'19'!G169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+'19'!G178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2</v>
      </c>
      <c r="H178" s="14">
        <v>1</v>
      </c>
      <c r="I178" s="20">
        <v>120</v>
      </c>
      <c r="J178" s="79">
        <f t="shared" si="15"/>
        <v>120</v>
      </c>
      <c r="K178" s="17" t="s">
        <v>258</v>
      </c>
      <c r="L178" s="18">
        <v>120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1575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1815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1230</v>
      </c>
      <c r="L209" s="2">
        <v>440</v>
      </c>
      <c r="M209" s="2">
        <v>370</v>
      </c>
      <c r="N209" s="2">
        <v>250</v>
      </c>
      <c r="O209" s="2">
        <v>170</v>
      </c>
    </row>
    <row r="210" spans="1:15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5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5" ht="25.5">
      <c r="A212" s="1"/>
      <c r="C212" s="31"/>
      <c r="E212" s="31"/>
      <c r="G212" s="31"/>
      <c r="I212" s="133" t="s">
        <v>207</v>
      </c>
      <c r="J212" s="134"/>
      <c r="K212" s="37">
        <f>SUM(L5:L205)</f>
        <v>240</v>
      </c>
    </row>
    <row r="213" spans="1:15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325</v>
      </c>
    </row>
    <row r="214" spans="1:15" ht="25.5">
      <c r="A214" s="1"/>
      <c r="C214" s="31"/>
      <c r="E214" s="31"/>
      <c r="G214" s="31"/>
      <c r="I214" s="133" t="s">
        <v>209</v>
      </c>
      <c r="J214" s="134"/>
      <c r="K214" s="37">
        <v>325</v>
      </c>
    </row>
    <row r="215" spans="1:15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5" ht="25.5">
      <c r="G216" s="2"/>
      <c r="I216" s="133" t="s">
        <v>211</v>
      </c>
      <c r="J216" s="134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247</v>
      </c>
      <c r="K218" s="23">
        <f>+K207-K212+K215</f>
        <v>1575</v>
      </c>
    </row>
    <row r="219" spans="1:15">
      <c r="G219" s="2"/>
      <c r="I219" s="2"/>
      <c r="J219" s="2" t="s">
        <v>248</v>
      </c>
      <c r="K219" s="23">
        <f>SUM(K208:K211)</f>
        <v>1250</v>
      </c>
    </row>
    <row r="220" spans="1:15">
      <c r="G220" s="2"/>
      <c r="I220" s="2"/>
      <c r="J220" s="2" t="s">
        <v>249</v>
      </c>
      <c r="K220" s="23">
        <f>+K214</f>
        <v>325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30E-9ADC-4E64-9078-8C50DF7A18BB}">
  <sheetPr>
    <tabColor theme="5" tint="0.79998168889431442"/>
  </sheetPr>
  <dimension ref="A1:Z291"/>
  <sheetViews>
    <sheetView zoomScale="90" zoomScaleNormal="9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+'20'!G5</f>
        <v>2</v>
      </c>
      <c r="D5" s="13">
        <v>4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+'20'!G6</f>
        <v>7</v>
      </c>
      <c r="D6" s="13">
        <v>30</v>
      </c>
      <c r="E6" s="12">
        <f t="shared" si="0"/>
        <v>37</v>
      </c>
      <c r="F6" s="13">
        <v>0</v>
      </c>
      <c r="G6" s="12">
        <f t="shared" ref="G6:G69" si="4">+E6-F6-H6</f>
        <v>37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+'20'!G12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259</v>
      </c>
      <c r="C13" s="12">
        <f>+'20'!G13</f>
        <v>1</v>
      </c>
      <c r="D13" s="13">
        <v>2</v>
      </c>
      <c r="E13" s="12">
        <f>C13+D13</f>
        <v>3</v>
      </c>
      <c r="F13" s="13">
        <v>0</v>
      </c>
      <c r="G13" s="12">
        <f t="shared" si="4"/>
        <v>3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7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+'20'!G18</f>
        <v>0</v>
      </c>
      <c r="D18" s="13">
        <v>4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+'20'!G19</f>
        <v>2</v>
      </c>
      <c r="D19" s="13">
        <v>4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79">
        <f t="shared" si="5"/>
        <v>50</v>
      </c>
      <c r="K19" s="17" t="s">
        <v>258</v>
      </c>
      <c r="L19" s="18">
        <v>50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4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4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+'20'!G23</f>
        <v>6</v>
      </c>
      <c r="D23" s="13">
        <v>30</v>
      </c>
      <c r="E23" s="12">
        <f>C23+D23</f>
        <v>36</v>
      </c>
      <c r="F23" s="13">
        <v>0</v>
      </c>
      <c r="G23" s="12">
        <f t="shared" si="4"/>
        <v>33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+'20'!G24</f>
        <v>2</v>
      </c>
      <c r="D24" s="13">
        <v>9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+'20'!G27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+'20'!G30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+'20'!G31</f>
        <v>-1</v>
      </c>
      <c r="D31" s="13">
        <v>5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5</v>
      </c>
      <c r="E35" s="12">
        <f t="shared" si="0"/>
        <v>5</v>
      </c>
      <c r="F35" s="13">
        <v>0</v>
      </c>
      <c r="G35" s="12">
        <f t="shared" si="4"/>
        <v>5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+'20'!G37</f>
        <v>4</v>
      </c>
      <c r="D37" s="13">
        <v>10</v>
      </c>
      <c r="E37" s="12">
        <f t="shared" si="0"/>
        <v>14</v>
      </c>
      <c r="F37" s="13">
        <v>0</v>
      </c>
      <c r="G37" s="12">
        <f t="shared" si="4"/>
        <v>14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+'20'!G38</f>
        <v>4</v>
      </c>
      <c r="D38" s="13">
        <v>4</v>
      </c>
      <c r="E38" s="12">
        <f t="shared" si="0"/>
        <v>8</v>
      </c>
      <c r="F38" s="13">
        <v>0</v>
      </c>
      <c r="G38" s="12">
        <f t="shared" si="4"/>
        <v>8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+'20'!G39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+'20'!G40</f>
        <v>2</v>
      </c>
      <c r="D40" s="13">
        <v>5</v>
      </c>
      <c r="E40" s="12">
        <f t="shared" si="0"/>
        <v>7</v>
      </c>
      <c r="F40" s="13">
        <v>0</v>
      </c>
      <c r="G40" s="12">
        <f t="shared" si="4"/>
        <v>7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+'20'!G42</f>
        <v>1</v>
      </c>
      <c r="D42" s="13">
        <v>5</v>
      </c>
      <c r="E42" s="12">
        <f t="shared" si="0"/>
        <v>6</v>
      </c>
      <c r="F42" s="13">
        <v>0</v>
      </c>
      <c r="G42" s="12">
        <f t="shared" si="4"/>
        <v>6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+'20'!G43</f>
        <v>2</v>
      </c>
      <c r="D43" s="13">
        <v>5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+'20'!G46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+'20'!G47</f>
        <v>2</v>
      </c>
      <c r="D47" s="13">
        <v>5</v>
      </c>
      <c r="E47" s="12">
        <f t="shared" si="0"/>
        <v>7</v>
      </c>
      <c r="F47" s="13">
        <v>0</v>
      </c>
      <c r="G47" s="12">
        <f t="shared" si="4"/>
        <v>6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+'20'!G50</f>
        <v>0</v>
      </c>
      <c r="D50" s="13">
        <v>6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+'20'!G51</f>
        <v>0</v>
      </c>
      <c r="D51" s="13">
        <v>5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+'20'!G52</f>
        <v>2</v>
      </c>
      <c r="D52" s="13">
        <v>5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+'20'!G53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5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+'20'!G55</f>
        <v>0</v>
      </c>
      <c r="D55" s="13">
        <v>10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+'20'!G56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+'20'!G57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+'20'!G70</f>
        <v>0</v>
      </c>
      <c r="D70" s="13">
        <v>4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+'20'!G72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+'20'!G73</f>
        <v>3</v>
      </c>
      <c r="D73" s="13">
        <v>9</v>
      </c>
      <c r="E73" s="12">
        <f t="shared" si="0"/>
        <v>12</v>
      </c>
      <c r="F73" s="13">
        <v>0</v>
      </c>
      <c r="G73" s="12">
        <f t="shared" si="9"/>
        <v>11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+'20'!G74</f>
        <v>2</v>
      </c>
      <c r="D74" s="13">
        <v>9</v>
      </c>
      <c r="E74" s="12">
        <f t="shared" si="0"/>
        <v>11</v>
      </c>
      <c r="F74" s="13">
        <v>0</v>
      </c>
      <c r="G74" s="12">
        <f t="shared" si="9"/>
        <v>10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+'20'!G75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5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+'20'!G76</f>
        <v>2</v>
      </c>
      <c r="D76" s="13">
        <v>5</v>
      </c>
      <c r="E76" s="12">
        <f t="shared" si="0"/>
        <v>7</v>
      </c>
      <c r="F76" s="13">
        <v>0</v>
      </c>
      <c r="G76" s="12">
        <f t="shared" si="9"/>
        <v>6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+'20'!G79</f>
        <v>2</v>
      </c>
      <c r="D79" s="13">
        <v>4</v>
      </c>
      <c r="E79" s="12">
        <f t="shared" si="0"/>
        <v>6</v>
      </c>
      <c r="F79" s="13">
        <v>0</v>
      </c>
      <c r="G79" s="12">
        <f t="shared" si="9"/>
        <v>6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+'20'!G80</f>
        <v>0</v>
      </c>
      <c r="D80" s="13">
        <v>2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+'20'!G81</f>
        <v>0</v>
      </c>
      <c r="D81" s="13">
        <v>2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+'20'!G86</f>
        <v>2</v>
      </c>
      <c r="D86" s="13">
        <v>3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+'20'!G87</f>
        <v>1</v>
      </c>
      <c r="D87" s="13">
        <v>3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+'20'!G88</f>
        <v>0</v>
      </c>
      <c r="D88" s="13">
        <v>2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+'20'!G89</f>
        <v>2</v>
      </c>
      <c r="D89" s="13">
        <v>3</v>
      </c>
      <c r="E89" s="12">
        <f t="shared" si="0"/>
        <v>5</v>
      </c>
      <c r="F89" s="13">
        <v>1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+'20'!G90</f>
        <v>0</v>
      </c>
      <c r="D90" s="13">
        <v>2</v>
      </c>
      <c r="E90" s="12">
        <f t="shared" si="0"/>
        <v>2</v>
      </c>
      <c r="F90" s="13">
        <v>0</v>
      </c>
      <c r="G90" s="12">
        <f t="shared" si="9"/>
        <v>2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+'20'!G91</f>
        <v>0</v>
      </c>
      <c r="D91" s="13">
        <v>2</v>
      </c>
      <c r="E91" s="12">
        <f t="shared" si="0"/>
        <v>2</v>
      </c>
      <c r="F91" s="13">
        <v>0</v>
      </c>
      <c r="G91" s="12">
        <f t="shared" si="9"/>
        <v>2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+'20'!G110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+'20'!G114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+'20'!G154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+'20'!G156</f>
        <v>0</v>
      </c>
      <c r="D156" s="13">
        <v>1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+'20'!G167</f>
        <v>0</v>
      </c>
      <c r="D167" s="13">
        <v>3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+'20'!G168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+'20'!G169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+'20'!G178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760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810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540</v>
      </c>
      <c r="L209" s="2">
        <v>100</v>
      </c>
      <c r="M209" s="2">
        <v>240</v>
      </c>
      <c r="N209" s="2">
        <v>120</v>
      </c>
      <c r="O209" s="2">
        <v>80</v>
      </c>
    </row>
    <row r="210" spans="1:15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5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5" ht="25.5">
      <c r="A212" s="1"/>
      <c r="C212" s="31"/>
      <c r="E212" s="31"/>
      <c r="G212" s="31"/>
      <c r="I212" s="133" t="s">
        <v>207</v>
      </c>
      <c r="J212" s="134"/>
      <c r="K212" s="37">
        <f>SUM(L5:L205)</f>
        <v>50</v>
      </c>
    </row>
    <row r="213" spans="1:15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200</v>
      </c>
    </row>
    <row r="214" spans="1:15" ht="25.5">
      <c r="A214" s="1"/>
      <c r="C214" s="31"/>
      <c r="E214" s="31"/>
      <c r="G214" s="31"/>
      <c r="I214" s="133" t="s">
        <v>209</v>
      </c>
      <c r="J214" s="134"/>
      <c r="K214" s="37">
        <v>200</v>
      </c>
    </row>
    <row r="215" spans="1:15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5" ht="25.5">
      <c r="G216" s="2"/>
      <c r="I216" s="133" t="s">
        <v>211</v>
      </c>
      <c r="J216" s="134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247</v>
      </c>
      <c r="K218" s="23">
        <f>+K207-K212+K215</f>
        <v>760</v>
      </c>
    </row>
    <row r="219" spans="1:15">
      <c r="G219" s="2"/>
      <c r="I219" s="2"/>
      <c r="J219" s="2" t="s">
        <v>248</v>
      </c>
      <c r="K219" s="23">
        <f>SUM(K208:K211)</f>
        <v>560</v>
      </c>
    </row>
    <row r="220" spans="1:15">
      <c r="G220" s="2"/>
      <c r="I220" s="2"/>
      <c r="J220" s="2" t="s">
        <v>249</v>
      </c>
      <c r="K220" s="23">
        <f>+K214</f>
        <v>200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50E-1FAF-4D4F-95D4-3439D6C17C68}">
  <sheetPr>
    <tabColor theme="5" tint="0.79998168889431442"/>
  </sheetPr>
  <dimension ref="A1:Z291"/>
  <sheetViews>
    <sheetView zoomScale="90" zoomScaleNormal="90" workbookViewId="0">
      <pane ySplit="4" topLeftCell="A15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5</v>
      </c>
      <c r="H5" s="14">
        <v>1</v>
      </c>
      <c r="I5" s="15">
        <v>50</v>
      </c>
      <c r="J5" s="79">
        <f>+I5*H5</f>
        <v>50</v>
      </c>
      <c r="K5" s="17" t="s">
        <v>258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+'21'!G6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69" si="4">+E6-F6-H6</f>
        <v>36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v>3</v>
      </c>
      <c r="D7" s="13">
        <v>0</v>
      </c>
      <c r="E7" s="12">
        <f>C7+D7</f>
        <v>3</v>
      </c>
      <c r="F7" s="13">
        <v>0</v>
      </c>
      <c r="G7" s="12">
        <f t="shared" si="4"/>
        <v>2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+'21'!G12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+'21'!G18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+'21'!G19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+'21'!G20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+'21'!G22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3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+'21'!G23</f>
        <v>33</v>
      </c>
      <c r="D23" s="13">
        <v>0</v>
      </c>
      <c r="E23" s="12">
        <f>C23+D23</f>
        <v>33</v>
      </c>
      <c r="F23" s="13">
        <v>0</v>
      </c>
      <c r="G23" s="12">
        <f t="shared" si="4"/>
        <v>28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+'21'!G24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+'21'!G27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+'21'!G29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+'21'!G30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+'21'!G31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+'21'!G33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+'21'!G35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5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+'21'!G37</f>
        <v>14</v>
      </c>
      <c r="D37" s="13">
        <v>0</v>
      </c>
      <c r="E37" s="12">
        <f t="shared" si="0"/>
        <v>14</v>
      </c>
      <c r="F37" s="13">
        <v>0</v>
      </c>
      <c r="G37" s="12">
        <f t="shared" si="4"/>
        <v>12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+'21'!G38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8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+'21'!G40</f>
        <v>7</v>
      </c>
      <c r="D40" s="13">
        <v>0</v>
      </c>
      <c r="E40" s="12">
        <f t="shared" si="0"/>
        <v>7</v>
      </c>
      <c r="F40" s="13">
        <v>0</v>
      </c>
      <c r="G40" s="12">
        <f t="shared" si="4"/>
        <v>7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+'21'!G42</f>
        <v>6</v>
      </c>
      <c r="D42" s="13">
        <v>0</v>
      </c>
      <c r="E42" s="12">
        <f t="shared" si="0"/>
        <v>6</v>
      </c>
      <c r="F42" s="13">
        <v>1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258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+'21'!G43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6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+'21'!G46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3</v>
      </c>
      <c r="H46" s="14">
        <v>3</v>
      </c>
      <c r="I46" s="15">
        <v>50</v>
      </c>
      <c r="J46" s="79">
        <f t="shared" si="5"/>
        <v>150</v>
      </c>
      <c r="K46" s="17" t="s">
        <v>16</v>
      </c>
      <c r="L46" s="18">
        <v>0</v>
      </c>
      <c r="M46" s="23">
        <f t="shared" si="6"/>
        <v>150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+'21'!G47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+'21'!G50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+'21'!G51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+'21'!G52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+'21'!G53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+'21'!G54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+'21'!G55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+'21'!G56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+'21'!G57</f>
        <v>8</v>
      </c>
      <c r="D57" s="13">
        <v>0</v>
      </c>
      <c r="E57" s="12">
        <f t="shared" si="0"/>
        <v>8</v>
      </c>
      <c r="F57" s="13">
        <v>3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+'21'!G70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+'21'!G72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+'21'!G73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9"/>
        <v>11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+'21'!G74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9"/>
        <v>9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+'21'!G75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+'21'!G76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+'21'!G79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6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+'21'!G80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+'21'!G85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+'21'!G86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+'21'!G88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+'21'!G89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9"/>
        <v>2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+'21'!G91</f>
        <v>2</v>
      </c>
      <c r="D91" s="13">
        <v>0</v>
      </c>
      <c r="E91" s="12">
        <f t="shared" si="0"/>
        <v>2</v>
      </c>
      <c r="F91" s="13">
        <v>0</v>
      </c>
      <c r="G91" s="12">
        <f t="shared" si="9"/>
        <v>2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+'21'!G110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+'21'!G114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+'21'!G154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+'21'!G156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+'21'!G167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+'21'!G168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+'21'!G169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+'21'!G178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+'21'!G180</f>
        <v>0</v>
      </c>
      <c r="D180" s="13">
        <v>20</v>
      </c>
      <c r="E180" s="12">
        <f t="shared" si="13"/>
        <v>20</v>
      </c>
      <c r="F180" s="13">
        <v>0</v>
      </c>
      <c r="G180" s="12">
        <f t="shared" si="14"/>
        <v>20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1405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1505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500</v>
      </c>
      <c r="L209" s="2">
        <v>300</v>
      </c>
      <c r="M209" s="2">
        <v>150</v>
      </c>
      <c r="N209" s="2">
        <v>50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100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885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885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1405</v>
      </c>
    </row>
    <row r="219" spans="1:14">
      <c r="G219" s="2"/>
      <c r="I219" s="2"/>
      <c r="J219" s="2" t="s">
        <v>248</v>
      </c>
      <c r="K219" s="23">
        <f>SUM(K208:K211)</f>
        <v>520</v>
      </c>
    </row>
    <row r="220" spans="1:14">
      <c r="G220" s="2"/>
      <c r="I220" s="2"/>
      <c r="J220" s="2" t="s">
        <v>249</v>
      </c>
      <c r="K220" s="23">
        <f>+K214</f>
        <v>885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237-B587-451C-95DA-55753FA78516}">
  <sheetPr>
    <tabColor theme="5" tint="0.79998168889431442"/>
  </sheetPr>
  <dimension ref="A1:Z291"/>
  <sheetViews>
    <sheetView zoomScale="90" zoomScaleNormal="90" workbookViewId="0">
      <pane ySplit="4" topLeftCell="A17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+'22'!G5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+'22'!G6</f>
        <v>36</v>
      </c>
      <c r="D6" s="13">
        <v>0</v>
      </c>
      <c r="E6" s="12">
        <f t="shared" si="0"/>
        <v>36</v>
      </c>
      <c r="F6" s="13">
        <v>0</v>
      </c>
      <c r="G6" s="12">
        <f t="shared" ref="G6:G69" si="4">+E6-F6-H6</f>
        <v>30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+'22'!G7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+'22'!G17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79">
        <f t="shared" si="5"/>
        <v>50</v>
      </c>
      <c r="K17" s="17" t="s">
        <v>258</v>
      </c>
      <c r="L17" s="18">
        <v>50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+'22'!G18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+'22'!G19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4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+'22'!G20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+'22'!G22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+'22'!G23</f>
        <v>28</v>
      </c>
      <c r="D23" s="13">
        <v>0</v>
      </c>
      <c r="E23" s="12">
        <f>C23+D23</f>
        <v>28</v>
      </c>
      <c r="F23" s="13">
        <v>0</v>
      </c>
      <c r="G23" s="12">
        <f t="shared" si="4"/>
        <v>25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+'22'!G24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+'22'!G27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+'22'!G29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+'22'!G30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+'22'!G31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+'22'!G33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+'22'!G37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6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+'22'!G38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4</v>
      </c>
      <c r="H38" s="14">
        <v>4</v>
      </c>
      <c r="I38" s="15">
        <v>50</v>
      </c>
      <c r="J38" s="79">
        <f t="shared" si="5"/>
        <v>200</v>
      </c>
      <c r="K38" s="17" t="s">
        <v>255</v>
      </c>
      <c r="L38" s="18">
        <v>100</v>
      </c>
      <c r="M38" s="23">
        <f t="shared" si="6"/>
        <v>100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258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+'22'!G40</f>
        <v>7</v>
      </c>
      <c r="D40" s="13">
        <v>0</v>
      </c>
      <c r="E40" s="12">
        <f t="shared" si="0"/>
        <v>7</v>
      </c>
      <c r="F40" s="13">
        <v>0</v>
      </c>
      <c r="G40" s="12">
        <f t="shared" si="4"/>
        <v>5</v>
      </c>
      <c r="H40" s="14">
        <v>2</v>
      </c>
      <c r="I40" s="15">
        <v>50</v>
      </c>
      <c r="J40" s="79">
        <f t="shared" si="5"/>
        <v>100</v>
      </c>
      <c r="K40" s="17" t="s">
        <v>255</v>
      </c>
      <c r="L40" s="18">
        <v>50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+'22'!G43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2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+'22'!G47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3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+'22'!G50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+'22'!G51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+'22'!G52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+'22'!G53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+'22'!G54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+'22'!G55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+'22'!G56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+'22'!G57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+'22'!G72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1</v>
      </c>
      <c r="H72" s="14">
        <v>2</v>
      </c>
      <c r="I72" s="22">
        <v>50</v>
      </c>
      <c r="J72" s="79">
        <f t="shared" si="10"/>
        <v>100</v>
      </c>
      <c r="K72" s="17" t="s">
        <v>255</v>
      </c>
      <c r="L72" s="18">
        <v>50</v>
      </c>
      <c r="M72" s="23">
        <f t="shared" si="11"/>
        <v>50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+'22'!G73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9"/>
        <v>11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+'22'!G74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9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+'22'!G75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+'22'!G76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+'22'!G79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4</v>
      </c>
      <c r="H79" s="14">
        <v>2</v>
      </c>
      <c r="I79" s="22">
        <v>50</v>
      </c>
      <c r="J79" s="79">
        <f t="shared" si="10"/>
        <v>100</v>
      </c>
      <c r="K79" s="17" t="s">
        <v>255</v>
      </c>
      <c r="L79" s="18">
        <v>50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+'22'!G80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+'22'!G86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+'22'!G87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+'22'!G88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+'22'!G89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9"/>
        <v>1</v>
      </c>
      <c r="H90" s="14">
        <v>1</v>
      </c>
      <c r="I90" s="20">
        <v>50</v>
      </c>
      <c r="J90" s="79">
        <f t="shared" si="10"/>
        <v>50</v>
      </c>
      <c r="K90" s="17" t="s">
        <v>258</v>
      </c>
      <c r="L90" s="18">
        <v>50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9"/>
        <v>2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+'22'!G110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0</v>
      </c>
      <c r="H110" s="14">
        <v>2</v>
      </c>
      <c r="I110" s="20">
        <v>35</v>
      </c>
      <c r="J110" s="79">
        <f t="shared" si="10"/>
        <v>70</v>
      </c>
      <c r="K110" s="17" t="s">
        <v>255</v>
      </c>
      <c r="L110" s="18">
        <v>35</v>
      </c>
      <c r="M110" s="23">
        <f t="shared" si="11"/>
        <v>35</v>
      </c>
    </row>
    <row r="111" spans="1:26" ht="25.5">
      <c r="A111" s="10">
        <v>107</v>
      </c>
      <c r="B111" s="19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+'22'!G114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0</v>
      </c>
      <c r="H114" s="14">
        <v>2</v>
      </c>
      <c r="I114" s="20">
        <v>35</v>
      </c>
      <c r="J114" s="79">
        <f t="shared" si="10"/>
        <v>70</v>
      </c>
      <c r="K114" s="17" t="s">
        <v>255</v>
      </c>
      <c r="L114" s="18">
        <v>35</v>
      </c>
      <c r="M114" s="23">
        <f t="shared" si="11"/>
        <v>35</v>
      </c>
    </row>
    <row r="115" spans="1:13" ht="25.5">
      <c r="A115" s="10">
        <v>111</v>
      </c>
      <c r="B115" s="19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+'22'!G154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+'22'!G156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+'22'!G167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+'22'!G168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+'22'!G169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+'22'!G180</f>
        <v>20</v>
      </c>
      <c r="D180" s="13">
        <v>0</v>
      </c>
      <c r="E180" s="12">
        <f t="shared" si="13"/>
        <v>20</v>
      </c>
      <c r="F180" s="13">
        <v>0</v>
      </c>
      <c r="G180" s="12">
        <f t="shared" si="14"/>
        <v>20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2050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2520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350</v>
      </c>
      <c r="L209" s="2">
        <v>200</v>
      </c>
      <c r="M209" s="2">
        <v>150</v>
      </c>
    </row>
    <row r="210" spans="1:13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3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3" ht="25.5">
      <c r="A212" s="1"/>
      <c r="C212" s="31"/>
      <c r="E212" s="31"/>
      <c r="G212" s="31"/>
      <c r="I212" s="133" t="s">
        <v>207</v>
      </c>
      <c r="J212" s="134"/>
      <c r="K212" s="37">
        <f>SUM(L5:L205)</f>
        <v>470</v>
      </c>
    </row>
    <row r="213" spans="1:13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1680</v>
      </c>
    </row>
    <row r="214" spans="1:13" ht="25.5">
      <c r="A214" s="1"/>
      <c r="C214" s="31"/>
      <c r="E214" s="31"/>
      <c r="G214" s="31"/>
      <c r="I214" s="133" t="s">
        <v>209</v>
      </c>
      <c r="J214" s="134"/>
      <c r="K214" s="37">
        <v>1680</v>
      </c>
    </row>
    <row r="215" spans="1:13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3" ht="25.5">
      <c r="G216" s="2"/>
      <c r="I216" s="133" t="s">
        <v>211</v>
      </c>
      <c r="J216" s="134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247</v>
      </c>
      <c r="K218" s="23">
        <f>+K207-K212+K215</f>
        <v>2050</v>
      </c>
    </row>
    <row r="219" spans="1:13">
      <c r="G219" s="2"/>
      <c r="I219" s="2"/>
      <c r="J219" s="2" t="s">
        <v>248</v>
      </c>
      <c r="K219" s="23">
        <f>SUM(K208:K211)</f>
        <v>370</v>
      </c>
    </row>
    <row r="220" spans="1:13">
      <c r="G220" s="2"/>
      <c r="I220" s="2"/>
      <c r="J220" s="2" t="s">
        <v>249</v>
      </c>
      <c r="K220" s="23">
        <f>+K214</f>
        <v>1680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2BFC-C99F-4B6A-8D5B-A291B86B4D15}">
  <sheetPr>
    <tabColor theme="5" tint="0.79998168889431442"/>
  </sheetPr>
  <dimension ref="A1:Z291"/>
  <sheetViews>
    <sheetView zoomScale="90" zoomScaleNormal="90" workbookViewId="0">
      <pane ySplit="4" topLeftCell="A191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4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+'23'!G6</f>
        <v>30</v>
      </c>
      <c r="D6" s="13">
        <v>10</v>
      </c>
      <c r="E6" s="12">
        <f t="shared" si="0"/>
        <v>40</v>
      </c>
      <c r="F6" s="13">
        <v>0</v>
      </c>
      <c r="G6" s="12">
        <f t="shared" ref="G6:G69" si="4">+E6-F6-H6</f>
        <v>35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+'23'!G7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+'23'!G12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+'23'!G17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+'23'!G18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3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+'23'!G19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+'23'!G20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+'23'!G22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+'23'!G23</f>
        <v>25</v>
      </c>
      <c r="D23" s="13">
        <v>10</v>
      </c>
      <c r="E23" s="12">
        <f>C23+D23</f>
        <v>35</v>
      </c>
      <c r="F23" s="13">
        <v>0</v>
      </c>
      <c r="G23" s="12">
        <f t="shared" si="4"/>
        <v>29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+'23'!G24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+'23'!G27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+'23'!G29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+'23'!G30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+'23'!G31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+'23'!G33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+'23'!G35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3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+'23'!G37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2</v>
      </c>
      <c r="H37" s="14">
        <v>4</v>
      </c>
      <c r="I37" s="15">
        <v>100</v>
      </c>
      <c r="J37" s="79">
        <f t="shared" si="5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+'23'!G38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1</v>
      </c>
      <c r="H38" s="14">
        <v>3</v>
      </c>
      <c r="I38" s="15">
        <v>50</v>
      </c>
      <c r="J38" s="79">
        <f t="shared" si="5"/>
        <v>150</v>
      </c>
      <c r="K38" s="17" t="s">
        <v>261</v>
      </c>
      <c r="L38" s="18">
        <v>100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2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+'23'!G43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+'23'!G44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2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+'23'!G47</f>
        <v>6</v>
      </c>
      <c r="D47" s="13">
        <v>10</v>
      </c>
      <c r="E47" s="12">
        <f t="shared" si="0"/>
        <v>16</v>
      </c>
      <c r="F47" s="13">
        <v>0</v>
      </c>
      <c r="G47" s="12">
        <f t="shared" si="4"/>
        <v>16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+'23'!G50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5</v>
      </c>
      <c r="H50" s="14">
        <v>1</v>
      </c>
      <c r="I50" s="15">
        <v>120</v>
      </c>
      <c r="J50" s="79">
        <f t="shared" si="5"/>
        <v>120</v>
      </c>
      <c r="K50" s="17" t="s">
        <v>263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+'23'!G51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+'23'!G52</f>
        <v>7</v>
      </c>
      <c r="D52" s="13">
        <v>5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+'23'!G53</f>
        <v>3</v>
      </c>
      <c r="D53" s="13">
        <v>4</v>
      </c>
      <c r="E53" s="12">
        <f t="shared" si="0"/>
        <v>7</v>
      </c>
      <c r="F53" s="13">
        <v>0</v>
      </c>
      <c r="G53" s="12">
        <f t="shared" si="4"/>
        <v>6</v>
      </c>
      <c r="H53" s="14">
        <v>1</v>
      </c>
      <c r="I53" s="15">
        <v>120</v>
      </c>
      <c r="J53" s="79">
        <f t="shared" si="5"/>
        <v>120</v>
      </c>
      <c r="K53" s="17" t="s">
        <v>263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+'23'!G54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+'23'!G55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8</v>
      </c>
      <c r="H55" s="14">
        <v>2</v>
      </c>
      <c r="I55" s="21">
        <v>120</v>
      </c>
      <c r="J55" s="79">
        <f t="shared" si="5"/>
        <v>240</v>
      </c>
      <c r="K55" s="17" t="s">
        <v>263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+'23'!G56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+'23'!G57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60</v>
      </c>
      <c r="J70" s="79">
        <f t="shared" ref="J70:J133" si="10">+I70*H70</f>
        <v>60</v>
      </c>
      <c r="K70" s="17" t="s">
        <v>258</v>
      </c>
      <c r="L70" s="18">
        <v>60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+'23'!G72</f>
        <v>1</v>
      </c>
      <c r="D72" s="13">
        <v>2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+'23'!G73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9"/>
        <v>10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+'23'!G74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9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+'23'!G75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+'23'!G76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+'23'!G80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0</v>
      </c>
      <c r="H81" s="14">
        <v>2</v>
      </c>
      <c r="I81" s="20">
        <v>55</v>
      </c>
      <c r="J81" s="79">
        <f t="shared" si="10"/>
        <v>110</v>
      </c>
      <c r="K81" s="17" t="s">
        <v>16</v>
      </c>
      <c r="L81" s="18">
        <v>0</v>
      </c>
      <c r="M81" s="23">
        <f t="shared" si="11"/>
        <v>110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+'23'!G85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+'23'!G86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2</v>
      </c>
      <c r="H87" s="14">
        <v>2</v>
      </c>
      <c r="I87" s="20">
        <v>60</v>
      </c>
      <c r="J87" s="79">
        <f t="shared" si="10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+'23'!G88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0</v>
      </c>
      <c r="H88" s="14">
        <v>2</v>
      </c>
      <c r="I88" s="20">
        <v>100</v>
      </c>
      <c r="J88" s="79">
        <f t="shared" si="10"/>
        <v>200</v>
      </c>
      <c r="K88" s="17" t="s">
        <v>16</v>
      </c>
      <c r="L88" s="18">
        <v>0</v>
      </c>
      <c r="M88" s="23">
        <f t="shared" si="11"/>
        <v>200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+'23'!G89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+'23'!G91</f>
        <v>2</v>
      </c>
      <c r="D91" s="13">
        <v>0</v>
      </c>
      <c r="E91" s="12">
        <f t="shared" si="0"/>
        <v>2</v>
      </c>
      <c r="F91" s="13">
        <v>0</v>
      </c>
      <c r="G91" s="12">
        <f t="shared" si="9"/>
        <v>0</v>
      </c>
      <c r="H91" s="14">
        <v>2</v>
      </c>
      <c r="I91" s="22">
        <v>50</v>
      </c>
      <c r="J91" s="79">
        <f t="shared" si="10"/>
        <v>100</v>
      </c>
      <c r="K91" s="17" t="s">
        <v>258</v>
      </c>
      <c r="L91" s="18">
        <v>50</v>
      </c>
      <c r="M91" s="23">
        <f t="shared" si="11"/>
        <v>50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+'23'!G114</f>
        <v>0</v>
      </c>
      <c r="D114" s="13">
        <v>2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+'23'!G150</f>
        <v>0</v>
      </c>
      <c r="D150" s="13">
        <v>11</v>
      </c>
      <c r="E150" s="12">
        <f t="shared" si="13"/>
        <v>11</v>
      </c>
      <c r="F150" s="13">
        <v>0</v>
      </c>
      <c r="G150" s="12">
        <f t="shared" si="14"/>
        <v>11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+'23'!G151</f>
        <v>0</v>
      </c>
      <c r="D151" s="13">
        <v>10</v>
      </c>
      <c r="E151" s="12">
        <f t="shared" si="13"/>
        <v>10</v>
      </c>
      <c r="F151" s="13">
        <v>0</v>
      </c>
      <c r="G151" s="12">
        <f t="shared" si="14"/>
        <v>9</v>
      </c>
      <c r="H151" s="14">
        <v>1</v>
      </c>
      <c r="I151" s="20">
        <v>120</v>
      </c>
      <c r="J151" s="79">
        <f t="shared" si="15"/>
        <v>120</v>
      </c>
      <c r="K151" s="17" t="s">
        <v>251</v>
      </c>
      <c r="L151" s="18">
        <v>45</v>
      </c>
      <c r="M151" s="23">
        <f t="shared" si="16"/>
        <v>75</v>
      </c>
    </row>
    <row r="152" spans="1:13" ht="25.5">
      <c r="A152" s="10">
        <v>148</v>
      </c>
      <c r="B152" s="19" t="s">
        <v>164</v>
      </c>
      <c r="C152" s="12">
        <f>+'23'!G152</f>
        <v>0</v>
      </c>
      <c r="D152" s="13">
        <v>1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+'23'!G153</f>
        <v>0</v>
      </c>
      <c r="D153" s="13">
        <v>10</v>
      </c>
      <c r="E153" s="12">
        <f t="shared" si="13"/>
        <v>10</v>
      </c>
      <c r="F153" s="13">
        <v>0</v>
      </c>
      <c r="G153" s="12">
        <f t="shared" si="14"/>
        <v>9</v>
      </c>
      <c r="H153" s="14">
        <v>1</v>
      </c>
      <c r="I153" s="20">
        <v>120</v>
      </c>
      <c r="J153" s="79">
        <f t="shared" si="15"/>
        <v>120</v>
      </c>
      <c r="K153" s="17" t="s">
        <v>251</v>
      </c>
      <c r="L153" s="18">
        <v>45</v>
      </c>
      <c r="M153" s="23">
        <f t="shared" si="16"/>
        <v>75</v>
      </c>
    </row>
    <row r="154" spans="1:13" ht="25.5">
      <c r="A154" s="10">
        <v>150</v>
      </c>
      <c r="B154" s="19" t="s">
        <v>166</v>
      </c>
      <c r="C154" s="12">
        <f>+'23'!G154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+'23'!G156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+'23'!G157</f>
        <v>0</v>
      </c>
      <c r="D157" s="13">
        <v>1</v>
      </c>
      <c r="E157" s="12">
        <f t="shared" si="13"/>
        <v>1</v>
      </c>
      <c r="F157" s="13">
        <v>0</v>
      </c>
      <c r="G157" s="12">
        <f t="shared" si="14"/>
        <v>1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+'23'!G167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2</v>
      </c>
      <c r="H167" s="14">
        <v>1</v>
      </c>
      <c r="I167" s="20">
        <v>50</v>
      </c>
      <c r="J167" s="79">
        <f t="shared" si="15"/>
        <v>50</v>
      </c>
      <c r="K167" s="17" t="s">
        <v>16</v>
      </c>
      <c r="L167" s="18">
        <v>0</v>
      </c>
      <c r="M167" s="23">
        <f t="shared" si="16"/>
        <v>50</v>
      </c>
    </row>
    <row r="168" spans="1:13" ht="25.5">
      <c r="A168" s="10">
        <v>164</v>
      </c>
      <c r="B168" s="19" t="s">
        <v>180</v>
      </c>
      <c r="C168" s="12">
        <f>+'23'!G168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+'23'!G169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-1</v>
      </c>
      <c r="H176" s="14">
        <v>1</v>
      </c>
      <c r="I176" s="20">
        <v>50</v>
      </c>
      <c r="J176" s="79">
        <f t="shared" si="15"/>
        <v>50</v>
      </c>
      <c r="K176" s="17" t="s">
        <v>258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+'23'!G180</f>
        <v>20</v>
      </c>
      <c r="D180" s="13">
        <v>0</v>
      </c>
      <c r="E180" s="12">
        <f t="shared" si="13"/>
        <v>20</v>
      </c>
      <c r="F180" s="13">
        <v>0</v>
      </c>
      <c r="G180" s="12">
        <f t="shared" si="14"/>
        <v>18</v>
      </c>
      <c r="H180" s="14">
        <v>2</v>
      </c>
      <c r="I180" s="20">
        <v>35</v>
      </c>
      <c r="J180" s="79">
        <f t="shared" si="15"/>
        <v>70</v>
      </c>
      <c r="K180" s="17" t="s">
        <v>16</v>
      </c>
      <c r="L180" s="18">
        <v>0</v>
      </c>
      <c r="M180" s="23">
        <f t="shared" si="16"/>
        <v>70</v>
      </c>
    </row>
    <row r="181" spans="1:13" ht="25.5">
      <c r="A181" s="10">
        <v>177</v>
      </c>
      <c r="B181" s="19" t="s">
        <v>193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3560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4050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9" ht="25.5">
      <c r="A209" s="1"/>
      <c r="C209" s="31"/>
      <c r="E209" s="31"/>
      <c r="G209" s="31"/>
      <c r="I209" s="34" t="s">
        <v>204</v>
      </c>
      <c r="J209" s="35"/>
      <c r="K209" s="36">
        <f>SUM(L209:AO209)</f>
        <v>1250</v>
      </c>
      <c r="L209" s="2">
        <v>200</v>
      </c>
      <c r="M209" s="2">
        <v>180</v>
      </c>
      <c r="N209" s="2">
        <v>120</v>
      </c>
      <c r="O209" s="2">
        <v>170</v>
      </c>
      <c r="P209" s="2">
        <v>200</v>
      </c>
      <c r="Q209" s="2">
        <v>160</v>
      </c>
      <c r="R209" s="2">
        <v>170</v>
      </c>
      <c r="S209" s="2">
        <v>50</v>
      </c>
    </row>
    <row r="210" spans="1:19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9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9" ht="25.5">
      <c r="A212" s="1"/>
      <c r="C212" s="31"/>
      <c r="E212" s="31"/>
      <c r="G212" s="31"/>
      <c r="I212" s="133" t="s">
        <v>207</v>
      </c>
      <c r="J212" s="134"/>
      <c r="K212" s="37">
        <f>SUM(L5:L205)</f>
        <v>490</v>
      </c>
    </row>
    <row r="213" spans="1:19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2290</v>
      </c>
    </row>
    <row r="214" spans="1:19" ht="25.5">
      <c r="A214" s="1"/>
      <c r="C214" s="31"/>
      <c r="E214" s="31"/>
      <c r="G214" s="31"/>
      <c r="I214" s="133" t="s">
        <v>209</v>
      </c>
      <c r="J214" s="134"/>
      <c r="K214" s="37">
        <v>2290</v>
      </c>
    </row>
    <row r="215" spans="1:19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9" ht="25.5">
      <c r="G216" s="2"/>
      <c r="I216" s="133" t="s">
        <v>211</v>
      </c>
      <c r="J216" s="134"/>
      <c r="K216" s="33">
        <f>+K214-K213</f>
        <v>0</v>
      </c>
    </row>
    <row r="217" spans="1:19">
      <c r="G217" s="2"/>
      <c r="I217" s="2"/>
    </row>
    <row r="218" spans="1:19">
      <c r="G218" s="2"/>
      <c r="I218" s="2"/>
      <c r="J218" s="98" t="s">
        <v>247</v>
      </c>
      <c r="K218" s="23">
        <f>+K207-K212+K215</f>
        <v>3560</v>
      </c>
    </row>
    <row r="219" spans="1:19">
      <c r="G219" s="2"/>
      <c r="I219" s="2"/>
      <c r="J219" s="2" t="s">
        <v>248</v>
      </c>
      <c r="K219" s="23">
        <f>SUM(K208:K211)</f>
        <v>1270</v>
      </c>
    </row>
    <row r="220" spans="1:19">
      <c r="G220" s="2"/>
      <c r="I220" s="2"/>
      <c r="J220" s="2" t="s">
        <v>249</v>
      </c>
      <c r="K220" s="23">
        <f>+K214</f>
        <v>2290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406-724D-415F-8FDD-ABE9B897CC41}">
  <sheetPr>
    <tabColor theme="5" tint="0.79998168889431442"/>
  </sheetPr>
  <dimension ref="A1:Z291"/>
  <sheetViews>
    <sheetView zoomScale="90" zoomScaleNormal="90" workbookViewId="0">
      <pane ySplit="4" topLeftCell="A18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+'24'!G5</f>
        <v>4</v>
      </c>
      <c r="D5" s="13">
        <v>0</v>
      </c>
      <c r="E5" s="12">
        <f t="shared" ref="E5:E94" si="0">C5+D5</f>
        <v>4</v>
      </c>
      <c r="F5" s="13">
        <v>1</v>
      </c>
      <c r="G5" s="12">
        <f>+E5-F5-H5</f>
        <v>2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+'24'!G6</f>
        <v>35</v>
      </c>
      <c r="D6" s="13">
        <v>0</v>
      </c>
      <c r="E6" s="12">
        <f t="shared" si="0"/>
        <v>35</v>
      </c>
      <c r="F6" s="13">
        <v>0</v>
      </c>
      <c r="G6" s="12">
        <f t="shared" ref="G6:G69" si="4">+E6-F6-H6</f>
        <v>30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+'24'!G7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+'24'!G12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+'24'!G18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+'24'!G19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0</v>
      </c>
      <c r="H19" s="14">
        <v>3</v>
      </c>
      <c r="I19" s="15">
        <v>50</v>
      </c>
      <c r="J19" s="79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+'24'!G20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+'24'!G22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1</v>
      </c>
      <c r="H22" s="14">
        <v>2</v>
      </c>
      <c r="I22" s="15">
        <v>85</v>
      </c>
      <c r="J22" s="79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+'24'!G23</f>
        <v>29</v>
      </c>
      <c r="D23" s="13">
        <v>0</v>
      </c>
      <c r="E23" s="12">
        <f>C23+D23</f>
        <v>29</v>
      </c>
      <c r="F23" s="13">
        <v>0</v>
      </c>
      <c r="G23" s="12">
        <f t="shared" si="4"/>
        <v>27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+'24'!G24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+'24'!G27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+'24'!G29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+'24'!G30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+'24'!G31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+'24'!G33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2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+'24'!G34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+'24'!G35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+'24'!G37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1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+'24'!G38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1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1</v>
      </c>
      <c r="H40" s="14">
        <v>3</v>
      </c>
      <c r="I40" s="15">
        <v>50</v>
      </c>
      <c r="J40" s="79">
        <f t="shared" si="5"/>
        <v>150</v>
      </c>
      <c r="K40" s="17" t="s">
        <v>16</v>
      </c>
      <c r="L40" s="18">
        <v>0</v>
      </c>
      <c r="M40" s="23">
        <f t="shared" si="6"/>
        <v>150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2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4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1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+'24'!G46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1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+'24'!G47</f>
        <v>16</v>
      </c>
      <c r="D47" s="13">
        <v>0</v>
      </c>
      <c r="E47" s="12">
        <f t="shared" si="0"/>
        <v>16</v>
      </c>
      <c r="F47" s="13">
        <v>0</v>
      </c>
      <c r="G47" s="12">
        <f t="shared" si="4"/>
        <v>16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+'24'!G50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2</v>
      </c>
      <c r="H50" s="14">
        <v>3</v>
      </c>
      <c r="I50" s="15">
        <v>120</v>
      </c>
      <c r="J50" s="79">
        <f t="shared" si="5"/>
        <v>360</v>
      </c>
      <c r="K50" s="17" t="s">
        <v>263</v>
      </c>
      <c r="L50" s="18">
        <v>105</v>
      </c>
      <c r="M50" s="23">
        <f t="shared" si="6"/>
        <v>255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+'24'!G51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+'24'!G52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+'24'!G53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+'24'!G54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+'24'!G55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7</v>
      </c>
      <c r="H55" s="14">
        <v>1</v>
      </c>
      <c r="I55" s="21">
        <v>120</v>
      </c>
      <c r="J55" s="79">
        <f t="shared" si="5"/>
        <v>120</v>
      </c>
      <c r="K55" s="17" t="s">
        <v>263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+'24'!G56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+'24'!G57</f>
        <v>5</v>
      </c>
      <c r="D57" s="13">
        <v>0</v>
      </c>
      <c r="E57" s="12">
        <f t="shared" si="0"/>
        <v>5</v>
      </c>
      <c r="F57" s="13">
        <v>5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+'24'!G70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1</v>
      </c>
      <c r="H70" s="14">
        <v>2</v>
      </c>
      <c r="I70" s="20">
        <v>60</v>
      </c>
      <c r="J70" s="79">
        <f t="shared" ref="J70:J133" si="10">+I70*H70</f>
        <v>120</v>
      </c>
      <c r="K70" s="17" t="s">
        <v>16</v>
      </c>
      <c r="L70" s="18">
        <v>20</v>
      </c>
      <c r="M70" s="23">
        <f t="shared" ref="M70:M133" si="11">SUM(J70-L70)</f>
        <v>100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+'24'!G72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258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+'24'!G73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9"/>
        <v>10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+'24'!G74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9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+'24'!G75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+'24'!G76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+'24'!G79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1</v>
      </c>
      <c r="H79" s="14">
        <v>2</v>
      </c>
      <c r="I79" s="22">
        <v>50</v>
      </c>
      <c r="J79" s="79">
        <f t="shared" si="10"/>
        <v>100</v>
      </c>
      <c r="K79" s="17" t="s">
        <v>258</v>
      </c>
      <c r="L79" s="18">
        <v>50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+'24'!G80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+'24'!G86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+'24'!G89</f>
        <v>4</v>
      </c>
      <c r="D89" s="13">
        <v>0</v>
      </c>
      <c r="E89" s="12">
        <f t="shared" si="0"/>
        <v>4</v>
      </c>
      <c r="F89" s="13">
        <v>1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+'24'!G114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+'24'!G150</f>
        <v>11</v>
      </c>
      <c r="D150" s="13">
        <v>0</v>
      </c>
      <c r="E150" s="12">
        <f t="shared" si="13"/>
        <v>11</v>
      </c>
      <c r="F150" s="13">
        <v>0</v>
      </c>
      <c r="G150" s="12">
        <f t="shared" si="14"/>
        <v>10</v>
      </c>
      <c r="H150" s="14">
        <v>1</v>
      </c>
      <c r="I150" s="20">
        <v>120</v>
      </c>
      <c r="J150" s="79">
        <f t="shared" si="15"/>
        <v>120</v>
      </c>
      <c r="K150" s="17" t="s">
        <v>263</v>
      </c>
      <c r="L150" s="18">
        <v>45</v>
      </c>
      <c r="M150" s="23">
        <f t="shared" si="16"/>
        <v>75</v>
      </c>
    </row>
    <row r="151" spans="1:13" ht="25.5">
      <c r="A151" s="10">
        <v>147</v>
      </c>
      <c r="B151" s="19" t="s">
        <v>163</v>
      </c>
      <c r="C151" s="12">
        <f>+'24'!G151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4"/>
        <v>8</v>
      </c>
      <c r="H151" s="14">
        <v>1</v>
      </c>
      <c r="I151" s="20">
        <v>120</v>
      </c>
      <c r="J151" s="79">
        <f t="shared" si="15"/>
        <v>120</v>
      </c>
      <c r="K151" s="17" t="s">
        <v>263</v>
      </c>
      <c r="L151" s="18">
        <v>45</v>
      </c>
      <c r="M151" s="23">
        <f t="shared" si="16"/>
        <v>75</v>
      </c>
    </row>
    <row r="152" spans="1:13" ht="25.5">
      <c r="A152" s="10">
        <v>148</v>
      </c>
      <c r="B152" s="19" t="s">
        <v>164</v>
      </c>
      <c r="C152" s="12">
        <f>+'24'!G152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+'24'!G153</f>
        <v>9</v>
      </c>
      <c r="D153" s="13">
        <v>0</v>
      </c>
      <c r="E153" s="12">
        <f t="shared" si="13"/>
        <v>9</v>
      </c>
      <c r="F153" s="13">
        <v>0</v>
      </c>
      <c r="G153" s="12">
        <f t="shared" si="14"/>
        <v>9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+'24'!G154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+'24'!G156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+'24'!G157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4"/>
        <v>1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+'24'!G167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1</v>
      </c>
      <c r="H167" s="14">
        <v>1</v>
      </c>
      <c r="I167" s="20">
        <v>50</v>
      </c>
      <c r="J167" s="79">
        <f t="shared" si="15"/>
        <v>50</v>
      </c>
      <c r="K167" s="17" t="s">
        <v>258</v>
      </c>
      <c r="L167" s="18">
        <v>50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+'24'!G168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+'24'!G169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+'24'!G176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+'24'!G180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2520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2920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765</v>
      </c>
      <c r="L209" s="2">
        <v>135</v>
      </c>
      <c r="M209" s="2">
        <v>60</v>
      </c>
      <c r="N209" s="2">
        <v>200</v>
      </c>
      <c r="O209" s="2">
        <v>370</v>
      </c>
    </row>
    <row r="210" spans="1:15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5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5" ht="25.5">
      <c r="A212" s="1"/>
      <c r="C212" s="31"/>
      <c r="E212" s="31"/>
      <c r="G212" s="31"/>
      <c r="I212" s="133" t="s">
        <v>207</v>
      </c>
      <c r="J212" s="134"/>
      <c r="K212" s="37">
        <f>SUM(L5:L205)</f>
        <v>400</v>
      </c>
    </row>
    <row r="213" spans="1:15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1735</v>
      </c>
    </row>
    <row r="214" spans="1:15" ht="25.5">
      <c r="A214" s="1"/>
      <c r="C214" s="31"/>
      <c r="E214" s="31"/>
      <c r="G214" s="31"/>
      <c r="I214" s="133" t="s">
        <v>209</v>
      </c>
      <c r="J214" s="134"/>
      <c r="K214" s="37">
        <v>1735</v>
      </c>
    </row>
    <row r="215" spans="1:15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5" ht="25.5">
      <c r="G216" s="2"/>
      <c r="I216" s="133" t="s">
        <v>211</v>
      </c>
      <c r="J216" s="134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247</v>
      </c>
      <c r="K218" s="23">
        <f>+K207-K212+K215</f>
        <v>2520</v>
      </c>
    </row>
    <row r="219" spans="1:15">
      <c r="G219" s="2"/>
      <c r="I219" s="2"/>
      <c r="J219" s="2" t="s">
        <v>248</v>
      </c>
      <c r="K219" s="23">
        <f>SUM(K208:K211)</f>
        <v>785</v>
      </c>
    </row>
    <row r="220" spans="1:15">
      <c r="G220" s="2"/>
      <c r="I220" s="2"/>
      <c r="J220" s="2" t="s">
        <v>249</v>
      </c>
      <c r="K220" s="23">
        <f>+K214</f>
        <v>1735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9D10-57BC-4DBF-A7BE-C419FF3AA8E8}">
  <sheetPr>
    <tabColor theme="5" tint="0.79998168889431442"/>
  </sheetPr>
  <dimension ref="A1:Z291"/>
  <sheetViews>
    <sheetView zoomScale="90" zoomScaleNormal="90" workbookViewId="0">
      <pane ySplit="4" topLeftCell="A20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+'25'!G5</f>
        <v>2</v>
      </c>
      <c r="D5" s="13">
        <v>0</v>
      </c>
      <c r="E5" s="12">
        <f t="shared" ref="E5:E94" si="0">C5+D5</f>
        <v>2</v>
      </c>
      <c r="F5" s="13">
        <v>0</v>
      </c>
      <c r="G5" s="12">
        <f>+E5-F5-H5</f>
        <v>1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+'25'!G6</f>
        <v>30</v>
      </c>
      <c r="D6" s="13">
        <v>0</v>
      </c>
      <c r="E6" s="12">
        <f t="shared" si="0"/>
        <v>30</v>
      </c>
      <c r="F6" s="13">
        <v>0</v>
      </c>
      <c r="G6" s="12">
        <f t="shared" ref="G6:G69" si="4">+E6-F6-H6</f>
        <v>29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+'25'!G7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0</v>
      </c>
      <c r="H7" s="14">
        <v>2</v>
      </c>
      <c r="I7" s="15">
        <v>50</v>
      </c>
      <c r="J7" s="79">
        <f t="shared" si="5"/>
        <v>100</v>
      </c>
      <c r="K7" s="17" t="s">
        <v>16</v>
      </c>
      <c r="L7" s="18">
        <v>0</v>
      </c>
      <c r="M7" s="23">
        <f t="shared" si="6"/>
        <v>100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+'25'!G12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79">
        <f t="shared" si="5"/>
        <v>50</v>
      </c>
      <c r="K17" s="17" t="s">
        <v>258</v>
      </c>
      <c r="L17" s="18">
        <v>50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+'25'!G18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+'25'!G20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3</v>
      </c>
      <c r="H20" s="14">
        <v>1</v>
      </c>
      <c r="I20" s="15">
        <v>50</v>
      </c>
      <c r="J20" s="79">
        <f t="shared" si="5"/>
        <v>50</v>
      </c>
      <c r="K20" s="17" t="s">
        <v>16</v>
      </c>
      <c r="L20" s="18">
        <v>0</v>
      </c>
      <c r="M20" s="23">
        <f t="shared" si="6"/>
        <v>50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+'25'!G22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+'25'!G23</f>
        <v>27</v>
      </c>
      <c r="D23" s="13">
        <v>0</v>
      </c>
      <c r="E23" s="12">
        <f>C23+D23</f>
        <v>27</v>
      </c>
      <c r="F23" s="13">
        <v>0</v>
      </c>
      <c r="G23" s="12">
        <f t="shared" si="4"/>
        <v>24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+'25'!G27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+'25'!G29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+'25'!G30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+'25'!G31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+'25'!G33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2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+'25'!G37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1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1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+'25'!G39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+'25'!G40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258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+'25'!G44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0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+'25'!G47</f>
        <v>16</v>
      </c>
      <c r="D47" s="13">
        <v>0</v>
      </c>
      <c r="E47" s="12">
        <f t="shared" si="0"/>
        <v>16</v>
      </c>
      <c r="F47" s="13">
        <v>0</v>
      </c>
      <c r="G47" s="12">
        <f t="shared" si="4"/>
        <v>13</v>
      </c>
      <c r="H47" s="14">
        <v>3</v>
      </c>
      <c r="I47" s="15">
        <v>50</v>
      </c>
      <c r="J47" s="79">
        <f t="shared" si="5"/>
        <v>150</v>
      </c>
      <c r="K47" s="17" t="s">
        <v>258</v>
      </c>
      <c r="L47" s="18">
        <v>50</v>
      </c>
      <c r="M47" s="23">
        <f t="shared" si="6"/>
        <v>100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2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+'25'!G50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0</v>
      </c>
      <c r="H50" s="14">
        <v>2</v>
      </c>
      <c r="I50" s="15">
        <v>120</v>
      </c>
      <c r="J50" s="79">
        <f t="shared" si="5"/>
        <v>240</v>
      </c>
      <c r="K50" s="17" t="s">
        <v>263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+'25'!G51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+'25'!G52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+'25'!G53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+'25'!G54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4</v>
      </c>
      <c r="H54" s="14">
        <v>1</v>
      </c>
      <c r="I54" s="15">
        <v>120</v>
      </c>
      <c r="J54" s="79">
        <f t="shared" si="5"/>
        <v>120</v>
      </c>
      <c r="K54" s="17" t="s">
        <v>263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+'25'!G55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5</v>
      </c>
      <c r="H55" s="14">
        <v>2</v>
      </c>
      <c r="I55" s="21">
        <v>120</v>
      </c>
      <c r="J55" s="79">
        <f t="shared" si="5"/>
        <v>240</v>
      </c>
      <c r="K55" s="17" t="s">
        <v>263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+'25'!G56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11</v>
      </c>
      <c r="H56" s="14">
        <v>1</v>
      </c>
      <c r="I56" s="21">
        <v>120</v>
      </c>
      <c r="J56" s="79">
        <f t="shared" si="5"/>
        <v>120</v>
      </c>
      <c r="K56" s="17" t="s">
        <v>263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+'25'!G70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+'25'!G72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+'25'!G73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9"/>
        <v>9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+'25'!G74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7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+'25'!G75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4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+'25'!G76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5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101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+'25'!G79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+'25'!G80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+'25'!G86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1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101">
        <f t="shared" si="11"/>
        <v>60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+'25'!G114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+'25'!G150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4"/>
        <v>9</v>
      </c>
      <c r="H150" s="14">
        <v>1</v>
      </c>
      <c r="I150" s="20">
        <v>120</v>
      </c>
      <c r="J150" s="79">
        <f t="shared" si="15"/>
        <v>120</v>
      </c>
      <c r="K150" s="17" t="s">
        <v>264</v>
      </c>
      <c r="L150" s="18">
        <v>45</v>
      </c>
      <c r="M150" s="23">
        <f t="shared" si="16"/>
        <v>75</v>
      </c>
    </row>
    <row r="151" spans="1:13" ht="25.5">
      <c r="A151" s="10">
        <v>147</v>
      </c>
      <c r="B151" s="19" t="s">
        <v>163</v>
      </c>
      <c r="C151" s="12">
        <f>+'25'!G151</f>
        <v>8</v>
      </c>
      <c r="D151" s="13">
        <v>0</v>
      </c>
      <c r="E151" s="12">
        <f t="shared" si="13"/>
        <v>8</v>
      </c>
      <c r="F151" s="13">
        <v>0</v>
      </c>
      <c r="G151" s="12">
        <f t="shared" si="14"/>
        <v>6</v>
      </c>
      <c r="H151" s="14">
        <v>2</v>
      </c>
      <c r="I151" s="20">
        <v>120</v>
      </c>
      <c r="J151" s="79">
        <f t="shared" si="15"/>
        <v>240</v>
      </c>
      <c r="K151" s="17" t="s">
        <v>264</v>
      </c>
      <c r="L151" s="18">
        <v>90</v>
      </c>
      <c r="M151" s="23">
        <f t="shared" si="16"/>
        <v>150</v>
      </c>
    </row>
    <row r="152" spans="1:13" ht="25.5">
      <c r="A152" s="10">
        <v>148</v>
      </c>
      <c r="B152" s="19" t="s">
        <v>164</v>
      </c>
      <c r="C152" s="12">
        <f>+'25'!G152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+'25'!G153</f>
        <v>9</v>
      </c>
      <c r="D153" s="13">
        <v>0</v>
      </c>
      <c r="E153" s="12">
        <f t="shared" si="13"/>
        <v>9</v>
      </c>
      <c r="F153" s="13">
        <v>0</v>
      </c>
      <c r="G153" s="12">
        <f t="shared" si="14"/>
        <v>8</v>
      </c>
      <c r="H153" s="14">
        <v>1</v>
      </c>
      <c r="I153" s="20">
        <v>120</v>
      </c>
      <c r="J153" s="79">
        <f t="shared" si="15"/>
        <v>120</v>
      </c>
      <c r="K153" s="17" t="s">
        <v>264</v>
      </c>
      <c r="L153" s="18">
        <v>45</v>
      </c>
      <c r="M153" s="23">
        <f t="shared" si="16"/>
        <v>75</v>
      </c>
    </row>
    <row r="154" spans="1:13" ht="25.5">
      <c r="A154" s="10">
        <v>150</v>
      </c>
      <c r="B154" s="19" t="s">
        <v>166</v>
      </c>
      <c r="C154" s="12">
        <f>+'25'!G154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+'25'!G156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+'25'!G157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4"/>
        <v>1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+'25'!G167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+'25'!G168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4"/>
        <v>10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>
      <c r="A169" s="10">
        <v>165</v>
      </c>
      <c r="B169" s="19" t="s">
        <v>181</v>
      </c>
      <c r="C169" s="12">
        <f>+'25'!G169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+'25'!G176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+'25'!G180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2585</v>
      </c>
    </row>
    <row r="205" spans="1:26" ht="25.5">
      <c r="A205" s="1"/>
      <c r="C205" s="24"/>
      <c r="D205" s="25"/>
      <c r="E205" s="24"/>
      <c r="F205" s="25"/>
      <c r="G205" s="24"/>
      <c r="H205" s="24">
        <f>SUM(H5:H204)</f>
        <v>37</v>
      </c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3125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8" ht="25.5">
      <c r="A209" s="1"/>
      <c r="C209" s="31"/>
      <c r="E209" s="31"/>
      <c r="G209" s="31"/>
      <c r="I209" s="34" t="s">
        <v>204</v>
      </c>
      <c r="J209" s="35"/>
      <c r="K209" s="36">
        <f>SUM(L209:AO209)</f>
        <v>910</v>
      </c>
      <c r="L209" s="2">
        <v>170</v>
      </c>
      <c r="M209" s="2">
        <v>50</v>
      </c>
      <c r="N209" s="2">
        <v>170</v>
      </c>
      <c r="O209" s="2">
        <v>270</v>
      </c>
      <c r="P209" s="2">
        <v>50</v>
      </c>
      <c r="Q209" s="2">
        <v>100</v>
      </c>
      <c r="R209" s="2">
        <v>100</v>
      </c>
    </row>
    <row r="210" spans="1:18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8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8" ht="25.5">
      <c r="A212" s="1"/>
      <c r="C212" s="31"/>
      <c r="E212" s="31"/>
      <c r="G212" s="31"/>
      <c r="I212" s="133" t="s">
        <v>207</v>
      </c>
      <c r="J212" s="134"/>
      <c r="K212" s="37">
        <f>SUM(L5:L205)</f>
        <v>540</v>
      </c>
    </row>
    <row r="213" spans="1:18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1655</v>
      </c>
    </row>
    <row r="214" spans="1:18" ht="25.5">
      <c r="A214" s="1"/>
      <c r="C214" s="31"/>
      <c r="E214" s="31"/>
      <c r="G214" s="31"/>
      <c r="I214" s="133" t="s">
        <v>209</v>
      </c>
      <c r="J214" s="134"/>
      <c r="K214" s="37">
        <v>1655</v>
      </c>
    </row>
    <row r="215" spans="1:18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8" ht="25.5">
      <c r="G216" s="2"/>
      <c r="I216" s="133" t="s">
        <v>211</v>
      </c>
      <c r="J216" s="134"/>
      <c r="K216" s="33">
        <f>+K214-K213</f>
        <v>0</v>
      </c>
    </row>
    <row r="217" spans="1:18">
      <c r="G217" s="2"/>
      <c r="I217" s="2"/>
    </row>
    <row r="218" spans="1:18">
      <c r="G218" s="2"/>
      <c r="I218" s="2"/>
      <c r="J218" s="98" t="s">
        <v>247</v>
      </c>
      <c r="K218" s="23">
        <f>+K207-K212+K215</f>
        <v>2585</v>
      </c>
    </row>
    <row r="219" spans="1:18">
      <c r="G219" s="2"/>
      <c r="I219" s="2"/>
      <c r="J219" s="2" t="s">
        <v>248</v>
      </c>
      <c r="K219" s="23">
        <f>SUM(K208:K211)</f>
        <v>930</v>
      </c>
    </row>
    <row r="220" spans="1:18">
      <c r="G220" s="2"/>
      <c r="I220" s="2"/>
      <c r="J220" s="2" t="s">
        <v>249</v>
      </c>
      <c r="K220" s="23">
        <f>+K214</f>
        <v>1655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20-E212-4C2B-AE0D-3E0F16F39AAD}">
  <sheetPr>
    <tabColor theme="5" tint="0.79998168889431442"/>
  </sheetPr>
  <dimension ref="A1:Z291"/>
  <sheetViews>
    <sheetView topLeftCell="B1" zoomScale="90" zoomScaleNormal="90" workbookViewId="0">
      <pane ySplit="4" topLeftCell="A18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+'26'!G5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+'26'!G6</f>
        <v>29</v>
      </c>
      <c r="D6" s="13">
        <v>0</v>
      </c>
      <c r="E6" s="12">
        <f t="shared" si="0"/>
        <v>29</v>
      </c>
      <c r="F6" s="13">
        <v>0</v>
      </c>
      <c r="G6" s="12">
        <f t="shared" ref="G6:G69" si="4">+E6-F6-H6</f>
        <v>29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+'26'!G17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+'26'!G18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+'26'!G20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+'26'!G22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+'26'!G23</f>
        <v>24</v>
      </c>
      <c r="D23" s="13">
        <v>0</v>
      </c>
      <c r="E23" s="12">
        <f>C23+D23</f>
        <v>24</v>
      </c>
      <c r="F23" s="13">
        <v>0</v>
      </c>
      <c r="G23" s="12">
        <f t="shared" si="4"/>
        <v>23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+'26'!G24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+'26'!G27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+'26'!G29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+'26'!G30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+'26'!G31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3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+'26'!G33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+'26'!G34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+'26'!G35</f>
        <v>2</v>
      </c>
      <c r="D35" s="13">
        <v>0</v>
      </c>
      <c r="E35" s="12">
        <f t="shared" si="0"/>
        <v>2</v>
      </c>
      <c r="F35" s="13">
        <v>0</v>
      </c>
      <c r="G35" s="12">
        <f t="shared" si="4"/>
        <v>2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+'26'!G37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+'26'!G38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1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+'26'!G39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+'26'!G40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+'26'!G44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0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+'26'!G47</f>
        <v>13</v>
      </c>
      <c r="D47" s="13">
        <v>0</v>
      </c>
      <c r="E47" s="12">
        <f t="shared" si="0"/>
        <v>13</v>
      </c>
      <c r="F47" s="13">
        <v>0</v>
      </c>
      <c r="G47" s="12">
        <f t="shared" si="4"/>
        <v>11</v>
      </c>
      <c r="H47" s="14">
        <v>2</v>
      </c>
      <c r="I47" s="15">
        <v>50</v>
      </c>
      <c r="J47" s="79">
        <f t="shared" si="5"/>
        <v>100</v>
      </c>
      <c r="K47" s="17" t="s">
        <v>258</v>
      </c>
      <c r="L47" s="18">
        <v>50</v>
      </c>
      <c r="M47" s="23">
        <f t="shared" si="6"/>
        <v>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+'26'!G48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+'26'!G50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+'26'!G51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+'26'!G52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+'26'!G53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4</v>
      </c>
      <c r="H53" s="14">
        <v>2</v>
      </c>
      <c r="I53" s="15">
        <v>120</v>
      </c>
      <c r="J53" s="79">
        <f t="shared" si="5"/>
        <v>240</v>
      </c>
      <c r="K53" s="17" t="s">
        <v>263</v>
      </c>
      <c r="L53" s="18">
        <v>70</v>
      </c>
      <c r="M53" s="23">
        <f t="shared" si="6"/>
        <v>170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+'26'!G54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263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+'26'!G55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263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+'26'!G56</f>
        <v>11</v>
      </c>
      <c r="D56" s="13">
        <v>0</v>
      </c>
      <c r="E56" s="12">
        <f>C56+D56</f>
        <v>11</v>
      </c>
      <c r="F56" s="13">
        <v>0</v>
      </c>
      <c r="G56" s="12">
        <f t="shared" si="4"/>
        <v>11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+'26'!G70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+'26'!G72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+'26'!G73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9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+'26'!G74</f>
        <v>7</v>
      </c>
      <c r="D74" s="13">
        <v>0</v>
      </c>
      <c r="E74" s="12">
        <f t="shared" si="0"/>
        <v>7</v>
      </c>
      <c r="F74" s="13">
        <v>0</v>
      </c>
      <c r="G74" s="12">
        <f t="shared" si="9"/>
        <v>7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+'26'!G75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2</v>
      </c>
      <c r="H75" s="14">
        <v>2</v>
      </c>
      <c r="I75" s="22">
        <v>60</v>
      </c>
      <c r="J75" s="79">
        <f t="shared" si="10"/>
        <v>120</v>
      </c>
      <c r="K75" s="17" t="s">
        <v>16</v>
      </c>
      <c r="L75" s="18">
        <v>0</v>
      </c>
      <c r="M75" s="23">
        <f t="shared" si="11"/>
        <v>120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+'26'!G76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+'26'!G79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+'26'!G80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+'26'!G86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+'26'!G87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+'26'!G114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+'26'!G150</f>
        <v>9</v>
      </c>
      <c r="D150" s="13">
        <v>0</v>
      </c>
      <c r="E150" s="12">
        <f t="shared" si="13"/>
        <v>9</v>
      </c>
      <c r="F150" s="13">
        <v>0</v>
      </c>
      <c r="G150" s="12">
        <f t="shared" si="14"/>
        <v>8</v>
      </c>
      <c r="H150" s="14">
        <v>1</v>
      </c>
      <c r="I150" s="20">
        <v>120</v>
      </c>
      <c r="J150" s="79">
        <f t="shared" si="15"/>
        <v>120</v>
      </c>
      <c r="K150" s="17" t="s">
        <v>264</v>
      </c>
      <c r="L150" s="18">
        <v>45</v>
      </c>
      <c r="M150" s="23">
        <f t="shared" si="16"/>
        <v>75</v>
      </c>
    </row>
    <row r="151" spans="1:13" ht="25.5">
      <c r="A151" s="10">
        <v>147</v>
      </c>
      <c r="B151" s="19" t="s">
        <v>163</v>
      </c>
      <c r="C151" s="12">
        <f>+'26'!G151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4"/>
        <v>3</v>
      </c>
      <c r="H151" s="14">
        <v>3</v>
      </c>
      <c r="I151" s="20">
        <v>120</v>
      </c>
      <c r="J151" s="79">
        <f t="shared" si="15"/>
        <v>360</v>
      </c>
      <c r="K151" s="17" t="s">
        <v>264</v>
      </c>
      <c r="L151" s="18">
        <v>135</v>
      </c>
      <c r="M151" s="23">
        <f t="shared" si="16"/>
        <v>225</v>
      </c>
    </row>
    <row r="152" spans="1:13" ht="25.5">
      <c r="A152" s="10">
        <v>148</v>
      </c>
      <c r="B152" s="19" t="s">
        <v>164</v>
      </c>
      <c r="C152" s="12">
        <f>+'26'!G152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+'26'!G153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4"/>
        <v>8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+'26'!G154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+'26'!G156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+'26'!G157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4"/>
        <v>0</v>
      </c>
      <c r="H157" s="14">
        <v>1</v>
      </c>
      <c r="I157" s="20">
        <v>185</v>
      </c>
      <c r="J157" s="79">
        <f t="shared" si="15"/>
        <v>185</v>
      </c>
      <c r="K157" s="17" t="s">
        <v>265</v>
      </c>
      <c r="L157" s="18">
        <v>65</v>
      </c>
      <c r="M157" s="23">
        <f t="shared" si="16"/>
        <v>120</v>
      </c>
    </row>
    <row r="158" spans="1:13" ht="25.5">
      <c r="A158" s="10">
        <v>154</v>
      </c>
      <c r="B158" s="19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+'26'!G167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+'26'!G168</f>
        <v>10</v>
      </c>
      <c r="D168" s="13">
        <v>0</v>
      </c>
      <c r="E168" s="12">
        <f t="shared" si="13"/>
        <v>10</v>
      </c>
      <c r="F168" s="13">
        <v>0</v>
      </c>
      <c r="G168" s="12">
        <f t="shared" si="14"/>
        <v>9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>
      <c r="A169" s="10">
        <v>165</v>
      </c>
      <c r="B169" s="19" t="s">
        <v>181</v>
      </c>
      <c r="C169" s="12">
        <f>+'26'!G169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12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>
      <c r="A170" s="10">
        <v>166</v>
      </c>
      <c r="B170" s="19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+'26'!G176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+'26'!G178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+'26'!G180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1420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1855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270</v>
      </c>
      <c r="L209" s="2">
        <v>100</v>
      </c>
      <c r="M209" s="2">
        <v>170</v>
      </c>
    </row>
    <row r="210" spans="1:13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3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3" ht="25.5">
      <c r="A212" s="1"/>
      <c r="C212" s="31"/>
      <c r="E212" s="31"/>
      <c r="G212" s="31"/>
      <c r="I212" s="133" t="s">
        <v>207</v>
      </c>
      <c r="J212" s="134"/>
      <c r="K212" s="37">
        <f>SUM(L5:L205)</f>
        <v>435</v>
      </c>
    </row>
    <row r="213" spans="1:13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1130</v>
      </c>
    </row>
    <row r="214" spans="1:13" ht="25.5">
      <c r="A214" s="1"/>
      <c r="C214" s="31"/>
      <c r="E214" s="31"/>
      <c r="G214" s="31"/>
      <c r="I214" s="133" t="s">
        <v>209</v>
      </c>
      <c r="J214" s="134"/>
      <c r="K214" s="37">
        <v>1130</v>
      </c>
    </row>
    <row r="215" spans="1:13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3" ht="25.5">
      <c r="G216" s="2"/>
      <c r="I216" s="133" t="s">
        <v>211</v>
      </c>
      <c r="J216" s="134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247</v>
      </c>
      <c r="K218" s="23">
        <f>+K207-K212+K215</f>
        <v>1420</v>
      </c>
    </row>
    <row r="219" spans="1:13">
      <c r="G219" s="2"/>
      <c r="I219" s="2"/>
      <c r="J219" s="2" t="s">
        <v>248</v>
      </c>
      <c r="K219" s="23">
        <f>SUM(K208:K211)</f>
        <v>290</v>
      </c>
    </row>
    <row r="220" spans="1:13">
      <c r="G220" s="2"/>
      <c r="I220" s="2"/>
      <c r="J220" s="2" t="s">
        <v>249</v>
      </c>
      <c r="K220" s="23">
        <f>+K214</f>
        <v>1130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DA-3C08-4D2D-82EC-12D62E473FEF}">
  <sheetPr>
    <tabColor theme="5" tint="0.79998168889431442"/>
  </sheetPr>
  <dimension ref="A1:Z291"/>
  <sheetViews>
    <sheetView zoomScale="90" zoomScaleNormal="90" workbookViewId="0">
      <pane ySplit="4" topLeftCell="A18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+'27'!G5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+'27'!G6</f>
        <v>29</v>
      </c>
      <c r="D6" s="13">
        <v>0</v>
      </c>
      <c r="E6" s="12">
        <f t="shared" si="0"/>
        <v>29</v>
      </c>
      <c r="F6" s="13">
        <v>0</v>
      </c>
      <c r="G6" s="12">
        <f t="shared" ref="G6:G69" si="4">+E6-F6-H6</f>
        <v>27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+'27'!G17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+'27'!G18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+'27'!G20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+'27'!G22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+'27'!G23</f>
        <v>23</v>
      </c>
      <c r="D23" s="13">
        <v>0</v>
      </c>
      <c r="E23" s="12">
        <f>C23+D23</f>
        <v>23</v>
      </c>
      <c r="F23" s="13">
        <v>0</v>
      </c>
      <c r="G23" s="12">
        <f t="shared" si="4"/>
        <v>21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+'27'!G24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10</v>
      </c>
      <c r="H24" s="14">
        <v>1</v>
      </c>
      <c r="I24" s="21">
        <v>100</v>
      </c>
      <c r="J24" s="79">
        <f t="shared" si="5"/>
        <v>100</v>
      </c>
      <c r="K24" s="17" t="s">
        <v>255</v>
      </c>
      <c r="L24" s="18">
        <v>50</v>
      </c>
      <c r="M24" s="23">
        <f t="shared" si="6"/>
        <v>50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+'27'!G27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+'27'!G29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79">
        <f t="shared" si="5"/>
        <v>100</v>
      </c>
      <c r="K29" s="17" t="s">
        <v>255</v>
      </c>
      <c r="L29" s="18">
        <v>50</v>
      </c>
      <c r="M29" s="23">
        <f t="shared" si="6"/>
        <v>50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+'27'!G30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+'27'!G31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2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+'27'!G33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+'27'!G35</f>
        <v>2</v>
      </c>
      <c r="D35" s="13">
        <v>0</v>
      </c>
      <c r="E35" s="12">
        <f t="shared" si="0"/>
        <v>2</v>
      </c>
      <c r="F35" s="13">
        <v>0</v>
      </c>
      <c r="G35" s="12">
        <f t="shared" si="4"/>
        <v>2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+'27'!G38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1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+'27'!G39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+'27'!G40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+'27'!G42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+'27'!G46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+'27'!G47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4"/>
        <v>11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+'27'!G48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+'27'!G50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+'27'!G51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263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+'27'!G52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11</v>
      </c>
      <c r="H52" s="14">
        <v>1</v>
      </c>
      <c r="I52" s="21">
        <v>120</v>
      </c>
      <c r="J52" s="79">
        <f t="shared" si="5"/>
        <v>120</v>
      </c>
      <c r="K52" s="17" t="s">
        <v>263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+'27'!G53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263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+'27'!G55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0</v>
      </c>
      <c r="H55" s="14">
        <v>4</v>
      </c>
      <c r="I55" s="21">
        <v>120</v>
      </c>
      <c r="J55" s="79">
        <f t="shared" si="5"/>
        <v>480</v>
      </c>
      <c r="K55" s="17" t="s">
        <v>263</v>
      </c>
      <c r="L55" s="18">
        <v>140</v>
      </c>
      <c r="M55" s="23">
        <f t="shared" si="6"/>
        <v>340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+'27'!G56</f>
        <v>11</v>
      </c>
      <c r="D56" s="13">
        <v>0</v>
      </c>
      <c r="E56" s="12">
        <f>C56+D56</f>
        <v>11</v>
      </c>
      <c r="F56" s="13">
        <v>0</v>
      </c>
      <c r="G56" s="12">
        <f t="shared" si="4"/>
        <v>10</v>
      </c>
      <c r="H56" s="14">
        <v>1</v>
      </c>
      <c r="I56" s="21">
        <v>120</v>
      </c>
      <c r="J56" s="79">
        <f t="shared" si="5"/>
        <v>120</v>
      </c>
      <c r="K56" s="17" t="s">
        <v>263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+'27'!G70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+'27'!G72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+'27'!G73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8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+'27'!G74</f>
        <v>7</v>
      </c>
      <c r="D74" s="13">
        <v>0</v>
      </c>
      <c r="E74" s="12">
        <f t="shared" si="0"/>
        <v>7</v>
      </c>
      <c r="F74" s="13">
        <v>0</v>
      </c>
      <c r="G74" s="12">
        <f t="shared" si="9"/>
        <v>7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+'27'!G75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+'27'!G76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+'27'!G79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+'27'!G80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+'27'!G86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4</v>
      </c>
      <c r="H86" s="14">
        <v>1</v>
      </c>
      <c r="I86" s="20">
        <v>55</v>
      </c>
      <c r="J86" s="79">
        <f t="shared" si="10"/>
        <v>55</v>
      </c>
      <c r="K86" s="17" t="s">
        <v>266</v>
      </c>
      <c r="L86" s="18">
        <v>50</v>
      </c>
      <c r="M86" s="23">
        <f t="shared" si="11"/>
        <v>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+'27'!G87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+'27'!G114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+'27'!G150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4"/>
        <v>8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+'27'!G151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4"/>
        <v>3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+'27'!G152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+'27'!G153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4"/>
        <v>8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+'27'!G154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+'27'!G156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+'27'!G167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+'27'!G168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4"/>
        <v>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+'27'!G169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+'27'!G176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+'27'!G178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+'27'!G180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1345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1775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500</v>
      </c>
      <c r="L209" s="2">
        <v>50</v>
      </c>
      <c r="M209" s="2">
        <v>100</v>
      </c>
      <c r="N209" s="2">
        <v>220</v>
      </c>
      <c r="O209" s="2">
        <v>130</v>
      </c>
    </row>
    <row r="210" spans="1:15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5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5" ht="25.5">
      <c r="A212" s="1"/>
      <c r="C212" s="31"/>
      <c r="E212" s="31"/>
      <c r="G212" s="31"/>
      <c r="I212" s="133" t="s">
        <v>207</v>
      </c>
      <c r="J212" s="134"/>
      <c r="K212" s="37">
        <f>SUM(L5:L205)</f>
        <v>430</v>
      </c>
    </row>
    <row r="213" spans="1:15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825</v>
      </c>
    </row>
    <row r="214" spans="1:15" ht="25.5">
      <c r="A214" s="1"/>
      <c r="C214" s="31"/>
      <c r="E214" s="31"/>
      <c r="G214" s="31"/>
      <c r="I214" s="133" t="s">
        <v>209</v>
      </c>
      <c r="J214" s="134"/>
      <c r="K214" s="37">
        <v>825</v>
      </c>
    </row>
    <row r="215" spans="1:15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5" ht="25.5">
      <c r="G216" s="2"/>
      <c r="I216" s="133" t="s">
        <v>211</v>
      </c>
      <c r="J216" s="134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247</v>
      </c>
      <c r="K218" s="23">
        <f>+K207-K212+K215</f>
        <v>1345</v>
      </c>
    </row>
    <row r="219" spans="1:15">
      <c r="G219" s="2"/>
      <c r="I219" s="2"/>
      <c r="J219" s="2" t="s">
        <v>248</v>
      </c>
      <c r="K219" s="23">
        <f>SUM(K208:K211)</f>
        <v>520</v>
      </c>
    </row>
    <row r="220" spans="1:15">
      <c r="G220" s="2"/>
      <c r="I220" s="2"/>
      <c r="J220" s="2" t="s">
        <v>249</v>
      </c>
      <c r="K220" s="23">
        <f>+K214</f>
        <v>825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BA2-A701-448B-9468-4386A1585DA7}">
  <sheetPr>
    <tabColor theme="5" tint="0.79998168889431442"/>
  </sheetPr>
  <dimension ref="A1:Z291"/>
  <sheetViews>
    <sheetView zoomScale="90" zoomScaleNormal="90" workbookViewId="0">
      <pane ySplit="4" topLeftCell="A19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+'28'!G5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0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+'28'!G6</f>
        <v>27</v>
      </c>
      <c r="D6" s="13">
        <v>0</v>
      </c>
      <c r="E6" s="12">
        <f t="shared" si="0"/>
        <v>27</v>
      </c>
      <c r="F6" s="13">
        <v>0</v>
      </c>
      <c r="G6" s="12">
        <f t="shared" ref="G6:G69" si="4">+E6-F6-H6</f>
        <v>23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+'28'!G17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+'28'!G18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2</v>
      </c>
      <c r="H18" s="14">
        <v>1</v>
      </c>
      <c r="I18" s="20">
        <v>50</v>
      </c>
      <c r="J18" s="79">
        <f t="shared" si="5"/>
        <v>50</v>
      </c>
      <c r="K18" s="17" t="s">
        <v>258</v>
      </c>
      <c r="L18" s="18">
        <v>50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+'28'!G20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+'28'!G22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0</v>
      </c>
      <c r="H22" s="14">
        <v>1</v>
      </c>
      <c r="I22" s="15">
        <v>85</v>
      </c>
      <c r="J22" s="79">
        <f t="shared" si="5"/>
        <v>85</v>
      </c>
      <c r="K22" s="17" t="s">
        <v>255</v>
      </c>
      <c r="L22" s="18">
        <v>42.5</v>
      </c>
      <c r="M22" s="23">
        <f t="shared" si="6"/>
        <v>42.5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+'28'!G23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+'28'!G24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+'28'!G27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+'28'!G30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+'28'!G33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0</v>
      </c>
      <c r="H33" s="14">
        <v>2</v>
      </c>
      <c r="I33" s="15">
        <v>130</v>
      </c>
      <c r="J33" s="79">
        <f t="shared" si="5"/>
        <v>260</v>
      </c>
      <c r="K33" s="17" t="s">
        <v>255</v>
      </c>
      <c r="L33" s="18">
        <v>130</v>
      </c>
      <c r="M33" s="23">
        <f t="shared" si="6"/>
        <v>130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+'28'!G34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+'28'!G35</f>
        <v>2</v>
      </c>
      <c r="D35" s="13">
        <v>0</v>
      </c>
      <c r="E35" s="12">
        <f t="shared" si="0"/>
        <v>2</v>
      </c>
      <c r="F35" s="13">
        <v>0</v>
      </c>
      <c r="G35" s="12">
        <f t="shared" si="4"/>
        <v>0</v>
      </c>
      <c r="H35" s="14">
        <v>2</v>
      </c>
      <c r="I35" s="15">
        <v>130</v>
      </c>
      <c r="J35" s="79">
        <f t="shared" si="5"/>
        <v>260</v>
      </c>
      <c r="K35" s="17" t="s">
        <v>255</v>
      </c>
      <c r="L35" s="18">
        <v>130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+'28'!G37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+'28'!G38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255</v>
      </c>
      <c r="L38" s="18">
        <v>25</v>
      </c>
      <c r="M38" s="23">
        <f t="shared" si="6"/>
        <v>25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+'28'!G39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0</v>
      </c>
      <c r="H39" s="14">
        <v>1</v>
      </c>
      <c r="I39" s="15">
        <v>50</v>
      </c>
      <c r="J39" s="79">
        <f t="shared" si="5"/>
        <v>50</v>
      </c>
      <c r="K39" s="17" t="s">
        <v>255</v>
      </c>
      <c r="L39" s="18">
        <v>25</v>
      </c>
      <c r="M39" s="23">
        <f t="shared" si="6"/>
        <v>25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+'28'!G40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+'28'!G42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+'28'!G43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+'28'!G47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4"/>
        <v>11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+'28'!G50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+'28'!G51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+'28'!G52</f>
        <v>11</v>
      </c>
      <c r="D52" s="13">
        <v>0</v>
      </c>
      <c r="E52" s="12">
        <f t="shared" si="0"/>
        <v>11</v>
      </c>
      <c r="F52" s="13">
        <v>0</v>
      </c>
      <c r="G52" s="12">
        <f t="shared" si="4"/>
        <v>9</v>
      </c>
      <c r="H52" s="14">
        <v>2</v>
      </c>
      <c r="I52" s="21">
        <v>120</v>
      </c>
      <c r="J52" s="79">
        <f t="shared" si="5"/>
        <v>240</v>
      </c>
      <c r="K52" s="17" t="s">
        <v>263</v>
      </c>
      <c r="L52" s="18">
        <v>70</v>
      </c>
      <c r="M52" s="23">
        <f t="shared" si="6"/>
        <v>170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+'28'!G53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+'28'!G54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+'28'!G56</f>
        <v>10</v>
      </c>
      <c r="D56" s="13">
        <v>0</v>
      </c>
      <c r="E56" s="12">
        <f>C56+D56</f>
        <v>10</v>
      </c>
      <c r="F56" s="13">
        <v>0</v>
      </c>
      <c r="G56" s="12">
        <f t="shared" si="4"/>
        <v>10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+'28'!G70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0</v>
      </c>
      <c r="H70" s="14">
        <v>1</v>
      </c>
      <c r="I70" s="20">
        <v>60</v>
      </c>
      <c r="J70" s="79">
        <f t="shared" ref="J70:J133" si="10">+I70*H70</f>
        <v>60</v>
      </c>
      <c r="K70" s="17" t="s">
        <v>251</v>
      </c>
      <c r="L70" s="18">
        <v>35</v>
      </c>
      <c r="M70" s="23">
        <f t="shared" ref="M70:M133" si="11">SUM(J70-L70)</f>
        <v>25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+'28'!G72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1</v>
      </c>
      <c r="H72" s="14">
        <v>1</v>
      </c>
      <c r="I72" s="22">
        <v>50</v>
      </c>
      <c r="J72" s="79">
        <f t="shared" si="10"/>
        <v>50</v>
      </c>
      <c r="K72" s="17" t="s">
        <v>255</v>
      </c>
      <c r="L72" s="18">
        <v>25</v>
      </c>
      <c r="M72" s="23">
        <f t="shared" si="11"/>
        <v>25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+'28'!G73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7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+'28'!G74</f>
        <v>7</v>
      </c>
      <c r="D74" s="13">
        <v>0</v>
      </c>
      <c r="E74" s="12">
        <f t="shared" si="0"/>
        <v>7</v>
      </c>
      <c r="F74" s="13">
        <v>0</v>
      </c>
      <c r="G74" s="12">
        <f t="shared" si="9"/>
        <v>5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+'28'!G75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+'28'!G76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+'28'!G79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0</v>
      </c>
      <c r="H79" s="14">
        <v>1</v>
      </c>
      <c r="I79" s="22">
        <v>50</v>
      </c>
      <c r="J79" s="79">
        <f t="shared" si="10"/>
        <v>50</v>
      </c>
      <c r="K79" s="17" t="s">
        <v>255</v>
      </c>
      <c r="L79" s="18">
        <v>25</v>
      </c>
      <c r="M79" s="23">
        <f t="shared" si="11"/>
        <v>25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+'28'!G80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0</v>
      </c>
      <c r="H80" s="14">
        <v>2</v>
      </c>
      <c r="I80" s="22">
        <v>55</v>
      </c>
      <c r="J80" s="79">
        <f t="shared" si="10"/>
        <v>110</v>
      </c>
      <c r="K80" s="17" t="s">
        <v>251</v>
      </c>
      <c r="L80" s="18">
        <v>60</v>
      </c>
      <c r="M80" s="23">
        <f t="shared" si="11"/>
        <v>50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+'28'!G81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+'28'!G86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+'28'!G87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0</v>
      </c>
      <c r="H90" s="14">
        <v>1</v>
      </c>
      <c r="I90" s="20">
        <v>50</v>
      </c>
      <c r="J90" s="79">
        <f t="shared" si="10"/>
        <v>50</v>
      </c>
      <c r="K90" s="17" t="s">
        <v>255</v>
      </c>
      <c r="L90" s="18">
        <v>25</v>
      </c>
      <c r="M90" s="23">
        <f t="shared" si="11"/>
        <v>25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+'28'!G114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1</v>
      </c>
      <c r="H114" s="14">
        <v>1</v>
      </c>
      <c r="I114" s="20">
        <v>35</v>
      </c>
      <c r="J114" s="79">
        <f t="shared" si="10"/>
        <v>35</v>
      </c>
      <c r="K114" s="17" t="s">
        <v>255</v>
      </c>
      <c r="L114" s="18">
        <v>17.5</v>
      </c>
      <c r="M114" s="23">
        <f t="shared" si="11"/>
        <v>17.5</v>
      </c>
    </row>
    <row r="115" spans="1:13" ht="25.5">
      <c r="A115" s="10">
        <v>111</v>
      </c>
      <c r="B115" s="19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+'28'!G150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4"/>
        <v>8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+'28'!G151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4"/>
        <v>3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+'28'!G152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+'28'!G153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4"/>
        <v>8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+'28'!G154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+'28'!G156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+'28'!G167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0</v>
      </c>
      <c r="H167" s="14">
        <v>1</v>
      </c>
      <c r="I167" s="20">
        <v>50</v>
      </c>
      <c r="J167" s="79">
        <f t="shared" si="15"/>
        <v>50</v>
      </c>
      <c r="K167" s="17" t="s">
        <v>258</v>
      </c>
      <c r="L167" s="18">
        <v>50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+'28'!G168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4"/>
        <v>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+'28'!G169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+'28'!G176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+'28'!G180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1715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2425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20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705</v>
      </c>
      <c r="L209" s="2">
        <v>270</v>
      </c>
      <c r="M209" s="2">
        <v>230</v>
      </c>
      <c r="N209" s="2">
        <v>205</v>
      </c>
    </row>
    <row r="210" spans="1:14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4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4" ht="25.5">
      <c r="A212" s="1"/>
      <c r="C212" s="31"/>
      <c r="E212" s="31"/>
      <c r="G212" s="31"/>
      <c r="I212" s="133" t="s">
        <v>207</v>
      </c>
      <c r="J212" s="134"/>
      <c r="K212" s="37">
        <f>SUM(L5:L205)</f>
        <v>710</v>
      </c>
    </row>
    <row r="213" spans="1:14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990</v>
      </c>
    </row>
    <row r="214" spans="1:14" ht="25.5">
      <c r="A214" s="1"/>
      <c r="C214" s="31"/>
      <c r="E214" s="31"/>
      <c r="G214" s="31"/>
      <c r="I214" s="133" t="s">
        <v>209</v>
      </c>
      <c r="J214" s="134"/>
      <c r="K214" s="37">
        <v>990</v>
      </c>
    </row>
    <row r="215" spans="1:14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4" ht="25.5">
      <c r="G216" s="2"/>
      <c r="I216" s="133" t="s">
        <v>211</v>
      </c>
      <c r="J216" s="134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247</v>
      </c>
      <c r="K218" s="23">
        <f>+K207-K212+K215</f>
        <v>1715</v>
      </c>
    </row>
    <row r="219" spans="1:14">
      <c r="G219" s="2"/>
      <c r="I219" s="2"/>
      <c r="J219" s="2" t="s">
        <v>248</v>
      </c>
      <c r="K219" s="23">
        <f>SUM(K208:K211)</f>
        <v>725</v>
      </c>
    </row>
    <row r="220" spans="1:14">
      <c r="G220" s="2"/>
      <c r="I220" s="2"/>
      <c r="J220" s="2" t="s">
        <v>249</v>
      </c>
      <c r="K220" s="23">
        <f>+K214</f>
        <v>990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2B32-DCF2-4ECB-8880-5D6A2DC01B61}">
  <dimension ref="A1:Z291"/>
  <sheetViews>
    <sheetView zoomScaleNormal="10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+'29'!G5</f>
        <v>0</v>
      </c>
      <c r="D5" s="13">
        <v>0</v>
      </c>
      <c r="E5" s="12">
        <f t="shared" ref="E5:E94" si="0">C5+D5</f>
        <v>0</v>
      </c>
      <c r="F5" s="13">
        <v>0</v>
      </c>
      <c r="G5" s="12">
        <f>+E5-F5-H5</f>
        <v>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23</v>
      </c>
      <c r="D6" s="13">
        <v>0</v>
      </c>
      <c r="E6" s="12">
        <f t="shared" si="0"/>
        <v>23</v>
      </c>
      <c r="F6" s="13">
        <v>0</v>
      </c>
      <c r="G6" s="12">
        <f t="shared" ref="G6:G69" si="4">+E6-F6-H6</f>
        <v>23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1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+'29'!G18</f>
        <v>2</v>
      </c>
      <c r="D18" s="13">
        <v>0</v>
      </c>
      <c r="E18" s="12">
        <f t="shared" si="0"/>
        <v>2</v>
      </c>
      <c r="F18" s="13">
        <v>0</v>
      </c>
      <c r="G18" s="12">
        <f t="shared" si="4"/>
        <v>2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+'29'!G20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1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+'29'!G23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1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81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+'29'!G27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+'29'!G29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1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+'29'!G30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+'29'!G31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1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1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1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+'29'!G37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+'29'!G38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1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+'29'!G40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1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+'29'!G42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1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1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+'29'!G47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4"/>
        <v>11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1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+'29'!G48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1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+'29'!G50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+'29'!G51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1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+'29'!G52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+'29'!G53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+'29'!G54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+'29'!G56</f>
        <v>10</v>
      </c>
      <c r="D56" s="13">
        <v>0</v>
      </c>
      <c r="E56" s="12">
        <f>C56+D56</f>
        <v>10</v>
      </c>
      <c r="F56" s="13">
        <v>0</v>
      </c>
      <c r="G56" s="12">
        <f t="shared" si="4"/>
        <v>10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1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1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+'29'!G70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1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+'29'!G72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1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+'29'!G73</f>
        <v>7</v>
      </c>
      <c r="D73" s="13">
        <v>0</v>
      </c>
      <c r="E73" s="12">
        <f t="shared" si="0"/>
        <v>7</v>
      </c>
      <c r="F73" s="13">
        <v>0</v>
      </c>
      <c r="G73" s="12">
        <f t="shared" si="9"/>
        <v>7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1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+'29'!G75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+'29'!G76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+'29'!G79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1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1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1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+'29'!G87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+'29'!G114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1">
        <f t="shared" si="11"/>
        <v>0</v>
      </c>
    </row>
    <row r="124" spans="1:13" ht="25.5">
      <c r="A124" s="10">
        <v>120</v>
      </c>
      <c r="B124" s="19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1">
        <f t="shared" si="16"/>
        <v>0</v>
      </c>
    </row>
    <row r="141" spans="1:13" ht="25.5">
      <c r="A141" s="10">
        <v>137</v>
      </c>
      <c r="B141" s="19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1">
        <f t="shared" si="16"/>
        <v>0</v>
      </c>
    </row>
    <row r="143" spans="1:13" ht="25.5">
      <c r="A143" s="10">
        <v>139</v>
      </c>
      <c r="B143" s="19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+'29'!G150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4"/>
        <v>8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+'29'!G151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4"/>
        <v>3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+'29'!G152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+'29'!G153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4"/>
        <v>8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+'29'!G154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1">
        <f t="shared" si="16"/>
        <v>0</v>
      </c>
    </row>
    <row r="155" spans="1:13" ht="25.5">
      <c r="A155" s="10">
        <v>151</v>
      </c>
      <c r="B155" s="19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+'29'!G156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+'29'!G168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4"/>
        <v>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+'29'!G169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+'29'!G176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+'29'!G178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+'29'!G180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1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1" ht="25.5">
      <c r="A212" s="1"/>
      <c r="C212" s="31"/>
      <c r="E212" s="31"/>
      <c r="G212" s="31"/>
      <c r="I212" s="133" t="s">
        <v>207</v>
      </c>
      <c r="J212" s="134"/>
      <c r="K212" s="37">
        <f>SUM(L5:L205)</f>
        <v>0</v>
      </c>
    </row>
    <row r="213" spans="1:11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3" t="s">
        <v>209</v>
      </c>
      <c r="J214" s="134"/>
      <c r="K214" s="37">
        <v>0</v>
      </c>
    </row>
    <row r="215" spans="1:11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1" ht="25.5">
      <c r="G216" s="2"/>
      <c r="I216" s="133" t="s">
        <v>211</v>
      </c>
      <c r="J216" s="134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tabSelected="1" zoomScaleNormal="10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4" t="s">
        <v>267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>
      <c r="A3" s="140" t="s">
        <v>1</v>
      </c>
      <c r="B3" s="140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41" t="s">
        <v>8</v>
      </c>
      <c r="I3" s="142"/>
      <c r="J3" s="143"/>
      <c r="K3" s="146" t="s">
        <v>9</v>
      </c>
      <c r="L3" s="139" t="s">
        <v>10</v>
      </c>
      <c r="O3" s="140" t="s">
        <v>1</v>
      </c>
      <c r="P3" s="140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41" t="s">
        <v>8</v>
      </c>
      <c r="W3" s="142"/>
      <c r="X3" s="143"/>
      <c r="Y3" s="146" t="s">
        <v>9</v>
      </c>
      <c r="Z3" s="139" t="s">
        <v>10</v>
      </c>
    </row>
    <row r="4" spans="1:26" s="5" customFormat="1" ht="27" thickBot="1">
      <c r="A4" s="140"/>
      <c r="B4" s="140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7"/>
      <c r="L4" s="139"/>
      <c r="O4" s="140"/>
      <c r="P4" s="140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7"/>
      <c r="Z4" s="139"/>
    </row>
    <row r="5" spans="1:26" ht="25.5">
      <c r="A5" s="10">
        <v>1</v>
      </c>
      <c r="B5" s="11" t="s">
        <v>15</v>
      </c>
      <c r="C5" s="12">
        <f>+'30'!G5</f>
        <v>0</v>
      </c>
      <c r="D5" s="13">
        <v>0</v>
      </c>
      <c r="E5" s="12">
        <f t="shared" ref="E5:E94" si="0">C5+D5</f>
        <v>0</v>
      </c>
      <c r="F5" s="13">
        <v>0</v>
      </c>
      <c r="G5" s="12">
        <f>+E5-F5-H5</f>
        <v>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23</v>
      </c>
      <c r="D6" s="13">
        <v>0</v>
      </c>
      <c r="E6" s="12">
        <f t="shared" si="0"/>
        <v>23</v>
      </c>
      <c r="F6" s="13">
        <v>0</v>
      </c>
      <c r="G6" s="12">
        <f t="shared" ref="G6:G69" si="4">+E6-F6-H6</f>
        <v>23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1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+'30'!G18</f>
        <v>2</v>
      </c>
      <c r="D18" s="13">
        <v>0</v>
      </c>
      <c r="E18" s="12">
        <f t="shared" si="0"/>
        <v>2</v>
      </c>
      <c r="F18" s="13">
        <v>0</v>
      </c>
      <c r="G18" s="12">
        <f t="shared" si="4"/>
        <v>2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+'30'!G20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1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+'30'!G23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1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81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+'30'!G27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1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+'30'!G30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+'30'!G31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1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1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1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1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+'30'!G40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1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+'30'!G43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1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1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+'30'!G47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4"/>
        <v>11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1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1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+'30'!G50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+'30'!G51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1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+'30'!G52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+'30'!G53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+'30'!G54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+'30'!G56</f>
        <v>10</v>
      </c>
      <c r="D56" s="13">
        <v>0</v>
      </c>
      <c r="E56" s="12">
        <f>C56+D56</f>
        <v>10</v>
      </c>
      <c r="F56" s="13">
        <v>0</v>
      </c>
      <c r="G56" s="12">
        <f t="shared" si="4"/>
        <v>10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1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1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+'30'!G70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1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+'30'!G72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1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+'30'!G73</f>
        <v>7</v>
      </c>
      <c r="D73" s="13">
        <v>0</v>
      </c>
      <c r="E73" s="12">
        <f t="shared" si="0"/>
        <v>7</v>
      </c>
      <c r="F73" s="13">
        <v>0</v>
      </c>
      <c r="G73" s="12">
        <f t="shared" si="9"/>
        <v>7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1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+'30'!G75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+'30'!G76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+'30'!G79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1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+'30'!G85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1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+'30'!G86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1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+'30'!G87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+'30'!G88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+'30'!G89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9" t="s">
        <v>119</v>
      </c>
      <c r="Q107" s="150"/>
      <c r="R107" s="150"/>
      <c r="S107" s="150"/>
      <c r="T107" s="150"/>
      <c r="U107" s="150"/>
      <c r="V107" s="150"/>
      <c r="W107" s="151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+'30'!G114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1">
        <f t="shared" si="11"/>
        <v>0</v>
      </c>
    </row>
    <row r="124" spans="1:13" ht="25.5">
      <c r="A124" s="10">
        <v>120</v>
      </c>
      <c r="B124" s="19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1">
        <f t="shared" si="16"/>
        <v>0</v>
      </c>
    </row>
    <row r="141" spans="1:13" ht="25.5">
      <c r="A141" s="10">
        <v>137</v>
      </c>
      <c r="B141" s="19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1">
        <f t="shared" si="16"/>
        <v>0</v>
      </c>
    </row>
    <row r="143" spans="1:13" ht="25.5">
      <c r="A143" s="10">
        <v>139</v>
      </c>
      <c r="B143" s="19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+'30'!G150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4"/>
        <v>8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+'30'!G151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4"/>
        <v>3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+'30'!G152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+'30'!G153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4"/>
        <v>8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+'30'!G154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1">
        <f t="shared" si="16"/>
        <v>0</v>
      </c>
    </row>
    <row r="155" spans="1:13" ht="25.5">
      <c r="A155" s="10">
        <v>151</v>
      </c>
      <c r="B155" s="19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+'30'!G156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+'30'!G168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4"/>
        <v>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+'30'!G169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+'30'!G176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+'30'!G178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+'30'!G179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+'30'!G180</f>
        <v>18</v>
      </c>
      <c r="D180" s="13">
        <v>0</v>
      </c>
      <c r="E180" s="12">
        <f t="shared" si="13"/>
        <v>18</v>
      </c>
      <c r="F180" s="13">
        <v>0</v>
      </c>
      <c r="G180" s="12">
        <f t="shared" si="14"/>
        <v>18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5" t="s">
        <v>213</v>
      </c>
      <c r="N205" s="15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0</v>
      </c>
    </row>
    <row r="208" spans="1:26" ht="25.5">
      <c r="A208" s="1"/>
      <c r="C208" s="31"/>
      <c r="E208" s="31"/>
      <c r="G208" s="31"/>
      <c r="I208" s="133" t="s">
        <v>203</v>
      </c>
      <c r="J208" s="134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1" ht="25.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1" ht="25.5">
      <c r="A212" s="1"/>
      <c r="C212" s="31"/>
      <c r="E212" s="31"/>
      <c r="G212" s="31"/>
      <c r="I212" s="133" t="s">
        <v>207</v>
      </c>
      <c r="J212" s="134"/>
      <c r="K212" s="37">
        <f>SUM(L5:L205)</f>
        <v>0</v>
      </c>
    </row>
    <row r="213" spans="1:11" ht="25.5">
      <c r="A213" s="1"/>
      <c r="C213" s="31"/>
      <c r="E213" s="31"/>
      <c r="G213" s="31"/>
      <c r="I213" s="133" t="s">
        <v>208</v>
      </c>
      <c r="J213" s="134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3" t="s">
        <v>209</v>
      </c>
      <c r="J214" s="134"/>
      <c r="K214" s="37">
        <v>0</v>
      </c>
    </row>
    <row r="215" spans="1:11" ht="25.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1" ht="25.5">
      <c r="G216" s="2"/>
      <c r="I216" s="133" t="s">
        <v>211</v>
      </c>
      <c r="J216" s="134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2024-02-18T08:42:53Z</cp:lastPrinted>
  <dcterms:created xsi:type="dcterms:W3CDTF">2023-12-01T06:41:03Z</dcterms:created>
  <dcterms:modified xsi:type="dcterms:W3CDTF">2024-03-01T06:02:33Z</dcterms:modified>
</cp:coreProperties>
</file>