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ก.พ\"/>
    </mc:Choice>
  </mc:AlternateContent>
  <xr:revisionPtr revIDLastSave="0" documentId="13_ncr:1_{24682251-C12B-4703-8C75-D0D7E1E15EB3}" xr6:coauthVersionLast="47" xr6:coauthVersionMax="47" xr10:uidLastSave="{00000000-0000-0000-0000-000000000000}"/>
  <bookViews>
    <workbookView xWindow="-120" yWindow="-120" windowWidth="29040" windowHeight="15720" tabRatio="942" xr2:uid="{34DB0DC8-8D55-4619-93FF-0864944185F1}"/>
  </bookViews>
  <sheets>
    <sheet name="สรุป" sheetId="16" r:id="rId1"/>
    <sheet name="ยกมา" sheetId="33" r:id="rId2"/>
    <sheet name="1" sheetId="35" r:id="rId3"/>
    <sheet name="2" sheetId="36" r:id="rId4"/>
    <sheet name="3" sheetId="37" r:id="rId5"/>
    <sheet name="4" sheetId="38" r:id="rId6"/>
    <sheet name="5" sheetId="39" r:id="rId7"/>
    <sheet name="6" sheetId="40" r:id="rId8"/>
    <sheet name="7" sheetId="41" r:id="rId9"/>
    <sheet name="8" sheetId="42" r:id="rId10"/>
    <sheet name="9" sheetId="43" r:id="rId11"/>
    <sheet name="10" sheetId="44" r:id="rId12"/>
    <sheet name="11" sheetId="45" r:id="rId13"/>
    <sheet name="12" sheetId="46" r:id="rId14"/>
    <sheet name="13" sheetId="47" r:id="rId15"/>
    <sheet name="14" sheetId="48" r:id="rId16"/>
    <sheet name="15" sheetId="49" r:id="rId17"/>
    <sheet name="16" sheetId="50" r:id="rId18"/>
    <sheet name="17" sheetId="51" r:id="rId19"/>
    <sheet name="18" sheetId="52" r:id="rId20"/>
    <sheet name="19" sheetId="53" r:id="rId21"/>
    <sheet name="20" sheetId="54" r:id="rId22"/>
    <sheet name="21" sheetId="55" r:id="rId23"/>
    <sheet name="22" sheetId="56" r:id="rId24"/>
    <sheet name="23" sheetId="57" r:id="rId25"/>
    <sheet name="24" sheetId="58" r:id="rId26"/>
    <sheet name="25" sheetId="59" r:id="rId27"/>
    <sheet name="26" sheetId="60" r:id="rId28"/>
    <sheet name="27" sheetId="61" r:id="rId29"/>
    <sheet name="28" sheetId="62" r:id="rId30"/>
    <sheet name="29" sheetId="63" r:id="rId31"/>
    <sheet name="30" sheetId="64" r:id="rId32"/>
    <sheet name="31" sheetId="65" r:id="rId33"/>
  </sheets>
  <externalReferences>
    <externalReference r:id="rId34"/>
    <externalReference r:id="rId35"/>
  </externalReferences>
  <definedNames>
    <definedName name="_xlnm._FilterDatabase" localSheetId="2" hidden="1">'1'!$A$1:$Y$208</definedName>
    <definedName name="_xlnm._FilterDatabase" localSheetId="11" hidden="1">'10'!$A$1:$Y$225</definedName>
    <definedName name="_xlnm._FilterDatabase" localSheetId="12" hidden="1">'11'!$A$1:$Y$225</definedName>
    <definedName name="_xlnm._FilterDatabase" localSheetId="13" hidden="1">'12'!$A$1:$Y$227</definedName>
    <definedName name="_xlnm._FilterDatabase" localSheetId="14" hidden="1">'13'!$A$1:$Y$227</definedName>
    <definedName name="_xlnm._FilterDatabase" localSheetId="15" hidden="1">'14'!$A$1:$Y$227</definedName>
    <definedName name="_xlnm._FilterDatabase" localSheetId="16" hidden="1">'15'!$A$1:$Y$227</definedName>
    <definedName name="_xlnm._FilterDatabase" localSheetId="17" hidden="1">'16'!$A$1:$Y$227</definedName>
    <definedName name="_xlnm._FilterDatabase" localSheetId="18" hidden="1">'17'!$A$1:$Y$225</definedName>
    <definedName name="_xlnm._FilterDatabase" localSheetId="19" hidden="1">'18'!$A$1:$Y$225</definedName>
    <definedName name="_xlnm._FilterDatabase" localSheetId="20" hidden="1">'19'!$A$1:$Y$225</definedName>
    <definedName name="_xlnm._FilterDatabase" localSheetId="3" hidden="1">'2'!$A$1:$Y$208</definedName>
    <definedName name="_xlnm._FilterDatabase" localSheetId="21" hidden="1">'20'!$A$1:$Y$225</definedName>
    <definedName name="_xlnm._FilterDatabase" localSheetId="22" hidden="1">'21'!$A$1:$Y$225</definedName>
    <definedName name="_xlnm._FilterDatabase" localSheetId="23" hidden="1">'22'!$A$1:$Y$225</definedName>
    <definedName name="_xlnm._FilterDatabase" localSheetId="24" hidden="1">'23'!$A$1:$Y$225</definedName>
    <definedName name="_xlnm._FilterDatabase" localSheetId="25" hidden="1">'24'!$A$1:$Y$225</definedName>
    <definedName name="_xlnm._FilterDatabase" localSheetId="26" hidden="1">'25'!$A$1:$Y$225</definedName>
    <definedName name="_xlnm._FilterDatabase" localSheetId="27" hidden="1">'26'!$A$1:$Y$225</definedName>
    <definedName name="_xlnm._FilterDatabase" localSheetId="28" hidden="1">'27'!$A$1:$Y$225</definedName>
    <definedName name="_xlnm._FilterDatabase" localSheetId="29" hidden="1">'28'!$A$1:$Y$225</definedName>
    <definedName name="_xlnm._FilterDatabase" localSheetId="30" hidden="1">'29'!$A$1:$Y$225</definedName>
    <definedName name="_xlnm._FilterDatabase" localSheetId="4" hidden="1">'3'!$A$1:$Y$208</definedName>
    <definedName name="_xlnm._FilterDatabase" localSheetId="31" hidden="1">'30'!$A$1:$Y$225</definedName>
    <definedName name="_xlnm._FilterDatabase" localSheetId="32" hidden="1">'31'!$A$1:$Y$225</definedName>
    <definedName name="_xlnm._FilterDatabase" localSheetId="5" hidden="1">'4'!$A$1:$Y$223</definedName>
    <definedName name="_xlnm._FilterDatabase" localSheetId="6" hidden="1">'5'!$A$1:$Y$223</definedName>
    <definedName name="_xlnm._FilterDatabase" localSheetId="7" hidden="1">'6'!$A$1:$Y$223</definedName>
    <definedName name="_xlnm._FilterDatabase" localSheetId="8" hidden="1">'7'!$A$1:$Y$223</definedName>
    <definedName name="_xlnm._FilterDatabase" localSheetId="9" hidden="1">'8'!$A$1:$Y$225</definedName>
    <definedName name="_xlnm._FilterDatabase" localSheetId="10" hidden="1">'9'!$A$1:$Y$225</definedName>
    <definedName name="_xlnm._FilterDatabase" localSheetId="1" hidden="1">ยกมา!$A$1:$Y$221</definedName>
    <definedName name="_xlnm._FilterDatabase" localSheetId="0" hidden="1">สรุป!$A$2:$U$236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1" i="16" l="1"/>
  <c r="P20" i="16"/>
  <c r="T11" i="16"/>
  <c r="Q11" i="16"/>
  <c r="P11" i="16"/>
  <c r="T10" i="16"/>
  <c r="Q10" i="16"/>
  <c r="P10" i="16"/>
  <c r="T9" i="16"/>
  <c r="Q9" i="16"/>
  <c r="P9" i="16"/>
  <c r="T8" i="16"/>
  <c r="Q8" i="16"/>
  <c r="P8" i="16"/>
  <c r="T7" i="16"/>
  <c r="Q7" i="16"/>
  <c r="P7" i="16"/>
  <c r="T6" i="16"/>
  <c r="Q6" i="16"/>
  <c r="P6" i="16"/>
  <c r="T5" i="16"/>
  <c r="Q5" i="16"/>
  <c r="P5" i="16"/>
  <c r="J214" i="50"/>
  <c r="M214" i="50" s="1"/>
  <c r="J215" i="50"/>
  <c r="M215" i="50"/>
  <c r="J214" i="49"/>
  <c r="M214" i="49" s="1"/>
  <c r="J215" i="49"/>
  <c r="M215" i="49" s="1"/>
  <c r="M215" i="48"/>
  <c r="J214" i="48"/>
  <c r="M214" i="48" s="1"/>
  <c r="J215" i="48"/>
  <c r="K229" i="53"/>
  <c r="K229" i="52"/>
  <c r="K229" i="51"/>
  <c r="K231" i="50"/>
  <c r="K231" i="49"/>
  <c r="K231" i="48"/>
  <c r="K231" i="47"/>
  <c r="K231" i="46"/>
  <c r="J214" i="47"/>
  <c r="M214" i="47" s="1"/>
  <c r="C215" i="47"/>
  <c r="E215" i="47" s="1"/>
  <c r="G215" i="47" s="1"/>
  <c r="C215" i="48" s="1"/>
  <c r="E215" i="48" s="1"/>
  <c r="G215" i="48" s="1"/>
  <c r="C215" i="49" s="1"/>
  <c r="E215" i="49" s="1"/>
  <c r="G215" i="49" s="1"/>
  <c r="C215" i="50" s="1"/>
  <c r="E215" i="50" s="1"/>
  <c r="G215" i="50" s="1"/>
  <c r="J215" i="47"/>
  <c r="M215" i="47"/>
  <c r="M214" i="46"/>
  <c r="J214" i="46"/>
  <c r="J215" i="46"/>
  <c r="M215" i="46" s="1"/>
  <c r="E214" i="46"/>
  <c r="G214" i="46" s="1"/>
  <c r="C214" i="47" s="1"/>
  <c r="E214" i="47" s="1"/>
  <c r="G214" i="47" s="1"/>
  <c r="C214" i="48" s="1"/>
  <c r="E214" i="48" s="1"/>
  <c r="G214" i="48" s="1"/>
  <c r="C214" i="49" s="1"/>
  <c r="E214" i="49" s="1"/>
  <c r="G214" i="49" s="1"/>
  <c r="C214" i="50" s="1"/>
  <c r="E214" i="50" s="1"/>
  <c r="G214" i="50" s="1"/>
  <c r="E215" i="46"/>
  <c r="G215" i="46" s="1"/>
  <c r="H214" i="45"/>
  <c r="M213" i="44"/>
  <c r="J212" i="44"/>
  <c r="M212" i="44" s="1"/>
  <c r="J213" i="44"/>
  <c r="J213" i="43"/>
  <c r="M213" i="43" s="1"/>
  <c r="J212" i="43"/>
  <c r="M212" i="43" s="1"/>
  <c r="J212" i="42"/>
  <c r="M212" i="42" s="1"/>
  <c r="J213" i="42"/>
  <c r="M213" i="42" s="1"/>
  <c r="K221" i="44"/>
  <c r="K229" i="45"/>
  <c r="K229" i="44"/>
  <c r="K229" i="43"/>
  <c r="K229" i="42"/>
  <c r="K221" i="40"/>
  <c r="N10" i="16" s="1"/>
  <c r="K221" i="39"/>
  <c r="N9" i="16" s="1"/>
  <c r="K229" i="41" l="1"/>
  <c r="K221" i="41"/>
  <c r="N11" i="16" s="1"/>
  <c r="K218" i="41"/>
  <c r="J215" i="41"/>
  <c r="J213" i="41"/>
  <c r="M213" i="41" s="1"/>
  <c r="J212" i="41"/>
  <c r="M212" i="41" s="1"/>
  <c r="J211" i="41"/>
  <c r="M211" i="41" s="1"/>
  <c r="M210" i="41"/>
  <c r="J210" i="41"/>
  <c r="J209" i="41"/>
  <c r="K229" i="40"/>
  <c r="K229" i="39"/>
  <c r="K229" i="38"/>
  <c r="K229" i="37"/>
  <c r="K229" i="35"/>
  <c r="K229" i="36"/>
  <c r="K218" i="40"/>
  <c r="J215" i="40"/>
  <c r="J213" i="40"/>
  <c r="M213" i="40" s="1"/>
  <c r="J212" i="40"/>
  <c r="M212" i="40" s="1"/>
  <c r="J211" i="40"/>
  <c r="M211" i="40" s="1"/>
  <c r="J210" i="40"/>
  <c r="J209" i="40"/>
  <c r="M209" i="40" s="1"/>
  <c r="K218" i="39"/>
  <c r="J215" i="39"/>
  <c r="J213" i="39"/>
  <c r="M213" i="39" s="1"/>
  <c r="J212" i="39"/>
  <c r="M212" i="39" s="1"/>
  <c r="J211" i="39"/>
  <c r="M211" i="39" s="1"/>
  <c r="J210" i="39"/>
  <c r="M210" i="39" s="1"/>
  <c r="J209" i="39"/>
  <c r="M209" i="39" s="1"/>
  <c r="K221" i="38"/>
  <c r="N8" i="16" s="1"/>
  <c r="K218" i="38"/>
  <c r="J215" i="38"/>
  <c r="M213" i="38"/>
  <c r="J213" i="38"/>
  <c r="J212" i="38"/>
  <c r="M212" i="38" s="1"/>
  <c r="J211" i="38"/>
  <c r="M211" i="38" s="1"/>
  <c r="J210" i="38"/>
  <c r="M209" i="38"/>
  <c r="J209" i="38"/>
  <c r="C209" i="38"/>
  <c r="E209" i="38" s="1"/>
  <c r="G209" i="38" s="1"/>
  <c r="K221" i="37"/>
  <c r="N7" i="16" s="1"/>
  <c r="K218" i="37"/>
  <c r="J215" i="37"/>
  <c r="J213" i="37"/>
  <c r="M213" i="37" s="1"/>
  <c r="J212" i="37"/>
  <c r="M212" i="37" s="1"/>
  <c r="M211" i="37"/>
  <c r="J211" i="37"/>
  <c r="J210" i="37"/>
  <c r="J209" i="37"/>
  <c r="M209" i="37" s="1"/>
  <c r="K221" i="36"/>
  <c r="N6" i="16" s="1"/>
  <c r="K218" i="36"/>
  <c r="R6" i="16" s="1"/>
  <c r="J215" i="36"/>
  <c r="J213" i="36"/>
  <c r="M213" i="36" s="1"/>
  <c r="J212" i="36"/>
  <c r="M212" i="36" s="1"/>
  <c r="M211" i="36"/>
  <c r="J211" i="36"/>
  <c r="J210" i="36"/>
  <c r="J209" i="36"/>
  <c r="M209" i="36" s="1"/>
  <c r="J6" i="35"/>
  <c r="J7" i="35"/>
  <c r="J8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0" i="35"/>
  <c r="J31" i="35"/>
  <c r="J32" i="35"/>
  <c r="J33" i="35"/>
  <c r="J34" i="35"/>
  <c r="J35" i="35"/>
  <c r="J36" i="35"/>
  <c r="J37" i="35"/>
  <c r="J38" i="35"/>
  <c r="J39" i="35"/>
  <c r="J40" i="35"/>
  <c r="J41" i="35"/>
  <c r="J42" i="35"/>
  <c r="J43" i="35"/>
  <c r="J44" i="35"/>
  <c r="J45" i="35"/>
  <c r="J46" i="35"/>
  <c r="J47" i="35"/>
  <c r="J48" i="35"/>
  <c r="J49" i="35"/>
  <c r="J50" i="35"/>
  <c r="J51" i="35"/>
  <c r="J52" i="35"/>
  <c r="J53" i="35"/>
  <c r="J54" i="35"/>
  <c r="J55" i="35"/>
  <c r="J56" i="35"/>
  <c r="J57" i="35"/>
  <c r="J58" i="35"/>
  <c r="J59" i="35"/>
  <c r="J60" i="35"/>
  <c r="J61" i="35"/>
  <c r="J62" i="35"/>
  <c r="J63" i="35"/>
  <c r="J64" i="35"/>
  <c r="J65" i="35"/>
  <c r="J66" i="35"/>
  <c r="J67" i="35"/>
  <c r="J68" i="35"/>
  <c r="J69" i="35"/>
  <c r="J70" i="35"/>
  <c r="J71" i="35"/>
  <c r="J72" i="35"/>
  <c r="J73" i="35"/>
  <c r="J74" i="35"/>
  <c r="J75" i="35"/>
  <c r="J76" i="35"/>
  <c r="J77" i="35"/>
  <c r="J78" i="35"/>
  <c r="J79" i="35"/>
  <c r="J80" i="35"/>
  <c r="J81" i="35"/>
  <c r="J82" i="35"/>
  <c r="J83" i="35"/>
  <c r="J84" i="35"/>
  <c r="J85" i="35"/>
  <c r="J86" i="35"/>
  <c r="J87" i="35"/>
  <c r="J88" i="35"/>
  <c r="J89" i="35"/>
  <c r="J90" i="35"/>
  <c r="J91" i="35"/>
  <c r="J92" i="35"/>
  <c r="J93" i="35"/>
  <c r="J94" i="35"/>
  <c r="J95" i="35"/>
  <c r="J96" i="35"/>
  <c r="J97" i="35"/>
  <c r="J98" i="35"/>
  <c r="J99" i="35"/>
  <c r="J100" i="35"/>
  <c r="J101" i="35"/>
  <c r="J102" i="35"/>
  <c r="J103" i="35"/>
  <c r="J104" i="35"/>
  <c r="J105" i="35"/>
  <c r="J106" i="35"/>
  <c r="J107" i="35"/>
  <c r="J108" i="35"/>
  <c r="J109" i="35"/>
  <c r="J110" i="35"/>
  <c r="J111" i="35"/>
  <c r="J112" i="35"/>
  <c r="J113" i="35"/>
  <c r="J114" i="35"/>
  <c r="J115" i="35"/>
  <c r="J116" i="35"/>
  <c r="J117" i="35"/>
  <c r="J118" i="35"/>
  <c r="J119" i="35"/>
  <c r="J120" i="35"/>
  <c r="J121" i="35"/>
  <c r="J122" i="35"/>
  <c r="J123" i="35"/>
  <c r="J124" i="35"/>
  <c r="J125" i="35"/>
  <c r="J126" i="35"/>
  <c r="J127" i="35"/>
  <c r="J128" i="35"/>
  <c r="J129" i="35"/>
  <c r="J130" i="35"/>
  <c r="J131" i="35"/>
  <c r="J132" i="35"/>
  <c r="J133" i="35"/>
  <c r="J134" i="35"/>
  <c r="J135" i="35"/>
  <c r="J136" i="35"/>
  <c r="J137" i="35"/>
  <c r="J138" i="35"/>
  <c r="J139" i="35"/>
  <c r="J140" i="35"/>
  <c r="J141" i="35"/>
  <c r="J142" i="35"/>
  <c r="J143" i="35"/>
  <c r="J144" i="35"/>
  <c r="J145" i="35"/>
  <c r="J146" i="35"/>
  <c r="J147" i="35"/>
  <c r="J148" i="35"/>
  <c r="J149" i="35"/>
  <c r="J150" i="35"/>
  <c r="J151" i="35"/>
  <c r="J152" i="35"/>
  <c r="J153" i="35"/>
  <c r="J154" i="35"/>
  <c r="J155" i="35"/>
  <c r="J156" i="35"/>
  <c r="J157" i="35"/>
  <c r="J158" i="35"/>
  <c r="J159" i="35"/>
  <c r="J160" i="35"/>
  <c r="J161" i="35"/>
  <c r="J162" i="35"/>
  <c r="J163" i="35"/>
  <c r="J164" i="35"/>
  <c r="J165" i="35"/>
  <c r="J166" i="35"/>
  <c r="J167" i="35"/>
  <c r="J168" i="35"/>
  <c r="J169" i="35"/>
  <c r="J170" i="35"/>
  <c r="J171" i="35"/>
  <c r="J172" i="35"/>
  <c r="J173" i="35"/>
  <c r="J174" i="35"/>
  <c r="J175" i="35"/>
  <c r="J176" i="35"/>
  <c r="J177" i="35"/>
  <c r="J178" i="35"/>
  <c r="J179" i="35"/>
  <c r="J180" i="35"/>
  <c r="J181" i="35"/>
  <c r="J182" i="35"/>
  <c r="J183" i="35"/>
  <c r="J184" i="35"/>
  <c r="J185" i="35"/>
  <c r="J186" i="35"/>
  <c r="J187" i="35"/>
  <c r="J188" i="35"/>
  <c r="J189" i="35"/>
  <c r="J190" i="35"/>
  <c r="J191" i="35"/>
  <c r="J192" i="35"/>
  <c r="J193" i="35"/>
  <c r="J194" i="35"/>
  <c r="J195" i="35"/>
  <c r="J196" i="35"/>
  <c r="J197" i="35"/>
  <c r="J198" i="35"/>
  <c r="J199" i="35"/>
  <c r="J200" i="35"/>
  <c r="J201" i="35"/>
  <c r="J202" i="35"/>
  <c r="J203" i="35"/>
  <c r="J204" i="35"/>
  <c r="J205" i="35"/>
  <c r="J206" i="35"/>
  <c r="J207" i="35"/>
  <c r="J208" i="35"/>
  <c r="J209" i="35"/>
  <c r="J210" i="35"/>
  <c r="J211" i="35"/>
  <c r="J212" i="35"/>
  <c r="J213" i="35"/>
  <c r="J214" i="16"/>
  <c r="J216" i="16"/>
  <c r="J217" i="16"/>
  <c r="J218" i="16"/>
  <c r="J219" i="16"/>
  <c r="J220" i="16"/>
  <c r="J221" i="16"/>
  <c r="J222" i="16"/>
  <c r="J223" i="16"/>
  <c r="J225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C213" i="35"/>
  <c r="E213" i="35" s="1"/>
  <c r="G213" i="35" s="1"/>
  <c r="C213" i="36" s="1"/>
  <c r="E213" i="36" s="1"/>
  <c r="G213" i="36" s="1"/>
  <c r="K221" i="35"/>
  <c r="N5" i="16" s="1"/>
  <c r="K218" i="35"/>
  <c r="R5" i="16" s="1"/>
  <c r="J215" i="35"/>
  <c r="M212" i="35"/>
  <c r="M211" i="35"/>
  <c r="M210" i="35"/>
  <c r="M209" i="35"/>
  <c r="K221" i="33"/>
  <c r="K218" i="33"/>
  <c r="M213" i="33"/>
  <c r="J213" i="33"/>
  <c r="C213" i="33"/>
  <c r="E213" i="33" s="1"/>
  <c r="G213" i="33" s="1"/>
  <c r="J212" i="33"/>
  <c r="M212" i="33" s="1"/>
  <c r="E212" i="33"/>
  <c r="G212" i="33" s="1"/>
  <c r="C212" i="35" s="1"/>
  <c r="E212" i="35" s="1"/>
  <c r="G212" i="35" s="1"/>
  <c r="C212" i="36" s="1"/>
  <c r="E212" i="36" s="1"/>
  <c r="G212" i="36" s="1"/>
  <c r="C212" i="33"/>
  <c r="J211" i="33"/>
  <c r="M211" i="33" s="1"/>
  <c r="C211" i="33"/>
  <c r="E211" i="33" s="1"/>
  <c r="G211" i="33" s="1"/>
  <c r="C211" i="38" s="1"/>
  <c r="E211" i="38" s="1"/>
  <c r="G211" i="38" s="1"/>
  <c r="J210" i="33"/>
  <c r="M210" i="33" s="1"/>
  <c r="C210" i="33"/>
  <c r="E210" i="33" s="1"/>
  <c r="G210" i="33" s="1"/>
  <c r="C210" i="41" s="1"/>
  <c r="E210" i="41" s="1"/>
  <c r="G210" i="41" s="1"/>
  <c r="J209" i="33"/>
  <c r="M209" i="33" s="1"/>
  <c r="C209" i="33"/>
  <c r="E209" i="33" s="1"/>
  <c r="G209" i="33" s="1"/>
  <c r="C209" i="35" s="1"/>
  <c r="E209" i="35" s="1"/>
  <c r="G209" i="35" s="1"/>
  <c r="C209" i="36" s="1"/>
  <c r="E209" i="36" s="1"/>
  <c r="G209" i="36" s="1"/>
  <c r="M208" i="33"/>
  <c r="J208" i="33"/>
  <c r="C208" i="33"/>
  <c r="E208" i="33" s="1"/>
  <c r="G208" i="33" s="1"/>
  <c r="C208" i="35" s="1"/>
  <c r="M207" i="33"/>
  <c r="J207" i="33"/>
  <c r="C207" i="33"/>
  <c r="E207" i="33" s="1"/>
  <c r="G207" i="33" s="1"/>
  <c r="C207" i="35" s="1"/>
  <c r="J206" i="33"/>
  <c r="M206" i="33" s="1"/>
  <c r="C206" i="33"/>
  <c r="E206" i="33" s="1"/>
  <c r="G206" i="33" s="1"/>
  <c r="C206" i="35" s="1"/>
  <c r="J205" i="33"/>
  <c r="M205" i="33" s="1"/>
  <c r="C205" i="33"/>
  <c r="E205" i="33" s="1"/>
  <c r="G205" i="33" s="1"/>
  <c r="J204" i="33"/>
  <c r="M204" i="33" s="1"/>
  <c r="C204" i="33"/>
  <c r="E204" i="33" s="1"/>
  <c r="G204" i="33" s="1"/>
  <c r="J203" i="33"/>
  <c r="M203" i="33" s="1"/>
  <c r="C203" i="33"/>
  <c r="E203" i="33" s="1"/>
  <c r="G203" i="33" s="1"/>
  <c r="J202" i="33"/>
  <c r="M202" i="33" s="1"/>
  <c r="C202" i="33"/>
  <c r="E202" i="33" s="1"/>
  <c r="G202" i="33" s="1"/>
  <c r="J201" i="33"/>
  <c r="M201" i="33" s="1"/>
  <c r="C201" i="33"/>
  <c r="E201" i="33" s="1"/>
  <c r="G201" i="33" s="1"/>
  <c r="J200" i="33"/>
  <c r="M200" i="33" s="1"/>
  <c r="C200" i="33"/>
  <c r="E200" i="33" s="1"/>
  <c r="G200" i="33" s="1"/>
  <c r="J199" i="33"/>
  <c r="M199" i="33" s="1"/>
  <c r="C199" i="33"/>
  <c r="E199" i="33" s="1"/>
  <c r="G199" i="33" s="1"/>
  <c r="J198" i="33"/>
  <c r="M198" i="33" s="1"/>
  <c r="C198" i="33"/>
  <c r="E198" i="33" s="1"/>
  <c r="G198" i="33" s="1"/>
  <c r="M197" i="33"/>
  <c r="J197" i="33"/>
  <c r="C197" i="33"/>
  <c r="E197" i="33" s="1"/>
  <c r="G197" i="33" s="1"/>
  <c r="J196" i="33"/>
  <c r="M196" i="33" s="1"/>
  <c r="E196" i="33"/>
  <c r="G196" i="33" s="1"/>
  <c r="C196" i="33"/>
  <c r="J195" i="33"/>
  <c r="M195" i="33" s="1"/>
  <c r="C195" i="33"/>
  <c r="E195" i="33" s="1"/>
  <c r="G195" i="33" s="1"/>
  <c r="J194" i="33"/>
  <c r="M194" i="33" s="1"/>
  <c r="C194" i="33"/>
  <c r="E194" i="33" s="1"/>
  <c r="G194" i="33" s="1"/>
  <c r="J193" i="33"/>
  <c r="M193" i="33" s="1"/>
  <c r="C193" i="33"/>
  <c r="E193" i="33" s="1"/>
  <c r="G193" i="33" s="1"/>
  <c r="M192" i="33"/>
  <c r="J192" i="33"/>
  <c r="C192" i="33"/>
  <c r="E192" i="33" s="1"/>
  <c r="G192" i="33" s="1"/>
  <c r="J191" i="33"/>
  <c r="M191" i="33" s="1"/>
  <c r="C191" i="33"/>
  <c r="E191" i="33" s="1"/>
  <c r="G191" i="33" s="1"/>
  <c r="J190" i="33"/>
  <c r="M190" i="33" s="1"/>
  <c r="C190" i="33"/>
  <c r="E190" i="33" s="1"/>
  <c r="G190" i="33" s="1"/>
  <c r="M189" i="33"/>
  <c r="J189" i="33"/>
  <c r="C189" i="33"/>
  <c r="E189" i="33" s="1"/>
  <c r="G189" i="33" s="1"/>
  <c r="J188" i="33"/>
  <c r="M188" i="33" s="1"/>
  <c r="E188" i="33"/>
  <c r="G188" i="33" s="1"/>
  <c r="C188" i="33"/>
  <c r="J187" i="33"/>
  <c r="M187" i="33" s="1"/>
  <c r="C187" i="33"/>
  <c r="E187" i="33" s="1"/>
  <c r="G187" i="33" s="1"/>
  <c r="J186" i="33"/>
  <c r="M186" i="33" s="1"/>
  <c r="C186" i="33"/>
  <c r="E186" i="33" s="1"/>
  <c r="G186" i="33" s="1"/>
  <c r="J185" i="33"/>
  <c r="M185" i="33" s="1"/>
  <c r="C185" i="33"/>
  <c r="E185" i="33" s="1"/>
  <c r="G185" i="33" s="1"/>
  <c r="M184" i="33"/>
  <c r="J184" i="33"/>
  <c r="C184" i="33"/>
  <c r="E184" i="33" s="1"/>
  <c r="G184" i="33" s="1"/>
  <c r="J183" i="33"/>
  <c r="M183" i="33" s="1"/>
  <c r="E183" i="33"/>
  <c r="G183" i="33" s="1"/>
  <c r="C183" i="33"/>
  <c r="J182" i="33"/>
  <c r="M182" i="33" s="1"/>
  <c r="C182" i="33"/>
  <c r="E182" i="33" s="1"/>
  <c r="G182" i="33" s="1"/>
  <c r="J181" i="33"/>
  <c r="M181" i="33" s="1"/>
  <c r="C181" i="33"/>
  <c r="E181" i="33" s="1"/>
  <c r="G181" i="33" s="1"/>
  <c r="J180" i="33"/>
  <c r="M180" i="33" s="1"/>
  <c r="C180" i="33"/>
  <c r="E180" i="33" s="1"/>
  <c r="G180" i="33" s="1"/>
  <c r="J179" i="33"/>
  <c r="M179" i="33" s="1"/>
  <c r="C179" i="33"/>
  <c r="E179" i="33" s="1"/>
  <c r="G179" i="33" s="1"/>
  <c r="J178" i="33"/>
  <c r="M178" i="33" s="1"/>
  <c r="C178" i="33"/>
  <c r="E178" i="33" s="1"/>
  <c r="G178" i="33" s="1"/>
  <c r="J177" i="33"/>
  <c r="M177" i="33" s="1"/>
  <c r="C177" i="33"/>
  <c r="E177" i="33" s="1"/>
  <c r="G177" i="33" s="1"/>
  <c r="M176" i="33"/>
  <c r="J176" i="33"/>
  <c r="C176" i="33"/>
  <c r="E176" i="33" s="1"/>
  <c r="G176" i="33" s="1"/>
  <c r="J175" i="33"/>
  <c r="M175" i="33" s="1"/>
  <c r="C175" i="33"/>
  <c r="E175" i="33" s="1"/>
  <c r="G175" i="33" s="1"/>
  <c r="J174" i="33"/>
  <c r="M174" i="33" s="1"/>
  <c r="C174" i="33"/>
  <c r="E174" i="33" s="1"/>
  <c r="G174" i="33" s="1"/>
  <c r="M173" i="33"/>
  <c r="J173" i="33"/>
  <c r="C173" i="33"/>
  <c r="E173" i="33" s="1"/>
  <c r="G173" i="33" s="1"/>
  <c r="J172" i="33"/>
  <c r="M172" i="33" s="1"/>
  <c r="C172" i="33"/>
  <c r="E172" i="33" s="1"/>
  <c r="G172" i="33" s="1"/>
  <c r="J171" i="33"/>
  <c r="M171" i="33" s="1"/>
  <c r="C171" i="33"/>
  <c r="E171" i="33" s="1"/>
  <c r="G171" i="33" s="1"/>
  <c r="J170" i="33"/>
  <c r="M170" i="33" s="1"/>
  <c r="C170" i="33"/>
  <c r="E170" i="33" s="1"/>
  <c r="G170" i="33" s="1"/>
  <c r="J169" i="33"/>
  <c r="M169" i="33" s="1"/>
  <c r="C169" i="33"/>
  <c r="E169" i="33" s="1"/>
  <c r="G169" i="33" s="1"/>
  <c r="M168" i="33"/>
  <c r="J168" i="33"/>
  <c r="C168" i="33"/>
  <c r="E168" i="33" s="1"/>
  <c r="G168" i="33" s="1"/>
  <c r="M167" i="33"/>
  <c r="J167" i="33"/>
  <c r="C167" i="33"/>
  <c r="E167" i="33" s="1"/>
  <c r="G167" i="33" s="1"/>
  <c r="J166" i="33"/>
  <c r="M166" i="33" s="1"/>
  <c r="C166" i="33"/>
  <c r="E166" i="33" s="1"/>
  <c r="G166" i="33" s="1"/>
  <c r="J165" i="33"/>
  <c r="M165" i="33" s="1"/>
  <c r="C165" i="33"/>
  <c r="E165" i="33" s="1"/>
  <c r="G165" i="33" s="1"/>
  <c r="J164" i="33"/>
  <c r="M164" i="33" s="1"/>
  <c r="C164" i="33"/>
  <c r="E164" i="33" s="1"/>
  <c r="G164" i="33" s="1"/>
  <c r="J163" i="33"/>
  <c r="M163" i="33" s="1"/>
  <c r="C163" i="33"/>
  <c r="E163" i="33" s="1"/>
  <c r="G163" i="33" s="1"/>
  <c r="J162" i="33"/>
  <c r="M162" i="33" s="1"/>
  <c r="E162" i="33"/>
  <c r="G162" i="33" s="1"/>
  <c r="C162" i="33"/>
  <c r="J161" i="33"/>
  <c r="M161" i="33" s="1"/>
  <c r="C161" i="33"/>
  <c r="E161" i="33" s="1"/>
  <c r="G161" i="33" s="1"/>
  <c r="J160" i="33"/>
  <c r="M160" i="33" s="1"/>
  <c r="C160" i="33"/>
  <c r="E160" i="33" s="1"/>
  <c r="G160" i="33" s="1"/>
  <c r="J159" i="33"/>
  <c r="M159" i="33" s="1"/>
  <c r="C159" i="33"/>
  <c r="E159" i="33" s="1"/>
  <c r="G159" i="33" s="1"/>
  <c r="J158" i="33"/>
  <c r="M158" i="33" s="1"/>
  <c r="C158" i="33"/>
  <c r="E158" i="33" s="1"/>
  <c r="G158" i="33" s="1"/>
  <c r="J157" i="33"/>
  <c r="M157" i="33" s="1"/>
  <c r="C157" i="33"/>
  <c r="E157" i="33" s="1"/>
  <c r="G157" i="33" s="1"/>
  <c r="J156" i="33"/>
  <c r="M156" i="33" s="1"/>
  <c r="E156" i="33"/>
  <c r="G156" i="33" s="1"/>
  <c r="C156" i="33"/>
  <c r="J155" i="33"/>
  <c r="M155" i="33" s="1"/>
  <c r="C155" i="33"/>
  <c r="E155" i="33" s="1"/>
  <c r="G155" i="33" s="1"/>
  <c r="J154" i="33"/>
  <c r="M154" i="33" s="1"/>
  <c r="C154" i="33"/>
  <c r="E154" i="33" s="1"/>
  <c r="G154" i="33" s="1"/>
  <c r="J153" i="33"/>
  <c r="M153" i="33" s="1"/>
  <c r="C153" i="33"/>
  <c r="E153" i="33" s="1"/>
  <c r="G153" i="33" s="1"/>
  <c r="J152" i="33"/>
  <c r="M152" i="33" s="1"/>
  <c r="C152" i="33"/>
  <c r="E152" i="33" s="1"/>
  <c r="G152" i="33" s="1"/>
  <c r="M151" i="33"/>
  <c r="J151" i="33"/>
  <c r="C151" i="33"/>
  <c r="E151" i="33" s="1"/>
  <c r="G151" i="33" s="1"/>
  <c r="J150" i="33"/>
  <c r="M150" i="33" s="1"/>
  <c r="C150" i="33"/>
  <c r="E150" i="33" s="1"/>
  <c r="G150" i="33" s="1"/>
  <c r="J149" i="33"/>
  <c r="M149" i="33" s="1"/>
  <c r="C149" i="33"/>
  <c r="E149" i="33" s="1"/>
  <c r="G149" i="33" s="1"/>
  <c r="J148" i="33"/>
  <c r="M148" i="33" s="1"/>
  <c r="C148" i="33"/>
  <c r="E148" i="33" s="1"/>
  <c r="G148" i="33" s="1"/>
  <c r="J147" i="33"/>
  <c r="M147" i="33" s="1"/>
  <c r="C147" i="33"/>
  <c r="E147" i="33" s="1"/>
  <c r="G147" i="33" s="1"/>
  <c r="J146" i="33"/>
  <c r="M146" i="33" s="1"/>
  <c r="C146" i="33"/>
  <c r="E146" i="33" s="1"/>
  <c r="G146" i="33" s="1"/>
  <c r="J145" i="33"/>
  <c r="M145" i="33" s="1"/>
  <c r="C145" i="33"/>
  <c r="E145" i="33" s="1"/>
  <c r="G145" i="33" s="1"/>
  <c r="J144" i="33"/>
  <c r="M144" i="33" s="1"/>
  <c r="C144" i="33"/>
  <c r="E144" i="33" s="1"/>
  <c r="G144" i="33" s="1"/>
  <c r="J143" i="33"/>
  <c r="M143" i="33" s="1"/>
  <c r="C143" i="33"/>
  <c r="E143" i="33" s="1"/>
  <c r="G143" i="33" s="1"/>
  <c r="J142" i="33"/>
  <c r="M142" i="33" s="1"/>
  <c r="E142" i="33"/>
  <c r="G142" i="33" s="1"/>
  <c r="C142" i="33"/>
  <c r="M141" i="33"/>
  <c r="J141" i="33"/>
  <c r="C141" i="33"/>
  <c r="E141" i="33" s="1"/>
  <c r="G141" i="33" s="1"/>
  <c r="J140" i="33"/>
  <c r="M140" i="33" s="1"/>
  <c r="C140" i="33"/>
  <c r="E140" i="33" s="1"/>
  <c r="G140" i="33" s="1"/>
  <c r="M139" i="33"/>
  <c r="J139" i="33"/>
  <c r="C139" i="33"/>
  <c r="E139" i="33" s="1"/>
  <c r="G139" i="33" s="1"/>
  <c r="J138" i="33"/>
  <c r="M138" i="33" s="1"/>
  <c r="C138" i="33"/>
  <c r="E138" i="33" s="1"/>
  <c r="G138" i="33" s="1"/>
  <c r="J137" i="33"/>
  <c r="M137" i="33" s="1"/>
  <c r="C137" i="33"/>
  <c r="E137" i="33" s="1"/>
  <c r="G137" i="33" s="1"/>
  <c r="J136" i="33"/>
  <c r="M136" i="33" s="1"/>
  <c r="C136" i="33"/>
  <c r="E136" i="33" s="1"/>
  <c r="G136" i="33" s="1"/>
  <c r="J135" i="33"/>
  <c r="M135" i="33" s="1"/>
  <c r="C135" i="33"/>
  <c r="E135" i="33" s="1"/>
  <c r="G135" i="33" s="1"/>
  <c r="J134" i="33"/>
  <c r="M134" i="33" s="1"/>
  <c r="C134" i="33"/>
  <c r="E134" i="33" s="1"/>
  <c r="G134" i="33" s="1"/>
  <c r="J133" i="33"/>
  <c r="M133" i="33" s="1"/>
  <c r="C133" i="33"/>
  <c r="E133" i="33" s="1"/>
  <c r="G133" i="33" s="1"/>
  <c r="J132" i="33"/>
  <c r="M132" i="33" s="1"/>
  <c r="E132" i="33"/>
  <c r="G132" i="33" s="1"/>
  <c r="C132" i="33"/>
  <c r="J131" i="33"/>
  <c r="M131" i="33" s="1"/>
  <c r="C131" i="33"/>
  <c r="E131" i="33" s="1"/>
  <c r="G131" i="33" s="1"/>
  <c r="J130" i="33"/>
  <c r="M130" i="33" s="1"/>
  <c r="E130" i="33"/>
  <c r="G130" i="33" s="1"/>
  <c r="C130" i="33"/>
  <c r="J129" i="33"/>
  <c r="M129" i="33" s="1"/>
  <c r="C129" i="33"/>
  <c r="E129" i="33" s="1"/>
  <c r="G129" i="33" s="1"/>
  <c r="J128" i="33"/>
  <c r="M128" i="33" s="1"/>
  <c r="C128" i="33"/>
  <c r="E128" i="33" s="1"/>
  <c r="G128" i="33" s="1"/>
  <c r="M127" i="33"/>
  <c r="J127" i="33"/>
  <c r="G127" i="33"/>
  <c r="C127" i="33"/>
  <c r="E127" i="33" s="1"/>
  <c r="J126" i="33"/>
  <c r="M126" i="33" s="1"/>
  <c r="C126" i="33"/>
  <c r="E126" i="33" s="1"/>
  <c r="G126" i="33" s="1"/>
  <c r="J125" i="33"/>
  <c r="M125" i="33" s="1"/>
  <c r="C125" i="33"/>
  <c r="E125" i="33" s="1"/>
  <c r="G125" i="33" s="1"/>
  <c r="J124" i="33"/>
  <c r="M124" i="33" s="1"/>
  <c r="C124" i="33"/>
  <c r="E124" i="33" s="1"/>
  <c r="G124" i="33" s="1"/>
  <c r="M123" i="33"/>
  <c r="J123" i="33"/>
  <c r="C123" i="33"/>
  <c r="E123" i="33" s="1"/>
  <c r="G123" i="33" s="1"/>
  <c r="J122" i="33"/>
  <c r="M122" i="33" s="1"/>
  <c r="C122" i="33"/>
  <c r="E122" i="33" s="1"/>
  <c r="G122" i="33" s="1"/>
  <c r="J121" i="33"/>
  <c r="M121" i="33" s="1"/>
  <c r="C121" i="33"/>
  <c r="E121" i="33" s="1"/>
  <c r="G121" i="33" s="1"/>
  <c r="J120" i="33"/>
  <c r="M120" i="33" s="1"/>
  <c r="C120" i="33"/>
  <c r="E120" i="33" s="1"/>
  <c r="G120" i="33" s="1"/>
  <c r="J119" i="33"/>
  <c r="M119" i="33" s="1"/>
  <c r="C119" i="33"/>
  <c r="E119" i="33" s="1"/>
  <c r="G119" i="33" s="1"/>
  <c r="J118" i="33"/>
  <c r="M118" i="33" s="1"/>
  <c r="C118" i="33"/>
  <c r="E118" i="33" s="1"/>
  <c r="G118" i="33" s="1"/>
  <c r="M117" i="33"/>
  <c r="J117" i="33"/>
  <c r="C117" i="33"/>
  <c r="E117" i="33" s="1"/>
  <c r="G117" i="33" s="1"/>
  <c r="J116" i="33"/>
  <c r="M116" i="33" s="1"/>
  <c r="C116" i="33"/>
  <c r="E116" i="33" s="1"/>
  <c r="G116" i="33" s="1"/>
  <c r="M115" i="33"/>
  <c r="J115" i="33"/>
  <c r="C115" i="33"/>
  <c r="E115" i="33" s="1"/>
  <c r="G115" i="33" s="1"/>
  <c r="J114" i="33"/>
  <c r="M114" i="33" s="1"/>
  <c r="E114" i="33"/>
  <c r="G114" i="33" s="1"/>
  <c r="C114" i="33"/>
  <c r="J113" i="33"/>
  <c r="M113" i="33" s="1"/>
  <c r="C113" i="33"/>
  <c r="E113" i="33" s="1"/>
  <c r="G113" i="33" s="1"/>
  <c r="J112" i="33"/>
  <c r="M112" i="33" s="1"/>
  <c r="C112" i="33"/>
  <c r="E112" i="33" s="1"/>
  <c r="G112" i="33" s="1"/>
  <c r="J111" i="33"/>
  <c r="M111" i="33" s="1"/>
  <c r="C111" i="33"/>
  <c r="E111" i="33" s="1"/>
  <c r="G111" i="33" s="1"/>
  <c r="J110" i="33"/>
  <c r="M110" i="33" s="1"/>
  <c r="C110" i="33"/>
  <c r="E110" i="33" s="1"/>
  <c r="G110" i="33" s="1"/>
  <c r="J109" i="33"/>
  <c r="M109" i="33" s="1"/>
  <c r="C109" i="33"/>
  <c r="E109" i="33" s="1"/>
  <c r="G109" i="33" s="1"/>
  <c r="J108" i="33"/>
  <c r="M108" i="33" s="1"/>
  <c r="C108" i="33"/>
  <c r="E108" i="33" s="1"/>
  <c r="G108" i="33" s="1"/>
  <c r="J107" i="33"/>
  <c r="M107" i="33" s="1"/>
  <c r="C107" i="33"/>
  <c r="E107" i="33" s="1"/>
  <c r="G107" i="33" s="1"/>
  <c r="M106" i="33"/>
  <c r="J106" i="33"/>
  <c r="C106" i="33"/>
  <c r="E106" i="33" s="1"/>
  <c r="G106" i="33" s="1"/>
  <c r="Z105" i="33"/>
  <c r="J105" i="33"/>
  <c r="M105" i="33" s="1"/>
  <c r="C105" i="33"/>
  <c r="E105" i="33" s="1"/>
  <c r="G105" i="33" s="1"/>
  <c r="X104" i="33"/>
  <c r="Q104" i="33"/>
  <c r="S104" i="33" s="1"/>
  <c r="U104" i="33" s="1"/>
  <c r="J104" i="33"/>
  <c r="M104" i="33" s="1"/>
  <c r="C104" i="33"/>
  <c r="E104" i="33" s="1"/>
  <c r="G104" i="33" s="1"/>
  <c r="X103" i="33"/>
  <c r="Q103" i="33"/>
  <c r="S103" i="33" s="1"/>
  <c r="U103" i="33" s="1"/>
  <c r="J103" i="33"/>
  <c r="M103" i="33" s="1"/>
  <c r="C103" i="33"/>
  <c r="E103" i="33" s="1"/>
  <c r="G103" i="33" s="1"/>
  <c r="X102" i="33"/>
  <c r="Q102" i="33"/>
  <c r="S102" i="33" s="1"/>
  <c r="U102" i="33" s="1"/>
  <c r="J102" i="33"/>
  <c r="M102" i="33" s="1"/>
  <c r="C102" i="33"/>
  <c r="E102" i="33" s="1"/>
  <c r="G102" i="33" s="1"/>
  <c r="X101" i="33"/>
  <c r="Q101" i="33"/>
  <c r="S101" i="33" s="1"/>
  <c r="U101" i="33" s="1"/>
  <c r="M101" i="33"/>
  <c r="J101" i="33"/>
  <c r="C101" i="33"/>
  <c r="E101" i="33" s="1"/>
  <c r="G101" i="33" s="1"/>
  <c r="X100" i="33"/>
  <c r="Q100" i="33"/>
  <c r="S100" i="33" s="1"/>
  <c r="U100" i="33" s="1"/>
  <c r="J100" i="33"/>
  <c r="M100" i="33" s="1"/>
  <c r="C100" i="33"/>
  <c r="E100" i="33" s="1"/>
  <c r="G100" i="33" s="1"/>
  <c r="X99" i="33"/>
  <c r="Q99" i="33"/>
  <c r="S99" i="33" s="1"/>
  <c r="U99" i="33" s="1"/>
  <c r="J99" i="33"/>
  <c r="M99" i="33" s="1"/>
  <c r="C99" i="33"/>
  <c r="E99" i="33" s="1"/>
  <c r="G99" i="33" s="1"/>
  <c r="X98" i="33"/>
  <c r="Q98" i="33"/>
  <c r="S98" i="33" s="1"/>
  <c r="U98" i="33" s="1"/>
  <c r="J98" i="33"/>
  <c r="M98" i="33" s="1"/>
  <c r="C98" i="33"/>
  <c r="E98" i="33" s="1"/>
  <c r="G98" i="33" s="1"/>
  <c r="X97" i="33"/>
  <c r="Q97" i="33"/>
  <c r="S97" i="33" s="1"/>
  <c r="U97" i="33" s="1"/>
  <c r="J97" i="33"/>
  <c r="M97" i="33" s="1"/>
  <c r="C97" i="33"/>
  <c r="E97" i="33" s="1"/>
  <c r="G97" i="33" s="1"/>
  <c r="X96" i="33"/>
  <c r="Q96" i="33"/>
  <c r="S96" i="33" s="1"/>
  <c r="U96" i="33" s="1"/>
  <c r="J96" i="33"/>
  <c r="M96" i="33" s="1"/>
  <c r="C96" i="33"/>
  <c r="E96" i="33" s="1"/>
  <c r="G96" i="33" s="1"/>
  <c r="X95" i="33"/>
  <c r="Q95" i="33"/>
  <c r="S95" i="33" s="1"/>
  <c r="U95" i="33" s="1"/>
  <c r="M95" i="33"/>
  <c r="J95" i="33"/>
  <c r="C95" i="33"/>
  <c r="E95" i="33" s="1"/>
  <c r="G95" i="33" s="1"/>
  <c r="X94" i="33"/>
  <c r="Q94" i="33"/>
  <c r="S94" i="33" s="1"/>
  <c r="U94" i="33" s="1"/>
  <c r="J94" i="33"/>
  <c r="M94" i="33" s="1"/>
  <c r="C94" i="33"/>
  <c r="E94" i="33" s="1"/>
  <c r="G94" i="33" s="1"/>
  <c r="X93" i="33"/>
  <c r="Q93" i="33"/>
  <c r="S93" i="33" s="1"/>
  <c r="U93" i="33" s="1"/>
  <c r="M93" i="33"/>
  <c r="J93" i="33"/>
  <c r="C93" i="33"/>
  <c r="E93" i="33" s="1"/>
  <c r="G93" i="33" s="1"/>
  <c r="X92" i="33"/>
  <c r="Q92" i="33"/>
  <c r="S92" i="33" s="1"/>
  <c r="U92" i="33" s="1"/>
  <c r="J92" i="33"/>
  <c r="M92" i="33" s="1"/>
  <c r="C92" i="33"/>
  <c r="E92" i="33" s="1"/>
  <c r="G92" i="33" s="1"/>
  <c r="X91" i="33"/>
  <c r="Q91" i="33"/>
  <c r="S91" i="33" s="1"/>
  <c r="U91" i="33" s="1"/>
  <c r="J91" i="33"/>
  <c r="M91" i="33" s="1"/>
  <c r="C91" i="33"/>
  <c r="E91" i="33" s="1"/>
  <c r="G91" i="33" s="1"/>
  <c r="X90" i="33"/>
  <c r="Q90" i="33"/>
  <c r="S90" i="33" s="1"/>
  <c r="U90" i="33" s="1"/>
  <c r="J90" i="33"/>
  <c r="M90" i="33" s="1"/>
  <c r="C90" i="33"/>
  <c r="E90" i="33" s="1"/>
  <c r="G90" i="33" s="1"/>
  <c r="X89" i="33"/>
  <c r="Q89" i="33"/>
  <c r="S89" i="33" s="1"/>
  <c r="U89" i="33" s="1"/>
  <c r="J89" i="33"/>
  <c r="M89" i="33" s="1"/>
  <c r="C89" i="33"/>
  <c r="E89" i="33" s="1"/>
  <c r="G89" i="33" s="1"/>
  <c r="X88" i="33"/>
  <c r="Q88" i="33"/>
  <c r="S88" i="33" s="1"/>
  <c r="U88" i="33" s="1"/>
  <c r="J88" i="33"/>
  <c r="M88" i="33" s="1"/>
  <c r="C88" i="33"/>
  <c r="E88" i="33" s="1"/>
  <c r="G88" i="33" s="1"/>
  <c r="X87" i="33"/>
  <c r="S87" i="33"/>
  <c r="U87" i="33" s="1"/>
  <c r="Q87" i="33"/>
  <c r="J87" i="33"/>
  <c r="M87" i="33" s="1"/>
  <c r="C87" i="33"/>
  <c r="E87" i="33" s="1"/>
  <c r="G87" i="33" s="1"/>
  <c r="X86" i="33"/>
  <c r="U86" i="33"/>
  <c r="Q86" i="33"/>
  <c r="S86" i="33" s="1"/>
  <c r="J86" i="33"/>
  <c r="M86" i="33" s="1"/>
  <c r="C86" i="33"/>
  <c r="E86" i="33" s="1"/>
  <c r="G86" i="33" s="1"/>
  <c r="X85" i="33"/>
  <c r="Q85" i="33"/>
  <c r="S85" i="33" s="1"/>
  <c r="U85" i="33" s="1"/>
  <c r="J85" i="33"/>
  <c r="M85" i="33" s="1"/>
  <c r="C85" i="33"/>
  <c r="E85" i="33" s="1"/>
  <c r="G85" i="33" s="1"/>
  <c r="X84" i="33"/>
  <c r="Q84" i="33"/>
  <c r="S84" i="33" s="1"/>
  <c r="U84" i="33" s="1"/>
  <c r="J84" i="33"/>
  <c r="M84" i="33" s="1"/>
  <c r="C84" i="33"/>
  <c r="E84" i="33" s="1"/>
  <c r="G84" i="33" s="1"/>
  <c r="X83" i="33"/>
  <c r="Q83" i="33"/>
  <c r="S83" i="33" s="1"/>
  <c r="U83" i="33" s="1"/>
  <c r="J83" i="33"/>
  <c r="M83" i="33" s="1"/>
  <c r="C83" i="33"/>
  <c r="E83" i="33" s="1"/>
  <c r="G83" i="33" s="1"/>
  <c r="X82" i="33"/>
  <c r="Q82" i="33"/>
  <c r="S82" i="33" s="1"/>
  <c r="U82" i="33" s="1"/>
  <c r="J82" i="33"/>
  <c r="M82" i="33" s="1"/>
  <c r="C82" i="33"/>
  <c r="E82" i="33" s="1"/>
  <c r="G82" i="33" s="1"/>
  <c r="X81" i="33"/>
  <c r="Q81" i="33"/>
  <c r="S81" i="33" s="1"/>
  <c r="U81" i="33" s="1"/>
  <c r="J81" i="33"/>
  <c r="M81" i="33" s="1"/>
  <c r="C81" i="33"/>
  <c r="E81" i="33" s="1"/>
  <c r="G81" i="33" s="1"/>
  <c r="X80" i="33"/>
  <c r="Q80" i="33"/>
  <c r="S80" i="33" s="1"/>
  <c r="U80" i="33" s="1"/>
  <c r="J80" i="33"/>
  <c r="M80" i="33" s="1"/>
  <c r="C80" i="33"/>
  <c r="E80" i="33" s="1"/>
  <c r="G80" i="33" s="1"/>
  <c r="X79" i="33"/>
  <c r="Q79" i="33"/>
  <c r="S79" i="33" s="1"/>
  <c r="U79" i="33" s="1"/>
  <c r="M79" i="33"/>
  <c r="J79" i="33"/>
  <c r="C79" i="33"/>
  <c r="E79" i="33" s="1"/>
  <c r="G79" i="33" s="1"/>
  <c r="X78" i="33"/>
  <c r="Q78" i="33"/>
  <c r="S78" i="33" s="1"/>
  <c r="U78" i="33" s="1"/>
  <c r="J78" i="33"/>
  <c r="M78" i="33" s="1"/>
  <c r="C78" i="33"/>
  <c r="E78" i="33" s="1"/>
  <c r="G78" i="33" s="1"/>
  <c r="X77" i="33"/>
  <c r="Q77" i="33"/>
  <c r="S77" i="33" s="1"/>
  <c r="U77" i="33" s="1"/>
  <c r="M77" i="33"/>
  <c r="J77" i="33"/>
  <c r="C77" i="33"/>
  <c r="E77" i="33" s="1"/>
  <c r="G77" i="33" s="1"/>
  <c r="X76" i="33"/>
  <c r="Q76" i="33"/>
  <c r="S76" i="33" s="1"/>
  <c r="U76" i="33" s="1"/>
  <c r="J76" i="33"/>
  <c r="M76" i="33" s="1"/>
  <c r="C76" i="33"/>
  <c r="E76" i="33" s="1"/>
  <c r="G76" i="33" s="1"/>
  <c r="X75" i="33"/>
  <c r="S75" i="33"/>
  <c r="U75" i="33" s="1"/>
  <c r="Q75" i="33"/>
  <c r="J75" i="33"/>
  <c r="M75" i="33" s="1"/>
  <c r="C75" i="33"/>
  <c r="E75" i="33" s="1"/>
  <c r="G75" i="33" s="1"/>
  <c r="X74" i="33"/>
  <c r="Q74" i="33"/>
  <c r="S74" i="33" s="1"/>
  <c r="U74" i="33" s="1"/>
  <c r="J74" i="33"/>
  <c r="M74" i="33" s="1"/>
  <c r="C74" i="33"/>
  <c r="E74" i="33" s="1"/>
  <c r="G74" i="33" s="1"/>
  <c r="X73" i="33"/>
  <c r="Q73" i="33"/>
  <c r="S73" i="33" s="1"/>
  <c r="U73" i="33" s="1"/>
  <c r="M73" i="33"/>
  <c r="J73" i="33"/>
  <c r="C73" i="33"/>
  <c r="E73" i="33" s="1"/>
  <c r="G73" i="33" s="1"/>
  <c r="X72" i="33"/>
  <c r="Q72" i="33"/>
  <c r="S72" i="33" s="1"/>
  <c r="U72" i="33" s="1"/>
  <c r="J72" i="33"/>
  <c r="M72" i="33" s="1"/>
  <c r="C72" i="33"/>
  <c r="E72" i="33" s="1"/>
  <c r="G72" i="33" s="1"/>
  <c r="X71" i="33"/>
  <c r="S71" i="33"/>
  <c r="U71" i="33" s="1"/>
  <c r="Q71" i="33"/>
  <c r="J71" i="33"/>
  <c r="M71" i="33" s="1"/>
  <c r="C71" i="33"/>
  <c r="E71" i="33" s="1"/>
  <c r="G71" i="33" s="1"/>
  <c r="X70" i="33"/>
  <c r="Q70" i="33"/>
  <c r="S70" i="33" s="1"/>
  <c r="U70" i="33" s="1"/>
  <c r="J70" i="33"/>
  <c r="M70" i="33" s="1"/>
  <c r="C70" i="33"/>
  <c r="E70" i="33" s="1"/>
  <c r="G70" i="33" s="1"/>
  <c r="X69" i="33"/>
  <c r="S69" i="33"/>
  <c r="U69" i="33" s="1"/>
  <c r="Q69" i="33"/>
  <c r="M69" i="33"/>
  <c r="J69" i="33"/>
  <c r="C69" i="33"/>
  <c r="E69" i="33" s="1"/>
  <c r="G69" i="33" s="1"/>
  <c r="X68" i="33"/>
  <c r="Q68" i="33"/>
  <c r="S68" i="33" s="1"/>
  <c r="U68" i="33" s="1"/>
  <c r="J68" i="33"/>
  <c r="M68" i="33" s="1"/>
  <c r="C68" i="33"/>
  <c r="E68" i="33" s="1"/>
  <c r="G68" i="33" s="1"/>
  <c r="X67" i="33"/>
  <c r="Q67" i="33"/>
  <c r="S67" i="33" s="1"/>
  <c r="U67" i="33" s="1"/>
  <c r="J67" i="33"/>
  <c r="M67" i="33" s="1"/>
  <c r="C67" i="33"/>
  <c r="E67" i="33" s="1"/>
  <c r="G67" i="33" s="1"/>
  <c r="X66" i="33"/>
  <c r="Q66" i="33"/>
  <c r="S66" i="33" s="1"/>
  <c r="U66" i="33" s="1"/>
  <c r="J66" i="33"/>
  <c r="M66" i="33" s="1"/>
  <c r="C66" i="33"/>
  <c r="E66" i="33" s="1"/>
  <c r="G66" i="33" s="1"/>
  <c r="X65" i="33"/>
  <c r="Q65" i="33"/>
  <c r="S65" i="33" s="1"/>
  <c r="U65" i="33" s="1"/>
  <c r="J65" i="33"/>
  <c r="M65" i="33" s="1"/>
  <c r="C65" i="33"/>
  <c r="E65" i="33" s="1"/>
  <c r="G65" i="33" s="1"/>
  <c r="X64" i="33"/>
  <c r="Q64" i="33"/>
  <c r="S64" i="33" s="1"/>
  <c r="U64" i="33" s="1"/>
  <c r="J64" i="33"/>
  <c r="M64" i="33" s="1"/>
  <c r="C64" i="33"/>
  <c r="E64" i="33" s="1"/>
  <c r="G64" i="33" s="1"/>
  <c r="X63" i="33"/>
  <c r="Q63" i="33"/>
  <c r="S63" i="33" s="1"/>
  <c r="U63" i="33" s="1"/>
  <c r="J63" i="33"/>
  <c r="M63" i="33" s="1"/>
  <c r="C63" i="33"/>
  <c r="E63" i="33" s="1"/>
  <c r="G63" i="33" s="1"/>
  <c r="X62" i="33"/>
  <c r="Q62" i="33"/>
  <c r="S62" i="33" s="1"/>
  <c r="U62" i="33" s="1"/>
  <c r="J62" i="33"/>
  <c r="M62" i="33" s="1"/>
  <c r="E62" i="33"/>
  <c r="G62" i="33" s="1"/>
  <c r="C62" i="33"/>
  <c r="X61" i="33"/>
  <c r="S61" i="33"/>
  <c r="U61" i="33" s="1"/>
  <c r="Q61" i="33"/>
  <c r="J61" i="33"/>
  <c r="M61" i="33" s="1"/>
  <c r="C61" i="33"/>
  <c r="E61" i="33" s="1"/>
  <c r="G61" i="33" s="1"/>
  <c r="X60" i="33"/>
  <c r="Q60" i="33"/>
  <c r="S60" i="33" s="1"/>
  <c r="U60" i="33" s="1"/>
  <c r="J60" i="33"/>
  <c r="M60" i="33" s="1"/>
  <c r="E60" i="33"/>
  <c r="G60" i="33" s="1"/>
  <c r="C60" i="33"/>
  <c r="X59" i="33"/>
  <c r="Q59" i="33"/>
  <c r="S59" i="33" s="1"/>
  <c r="U59" i="33" s="1"/>
  <c r="M59" i="33"/>
  <c r="J59" i="33"/>
  <c r="C59" i="33"/>
  <c r="E59" i="33" s="1"/>
  <c r="G59" i="33" s="1"/>
  <c r="X58" i="33"/>
  <c r="Q58" i="33"/>
  <c r="S58" i="33" s="1"/>
  <c r="U58" i="33" s="1"/>
  <c r="J58" i="33"/>
  <c r="M58" i="33" s="1"/>
  <c r="C58" i="33"/>
  <c r="E58" i="33" s="1"/>
  <c r="G58" i="33" s="1"/>
  <c r="X57" i="33"/>
  <c r="Q57" i="33"/>
  <c r="S57" i="33" s="1"/>
  <c r="U57" i="33" s="1"/>
  <c r="J57" i="33"/>
  <c r="M57" i="33" s="1"/>
  <c r="C57" i="33"/>
  <c r="E57" i="33" s="1"/>
  <c r="G57" i="33" s="1"/>
  <c r="X56" i="33"/>
  <c r="Q56" i="33"/>
  <c r="S56" i="33" s="1"/>
  <c r="U56" i="33" s="1"/>
  <c r="J56" i="33"/>
  <c r="M56" i="33" s="1"/>
  <c r="C56" i="33"/>
  <c r="E56" i="33" s="1"/>
  <c r="G56" i="33" s="1"/>
  <c r="X55" i="33"/>
  <c r="S55" i="33"/>
  <c r="U55" i="33" s="1"/>
  <c r="Q55" i="33"/>
  <c r="J55" i="33"/>
  <c r="M55" i="33" s="1"/>
  <c r="C55" i="33"/>
  <c r="E55" i="33" s="1"/>
  <c r="G55" i="33" s="1"/>
  <c r="X54" i="33"/>
  <c r="U54" i="33"/>
  <c r="Q54" i="33"/>
  <c r="S54" i="33" s="1"/>
  <c r="J54" i="33"/>
  <c r="M54" i="33" s="1"/>
  <c r="C54" i="33"/>
  <c r="E54" i="33" s="1"/>
  <c r="G54" i="33" s="1"/>
  <c r="X53" i="33"/>
  <c r="S53" i="33"/>
  <c r="U53" i="33" s="1"/>
  <c r="Q53" i="33"/>
  <c r="M53" i="33"/>
  <c r="J53" i="33"/>
  <c r="C53" i="33"/>
  <c r="E53" i="33" s="1"/>
  <c r="G53" i="33" s="1"/>
  <c r="X52" i="33"/>
  <c r="Q52" i="33"/>
  <c r="S52" i="33" s="1"/>
  <c r="U52" i="33" s="1"/>
  <c r="J52" i="33"/>
  <c r="M52" i="33" s="1"/>
  <c r="E52" i="33"/>
  <c r="G52" i="33" s="1"/>
  <c r="C52" i="33"/>
  <c r="X51" i="33"/>
  <c r="Q51" i="33"/>
  <c r="S51" i="33" s="1"/>
  <c r="U51" i="33" s="1"/>
  <c r="J51" i="33"/>
  <c r="M51" i="33" s="1"/>
  <c r="C51" i="33"/>
  <c r="E51" i="33" s="1"/>
  <c r="G51" i="33" s="1"/>
  <c r="X50" i="33"/>
  <c r="Q50" i="33"/>
  <c r="S50" i="33" s="1"/>
  <c r="U50" i="33" s="1"/>
  <c r="J50" i="33"/>
  <c r="M50" i="33" s="1"/>
  <c r="C50" i="33"/>
  <c r="E50" i="33" s="1"/>
  <c r="G50" i="33" s="1"/>
  <c r="X49" i="33"/>
  <c r="Q49" i="33"/>
  <c r="S49" i="33" s="1"/>
  <c r="U49" i="33" s="1"/>
  <c r="J49" i="33"/>
  <c r="M49" i="33" s="1"/>
  <c r="C49" i="33"/>
  <c r="E49" i="33" s="1"/>
  <c r="G49" i="33" s="1"/>
  <c r="X48" i="33"/>
  <c r="Q48" i="33"/>
  <c r="S48" i="33" s="1"/>
  <c r="U48" i="33" s="1"/>
  <c r="J48" i="33"/>
  <c r="M48" i="33" s="1"/>
  <c r="C48" i="33"/>
  <c r="E48" i="33" s="1"/>
  <c r="G48" i="33" s="1"/>
  <c r="X47" i="33"/>
  <c r="S47" i="33"/>
  <c r="U47" i="33" s="1"/>
  <c r="Q47" i="33"/>
  <c r="M47" i="33"/>
  <c r="J47" i="33"/>
  <c r="C47" i="33"/>
  <c r="E47" i="33" s="1"/>
  <c r="G47" i="33" s="1"/>
  <c r="X46" i="33"/>
  <c r="Q46" i="33"/>
  <c r="S46" i="33" s="1"/>
  <c r="U46" i="33" s="1"/>
  <c r="J46" i="33"/>
  <c r="M46" i="33" s="1"/>
  <c r="C46" i="33"/>
  <c r="E46" i="33" s="1"/>
  <c r="G46" i="33" s="1"/>
  <c r="X45" i="33"/>
  <c r="S45" i="33"/>
  <c r="U45" i="33" s="1"/>
  <c r="Q45" i="33"/>
  <c r="J45" i="33"/>
  <c r="M45" i="33" s="1"/>
  <c r="C45" i="33"/>
  <c r="E45" i="33" s="1"/>
  <c r="G45" i="33" s="1"/>
  <c r="X44" i="33"/>
  <c r="Q44" i="33"/>
  <c r="S44" i="33" s="1"/>
  <c r="U44" i="33" s="1"/>
  <c r="J44" i="33"/>
  <c r="M44" i="33" s="1"/>
  <c r="C44" i="33"/>
  <c r="E44" i="33" s="1"/>
  <c r="G44" i="33" s="1"/>
  <c r="X43" i="33"/>
  <c r="Q43" i="33"/>
  <c r="S43" i="33" s="1"/>
  <c r="U43" i="33" s="1"/>
  <c r="M43" i="33"/>
  <c r="J43" i="33"/>
  <c r="C43" i="33"/>
  <c r="E43" i="33" s="1"/>
  <c r="G43" i="33" s="1"/>
  <c r="X42" i="33"/>
  <c r="U42" i="33"/>
  <c r="Q42" i="33"/>
  <c r="S42" i="33" s="1"/>
  <c r="J42" i="33"/>
  <c r="M42" i="33" s="1"/>
  <c r="C42" i="33"/>
  <c r="E42" i="33" s="1"/>
  <c r="G42" i="33" s="1"/>
  <c r="X41" i="33"/>
  <c r="S41" i="33"/>
  <c r="U41" i="33" s="1"/>
  <c r="Q41" i="33"/>
  <c r="M41" i="33"/>
  <c r="J41" i="33"/>
  <c r="C41" i="33"/>
  <c r="E41" i="33" s="1"/>
  <c r="G41" i="33" s="1"/>
  <c r="X40" i="33"/>
  <c r="Q40" i="33"/>
  <c r="S40" i="33" s="1"/>
  <c r="U40" i="33" s="1"/>
  <c r="J40" i="33"/>
  <c r="M40" i="33" s="1"/>
  <c r="E40" i="33"/>
  <c r="G40" i="33" s="1"/>
  <c r="C40" i="33"/>
  <c r="X39" i="33"/>
  <c r="Q39" i="33"/>
  <c r="S39" i="33" s="1"/>
  <c r="U39" i="33" s="1"/>
  <c r="J39" i="33"/>
  <c r="M39" i="33" s="1"/>
  <c r="C39" i="33"/>
  <c r="E39" i="33" s="1"/>
  <c r="G39" i="33" s="1"/>
  <c r="X38" i="33"/>
  <c r="Q38" i="33"/>
  <c r="S38" i="33" s="1"/>
  <c r="U38" i="33" s="1"/>
  <c r="J38" i="33"/>
  <c r="M38" i="33" s="1"/>
  <c r="C38" i="33"/>
  <c r="E38" i="33" s="1"/>
  <c r="G38" i="33" s="1"/>
  <c r="X37" i="33"/>
  <c r="Q37" i="33"/>
  <c r="S37" i="33" s="1"/>
  <c r="U37" i="33" s="1"/>
  <c r="J37" i="33"/>
  <c r="M37" i="33" s="1"/>
  <c r="C37" i="33"/>
  <c r="E37" i="33" s="1"/>
  <c r="G37" i="33" s="1"/>
  <c r="X36" i="33"/>
  <c r="Q36" i="33"/>
  <c r="S36" i="33" s="1"/>
  <c r="U36" i="33" s="1"/>
  <c r="M36" i="33"/>
  <c r="J36" i="33"/>
  <c r="C36" i="33"/>
  <c r="E36" i="33" s="1"/>
  <c r="G36" i="33" s="1"/>
  <c r="X35" i="33"/>
  <c r="Q35" i="33"/>
  <c r="S35" i="33" s="1"/>
  <c r="U35" i="33" s="1"/>
  <c r="J35" i="33"/>
  <c r="M35" i="33" s="1"/>
  <c r="C35" i="33"/>
  <c r="E35" i="33" s="1"/>
  <c r="G35" i="33" s="1"/>
  <c r="X34" i="33"/>
  <c r="S34" i="33"/>
  <c r="U34" i="33" s="1"/>
  <c r="Q34" i="33"/>
  <c r="M34" i="33"/>
  <c r="J34" i="33"/>
  <c r="C34" i="33"/>
  <c r="E34" i="33" s="1"/>
  <c r="G34" i="33" s="1"/>
  <c r="X33" i="33"/>
  <c r="Q33" i="33"/>
  <c r="S33" i="33" s="1"/>
  <c r="U33" i="33" s="1"/>
  <c r="M33" i="33"/>
  <c r="J33" i="33"/>
  <c r="C33" i="33"/>
  <c r="E33" i="33" s="1"/>
  <c r="G33" i="33" s="1"/>
  <c r="X32" i="33"/>
  <c r="Q32" i="33"/>
  <c r="S32" i="33" s="1"/>
  <c r="U32" i="33" s="1"/>
  <c r="J32" i="33"/>
  <c r="M32" i="33" s="1"/>
  <c r="C32" i="33"/>
  <c r="E32" i="33" s="1"/>
  <c r="G32" i="33" s="1"/>
  <c r="X31" i="33"/>
  <c r="S31" i="33"/>
  <c r="U31" i="33" s="1"/>
  <c r="Q31" i="33"/>
  <c r="J31" i="33"/>
  <c r="M31" i="33" s="1"/>
  <c r="C31" i="33"/>
  <c r="E31" i="33" s="1"/>
  <c r="G31" i="33" s="1"/>
  <c r="X30" i="33"/>
  <c r="Q30" i="33"/>
  <c r="S30" i="33" s="1"/>
  <c r="U30" i="33" s="1"/>
  <c r="J30" i="33"/>
  <c r="M30" i="33" s="1"/>
  <c r="C30" i="33"/>
  <c r="E30" i="33" s="1"/>
  <c r="G30" i="33" s="1"/>
  <c r="X29" i="33"/>
  <c r="Q29" i="33"/>
  <c r="S29" i="33" s="1"/>
  <c r="U29" i="33" s="1"/>
  <c r="J29" i="33"/>
  <c r="M29" i="33" s="1"/>
  <c r="C29" i="33"/>
  <c r="E29" i="33" s="1"/>
  <c r="G29" i="33" s="1"/>
  <c r="X28" i="33"/>
  <c r="Q28" i="33"/>
  <c r="S28" i="33" s="1"/>
  <c r="U28" i="33" s="1"/>
  <c r="J28" i="33"/>
  <c r="M28" i="33" s="1"/>
  <c r="C28" i="33"/>
  <c r="E28" i="33" s="1"/>
  <c r="G28" i="33" s="1"/>
  <c r="X27" i="33"/>
  <c r="Q27" i="33"/>
  <c r="S27" i="33" s="1"/>
  <c r="U27" i="33" s="1"/>
  <c r="J27" i="33"/>
  <c r="M27" i="33" s="1"/>
  <c r="C27" i="33"/>
  <c r="E27" i="33" s="1"/>
  <c r="G27" i="33" s="1"/>
  <c r="X26" i="33"/>
  <c r="Q26" i="33"/>
  <c r="S26" i="33" s="1"/>
  <c r="U26" i="33" s="1"/>
  <c r="J26" i="33"/>
  <c r="M26" i="33" s="1"/>
  <c r="E26" i="33"/>
  <c r="G26" i="33" s="1"/>
  <c r="C26" i="33"/>
  <c r="X25" i="33"/>
  <c r="Q25" i="33"/>
  <c r="S25" i="33" s="1"/>
  <c r="U25" i="33" s="1"/>
  <c r="J25" i="33"/>
  <c r="M25" i="33" s="1"/>
  <c r="C25" i="33"/>
  <c r="E25" i="33" s="1"/>
  <c r="G25" i="33" s="1"/>
  <c r="X24" i="33"/>
  <c r="S24" i="33"/>
  <c r="U24" i="33" s="1"/>
  <c r="Q24" i="33"/>
  <c r="J24" i="33"/>
  <c r="M24" i="33" s="1"/>
  <c r="C24" i="33"/>
  <c r="E24" i="33" s="1"/>
  <c r="G24" i="33" s="1"/>
  <c r="X23" i="33"/>
  <c r="Q23" i="33"/>
  <c r="S23" i="33" s="1"/>
  <c r="U23" i="33" s="1"/>
  <c r="M23" i="33"/>
  <c r="J23" i="33"/>
  <c r="E23" i="33"/>
  <c r="G23" i="33" s="1"/>
  <c r="C23" i="33"/>
  <c r="X22" i="33"/>
  <c r="Q22" i="33"/>
  <c r="S22" i="33" s="1"/>
  <c r="U22" i="33" s="1"/>
  <c r="J22" i="33"/>
  <c r="M22" i="33" s="1"/>
  <c r="C22" i="33"/>
  <c r="E22" i="33" s="1"/>
  <c r="G22" i="33" s="1"/>
  <c r="X21" i="33"/>
  <c r="Q21" i="33"/>
  <c r="S21" i="33" s="1"/>
  <c r="U21" i="33" s="1"/>
  <c r="J21" i="33"/>
  <c r="M21" i="33" s="1"/>
  <c r="C21" i="33"/>
  <c r="E21" i="33" s="1"/>
  <c r="G21" i="33" s="1"/>
  <c r="X20" i="33"/>
  <c r="Q20" i="33"/>
  <c r="S20" i="33" s="1"/>
  <c r="U20" i="33" s="1"/>
  <c r="J20" i="33"/>
  <c r="M20" i="33" s="1"/>
  <c r="E20" i="33"/>
  <c r="G20" i="33" s="1"/>
  <c r="C20" i="33"/>
  <c r="X19" i="33"/>
  <c r="Q19" i="33"/>
  <c r="S19" i="33" s="1"/>
  <c r="U19" i="33" s="1"/>
  <c r="J19" i="33"/>
  <c r="M19" i="33" s="1"/>
  <c r="C19" i="33"/>
  <c r="E19" i="33" s="1"/>
  <c r="G19" i="33" s="1"/>
  <c r="X18" i="33"/>
  <c r="Q18" i="33"/>
  <c r="S18" i="33" s="1"/>
  <c r="U18" i="33" s="1"/>
  <c r="J18" i="33"/>
  <c r="M18" i="33" s="1"/>
  <c r="C18" i="33"/>
  <c r="E18" i="33" s="1"/>
  <c r="G18" i="33" s="1"/>
  <c r="X17" i="33"/>
  <c r="Q17" i="33"/>
  <c r="S17" i="33" s="1"/>
  <c r="U17" i="33" s="1"/>
  <c r="J17" i="33"/>
  <c r="M17" i="33" s="1"/>
  <c r="C17" i="33"/>
  <c r="E17" i="33" s="1"/>
  <c r="G17" i="33" s="1"/>
  <c r="X16" i="33"/>
  <c r="Q16" i="33"/>
  <c r="S16" i="33" s="1"/>
  <c r="U16" i="33" s="1"/>
  <c r="J16" i="33"/>
  <c r="M16" i="33" s="1"/>
  <c r="C16" i="33"/>
  <c r="E16" i="33" s="1"/>
  <c r="G16" i="33" s="1"/>
  <c r="X15" i="33"/>
  <c r="U15" i="33"/>
  <c r="S15" i="33"/>
  <c r="Q15" i="33"/>
  <c r="J15" i="33"/>
  <c r="M15" i="33" s="1"/>
  <c r="C15" i="33"/>
  <c r="E15" i="33" s="1"/>
  <c r="G15" i="33" s="1"/>
  <c r="X14" i="33"/>
  <c r="Q14" i="33"/>
  <c r="S14" i="33" s="1"/>
  <c r="U14" i="33" s="1"/>
  <c r="J14" i="33"/>
  <c r="M14" i="33" s="1"/>
  <c r="C14" i="33"/>
  <c r="E14" i="33" s="1"/>
  <c r="G14" i="33" s="1"/>
  <c r="X13" i="33"/>
  <c r="Q13" i="33"/>
  <c r="S13" i="33" s="1"/>
  <c r="U13" i="33" s="1"/>
  <c r="J13" i="33"/>
  <c r="M13" i="33" s="1"/>
  <c r="C13" i="33"/>
  <c r="E13" i="33" s="1"/>
  <c r="G13" i="33" s="1"/>
  <c r="X12" i="33"/>
  <c r="Q12" i="33"/>
  <c r="S12" i="33" s="1"/>
  <c r="U12" i="33" s="1"/>
  <c r="J12" i="33"/>
  <c r="M12" i="33" s="1"/>
  <c r="C12" i="33"/>
  <c r="E12" i="33" s="1"/>
  <c r="G12" i="33" s="1"/>
  <c r="X11" i="33"/>
  <c r="Q11" i="33"/>
  <c r="S11" i="33" s="1"/>
  <c r="U11" i="33" s="1"/>
  <c r="J11" i="33"/>
  <c r="M11" i="33" s="1"/>
  <c r="C11" i="33"/>
  <c r="E11" i="33" s="1"/>
  <c r="G11" i="33" s="1"/>
  <c r="X10" i="33"/>
  <c r="S10" i="33"/>
  <c r="U10" i="33" s="1"/>
  <c r="Q10" i="33"/>
  <c r="J10" i="33"/>
  <c r="M10" i="33" s="1"/>
  <c r="C10" i="33"/>
  <c r="E10" i="33" s="1"/>
  <c r="G10" i="33" s="1"/>
  <c r="X9" i="33"/>
  <c r="Q9" i="33"/>
  <c r="S9" i="33" s="1"/>
  <c r="U9" i="33" s="1"/>
  <c r="J9" i="33"/>
  <c r="M9" i="33" s="1"/>
  <c r="C9" i="33"/>
  <c r="E9" i="33" s="1"/>
  <c r="G9" i="33" s="1"/>
  <c r="X8" i="33"/>
  <c r="S8" i="33"/>
  <c r="U8" i="33" s="1"/>
  <c r="Q8" i="33"/>
  <c r="J8" i="33"/>
  <c r="M8" i="33" s="1"/>
  <c r="C8" i="33"/>
  <c r="E8" i="33" s="1"/>
  <c r="G8" i="33" s="1"/>
  <c r="X7" i="33"/>
  <c r="Q7" i="33"/>
  <c r="S7" i="33" s="1"/>
  <c r="U7" i="33" s="1"/>
  <c r="M7" i="33"/>
  <c r="J7" i="33"/>
  <c r="E7" i="33"/>
  <c r="G7" i="33" s="1"/>
  <c r="C7" i="33"/>
  <c r="X6" i="33"/>
  <c r="Q6" i="33"/>
  <c r="S6" i="33" s="1"/>
  <c r="U6" i="33" s="1"/>
  <c r="J6" i="33"/>
  <c r="M6" i="33" s="1"/>
  <c r="C6" i="33"/>
  <c r="E6" i="33" s="1"/>
  <c r="G6" i="33" s="1"/>
  <c r="X5" i="33"/>
  <c r="Q5" i="33"/>
  <c r="S5" i="33" s="1"/>
  <c r="U5" i="33" s="1"/>
  <c r="J5" i="33"/>
  <c r="C5" i="33"/>
  <c r="E5" i="33" s="1"/>
  <c r="G5" i="33" s="1"/>
  <c r="T35" i="16"/>
  <c r="P3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H5" i="16"/>
  <c r="F5" i="16"/>
  <c r="D5" i="16"/>
  <c r="K221" i="65"/>
  <c r="N35" i="16" s="1"/>
  <c r="K218" i="65"/>
  <c r="R35" i="16" s="1"/>
  <c r="J213" i="65"/>
  <c r="M213" i="65" s="1"/>
  <c r="J212" i="65"/>
  <c r="M212" i="65" s="1"/>
  <c r="J211" i="65"/>
  <c r="M211" i="65" s="1"/>
  <c r="J210" i="65"/>
  <c r="M210" i="65" s="1"/>
  <c r="J209" i="65"/>
  <c r="M209" i="65" s="1"/>
  <c r="J208" i="65"/>
  <c r="M208" i="65" s="1"/>
  <c r="J207" i="65"/>
  <c r="M207" i="65" s="1"/>
  <c r="J206" i="65"/>
  <c r="M206" i="65" s="1"/>
  <c r="J205" i="65"/>
  <c r="M205" i="65" s="1"/>
  <c r="J204" i="65"/>
  <c r="M204" i="65" s="1"/>
  <c r="J203" i="65"/>
  <c r="M203" i="65" s="1"/>
  <c r="J202" i="65"/>
  <c r="M202" i="65" s="1"/>
  <c r="J201" i="65"/>
  <c r="M201" i="65" s="1"/>
  <c r="J200" i="65"/>
  <c r="M200" i="65" s="1"/>
  <c r="J199" i="65"/>
  <c r="M199" i="65" s="1"/>
  <c r="J198" i="65"/>
  <c r="M198" i="65" s="1"/>
  <c r="J197" i="65"/>
  <c r="M197" i="65" s="1"/>
  <c r="J196" i="65"/>
  <c r="M196" i="65" s="1"/>
  <c r="J195" i="65"/>
  <c r="M195" i="65" s="1"/>
  <c r="J194" i="65"/>
  <c r="M194" i="65" s="1"/>
  <c r="J193" i="65"/>
  <c r="M193" i="65" s="1"/>
  <c r="J192" i="65"/>
  <c r="M192" i="65" s="1"/>
  <c r="M191" i="65"/>
  <c r="J191" i="65"/>
  <c r="J190" i="65"/>
  <c r="M190" i="65" s="1"/>
  <c r="J189" i="65"/>
  <c r="M189" i="65" s="1"/>
  <c r="J188" i="65"/>
  <c r="M188" i="65" s="1"/>
  <c r="J187" i="65"/>
  <c r="M187" i="65" s="1"/>
  <c r="J186" i="65"/>
  <c r="M186" i="65" s="1"/>
  <c r="J185" i="65"/>
  <c r="M185" i="65" s="1"/>
  <c r="J184" i="65"/>
  <c r="M184" i="65" s="1"/>
  <c r="J183" i="65"/>
  <c r="M183" i="65" s="1"/>
  <c r="J182" i="65"/>
  <c r="M182" i="65" s="1"/>
  <c r="J181" i="65"/>
  <c r="M181" i="65" s="1"/>
  <c r="J180" i="65"/>
  <c r="M180" i="65" s="1"/>
  <c r="J179" i="65"/>
  <c r="M179" i="65" s="1"/>
  <c r="J178" i="65"/>
  <c r="M178" i="65" s="1"/>
  <c r="J177" i="65"/>
  <c r="M177" i="65" s="1"/>
  <c r="J176" i="65"/>
  <c r="M176" i="65" s="1"/>
  <c r="J175" i="65"/>
  <c r="M175" i="65" s="1"/>
  <c r="J174" i="65"/>
  <c r="M174" i="65" s="1"/>
  <c r="J173" i="65"/>
  <c r="M173" i="65" s="1"/>
  <c r="J172" i="65"/>
  <c r="M172" i="65" s="1"/>
  <c r="J171" i="65"/>
  <c r="M171" i="65" s="1"/>
  <c r="J170" i="65"/>
  <c r="M170" i="65" s="1"/>
  <c r="J169" i="65"/>
  <c r="M169" i="65" s="1"/>
  <c r="J168" i="65"/>
  <c r="M168" i="65" s="1"/>
  <c r="J167" i="65"/>
  <c r="M167" i="65" s="1"/>
  <c r="J166" i="65"/>
  <c r="M166" i="65" s="1"/>
  <c r="J165" i="65"/>
  <c r="M165" i="65" s="1"/>
  <c r="J164" i="65"/>
  <c r="M164" i="65" s="1"/>
  <c r="J163" i="65"/>
  <c r="M163" i="65" s="1"/>
  <c r="J162" i="65"/>
  <c r="M162" i="65" s="1"/>
  <c r="J161" i="65"/>
  <c r="M161" i="65" s="1"/>
  <c r="J160" i="65"/>
  <c r="M160" i="65" s="1"/>
  <c r="J159" i="65"/>
  <c r="M159" i="65" s="1"/>
  <c r="J158" i="65"/>
  <c r="M158" i="65" s="1"/>
  <c r="J157" i="65"/>
  <c r="M157" i="65" s="1"/>
  <c r="J156" i="65"/>
  <c r="M156" i="65" s="1"/>
  <c r="J155" i="65"/>
  <c r="M155" i="65" s="1"/>
  <c r="J154" i="65"/>
  <c r="M154" i="65" s="1"/>
  <c r="M153" i="65"/>
  <c r="J153" i="65"/>
  <c r="J152" i="65"/>
  <c r="M152" i="65" s="1"/>
  <c r="M151" i="65"/>
  <c r="J151" i="65"/>
  <c r="J150" i="65"/>
  <c r="M150" i="65" s="1"/>
  <c r="J149" i="65"/>
  <c r="M149" i="65" s="1"/>
  <c r="J148" i="65"/>
  <c r="M148" i="65" s="1"/>
  <c r="M147" i="65"/>
  <c r="J147" i="65"/>
  <c r="J146" i="65"/>
  <c r="M146" i="65" s="1"/>
  <c r="J145" i="65"/>
  <c r="M145" i="65" s="1"/>
  <c r="J144" i="65"/>
  <c r="M144" i="65" s="1"/>
  <c r="J143" i="65"/>
  <c r="M143" i="65" s="1"/>
  <c r="J142" i="65"/>
  <c r="M142" i="65" s="1"/>
  <c r="J141" i="65"/>
  <c r="M141" i="65" s="1"/>
  <c r="J140" i="65"/>
  <c r="M140" i="65" s="1"/>
  <c r="J139" i="65"/>
  <c r="M139" i="65" s="1"/>
  <c r="M138" i="65"/>
  <c r="J138" i="65"/>
  <c r="J137" i="65"/>
  <c r="M137" i="65" s="1"/>
  <c r="J136" i="65"/>
  <c r="M136" i="65" s="1"/>
  <c r="J135" i="65"/>
  <c r="M135" i="65" s="1"/>
  <c r="J134" i="65"/>
  <c r="M134" i="65" s="1"/>
  <c r="J133" i="65"/>
  <c r="M133" i="65" s="1"/>
  <c r="J132" i="65"/>
  <c r="M132" i="65" s="1"/>
  <c r="J131" i="65"/>
  <c r="M131" i="65" s="1"/>
  <c r="J130" i="65"/>
  <c r="M130" i="65" s="1"/>
  <c r="J129" i="65"/>
  <c r="M129" i="65" s="1"/>
  <c r="J128" i="65"/>
  <c r="M128" i="65" s="1"/>
  <c r="J127" i="65"/>
  <c r="M127" i="65" s="1"/>
  <c r="J126" i="65"/>
  <c r="M126" i="65" s="1"/>
  <c r="J125" i="65"/>
  <c r="M125" i="65" s="1"/>
  <c r="J124" i="65"/>
  <c r="M124" i="65" s="1"/>
  <c r="J123" i="65"/>
  <c r="M123" i="65" s="1"/>
  <c r="J122" i="65"/>
  <c r="M122" i="65" s="1"/>
  <c r="J121" i="65"/>
  <c r="M121" i="65" s="1"/>
  <c r="J120" i="65"/>
  <c r="M120" i="65" s="1"/>
  <c r="J119" i="65"/>
  <c r="M119" i="65" s="1"/>
  <c r="J118" i="65"/>
  <c r="M118" i="65" s="1"/>
  <c r="J117" i="65"/>
  <c r="M117" i="65" s="1"/>
  <c r="J116" i="65"/>
  <c r="M116" i="65" s="1"/>
  <c r="J115" i="65"/>
  <c r="M115" i="65" s="1"/>
  <c r="J114" i="65"/>
  <c r="M114" i="65" s="1"/>
  <c r="J113" i="65"/>
  <c r="M113" i="65" s="1"/>
  <c r="J112" i="65"/>
  <c r="M112" i="65" s="1"/>
  <c r="J111" i="65"/>
  <c r="M111" i="65" s="1"/>
  <c r="J110" i="65"/>
  <c r="M110" i="65" s="1"/>
  <c r="M109" i="65"/>
  <c r="J109" i="65"/>
  <c r="J108" i="65"/>
  <c r="M108" i="65" s="1"/>
  <c r="J107" i="65"/>
  <c r="M107" i="65" s="1"/>
  <c r="J106" i="65"/>
  <c r="M106" i="65" s="1"/>
  <c r="Z105" i="65"/>
  <c r="J105" i="65"/>
  <c r="M105" i="65" s="1"/>
  <c r="X104" i="65"/>
  <c r="Q104" i="65"/>
  <c r="S104" i="65" s="1"/>
  <c r="U104" i="65" s="1"/>
  <c r="M104" i="65"/>
  <c r="J104" i="65"/>
  <c r="X103" i="65"/>
  <c r="Q103" i="65"/>
  <c r="S103" i="65" s="1"/>
  <c r="U103" i="65" s="1"/>
  <c r="J103" i="65"/>
  <c r="M103" i="65" s="1"/>
  <c r="X102" i="65"/>
  <c r="U102" i="65"/>
  <c r="S102" i="65"/>
  <c r="Q102" i="65"/>
  <c r="J102" i="65"/>
  <c r="M102" i="65" s="1"/>
  <c r="X101" i="65"/>
  <c r="S101" i="65"/>
  <c r="U101" i="65" s="1"/>
  <c r="Q101" i="65"/>
  <c r="J101" i="65"/>
  <c r="M101" i="65" s="1"/>
  <c r="X100" i="65"/>
  <c r="S100" i="65"/>
  <c r="U100" i="65" s="1"/>
  <c r="Q100" i="65"/>
  <c r="J100" i="65"/>
  <c r="M100" i="65" s="1"/>
  <c r="X99" i="65"/>
  <c r="S99" i="65"/>
  <c r="U99" i="65" s="1"/>
  <c r="Q99" i="65"/>
  <c r="J99" i="65"/>
  <c r="M99" i="65" s="1"/>
  <c r="X98" i="65"/>
  <c r="Q98" i="65"/>
  <c r="S98" i="65" s="1"/>
  <c r="U98" i="65" s="1"/>
  <c r="J98" i="65"/>
  <c r="M98" i="65" s="1"/>
  <c r="X97" i="65"/>
  <c r="Q97" i="65"/>
  <c r="S97" i="65" s="1"/>
  <c r="U97" i="65" s="1"/>
  <c r="J97" i="65"/>
  <c r="M97" i="65" s="1"/>
  <c r="X96" i="65"/>
  <c r="U96" i="65"/>
  <c r="Q96" i="65"/>
  <c r="S96" i="65" s="1"/>
  <c r="J96" i="65"/>
  <c r="M96" i="65" s="1"/>
  <c r="X95" i="65"/>
  <c r="Q95" i="65"/>
  <c r="S95" i="65" s="1"/>
  <c r="U95" i="65" s="1"/>
  <c r="J95" i="65"/>
  <c r="M95" i="65" s="1"/>
  <c r="X94" i="65"/>
  <c r="Q94" i="65"/>
  <c r="S94" i="65" s="1"/>
  <c r="U94" i="65" s="1"/>
  <c r="J94" i="65"/>
  <c r="M94" i="65" s="1"/>
  <c r="X93" i="65"/>
  <c r="U93" i="65"/>
  <c r="S93" i="65"/>
  <c r="Q93" i="65"/>
  <c r="J93" i="65"/>
  <c r="M93" i="65" s="1"/>
  <c r="X92" i="65"/>
  <c r="S92" i="65"/>
  <c r="U92" i="65" s="1"/>
  <c r="Q92" i="65"/>
  <c r="J92" i="65"/>
  <c r="M92" i="65" s="1"/>
  <c r="X91" i="65"/>
  <c r="Q91" i="65"/>
  <c r="S91" i="65" s="1"/>
  <c r="U91" i="65" s="1"/>
  <c r="J91" i="65"/>
  <c r="M91" i="65" s="1"/>
  <c r="X90" i="65"/>
  <c r="Q90" i="65"/>
  <c r="S90" i="65" s="1"/>
  <c r="U90" i="65" s="1"/>
  <c r="J90" i="65"/>
  <c r="M90" i="65" s="1"/>
  <c r="X89" i="65"/>
  <c r="S89" i="65"/>
  <c r="U89" i="65" s="1"/>
  <c r="Q89" i="65"/>
  <c r="J89" i="65"/>
  <c r="M89" i="65" s="1"/>
  <c r="X88" i="65"/>
  <c r="Q88" i="65"/>
  <c r="S88" i="65" s="1"/>
  <c r="U88" i="65" s="1"/>
  <c r="J88" i="65"/>
  <c r="M88" i="65" s="1"/>
  <c r="X87" i="65"/>
  <c r="Q87" i="65"/>
  <c r="S87" i="65" s="1"/>
  <c r="U87" i="65" s="1"/>
  <c r="J87" i="65"/>
  <c r="M87" i="65" s="1"/>
  <c r="X86" i="65"/>
  <c r="Q86" i="65"/>
  <c r="S86" i="65" s="1"/>
  <c r="U86" i="65" s="1"/>
  <c r="M86" i="65"/>
  <c r="J86" i="65"/>
  <c r="X85" i="65"/>
  <c r="Q85" i="65"/>
  <c r="S85" i="65" s="1"/>
  <c r="U85" i="65" s="1"/>
  <c r="J85" i="65"/>
  <c r="M85" i="65" s="1"/>
  <c r="X84" i="65"/>
  <c r="S84" i="65"/>
  <c r="U84" i="65" s="1"/>
  <c r="Q84" i="65"/>
  <c r="J84" i="65"/>
  <c r="M84" i="65" s="1"/>
  <c r="X83" i="65"/>
  <c r="S83" i="65"/>
  <c r="U83" i="65" s="1"/>
  <c r="Q83" i="65"/>
  <c r="J83" i="65"/>
  <c r="M83" i="65" s="1"/>
  <c r="X82" i="65"/>
  <c r="Q82" i="65"/>
  <c r="S82" i="65" s="1"/>
  <c r="U82" i="65" s="1"/>
  <c r="J82" i="65"/>
  <c r="M82" i="65" s="1"/>
  <c r="X81" i="65"/>
  <c r="S81" i="65"/>
  <c r="U81" i="65" s="1"/>
  <c r="Q81" i="65"/>
  <c r="J81" i="65"/>
  <c r="M81" i="65" s="1"/>
  <c r="X80" i="65"/>
  <c r="Q80" i="65"/>
  <c r="S80" i="65" s="1"/>
  <c r="U80" i="65" s="1"/>
  <c r="J80" i="65"/>
  <c r="M80" i="65" s="1"/>
  <c r="X79" i="65"/>
  <c r="Q79" i="65"/>
  <c r="S79" i="65" s="1"/>
  <c r="U79" i="65" s="1"/>
  <c r="J79" i="65"/>
  <c r="M79" i="65" s="1"/>
  <c r="X78" i="65"/>
  <c r="U78" i="65"/>
  <c r="S78" i="65"/>
  <c r="Q78" i="65"/>
  <c r="J78" i="65"/>
  <c r="M78" i="65" s="1"/>
  <c r="X77" i="65"/>
  <c r="S77" i="65"/>
  <c r="U77" i="65" s="1"/>
  <c r="Q77" i="65"/>
  <c r="J77" i="65"/>
  <c r="M77" i="65" s="1"/>
  <c r="X76" i="65"/>
  <c r="S76" i="65"/>
  <c r="U76" i="65" s="1"/>
  <c r="Q76" i="65"/>
  <c r="J76" i="65"/>
  <c r="M76" i="65" s="1"/>
  <c r="X75" i="65"/>
  <c r="S75" i="65"/>
  <c r="U75" i="65" s="1"/>
  <c r="Q75" i="65"/>
  <c r="J75" i="65"/>
  <c r="M75" i="65" s="1"/>
  <c r="X74" i="65"/>
  <c r="Q74" i="65"/>
  <c r="S74" i="65" s="1"/>
  <c r="U74" i="65" s="1"/>
  <c r="J74" i="65"/>
  <c r="M74" i="65" s="1"/>
  <c r="X73" i="65"/>
  <c r="S73" i="65"/>
  <c r="U73" i="65" s="1"/>
  <c r="Q73" i="65"/>
  <c r="J73" i="65"/>
  <c r="M73" i="65" s="1"/>
  <c r="X72" i="65"/>
  <c r="Q72" i="65"/>
  <c r="S72" i="65" s="1"/>
  <c r="U72" i="65" s="1"/>
  <c r="M72" i="65"/>
  <c r="J72" i="65"/>
  <c r="X71" i="65"/>
  <c r="S71" i="65"/>
  <c r="U71" i="65" s="1"/>
  <c r="Q71" i="65"/>
  <c r="J71" i="65"/>
  <c r="M71" i="65" s="1"/>
  <c r="X70" i="65"/>
  <c r="Q70" i="65"/>
  <c r="S70" i="65" s="1"/>
  <c r="U70" i="65" s="1"/>
  <c r="J70" i="65"/>
  <c r="M70" i="65" s="1"/>
  <c r="X69" i="65"/>
  <c r="Q69" i="65"/>
  <c r="S69" i="65" s="1"/>
  <c r="U69" i="65" s="1"/>
  <c r="J69" i="65"/>
  <c r="M69" i="65" s="1"/>
  <c r="X68" i="65"/>
  <c r="S68" i="65"/>
  <c r="U68" i="65" s="1"/>
  <c r="Q68" i="65"/>
  <c r="J68" i="65"/>
  <c r="M68" i="65" s="1"/>
  <c r="X67" i="65"/>
  <c r="Q67" i="65"/>
  <c r="S67" i="65" s="1"/>
  <c r="U67" i="65" s="1"/>
  <c r="J67" i="65"/>
  <c r="M67" i="65" s="1"/>
  <c r="X66" i="65"/>
  <c r="Q66" i="65"/>
  <c r="S66" i="65" s="1"/>
  <c r="U66" i="65" s="1"/>
  <c r="J66" i="65"/>
  <c r="M66" i="65" s="1"/>
  <c r="X65" i="65"/>
  <c r="Q65" i="65"/>
  <c r="S65" i="65" s="1"/>
  <c r="U65" i="65" s="1"/>
  <c r="J65" i="65"/>
  <c r="M65" i="65" s="1"/>
  <c r="X64" i="65"/>
  <c r="Q64" i="65"/>
  <c r="S64" i="65" s="1"/>
  <c r="U64" i="65" s="1"/>
  <c r="J64" i="65"/>
  <c r="M64" i="65" s="1"/>
  <c r="X63" i="65"/>
  <c r="S63" i="65"/>
  <c r="U63" i="65" s="1"/>
  <c r="Q63" i="65"/>
  <c r="J63" i="65"/>
  <c r="M63" i="65" s="1"/>
  <c r="X62" i="65"/>
  <c r="S62" i="65"/>
  <c r="U62" i="65" s="1"/>
  <c r="Q62" i="65"/>
  <c r="J62" i="65"/>
  <c r="M62" i="65" s="1"/>
  <c r="X61" i="65"/>
  <c r="Q61" i="65"/>
  <c r="S61" i="65" s="1"/>
  <c r="U61" i="65" s="1"/>
  <c r="J61" i="65"/>
  <c r="M61" i="65" s="1"/>
  <c r="X60" i="65"/>
  <c r="Q60" i="65"/>
  <c r="S60" i="65" s="1"/>
  <c r="U60" i="65" s="1"/>
  <c r="J60" i="65"/>
  <c r="M60" i="65" s="1"/>
  <c r="X59" i="65"/>
  <c r="Q59" i="65"/>
  <c r="S59" i="65" s="1"/>
  <c r="U59" i="65" s="1"/>
  <c r="J59" i="65"/>
  <c r="M59" i="65" s="1"/>
  <c r="X58" i="65"/>
  <c r="Q58" i="65"/>
  <c r="S58" i="65" s="1"/>
  <c r="U58" i="65" s="1"/>
  <c r="J58" i="65"/>
  <c r="M58" i="65" s="1"/>
  <c r="X57" i="65"/>
  <c r="Q57" i="65"/>
  <c r="S57" i="65" s="1"/>
  <c r="U57" i="65" s="1"/>
  <c r="J57" i="65"/>
  <c r="M57" i="65" s="1"/>
  <c r="X56" i="65"/>
  <c r="U56" i="65"/>
  <c r="Q56" i="65"/>
  <c r="S56" i="65" s="1"/>
  <c r="J56" i="65"/>
  <c r="M56" i="65" s="1"/>
  <c r="X55" i="65"/>
  <c r="Q55" i="65"/>
  <c r="S55" i="65" s="1"/>
  <c r="U55" i="65" s="1"/>
  <c r="J55" i="65"/>
  <c r="M55" i="65" s="1"/>
  <c r="X54" i="65"/>
  <c r="U54" i="65"/>
  <c r="Q54" i="65"/>
  <c r="S54" i="65" s="1"/>
  <c r="J54" i="65"/>
  <c r="M54" i="65" s="1"/>
  <c r="X53" i="65"/>
  <c r="Q53" i="65"/>
  <c r="S53" i="65" s="1"/>
  <c r="U53" i="65" s="1"/>
  <c r="J53" i="65"/>
  <c r="M53" i="65" s="1"/>
  <c r="X52" i="65"/>
  <c r="Q52" i="65"/>
  <c r="S52" i="65" s="1"/>
  <c r="U52" i="65" s="1"/>
  <c r="J52" i="65"/>
  <c r="M52" i="65" s="1"/>
  <c r="X51" i="65"/>
  <c r="S51" i="65"/>
  <c r="U51" i="65" s="1"/>
  <c r="Q51" i="65"/>
  <c r="J51" i="65"/>
  <c r="M51" i="65" s="1"/>
  <c r="X50" i="65"/>
  <c r="Q50" i="65"/>
  <c r="S50" i="65" s="1"/>
  <c r="U50" i="65" s="1"/>
  <c r="J50" i="65"/>
  <c r="M50" i="65" s="1"/>
  <c r="X49" i="65"/>
  <c r="Q49" i="65"/>
  <c r="S49" i="65" s="1"/>
  <c r="U49" i="65" s="1"/>
  <c r="J49" i="65"/>
  <c r="M49" i="65" s="1"/>
  <c r="X48" i="65"/>
  <c r="U48" i="65"/>
  <c r="Q48" i="65"/>
  <c r="S48" i="65" s="1"/>
  <c r="J48" i="65"/>
  <c r="M48" i="65" s="1"/>
  <c r="X47" i="65"/>
  <c r="Q47" i="65"/>
  <c r="S47" i="65" s="1"/>
  <c r="U47" i="65" s="1"/>
  <c r="J47" i="65"/>
  <c r="M47" i="65" s="1"/>
  <c r="X46" i="65"/>
  <c r="Q46" i="65"/>
  <c r="S46" i="65" s="1"/>
  <c r="U46" i="65" s="1"/>
  <c r="J46" i="65"/>
  <c r="M46" i="65" s="1"/>
  <c r="X45" i="65"/>
  <c r="S45" i="65"/>
  <c r="U45" i="65" s="1"/>
  <c r="Q45" i="65"/>
  <c r="J45" i="65"/>
  <c r="M45" i="65" s="1"/>
  <c r="X44" i="65"/>
  <c r="Q44" i="65"/>
  <c r="S44" i="65" s="1"/>
  <c r="U44" i="65" s="1"/>
  <c r="J44" i="65"/>
  <c r="M44" i="65" s="1"/>
  <c r="X43" i="65"/>
  <c r="S43" i="65"/>
  <c r="U43" i="65" s="1"/>
  <c r="Q43" i="65"/>
  <c r="J43" i="65"/>
  <c r="M43" i="65" s="1"/>
  <c r="X42" i="65"/>
  <c r="Q42" i="65"/>
  <c r="S42" i="65" s="1"/>
  <c r="U42" i="65" s="1"/>
  <c r="J42" i="65"/>
  <c r="M42" i="65" s="1"/>
  <c r="X41" i="65"/>
  <c r="S41" i="65"/>
  <c r="U41" i="65" s="1"/>
  <c r="Q41" i="65"/>
  <c r="J41" i="65"/>
  <c r="M41" i="65" s="1"/>
  <c r="X40" i="65"/>
  <c r="Q40" i="65"/>
  <c r="S40" i="65" s="1"/>
  <c r="U40" i="65" s="1"/>
  <c r="J40" i="65"/>
  <c r="M40" i="65" s="1"/>
  <c r="X39" i="65"/>
  <c r="Q39" i="65"/>
  <c r="S39" i="65" s="1"/>
  <c r="U39" i="65" s="1"/>
  <c r="J39" i="65"/>
  <c r="M39" i="65" s="1"/>
  <c r="X38" i="65"/>
  <c r="Q38" i="65"/>
  <c r="S38" i="65" s="1"/>
  <c r="U38" i="65" s="1"/>
  <c r="J38" i="65"/>
  <c r="M38" i="65" s="1"/>
  <c r="X37" i="65"/>
  <c r="S37" i="65"/>
  <c r="U37" i="65" s="1"/>
  <c r="Q37" i="65"/>
  <c r="J37" i="65"/>
  <c r="M37" i="65" s="1"/>
  <c r="X36" i="65"/>
  <c r="Q36" i="65"/>
  <c r="S36" i="65" s="1"/>
  <c r="U36" i="65" s="1"/>
  <c r="J36" i="65"/>
  <c r="M36" i="65" s="1"/>
  <c r="X35" i="65"/>
  <c r="S35" i="65"/>
  <c r="U35" i="65" s="1"/>
  <c r="Q35" i="65"/>
  <c r="J35" i="65"/>
  <c r="M35" i="65" s="1"/>
  <c r="X34" i="65"/>
  <c r="Q34" i="65"/>
  <c r="S34" i="65" s="1"/>
  <c r="U34" i="65" s="1"/>
  <c r="J34" i="65"/>
  <c r="M34" i="65" s="1"/>
  <c r="X33" i="65"/>
  <c r="Q33" i="65"/>
  <c r="S33" i="65" s="1"/>
  <c r="U33" i="65" s="1"/>
  <c r="J33" i="65"/>
  <c r="M33" i="65" s="1"/>
  <c r="X32" i="65"/>
  <c r="Q32" i="65"/>
  <c r="S32" i="65" s="1"/>
  <c r="U32" i="65" s="1"/>
  <c r="J32" i="65"/>
  <c r="M32" i="65" s="1"/>
  <c r="X31" i="65"/>
  <c r="U31" i="65"/>
  <c r="S31" i="65"/>
  <c r="Q31" i="65"/>
  <c r="M31" i="65"/>
  <c r="J31" i="65"/>
  <c r="X30" i="65"/>
  <c r="Q30" i="65"/>
  <c r="S30" i="65" s="1"/>
  <c r="U30" i="65" s="1"/>
  <c r="J30" i="65"/>
  <c r="M30" i="65" s="1"/>
  <c r="X29" i="65"/>
  <c r="S29" i="65"/>
  <c r="U29" i="65" s="1"/>
  <c r="Q29" i="65"/>
  <c r="M29" i="65"/>
  <c r="J29" i="65"/>
  <c r="X28" i="65"/>
  <c r="Q28" i="65"/>
  <c r="S28" i="65" s="1"/>
  <c r="U28" i="65" s="1"/>
  <c r="J28" i="65"/>
  <c r="M28" i="65" s="1"/>
  <c r="X27" i="65"/>
  <c r="S27" i="65"/>
  <c r="U27" i="65" s="1"/>
  <c r="Q27" i="65"/>
  <c r="M27" i="65"/>
  <c r="J27" i="65"/>
  <c r="X26" i="65"/>
  <c r="Q26" i="65"/>
  <c r="S26" i="65" s="1"/>
  <c r="U26" i="65" s="1"/>
  <c r="J26" i="65"/>
  <c r="M26" i="65" s="1"/>
  <c r="X25" i="65"/>
  <c r="S25" i="65"/>
  <c r="U25" i="65" s="1"/>
  <c r="Q25" i="65"/>
  <c r="J25" i="65"/>
  <c r="M25" i="65" s="1"/>
  <c r="X24" i="65"/>
  <c r="U24" i="65"/>
  <c r="S24" i="65"/>
  <c r="Q24" i="65"/>
  <c r="J24" i="65"/>
  <c r="M24" i="65" s="1"/>
  <c r="X23" i="65"/>
  <c r="S23" i="65"/>
  <c r="U23" i="65" s="1"/>
  <c r="Q23" i="65"/>
  <c r="J23" i="65"/>
  <c r="M23" i="65" s="1"/>
  <c r="X22" i="65"/>
  <c r="Q22" i="65"/>
  <c r="S22" i="65" s="1"/>
  <c r="U22" i="65" s="1"/>
  <c r="J22" i="65"/>
  <c r="M22" i="65" s="1"/>
  <c r="X21" i="65"/>
  <c r="S21" i="65"/>
  <c r="U21" i="65" s="1"/>
  <c r="Q21" i="65"/>
  <c r="J21" i="65"/>
  <c r="M21" i="65" s="1"/>
  <c r="X20" i="65"/>
  <c r="Q20" i="65"/>
  <c r="S20" i="65" s="1"/>
  <c r="U20" i="65" s="1"/>
  <c r="J20" i="65"/>
  <c r="M20" i="65" s="1"/>
  <c r="X19" i="65"/>
  <c r="S19" i="65"/>
  <c r="U19" i="65" s="1"/>
  <c r="Q19" i="65"/>
  <c r="J19" i="65"/>
  <c r="M19" i="65" s="1"/>
  <c r="X18" i="65"/>
  <c r="Q18" i="65"/>
  <c r="S18" i="65" s="1"/>
  <c r="U18" i="65" s="1"/>
  <c r="J18" i="65"/>
  <c r="M18" i="65" s="1"/>
  <c r="X17" i="65"/>
  <c r="S17" i="65"/>
  <c r="U17" i="65" s="1"/>
  <c r="Q17" i="65"/>
  <c r="J17" i="65"/>
  <c r="M17" i="65" s="1"/>
  <c r="X16" i="65"/>
  <c r="S16" i="65"/>
  <c r="U16" i="65" s="1"/>
  <c r="Q16" i="65"/>
  <c r="J16" i="65"/>
  <c r="M16" i="65" s="1"/>
  <c r="X15" i="65"/>
  <c r="Q15" i="65"/>
  <c r="S15" i="65" s="1"/>
  <c r="U15" i="65" s="1"/>
  <c r="J15" i="65"/>
  <c r="M15" i="65" s="1"/>
  <c r="X14" i="65"/>
  <c r="Q14" i="65"/>
  <c r="S14" i="65" s="1"/>
  <c r="U14" i="65" s="1"/>
  <c r="J14" i="65"/>
  <c r="M14" i="65" s="1"/>
  <c r="X13" i="65"/>
  <c r="Q13" i="65"/>
  <c r="S13" i="65" s="1"/>
  <c r="U13" i="65" s="1"/>
  <c r="J13" i="65"/>
  <c r="M13" i="65" s="1"/>
  <c r="X12" i="65"/>
  <c r="Q12" i="65"/>
  <c r="S12" i="65" s="1"/>
  <c r="U12" i="65" s="1"/>
  <c r="J12" i="65"/>
  <c r="M12" i="65" s="1"/>
  <c r="X11" i="65"/>
  <c r="S11" i="65"/>
  <c r="U11" i="65" s="1"/>
  <c r="Q11" i="65"/>
  <c r="J11" i="65"/>
  <c r="M11" i="65" s="1"/>
  <c r="X10" i="65"/>
  <c r="Q10" i="65"/>
  <c r="S10" i="65" s="1"/>
  <c r="U10" i="65" s="1"/>
  <c r="J10" i="65"/>
  <c r="M10" i="65" s="1"/>
  <c r="X9" i="65"/>
  <c r="Q9" i="65"/>
  <c r="S9" i="65" s="1"/>
  <c r="U9" i="65" s="1"/>
  <c r="J9" i="65"/>
  <c r="M9" i="65" s="1"/>
  <c r="X8" i="65"/>
  <c r="U8" i="65"/>
  <c r="Q8" i="65"/>
  <c r="S8" i="65" s="1"/>
  <c r="J8" i="65"/>
  <c r="M8" i="65" s="1"/>
  <c r="X7" i="65"/>
  <c r="Q7" i="65"/>
  <c r="S7" i="65" s="1"/>
  <c r="U7" i="65" s="1"/>
  <c r="M7" i="65"/>
  <c r="J7" i="65"/>
  <c r="X6" i="65"/>
  <c r="Q6" i="65"/>
  <c r="S6" i="65" s="1"/>
  <c r="U6" i="65" s="1"/>
  <c r="J6" i="65"/>
  <c r="M6" i="65" s="1"/>
  <c r="X5" i="65"/>
  <c r="Q5" i="65"/>
  <c r="S5" i="65" s="1"/>
  <c r="U5" i="65" s="1"/>
  <c r="J5" i="65"/>
  <c r="M5" i="65" s="1"/>
  <c r="T34" i="16"/>
  <c r="P34" i="16"/>
  <c r="T33" i="16"/>
  <c r="P33" i="16"/>
  <c r="T32" i="16"/>
  <c r="P32" i="16"/>
  <c r="T31" i="16"/>
  <c r="P31" i="16"/>
  <c r="T30" i="16"/>
  <c r="P30" i="16"/>
  <c r="T29" i="16"/>
  <c r="P29" i="16"/>
  <c r="T28" i="16"/>
  <c r="P28" i="16"/>
  <c r="T27" i="16"/>
  <c r="P27" i="16"/>
  <c r="T26" i="16"/>
  <c r="P26" i="16"/>
  <c r="T25" i="16"/>
  <c r="P25" i="16"/>
  <c r="T24" i="16"/>
  <c r="P24" i="16"/>
  <c r="T23" i="16"/>
  <c r="P23" i="16"/>
  <c r="T22" i="16"/>
  <c r="P22" i="16"/>
  <c r="T21" i="16"/>
  <c r="T20" i="16"/>
  <c r="T19" i="16"/>
  <c r="P19" i="16"/>
  <c r="T18" i="16"/>
  <c r="P18" i="16"/>
  <c r="T17" i="16"/>
  <c r="P17" i="16"/>
  <c r="T16" i="16"/>
  <c r="P16" i="16"/>
  <c r="T15" i="16"/>
  <c r="P15" i="16"/>
  <c r="T14" i="16"/>
  <c r="P14" i="16"/>
  <c r="T13" i="16"/>
  <c r="P13" i="16"/>
  <c r="T12" i="16"/>
  <c r="P12" i="16"/>
  <c r="K221" i="64"/>
  <c r="N34" i="16" s="1"/>
  <c r="K218" i="64"/>
  <c r="R34" i="16" s="1"/>
  <c r="J213" i="64"/>
  <c r="M213" i="64" s="1"/>
  <c r="J212" i="64"/>
  <c r="M212" i="64" s="1"/>
  <c r="J211" i="64"/>
  <c r="M211" i="64" s="1"/>
  <c r="J210" i="64"/>
  <c r="M210" i="64" s="1"/>
  <c r="J209" i="64"/>
  <c r="M209" i="64" s="1"/>
  <c r="J208" i="64"/>
  <c r="M208" i="64" s="1"/>
  <c r="J207" i="64"/>
  <c r="M207" i="64" s="1"/>
  <c r="J206" i="64"/>
  <c r="M206" i="64" s="1"/>
  <c r="J205" i="64"/>
  <c r="M205" i="64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M185" i="64"/>
  <c r="J185" i="64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M175" i="64"/>
  <c r="J175" i="64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M165" i="64"/>
  <c r="J165" i="64"/>
  <c r="J164" i="64"/>
  <c r="M164" i="64" s="1"/>
  <c r="J163" i="64"/>
  <c r="M163" i="64" s="1"/>
  <c r="J162" i="64"/>
  <c r="M162" i="64" s="1"/>
  <c r="J161" i="64"/>
  <c r="M161" i="64" s="1"/>
  <c r="J160" i="64"/>
  <c r="M160" i="64" s="1"/>
  <c r="M159" i="64"/>
  <c r="J159" i="64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M127" i="64"/>
  <c r="J127" i="64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Q104" i="64"/>
  <c r="S104" i="64" s="1"/>
  <c r="U104" i="64" s="1"/>
  <c r="J104" i="64"/>
  <c r="M104" i="64" s="1"/>
  <c r="X103" i="64"/>
  <c r="S103" i="64"/>
  <c r="U103" i="64" s="1"/>
  <c r="Q103" i="64"/>
  <c r="J103" i="64"/>
  <c r="M103" i="64" s="1"/>
  <c r="X102" i="64"/>
  <c r="Q102" i="64"/>
  <c r="S102" i="64" s="1"/>
  <c r="U102" i="64" s="1"/>
  <c r="J102" i="64"/>
  <c r="M102" i="64" s="1"/>
  <c r="X101" i="64"/>
  <c r="Q101" i="64"/>
  <c r="S101" i="64" s="1"/>
  <c r="U101" i="64" s="1"/>
  <c r="J101" i="64"/>
  <c r="M101" i="64" s="1"/>
  <c r="X100" i="64"/>
  <c r="Q100" i="64"/>
  <c r="S100" i="64" s="1"/>
  <c r="U100" i="64" s="1"/>
  <c r="J100" i="64"/>
  <c r="M100" i="64" s="1"/>
  <c r="X99" i="64"/>
  <c r="S99" i="64"/>
  <c r="U99" i="64" s="1"/>
  <c r="Q99" i="64"/>
  <c r="J99" i="64"/>
  <c r="M99" i="64" s="1"/>
  <c r="X98" i="64"/>
  <c r="Q98" i="64"/>
  <c r="S98" i="64" s="1"/>
  <c r="U98" i="64" s="1"/>
  <c r="J98" i="64"/>
  <c r="M98" i="64" s="1"/>
  <c r="X97" i="64"/>
  <c r="S97" i="64"/>
  <c r="U97" i="64" s="1"/>
  <c r="Q97" i="64"/>
  <c r="J97" i="64"/>
  <c r="M97" i="64" s="1"/>
  <c r="X96" i="64"/>
  <c r="Q96" i="64"/>
  <c r="S96" i="64" s="1"/>
  <c r="U96" i="64" s="1"/>
  <c r="J96" i="64"/>
  <c r="M96" i="64" s="1"/>
  <c r="X95" i="64"/>
  <c r="Q95" i="64"/>
  <c r="S95" i="64" s="1"/>
  <c r="U95" i="64" s="1"/>
  <c r="J95" i="64"/>
  <c r="M95" i="64" s="1"/>
  <c r="X94" i="64"/>
  <c r="U94" i="64"/>
  <c r="Q94" i="64"/>
  <c r="S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S91" i="64"/>
  <c r="U91" i="64" s="1"/>
  <c r="Q91" i="64"/>
  <c r="M91" i="64"/>
  <c r="J91" i="64"/>
  <c r="X90" i="64"/>
  <c r="Q90" i="64"/>
  <c r="S90" i="64" s="1"/>
  <c r="U90" i="64" s="1"/>
  <c r="J90" i="64"/>
  <c r="M90" i="64" s="1"/>
  <c r="X89" i="64"/>
  <c r="S89" i="64"/>
  <c r="U89" i="64" s="1"/>
  <c r="Q89" i="64"/>
  <c r="M89" i="64"/>
  <c r="J89" i="64"/>
  <c r="X88" i="64"/>
  <c r="Q88" i="64"/>
  <c r="S88" i="64" s="1"/>
  <c r="U88" i="64" s="1"/>
  <c r="J88" i="64"/>
  <c r="M88" i="64" s="1"/>
  <c r="X87" i="64"/>
  <c r="S87" i="64"/>
  <c r="U87" i="64" s="1"/>
  <c r="Q87" i="64"/>
  <c r="J87" i="64"/>
  <c r="M87" i="64" s="1"/>
  <c r="X86" i="64"/>
  <c r="Q86" i="64"/>
  <c r="S86" i="64" s="1"/>
  <c r="U86" i="64" s="1"/>
  <c r="J86" i="64"/>
  <c r="M86" i="64" s="1"/>
  <c r="X85" i="64"/>
  <c r="S85" i="64"/>
  <c r="U85" i="64" s="1"/>
  <c r="Q85" i="64"/>
  <c r="M85" i="64"/>
  <c r="J85" i="64"/>
  <c r="X84" i="64"/>
  <c r="Q84" i="64"/>
  <c r="S84" i="64" s="1"/>
  <c r="U84" i="64" s="1"/>
  <c r="J84" i="64"/>
  <c r="M84" i="64" s="1"/>
  <c r="X83" i="64"/>
  <c r="S83" i="64"/>
  <c r="U83" i="64" s="1"/>
  <c r="Q83" i="64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U78" i="64"/>
  <c r="Q78" i="64"/>
  <c r="S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S75" i="64"/>
  <c r="U75" i="64" s="1"/>
  <c r="Q75" i="64"/>
  <c r="J75" i="64"/>
  <c r="M75" i="64" s="1"/>
  <c r="X74" i="64"/>
  <c r="Q74" i="64"/>
  <c r="S74" i="64" s="1"/>
  <c r="U74" i="64" s="1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S71" i="64"/>
  <c r="U71" i="64" s="1"/>
  <c r="Q71" i="64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S67" i="64"/>
  <c r="U67" i="64" s="1"/>
  <c r="Q67" i="64"/>
  <c r="J67" i="64"/>
  <c r="M67" i="64" s="1"/>
  <c r="X66" i="64"/>
  <c r="Q66" i="64"/>
  <c r="S66" i="64" s="1"/>
  <c r="U66" i="64" s="1"/>
  <c r="J66" i="64"/>
  <c r="M66" i="64" s="1"/>
  <c r="X65" i="64"/>
  <c r="Q65" i="64"/>
  <c r="S65" i="64" s="1"/>
  <c r="U65" i="64" s="1"/>
  <c r="J65" i="64"/>
  <c r="M65" i="64" s="1"/>
  <c r="X64" i="64"/>
  <c r="S64" i="64"/>
  <c r="U64" i="64" s="1"/>
  <c r="Q64" i="64"/>
  <c r="J64" i="64"/>
  <c r="M64" i="64" s="1"/>
  <c r="X63" i="64"/>
  <c r="Q63" i="64"/>
  <c r="S63" i="64" s="1"/>
  <c r="U63" i="64" s="1"/>
  <c r="J63" i="64"/>
  <c r="M63" i="64" s="1"/>
  <c r="X62" i="64"/>
  <c r="U62" i="64"/>
  <c r="Q62" i="64"/>
  <c r="S62" i="64" s="1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J58" i="64"/>
  <c r="M58" i="64" s="1"/>
  <c r="X57" i="64"/>
  <c r="S57" i="64"/>
  <c r="U57" i="64" s="1"/>
  <c r="Q57" i="64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M55" i="64"/>
  <c r="J55" i="64"/>
  <c r="X54" i="64"/>
  <c r="U54" i="64"/>
  <c r="Q54" i="64"/>
  <c r="S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S51" i="64"/>
  <c r="U51" i="64" s="1"/>
  <c r="Q51" i="64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Q46" i="64"/>
  <c r="S46" i="64" s="1"/>
  <c r="U46" i="64" s="1"/>
  <c r="J46" i="64"/>
  <c r="M46" i="64" s="1"/>
  <c r="X45" i="64"/>
  <c r="S45" i="64"/>
  <c r="U45" i="64" s="1"/>
  <c r="Q45" i="64"/>
  <c r="J45" i="64"/>
  <c r="M45" i="64" s="1"/>
  <c r="X44" i="64"/>
  <c r="Q44" i="64"/>
  <c r="S44" i="64" s="1"/>
  <c r="U44" i="64" s="1"/>
  <c r="J44" i="64"/>
  <c r="M44" i="64" s="1"/>
  <c r="X43" i="64"/>
  <c r="S43" i="64"/>
  <c r="U43" i="64" s="1"/>
  <c r="Q43" i="64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Q40" i="64"/>
  <c r="S40" i="64" s="1"/>
  <c r="U40" i="64" s="1"/>
  <c r="J40" i="64"/>
  <c r="M40" i="64" s="1"/>
  <c r="X39" i="64"/>
  <c r="Q39" i="64"/>
  <c r="S39" i="64" s="1"/>
  <c r="U39" i="64" s="1"/>
  <c r="J39" i="64"/>
  <c r="M39" i="64" s="1"/>
  <c r="X38" i="64"/>
  <c r="Q38" i="64"/>
  <c r="S38" i="64" s="1"/>
  <c r="U38" i="64" s="1"/>
  <c r="J38" i="64"/>
  <c r="M38" i="64" s="1"/>
  <c r="X37" i="64"/>
  <c r="S37" i="64"/>
  <c r="U37" i="64" s="1"/>
  <c r="Q37" i="64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S33" i="64"/>
  <c r="U33" i="64" s="1"/>
  <c r="Q33" i="64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S29" i="64"/>
  <c r="U29" i="64" s="1"/>
  <c r="Q29" i="64"/>
  <c r="J29" i="64"/>
  <c r="M29" i="64" s="1"/>
  <c r="X28" i="64"/>
  <c r="Q28" i="64"/>
  <c r="S28" i="64" s="1"/>
  <c r="U28" i="64" s="1"/>
  <c r="J28" i="64"/>
  <c r="M28" i="64" s="1"/>
  <c r="X27" i="64"/>
  <c r="Q27" i="64"/>
  <c r="S27" i="64" s="1"/>
  <c r="U27" i="64" s="1"/>
  <c r="J27" i="64"/>
  <c r="M27" i="64" s="1"/>
  <c r="X26" i="64"/>
  <c r="Q26" i="64"/>
  <c r="S26" i="64" s="1"/>
  <c r="U26" i="64" s="1"/>
  <c r="J26" i="64"/>
  <c r="M26" i="64" s="1"/>
  <c r="X25" i="64"/>
  <c r="S25" i="64"/>
  <c r="U25" i="64" s="1"/>
  <c r="Q25" i="64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Q22" i="64"/>
  <c r="S22" i="64" s="1"/>
  <c r="U22" i="64" s="1"/>
  <c r="J22" i="64"/>
  <c r="M22" i="64" s="1"/>
  <c r="X21" i="64"/>
  <c r="S21" i="64"/>
  <c r="U21" i="64" s="1"/>
  <c r="Q21" i="64"/>
  <c r="J21" i="64"/>
  <c r="M21" i="64" s="1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Q18" i="64"/>
  <c r="S18" i="64" s="1"/>
  <c r="U18" i="64" s="1"/>
  <c r="J18" i="64"/>
  <c r="M18" i="64" s="1"/>
  <c r="X17" i="64"/>
  <c r="S17" i="64"/>
  <c r="U17" i="64" s="1"/>
  <c r="Q17" i="64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J12" i="64"/>
  <c r="M12" i="64" s="1"/>
  <c r="X11" i="64"/>
  <c r="Q11" i="64"/>
  <c r="S11" i="64" s="1"/>
  <c r="U11" i="64" s="1"/>
  <c r="J11" i="64"/>
  <c r="M11" i="64" s="1"/>
  <c r="X10" i="64"/>
  <c r="Q10" i="64"/>
  <c r="S10" i="64" s="1"/>
  <c r="U10" i="64" s="1"/>
  <c r="J10" i="64"/>
  <c r="M10" i="64" s="1"/>
  <c r="X9" i="64"/>
  <c r="S9" i="64"/>
  <c r="U9" i="64" s="1"/>
  <c r="Q9" i="64"/>
  <c r="M9" i="64"/>
  <c r="J9" i="64"/>
  <c r="X8" i="64"/>
  <c r="Q8" i="64"/>
  <c r="S8" i="64" s="1"/>
  <c r="U8" i="64" s="1"/>
  <c r="J8" i="64"/>
  <c r="M8" i="64" s="1"/>
  <c r="X7" i="64"/>
  <c r="S7" i="64"/>
  <c r="U7" i="64" s="1"/>
  <c r="Q7" i="64"/>
  <c r="M7" i="64"/>
  <c r="J7" i="64"/>
  <c r="X6" i="64"/>
  <c r="Q6" i="64"/>
  <c r="S6" i="64" s="1"/>
  <c r="U6" i="64" s="1"/>
  <c r="J6" i="64"/>
  <c r="M6" i="64" s="1"/>
  <c r="X5" i="64"/>
  <c r="S5" i="64"/>
  <c r="U5" i="64" s="1"/>
  <c r="Q5" i="64"/>
  <c r="J5" i="64"/>
  <c r="K221" i="63"/>
  <c r="N33" i="16" s="1"/>
  <c r="K218" i="63"/>
  <c r="R33" i="16" s="1"/>
  <c r="J213" i="63"/>
  <c r="M213" i="63" s="1"/>
  <c r="J212" i="63"/>
  <c r="M212" i="63" s="1"/>
  <c r="J211" i="63"/>
  <c r="M211" i="63" s="1"/>
  <c r="M210" i="63"/>
  <c r="J210" i="63"/>
  <c r="J209" i="63"/>
  <c r="M209" i="63" s="1"/>
  <c r="J208" i="63"/>
  <c r="M208" i="63" s="1"/>
  <c r="J207" i="63"/>
  <c r="M207" i="63" s="1"/>
  <c r="J206" i="63"/>
  <c r="M206" i="63" s="1"/>
  <c r="J205" i="63"/>
  <c r="M205" i="63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M193" i="63"/>
  <c r="J193" i="63"/>
  <c r="J192" i="63"/>
  <c r="M192" i="63" s="1"/>
  <c r="J191" i="63"/>
  <c r="M191" i="63" s="1"/>
  <c r="J190" i="63"/>
  <c r="M190" i="63" s="1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M147" i="63"/>
  <c r="J147" i="63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J140" i="63"/>
  <c r="M140" i="63" s="1"/>
  <c r="J139" i="63"/>
  <c r="M139" i="63" s="1"/>
  <c r="M138" i="63"/>
  <c r="J138" i="63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M131" i="63"/>
  <c r="J131" i="63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J110" i="63"/>
  <c r="M110" i="63" s="1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S102" i="63"/>
  <c r="U102" i="63" s="1"/>
  <c r="Q102" i="63"/>
  <c r="J102" i="63"/>
  <c r="M102" i="63" s="1"/>
  <c r="X101" i="63"/>
  <c r="S101" i="63"/>
  <c r="U101" i="63" s="1"/>
  <c r="Q101" i="63"/>
  <c r="J101" i="63"/>
  <c r="M101" i="63" s="1"/>
  <c r="X100" i="63"/>
  <c r="Q100" i="63"/>
  <c r="S100" i="63" s="1"/>
  <c r="U100" i="63" s="1"/>
  <c r="J100" i="63"/>
  <c r="M100" i="63" s="1"/>
  <c r="X99" i="63"/>
  <c r="Q99" i="63"/>
  <c r="S99" i="63" s="1"/>
  <c r="U99" i="63" s="1"/>
  <c r="M99" i="63"/>
  <c r="J99" i="63"/>
  <c r="X98" i="63"/>
  <c r="Q98" i="63"/>
  <c r="S98" i="63" s="1"/>
  <c r="U98" i="63" s="1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M96" i="63"/>
  <c r="J96" i="63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U93" i="63"/>
  <c r="S93" i="63"/>
  <c r="Q93" i="63"/>
  <c r="J93" i="63"/>
  <c r="M93" i="63" s="1"/>
  <c r="X92" i="63"/>
  <c r="Q92" i="63"/>
  <c r="S92" i="63" s="1"/>
  <c r="U92" i="63" s="1"/>
  <c r="J92" i="63"/>
  <c r="M92" i="63" s="1"/>
  <c r="X91" i="63"/>
  <c r="S91" i="63"/>
  <c r="U91" i="63" s="1"/>
  <c r="Q91" i="63"/>
  <c r="J91" i="63"/>
  <c r="M91" i="63" s="1"/>
  <c r="X90" i="63"/>
  <c r="Q90" i="63"/>
  <c r="S90" i="63" s="1"/>
  <c r="U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S86" i="63"/>
  <c r="U86" i="63" s="1"/>
  <c r="Q86" i="63"/>
  <c r="J86" i="63"/>
  <c r="M86" i="63" s="1"/>
  <c r="X85" i="63"/>
  <c r="S85" i="63"/>
  <c r="U85" i="63" s="1"/>
  <c r="Q85" i="63"/>
  <c r="J85" i="63"/>
  <c r="M85" i="63" s="1"/>
  <c r="X84" i="63"/>
  <c r="Q84" i="63"/>
  <c r="S84" i="63" s="1"/>
  <c r="U84" i="63" s="1"/>
  <c r="J84" i="63"/>
  <c r="M84" i="63" s="1"/>
  <c r="X83" i="63"/>
  <c r="S83" i="63"/>
  <c r="U83" i="63" s="1"/>
  <c r="Q83" i="63"/>
  <c r="J83" i="63"/>
  <c r="M83" i="63" s="1"/>
  <c r="X82" i="63"/>
  <c r="Q82" i="63"/>
  <c r="S82" i="63" s="1"/>
  <c r="U82" i="63" s="1"/>
  <c r="M82" i="63"/>
  <c r="J82" i="63"/>
  <c r="X81" i="63"/>
  <c r="S81" i="63"/>
  <c r="U81" i="63" s="1"/>
  <c r="Q81" i="63"/>
  <c r="J81" i="63"/>
  <c r="M81" i="63" s="1"/>
  <c r="X80" i="63"/>
  <c r="Q80" i="63"/>
  <c r="S80" i="63" s="1"/>
  <c r="U80" i="63" s="1"/>
  <c r="J80" i="63"/>
  <c r="M80" i="63" s="1"/>
  <c r="X79" i="63"/>
  <c r="Q79" i="63"/>
  <c r="S79" i="63" s="1"/>
  <c r="U79" i="63" s="1"/>
  <c r="J79" i="63"/>
  <c r="M79" i="63" s="1"/>
  <c r="X78" i="63"/>
  <c r="Q78" i="63"/>
  <c r="S78" i="63" s="1"/>
  <c r="U78" i="63" s="1"/>
  <c r="J78" i="63"/>
  <c r="M78" i="63" s="1"/>
  <c r="X77" i="63"/>
  <c r="U77" i="63"/>
  <c r="S77" i="63"/>
  <c r="Q77" i="63"/>
  <c r="J77" i="63"/>
  <c r="M77" i="63" s="1"/>
  <c r="X76" i="63"/>
  <c r="Q76" i="63"/>
  <c r="S76" i="63" s="1"/>
  <c r="U76" i="63" s="1"/>
  <c r="J76" i="63"/>
  <c r="M76" i="63" s="1"/>
  <c r="X75" i="63"/>
  <c r="S75" i="63"/>
  <c r="U75" i="63" s="1"/>
  <c r="Q75" i="63"/>
  <c r="M75" i="63"/>
  <c r="J75" i="63"/>
  <c r="X74" i="63"/>
  <c r="U74" i="63"/>
  <c r="Q74" i="63"/>
  <c r="S74" i="63" s="1"/>
  <c r="J74" i="63"/>
  <c r="M74" i="63" s="1"/>
  <c r="X73" i="63"/>
  <c r="S73" i="63"/>
  <c r="U73" i="63" s="1"/>
  <c r="Q73" i="63"/>
  <c r="J73" i="63"/>
  <c r="M73" i="63" s="1"/>
  <c r="X72" i="63"/>
  <c r="Q72" i="63"/>
  <c r="S72" i="63" s="1"/>
  <c r="U72" i="63" s="1"/>
  <c r="J72" i="63"/>
  <c r="M72" i="63" s="1"/>
  <c r="X71" i="63"/>
  <c r="Q71" i="63"/>
  <c r="S71" i="63" s="1"/>
  <c r="U71" i="63" s="1"/>
  <c r="J71" i="63"/>
  <c r="M71" i="63" s="1"/>
  <c r="X70" i="63"/>
  <c r="S70" i="63"/>
  <c r="U70" i="63" s="1"/>
  <c r="Q70" i="63"/>
  <c r="J70" i="63"/>
  <c r="M70" i="63" s="1"/>
  <c r="X69" i="63"/>
  <c r="S69" i="63"/>
  <c r="U69" i="63" s="1"/>
  <c r="Q69" i="63"/>
  <c r="J69" i="63"/>
  <c r="M69" i="63" s="1"/>
  <c r="X68" i="63"/>
  <c r="Q68" i="63"/>
  <c r="S68" i="63" s="1"/>
  <c r="U68" i="63" s="1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Q64" i="63"/>
  <c r="S64" i="63" s="1"/>
  <c r="U64" i="63" s="1"/>
  <c r="J64" i="63"/>
  <c r="M64" i="63" s="1"/>
  <c r="X63" i="63"/>
  <c r="Q63" i="63"/>
  <c r="S63" i="63" s="1"/>
  <c r="U63" i="63" s="1"/>
  <c r="M63" i="63"/>
  <c r="J63" i="63"/>
  <c r="X62" i="63"/>
  <c r="Q62" i="63"/>
  <c r="S62" i="63" s="1"/>
  <c r="U62" i="63" s="1"/>
  <c r="J62" i="63"/>
  <c r="M62" i="63" s="1"/>
  <c r="X61" i="63"/>
  <c r="U61" i="63"/>
  <c r="S61" i="63"/>
  <c r="Q61" i="63"/>
  <c r="J61" i="63"/>
  <c r="M61" i="63" s="1"/>
  <c r="X60" i="63"/>
  <c r="Q60" i="63"/>
  <c r="S60" i="63" s="1"/>
  <c r="U60" i="63" s="1"/>
  <c r="J60" i="63"/>
  <c r="M60" i="63" s="1"/>
  <c r="X59" i="63"/>
  <c r="S59" i="63"/>
  <c r="U59" i="63" s="1"/>
  <c r="Q59" i="63"/>
  <c r="J59" i="63"/>
  <c r="M59" i="63" s="1"/>
  <c r="X58" i="63"/>
  <c r="Q58" i="63"/>
  <c r="S58" i="63" s="1"/>
  <c r="U58" i="63" s="1"/>
  <c r="J58" i="63"/>
  <c r="M58" i="63" s="1"/>
  <c r="X57" i="63"/>
  <c r="S57" i="63"/>
  <c r="U57" i="63" s="1"/>
  <c r="Q57" i="63"/>
  <c r="J57" i="63"/>
  <c r="M57" i="63" s="1"/>
  <c r="X56" i="63"/>
  <c r="S56" i="63"/>
  <c r="U56" i="63" s="1"/>
  <c r="Q56" i="63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S51" i="63"/>
  <c r="U51" i="63" s="1"/>
  <c r="Q51" i="63"/>
  <c r="J51" i="63"/>
  <c r="M51" i="63" s="1"/>
  <c r="X50" i="63"/>
  <c r="U50" i="63"/>
  <c r="Q50" i="63"/>
  <c r="S50" i="63" s="1"/>
  <c r="J50" i="63"/>
  <c r="M50" i="63" s="1"/>
  <c r="X49" i="63"/>
  <c r="S49" i="63"/>
  <c r="U49" i="63" s="1"/>
  <c r="Q49" i="63"/>
  <c r="J49" i="63"/>
  <c r="M49" i="63" s="1"/>
  <c r="X48" i="63"/>
  <c r="Q48" i="63"/>
  <c r="S48" i="63" s="1"/>
  <c r="U48" i="63" s="1"/>
  <c r="J48" i="63"/>
  <c r="M48" i="63" s="1"/>
  <c r="X47" i="63"/>
  <c r="Q47" i="63"/>
  <c r="S47" i="63" s="1"/>
  <c r="U47" i="63" s="1"/>
  <c r="J47" i="63"/>
  <c r="M47" i="63" s="1"/>
  <c r="X46" i="63"/>
  <c r="S46" i="63"/>
  <c r="U46" i="63" s="1"/>
  <c r="Q46" i="63"/>
  <c r="J46" i="63"/>
  <c r="M46" i="63" s="1"/>
  <c r="X45" i="63"/>
  <c r="S45" i="63"/>
  <c r="U45" i="63" s="1"/>
  <c r="Q45" i="63"/>
  <c r="J45" i="63"/>
  <c r="M45" i="63" s="1"/>
  <c r="X44" i="63"/>
  <c r="Q44" i="63"/>
  <c r="S44" i="63" s="1"/>
  <c r="U44" i="63" s="1"/>
  <c r="J44" i="63"/>
  <c r="M44" i="63" s="1"/>
  <c r="X43" i="63"/>
  <c r="Q43" i="63"/>
  <c r="S43" i="63" s="1"/>
  <c r="U43" i="63" s="1"/>
  <c r="J43" i="63"/>
  <c r="M43" i="63" s="1"/>
  <c r="X42" i="63"/>
  <c r="Q42" i="63"/>
  <c r="S42" i="63" s="1"/>
  <c r="U42" i="63" s="1"/>
  <c r="J42" i="63"/>
  <c r="M42" i="63" s="1"/>
  <c r="X41" i="63"/>
  <c r="Q41" i="63"/>
  <c r="S41" i="63" s="1"/>
  <c r="U41" i="63" s="1"/>
  <c r="J41" i="63"/>
  <c r="M41" i="63" s="1"/>
  <c r="X40" i="63"/>
  <c r="Q40" i="63"/>
  <c r="S40" i="63" s="1"/>
  <c r="U40" i="63" s="1"/>
  <c r="J40" i="63"/>
  <c r="M40" i="63" s="1"/>
  <c r="X39" i="63"/>
  <c r="U39" i="63"/>
  <c r="Q39" i="63"/>
  <c r="S39" i="63" s="1"/>
  <c r="J39" i="63"/>
  <c r="M39" i="63" s="1"/>
  <c r="X38" i="63"/>
  <c r="Q38" i="63"/>
  <c r="S38" i="63" s="1"/>
  <c r="U38" i="63" s="1"/>
  <c r="J38" i="63"/>
  <c r="M38" i="63" s="1"/>
  <c r="X37" i="63"/>
  <c r="U37" i="63"/>
  <c r="S37" i="63"/>
  <c r="Q37" i="63"/>
  <c r="M37" i="63"/>
  <c r="J37" i="63"/>
  <c r="X36" i="63"/>
  <c r="Q36" i="63"/>
  <c r="S36" i="63" s="1"/>
  <c r="U36" i="63" s="1"/>
  <c r="J36" i="63"/>
  <c r="M36" i="63" s="1"/>
  <c r="X35" i="63"/>
  <c r="S35" i="63"/>
  <c r="U35" i="63" s="1"/>
  <c r="Q35" i="63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S32" i="63"/>
  <c r="U32" i="63" s="1"/>
  <c r="Q32" i="63"/>
  <c r="J32" i="63"/>
  <c r="M32" i="63" s="1"/>
  <c r="X31" i="63"/>
  <c r="U31" i="63"/>
  <c r="S31" i="63"/>
  <c r="Q31" i="63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S28" i="63"/>
  <c r="U28" i="63" s="1"/>
  <c r="Q28" i="63"/>
  <c r="J28" i="63"/>
  <c r="M28" i="63" s="1"/>
  <c r="X27" i="63"/>
  <c r="S27" i="63"/>
  <c r="U27" i="63" s="1"/>
  <c r="Q27" i="63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S24" i="63"/>
  <c r="U24" i="63" s="1"/>
  <c r="Q24" i="63"/>
  <c r="J24" i="63"/>
  <c r="M24" i="63" s="1"/>
  <c r="X23" i="63"/>
  <c r="Q23" i="63"/>
  <c r="S23" i="63" s="1"/>
  <c r="U23" i="63" s="1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M21" i="63"/>
  <c r="J21" i="63"/>
  <c r="X20" i="63"/>
  <c r="Q20" i="63"/>
  <c r="S20" i="63" s="1"/>
  <c r="U20" i="63" s="1"/>
  <c r="J20" i="63"/>
  <c r="M20" i="63" s="1"/>
  <c r="X19" i="63"/>
  <c r="U19" i="63"/>
  <c r="S19" i="63"/>
  <c r="Q19" i="63"/>
  <c r="J19" i="63"/>
  <c r="M19" i="63" s="1"/>
  <c r="X18" i="63"/>
  <c r="Q18" i="63"/>
  <c r="S18" i="63" s="1"/>
  <c r="U18" i="63" s="1"/>
  <c r="J18" i="63"/>
  <c r="M18" i="63" s="1"/>
  <c r="X17" i="63"/>
  <c r="Q17" i="63"/>
  <c r="S17" i="63" s="1"/>
  <c r="U17" i="63" s="1"/>
  <c r="J17" i="63"/>
  <c r="M17" i="63" s="1"/>
  <c r="X16" i="63"/>
  <c r="S16" i="63"/>
  <c r="U16" i="63" s="1"/>
  <c r="Q16" i="63"/>
  <c r="J16" i="63"/>
  <c r="M16" i="63" s="1"/>
  <c r="X15" i="63"/>
  <c r="U15" i="63"/>
  <c r="S15" i="63"/>
  <c r="Q15" i="63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S12" i="63"/>
  <c r="U12" i="63" s="1"/>
  <c r="Q12" i="63"/>
  <c r="J12" i="63"/>
  <c r="M12" i="63" s="1"/>
  <c r="X11" i="63"/>
  <c r="S11" i="63"/>
  <c r="U11" i="63" s="1"/>
  <c r="Q11" i="63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S8" i="63"/>
  <c r="U8" i="63" s="1"/>
  <c r="Q8" i="63"/>
  <c r="J8" i="63"/>
  <c r="M8" i="63" s="1"/>
  <c r="X7" i="63"/>
  <c r="Q7" i="63"/>
  <c r="S7" i="63" s="1"/>
  <c r="U7" i="63" s="1"/>
  <c r="J7" i="63"/>
  <c r="M7" i="63" s="1"/>
  <c r="X6" i="63"/>
  <c r="S6" i="63"/>
  <c r="U6" i="63" s="1"/>
  <c r="Q6" i="63"/>
  <c r="J6" i="63"/>
  <c r="M6" i="63" s="1"/>
  <c r="X5" i="63"/>
  <c r="Q5" i="63"/>
  <c r="S5" i="63" s="1"/>
  <c r="U5" i="63" s="1"/>
  <c r="J5" i="63"/>
  <c r="M5" i="63" s="1"/>
  <c r="K221" i="62"/>
  <c r="N32" i="16" s="1"/>
  <c r="K218" i="62"/>
  <c r="R32" i="16" s="1"/>
  <c r="J213" i="62"/>
  <c r="M213" i="62" s="1"/>
  <c r="J212" i="62"/>
  <c r="M212" i="62" s="1"/>
  <c r="J211" i="62"/>
  <c r="M211" i="62" s="1"/>
  <c r="J210" i="62"/>
  <c r="M210" i="62" s="1"/>
  <c r="J209" i="62"/>
  <c r="M209" i="62" s="1"/>
  <c r="J208" i="62"/>
  <c r="M208" i="62" s="1"/>
  <c r="J207" i="62"/>
  <c r="M207" i="62" s="1"/>
  <c r="J206" i="62"/>
  <c r="M206" i="62" s="1"/>
  <c r="J205" i="62"/>
  <c r="M205" i="62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J198" i="62"/>
  <c r="M198" i="62" s="1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M191" i="62"/>
  <c r="J191" i="62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J184" i="62"/>
  <c r="M184" i="62" s="1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M161" i="62"/>
  <c r="J161" i="62"/>
  <c r="J160" i="62"/>
  <c r="M160" i="62" s="1"/>
  <c r="J159" i="62"/>
  <c r="M159" i="62" s="1"/>
  <c r="J158" i="62"/>
  <c r="M158" i="62" s="1"/>
  <c r="J157" i="62"/>
  <c r="M157" i="62" s="1"/>
  <c r="J156" i="62"/>
  <c r="M156" i="62" s="1"/>
  <c r="M155" i="62"/>
  <c r="J155" i="62"/>
  <c r="J154" i="62"/>
  <c r="M154" i="62" s="1"/>
  <c r="J153" i="62"/>
  <c r="M153" i="62" s="1"/>
  <c r="J152" i="62"/>
  <c r="M152" i="62" s="1"/>
  <c r="M151" i="62"/>
  <c r="J151" i="62"/>
  <c r="J150" i="62"/>
  <c r="M150" i="62" s="1"/>
  <c r="J149" i="62"/>
  <c r="M149" i="62" s="1"/>
  <c r="J148" i="62"/>
  <c r="M148" i="62" s="1"/>
  <c r="J147" i="62"/>
  <c r="M147" i="62" s="1"/>
  <c r="J146" i="62"/>
  <c r="M146" i="62" s="1"/>
  <c r="M145" i="62"/>
  <c r="J145" i="62"/>
  <c r="J144" i="62"/>
  <c r="M144" i="62" s="1"/>
  <c r="M143" i="62"/>
  <c r="J143" i="62"/>
  <c r="J142" i="62"/>
  <c r="M142" i="62" s="1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M135" i="62"/>
  <c r="J135" i="62"/>
  <c r="J134" i="62"/>
  <c r="M134" i="62" s="1"/>
  <c r="J133" i="62"/>
  <c r="M133" i="62" s="1"/>
  <c r="J132" i="62"/>
  <c r="M132" i="62" s="1"/>
  <c r="J131" i="62"/>
  <c r="M131" i="62" s="1"/>
  <c r="J130" i="62"/>
  <c r="M130" i="62" s="1"/>
  <c r="M129" i="62"/>
  <c r="J129" i="62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J116" i="62"/>
  <c r="M116" i="62" s="1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S103" i="62"/>
  <c r="U103" i="62" s="1"/>
  <c r="Q103" i="62"/>
  <c r="J103" i="62"/>
  <c r="M103" i="62" s="1"/>
  <c r="X102" i="62"/>
  <c r="S102" i="62"/>
  <c r="U102" i="62" s="1"/>
  <c r="Q102" i="62"/>
  <c r="J102" i="62"/>
  <c r="M102" i="62" s="1"/>
  <c r="X101" i="62"/>
  <c r="S101" i="62"/>
  <c r="U101" i="62" s="1"/>
  <c r="Q101" i="62"/>
  <c r="J101" i="62"/>
  <c r="M101" i="62" s="1"/>
  <c r="X100" i="62"/>
  <c r="Q100" i="62"/>
  <c r="S100" i="62" s="1"/>
  <c r="U100" i="62" s="1"/>
  <c r="J100" i="62"/>
  <c r="M100" i="62" s="1"/>
  <c r="X99" i="62"/>
  <c r="Q99" i="62"/>
  <c r="S99" i="62" s="1"/>
  <c r="U99" i="62" s="1"/>
  <c r="J99" i="62"/>
  <c r="M99" i="62" s="1"/>
  <c r="X98" i="62"/>
  <c r="Q98" i="62"/>
  <c r="S98" i="62" s="1"/>
  <c r="U98" i="62" s="1"/>
  <c r="J98" i="62"/>
  <c r="M98" i="62" s="1"/>
  <c r="X97" i="62"/>
  <c r="S97" i="62"/>
  <c r="U97" i="62" s="1"/>
  <c r="Q97" i="62"/>
  <c r="M97" i="62"/>
  <c r="J97" i="62"/>
  <c r="X96" i="62"/>
  <c r="Q96" i="62"/>
  <c r="S96" i="62" s="1"/>
  <c r="U96" i="62" s="1"/>
  <c r="J96" i="62"/>
  <c r="M96" i="62" s="1"/>
  <c r="X95" i="62"/>
  <c r="S95" i="62"/>
  <c r="U95" i="62" s="1"/>
  <c r="Q95" i="62"/>
  <c r="M95" i="62"/>
  <c r="J95" i="62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S91" i="62"/>
  <c r="U91" i="62" s="1"/>
  <c r="Q91" i="62"/>
  <c r="J91" i="62"/>
  <c r="M91" i="62" s="1"/>
  <c r="X90" i="62"/>
  <c r="Q90" i="62"/>
  <c r="S90" i="62" s="1"/>
  <c r="U90" i="62" s="1"/>
  <c r="J90" i="62"/>
  <c r="M90" i="62" s="1"/>
  <c r="X89" i="62"/>
  <c r="S89" i="62"/>
  <c r="U89" i="62" s="1"/>
  <c r="Q89" i="62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S85" i="62"/>
  <c r="U85" i="62" s="1"/>
  <c r="Q85" i="62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S81" i="62"/>
  <c r="U81" i="62" s="1"/>
  <c r="Q81" i="62"/>
  <c r="M81" i="62"/>
  <c r="J81" i="62"/>
  <c r="X80" i="62"/>
  <c r="Q80" i="62"/>
  <c r="S80" i="62" s="1"/>
  <c r="U80" i="62" s="1"/>
  <c r="J80" i="62"/>
  <c r="M80" i="62" s="1"/>
  <c r="X79" i="62"/>
  <c r="S79" i="62"/>
  <c r="U79" i="62" s="1"/>
  <c r="Q79" i="62"/>
  <c r="J79" i="62"/>
  <c r="M79" i="62" s="1"/>
  <c r="X78" i="62"/>
  <c r="Q78" i="62"/>
  <c r="S78" i="62" s="1"/>
  <c r="U78" i="62" s="1"/>
  <c r="J78" i="62"/>
  <c r="M78" i="62" s="1"/>
  <c r="X77" i="62"/>
  <c r="S77" i="62"/>
  <c r="U77" i="62" s="1"/>
  <c r="Q77" i="62"/>
  <c r="J77" i="62"/>
  <c r="M77" i="62" s="1"/>
  <c r="X76" i="62"/>
  <c r="Q76" i="62"/>
  <c r="S76" i="62" s="1"/>
  <c r="U76" i="62" s="1"/>
  <c r="J76" i="62"/>
  <c r="M76" i="62" s="1"/>
  <c r="X75" i="62"/>
  <c r="Q75" i="62"/>
  <c r="S75" i="62" s="1"/>
  <c r="U75" i="62" s="1"/>
  <c r="J75" i="62"/>
  <c r="M75" i="62" s="1"/>
  <c r="X74" i="62"/>
  <c r="Q74" i="62"/>
  <c r="S74" i="62" s="1"/>
  <c r="U74" i="62" s="1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S71" i="62"/>
  <c r="U71" i="62" s="1"/>
  <c r="Q71" i="62"/>
  <c r="J71" i="62"/>
  <c r="M71" i="62" s="1"/>
  <c r="X70" i="62"/>
  <c r="S70" i="62"/>
  <c r="U70" i="62" s="1"/>
  <c r="Q70" i="62"/>
  <c r="J70" i="62"/>
  <c r="M70" i="62" s="1"/>
  <c r="X69" i="62"/>
  <c r="Q69" i="62"/>
  <c r="S69" i="62" s="1"/>
  <c r="U69" i="62" s="1"/>
  <c r="J69" i="62"/>
  <c r="M69" i="62" s="1"/>
  <c r="X68" i="62"/>
  <c r="Q68" i="62"/>
  <c r="S68" i="62" s="1"/>
  <c r="U68" i="62" s="1"/>
  <c r="J68" i="62"/>
  <c r="M68" i="62" s="1"/>
  <c r="X67" i="62"/>
  <c r="S67" i="62"/>
  <c r="U67" i="62" s="1"/>
  <c r="Q67" i="62"/>
  <c r="J67" i="62"/>
  <c r="M67" i="62" s="1"/>
  <c r="X66" i="62"/>
  <c r="Q66" i="62"/>
  <c r="S66" i="62" s="1"/>
  <c r="U66" i="62" s="1"/>
  <c r="J66" i="62"/>
  <c r="M66" i="62" s="1"/>
  <c r="X65" i="62"/>
  <c r="S65" i="62"/>
  <c r="U65" i="62" s="1"/>
  <c r="Q65" i="62"/>
  <c r="J65" i="62"/>
  <c r="M65" i="62" s="1"/>
  <c r="X64" i="62"/>
  <c r="Q64" i="62"/>
  <c r="S64" i="62" s="1"/>
  <c r="U64" i="62" s="1"/>
  <c r="J64" i="62"/>
  <c r="M64" i="62" s="1"/>
  <c r="X63" i="62"/>
  <c r="S63" i="62"/>
  <c r="U63" i="62" s="1"/>
  <c r="Q63" i="62"/>
  <c r="J63" i="62"/>
  <c r="M63" i="62" s="1"/>
  <c r="X62" i="62"/>
  <c r="S62" i="62"/>
  <c r="U62" i="62" s="1"/>
  <c r="Q62" i="62"/>
  <c r="J62" i="62"/>
  <c r="M62" i="62" s="1"/>
  <c r="X61" i="62"/>
  <c r="U61" i="62"/>
  <c r="S61" i="62"/>
  <c r="Q61" i="62"/>
  <c r="J61" i="62"/>
  <c r="M61" i="62" s="1"/>
  <c r="X60" i="62"/>
  <c r="Q60" i="62"/>
  <c r="S60" i="62" s="1"/>
  <c r="U60" i="62" s="1"/>
  <c r="J60" i="62"/>
  <c r="M60" i="62" s="1"/>
  <c r="X59" i="62"/>
  <c r="S59" i="62"/>
  <c r="U59" i="62" s="1"/>
  <c r="Q59" i="62"/>
  <c r="J59" i="62"/>
  <c r="M59" i="62" s="1"/>
  <c r="X58" i="62"/>
  <c r="Q58" i="62"/>
  <c r="S58" i="62" s="1"/>
  <c r="U58" i="62" s="1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S54" i="62"/>
  <c r="U54" i="62" s="1"/>
  <c r="Q54" i="62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J52" i="62"/>
  <c r="M52" i="62" s="1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U48" i="62"/>
  <c r="Q48" i="62"/>
  <c r="S48" i="62" s="1"/>
  <c r="J48" i="62"/>
  <c r="M48" i="62" s="1"/>
  <c r="X47" i="62"/>
  <c r="S47" i="62"/>
  <c r="U47" i="62" s="1"/>
  <c r="Q47" i="62"/>
  <c r="J47" i="62"/>
  <c r="M47" i="62" s="1"/>
  <c r="X46" i="62"/>
  <c r="S46" i="62"/>
  <c r="U46" i="62" s="1"/>
  <c r="Q46" i="62"/>
  <c r="J46" i="62"/>
  <c r="M46" i="62" s="1"/>
  <c r="X45" i="62"/>
  <c r="Q45" i="62"/>
  <c r="S45" i="62" s="1"/>
  <c r="U45" i="62" s="1"/>
  <c r="J45" i="62"/>
  <c r="M45" i="62" s="1"/>
  <c r="X44" i="62"/>
  <c r="U44" i="62"/>
  <c r="Q44" i="62"/>
  <c r="S44" i="62" s="1"/>
  <c r="J44" i="62"/>
  <c r="M44" i="62" s="1"/>
  <c r="X43" i="62"/>
  <c r="S43" i="62"/>
  <c r="U43" i="62" s="1"/>
  <c r="Q43" i="62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U40" i="62"/>
  <c r="Q40" i="62"/>
  <c r="S40" i="62" s="1"/>
  <c r="M40" i="62"/>
  <c r="J40" i="62"/>
  <c r="X39" i="62"/>
  <c r="S39" i="62"/>
  <c r="U39" i="62" s="1"/>
  <c r="Q39" i="62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Q36" i="62"/>
  <c r="S36" i="62" s="1"/>
  <c r="U36" i="62" s="1"/>
  <c r="J36" i="62"/>
  <c r="M36" i="62" s="1"/>
  <c r="X35" i="62"/>
  <c r="S35" i="62"/>
  <c r="U35" i="62" s="1"/>
  <c r="Q35" i="62"/>
  <c r="J35" i="62"/>
  <c r="M35" i="62" s="1"/>
  <c r="X34" i="62"/>
  <c r="Q34" i="62"/>
  <c r="S34" i="62" s="1"/>
  <c r="U34" i="62" s="1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M32" i="62"/>
  <c r="J32" i="62"/>
  <c r="X31" i="62"/>
  <c r="Q31" i="62"/>
  <c r="S31" i="62" s="1"/>
  <c r="U31" i="62" s="1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S27" i="62"/>
  <c r="U27" i="62" s="1"/>
  <c r="Q27" i="62"/>
  <c r="M27" i="62"/>
  <c r="J27" i="62"/>
  <c r="X26" i="62"/>
  <c r="Q26" i="62"/>
  <c r="S26" i="62" s="1"/>
  <c r="U26" i="62" s="1"/>
  <c r="J26" i="62"/>
  <c r="M26" i="62" s="1"/>
  <c r="X25" i="62"/>
  <c r="S25" i="62"/>
  <c r="U25" i="62" s="1"/>
  <c r="Q25" i="62"/>
  <c r="J25" i="62"/>
  <c r="M25" i="62" s="1"/>
  <c r="X24" i="62"/>
  <c r="S24" i="62"/>
  <c r="U24" i="62" s="1"/>
  <c r="Q24" i="62"/>
  <c r="J24" i="62"/>
  <c r="M24" i="62" s="1"/>
  <c r="X23" i="62"/>
  <c r="Q23" i="62"/>
  <c r="S23" i="62" s="1"/>
  <c r="U23" i="62" s="1"/>
  <c r="M23" i="62"/>
  <c r="J23" i="62"/>
  <c r="X22" i="62"/>
  <c r="S22" i="62"/>
  <c r="U22" i="62" s="1"/>
  <c r="Q22" i="62"/>
  <c r="J22" i="62"/>
  <c r="M22" i="62" s="1"/>
  <c r="X21" i="62"/>
  <c r="S21" i="62"/>
  <c r="U21" i="62" s="1"/>
  <c r="Q21" i="62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M18" i="62"/>
  <c r="J18" i="62"/>
  <c r="X17" i="62"/>
  <c r="Q17" i="62"/>
  <c r="S17" i="62" s="1"/>
  <c r="U17" i="62" s="1"/>
  <c r="J17" i="62"/>
  <c r="M17" i="62" s="1"/>
  <c r="X16" i="62"/>
  <c r="U16" i="62"/>
  <c r="S16" i="62"/>
  <c r="Q16" i="62"/>
  <c r="J16" i="62"/>
  <c r="M16" i="62" s="1"/>
  <c r="X15" i="62"/>
  <c r="Q15" i="62"/>
  <c r="S15" i="62" s="1"/>
  <c r="U15" i="62" s="1"/>
  <c r="J15" i="62"/>
  <c r="M15" i="62" s="1"/>
  <c r="X14" i="62"/>
  <c r="S14" i="62"/>
  <c r="U14" i="62" s="1"/>
  <c r="Q14" i="62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S8" i="62"/>
  <c r="U8" i="62" s="1"/>
  <c r="Q8" i="62"/>
  <c r="J8" i="62"/>
  <c r="M8" i="62" s="1"/>
  <c r="X7" i="62"/>
  <c r="Q7" i="62"/>
  <c r="S7" i="62" s="1"/>
  <c r="U7" i="62" s="1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M5" i="62" s="1"/>
  <c r="K221" i="61"/>
  <c r="N31" i="16" s="1"/>
  <c r="K218" i="61"/>
  <c r="R31" i="16" s="1"/>
  <c r="J213" i="61"/>
  <c r="M213" i="61" s="1"/>
  <c r="J212" i="61"/>
  <c r="M212" i="61" s="1"/>
  <c r="J211" i="61"/>
  <c r="M211" i="61" s="1"/>
  <c r="J210" i="61"/>
  <c r="M210" i="61" s="1"/>
  <c r="J209" i="61"/>
  <c r="M209" i="61" s="1"/>
  <c r="J208" i="61"/>
  <c r="M208" i="61" s="1"/>
  <c r="J207" i="61"/>
  <c r="M207" i="61" s="1"/>
  <c r="J206" i="61"/>
  <c r="M206" i="61" s="1"/>
  <c r="J205" i="61"/>
  <c r="M205" i="61" s="1"/>
  <c r="J204" i="61"/>
  <c r="M204" i="61" s="1"/>
  <c r="J203" i="61"/>
  <c r="M203" i="61" s="1"/>
  <c r="J202" i="61"/>
  <c r="M202" i="61" s="1"/>
  <c r="J201" i="61"/>
  <c r="M201" i="61" s="1"/>
  <c r="J200" i="61"/>
  <c r="M200" i="61" s="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J126" i="61"/>
  <c r="M126" i="61" s="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S102" i="61"/>
  <c r="U102" i="61" s="1"/>
  <c r="Q102" i="61"/>
  <c r="J102" i="61"/>
  <c r="M102" i="61" s="1"/>
  <c r="X101" i="61"/>
  <c r="Q101" i="61"/>
  <c r="S101" i="61" s="1"/>
  <c r="U101" i="61" s="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Q98" i="61"/>
  <c r="S98" i="61" s="1"/>
  <c r="U98" i="61" s="1"/>
  <c r="J98" i="61"/>
  <c r="M98" i="61" s="1"/>
  <c r="X97" i="61"/>
  <c r="S97" i="61"/>
  <c r="U97" i="61" s="1"/>
  <c r="Q97" i="61"/>
  <c r="J97" i="61"/>
  <c r="M97" i="61" s="1"/>
  <c r="X96" i="61"/>
  <c r="U96" i="61"/>
  <c r="Q96" i="61"/>
  <c r="S96" i="61" s="1"/>
  <c r="J96" i="61"/>
  <c r="M96" i="61" s="1"/>
  <c r="X95" i="61"/>
  <c r="Q95" i="61"/>
  <c r="S95" i="61" s="1"/>
  <c r="U95" i="61" s="1"/>
  <c r="J95" i="61"/>
  <c r="M95" i="61" s="1"/>
  <c r="X94" i="61"/>
  <c r="Q94" i="61"/>
  <c r="S94" i="61" s="1"/>
  <c r="U94" i="61" s="1"/>
  <c r="J94" i="61"/>
  <c r="M94" i="61" s="1"/>
  <c r="X93" i="61"/>
  <c r="Q93" i="61"/>
  <c r="S93" i="61" s="1"/>
  <c r="U93" i="61" s="1"/>
  <c r="J93" i="61"/>
  <c r="M93" i="61" s="1"/>
  <c r="X92" i="61"/>
  <c r="Q92" i="61"/>
  <c r="S92" i="61" s="1"/>
  <c r="U92" i="61" s="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S89" i="61"/>
  <c r="U89" i="61" s="1"/>
  <c r="Q89" i="6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J87" i="61"/>
  <c r="M87" i="61" s="1"/>
  <c r="X86" i="61"/>
  <c r="S86" i="61"/>
  <c r="U86" i="61" s="1"/>
  <c r="Q86" i="61"/>
  <c r="J86" i="61"/>
  <c r="M86" i="61" s="1"/>
  <c r="X85" i="61"/>
  <c r="Q85" i="61"/>
  <c r="S85" i="61" s="1"/>
  <c r="U85" i="61" s="1"/>
  <c r="J85" i="61"/>
  <c r="M85" i="61" s="1"/>
  <c r="X84" i="61"/>
  <c r="Q84" i="61"/>
  <c r="S84" i="61" s="1"/>
  <c r="U84" i="61" s="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Q79" i="61"/>
  <c r="S79" i="61" s="1"/>
  <c r="U79" i="61" s="1"/>
  <c r="J79" i="61"/>
  <c r="M79" i="61" s="1"/>
  <c r="X78" i="61"/>
  <c r="S78" i="61"/>
  <c r="U78" i="61" s="1"/>
  <c r="Q78" i="61"/>
  <c r="J78" i="61"/>
  <c r="M78" i="61" s="1"/>
  <c r="X77" i="61"/>
  <c r="S77" i="61"/>
  <c r="U77" i="61" s="1"/>
  <c r="Q77" i="61"/>
  <c r="J77" i="61"/>
  <c r="M77" i="61" s="1"/>
  <c r="X76" i="61"/>
  <c r="Q76" i="61"/>
  <c r="S76" i="61" s="1"/>
  <c r="U76" i="61" s="1"/>
  <c r="J76" i="61"/>
  <c r="M76" i="61" s="1"/>
  <c r="X75" i="61"/>
  <c r="S75" i="61"/>
  <c r="U75" i="61" s="1"/>
  <c r="Q75" i="6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S70" i="61"/>
  <c r="U70" i="61" s="1"/>
  <c r="Q70" i="61"/>
  <c r="J70" i="61"/>
  <c r="M70" i="61" s="1"/>
  <c r="X69" i="61"/>
  <c r="Q69" i="61"/>
  <c r="S69" i="61" s="1"/>
  <c r="U69" i="61" s="1"/>
  <c r="J69" i="61"/>
  <c r="M69" i="61" s="1"/>
  <c r="X68" i="61"/>
  <c r="Q68" i="61"/>
  <c r="S68" i="61" s="1"/>
  <c r="U68" i="61" s="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Q63" i="61"/>
  <c r="S63" i="61" s="1"/>
  <c r="U63" i="61" s="1"/>
  <c r="J63" i="61"/>
  <c r="M63" i="61" s="1"/>
  <c r="X62" i="61"/>
  <c r="Q62" i="61"/>
  <c r="S62" i="61" s="1"/>
  <c r="U62" i="61" s="1"/>
  <c r="J62" i="61"/>
  <c r="M62" i="61" s="1"/>
  <c r="X61" i="61"/>
  <c r="S61" i="61"/>
  <c r="U61" i="61" s="1"/>
  <c r="Q61" i="61"/>
  <c r="J61" i="61"/>
  <c r="M61" i="61" s="1"/>
  <c r="X60" i="61"/>
  <c r="Q60" i="61"/>
  <c r="S60" i="61" s="1"/>
  <c r="U60" i="61" s="1"/>
  <c r="J60" i="61"/>
  <c r="M60" i="61" s="1"/>
  <c r="X59" i="61"/>
  <c r="S59" i="61"/>
  <c r="U59" i="61" s="1"/>
  <c r="Q59" i="61"/>
  <c r="J59" i="61"/>
  <c r="M59" i="61" s="1"/>
  <c r="X58" i="61"/>
  <c r="S58" i="61"/>
  <c r="U58" i="61" s="1"/>
  <c r="Q58" i="61"/>
  <c r="J58" i="61"/>
  <c r="M58" i="61" s="1"/>
  <c r="X57" i="61"/>
  <c r="S57" i="61"/>
  <c r="U57" i="61" s="1"/>
  <c r="Q57" i="6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Q45" i="61"/>
  <c r="S45" i="61" s="1"/>
  <c r="U45" i="61" s="1"/>
  <c r="J45" i="61"/>
  <c r="M45" i="61" s="1"/>
  <c r="X44" i="61"/>
  <c r="Q44" i="61"/>
  <c r="S44" i="61" s="1"/>
  <c r="U44" i="61" s="1"/>
  <c r="J44" i="61"/>
  <c r="M44" i="61" s="1"/>
  <c r="X43" i="61"/>
  <c r="S43" i="61"/>
  <c r="U43" i="61" s="1"/>
  <c r="Q43" i="61"/>
  <c r="J43" i="61"/>
  <c r="M43" i="61" s="1"/>
  <c r="X42" i="61"/>
  <c r="Q42" i="61"/>
  <c r="S42" i="61" s="1"/>
  <c r="U42" i="61" s="1"/>
  <c r="J42" i="61"/>
  <c r="M42" i="61" s="1"/>
  <c r="X41" i="61"/>
  <c r="S41" i="61"/>
  <c r="U41" i="61" s="1"/>
  <c r="Q41" i="6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Q36" i="61"/>
  <c r="S36" i="61" s="1"/>
  <c r="U36" i="61" s="1"/>
  <c r="J36" i="61"/>
  <c r="M36" i="61" s="1"/>
  <c r="X35" i="61"/>
  <c r="Q35" i="61"/>
  <c r="S35" i="61" s="1"/>
  <c r="U35" i="61" s="1"/>
  <c r="J35" i="61"/>
  <c r="M35" i="61" s="1"/>
  <c r="X34" i="61"/>
  <c r="S34" i="61"/>
  <c r="U34" i="61" s="1"/>
  <c r="Q34" i="6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S31" i="61"/>
  <c r="U31" i="61" s="1"/>
  <c r="Q31" i="61"/>
  <c r="J31" i="61"/>
  <c r="M31" i="61" s="1"/>
  <c r="X30" i="61"/>
  <c r="Q30" i="61"/>
  <c r="S30" i="61" s="1"/>
  <c r="U30" i="61" s="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S25" i="61"/>
  <c r="U25" i="61" s="1"/>
  <c r="Q25" i="61"/>
  <c r="J25" i="61"/>
  <c r="M25" i="61" s="1"/>
  <c r="X24" i="61"/>
  <c r="Q24" i="61"/>
  <c r="S24" i="61" s="1"/>
  <c r="U24" i="61" s="1"/>
  <c r="J24" i="61"/>
  <c r="M24" i="61" s="1"/>
  <c r="X23" i="61"/>
  <c r="S23" i="61"/>
  <c r="U23" i="61" s="1"/>
  <c r="Q23" i="6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S15" i="61"/>
  <c r="U15" i="61" s="1"/>
  <c r="Q15" i="61"/>
  <c r="J15" i="61"/>
  <c r="M15" i="61" s="1"/>
  <c r="X14" i="61"/>
  <c r="Q14" i="61"/>
  <c r="S14" i="61" s="1"/>
  <c r="U14" i="61" s="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S11" i="61"/>
  <c r="U11" i="61" s="1"/>
  <c r="Q11" i="61"/>
  <c r="J11" i="61"/>
  <c r="M11" i="61" s="1"/>
  <c r="X10" i="61"/>
  <c r="Q10" i="61"/>
  <c r="S10" i="61" s="1"/>
  <c r="U10" i="61" s="1"/>
  <c r="J10" i="61"/>
  <c r="M10" i="61" s="1"/>
  <c r="X9" i="61"/>
  <c r="S9" i="61"/>
  <c r="U9" i="61" s="1"/>
  <c r="Q9" i="6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M5" i="61" s="1"/>
  <c r="K221" i="60"/>
  <c r="N30" i="16" s="1"/>
  <c r="K218" i="60"/>
  <c r="R30" i="16" s="1"/>
  <c r="J213" i="60"/>
  <c r="M213" i="60" s="1"/>
  <c r="J212" i="60"/>
  <c r="M212" i="60" s="1"/>
  <c r="J211" i="60"/>
  <c r="M211" i="60" s="1"/>
  <c r="J210" i="60"/>
  <c r="M210" i="60" s="1"/>
  <c r="J209" i="60"/>
  <c r="M209" i="60" s="1"/>
  <c r="J208" i="60"/>
  <c r="M208" i="60" s="1"/>
  <c r="J207" i="60"/>
  <c r="M207" i="60" s="1"/>
  <c r="J206" i="60"/>
  <c r="M206" i="60" s="1"/>
  <c r="J205" i="60"/>
  <c r="M205" i="60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M196" i="60"/>
  <c r="J196" i="60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M143" i="60"/>
  <c r="J143" i="60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J123" i="60"/>
  <c r="M123" i="60" s="1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Q104" i="60"/>
  <c r="S104" i="60" s="1"/>
  <c r="U104" i="60" s="1"/>
  <c r="J104" i="60"/>
  <c r="M104" i="60" s="1"/>
  <c r="X103" i="60"/>
  <c r="Q103" i="60"/>
  <c r="S103" i="60" s="1"/>
  <c r="U103" i="60" s="1"/>
  <c r="J103" i="60"/>
  <c r="M103" i="60" s="1"/>
  <c r="X102" i="60"/>
  <c r="Q102" i="60"/>
  <c r="S102" i="60" s="1"/>
  <c r="U102" i="60" s="1"/>
  <c r="J102" i="60"/>
  <c r="M102" i="60" s="1"/>
  <c r="X101" i="60"/>
  <c r="Q101" i="60"/>
  <c r="S101" i="60" s="1"/>
  <c r="U101" i="60" s="1"/>
  <c r="J101" i="60"/>
  <c r="M101" i="60" s="1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S96" i="60"/>
  <c r="U96" i="60" s="1"/>
  <c r="Q96" i="60"/>
  <c r="J96" i="60"/>
  <c r="M96" i="60" s="1"/>
  <c r="X95" i="60"/>
  <c r="S95" i="60"/>
  <c r="U95" i="60" s="1"/>
  <c r="Q95" i="60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Q90" i="60"/>
  <c r="S90" i="60" s="1"/>
  <c r="U90" i="60" s="1"/>
  <c r="J90" i="60"/>
  <c r="M90" i="60" s="1"/>
  <c r="X89" i="60"/>
  <c r="Q89" i="60"/>
  <c r="S89" i="60" s="1"/>
  <c r="U89" i="60" s="1"/>
  <c r="J89" i="60"/>
  <c r="M89" i="60" s="1"/>
  <c r="X88" i="60"/>
  <c r="S88" i="60"/>
  <c r="U88" i="60" s="1"/>
  <c r="Q88" i="60"/>
  <c r="J88" i="60"/>
  <c r="M88" i="60" s="1"/>
  <c r="X87" i="60"/>
  <c r="S87" i="60"/>
  <c r="U87" i="60" s="1"/>
  <c r="Q87" i="60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Q84" i="60"/>
  <c r="S84" i="60" s="1"/>
  <c r="U84" i="60" s="1"/>
  <c r="J84" i="60"/>
  <c r="M84" i="60" s="1"/>
  <c r="X83" i="60"/>
  <c r="S83" i="60"/>
  <c r="U83" i="60" s="1"/>
  <c r="Q83" i="60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M81" i="60"/>
  <c r="J81" i="60"/>
  <c r="X80" i="60"/>
  <c r="Q80" i="60"/>
  <c r="S80" i="60" s="1"/>
  <c r="U80" i="60" s="1"/>
  <c r="J80" i="60"/>
  <c r="M80" i="60" s="1"/>
  <c r="X79" i="60"/>
  <c r="S79" i="60"/>
  <c r="U79" i="60" s="1"/>
  <c r="Q79" i="60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Q75" i="60"/>
  <c r="S75" i="60" s="1"/>
  <c r="U75" i="60" s="1"/>
  <c r="J75" i="60"/>
  <c r="M75" i="60" s="1"/>
  <c r="X74" i="60"/>
  <c r="Q74" i="60"/>
  <c r="S74" i="60" s="1"/>
  <c r="U74" i="60" s="1"/>
  <c r="J74" i="60"/>
  <c r="M74" i="60" s="1"/>
  <c r="X73" i="60"/>
  <c r="Q73" i="60"/>
  <c r="S73" i="60" s="1"/>
  <c r="U73" i="60" s="1"/>
  <c r="J73" i="60"/>
  <c r="M73" i="60" s="1"/>
  <c r="X72" i="60"/>
  <c r="Q72" i="60"/>
  <c r="S72" i="60" s="1"/>
  <c r="U72" i="60" s="1"/>
  <c r="J72" i="60"/>
  <c r="M72" i="60" s="1"/>
  <c r="X71" i="60"/>
  <c r="S71" i="60"/>
  <c r="U71" i="60" s="1"/>
  <c r="Q71" i="60"/>
  <c r="J71" i="60"/>
  <c r="M71" i="60" s="1"/>
  <c r="X70" i="60"/>
  <c r="Q70" i="60"/>
  <c r="S70" i="60" s="1"/>
  <c r="U70" i="60" s="1"/>
  <c r="J70" i="60"/>
  <c r="M70" i="60" s="1"/>
  <c r="X69" i="60"/>
  <c r="S69" i="60"/>
  <c r="U69" i="60" s="1"/>
  <c r="Q69" i="60"/>
  <c r="J69" i="60"/>
  <c r="M69" i="60" s="1"/>
  <c r="X68" i="60"/>
  <c r="Q68" i="60"/>
  <c r="S68" i="60" s="1"/>
  <c r="U68" i="60" s="1"/>
  <c r="J68" i="60"/>
  <c r="M68" i="60" s="1"/>
  <c r="X67" i="60"/>
  <c r="Q67" i="60"/>
  <c r="S67" i="60" s="1"/>
  <c r="U67" i="60" s="1"/>
  <c r="J67" i="60"/>
  <c r="M67" i="60" s="1"/>
  <c r="X66" i="60"/>
  <c r="Q66" i="60"/>
  <c r="S66" i="60" s="1"/>
  <c r="U66" i="60" s="1"/>
  <c r="M66" i="60"/>
  <c r="J66" i="60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Q63" i="60"/>
  <c r="S63" i="60" s="1"/>
  <c r="U63" i="60" s="1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S59" i="60"/>
  <c r="U59" i="60" s="1"/>
  <c r="Q59" i="60"/>
  <c r="J59" i="60"/>
  <c r="M59" i="60" s="1"/>
  <c r="X58" i="60"/>
  <c r="Q58" i="60"/>
  <c r="S58" i="60" s="1"/>
  <c r="U58" i="60" s="1"/>
  <c r="J58" i="60"/>
  <c r="M58" i="60" s="1"/>
  <c r="X57" i="60"/>
  <c r="Q57" i="60"/>
  <c r="S57" i="60" s="1"/>
  <c r="U57" i="60" s="1"/>
  <c r="J57" i="60"/>
  <c r="M57" i="60" s="1"/>
  <c r="X56" i="60"/>
  <c r="Q56" i="60"/>
  <c r="S56" i="60" s="1"/>
  <c r="U56" i="60" s="1"/>
  <c r="J56" i="60"/>
  <c r="M56" i="60" s="1"/>
  <c r="X55" i="60"/>
  <c r="Q55" i="60"/>
  <c r="S55" i="60" s="1"/>
  <c r="U55" i="60" s="1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Q51" i="60"/>
  <c r="S51" i="60" s="1"/>
  <c r="U51" i="60" s="1"/>
  <c r="J51" i="60"/>
  <c r="M51" i="60" s="1"/>
  <c r="X50" i="60"/>
  <c r="Q50" i="60"/>
  <c r="S50" i="60" s="1"/>
  <c r="U50" i="60" s="1"/>
  <c r="J50" i="60"/>
  <c r="M50" i="60" s="1"/>
  <c r="X49" i="60"/>
  <c r="Q49" i="60"/>
  <c r="S49" i="60" s="1"/>
  <c r="U49" i="60" s="1"/>
  <c r="J49" i="60"/>
  <c r="M49" i="60" s="1"/>
  <c r="X48" i="60"/>
  <c r="Q48" i="60"/>
  <c r="S48" i="60" s="1"/>
  <c r="U48" i="60" s="1"/>
  <c r="J48" i="60"/>
  <c r="M48" i="60" s="1"/>
  <c r="X47" i="60"/>
  <c r="U47" i="60"/>
  <c r="Q47" i="60"/>
  <c r="S47" i="60" s="1"/>
  <c r="J47" i="60"/>
  <c r="M47" i="60" s="1"/>
  <c r="X46" i="60"/>
  <c r="U46" i="60"/>
  <c r="Q46" i="60"/>
  <c r="S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Q41" i="60"/>
  <c r="S41" i="60" s="1"/>
  <c r="U41" i="60" s="1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Q38" i="60"/>
  <c r="S38" i="60" s="1"/>
  <c r="U38" i="60" s="1"/>
  <c r="J38" i="60"/>
  <c r="M38" i="60" s="1"/>
  <c r="X37" i="60"/>
  <c r="S37" i="60"/>
  <c r="U37" i="60" s="1"/>
  <c r="Q37" i="60"/>
  <c r="J37" i="60"/>
  <c r="M37" i="60" s="1"/>
  <c r="X36" i="60"/>
  <c r="Q36" i="60"/>
  <c r="S36" i="60" s="1"/>
  <c r="U36" i="60" s="1"/>
  <c r="J36" i="60"/>
  <c r="M36" i="60" s="1"/>
  <c r="X35" i="60"/>
  <c r="S35" i="60"/>
  <c r="U35" i="60" s="1"/>
  <c r="Q35" i="60"/>
  <c r="J35" i="60"/>
  <c r="M35" i="60" s="1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S30" i="60"/>
  <c r="U30" i="60" s="1"/>
  <c r="Q30" i="60"/>
  <c r="J30" i="60"/>
  <c r="M30" i="60" s="1"/>
  <c r="X29" i="60"/>
  <c r="Q29" i="60"/>
  <c r="S29" i="60" s="1"/>
  <c r="U29" i="60" s="1"/>
  <c r="M29" i="60"/>
  <c r="J29" i="60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S26" i="60"/>
  <c r="U26" i="60" s="1"/>
  <c r="Q26" i="60"/>
  <c r="J26" i="60"/>
  <c r="M26" i="60" s="1"/>
  <c r="X25" i="60"/>
  <c r="Q25" i="60"/>
  <c r="S25" i="60" s="1"/>
  <c r="U25" i="60" s="1"/>
  <c r="J25" i="60"/>
  <c r="M25" i="60" s="1"/>
  <c r="X24" i="60"/>
  <c r="Q24" i="60"/>
  <c r="S24" i="60" s="1"/>
  <c r="U24" i="60" s="1"/>
  <c r="J24" i="60"/>
  <c r="M24" i="60" s="1"/>
  <c r="X23" i="60"/>
  <c r="Q23" i="60"/>
  <c r="S23" i="60" s="1"/>
  <c r="U23" i="60" s="1"/>
  <c r="J23" i="60"/>
  <c r="M23" i="60" s="1"/>
  <c r="X22" i="60"/>
  <c r="S22" i="60"/>
  <c r="U22" i="60" s="1"/>
  <c r="Q22" i="60"/>
  <c r="J22" i="60"/>
  <c r="M22" i="60" s="1"/>
  <c r="X21" i="60"/>
  <c r="Q21" i="60"/>
  <c r="S21" i="60" s="1"/>
  <c r="U21" i="60" s="1"/>
  <c r="J21" i="60"/>
  <c r="M21" i="60" s="1"/>
  <c r="X20" i="60"/>
  <c r="Q20" i="60"/>
  <c r="S20" i="60" s="1"/>
  <c r="U20" i="60" s="1"/>
  <c r="J20" i="60"/>
  <c r="M20" i="60" s="1"/>
  <c r="X19" i="60"/>
  <c r="Q19" i="60"/>
  <c r="S19" i="60" s="1"/>
  <c r="U19" i="60" s="1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J16" i="60"/>
  <c r="M16" i="60" s="1"/>
  <c r="X15" i="60"/>
  <c r="S15" i="60"/>
  <c r="U15" i="60" s="1"/>
  <c r="Q15" i="60"/>
  <c r="J15" i="60"/>
  <c r="M15" i="60" s="1"/>
  <c r="X14" i="60"/>
  <c r="S14" i="60"/>
  <c r="U14" i="60" s="1"/>
  <c r="Q14" i="60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U10" i="60"/>
  <c r="S10" i="60"/>
  <c r="Q10" i="60"/>
  <c r="J10" i="60"/>
  <c r="M10" i="60" s="1"/>
  <c r="X9" i="60"/>
  <c r="Q9" i="60"/>
  <c r="S9" i="60" s="1"/>
  <c r="U9" i="60" s="1"/>
  <c r="J9" i="60"/>
  <c r="M9" i="60" s="1"/>
  <c r="X8" i="60"/>
  <c r="S8" i="60"/>
  <c r="U8" i="60" s="1"/>
  <c r="Q8" i="60"/>
  <c r="J8" i="60"/>
  <c r="M8" i="60" s="1"/>
  <c r="X7" i="60"/>
  <c r="S7" i="60"/>
  <c r="U7" i="60" s="1"/>
  <c r="Q7" i="60"/>
  <c r="J7" i="60"/>
  <c r="M7" i="60" s="1"/>
  <c r="X6" i="60"/>
  <c r="U6" i="60"/>
  <c r="S6" i="60"/>
  <c r="Q6" i="60"/>
  <c r="J6" i="60"/>
  <c r="M6" i="60" s="1"/>
  <c r="X5" i="60"/>
  <c r="Q5" i="60"/>
  <c r="S5" i="60" s="1"/>
  <c r="U5" i="60" s="1"/>
  <c r="J5" i="60"/>
  <c r="M5" i="60" s="1"/>
  <c r="K221" i="59"/>
  <c r="N29" i="16" s="1"/>
  <c r="K218" i="59"/>
  <c r="R29" i="16" s="1"/>
  <c r="J213" i="59"/>
  <c r="M213" i="59" s="1"/>
  <c r="J212" i="59"/>
  <c r="M212" i="59" s="1"/>
  <c r="J211" i="59"/>
  <c r="M211" i="59" s="1"/>
  <c r="J210" i="59"/>
  <c r="M210" i="59" s="1"/>
  <c r="J209" i="59"/>
  <c r="M209" i="59" s="1"/>
  <c r="J208" i="59"/>
  <c r="M208" i="59" s="1"/>
  <c r="J207" i="59"/>
  <c r="M207" i="59" s="1"/>
  <c r="M206" i="59"/>
  <c r="J206" i="59"/>
  <c r="J205" i="59"/>
  <c r="M205" i="59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M181" i="59"/>
  <c r="J181" i="59"/>
  <c r="J180" i="59"/>
  <c r="M180" i="59" s="1"/>
  <c r="J179" i="59"/>
  <c r="M179" i="59" s="1"/>
  <c r="M178" i="59"/>
  <c r="J178" i="59"/>
  <c r="J177" i="59"/>
  <c r="M177" i="59" s="1"/>
  <c r="J176" i="59"/>
  <c r="M176" i="59" s="1"/>
  <c r="J175" i="59"/>
  <c r="M175" i="59" s="1"/>
  <c r="J174" i="59"/>
  <c r="M174" i="59" s="1"/>
  <c r="J173" i="59"/>
  <c r="M173" i="59" s="1"/>
  <c r="J172" i="59"/>
  <c r="M172" i="59" s="1"/>
  <c r="M171" i="59"/>
  <c r="J171" i="59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M154" i="59"/>
  <c r="J154" i="59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M131" i="59"/>
  <c r="J131" i="59"/>
  <c r="J130" i="59"/>
  <c r="M130" i="59" s="1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M107" i="59"/>
  <c r="J107" i="59"/>
  <c r="J106" i="59"/>
  <c r="M106" i="59" s="1"/>
  <c r="Z105" i="59"/>
  <c r="J105" i="59"/>
  <c r="M105" i="59" s="1"/>
  <c r="X104" i="59"/>
  <c r="Q104" i="59"/>
  <c r="S104" i="59" s="1"/>
  <c r="U104" i="59" s="1"/>
  <c r="M104" i="59"/>
  <c r="J104" i="59"/>
  <c r="X103" i="59"/>
  <c r="U103" i="59"/>
  <c r="Q103" i="59"/>
  <c r="S103" i="59" s="1"/>
  <c r="J103" i="59"/>
  <c r="M103" i="59" s="1"/>
  <c r="X102" i="59"/>
  <c r="S102" i="59"/>
  <c r="U102" i="59" s="1"/>
  <c r="Q102" i="59"/>
  <c r="J102" i="59"/>
  <c r="M102" i="59" s="1"/>
  <c r="X101" i="59"/>
  <c r="S101" i="59"/>
  <c r="U101" i="59" s="1"/>
  <c r="Q101" i="59"/>
  <c r="J101" i="59"/>
  <c r="M101" i="59" s="1"/>
  <c r="X100" i="59"/>
  <c r="U100" i="59"/>
  <c r="Q100" i="59"/>
  <c r="S100" i="59" s="1"/>
  <c r="J100" i="59"/>
  <c r="M100" i="59" s="1"/>
  <c r="X99" i="59"/>
  <c r="S99" i="59"/>
  <c r="U99" i="59" s="1"/>
  <c r="Q99" i="59"/>
  <c r="J99" i="59"/>
  <c r="M99" i="59" s="1"/>
  <c r="X98" i="59"/>
  <c r="Q98" i="59"/>
  <c r="S98" i="59" s="1"/>
  <c r="U98" i="59" s="1"/>
  <c r="J98" i="59"/>
  <c r="M98" i="59" s="1"/>
  <c r="X97" i="59"/>
  <c r="S97" i="59"/>
  <c r="U97" i="59" s="1"/>
  <c r="Q97" i="59"/>
  <c r="J97" i="59"/>
  <c r="M97" i="59" s="1"/>
  <c r="X96" i="59"/>
  <c r="U96" i="59"/>
  <c r="S96" i="59"/>
  <c r="Q96" i="59"/>
  <c r="J96" i="59"/>
  <c r="M96" i="59" s="1"/>
  <c r="X95" i="59"/>
  <c r="Q95" i="59"/>
  <c r="S95" i="59" s="1"/>
  <c r="U95" i="59" s="1"/>
  <c r="J95" i="59"/>
  <c r="M95" i="59" s="1"/>
  <c r="X94" i="59"/>
  <c r="Q94" i="59"/>
  <c r="S94" i="59" s="1"/>
  <c r="U94" i="59" s="1"/>
  <c r="J94" i="59"/>
  <c r="M94" i="59" s="1"/>
  <c r="X93" i="59"/>
  <c r="Q93" i="59"/>
  <c r="S93" i="59" s="1"/>
  <c r="U93" i="59" s="1"/>
  <c r="J93" i="59"/>
  <c r="M93" i="59" s="1"/>
  <c r="X92" i="59"/>
  <c r="Q92" i="59"/>
  <c r="S92" i="59" s="1"/>
  <c r="U92" i="59" s="1"/>
  <c r="J92" i="59"/>
  <c r="M92" i="59" s="1"/>
  <c r="X91" i="59"/>
  <c r="Q91" i="59"/>
  <c r="S91" i="59" s="1"/>
  <c r="U91" i="59" s="1"/>
  <c r="J91" i="59"/>
  <c r="M91" i="59" s="1"/>
  <c r="X90" i="59"/>
  <c r="S90" i="59"/>
  <c r="U90" i="59" s="1"/>
  <c r="Q90" i="59"/>
  <c r="J90" i="59"/>
  <c r="M90" i="59" s="1"/>
  <c r="X89" i="59"/>
  <c r="Q89" i="59"/>
  <c r="S89" i="59" s="1"/>
  <c r="U89" i="59" s="1"/>
  <c r="J89" i="59"/>
  <c r="M89" i="59" s="1"/>
  <c r="X88" i="59"/>
  <c r="Q88" i="59"/>
  <c r="S88" i="59" s="1"/>
  <c r="U88" i="59" s="1"/>
  <c r="J88" i="59"/>
  <c r="M88" i="59" s="1"/>
  <c r="X87" i="59"/>
  <c r="Q87" i="59"/>
  <c r="S87" i="59" s="1"/>
  <c r="U87" i="59" s="1"/>
  <c r="J87" i="59"/>
  <c r="M87" i="59" s="1"/>
  <c r="X86" i="59"/>
  <c r="S86" i="59"/>
  <c r="U86" i="59" s="1"/>
  <c r="Q86" i="59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Q83" i="59"/>
  <c r="S83" i="59" s="1"/>
  <c r="U83" i="59" s="1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Q79" i="59"/>
  <c r="S79" i="59" s="1"/>
  <c r="U79" i="59" s="1"/>
  <c r="J79" i="59"/>
  <c r="M79" i="59" s="1"/>
  <c r="X78" i="59"/>
  <c r="Q78" i="59"/>
  <c r="S78" i="59" s="1"/>
  <c r="U78" i="59" s="1"/>
  <c r="J78" i="59"/>
  <c r="M78" i="59" s="1"/>
  <c r="X77" i="59"/>
  <c r="Q77" i="59"/>
  <c r="S77" i="59" s="1"/>
  <c r="U77" i="59" s="1"/>
  <c r="J77" i="59"/>
  <c r="M77" i="59" s="1"/>
  <c r="X76" i="59"/>
  <c r="U76" i="59"/>
  <c r="Q76" i="59"/>
  <c r="S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J74" i="59"/>
  <c r="M74" i="59" s="1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Q71" i="59"/>
  <c r="S71" i="59" s="1"/>
  <c r="U71" i="59" s="1"/>
  <c r="J71" i="59"/>
  <c r="M71" i="59" s="1"/>
  <c r="X70" i="59"/>
  <c r="S70" i="59"/>
  <c r="U70" i="59" s="1"/>
  <c r="Q70" i="59"/>
  <c r="J70" i="59"/>
  <c r="M70" i="59" s="1"/>
  <c r="X69" i="59"/>
  <c r="Q69" i="59"/>
  <c r="S69" i="59" s="1"/>
  <c r="U69" i="59" s="1"/>
  <c r="J69" i="59"/>
  <c r="M69" i="59" s="1"/>
  <c r="X68" i="59"/>
  <c r="U68" i="59"/>
  <c r="Q68" i="59"/>
  <c r="S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U65" i="59"/>
  <c r="Q65" i="59"/>
  <c r="S65" i="59" s="1"/>
  <c r="J65" i="59"/>
  <c r="M65" i="59" s="1"/>
  <c r="X64" i="59"/>
  <c r="Q64" i="59"/>
  <c r="S64" i="59" s="1"/>
  <c r="U64" i="59" s="1"/>
  <c r="J64" i="59"/>
  <c r="M64" i="59" s="1"/>
  <c r="X63" i="59"/>
  <c r="U63" i="59"/>
  <c r="S63" i="59"/>
  <c r="Q63" i="59"/>
  <c r="J63" i="59"/>
  <c r="M63" i="59" s="1"/>
  <c r="X62" i="59"/>
  <c r="Q62" i="59"/>
  <c r="S62" i="59" s="1"/>
  <c r="U62" i="59" s="1"/>
  <c r="J62" i="59"/>
  <c r="M62" i="59" s="1"/>
  <c r="X61" i="59"/>
  <c r="U61" i="59"/>
  <c r="Q61" i="59"/>
  <c r="S61" i="59" s="1"/>
  <c r="J61" i="59"/>
  <c r="M61" i="59" s="1"/>
  <c r="X60" i="59"/>
  <c r="Q60" i="59"/>
  <c r="S60" i="59" s="1"/>
  <c r="U60" i="59" s="1"/>
  <c r="J60" i="59"/>
  <c r="M60" i="59" s="1"/>
  <c r="X59" i="59"/>
  <c r="Q59" i="59"/>
  <c r="S59" i="59" s="1"/>
  <c r="U59" i="59" s="1"/>
  <c r="J59" i="59"/>
  <c r="M59" i="59" s="1"/>
  <c r="X58" i="59"/>
  <c r="S58" i="59"/>
  <c r="U58" i="59" s="1"/>
  <c r="Q58" i="59"/>
  <c r="J58" i="59"/>
  <c r="M58" i="59" s="1"/>
  <c r="X57" i="59"/>
  <c r="U57" i="59"/>
  <c r="S57" i="59"/>
  <c r="Q57" i="59"/>
  <c r="J57" i="59"/>
  <c r="M57" i="59" s="1"/>
  <c r="X56" i="59"/>
  <c r="Q56" i="59"/>
  <c r="S56" i="59" s="1"/>
  <c r="U56" i="59" s="1"/>
  <c r="J56" i="59"/>
  <c r="M56" i="59" s="1"/>
  <c r="X55" i="59"/>
  <c r="Q55" i="59"/>
  <c r="S55" i="59" s="1"/>
  <c r="U55" i="59" s="1"/>
  <c r="J55" i="59"/>
  <c r="M55" i="59" s="1"/>
  <c r="X54" i="59"/>
  <c r="S54" i="59"/>
  <c r="U54" i="59" s="1"/>
  <c r="Q54" i="59"/>
  <c r="J54" i="59"/>
  <c r="M54" i="59" s="1"/>
  <c r="X53" i="59"/>
  <c r="Q53" i="59"/>
  <c r="S53" i="59" s="1"/>
  <c r="U53" i="59" s="1"/>
  <c r="J53" i="59"/>
  <c r="M53" i="59" s="1"/>
  <c r="X52" i="59"/>
  <c r="Q52" i="59"/>
  <c r="S52" i="59" s="1"/>
  <c r="U52" i="59" s="1"/>
  <c r="J52" i="59"/>
  <c r="M52" i="59" s="1"/>
  <c r="X51" i="59"/>
  <c r="S51" i="59"/>
  <c r="U51" i="59" s="1"/>
  <c r="Q51" i="59"/>
  <c r="M51" i="59"/>
  <c r="J51" i="59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S47" i="59"/>
  <c r="U47" i="59" s="1"/>
  <c r="Q47" i="59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Q43" i="59"/>
  <c r="S43" i="59" s="1"/>
  <c r="U43" i="59" s="1"/>
  <c r="J43" i="59"/>
  <c r="M43" i="59" s="1"/>
  <c r="X42" i="59"/>
  <c r="Q42" i="59"/>
  <c r="S42" i="59" s="1"/>
  <c r="U42" i="59" s="1"/>
  <c r="J42" i="59"/>
  <c r="M42" i="59" s="1"/>
  <c r="X41" i="59"/>
  <c r="U41" i="59"/>
  <c r="Q41" i="59"/>
  <c r="S41" i="59" s="1"/>
  <c r="J41" i="59"/>
  <c r="M41" i="59" s="1"/>
  <c r="X40" i="59"/>
  <c r="Q40" i="59"/>
  <c r="S40" i="59" s="1"/>
  <c r="U40" i="59" s="1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M35" i="59"/>
  <c r="J35" i="59"/>
  <c r="X34" i="59"/>
  <c r="Q34" i="59"/>
  <c r="S34" i="59" s="1"/>
  <c r="U34" i="59" s="1"/>
  <c r="J34" i="59"/>
  <c r="M34" i="59" s="1"/>
  <c r="X33" i="59"/>
  <c r="Q33" i="59"/>
  <c r="S33" i="59" s="1"/>
  <c r="U33" i="59" s="1"/>
  <c r="J33" i="59"/>
  <c r="M33" i="59" s="1"/>
  <c r="X32" i="59"/>
  <c r="U32" i="59"/>
  <c r="Q32" i="59"/>
  <c r="S32" i="59" s="1"/>
  <c r="J32" i="59"/>
  <c r="M32" i="59" s="1"/>
  <c r="X31" i="59"/>
  <c r="Q31" i="59"/>
  <c r="S31" i="59" s="1"/>
  <c r="U31" i="59" s="1"/>
  <c r="J31" i="59"/>
  <c r="M31" i="59" s="1"/>
  <c r="X30" i="59"/>
  <c r="Q30" i="59"/>
  <c r="S30" i="59" s="1"/>
  <c r="U30" i="59" s="1"/>
  <c r="J30" i="59"/>
  <c r="M30" i="59" s="1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S26" i="59"/>
  <c r="U26" i="59" s="1"/>
  <c r="Q26" i="59"/>
  <c r="J26" i="59"/>
  <c r="M26" i="59" s="1"/>
  <c r="X25" i="59"/>
  <c r="Q25" i="59"/>
  <c r="S25" i="59" s="1"/>
  <c r="U25" i="59" s="1"/>
  <c r="J25" i="59"/>
  <c r="M25" i="59" s="1"/>
  <c r="X24" i="59"/>
  <c r="U24" i="59"/>
  <c r="Q24" i="59"/>
  <c r="S24" i="59" s="1"/>
  <c r="J24" i="59"/>
  <c r="M24" i="59" s="1"/>
  <c r="X23" i="59"/>
  <c r="Q23" i="59"/>
  <c r="S23" i="59" s="1"/>
  <c r="U23" i="59" s="1"/>
  <c r="J23" i="59"/>
  <c r="M23" i="59" s="1"/>
  <c r="X22" i="59"/>
  <c r="S22" i="59"/>
  <c r="U22" i="59" s="1"/>
  <c r="Q22" i="59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Q16" i="59"/>
  <c r="S16" i="59" s="1"/>
  <c r="U16" i="59" s="1"/>
  <c r="M16" i="59"/>
  <c r="J16" i="59"/>
  <c r="X15" i="59"/>
  <c r="S15" i="59"/>
  <c r="U15" i="59" s="1"/>
  <c r="Q15" i="59"/>
  <c r="J15" i="59"/>
  <c r="M15" i="59" s="1"/>
  <c r="X14" i="59"/>
  <c r="S14" i="59"/>
  <c r="U14" i="59" s="1"/>
  <c r="Q14" i="59"/>
  <c r="J14" i="59"/>
  <c r="M14" i="59" s="1"/>
  <c r="X13" i="59"/>
  <c r="S13" i="59"/>
  <c r="U13" i="59" s="1"/>
  <c r="Q13" i="59"/>
  <c r="J13" i="59"/>
  <c r="M13" i="59" s="1"/>
  <c r="X12" i="59"/>
  <c r="Q12" i="59"/>
  <c r="S12" i="59" s="1"/>
  <c r="U12" i="59" s="1"/>
  <c r="J12" i="59"/>
  <c r="M12" i="59" s="1"/>
  <c r="X11" i="59"/>
  <c r="S11" i="59"/>
  <c r="U11" i="59" s="1"/>
  <c r="Q11" i="59"/>
  <c r="M11" i="59"/>
  <c r="J11" i="59"/>
  <c r="X10" i="59"/>
  <c r="Q10" i="59"/>
  <c r="S10" i="59" s="1"/>
  <c r="U10" i="59" s="1"/>
  <c r="J10" i="59"/>
  <c r="M10" i="59" s="1"/>
  <c r="X9" i="59"/>
  <c r="U9" i="59"/>
  <c r="S9" i="59"/>
  <c r="Q9" i="59"/>
  <c r="J9" i="59"/>
  <c r="M9" i="59" s="1"/>
  <c r="X8" i="59"/>
  <c r="Q8" i="59"/>
  <c r="S8" i="59" s="1"/>
  <c r="U8" i="59" s="1"/>
  <c r="J8" i="59"/>
  <c r="M8" i="59" s="1"/>
  <c r="X7" i="59"/>
  <c r="S7" i="59"/>
  <c r="U7" i="59" s="1"/>
  <c r="Q7" i="59"/>
  <c r="J7" i="59"/>
  <c r="M7" i="59" s="1"/>
  <c r="X6" i="59"/>
  <c r="S6" i="59"/>
  <c r="U6" i="59" s="1"/>
  <c r="Q6" i="59"/>
  <c r="J6" i="59"/>
  <c r="M6" i="59" s="1"/>
  <c r="X5" i="59"/>
  <c r="Q5" i="59"/>
  <c r="S5" i="59" s="1"/>
  <c r="U5" i="59" s="1"/>
  <c r="J5" i="59"/>
  <c r="K221" i="58"/>
  <c r="N28" i="16" s="1"/>
  <c r="K218" i="58"/>
  <c r="R28" i="16" s="1"/>
  <c r="J213" i="58"/>
  <c r="M213" i="58" s="1"/>
  <c r="M212" i="58"/>
  <c r="J212" i="58"/>
  <c r="J211" i="58"/>
  <c r="M211" i="58" s="1"/>
  <c r="J210" i="58"/>
  <c r="M210" i="58" s="1"/>
  <c r="J209" i="58"/>
  <c r="M209" i="58" s="1"/>
  <c r="J208" i="58"/>
  <c r="M208" i="58" s="1"/>
  <c r="J207" i="58"/>
  <c r="M207" i="58" s="1"/>
  <c r="J206" i="58"/>
  <c r="M206" i="58" s="1"/>
  <c r="J205" i="58"/>
  <c r="M205" i="58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J196" i="58"/>
  <c r="M196" i="58" s="1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M138" i="58"/>
  <c r="J138" i="58"/>
  <c r="J137" i="58"/>
  <c r="M137" i="58" s="1"/>
  <c r="J136" i="58"/>
  <c r="M136" i="58" s="1"/>
  <c r="J135" i="58"/>
  <c r="M135" i="58" s="1"/>
  <c r="J134" i="58"/>
  <c r="M134" i="58" s="1"/>
  <c r="M133" i="58"/>
  <c r="J133" i="58"/>
  <c r="M132" i="58"/>
  <c r="J132" i="58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J116" i="58"/>
  <c r="M116" i="58" s="1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S104" i="58"/>
  <c r="U104" i="58" s="1"/>
  <c r="Q104" i="58"/>
  <c r="J104" i="58"/>
  <c r="M104" i="58" s="1"/>
  <c r="X103" i="58"/>
  <c r="Q103" i="58"/>
  <c r="S103" i="58" s="1"/>
  <c r="U103" i="58" s="1"/>
  <c r="J103" i="58"/>
  <c r="M103" i="58" s="1"/>
  <c r="X102" i="58"/>
  <c r="U102" i="58"/>
  <c r="Q102" i="58"/>
  <c r="S102" i="58" s="1"/>
  <c r="J102" i="58"/>
  <c r="M102" i="58" s="1"/>
  <c r="X101" i="58"/>
  <c r="Q101" i="58"/>
  <c r="S101" i="58" s="1"/>
  <c r="U101" i="58" s="1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S95" i="58"/>
  <c r="U95" i="58" s="1"/>
  <c r="Q95" i="58"/>
  <c r="M95" i="58"/>
  <c r="J95" i="58"/>
  <c r="X94" i="58"/>
  <c r="U94" i="58"/>
  <c r="Q94" i="58"/>
  <c r="S94" i="58" s="1"/>
  <c r="J94" i="58"/>
  <c r="M94" i="58" s="1"/>
  <c r="X93" i="58"/>
  <c r="Q93" i="58"/>
  <c r="S93" i="58" s="1"/>
  <c r="U93" i="58" s="1"/>
  <c r="J93" i="58"/>
  <c r="M93" i="58" s="1"/>
  <c r="X92" i="58"/>
  <c r="Q92" i="58"/>
  <c r="S92" i="58" s="1"/>
  <c r="U92" i="58" s="1"/>
  <c r="J92" i="58"/>
  <c r="M92" i="58" s="1"/>
  <c r="X91" i="58"/>
  <c r="S91" i="58"/>
  <c r="U91" i="58" s="1"/>
  <c r="Q91" i="58"/>
  <c r="J91" i="58"/>
  <c r="M91" i="58" s="1"/>
  <c r="X90" i="58"/>
  <c r="Q90" i="58"/>
  <c r="S90" i="58" s="1"/>
  <c r="U90" i="58" s="1"/>
  <c r="J90" i="58"/>
  <c r="M90" i="58" s="1"/>
  <c r="X89" i="58"/>
  <c r="Q89" i="58"/>
  <c r="S89" i="58" s="1"/>
  <c r="U89" i="58" s="1"/>
  <c r="M89" i="58"/>
  <c r="J89" i="58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S86" i="58"/>
  <c r="U86" i="58" s="1"/>
  <c r="Q86" i="58"/>
  <c r="J86" i="58"/>
  <c r="M86" i="58" s="1"/>
  <c r="X85" i="58"/>
  <c r="U85" i="58"/>
  <c r="Q85" i="58"/>
  <c r="S85" i="58" s="1"/>
  <c r="J85" i="58"/>
  <c r="M85" i="58" s="1"/>
  <c r="X84" i="58"/>
  <c r="Q84" i="58"/>
  <c r="S84" i="58" s="1"/>
  <c r="U84" i="58" s="1"/>
  <c r="J84" i="58"/>
  <c r="M84" i="58" s="1"/>
  <c r="X83" i="58"/>
  <c r="S83" i="58"/>
  <c r="U83" i="58" s="1"/>
  <c r="Q83" i="58"/>
  <c r="J83" i="58"/>
  <c r="M83" i="58" s="1"/>
  <c r="X82" i="58"/>
  <c r="S82" i="58"/>
  <c r="U82" i="58" s="1"/>
  <c r="Q82" i="58"/>
  <c r="J82" i="58"/>
  <c r="M82" i="58" s="1"/>
  <c r="X81" i="58"/>
  <c r="Q81" i="58"/>
  <c r="S81" i="58" s="1"/>
  <c r="U81" i="58" s="1"/>
  <c r="J81" i="58"/>
  <c r="M81" i="58" s="1"/>
  <c r="X80" i="58"/>
  <c r="S80" i="58"/>
  <c r="U80" i="58" s="1"/>
  <c r="Q80" i="58"/>
  <c r="J80" i="58"/>
  <c r="M80" i="58" s="1"/>
  <c r="X79" i="58"/>
  <c r="Q79" i="58"/>
  <c r="S79" i="58" s="1"/>
  <c r="U79" i="58" s="1"/>
  <c r="M79" i="58"/>
  <c r="J79" i="58"/>
  <c r="X78" i="58"/>
  <c r="S78" i="58"/>
  <c r="U78" i="58" s="1"/>
  <c r="Q78" i="58"/>
  <c r="J78" i="58"/>
  <c r="M78" i="58" s="1"/>
  <c r="X77" i="58"/>
  <c r="U77" i="58"/>
  <c r="S77" i="58"/>
  <c r="Q77" i="58"/>
  <c r="J77" i="58"/>
  <c r="M77" i="58" s="1"/>
  <c r="X76" i="58"/>
  <c r="Q76" i="58"/>
  <c r="S76" i="58" s="1"/>
  <c r="U76" i="58" s="1"/>
  <c r="J76" i="58"/>
  <c r="M76" i="58" s="1"/>
  <c r="X75" i="58"/>
  <c r="S75" i="58"/>
  <c r="U75" i="58" s="1"/>
  <c r="Q75" i="58"/>
  <c r="J75" i="58"/>
  <c r="M75" i="58" s="1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J72" i="58"/>
  <c r="M72" i="58" s="1"/>
  <c r="X71" i="58"/>
  <c r="U71" i="58"/>
  <c r="Q71" i="58"/>
  <c r="S71" i="58" s="1"/>
  <c r="J71" i="58"/>
  <c r="M71" i="58" s="1"/>
  <c r="X70" i="58"/>
  <c r="Q70" i="58"/>
  <c r="S70" i="58" s="1"/>
  <c r="U70" i="58" s="1"/>
  <c r="J70" i="58"/>
  <c r="M70" i="58" s="1"/>
  <c r="X69" i="58"/>
  <c r="U69" i="58"/>
  <c r="S69" i="58"/>
  <c r="Q69" i="58"/>
  <c r="J69" i="58"/>
  <c r="M69" i="58" s="1"/>
  <c r="X68" i="58"/>
  <c r="Q68" i="58"/>
  <c r="S68" i="58" s="1"/>
  <c r="U68" i="58" s="1"/>
  <c r="J68" i="58"/>
  <c r="M68" i="58" s="1"/>
  <c r="X67" i="58"/>
  <c r="S67" i="58"/>
  <c r="U67" i="58" s="1"/>
  <c r="Q67" i="58"/>
  <c r="J67" i="58"/>
  <c r="M67" i="58" s="1"/>
  <c r="X66" i="58"/>
  <c r="Q66" i="58"/>
  <c r="S66" i="58" s="1"/>
  <c r="U66" i="58" s="1"/>
  <c r="J66" i="58"/>
  <c r="M66" i="58" s="1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U63" i="58"/>
  <c r="S63" i="58"/>
  <c r="Q63" i="58"/>
  <c r="J63" i="58"/>
  <c r="M63" i="58" s="1"/>
  <c r="X62" i="58"/>
  <c r="S62" i="58"/>
  <c r="U62" i="58" s="1"/>
  <c r="Q62" i="58"/>
  <c r="J62" i="58"/>
  <c r="M62" i="58" s="1"/>
  <c r="X61" i="58"/>
  <c r="Q61" i="58"/>
  <c r="S61" i="58" s="1"/>
  <c r="U61" i="58" s="1"/>
  <c r="J61" i="58"/>
  <c r="M61" i="58" s="1"/>
  <c r="X60" i="58"/>
  <c r="Q60" i="58"/>
  <c r="S60" i="58" s="1"/>
  <c r="U60" i="58" s="1"/>
  <c r="J60" i="58"/>
  <c r="M60" i="58" s="1"/>
  <c r="X59" i="58"/>
  <c r="S59" i="58"/>
  <c r="U59" i="58" s="1"/>
  <c r="Q59" i="58"/>
  <c r="J59" i="58"/>
  <c r="M59" i="58" s="1"/>
  <c r="X58" i="58"/>
  <c r="Q58" i="58"/>
  <c r="S58" i="58" s="1"/>
  <c r="U58" i="58" s="1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U55" i="58"/>
  <c r="S55" i="58"/>
  <c r="Q55" i="58"/>
  <c r="J55" i="58"/>
  <c r="M55" i="58" s="1"/>
  <c r="X54" i="58"/>
  <c r="S54" i="58"/>
  <c r="U54" i="58" s="1"/>
  <c r="Q54" i="58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S51" i="58"/>
  <c r="U51" i="58" s="1"/>
  <c r="Q51" i="58"/>
  <c r="J51" i="58"/>
  <c r="M51" i="58" s="1"/>
  <c r="X50" i="58"/>
  <c r="Q50" i="58"/>
  <c r="S50" i="58" s="1"/>
  <c r="U50" i="58" s="1"/>
  <c r="J50" i="58"/>
  <c r="M50" i="58" s="1"/>
  <c r="X49" i="58"/>
  <c r="Q49" i="58"/>
  <c r="S49" i="58" s="1"/>
  <c r="U49" i="58" s="1"/>
  <c r="J49" i="58"/>
  <c r="M49" i="58" s="1"/>
  <c r="X48" i="58"/>
  <c r="Q48" i="58"/>
  <c r="S48" i="58" s="1"/>
  <c r="U48" i="58" s="1"/>
  <c r="J48" i="58"/>
  <c r="M48" i="58" s="1"/>
  <c r="X47" i="58"/>
  <c r="U47" i="58"/>
  <c r="S47" i="58"/>
  <c r="Q47" i="58"/>
  <c r="J47" i="58"/>
  <c r="M47" i="58" s="1"/>
  <c r="X46" i="58"/>
  <c r="S46" i="58"/>
  <c r="U46" i="58" s="1"/>
  <c r="Q46" i="58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U42" i="58"/>
  <c r="Q42" i="58"/>
  <c r="S42" i="58" s="1"/>
  <c r="J42" i="58"/>
  <c r="M42" i="58" s="1"/>
  <c r="X41" i="58"/>
  <c r="Q41" i="58"/>
  <c r="S41" i="58" s="1"/>
  <c r="U41" i="58" s="1"/>
  <c r="J41" i="58"/>
  <c r="M41" i="58" s="1"/>
  <c r="X40" i="58"/>
  <c r="Q40" i="58"/>
  <c r="S40" i="58" s="1"/>
  <c r="U40" i="58" s="1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Q37" i="58"/>
  <c r="S37" i="58" s="1"/>
  <c r="U37" i="58" s="1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S34" i="58"/>
  <c r="U34" i="58" s="1"/>
  <c r="Q34" i="58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Q31" i="58"/>
  <c r="S31" i="58" s="1"/>
  <c r="U31" i="58" s="1"/>
  <c r="J31" i="58"/>
  <c r="M31" i="58" s="1"/>
  <c r="X30" i="58"/>
  <c r="Q30" i="58"/>
  <c r="S30" i="58" s="1"/>
  <c r="U30" i="58" s="1"/>
  <c r="J30" i="58"/>
  <c r="M30" i="58" s="1"/>
  <c r="X29" i="58"/>
  <c r="Q29" i="58"/>
  <c r="S29" i="58" s="1"/>
  <c r="U29" i="58" s="1"/>
  <c r="J29" i="58"/>
  <c r="M29" i="58" s="1"/>
  <c r="X28" i="58"/>
  <c r="S28" i="58"/>
  <c r="U28" i="58" s="1"/>
  <c r="Q28" i="58"/>
  <c r="J28" i="58"/>
  <c r="M28" i="58" s="1"/>
  <c r="X27" i="58"/>
  <c r="Q27" i="58"/>
  <c r="S27" i="58" s="1"/>
  <c r="U27" i="58" s="1"/>
  <c r="M27" i="58"/>
  <c r="J27" i="58"/>
  <c r="X26" i="58"/>
  <c r="S26" i="58"/>
  <c r="U26" i="58" s="1"/>
  <c r="Q26" i="58"/>
  <c r="J26" i="58"/>
  <c r="M26" i="58" s="1"/>
  <c r="X25" i="58"/>
  <c r="S25" i="58"/>
  <c r="U25" i="58" s="1"/>
  <c r="Q25" i="58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S20" i="58"/>
  <c r="U20" i="58" s="1"/>
  <c r="Q20" i="58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Q12" i="58"/>
  <c r="S12" i="58" s="1"/>
  <c r="U12" i="58" s="1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S7" i="58"/>
  <c r="U7" i="58" s="1"/>
  <c r="Q7" i="58"/>
  <c r="J7" i="58"/>
  <c r="M7" i="58" s="1"/>
  <c r="X6" i="58"/>
  <c r="Q6" i="58"/>
  <c r="S6" i="58" s="1"/>
  <c r="U6" i="58" s="1"/>
  <c r="J6" i="58"/>
  <c r="M6" i="58" s="1"/>
  <c r="X5" i="58"/>
  <c r="Q5" i="58"/>
  <c r="S5" i="58" s="1"/>
  <c r="U5" i="58" s="1"/>
  <c r="J5" i="58"/>
  <c r="K221" i="57"/>
  <c r="N27" i="16" s="1"/>
  <c r="K218" i="57"/>
  <c r="R27" i="16" s="1"/>
  <c r="J213" i="57"/>
  <c r="M213" i="57" s="1"/>
  <c r="J212" i="57"/>
  <c r="M212" i="57" s="1"/>
  <c r="J211" i="57"/>
  <c r="M211" i="57" s="1"/>
  <c r="J210" i="57"/>
  <c r="M210" i="57" s="1"/>
  <c r="J209" i="57"/>
  <c r="M209" i="57" s="1"/>
  <c r="J208" i="57"/>
  <c r="M208" i="57" s="1"/>
  <c r="J207" i="57"/>
  <c r="M207" i="57" s="1"/>
  <c r="J206" i="57"/>
  <c r="M206" i="57" s="1"/>
  <c r="J205" i="57"/>
  <c r="M205" i="57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M192" i="57"/>
  <c r="J192" i="57"/>
  <c r="M191" i="57"/>
  <c r="J191" i="57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J183" i="57"/>
  <c r="M183" i="57" s="1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J176" i="57"/>
  <c r="M176" i="57" s="1"/>
  <c r="J175" i="57"/>
  <c r="M175" i="57" s="1"/>
  <c r="J174" i="57"/>
  <c r="M174" i="57" s="1"/>
  <c r="J173" i="57"/>
  <c r="M173" i="57" s="1"/>
  <c r="J172" i="57"/>
  <c r="M172" i="57" s="1"/>
  <c r="J171" i="57"/>
  <c r="M171" i="57" s="1"/>
  <c r="J170" i="57"/>
  <c r="M170" i="57" s="1"/>
  <c r="J169" i="57"/>
  <c r="M169" i="57" s="1"/>
  <c r="J168" i="57"/>
  <c r="M168" i="57" s="1"/>
  <c r="J167" i="57"/>
  <c r="M167" i="57" s="1"/>
  <c r="J166" i="57"/>
  <c r="M166" i="57" s="1"/>
  <c r="J165" i="57"/>
  <c r="M165" i="57" s="1"/>
  <c r="J164" i="57"/>
  <c r="M164" i="57" s="1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M125" i="57"/>
  <c r="J125" i="57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M112" i="57"/>
  <c r="J112" i="57"/>
  <c r="J111" i="57"/>
  <c r="M111" i="57" s="1"/>
  <c r="J110" i="57"/>
  <c r="M110" i="57" s="1"/>
  <c r="J109" i="57"/>
  <c r="M109" i="57" s="1"/>
  <c r="J108" i="57"/>
  <c r="M108" i="57" s="1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S103" i="57"/>
  <c r="U103" i="57" s="1"/>
  <c r="Q103" i="57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Q100" i="57"/>
  <c r="S100" i="57" s="1"/>
  <c r="U100" i="57" s="1"/>
  <c r="J100" i="57"/>
  <c r="M100" i="57" s="1"/>
  <c r="X99" i="57"/>
  <c r="Q99" i="57"/>
  <c r="S99" i="57" s="1"/>
  <c r="U99" i="57" s="1"/>
  <c r="J99" i="57"/>
  <c r="M99" i="57" s="1"/>
  <c r="X98" i="57"/>
  <c r="S98" i="57"/>
  <c r="U98" i="57" s="1"/>
  <c r="Q98" i="57"/>
  <c r="J98" i="57"/>
  <c r="M98" i="57" s="1"/>
  <c r="X97" i="57"/>
  <c r="U97" i="57"/>
  <c r="Q97" i="57"/>
  <c r="S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S93" i="57"/>
  <c r="U93" i="57" s="1"/>
  <c r="Q93" i="57"/>
  <c r="J93" i="57"/>
  <c r="M93" i="57" s="1"/>
  <c r="X92" i="57"/>
  <c r="Q92" i="57"/>
  <c r="S92" i="57" s="1"/>
  <c r="U92" i="57" s="1"/>
  <c r="J92" i="57"/>
  <c r="M92" i="57" s="1"/>
  <c r="X91" i="57"/>
  <c r="Q91" i="57"/>
  <c r="S91" i="57" s="1"/>
  <c r="U91" i="57" s="1"/>
  <c r="J91" i="57"/>
  <c r="M91" i="57" s="1"/>
  <c r="X90" i="57"/>
  <c r="Q90" i="57"/>
  <c r="S90" i="57" s="1"/>
  <c r="U90" i="57" s="1"/>
  <c r="J90" i="57"/>
  <c r="M90" i="57" s="1"/>
  <c r="X89" i="57"/>
  <c r="U89" i="57"/>
  <c r="Q89" i="57"/>
  <c r="S89" i="57" s="1"/>
  <c r="J89" i="57"/>
  <c r="M89" i="57" s="1"/>
  <c r="X88" i="57"/>
  <c r="Q88" i="57"/>
  <c r="S88" i="57" s="1"/>
  <c r="U88" i="57" s="1"/>
  <c r="J88" i="57"/>
  <c r="M88" i="57" s="1"/>
  <c r="X87" i="57"/>
  <c r="S87" i="57"/>
  <c r="U87" i="57" s="1"/>
  <c r="Q87" i="57"/>
  <c r="J87" i="57"/>
  <c r="M87" i="57" s="1"/>
  <c r="X86" i="57"/>
  <c r="Q86" i="57"/>
  <c r="S86" i="57" s="1"/>
  <c r="U86" i="57" s="1"/>
  <c r="J86" i="57"/>
  <c r="M86" i="57" s="1"/>
  <c r="X85" i="57"/>
  <c r="S85" i="57"/>
  <c r="U85" i="57" s="1"/>
  <c r="Q85" i="57"/>
  <c r="J85" i="57"/>
  <c r="M85" i="57" s="1"/>
  <c r="X84" i="57"/>
  <c r="Q84" i="57"/>
  <c r="S84" i="57" s="1"/>
  <c r="U84" i="57" s="1"/>
  <c r="J84" i="57"/>
  <c r="M84" i="57" s="1"/>
  <c r="X83" i="57"/>
  <c r="Q83" i="57"/>
  <c r="S83" i="57" s="1"/>
  <c r="U83" i="57" s="1"/>
  <c r="J83" i="57"/>
  <c r="M83" i="57" s="1"/>
  <c r="X82" i="57"/>
  <c r="S82" i="57"/>
  <c r="U82" i="57" s="1"/>
  <c r="Q82" i="57"/>
  <c r="J82" i="57"/>
  <c r="M82" i="57" s="1"/>
  <c r="X81" i="57"/>
  <c r="S81" i="57"/>
  <c r="U81" i="57" s="1"/>
  <c r="Q81" i="57"/>
  <c r="J81" i="57"/>
  <c r="M81" i="57" s="1"/>
  <c r="X80" i="57"/>
  <c r="Q80" i="57"/>
  <c r="S80" i="57" s="1"/>
  <c r="U80" i="57" s="1"/>
  <c r="J80" i="57"/>
  <c r="M80" i="57" s="1"/>
  <c r="X79" i="57"/>
  <c r="Q79" i="57"/>
  <c r="S79" i="57" s="1"/>
  <c r="U79" i="57" s="1"/>
  <c r="J79" i="57"/>
  <c r="M79" i="57" s="1"/>
  <c r="X78" i="57"/>
  <c r="Q78" i="57"/>
  <c r="S78" i="57" s="1"/>
  <c r="U78" i="57" s="1"/>
  <c r="J78" i="57"/>
  <c r="M78" i="57" s="1"/>
  <c r="X77" i="57"/>
  <c r="S77" i="57"/>
  <c r="U77" i="57" s="1"/>
  <c r="Q77" i="57"/>
  <c r="J77" i="57"/>
  <c r="M77" i="57" s="1"/>
  <c r="X76" i="57"/>
  <c r="S76" i="57"/>
  <c r="U76" i="57" s="1"/>
  <c r="Q76" i="57"/>
  <c r="J76" i="57"/>
  <c r="M76" i="57" s="1"/>
  <c r="X75" i="57"/>
  <c r="Q75" i="57"/>
  <c r="S75" i="57" s="1"/>
  <c r="U75" i="57" s="1"/>
  <c r="J75" i="57"/>
  <c r="M75" i="57" s="1"/>
  <c r="X74" i="57"/>
  <c r="S74" i="57"/>
  <c r="U74" i="57" s="1"/>
  <c r="Q74" i="57"/>
  <c r="J74" i="57"/>
  <c r="M74" i="57" s="1"/>
  <c r="X73" i="57"/>
  <c r="S73" i="57"/>
  <c r="U73" i="57" s="1"/>
  <c r="Q73" i="57"/>
  <c r="J73" i="57"/>
  <c r="M73" i="57" s="1"/>
  <c r="X72" i="57"/>
  <c r="Q72" i="57"/>
  <c r="S72" i="57" s="1"/>
  <c r="U72" i="57" s="1"/>
  <c r="J72" i="57"/>
  <c r="M72" i="57" s="1"/>
  <c r="X71" i="57"/>
  <c r="Q71" i="57"/>
  <c r="S71" i="57" s="1"/>
  <c r="U71" i="57" s="1"/>
  <c r="J71" i="57"/>
  <c r="M71" i="57" s="1"/>
  <c r="X70" i="57"/>
  <c r="U70" i="57"/>
  <c r="Q70" i="57"/>
  <c r="S70" i="57" s="1"/>
  <c r="J70" i="57"/>
  <c r="M70" i="57" s="1"/>
  <c r="X69" i="57"/>
  <c r="S69" i="57"/>
  <c r="U69" i="57" s="1"/>
  <c r="Q69" i="57"/>
  <c r="J69" i="57"/>
  <c r="M69" i="57" s="1"/>
  <c r="X68" i="57"/>
  <c r="Q68" i="57"/>
  <c r="S68" i="57" s="1"/>
  <c r="U68" i="57" s="1"/>
  <c r="J68" i="57"/>
  <c r="M68" i="57" s="1"/>
  <c r="X67" i="57"/>
  <c r="Q67" i="57"/>
  <c r="S67" i="57" s="1"/>
  <c r="U67" i="57" s="1"/>
  <c r="J67" i="57"/>
  <c r="M67" i="57" s="1"/>
  <c r="X66" i="57"/>
  <c r="Q66" i="57"/>
  <c r="S66" i="57" s="1"/>
  <c r="U66" i="57" s="1"/>
  <c r="J66" i="57"/>
  <c r="M66" i="57" s="1"/>
  <c r="X65" i="57"/>
  <c r="U65" i="57"/>
  <c r="Q65" i="57"/>
  <c r="S65" i="57" s="1"/>
  <c r="J65" i="57"/>
  <c r="M65" i="57" s="1"/>
  <c r="X64" i="57"/>
  <c r="Q64" i="57"/>
  <c r="S64" i="57" s="1"/>
  <c r="U64" i="57" s="1"/>
  <c r="J64" i="57"/>
  <c r="M64" i="57" s="1"/>
  <c r="X63" i="57"/>
  <c r="S63" i="57"/>
  <c r="U63" i="57" s="1"/>
  <c r="Q63" i="57"/>
  <c r="J63" i="57"/>
  <c r="M63" i="57" s="1"/>
  <c r="X62" i="57"/>
  <c r="Q62" i="57"/>
  <c r="S62" i="57" s="1"/>
  <c r="U62" i="57" s="1"/>
  <c r="J62" i="57"/>
  <c r="M62" i="57" s="1"/>
  <c r="X61" i="57"/>
  <c r="S61" i="57"/>
  <c r="U61" i="57" s="1"/>
  <c r="Q61" i="57"/>
  <c r="J61" i="57"/>
  <c r="M61" i="57" s="1"/>
  <c r="X60" i="57"/>
  <c r="S60" i="57"/>
  <c r="U60" i="57" s="1"/>
  <c r="Q60" i="57"/>
  <c r="J60" i="57"/>
  <c r="M60" i="57" s="1"/>
  <c r="X59" i="57"/>
  <c r="Q59" i="57"/>
  <c r="S59" i="57" s="1"/>
  <c r="U59" i="57" s="1"/>
  <c r="J59" i="57"/>
  <c r="M59" i="57" s="1"/>
  <c r="X58" i="57"/>
  <c r="S58" i="57"/>
  <c r="U58" i="57" s="1"/>
  <c r="Q58" i="57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U54" i="57"/>
  <c r="Q54" i="57"/>
  <c r="S54" i="57" s="1"/>
  <c r="J54" i="57"/>
  <c r="M54" i="57" s="1"/>
  <c r="X53" i="57"/>
  <c r="Q53" i="57"/>
  <c r="S53" i="57" s="1"/>
  <c r="U53" i="57" s="1"/>
  <c r="J53" i="57"/>
  <c r="M53" i="57" s="1"/>
  <c r="X52" i="57"/>
  <c r="S52" i="57"/>
  <c r="U52" i="57" s="1"/>
  <c r="Q52" i="57"/>
  <c r="J52" i="57"/>
  <c r="M52" i="57" s="1"/>
  <c r="X51" i="57"/>
  <c r="Q51" i="57"/>
  <c r="S51" i="57" s="1"/>
  <c r="U51" i="57" s="1"/>
  <c r="J51" i="57"/>
  <c r="M51" i="57" s="1"/>
  <c r="X50" i="57"/>
  <c r="Q50" i="57"/>
  <c r="S50" i="57" s="1"/>
  <c r="U50" i="57" s="1"/>
  <c r="J50" i="57"/>
  <c r="M50" i="57" s="1"/>
  <c r="X49" i="57"/>
  <c r="S49" i="57"/>
  <c r="U49" i="57" s="1"/>
  <c r="Q49" i="57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Q46" i="57"/>
  <c r="S46" i="57" s="1"/>
  <c r="U46" i="57" s="1"/>
  <c r="J46" i="57"/>
  <c r="M46" i="57" s="1"/>
  <c r="X45" i="57"/>
  <c r="S45" i="57"/>
  <c r="U45" i="57" s="1"/>
  <c r="Q45" i="57"/>
  <c r="J45" i="57"/>
  <c r="M45" i="57" s="1"/>
  <c r="X44" i="57"/>
  <c r="Q44" i="57"/>
  <c r="S44" i="57" s="1"/>
  <c r="U44" i="57" s="1"/>
  <c r="J44" i="57"/>
  <c r="M44" i="57" s="1"/>
  <c r="X43" i="57"/>
  <c r="Q43" i="57"/>
  <c r="S43" i="57" s="1"/>
  <c r="U43" i="57" s="1"/>
  <c r="M43" i="57"/>
  <c r="J43" i="57"/>
  <c r="X42" i="57"/>
  <c r="Q42" i="57"/>
  <c r="S42" i="57" s="1"/>
  <c r="U42" i="57" s="1"/>
  <c r="J42" i="57"/>
  <c r="M42" i="57" s="1"/>
  <c r="X41" i="57"/>
  <c r="U41" i="57"/>
  <c r="S41" i="57"/>
  <c r="Q41" i="57"/>
  <c r="J41" i="57"/>
  <c r="M41" i="57" s="1"/>
  <c r="X40" i="57"/>
  <c r="Q40" i="57"/>
  <c r="S40" i="57" s="1"/>
  <c r="U40" i="57" s="1"/>
  <c r="J40" i="57"/>
  <c r="M40" i="57" s="1"/>
  <c r="X39" i="57"/>
  <c r="S39" i="57"/>
  <c r="U39" i="57" s="1"/>
  <c r="Q39" i="57"/>
  <c r="J39" i="57"/>
  <c r="M39" i="57" s="1"/>
  <c r="X38" i="57"/>
  <c r="Q38" i="57"/>
  <c r="S38" i="57" s="1"/>
  <c r="U38" i="57" s="1"/>
  <c r="M38" i="57"/>
  <c r="J38" i="57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M35" i="57"/>
  <c r="J35" i="57"/>
  <c r="X34" i="57"/>
  <c r="Q34" i="57"/>
  <c r="S34" i="57" s="1"/>
  <c r="U34" i="57" s="1"/>
  <c r="J34" i="57"/>
  <c r="M34" i="57" s="1"/>
  <c r="X33" i="57"/>
  <c r="U33" i="57"/>
  <c r="S33" i="57"/>
  <c r="Q33" i="57"/>
  <c r="J33" i="57"/>
  <c r="M33" i="57" s="1"/>
  <c r="X32" i="57"/>
  <c r="Q32" i="57"/>
  <c r="S32" i="57" s="1"/>
  <c r="U32" i="57" s="1"/>
  <c r="M32" i="57"/>
  <c r="J32" i="57"/>
  <c r="X31" i="57"/>
  <c r="Q31" i="57"/>
  <c r="S31" i="57" s="1"/>
  <c r="U31" i="57" s="1"/>
  <c r="J31" i="57"/>
  <c r="M31" i="57" s="1"/>
  <c r="X30" i="57"/>
  <c r="Q30" i="57"/>
  <c r="S30" i="57" s="1"/>
  <c r="U30" i="57" s="1"/>
  <c r="M30" i="57"/>
  <c r="J30" i="57"/>
  <c r="X29" i="57"/>
  <c r="Q29" i="57"/>
  <c r="S29" i="57" s="1"/>
  <c r="U29" i="57" s="1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M27" i="57"/>
  <c r="J27" i="57"/>
  <c r="X26" i="57"/>
  <c r="Q26" i="57"/>
  <c r="S26" i="57" s="1"/>
  <c r="U26" i="57" s="1"/>
  <c r="J26" i="57"/>
  <c r="M26" i="57" s="1"/>
  <c r="X25" i="57"/>
  <c r="U25" i="57"/>
  <c r="S25" i="57"/>
  <c r="Q25" i="57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S22" i="57"/>
  <c r="U22" i="57" s="1"/>
  <c r="Q22" i="57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S18" i="57"/>
  <c r="U18" i="57" s="1"/>
  <c r="Q18" i="57"/>
  <c r="J18" i="57"/>
  <c r="M18" i="57" s="1"/>
  <c r="X17" i="57"/>
  <c r="S17" i="57"/>
  <c r="U17" i="57" s="1"/>
  <c r="Q17" i="57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J12" i="57"/>
  <c r="M12" i="57" s="1"/>
  <c r="X11" i="57"/>
  <c r="Q11" i="57"/>
  <c r="S11" i="57" s="1"/>
  <c r="U11" i="57" s="1"/>
  <c r="J11" i="57"/>
  <c r="M11" i="57" s="1"/>
  <c r="X10" i="57"/>
  <c r="S10" i="57"/>
  <c r="U10" i="57" s="1"/>
  <c r="Q10" i="57"/>
  <c r="J10" i="57"/>
  <c r="M10" i="57" s="1"/>
  <c r="X9" i="57"/>
  <c r="S9" i="57"/>
  <c r="U9" i="57" s="1"/>
  <c r="Q9" i="57"/>
  <c r="J9" i="57"/>
  <c r="M9" i="57" s="1"/>
  <c r="X8" i="57"/>
  <c r="Q8" i="57"/>
  <c r="S8" i="57" s="1"/>
  <c r="U8" i="57" s="1"/>
  <c r="J8" i="57"/>
  <c r="M8" i="57" s="1"/>
  <c r="X7" i="57"/>
  <c r="Q7" i="57"/>
  <c r="S7" i="57" s="1"/>
  <c r="U7" i="57" s="1"/>
  <c r="J7" i="57"/>
  <c r="M7" i="57" s="1"/>
  <c r="X6" i="57"/>
  <c r="S6" i="57"/>
  <c r="U6" i="57" s="1"/>
  <c r="Q6" i="57"/>
  <c r="J6" i="57"/>
  <c r="M6" i="57" s="1"/>
  <c r="X5" i="57"/>
  <c r="Q5" i="57"/>
  <c r="S5" i="57" s="1"/>
  <c r="U5" i="57" s="1"/>
  <c r="J5" i="57"/>
  <c r="K221" i="56"/>
  <c r="N26" i="16" s="1"/>
  <c r="K218" i="56"/>
  <c r="R26" i="16" s="1"/>
  <c r="J213" i="56"/>
  <c r="M213" i="56" s="1"/>
  <c r="J212" i="56"/>
  <c r="M212" i="56" s="1"/>
  <c r="J211" i="56"/>
  <c r="M211" i="56" s="1"/>
  <c r="J210" i="56"/>
  <c r="M210" i="56" s="1"/>
  <c r="J209" i="56"/>
  <c r="M209" i="56" s="1"/>
  <c r="M208" i="56"/>
  <c r="J208" i="56"/>
  <c r="J207" i="56"/>
  <c r="M207" i="56" s="1"/>
  <c r="J206" i="56"/>
  <c r="M206" i="56" s="1"/>
  <c r="J205" i="56"/>
  <c r="M205" i="56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M197" i="56"/>
  <c r="J197" i="56"/>
  <c r="J196" i="56"/>
  <c r="M196" i="56" s="1"/>
  <c r="J195" i="56"/>
  <c r="M195" i="56" s="1"/>
  <c r="J194" i="56"/>
  <c r="M194" i="56" s="1"/>
  <c r="M193" i="56"/>
  <c r="J193" i="56"/>
  <c r="J192" i="56"/>
  <c r="M192" i="56" s="1"/>
  <c r="M191" i="56"/>
  <c r="J191" i="56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M179" i="56"/>
  <c r="J179" i="56"/>
  <c r="J178" i="56"/>
  <c r="M178" i="56" s="1"/>
  <c r="M177" i="56"/>
  <c r="J177" i="56"/>
  <c r="J176" i="56"/>
  <c r="M176" i="56" s="1"/>
  <c r="J175" i="56"/>
  <c r="M175" i="56" s="1"/>
  <c r="J174" i="56"/>
  <c r="M174" i="56" s="1"/>
  <c r="M173" i="56"/>
  <c r="J173" i="56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M160" i="56"/>
  <c r="J160" i="56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M143" i="56"/>
  <c r="J143" i="56"/>
  <c r="J142" i="56"/>
  <c r="M142" i="56" s="1"/>
  <c r="J141" i="56"/>
  <c r="M141" i="56" s="1"/>
  <c r="J140" i="56"/>
  <c r="M140" i="56" s="1"/>
  <c r="J139" i="56"/>
  <c r="M139" i="56" s="1"/>
  <c r="J138" i="56"/>
  <c r="M138" i="56" s="1"/>
  <c r="M137" i="56"/>
  <c r="J137" i="56"/>
  <c r="J136" i="56"/>
  <c r="M136" i="56" s="1"/>
  <c r="J135" i="56"/>
  <c r="M135" i="56" s="1"/>
  <c r="J134" i="56"/>
  <c r="M134" i="56" s="1"/>
  <c r="M133" i="56"/>
  <c r="J133" i="56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J120" i="56"/>
  <c r="M120" i="56" s="1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U99" i="56"/>
  <c r="Q99" i="56"/>
  <c r="S99" i="56" s="1"/>
  <c r="J99" i="56"/>
  <c r="M99" i="56" s="1"/>
  <c r="X98" i="56"/>
  <c r="Q98" i="56"/>
  <c r="S98" i="56" s="1"/>
  <c r="U98" i="56" s="1"/>
  <c r="J98" i="56"/>
  <c r="M98" i="56" s="1"/>
  <c r="X97" i="56"/>
  <c r="S97" i="56"/>
  <c r="U97" i="56" s="1"/>
  <c r="Q97" i="56"/>
  <c r="J97" i="56"/>
  <c r="M97" i="56" s="1"/>
  <c r="X96" i="56"/>
  <c r="Q96" i="56"/>
  <c r="S96" i="56" s="1"/>
  <c r="U96" i="56" s="1"/>
  <c r="J96" i="56"/>
  <c r="M96" i="56" s="1"/>
  <c r="X95" i="56"/>
  <c r="Q95" i="56"/>
  <c r="S95" i="56" s="1"/>
  <c r="U95" i="56" s="1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Q90" i="56"/>
  <c r="S90" i="56" s="1"/>
  <c r="U90" i="56" s="1"/>
  <c r="J90" i="56"/>
  <c r="M90" i="56" s="1"/>
  <c r="X89" i="56"/>
  <c r="Q89" i="56"/>
  <c r="S89" i="56" s="1"/>
  <c r="U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Q84" i="56"/>
  <c r="S84" i="56" s="1"/>
  <c r="U84" i="56" s="1"/>
  <c r="J84" i="56"/>
  <c r="M84" i="56" s="1"/>
  <c r="X83" i="56"/>
  <c r="U83" i="56"/>
  <c r="Q83" i="56"/>
  <c r="S83" i="56" s="1"/>
  <c r="M83" i="56"/>
  <c r="J83" i="56"/>
  <c r="X82" i="56"/>
  <c r="Q82" i="56"/>
  <c r="S82" i="56" s="1"/>
  <c r="U82" i="56" s="1"/>
  <c r="J82" i="56"/>
  <c r="M82" i="56" s="1"/>
  <c r="X81" i="56"/>
  <c r="Q81" i="56"/>
  <c r="S81" i="56" s="1"/>
  <c r="U81" i="56" s="1"/>
  <c r="M81" i="56"/>
  <c r="J81" i="56"/>
  <c r="X80" i="56"/>
  <c r="Q80" i="56"/>
  <c r="S80" i="56" s="1"/>
  <c r="U80" i="56" s="1"/>
  <c r="J80" i="56"/>
  <c r="M80" i="56" s="1"/>
  <c r="X79" i="56"/>
  <c r="Q79" i="56"/>
  <c r="S79" i="56" s="1"/>
  <c r="U79" i="56" s="1"/>
  <c r="J79" i="56"/>
  <c r="M79" i="56" s="1"/>
  <c r="X78" i="56"/>
  <c r="Q78" i="56"/>
  <c r="S78" i="56" s="1"/>
  <c r="U78" i="56" s="1"/>
  <c r="M78" i="56"/>
  <c r="J78" i="56"/>
  <c r="X77" i="56"/>
  <c r="Q77" i="56"/>
  <c r="S77" i="56" s="1"/>
  <c r="U77" i="56" s="1"/>
  <c r="J77" i="56"/>
  <c r="M77" i="56" s="1"/>
  <c r="X76" i="56"/>
  <c r="U76" i="56"/>
  <c r="S76" i="56"/>
  <c r="Q76" i="56"/>
  <c r="J76" i="56"/>
  <c r="M76" i="56" s="1"/>
  <c r="X75" i="56"/>
  <c r="U75" i="56"/>
  <c r="S75" i="56"/>
  <c r="Q75" i="56"/>
  <c r="J75" i="56"/>
  <c r="M75" i="56" s="1"/>
  <c r="X74" i="56"/>
  <c r="Q74" i="56"/>
  <c r="S74" i="56" s="1"/>
  <c r="U74" i="56" s="1"/>
  <c r="J74" i="56"/>
  <c r="M74" i="56" s="1"/>
  <c r="X73" i="56"/>
  <c r="S73" i="56"/>
  <c r="U73" i="56" s="1"/>
  <c r="Q73" i="56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S69" i="56"/>
  <c r="U69" i="56" s="1"/>
  <c r="Q69" i="56"/>
  <c r="J69" i="56"/>
  <c r="M69" i="56" s="1"/>
  <c r="X68" i="56"/>
  <c r="Q68" i="56"/>
  <c r="S68" i="56" s="1"/>
  <c r="U68" i="56" s="1"/>
  <c r="J68" i="56"/>
  <c r="M68" i="56" s="1"/>
  <c r="X67" i="56"/>
  <c r="U67" i="56"/>
  <c r="Q67" i="56"/>
  <c r="S67" i="56" s="1"/>
  <c r="J67" i="56"/>
  <c r="M67" i="56" s="1"/>
  <c r="X66" i="56"/>
  <c r="Q66" i="56"/>
  <c r="S66" i="56" s="1"/>
  <c r="U66" i="56" s="1"/>
  <c r="J66" i="56"/>
  <c r="M66" i="56" s="1"/>
  <c r="X65" i="56"/>
  <c r="S65" i="56"/>
  <c r="U65" i="56" s="1"/>
  <c r="Q65" i="56"/>
  <c r="J65" i="56"/>
  <c r="M65" i="56" s="1"/>
  <c r="X64" i="56"/>
  <c r="Q64" i="56"/>
  <c r="S64" i="56" s="1"/>
  <c r="U64" i="56" s="1"/>
  <c r="J64" i="56"/>
  <c r="M64" i="56" s="1"/>
  <c r="X63" i="56"/>
  <c r="S63" i="56"/>
  <c r="U63" i="56" s="1"/>
  <c r="Q63" i="56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S60" i="56"/>
  <c r="U60" i="56" s="1"/>
  <c r="Q60" i="56"/>
  <c r="J60" i="56"/>
  <c r="M60" i="56" s="1"/>
  <c r="X59" i="56"/>
  <c r="S59" i="56"/>
  <c r="U59" i="56" s="1"/>
  <c r="Q59" i="56"/>
  <c r="J59" i="56"/>
  <c r="M59" i="56" s="1"/>
  <c r="X58" i="56"/>
  <c r="Q58" i="56"/>
  <c r="S58" i="56" s="1"/>
  <c r="U58" i="56" s="1"/>
  <c r="J58" i="56"/>
  <c r="M58" i="56" s="1"/>
  <c r="X57" i="56"/>
  <c r="Q57" i="56"/>
  <c r="S57" i="56" s="1"/>
  <c r="U57" i="56" s="1"/>
  <c r="J57" i="56"/>
  <c r="M57" i="56" s="1"/>
  <c r="X56" i="56"/>
  <c r="Q56" i="56"/>
  <c r="S56" i="56" s="1"/>
  <c r="U56" i="56" s="1"/>
  <c r="J56" i="56"/>
  <c r="M56" i="56" s="1"/>
  <c r="X55" i="56"/>
  <c r="Q55" i="56"/>
  <c r="S55" i="56" s="1"/>
  <c r="U55" i="56" s="1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S52" i="56"/>
  <c r="U52" i="56" s="1"/>
  <c r="Q52" i="56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S49" i="56"/>
  <c r="U49" i="56" s="1"/>
  <c r="Q49" i="56"/>
  <c r="J49" i="56"/>
  <c r="M49" i="56" s="1"/>
  <c r="X48" i="56"/>
  <c r="Q48" i="56"/>
  <c r="S48" i="56" s="1"/>
  <c r="U48" i="56" s="1"/>
  <c r="J48" i="56"/>
  <c r="M48" i="56" s="1"/>
  <c r="X47" i="56"/>
  <c r="S47" i="56"/>
  <c r="U47" i="56" s="1"/>
  <c r="Q47" i="56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U43" i="56"/>
  <c r="S43" i="56"/>
  <c r="Q43" i="56"/>
  <c r="J43" i="56"/>
  <c r="M43" i="56" s="1"/>
  <c r="X42" i="56"/>
  <c r="Q42" i="56"/>
  <c r="S42" i="56" s="1"/>
  <c r="U42" i="56" s="1"/>
  <c r="J42" i="56"/>
  <c r="M42" i="56" s="1"/>
  <c r="X41" i="56"/>
  <c r="Q41" i="56"/>
  <c r="S41" i="56" s="1"/>
  <c r="U41" i="56" s="1"/>
  <c r="J41" i="56"/>
  <c r="M41" i="56" s="1"/>
  <c r="X40" i="56"/>
  <c r="Q40" i="56"/>
  <c r="S40" i="56" s="1"/>
  <c r="U40" i="56" s="1"/>
  <c r="J40" i="56"/>
  <c r="M40" i="56" s="1"/>
  <c r="X39" i="56"/>
  <c r="S39" i="56"/>
  <c r="U39" i="56" s="1"/>
  <c r="Q39" i="56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J36" i="56"/>
  <c r="M36" i="56" s="1"/>
  <c r="X35" i="56"/>
  <c r="S35" i="56"/>
  <c r="U35" i="56" s="1"/>
  <c r="Q35" i="56"/>
  <c r="J35" i="56"/>
  <c r="M35" i="56" s="1"/>
  <c r="X34" i="56"/>
  <c r="U34" i="56"/>
  <c r="S34" i="56"/>
  <c r="Q34" i="56"/>
  <c r="J34" i="56"/>
  <c r="M34" i="56" s="1"/>
  <c r="X33" i="56"/>
  <c r="Q33" i="56"/>
  <c r="S33" i="56" s="1"/>
  <c r="U33" i="56" s="1"/>
  <c r="J33" i="56"/>
  <c r="M33" i="56" s="1"/>
  <c r="X32" i="56"/>
  <c r="S32" i="56"/>
  <c r="U32" i="56" s="1"/>
  <c r="Q32" i="56"/>
  <c r="J32" i="56"/>
  <c r="M32" i="56" s="1"/>
  <c r="X31" i="56"/>
  <c r="Q31" i="56"/>
  <c r="S31" i="56" s="1"/>
  <c r="U31" i="56" s="1"/>
  <c r="J31" i="56"/>
  <c r="M31" i="56" s="1"/>
  <c r="X30" i="56"/>
  <c r="Q30" i="56"/>
  <c r="S30" i="56" s="1"/>
  <c r="U30" i="56" s="1"/>
  <c r="J30" i="56"/>
  <c r="M30" i="56" s="1"/>
  <c r="X29" i="56"/>
  <c r="Q29" i="56"/>
  <c r="S29" i="56" s="1"/>
  <c r="U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U26" i="56"/>
  <c r="S26" i="56"/>
  <c r="Q26" i="56"/>
  <c r="J26" i="56"/>
  <c r="M26" i="56" s="1"/>
  <c r="X25" i="56"/>
  <c r="Q25" i="56"/>
  <c r="S25" i="56" s="1"/>
  <c r="U25" i="56" s="1"/>
  <c r="J25" i="56"/>
  <c r="M25" i="56" s="1"/>
  <c r="X24" i="56"/>
  <c r="S24" i="56"/>
  <c r="U24" i="56" s="1"/>
  <c r="Q24" i="56"/>
  <c r="J24" i="56"/>
  <c r="M24" i="56" s="1"/>
  <c r="X23" i="56"/>
  <c r="Q23" i="56"/>
  <c r="S23" i="56" s="1"/>
  <c r="U23" i="56" s="1"/>
  <c r="J23" i="56"/>
  <c r="M23" i="56" s="1"/>
  <c r="X22" i="56"/>
  <c r="Q22" i="56"/>
  <c r="S22" i="56" s="1"/>
  <c r="U22" i="56" s="1"/>
  <c r="J22" i="56"/>
  <c r="M22" i="56" s="1"/>
  <c r="X21" i="56"/>
  <c r="S21" i="56"/>
  <c r="U21" i="56" s="1"/>
  <c r="Q21" i="56"/>
  <c r="J21" i="56"/>
  <c r="M21" i="56" s="1"/>
  <c r="X20" i="56"/>
  <c r="Q20" i="56"/>
  <c r="S20" i="56" s="1"/>
  <c r="U20" i="56" s="1"/>
  <c r="J20" i="56"/>
  <c r="M20" i="56" s="1"/>
  <c r="X19" i="56"/>
  <c r="S19" i="56"/>
  <c r="U19" i="56" s="1"/>
  <c r="Q19" i="56"/>
  <c r="J19" i="56"/>
  <c r="M19" i="56" s="1"/>
  <c r="X18" i="56"/>
  <c r="Q18" i="56"/>
  <c r="S18" i="56" s="1"/>
  <c r="U18" i="56" s="1"/>
  <c r="J18" i="56"/>
  <c r="M18" i="56" s="1"/>
  <c r="X17" i="56"/>
  <c r="Q17" i="56"/>
  <c r="S17" i="56" s="1"/>
  <c r="U17" i="56" s="1"/>
  <c r="J17" i="56"/>
  <c r="M17" i="56" s="1"/>
  <c r="X16" i="56"/>
  <c r="S16" i="56"/>
  <c r="U16" i="56" s="1"/>
  <c r="Q16" i="56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S13" i="56"/>
  <c r="U13" i="56" s="1"/>
  <c r="Q13" i="56"/>
  <c r="J13" i="56"/>
  <c r="M13" i="56" s="1"/>
  <c r="X12" i="56"/>
  <c r="Q12" i="56"/>
  <c r="S12" i="56" s="1"/>
  <c r="U12" i="56" s="1"/>
  <c r="J12" i="56"/>
  <c r="M12" i="56" s="1"/>
  <c r="X11" i="56"/>
  <c r="S11" i="56"/>
  <c r="U11" i="56" s="1"/>
  <c r="Q11" i="56"/>
  <c r="J11" i="56"/>
  <c r="M11" i="56" s="1"/>
  <c r="X10" i="56"/>
  <c r="Q10" i="56"/>
  <c r="S10" i="56" s="1"/>
  <c r="U10" i="56" s="1"/>
  <c r="J10" i="56"/>
  <c r="M10" i="56" s="1"/>
  <c r="X9" i="56"/>
  <c r="Q9" i="56"/>
  <c r="S9" i="56" s="1"/>
  <c r="U9" i="56" s="1"/>
  <c r="J9" i="56"/>
  <c r="M9" i="56" s="1"/>
  <c r="X8" i="56"/>
  <c r="Q8" i="56"/>
  <c r="S8" i="56" s="1"/>
  <c r="U8" i="56" s="1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M5" i="56" s="1"/>
  <c r="K221" i="55"/>
  <c r="N25" i="16" s="1"/>
  <c r="K218" i="55"/>
  <c r="R25" i="16" s="1"/>
  <c r="J213" i="55"/>
  <c r="M213" i="55" s="1"/>
  <c r="J212" i="55"/>
  <c r="M212" i="55" s="1"/>
  <c r="J211" i="55"/>
  <c r="M211" i="55" s="1"/>
  <c r="J210" i="55"/>
  <c r="M210" i="55" s="1"/>
  <c r="J209" i="55"/>
  <c r="M209" i="55" s="1"/>
  <c r="J208" i="55"/>
  <c r="M208" i="55" s="1"/>
  <c r="J207" i="55"/>
  <c r="M207" i="55" s="1"/>
  <c r="J206" i="55"/>
  <c r="M206" i="55" s="1"/>
  <c r="J205" i="55"/>
  <c r="M205" i="5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J174" i="55"/>
  <c r="M174" i="55" s="1"/>
  <c r="J173" i="55"/>
  <c r="M173" i="55" s="1"/>
  <c r="J172" i="55"/>
  <c r="M172" i="55" s="1"/>
  <c r="J171" i="55"/>
  <c r="M171" i="55" s="1"/>
  <c r="J170" i="55"/>
  <c r="M170" i="55" s="1"/>
  <c r="J169" i="55"/>
  <c r="M169" i="55" s="1"/>
  <c r="J168" i="55"/>
  <c r="M168" i="55" s="1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M159" i="55"/>
  <c r="J159" i="55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J152" i="55"/>
  <c r="M152" i="55" s="1"/>
  <c r="J151" i="55"/>
  <c r="M151" i="55" s="1"/>
  <c r="J150" i="55"/>
  <c r="M150" i="55" s="1"/>
  <c r="J149" i="55"/>
  <c r="M149" i="55" s="1"/>
  <c r="J148" i="55"/>
  <c r="M148" i="55" s="1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M131" i="55"/>
  <c r="J131" i="55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J112" i="55"/>
  <c r="M112" i="55" s="1"/>
  <c r="J111" i="55"/>
  <c r="M111" i="55" s="1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Q103" i="55"/>
  <c r="S103" i="55" s="1"/>
  <c r="U103" i="55" s="1"/>
  <c r="J103" i="55"/>
  <c r="M103" i="55" s="1"/>
  <c r="X102" i="55"/>
  <c r="U102" i="55"/>
  <c r="Q102" i="55"/>
  <c r="S102" i="55" s="1"/>
  <c r="J102" i="55"/>
  <c r="M102" i="55" s="1"/>
  <c r="X101" i="55"/>
  <c r="S101" i="55"/>
  <c r="U101" i="55" s="1"/>
  <c r="Q101" i="55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S95" i="55"/>
  <c r="U95" i="55" s="1"/>
  <c r="Q95" i="55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Q92" i="55"/>
  <c r="S92" i="55" s="1"/>
  <c r="U92" i="55" s="1"/>
  <c r="J92" i="55"/>
  <c r="M92" i="55" s="1"/>
  <c r="X91" i="55"/>
  <c r="Q91" i="55"/>
  <c r="S91" i="55" s="1"/>
  <c r="U91" i="55" s="1"/>
  <c r="J91" i="55"/>
  <c r="M91" i="55" s="1"/>
  <c r="X90" i="55"/>
  <c r="Q90" i="55"/>
  <c r="S90" i="55" s="1"/>
  <c r="U90" i="55" s="1"/>
  <c r="J90" i="55"/>
  <c r="M90" i="55" s="1"/>
  <c r="X89" i="55"/>
  <c r="Q89" i="55"/>
  <c r="S89" i="55" s="1"/>
  <c r="U89" i="55" s="1"/>
  <c r="J89" i="55"/>
  <c r="M89" i="55" s="1"/>
  <c r="X88" i="55"/>
  <c r="Q88" i="55"/>
  <c r="S88" i="55" s="1"/>
  <c r="U88" i="55" s="1"/>
  <c r="M88" i="55"/>
  <c r="J88" i="55"/>
  <c r="X87" i="55"/>
  <c r="Q87" i="55"/>
  <c r="S87" i="55" s="1"/>
  <c r="U87" i="55" s="1"/>
  <c r="J87" i="55"/>
  <c r="M87" i="55" s="1"/>
  <c r="X86" i="55"/>
  <c r="S86" i="55"/>
  <c r="U86" i="55" s="1"/>
  <c r="Q86" i="55"/>
  <c r="J86" i="55"/>
  <c r="M86" i="55" s="1"/>
  <c r="X85" i="55"/>
  <c r="U85" i="55"/>
  <c r="S85" i="55"/>
  <c r="Q85" i="55"/>
  <c r="J85" i="55"/>
  <c r="M85" i="55" s="1"/>
  <c r="X84" i="55"/>
  <c r="Q84" i="55"/>
  <c r="S84" i="55" s="1"/>
  <c r="U84" i="55" s="1"/>
  <c r="J84" i="55"/>
  <c r="M84" i="55" s="1"/>
  <c r="X83" i="55"/>
  <c r="S83" i="55"/>
  <c r="U83" i="55" s="1"/>
  <c r="Q83" i="55"/>
  <c r="J83" i="55"/>
  <c r="M83" i="55" s="1"/>
  <c r="X82" i="55"/>
  <c r="Q82" i="55"/>
  <c r="S82" i="55" s="1"/>
  <c r="U82" i="55" s="1"/>
  <c r="J82" i="55"/>
  <c r="M82" i="55" s="1"/>
  <c r="X81" i="55"/>
  <c r="Q81" i="55"/>
  <c r="S81" i="55" s="1"/>
  <c r="U81" i="55" s="1"/>
  <c r="J81" i="55"/>
  <c r="M81" i="55" s="1"/>
  <c r="X80" i="55"/>
  <c r="Q80" i="55"/>
  <c r="S80" i="55" s="1"/>
  <c r="U80" i="55" s="1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Q76" i="55"/>
  <c r="S76" i="55" s="1"/>
  <c r="U76" i="55" s="1"/>
  <c r="J76" i="55"/>
  <c r="M76" i="55" s="1"/>
  <c r="X75" i="55"/>
  <c r="S75" i="55"/>
  <c r="U75" i="55" s="1"/>
  <c r="Q75" i="55"/>
  <c r="J75" i="55"/>
  <c r="M75" i="55" s="1"/>
  <c r="X74" i="55"/>
  <c r="Q74" i="55"/>
  <c r="S74" i="55" s="1"/>
  <c r="U74" i="55" s="1"/>
  <c r="J74" i="55"/>
  <c r="M74" i="55" s="1"/>
  <c r="X73" i="55"/>
  <c r="Q73" i="55"/>
  <c r="S73" i="55" s="1"/>
  <c r="U73" i="55" s="1"/>
  <c r="M73" i="55"/>
  <c r="J73" i="55"/>
  <c r="X72" i="55"/>
  <c r="Q72" i="55"/>
  <c r="S72" i="55" s="1"/>
  <c r="U72" i="55" s="1"/>
  <c r="J72" i="55"/>
  <c r="M72" i="55" s="1"/>
  <c r="X71" i="55"/>
  <c r="S71" i="55"/>
  <c r="U71" i="55" s="1"/>
  <c r="Q71" i="55"/>
  <c r="J71" i="55"/>
  <c r="M71" i="55" s="1"/>
  <c r="X70" i="55"/>
  <c r="U70" i="55"/>
  <c r="S70" i="55"/>
  <c r="Q70" i="55"/>
  <c r="J70" i="55"/>
  <c r="M70" i="55" s="1"/>
  <c r="X69" i="55"/>
  <c r="S69" i="55"/>
  <c r="U69" i="55" s="1"/>
  <c r="Q69" i="55"/>
  <c r="M69" i="55"/>
  <c r="J69" i="55"/>
  <c r="X68" i="55"/>
  <c r="Q68" i="55"/>
  <c r="S68" i="55" s="1"/>
  <c r="U68" i="55" s="1"/>
  <c r="J68" i="55"/>
  <c r="M68" i="55" s="1"/>
  <c r="X67" i="55"/>
  <c r="S67" i="55"/>
  <c r="U67" i="55" s="1"/>
  <c r="Q67" i="55"/>
  <c r="J67" i="55"/>
  <c r="M67" i="55" s="1"/>
  <c r="X66" i="55"/>
  <c r="Q66" i="55"/>
  <c r="S66" i="55" s="1"/>
  <c r="U66" i="55" s="1"/>
  <c r="J66" i="55"/>
  <c r="M66" i="55" s="1"/>
  <c r="X65" i="55"/>
  <c r="Q65" i="55"/>
  <c r="S65" i="55" s="1"/>
  <c r="U65" i="55" s="1"/>
  <c r="M65" i="55"/>
  <c r="J65" i="55"/>
  <c r="X64" i="55"/>
  <c r="Q64" i="55"/>
  <c r="S64" i="55" s="1"/>
  <c r="U64" i="55" s="1"/>
  <c r="J64" i="55"/>
  <c r="M64" i="55" s="1"/>
  <c r="X63" i="55"/>
  <c r="S63" i="55"/>
  <c r="U63" i="55" s="1"/>
  <c r="Q63" i="55"/>
  <c r="J63" i="55"/>
  <c r="M63" i="55" s="1"/>
  <c r="X62" i="55"/>
  <c r="Q62" i="55"/>
  <c r="S62" i="55" s="1"/>
  <c r="U62" i="55" s="1"/>
  <c r="J62" i="55"/>
  <c r="M62" i="55" s="1"/>
  <c r="X61" i="55"/>
  <c r="S61" i="55"/>
  <c r="U61" i="55" s="1"/>
  <c r="Q61" i="55"/>
  <c r="J61" i="55"/>
  <c r="M61" i="55" s="1"/>
  <c r="X60" i="55"/>
  <c r="Q60" i="55"/>
  <c r="S60" i="55" s="1"/>
  <c r="U60" i="55" s="1"/>
  <c r="J60" i="55"/>
  <c r="M60" i="55" s="1"/>
  <c r="X59" i="55"/>
  <c r="Q59" i="55"/>
  <c r="S59" i="55" s="1"/>
  <c r="U59" i="55" s="1"/>
  <c r="J59" i="55"/>
  <c r="M59" i="55" s="1"/>
  <c r="X58" i="55"/>
  <c r="Q58" i="55"/>
  <c r="S58" i="55" s="1"/>
  <c r="U58" i="55" s="1"/>
  <c r="J58" i="55"/>
  <c r="M58" i="55" s="1"/>
  <c r="X57" i="55"/>
  <c r="Q57" i="55"/>
  <c r="S57" i="55" s="1"/>
  <c r="U57" i="55" s="1"/>
  <c r="J57" i="55"/>
  <c r="M57" i="55" s="1"/>
  <c r="X56" i="55"/>
  <c r="Q56" i="55"/>
  <c r="S56" i="55" s="1"/>
  <c r="U56" i="55" s="1"/>
  <c r="J56" i="55"/>
  <c r="M56" i="55" s="1"/>
  <c r="X55" i="55"/>
  <c r="Q55" i="55"/>
  <c r="S55" i="55" s="1"/>
  <c r="U55" i="55" s="1"/>
  <c r="J55" i="55"/>
  <c r="M55" i="55" s="1"/>
  <c r="X54" i="55"/>
  <c r="S54" i="55"/>
  <c r="U54" i="55" s="1"/>
  <c r="Q54" i="55"/>
  <c r="J54" i="55"/>
  <c r="M54" i="55" s="1"/>
  <c r="X53" i="55"/>
  <c r="Q53" i="55"/>
  <c r="S53" i="55" s="1"/>
  <c r="U53" i="55" s="1"/>
  <c r="J53" i="55"/>
  <c r="M53" i="55" s="1"/>
  <c r="X52" i="55"/>
  <c r="Q52" i="55"/>
  <c r="S52" i="55" s="1"/>
  <c r="U52" i="55" s="1"/>
  <c r="J52" i="55"/>
  <c r="M52" i="55" s="1"/>
  <c r="X51" i="55"/>
  <c r="S51" i="55"/>
  <c r="U51" i="55" s="1"/>
  <c r="Q51" i="55"/>
  <c r="J51" i="55"/>
  <c r="M51" i="55" s="1"/>
  <c r="X50" i="55"/>
  <c r="U50" i="55"/>
  <c r="Q50" i="55"/>
  <c r="S50" i="55" s="1"/>
  <c r="J50" i="55"/>
  <c r="M50" i="55" s="1"/>
  <c r="X49" i="55"/>
  <c r="Q49" i="55"/>
  <c r="S49" i="55" s="1"/>
  <c r="U49" i="55" s="1"/>
  <c r="J49" i="55"/>
  <c r="M49" i="55" s="1"/>
  <c r="X48" i="55"/>
  <c r="Q48" i="55"/>
  <c r="S48" i="55" s="1"/>
  <c r="U48" i="55" s="1"/>
  <c r="J48" i="55"/>
  <c r="M48" i="55" s="1"/>
  <c r="X47" i="55"/>
  <c r="Q47" i="55"/>
  <c r="S47" i="55" s="1"/>
  <c r="U47" i="55" s="1"/>
  <c r="J47" i="55"/>
  <c r="M47" i="55" s="1"/>
  <c r="X46" i="55"/>
  <c r="S46" i="55"/>
  <c r="U46" i="55" s="1"/>
  <c r="Q46" i="55"/>
  <c r="J46" i="55"/>
  <c r="M46" i="55" s="1"/>
  <c r="X45" i="55"/>
  <c r="Q45" i="55"/>
  <c r="S45" i="55" s="1"/>
  <c r="U45" i="55" s="1"/>
  <c r="M45" i="55"/>
  <c r="J45" i="55"/>
  <c r="X44" i="55"/>
  <c r="Q44" i="55"/>
  <c r="S44" i="55" s="1"/>
  <c r="U44" i="55" s="1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Q37" i="55"/>
  <c r="S37" i="55" s="1"/>
  <c r="U37" i="55" s="1"/>
  <c r="J37" i="55"/>
  <c r="M37" i="55" s="1"/>
  <c r="X36" i="55"/>
  <c r="S36" i="55"/>
  <c r="U36" i="55" s="1"/>
  <c r="Q36" i="55"/>
  <c r="J36" i="55"/>
  <c r="M36" i="55" s="1"/>
  <c r="X35" i="55"/>
  <c r="Q35" i="55"/>
  <c r="S35" i="55" s="1"/>
  <c r="U35" i="55" s="1"/>
  <c r="J35" i="55"/>
  <c r="M35" i="55" s="1"/>
  <c r="X34" i="55"/>
  <c r="Q34" i="55"/>
  <c r="S34" i="55" s="1"/>
  <c r="U34" i="55" s="1"/>
  <c r="J34" i="55"/>
  <c r="M34" i="55" s="1"/>
  <c r="X33" i="55"/>
  <c r="S33" i="55"/>
  <c r="U33" i="55" s="1"/>
  <c r="Q33" i="55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S30" i="55"/>
  <c r="U30" i="55" s="1"/>
  <c r="Q30" i="55"/>
  <c r="J30" i="55"/>
  <c r="M30" i="55" s="1"/>
  <c r="X29" i="55"/>
  <c r="Q29" i="55"/>
  <c r="S29" i="55" s="1"/>
  <c r="U29" i="55" s="1"/>
  <c r="J29" i="55"/>
  <c r="M29" i="55" s="1"/>
  <c r="X28" i="55"/>
  <c r="S28" i="55"/>
  <c r="U28" i="55" s="1"/>
  <c r="Q28" i="55"/>
  <c r="J28" i="55"/>
  <c r="M28" i="55" s="1"/>
  <c r="X27" i="55"/>
  <c r="Q27" i="55"/>
  <c r="S27" i="55" s="1"/>
  <c r="U27" i="55" s="1"/>
  <c r="J27" i="55"/>
  <c r="M27" i="55" s="1"/>
  <c r="X26" i="55"/>
  <c r="Q26" i="55"/>
  <c r="S26" i="55" s="1"/>
  <c r="U26" i="55" s="1"/>
  <c r="J26" i="55"/>
  <c r="M26" i="55" s="1"/>
  <c r="X25" i="55"/>
  <c r="S25" i="55"/>
  <c r="U25" i="55" s="1"/>
  <c r="Q25" i="55"/>
  <c r="J25" i="55"/>
  <c r="M25" i="55" s="1"/>
  <c r="X24" i="55"/>
  <c r="Q24" i="55"/>
  <c r="S24" i="55" s="1"/>
  <c r="U24" i="55" s="1"/>
  <c r="J24" i="55"/>
  <c r="M24" i="55" s="1"/>
  <c r="X23" i="55"/>
  <c r="Q23" i="55"/>
  <c r="S23" i="55" s="1"/>
  <c r="U23" i="55" s="1"/>
  <c r="J23" i="55"/>
  <c r="M23" i="55" s="1"/>
  <c r="X22" i="55"/>
  <c r="S22" i="55"/>
  <c r="U22" i="55" s="1"/>
  <c r="Q22" i="55"/>
  <c r="J22" i="55"/>
  <c r="M22" i="55" s="1"/>
  <c r="X21" i="55"/>
  <c r="Q21" i="55"/>
  <c r="S21" i="55" s="1"/>
  <c r="U21" i="55" s="1"/>
  <c r="J21" i="55"/>
  <c r="M21" i="55" s="1"/>
  <c r="X20" i="55"/>
  <c r="S20" i="55"/>
  <c r="U20" i="55" s="1"/>
  <c r="Q20" i="55"/>
  <c r="J20" i="55"/>
  <c r="M20" i="55" s="1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S15" i="55"/>
  <c r="U15" i="55" s="1"/>
  <c r="Q15" i="55"/>
  <c r="J15" i="55"/>
  <c r="M15" i="55" s="1"/>
  <c r="X14" i="55"/>
  <c r="Q14" i="55"/>
  <c r="S14" i="55" s="1"/>
  <c r="U14" i="55" s="1"/>
  <c r="J14" i="55"/>
  <c r="M14" i="55" s="1"/>
  <c r="X13" i="55"/>
  <c r="Q13" i="55"/>
  <c r="S13" i="55" s="1"/>
  <c r="U13" i="55" s="1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S9" i="55"/>
  <c r="U9" i="55" s="1"/>
  <c r="Q9" i="55"/>
  <c r="J9" i="55"/>
  <c r="M9" i="55" s="1"/>
  <c r="X8" i="55"/>
  <c r="Q8" i="55"/>
  <c r="S8" i="55" s="1"/>
  <c r="U8" i="55" s="1"/>
  <c r="J8" i="55"/>
  <c r="M8" i="55" s="1"/>
  <c r="X7" i="55"/>
  <c r="Q7" i="55"/>
  <c r="S7" i="55" s="1"/>
  <c r="U7" i="55" s="1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M5" i="55" s="1"/>
  <c r="K221" i="54"/>
  <c r="N24" i="16" s="1"/>
  <c r="K218" i="54"/>
  <c r="R24" i="16" s="1"/>
  <c r="J213" i="54"/>
  <c r="M213" i="54" s="1"/>
  <c r="J212" i="54"/>
  <c r="M212" i="54" s="1"/>
  <c r="J211" i="54"/>
  <c r="M211" i="54" s="1"/>
  <c r="J210" i="54"/>
  <c r="M210" i="54" s="1"/>
  <c r="J209" i="54"/>
  <c r="M209" i="54" s="1"/>
  <c r="J208" i="54"/>
  <c r="M208" i="54" s="1"/>
  <c r="J207" i="54"/>
  <c r="M207" i="54" s="1"/>
  <c r="J206" i="54"/>
  <c r="M206" i="54" s="1"/>
  <c r="J205" i="54"/>
  <c r="M205" i="54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J194" i="54"/>
  <c r="M194" i="54" s="1"/>
  <c r="J193" i="54"/>
  <c r="M193" i="54" s="1"/>
  <c r="J192" i="54"/>
  <c r="M192" i="54" s="1"/>
  <c r="M191" i="54"/>
  <c r="J191" i="54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M184" i="54"/>
  <c r="J184" i="54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J168" i="54"/>
  <c r="M168" i="54" s="1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J154" i="54"/>
  <c r="M154" i="54" s="1"/>
  <c r="J153" i="54"/>
  <c r="M153" i="54" s="1"/>
  <c r="J152" i="54"/>
  <c r="M152" i="54" s="1"/>
  <c r="J151" i="54"/>
  <c r="M151" i="54" s="1"/>
  <c r="J150" i="54"/>
  <c r="M150" i="54" s="1"/>
  <c r="M149" i="54"/>
  <c r="J149" i="54"/>
  <c r="J148" i="54"/>
  <c r="M148" i="54" s="1"/>
  <c r="J147" i="54"/>
  <c r="M147" i="54" s="1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M111" i="54"/>
  <c r="J111" i="54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S95" i="54"/>
  <c r="U95" i="54" s="1"/>
  <c r="Q95" i="54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J93" i="54"/>
  <c r="M93" i="54" s="1"/>
  <c r="X92" i="54"/>
  <c r="Q92" i="54"/>
  <c r="S92" i="54" s="1"/>
  <c r="U92" i="54" s="1"/>
  <c r="J92" i="54"/>
  <c r="M92" i="54" s="1"/>
  <c r="X91" i="54"/>
  <c r="Q91" i="54"/>
  <c r="S91" i="54" s="1"/>
  <c r="U91" i="54" s="1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Q88" i="54"/>
  <c r="S88" i="54" s="1"/>
  <c r="U88" i="54" s="1"/>
  <c r="J88" i="54"/>
  <c r="M88" i="54" s="1"/>
  <c r="X87" i="54"/>
  <c r="S87" i="54"/>
  <c r="U87" i="54" s="1"/>
  <c r="Q87" i="54"/>
  <c r="J87" i="54"/>
  <c r="M87" i="54" s="1"/>
  <c r="X86" i="54"/>
  <c r="Q86" i="54"/>
  <c r="S86" i="54" s="1"/>
  <c r="U86" i="54" s="1"/>
  <c r="J86" i="54"/>
  <c r="M86" i="54" s="1"/>
  <c r="X85" i="54"/>
  <c r="S85" i="54"/>
  <c r="U85" i="54" s="1"/>
  <c r="Q85" i="54"/>
  <c r="J85" i="54"/>
  <c r="M85" i="54" s="1"/>
  <c r="X84" i="54"/>
  <c r="U84" i="54"/>
  <c r="Q84" i="54"/>
  <c r="S84" i="54" s="1"/>
  <c r="J84" i="54"/>
  <c r="M84" i="54" s="1"/>
  <c r="X83" i="54"/>
  <c r="S83" i="54"/>
  <c r="U83" i="54" s="1"/>
  <c r="Q83" i="54"/>
  <c r="M83" i="54"/>
  <c r="J83" i="54"/>
  <c r="X82" i="54"/>
  <c r="Q82" i="54"/>
  <c r="S82" i="54" s="1"/>
  <c r="U82" i="54" s="1"/>
  <c r="J82" i="54"/>
  <c r="M82" i="54" s="1"/>
  <c r="X81" i="54"/>
  <c r="S81" i="54"/>
  <c r="U81" i="54" s="1"/>
  <c r="Q81" i="54"/>
  <c r="M81" i="54"/>
  <c r="J81" i="54"/>
  <c r="X80" i="54"/>
  <c r="Q80" i="54"/>
  <c r="S80" i="54" s="1"/>
  <c r="U80" i="54" s="1"/>
  <c r="J80" i="54"/>
  <c r="M80" i="54" s="1"/>
  <c r="X79" i="54"/>
  <c r="S79" i="54"/>
  <c r="U79" i="54" s="1"/>
  <c r="Q79" i="54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J77" i="54"/>
  <c r="M77" i="54" s="1"/>
  <c r="X76" i="54"/>
  <c r="U76" i="54"/>
  <c r="Q76" i="54"/>
  <c r="S76" i="54" s="1"/>
  <c r="J76" i="54"/>
  <c r="M76" i="54" s="1"/>
  <c r="X75" i="54"/>
  <c r="S75" i="54"/>
  <c r="U75" i="54" s="1"/>
  <c r="Q75" i="54"/>
  <c r="M75" i="54"/>
  <c r="J75" i="54"/>
  <c r="X74" i="54"/>
  <c r="Q74" i="54"/>
  <c r="S74" i="54" s="1"/>
  <c r="U74" i="54" s="1"/>
  <c r="J74" i="54"/>
  <c r="M74" i="54" s="1"/>
  <c r="X73" i="54"/>
  <c r="S73" i="54"/>
  <c r="U73" i="54" s="1"/>
  <c r="Q73" i="54"/>
  <c r="M73" i="54"/>
  <c r="J73" i="54"/>
  <c r="X72" i="54"/>
  <c r="Q72" i="54"/>
  <c r="S72" i="54" s="1"/>
  <c r="U72" i="54" s="1"/>
  <c r="J72" i="54"/>
  <c r="M72" i="54" s="1"/>
  <c r="X71" i="54"/>
  <c r="S71" i="54"/>
  <c r="U71" i="54" s="1"/>
  <c r="Q71" i="54"/>
  <c r="J71" i="54"/>
  <c r="M71" i="54" s="1"/>
  <c r="X70" i="54"/>
  <c r="Q70" i="54"/>
  <c r="S70" i="54" s="1"/>
  <c r="U70" i="54" s="1"/>
  <c r="J70" i="54"/>
  <c r="M70" i="54" s="1"/>
  <c r="X69" i="54"/>
  <c r="S69" i="54"/>
  <c r="U69" i="54" s="1"/>
  <c r="Q69" i="54"/>
  <c r="J69" i="54"/>
  <c r="M69" i="54" s="1"/>
  <c r="X68" i="54"/>
  <c r="U68" i="54"/>
  <c r="Q68" i="54"/>
  <c r="S68" i="54" s="1"/>
  <c r="J68" i="54"/>
  <c r="M68" i="54" s="1"/>
  <c r="X67" i="54"/>
  <c r="Q67" i="54"/>
  <c r="S67" i="54" s="1"/>
  <c r="U67" i="54" s="1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M65" i="54"/>
  <c r="J65" i="54"/>
  <c r="X64" i="54"/>
  <c r="Q64" i="54"/>
  <c r="S64" i="54" s="1"/>
  <c r="U64" i="54" s="1"/>
  <c r="J64" i="54"/>
  <c r="M64" i="54" s="1"/>
  <c r="X63" i="54"/>
  <c r="Q63" i="54"/>
  <c r="S63" i="54" s="1"/>
  <c r="U63" i="54" s="1"/>
  <c r="M63" i="54"/>
  <c r="J63" i="54"/>
  <c r="X62" i="54"/>
  <c r="Q62" i="54"/>
  <c r="S62" i="54" s="1"/>
  <c r="U62" i="54" s="1"/>
  <c r="J62" i="54"/>
  <c r="M62" i="54" s="1"/>
  <c r="X61" i="54"/>
  <c r="S61" i="54"/>
  <c r="U61" i="54" s="1"/>
  <c r="Q61" i="54"/>
  <c r="J61" i="54"/>
  <c r="M61" i="54" s="1"/>
  <c r="X60" i="54"/>
  <c r="Q60" i="54"/>
  <c r="S60" i="54" s="1"/>
  <c r="U60" i="54" s="1"/>
  <c r="J60" i="54"/>
  <c r="M60" i="54" s="1"/>
  <c r="X59" i="54"/>
  <c r="S59" i="54"/>
  <c r="U59" i="54" s="1"/>
  <c r="Q59" i="54"/>
  <c r="J59" i="54"/>
  <c r="M59" i="54" s="1"/>
  <c r="X58" i="54"/>
  <c r="Q58" i="54"/>
  <c r="S58" i="54" s="1"/>
  <c r="U58" i="54" s="1"/>
  <c r="J58" i="54"/>
  <c r="M58" i="54" s="1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S53" i="54"/>
  <c r="U53" i="54" s="1"/>
  <c r="Q53" i="54"/>
  <c r="J53" i="54"/>
  <c r="M53" i="54" s="1"/>
  <c r="X52" i="54"/>
  <c r="Q52" i="54"/>
  <c r="S52" i="54" s="1"/>
  <c r="U52" i="54" s="1"/>
  <c r="J52" i="54"/>
  <c r="M52" i="54" s="1"/>
  <c r="X51" i="54"/>
  <c r="S51" i="54"/>
  <c r="U51" i="54" s="1"/>
  <c r="Q51" i="54"/>
  <c r="J51" i="54"/>
  <c r="M51" i="54" s="1"/>
  <c r="X50" i="54"/>
  <c r="Q50" i="54"/>
  <c r="S50" i="54" s="1"/>
  <c r="U50" i="54" s="1"/>
  <c r="J50" i="54"/>
  <c r="M50" i="54" s="1"/>
  <c r="X49" i="54"/>
  <c r="S49" i="54"/>
  <c r="U49" i="54" s="1"/>
  <c r="Q49" i="54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S41" i="54"/>
  <c r="U41" i="54" s="1"/>
  <c r="Q41" i="54"/>
  <c r="J41" i="54"/>
  <c r="M41" i="54" s="1"/>
  <c r="X40" i="54"/>
  <c r="Q40" i="54"/>
  <c r="S40" i="54" s="1"/>
  <c r="U40" i="54" s="1"/>
  <c r="J40" i="54"/>
  <c r="M40" i="54" s="1"/>
  <c r="X39" i="54"/>
  <c r="S39" i="54"/>
  <c r="U39" i="54" s="1"/>
  <c r="Q39" i="54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S32" i="54"/>
  <c r="U32" i="54" s="1"/>
  <c r="Q32" i="54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S26" i="54"/>
  <c r="U26" i="54" s="1"/>
  <c r="Q26" i="54"/>
  <c r="J26" i="54"/>
  <c r="M26" i="54" s="1"/>
  <c r="X25" i="54"/>
  <c r="Q25" i="54"/>
  <c r="S25" i="54" s="1"/>
  <c r="U25" i="54" s="1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Q22" i="54"/>
  <c r="S22" i="54" s="1"/>
  <c r="U22" i="54" s="1"/>
  <c r="J22" i="54"/>
  <c r="M22" i="54" s="1"/>
  <c r="X21" i="54"/>
  <c r="Q21" i="54"/>
  <c r="S21" i="54" s="1"/>
  <c r="U21" i="54" s="1"/>
  <c r="J21" i="54"/>
  <c r="M21" i="54" s="1"/>
  <c r="X20" i="54"/>
  <c r="Q20" i="54"/>
  <c r="S20" i="54" s="1"/>
  <c r="U20" i="54" s="1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Q14" i="54"/>
  <c r="S14" i="54" s="1"/>
  <c r="U14" i="54" s="1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J11" i="54"/>
  <c r="M11" i="54" s="1"/>
  <c r="X10" i="54"/>
  <c r="S10" i="54"/>
  <c r="U10" i="54" s="1"/>
  <c r="Q10" i="54"/>
  <c r="M10" i="54"/>
  <c r="J10" i="54"/>
  <c r="X9" i="54"/>
  <c r="Q9" i="54"/>
  <c r="S9" i="54" s="1"/>
  <c r="U9" i="54" s="1"/>
  <c r="J9" i="54"/>
  <c r="M9" i="54" s="1"/>
  <c r="X8" i="54"/>
  <c r="S8" i="54"/>
  <c r="U8" i="54" s="1"/>
  <c r="Q8" i="54"/>
  <c r="M8" i="54"/>
  <c r="J8" i="54"/>
  <c r="X7" i="54"/>
  <c r="Q7" i="54"/>
  <c r="S7" i="54" s="1"/>
  <c r="U7" i="54" s="1"/>
  <c r="J7" i="54"/>
  <c r="M7" i="54" s="1"/>
  <c r="X6" i="54"/>
  <c r="S6" i="54"/>
  <c r="U6" i="54" s="1"/>
  <c r="Q6" i="54"/>
  <c r="J6" i="54"/>
  <c r="M6" i="54" s="1"/>
  <c r="X5" i="54"/>
  <c r="Q5" i="54"/>
  <c r="S5" i="54" s="1"/>
  <c r="U5" i="54" s="1"/>
  <c r="J5" i="54"/>
  <c r="K221" i="53"/>
  <c r="N23" i="16" s="1"/>
  <c r="K218" i="53"/>
  <c r="J213" i="53"/>
  <c r="M213" i="53" s="1"/>
  <c r="J212" i="53"/>
  <c r="M212" i="53" s="1"/>
  <c r="J211" i="53"/>
  <c r="M211" i="53" s="1"/>
  <c r="J210" i="53"/>
  <c r="M210" i="53" s="1"/>
  <c r="J209" i="53"/>
  <c r="M209" i="53" s="1"/>
  <c r="J208" i="53"/>
  <c r="M208" i="53" s="1"/>
  <c r="J207" i="53"/>
  <c r="M207" i="53" s="1"/>
  <c r="J206" i="53"/>
  <c r="M206" i="53" s="1"/>
  <c r="M205" i="53"/>
  <c r="J205" i="53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M181" i="53"/>
  <c r="J181" i="53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J142" i="53"/>
  <c r="M142" i="53" s="1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Q102" i="53"/>
  <c r="S102" i="53" s="1"/>
  <c r="U102" i="53" s="1"/>
  <c r="J102" i="53"/>
  <c r="M102" i="53" s="1"/>
  <c r="X101" i="53"/>
  <c r="S101" i="53"/>
  <c r="U101" i="53" s="1"/>
  <c r="Q101" i="53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Q98" i="53"/>
  <c r="S98" i="53" s="1"/>
  <c r="U98" i="53" s="1"/>
  <c r="J98" i="53"/>
  <c r="M98" i="53" s="1"/>
  <c r="X97" i="53"/>
  <c r="Q97" i="53"/>
  <c r="S97" i="53" s="1"/>
  <c r="U97" i="53" s="1"/>
  <c r="J97" i="53"/>
  <c r="M97" i="53" s="1"/>
  <c r="X96" i="53"/>
  <c r="Q96" i="53"/>
  <c r="S96" i="53" s="1"/>
  <c r="U96" i="53" s="1"/>
  <c r="J96" i="53"/>
  <c r="M96" i="53" s="1"/>
  <c r="X95" i="53"/>
  <c r="U95" i="53"/>
  <c r="Q95" i="53"/>
  <c r="S95" i="53" s="1"/>
  <c r="M95" i="53"/>
  <c r="J95" i="53"/>
  <c r="X94" i="53"/>
  <c r="Q94" i="53"/>
  <c r="S94" i="53" s="1"/>
  <c r="U94" i="53" s="1"/>
  <c r="J94" i="53"/>
  <c r="M94" i="53" s="1"/>
  <c r="X93" i="53"/>
  <c r="U93" i="53"/>
  <c r="S93" i="53"/>
  <c r="Q93" i="53"/>
  <c r="J93" i="53"/>
  <c r="M93" i="53" s="1"/>
  <c r="X92" i="53"/>
  <c r="U92" i="53"/>
  <c r="Q92" i="53"/>
  <c r="S92" i="53" s="1"/>
  <c r="J92" i="53"/>
  <c r="M92" i="53" s="1"/>
  <c r="X91" i="53"/>
  <c r="Q91" i="53"/>
  <c r="S91" i="53" s="1"/>
  <c r="U91" i="53" s="1"/>
  <c r="J91" i="53"/>
  <c r="M91" i="53" s="1"/>
  <c r="X90" i="53"/>
  <c r="U90" i="53"/>
  <c r="Q90" i="53"/>
  <c r="S90" i="53" s="1"/>
  <c r="M90" i="53"/>
  <c r="J90" i="53"/>
  <c r="X89" i="53"/>
  <c r="Q89" i="53"/>
  <c r="S89" i="53" s="1"/>
  <c r="U89" i="53" s="1"/>
  <c r="J89" i="53"/>
  <c r="M89" i="53" s="1"/>
  <c r="X88" i="53"/>
  <c r="S88" i="53"/>
  <c r="U88" i="53" s="1"/>
  <c r="Q88" i="53"/>
  <c r="J88" i="53"/>
  <c r="M88" i="53" s="1"/>
  <c r="X87" i="53"/>
  <c r="Q87" i="53"/>
  <c r="S87" i="53" s="1"/>
  <c r="U87" i="53" s="1"/>
  <c r="J87" i="53"/>
  <c r="M87" i="53" s="1"/>
  <c r="X86" i="53"/>
  <c r="Q86" i="53"/>
  <c r="S86" i="53" s="1"/>
  <c r="U86" i="53" s="1"/>
  <c r="J86" i="53"/>
  <c r="M86" i="53" s="1"/>
  <c r="X85" i="53"/>
  <c r="Q85" i="53"/>
  <c r="S85" i="53" s="1"/>
  <c r="U85" i="53" s="1"/>
  <c r="J85" i="53"/>
  <c r="M85" i="53" s="1"/>
  <c r="X84" i="53"/>
  <c r="U84" i="53"/>
  <c r="Q84" i="53"/>
  <c r="S84" i="53" s="1"/>
  <c r="J84" i="53"/>
  <c r="M84" i="53" s="1"/>
  <c r="X83" i="53"/>
  <c r="Q83" i="53"/>
  <c r="S83" i="53" s="1"/>
  <c r="U83" i="53" s="1"/>
  <c r="J83" i="53"/>
  <c r="M83" i="53" s="1"/>
  <c r="X82" i="53"/>
  <c r="U82" i="53"/>
  <c r="Q82" i="53"/>
  <c r="S82" i="53" s="1"/>
  <c r="J82" i="53"/>
  <c r="M82" i="53" s="1"/>
  <c r="X81" i="53"/>
  <c r="Q81" i="53"/>
  <c r="S81" i="53" s="1"/>
  <c r="U81" i="53" s="1"/>
  <c r="J81" i="53"/>
  <c r="M81" i="53" s="1"/>
  <c r="X80" i="53"/>
  <c r="Q80" i="53"/>
  <c r="S80" i="53" s="1"/>
  <c r="U80" i="53" s="1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U77" i="53"/>
  <c r="S77" i="53"/>
  <c r="Q77" i="53"/>
  <c r="J77" i="53"/>
  <c r="M77" i="53" s="1"/>
  <c r="X76" i="53"/>
  <c r="Q76" i="53"/>
  <c r="S76" i="53" s="1"/>
  <c r="U76" i="53" s="1"/>
  <c r="J76" i="53"/>
  <c r="M76" i="53" s="1"/>
  <c r="X75" i="53"/>
  <c r="S75" i="53"/>
  <c r="U75" i="53" s="1"/>
  <c r="Q75" i="53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S72" i="53"/>
  <c r="U72" i="53" s="1"/>
  <c r="Q72" i="53"/>
  <c r="J72" i="53"/>
  <c r="M72" i="53" s="1"/>
  <c r="X71" i="53"/>
  <c r="Q71" i="53"/>
  <c r="S71" i="53" s="1"/>
  <c r="U71" i="53" s="1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U68" i="53"/>
  <c r="Q68" i="53"/>
  <c r="S68" i="53" s="1"/>
  <c r="J68" i="53"/>
  <c r="M68" i="53" s="1"/>
  <c r="X67" i="53"/>
  <c r="Q67" i="53"/>
  <c r="S67" i="53" s="1"/>
  <c r="U67" i="53" s="1"/>
  <c r="J67" i="53"/>
  <c r="M67" i="53" s="1"/>
  <c r="X66" i="53"/>
  <c r="U66" i="53"/>
  <c r="Q66" i="53"/>
  <c r="S66" i="53" s="1"/>
  <c r="J66" i="53"/>
  <c r="M66" i="53" s="1"/>
  <c r="X65" i="53"/>
  <c r="Q65" i="53"/>
  <c r="S65" i="53" s="1"/>
  <c r="U65" i="53" s="1"/>
  <c r="J65" i="53"/>
  <c r="M65" i="53" s="1"/>
  <c r="X64" i="53"/>
  <c r="S64" i="53"/>
  <c r="U64" i="53" s="1"/>
  <c r="Q64" i="53"/>
  <c r="J64" i="53"/>
  <c r="M64" i="53" s="1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S61" i="53"/>
  <c r="U61" i="53" s="1"/>
  <c r="Q61" i="53"/>
  <c r="J61" i="53"/>
  <c r="M61" i="53" s="1"/>
  <c r="X60" i="53"/>
  <c r="Q60" i="53"/>
  <c r="S60" i="53" s="1"/>
  <c r="U60" i="53" s="1"/>
  <c r="J60" i="53"/>
  <c r="M60" i="53" s="1"/>
  <c r="X59" i="53"/>
  <c r="S59" i="53"/>
  <c r="U59" i="53" s="1"/>
  <c r="Q59" i="53"/>
  <c r="J59" i="53"/>
  <c r="M59" i="53" s="1"/>
  <c r="X58" i="53"/>
  <c r="Q58" i="53"/>
  <c r="S58" i="53" s="1"/>
  <c r="U58" i="53" s="1"/>
  <c r="J58" i="53"/>
  <c r="M58" i="53" s="1"/>
  <c r="X57" i="53"/>
  <c r="Q57" i="53"/>
  <c r="S57" i="53" s="1"/>
  <c r="U57" i="53" s="1"/>
  <c r="J57" i="53"/>
  <c r="M57" i="53" s="1"/>
  <c r="X56" i="53"/>
  <c r="S56" i="53"/>
  <c r="U56" i="53" s="1"/>
  <c r="Q56" i="53"/>
  <c r="J56" i="53"/>
  <c r="M56" i="53" s="1"/>
  <c r="X55" i="53"/>
  <c r="Q55" i="53"/>
  <c r="S55" i="53" s="1"/>
  <c r="U55" i="53" s="1"/>
  <c r="J55" i="53"/>
  <c r="M55" i="53" s="1"/>
  <c r="X54" i="53"/>
  <c r="Q54" i="53"/>
  <c r="S54" i="53" s="1"/>
  <c r="U54" i="53" s="1"/>
  <c r="J54" i="53"/>
  <c r="M54" i="53" s="1"/>
  <c r="X53" i="53"/>
  <c r="S53" i="53"/>
  <c r="U53" i="53" s="1"/>
  <c r="Q53" i="53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U49" i="53"/>
  <c r="Q49" i="53"/>
  <c r="S49" i="53" s="1"/>
  <c r="J49" i="53"/>
  <c r="M49" i="53" s="1"/>
  <c r="X48" i="53"/>
  <c r="Q48" i="53"/>
  <c r="S48" i="53" s="1"/>
  <c r="U48" i="53" s="1"/>
  <c r="J48" i="53"/>
  <c r="M48" i="53" s="1"/>
  <c r="X47" i="53"/>
  <c r="Q47" i="53"/>
  <c r="S47" i="53" s="1"/>
  <c r="U47" i="53" s="1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U44" i="53"/>
  <c r="Q44" i="53"/>
  <c r="S44" i="53" s="1"/>
  <c r="J44" i="53"/>
  <c r="M44" i="53" s="1"/>
  <c r="X43" i="53"/>
  <c r="Q43" i="53"/>
  <c r="S43" i="53" s="1"/>
  <c r="U43" i="53" s="1"/>
  <c r="J43" i="53"/>
  <c r="M43" i="53" s="1"/>
  <c r="X42" i="53"/>
  <c r="S42" i="53"/>
  <c r="U42" i="53" s="1"/>
  <c r="Q42" i="53"/>
  <c r="M42" i="53"/>
  <c r="J42" i="53"/>
  <c r="X41" i="53"/>
  <c r="Q41" i="53"/>
  <c r="S41" i="53" s="1"/>
  <c r="U41" i="53" s="1"/>
  <c r="J41" i="53"/>
  <c r="M41" i="53" s="1"/>
  <c r="X40" i="53"/>
  <c r="S40" i="53"/>
  <c r="U40" i="53" s="1"/>
  <c r="Q40" i="53"/>
  <c r="J40" i="53"/>
  <c r="M40" i="53" s="1"/>
  <c r="X39" i="53"/>
  <c r="Q39" i="53"/>
  <c r="S39" i="53" s="1"/>
  <c r="U39" i="53" s="1"/>
  <c r="J39" i="53"/>
  <c r="M39" i="53" s="1"/>
  <c r="X38" i="53"/>
  <c r="S38" i="53"/>
  <c r="U38" i="53" s="1"/>
  <c r="Q38" i="53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U34" i="53"/>
  <c r="S34" i="53"/>
  <c r="Q34" i="53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S31" i="53"/>
  <c r="U31" i="53" s="1"/>
  <c r="Q31" i="53"/>
  <c r="J31" i="53"/>
  <c r="M31" i="53" s="1"/>
  <c r="X30" i="53"/>
  <c r="S30" i="53"/>
  <c r="U30" i="53" s="1"/>
  <c r="Q30" i="53"/>
  <c r="J30" i="53"/>
  <c r="M30" i="53" s="1"/>
  <c r="X29" i="53"/>
  <c r="Q29" i="53"/>
  <c r="S29" i="53" s="1"/>
  <c r="U29" i="53" s="1"/>
  <c r="J29" i="53"/>
  <c r="M29" i="53" s="1"/>
  <c r="X28" i="53"/>
  <c r="S28" i="53"/>
  <c r="U28" i="53" s="1"/>
  <c r="Q28" i="53"/>
  <c r="J28" i="53"/>
  <c r="M28" i="53" s="1"/>
  <c r="X27" i="53"/>
  <c r="Q27" i="53"/>
  <c r="S27" i="53" s="1"/>
  <c r="U27" i="53" s="1"/>
  <c r="J27" i="53"/>
  <c r="M27" i="53" s="1"/>
  <c r="X26" i="53"/>
  <c r="Q26" i="53"/>
  <c r="S26" i="53" s="1"/>
  <c r="U26" i="53" s="1"/>
  <c r="J26" i="53"/>
  <c r="M26" i="53" s="1"/>
  <c r="X25" i="53"/>
  <c r="Q25" i="53"/>
  <c r="S25" i="53" s="1"/>
  <c r="U25" i="53" s="1"/>
  <c r="J25" i="53"/>
  <c r="M25" i="53" s="1"/>
  <c r="X24" i="53"/>
  <c r="Q24" i="53"/>
  <c r="S24" i="53" s="1"/>
  <c r="U24" i="53" s="1"/>
  <c r="J24" i="53"/>
  <c r="M24" i="53" s="1"/>
  <c r="X23" i="53"/>
  <c r="Q23" i="53"/>
  <c r="S23" i="53" s="1"/>
  <c r="U23" i="53" s="1"/>
  <c r="J23" i="53"/>
  <c r="M23" i="53" s="1"/>
  <c r="X22" i="53"/>
  <c r="Q22" i="53"/>
  <c r="S22" i="53" s="1"/>
  <c r="U22" i="53" s="1"/>
  <c r="J22" i="53"/>
  <c r="M22" i="53" s="1"/>
  <c r="X21" i="53"/>
  <c r="Q21" i="53"/>
  <c r="S21" i="53" s="1"/>
  <c r="U21" i="53" s="1"/>
  <c r="J21" i="53"/>
  <c r="M21" i="53" s="1"/>
  <c r="X20" i="53"/>
  <c r="Q20" i="53"/>
  <c r="S20" i="53" s="1"/>
  <c r="U20" i="53" s="1"/>
  <c r="J20" i="53"/>
  <c r="M20" i="53" s="1"/>
  <c r="X19" i="53"/>
  <c r="S19" i="53"/>
  <c r="U19" i="53" s="1"/>
  <c r="Q19" i="53"/>
  <c r="J19" i="53"/>
  <c r="M19" i="53" s="1"/>
  <c r="X18" i="53"/>
  <c r="S18" i="53"/>
  <c r="U18" i="53" s="1"/>
  <c r="Q18" i="53"/>
  <c r="J18" i="53"/>
  <c r="M18" i="53" s="1"/>
  <c r="X17" i="53"/>
  <c r="Q17" i="53"/>
  <c r="S17" i="53" s="1"/>
  <c r="U17" i="53" s="1"/>
  <c r="J17" i="53"/>
  <c r="M17" i="53" s="1"/>
  <c r="X16" i="53"/>
  <c r="Q16" i="53"/>
  <c r="S16" i="53" s="1"/>
  <c r="U16" i="53" s="1"/>
  <c r="J16" i="53"/>
  <c r="M16" i="53" s="1"/>
  <c r="X15" i="53"/>
  <c r="Q15" i="53"/>
  <c r="S15" i="53" s="1"/>
  <c r="U15" i="53" s="1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S11" i="53"/>
  <c r="U11" i="53" s="1"/>
  <c r="Q11" i="53"/>
  <c r="J11" i="53"/>
  <c r="M11" i="53" s="1"/>
  <c r="X10" i="53"/>
  <c r="Q10" i="53"/>
  <c r="S10" i="53" s="1"/>
  <c r="U10" i="53" s="1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Q7" i="53"/>
  <c r="S7" i="53" s="1"/>
  <c r="U7" i="53" s="1"/>
  <c r="J7" i="53"/>
  <c r="M7" i="53" s="1"/>
  <c r="X6" i="53"/>
  <c r="Q6" i="53"/>
  <c r="S6" i="53" s="1"/>
  <c r="U6" i="53" s="1"/>
  <c r="J6" i="53"/>
  <c r="M6" i="53" s="1"/>
  <c r="X5" i="53"/>
  <c r="Q5" i="53"/>
  <c r="S5" i="53" s="1"/>
  <c r="U5" i="53" s="1"/>
  <c r="J5" i="53"/>
  <c r="M5" i="53" s="1"/>
  <c r="K221" i="52"/>
  <c r="N22" i="16" s="1"/>
  <c r="K218" i="52"/>
  <c r="J213" i="52"/>
  <c r="M213" i="52" s="1"/>
  <c r="J212" i="52"/>
  <c r="M212" i="52" s="1"/>
  <c r="J211" i="52"/>
  <c r="M211" i="52" s="1"/>
  <c r="J210" i="52"/>
  <c r="M210" i="52" s="1"/>
  <c r="J209" i="52"/>
  <c r="M209" i="52" s="1"/>
  <c r="J208" i="52"/>
  <c r="M208" i="52" s="1"/>
  <c r="J207" i="52"/>
  <c r="M207" i="52" s="1"/>
  <c r="J206" i="52"/>
  <c r="M206" i="52" s="1"/>
  <c r="J205" i="52"/>
  <c r="M205" i="52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J198" i="52"/>
  <c r="M198" i="52" s="1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J136" i="52"/>
  <c r="M136" i="52" s="1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J126" i="52"/>
  <c r="M126" i="52" s="1"/>
  <c r="J125" i="52"/>
  <c r="M125" i="52" s="1"/>
  <c r="J124" i="52"/>
  <c r="M124" i="52" s="1"/>
  <c r="J123" i="52"/>
  <c r="M123" i="52" s="1"/>
  <c r="J122" i="52"/>
  <c r="M122" i="52" s="1"/>
  <c r="J121" i="52"/>
  <c r="M121" i="52" s="1"/>
  <c r="J120" i="52"/>
  <c r="M120" i="52" s="1"/>
  <c r="M119" i="52"/>
  <c r="J119" i="52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M112" i="52"/>
  <c r="J112" i="52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Q103" i="52"/>
  <c r="S103" i="52" s="1"/>
  <c r="U103" i="52" s="1"/>
  <c r="J103" i="52"/>
  <c r="M103" i="52" s="1"/>
  <c r="X102" i="52"/>
  <c r="Q102" i="52"/>
  <c r="S102" i="52" s="1"/>
  <c r="U102" i="52" s="1"/>
  <c r="M102" i="52"/>
  <c r="J102" i="52"/>
  <c r="X101" i="52"/>
  <c r="Q101" i="52"/>
  <c r="S101" i="52" s="1"/>
  <c r="U101" i="52" s="1"/>
  <c r="J101" i="52"/>
  <c r="M101" i="52" s="1"/>
  <c r="X100" i="52"/>
  <c r="Q100" i="52"/>
  <c r="S100" i="52" s="1"/>
  <c r="U100" i="52" s="1"/>
  <c r="J100" i="52"/>
  <c r="M100" i="52" s="1"/>
  <c r="X99" i="52"/>
  <c r="U99" i="52"/>
  <c r="S99" i="52"/>
  <c r="Q99" i="52"/>
  <c r="J99" i="52"/>
  <c r="M99" i="52" s="1"/>
  <c r="X98" i="52"/>
  <c r="Q98" i="52"/>
  <c r="S98" i="52" s="1"/>
  <c r="U98" i="52" s="1"/>
  <c r="J98" i="52"/>
  <c r="M98" i="52" s="1"/>
  <c r="X97" i="52"/>
  <c r="S97" i="52"/>
  <c r="U97" i="52" s="1"/>
  <c r="Q97" i="52"/>
  <c r="J97" i="52"/>
  <c r="M97" i="52" s="1"/>
  <c r="X96" i="52"/>
  <c r="Q96" i="52"/>
  <c r="S96" i="52" s="1"/>
  <c r="U96" i="52" s="1"/>
  <c r="J96" i="52"/>
  <c r="M96" i="52" s="1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S93" i="52"/>
  <c r="U93" i="52" s="1"/>
  <c r="Q93" i="52"/>
  <c r="J93" i="52"/>
  <c r="M93" i="52" s="1"/>
  <c r="X92" i="52"/>
  <c r="Q92" i="52"/>
  <c r="S92" i="52" s="1"/>
  <c r="U92" i="52" s="1"/>
  <c r="J92" i="52"/>
  <c r="M92" i="52" s="1"/>
  <c r="X91" i="52"/>
  <c r="S91" i="52"/>
  <c r="U91" i="52" s="1"/>
  <c r="Q91" i="52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Q87" i="52"/>
  <c r="S87" i="52" s="1"/>
  <c r="U87" i="52" s="1"/>
  <c r="J87" i="52"/>
  <c r="M87" i="52" s="1"/>
  <c r="X86" i="52"/>
  <c r="Q86" i="52"/>
  <c r="S86" i="52" s="1"/>
  <c r="U86" i="52" s="1"/>
  <c r="J86" i="52"/>
  <c r="M86" i="52" s="1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Q83" i="52"/>
  <c r="S83" i="52" s="1"/>
  <c r="U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Q79" i="52"/>
  <c r="S79" i="52" s="1"/>
  <c r="U79" i="52" s="1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J76" i="52"/>
  <c r="M76" i="52" s="1"/>
  <c r="X75" i="52"/>
  <c r="Q75" i="52"/>
  <c r="S75" i="52" s="1"/>
  <c r="U75" i="52" s="1"/>
  <c r="J75" i="52"/>
  <c r="M75" i="52" s="1"/>
  <c r="X74" i="52"/>
  <c r="Q74" i="52"/>
  <c r="S74" i="52" s="1"/>
  <c r="U74" i="52" s="1"/>
  <c r="J74" i="52"/>
  <c r="M74" i="52" s="1"/>
  <c r="X73" i="52"/>
  <c r="Q73" i="52"/>
  <c r="S73" i="52" s="1"/>
  <c r="U73" i="52" s="1"/>
  <c r="J73" i="52"/>
  <c r="M73" i="52" s="1"/>
  <c r="X72" i="52"/>
  <c r="Q72" i="52"/>
  <c r="S72" i="52" s="1"/>
  <c r="U72" i="52" s="1"/>
  <c r="J72" i="52"/>
  <c r="M72" i="52" s="1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S67" i="52"/>
  <c r="U67" i="52" s="1"/>
  <c r="Q67" i="52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Q62" i="52"/>
  <c r="S62" i="52" s="1"/>
  <c r="U62" i="52" s="1"/>
  <c r="J62" i="52"/>
  <c r="M62" i="52" s="1"/>
  <c r="X61" i="52"/>
  <c r="Q61" i="52"/>
  <c r="S61" i="52" s="1"/>
  <c r="U61" i="52" s="1"/>
  <c r="J61" i="52"/>
  <c r="M61" i="52" s="1"/>
  <c r="X60" i="52"/>
  <c r="S60" i="52"/>
  <c r="U60" i="52" s="1"/>
  <c r="Q60" i="52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S57" i="52"/>
  <c r="U57" i="52" s="1"/>
  <c r="Q57" i="52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Q54" i="52"/>
  <c r="S54" i="52" s="1"/>
  <c r="U54" i="52" s="1"/>
  <c r="J54" i="52"/>
  <c r="M54" i="52" s="1"/>
  <c r="X53" i="52"/>
  <c r="Q53" i="52"/>
  <c r="S53" i="52" s="1"/>
  <c r="U53" i="52" s="1"/>
  <c r="J53" i="52"/>
  <c r="M53" i="52" s="1"/>
  <c r="X52" i="52"/>
  <c r="Q52" i="52"/>
  <c r="S52" i="52" s="1"/>
  <c r="U52" i="52" s="1"/>
  <c r="J52" i="52"/>
  <c r="M52" i="52" s="1"/>
  <c r="X51" i="52"/>
  <c r="Q51" i="52"/>
  <c r="S51" i="52" s="1"/>
  <c r="U51" i="52" s="1"/>
  <c r="J51" i="52"/>
  <c r="M51" i="52" s="1"/>
  <c r="X50" i="52"/>
  <c r="Q50" i="52"/>
  <c r="S50" i="52" s="1"/>
  <c r="U50" i="52" s="1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Q42" i="52"/>
  <c r="S42" i="52" s="1"/>
  <c r="U42" i="52" s="1"/>
  <c r="J42" i="52"/>
  <c r="M42" i="52" s="1"/>
  <c r="X41" i="52"/>
  <c r="Q41" i="52"/>
  <c r="S41" i="52" s="1"/>
  <c r="U41" i="52" s="1"/>
  <c r="J41" i="52"/>
  <c r="M41" i="52" s="1"/>
  <c r="X40" i="52"/>
  <c r="Q40" i="52"/>
  <c r="S40" i="52" s="1"/>
  <c r="U40" i="52" s="1"/>
  <c r="J40" i="52"/>
  <c r="M40" i="52" s="1"/>
  <c r="X39" i="52"/>
  <c r="Q39" i="52"/>
  <c r="S39" i="52" s="1"/>
  <c r="U39" i="52" s="1"/>
  <c r="J39" i="52"/>
  <c r="M39" i="52" s="1"/>
  <c r="X38" i="52"/>
  <c r="Q38" i="52"/>
  <c r="S38" i="52" s="1"/>
  <c r="U38" i="52" s="1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Q35" i="52"/>
  <c r="S35" i="52" s="1"/>
  <c r="U35" i="52" s="1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S32" i="52"/>
  <c r="U32" i="52" s="1"/>
  <c r="Q32" i="52"/>
  <c r="J32" i="52"/>
  <c r="M32" i="52" s="1"/>
  <c r="X31" i="52"/>
  <c r="Q31" i="52"/>
  <c r="S31" i="52" s="1"/>
  <c r="U31" i="52" s="1"/>
  <c r="J31" i="52"/>
  <c r="M31" i="52" s="1"/>
  <c r="X30" i="52"/>
  <c r="S30" i="52"/>
  <c r="U30" i="52" s="1"/>
  <c r="Q30" i="52"/>
  <c r="J30" i="52"/>
  <c r="M30" i="52" s="1"/>
  <c r="X29" i="52"/>
  <c r="Q29" i="52"/>
  <c r="S29" i="52" s="1"/>
  <c r="U29" i="52" s="1"/>
  <c r="J29" i="52"/>
  <c r="M29" i="52" s="1"/>
  <c r="X28" i="52"/>
  <c r="Q28" i="52"/>
  <c r="S28" i="52" s="1"/>
  <c r="U28" i="52" s="1"/>
  <c r="J28" i="52"/>
  <c r="M28" i="52" s="1"/>
  <c r="X27" i="52"/>
  <c r="S27" i="52"/>
  <c r="U27" i="52" s="1"/>
  <c r="Q27" i="52"/>
  <c r="J27" i="52"/>
  <c r="M27" i="52" s="1"/>
  <c r="X26" i="52"/>
  <c r="Q26" i="52"/>
  <c r="S26" i="52" s="1"/>
  <c r="U26" i="52" s="1"/>
  <c r="J26" i="52"/>
  <c r="M26" i="52" s="1"/>
  <c r="X25" i="52"/>
  <c r="Q25" i="52"/>
  <c r="S25" i="52" s="1"/>
  <c r="U25" i="52" s="1"/>
  <c r="J25" i="52"/>
  <c r="M25" i="52" s="1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Q20" i="52"/>
  <c r="S20" i="52" s="1"/>
  <c r="U20" i="52" s="1"/>
  <c r="J20" i="52"/>
  <c r="M20" i="52" s="1"/>
  <c r="X19" i="52"/>
  <c r="Q19" i="52"/>
  <c r="S19" i="52" s="1"/>
  <c r="U19" i="52" s="1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Q15" i="52"/>
  <c r="S15" i="52" s="1"/>
  <c r="U15" i="52" s="1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S11" i="52"/>
  <c r="U11" i="52" s="1"/>
  <c r="Q11" i="52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M5" i="52"/>
  <c r="J5" i="52"/>
  <c r="K221" i="51"/>
  <c r="N21" i="16" s="1"/>
  <c r="K218" i="51"/>
  <c r="J213" i="51"/>
  <c r="M213" i="51" s="1"/>
  <c r="J212" i="51"/>
  <c r="M212" i="51" s="1"/>
  <c r="J211" i="51"/>
  <c r="M211" i="51" s="1"/>
  <c r="J210" i="51"/>
  <c r="M210" i="51" s="1"/>
  <c r="J209" i="51"/>
  <c r="M209" i="51" s="1"/>
  <c r="J208" i="51"/>
  <c r="M208" i="51" s="1"/>
  <c r="J207" i="51"/>
  <c r="M207" i="51" s="1"/>
  <c r="J206" i="51"/>
  <c r="M206" i="51" s="1"/>
  <c r="J205" i="51"/>
  <c r="M205" i="51" s="1"/>
  <c r="J204" i="51"/>
  <c r="M204" i="51" s="1"/>
  <c r="J203" i="51"/>
  <c r="M203" i="51" s="1"/>
  <c r="J202" i="51"/>
  <c r="M202" i="51" s="1"/>
  <c r="M201" i="51"/>
  <c r="J201" i="5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M162" i="51"/>
  <c r="J162" i="51"/>
  <c r="J161" i="51"/>
  <c r="M161" i="51" s="1"/>
  <c r="J160" i="51"/>
  <c r="M160" i="51" s="1"/>
  <c r="M159" i="51"/>
  <c r="J159" i="51"/>
  <c r="J158" i="51"/>
  <c r="M158" i="51" s="1"/>
  <c r="J157" i="51"/>
  <c r="M157" i="51" s="1"/>
  <c r="J156" i="51"/>
  <c r="M156" i="51" s="1"/>
  <c r="J155" i="51"/>
  <c r="M155" i="51" s="1"/>
  <c r="J154" i="51"/>
  <c r="M154" i="51" s="1"/>
  <c r="M153" i="51"/>
  <c r="J153" i="5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M127" i="51"/>
  <c r="J127" i="5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J105" i="51"/>
  <c r="M105" i="51" s="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U101" i="51"/>
  <c r="S101" i="51"/>
  <c r="Q101" i="51"/>
  <c r="J101" i="51"/>
  <c r="M101" i="51" s="1"/>
  <c r="X100" i="51"/>
  <c r="Q100" i="51"/>
  <c r="S100" i="51" s="1"/>
  <c r="U100" i="51" s="1"/>
  <c r="J100" i="51"/>
  <c r="M100" i="51" s="1"/>
  <c r="X99" i="51"/>
  <c r="S99" i="51"/>
  <c r="U99" i="51" s="1"/>
  <c r="Q99" i="51"/>
  <c r="J99" i="51"/>
  <c r="M99" i="51" s="1"/>
  <c r="X98" i="51"/>
  <c r="Q98" i="51"/>
  <c r="S98" i="51" s="1"/>
  <c r="U98" i="51" s="1"/>
  <c r="J98" i="51"/>
  <c r="M98" i="51" s="1"/>
  <c r="X97" i="51"/>
  <c r="S97" i="51"/>
  <c r="U97" i="51" s="1"/>
  <c r="Q97" i="51"/>
  <c r="J97" i="51"/>
  <c r="M97" i="51" s="1"/>
  <c r="X96" i="51"/>
  <c r="Q96" i="51"/>
  <c r="S96" i="51" s="1"/>
  <c r="U96" i="51" s="1"/>
  <c r="J96" i="51"/>
  <c r="M96" i="51" s="1"/>
  <c r="X95" i="51"/>
  <c r="Q95" i="51"/>
  <c r="S95" i="51" s="1"/>
  <c r="U95" i="51" s="1"/>
  <c r="J95" i="51"/>
  <c r="M95" i="51" s="1"/>
  <c r="X94" i="51"/>
  <c r="Q94" i="51"/>
  <c r="S94" i="51" s="1"/>
  <c r="U94" i="51" s="1"/>
  <c r="J94" i="51"/>
  <c r="M94" i="51" s="1"/>
  <c r="X93" i="51"/>
  <c r="S93" i="51"/>
  <c r="U93" i="51" s="1"/>
  <c r="Q93" i="51"/>
  <c r="J93" i="51"/>
  <c r="M93" i="51" s="1"/>
  <c r="X92" i="51"/>
  <c r="Q92" i="51"/>
  <c r="S92" i="51" s="1"/>
  <c r="U92" i="51" s="1"/>
  <c r="J92" i="51"/>
  <c r="M92" i="51" s="1"/>
  <c r="X91" i="51"/>
  <c r="Q91" i="51"/>
  <c r="S91" i="51" s="1"/>
  <c r="U91" i="51" s="1"/>
  <c r="J91" i="51"/>
  <c r="M91" i="51" s="1"/>
  <c r="X90" i="51"/>
  <c r="Q90" i="51"/>
  <c r="S90" i="51" s="1"/>
  <c r="U90" i="51" s="1"/>
  <c r="J90" i="51"/>
  <c r="M90" i="51" s="1"/>
  <c r="X89" i="51"/>
  <c r="Q89" i="51"/>
  <c r="S89" i="51" s="1"/>
  <c r="U89" i="51" s="1"/>
  <c r="J89" i="51"/>
  <c r="M89" i="51" s="1"/>
  <c r="X88" i="51"/>
  <c r="Q88" i="51"/>
  <c r="S88" i="51" s="1"/>
  <c r="U88" i="51" s="1"/>
  <c r="M88" i="51"/>
  <c r="J88" i="5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S85" i="51"/>
  <c r="U85" i="51" s="1"/>
  <c r="Q85" i="5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Q82" i="51"/>
  <c r="S82" i="51" s="1"/>
  <c r="U82" i="51" s="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Q79" i="51"/>
  <c r="S79" i="51" s="1"/>
  <c r="U79" i="51" s="1"/>
  <c r="J79" i="51"/>
  <c r="M79" i="51" s="1"/>
  <c r="X78" i="51"/>
  <c r="S78" i="51"/>
  <c r="U78" i="51" s="1"/>
  <c r="Q78" i="51"/>
  <c r="J78" i="51"/>
  <c r="M78" i="51" s="1"/>
  <c r="X77" i="51"/>
  <c r="Q77" i="51"/>
  <c r="S77" i="51" s="1"/>
  <c r="U77" i="51" s="1"/>
  <c r="J77" i="51"/>
  <c r="M77" i="51" s="1"/>
  <c r="X76" i="51"/>
  <c r="Q76" i="51"/>
  <c r="S76" i="51" s="1"/>
  <c r="U76" i="51" s="1"/>
  <c r="J76" i="51"/>
  <c r="M76" i="51" s="1"/>
  <c r="X75" i="51"/>
  <c r="Q75" i="51"/>
  <c r="S75" i="51" s="1"/>
  <c r="U75" i="51" s="1"/>
  <c r="J75" i="51"/>
  <c r="M75" i="51" s="1"/>
  <c r="X74" i="51"/>
  <c r="Q74" i="51"/>
  <c r="S74" i="51" s="1"/>
  <c r="U74" i="51" s="1"/>
  <c r="J74" i="51"/>
  <c r="M74" i="51" s="1"/>
  <c r="X73" i="51"/>
  <c r="Q73" i="51"/>
  <c r="S73" i="51" s="1"/>
  <c r="U73" i="51" s="1"/>
  <c r="J73" i="51"/>
  <c r="M73" i="51" s="1"/>
  <c r="X72" i="51"/>
  <c r="Q72" i="51"/>
  <c r="S72" i="51" s="1"/>
  <c r="U72" i="51" s="1"/>
  <c r="J72" i="51"/>
  <c r="M72" i="51" s="1"/>
  <c r="X71" i="51"/>
  <c r="Q71" i="51"/>
  <c r="S71" i="51" s="1"/>
  <c r="U71" i="51" s="1"/>
  <c r="M71" i="51"/>
  <c r="J71" i="5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S67" i="51"/>
  <c r="U67" i="51" s="1"/>
  <c r="Q67" i="51"/>
  <c r="J67" i="51"/>
  <c r="M67" i="51" s="1"/>
  <c r="X66" i="51"/>
  <c r="Q66" i="51"/>
  <c r="S66" i="51" s="1"/>
  <c r="U66" i="51" s="1"/>
  <c r="J66" i="51"/>
  <c r="M66" i="51" s="1"/>
  <c r="X65" i="51"/>
  <c r="S65" i="51"/>
  <c r="U65" i="51" s="1"/>
  <c r="Q65" i="51"/>
  <c r="J65" i="51"/>
  <c r="M65" i="51" s="1"/>
  <c r="X64" i="51"/>
  <c r="Q64" i="51"/>
  <c r="S64" i="51" s="1"/>
  <c r="U64" i="51" s="1"/>
  <c r="J64" i="51"/>
  <c r="M64" i="51" s="1"/>
  <c r="X63" i="51"/>
  <c r="Q63" i="51"/>
  <c r="S63" i="51" s="1"/>
  <c r="U63" i="51" s="1"/>
  <c r="J63" i="51"/>
  <c r="M63" i="51" s="1"/>
  <c r="X62" i="51"/>
  <c r="Q62" i="51"/>
  <c r="S62" i="51" s="1"/>
  <c r="U62" i="51" s="1"/>
  <c r="J62" i="51"/>
  <c r="M62" i="51" s="1"/>
  <c r="X61" i="51"/>
  <c r="U61" i="51"/>
  <c r="S61" i="51"/>
  <c r="Q61" i="51"/>
  <c r="J61" i="51"/>
  <c r="M61" i="51" s="1"/>
  <c r="X60" i="51"/>
  <c r="Q60" i="51"/>
  <c r="S60" i="51" s="1"/>
  <c r="U60" i="51" s="1"/>
  <c r="J60" i="51"/>
  <c r="M60" i="51" s="1"/>
  <c r="X59" i="51"/>
  <c r="S59" i="51"/>
  <c r="U59" i="51" s="1"/>
  <c r="Q59" i="51"/>
  <c r="J59" i="51"/>
  <c r="M59" i="51" s="1"/>
  <c r="X58" i="51"/>
  <c r="Q58" i="51"/>
  <c r="S58" i="51" s="1"/>
  <c r="U58" i="51" s="1"/>
  <c r="J58" i="51"/>
  <c r="M58" i="51" s="1"/>
  <c r="X57" i="51"/>
  <c r="S57" i="51"/>
  <c r="U57" i="51" s="1"/>
  <c r="Q57" i="5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U53" i="51"/>
  <c r="Q53" i="51"/>
  <c r="S53" i="51" s="1"/>
  <c r="J53" i="51"/>
  <c r="M53" i="51" s="1"/>
  <c r="X52" i="51"/>
  <c r="Q52" i="51"/>
  <c r="S52" i="51" s="1"/>
  <c r="U52" i="51" s="1"/>
  <c r="J52" i="51"/>
  <c r="M52" i="51" s="1"/>
  <c r="X51" i="51"/>
  <c r="S51" i="51"/>
  <c r="U51" i="51" s="1"/>
  <c r="Q51" i="5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Q47" i="51"/>
  <c r="S47" i="51" s="1"/>
  <c r="U47" i="51" s="1"/>
  <c r="J47" i="51"/>
  <c r="M47" i="51" s="1"/>
  <c r="X46" i="51"/>
  <c r="S46" i="51"/>
  <c r="U46" i="51" s="1"/>
  <c r="Q46" i="51"/>
  <c r="J46" i="51"/>
  <c r="M46" i="51" s="1"/>
  <c r="X45" i="51"/>
  <c r="S45" i="51"/>
  <c r="U45" i="51" s="1"/>
  <c r="Q45" i="5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S37" i="51"/>
  <c r="U37" i="51" s="1"/>
  <c r="Q37" i="5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M34" i="51"/>
  <c r="J34" i="51"/>
  <c r="X33" i="51"/>
  <c r="Q33" i="51"/>
  <c r="S33" i="51" s="1"/>
  <c r="U33" i="51" s="1"/>
  <c r="J33" i="51"/>
  <c r="M33" i="51" s="1"/>
  <c r="X32" i="51"/>
  <c r="Q32" i="51"/>
  <c r="S32" i="51" s="1"/>
  <c r="U32" i="51" s="1"/>
  <c r="M32" i="51"/>
  <c r="J32" i="5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S28" i="51"/>
  <c r="U28" i="51" s="1"/>
  <c r="Q28" i="5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Q22" i="51"/>
  <c r="S22" i="51" s="1"/>
  <c r="U22" i="51" s="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Q18" i="51"/>
  <c r="S18" i="51" s="1"/>
  <c r="U18" i="51" s="1"/>
  <c r="J18" i="51"/>
  <c r="M18" i="51" s="1"/>
  <c r="X17" i="51"/>
  <c r="Q17" i="51"/>
  <c r="S17" i="51" s="1"/>
  <c r="U17" i="51" s="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Q14" i="51"/>
  <c r="S14" i="51" s="1"/>
  <c r="U14" i="51" s="1"/>
  <c r="J14" i="51"/>
  <c r="M14" i="51" s="1"/>
  <c r="X13" i="51"/>
  <c r="Q13" i="51"/>
  <c r="S13" i="51" s="1"/>
  <c r="U13" i="51" s="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M10" i="51"/>
  <c r="J10" i="5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Q6" i="51"/>
  <c r="S6" i="51" s="1"/>
  <c r="U6" i="51" s="1"/>
  <c r="J6" i="51"/>
  <c r="M6" i="51" s="1"/>
  <c r="X5" i="51"/>
  <c r="Q5" i="51"/>
  <c r="S5" i="51" s="1"/>
  <c r="U5" i="51" s="1"/>
  <c r="J5" i="51"/>
  <c r="K223" i="50"/>
  <c r="N20" i="16" s="1"/>
  <c r="K220" i="50"/>
  <c r="K230" i="50" s="1"/>
  <c r="J213" i="50"/>
  <c r="M213" i="50" s="1"/>
  <c r="J212" i="50"/>
  <c r="M212" i="50" s="1"/>
  <c r="J211" i="50"/>
  <c r="M211" i="50" s="1"/>
  <c r="J210" i="50"/>
  <c r="M210" i="50" s="1"/>
  <c r="J209" i="50"/>
  <c r="M209" i="50" s="1"/>
  <c r="J208" i="50"/>
  <c r="M208" i="50" s="1"/>
  <c r="J207" i="50"/>
  <c r="M207" i="50" s="1"/>
  <c r="J206" i="50"/>
  <c r="M206" i="50" s="1"/>
  <c r="J205" i="50"/>
  <c r="M205" i="50" s="1"/>
  <c r="J204" i="50"/>
  <c r="M204" i="50" s="1"/>
  <c r="J203" i="50"/>
  <c r="M203" i="50" s="1"/>
  <c r="J202" i="50"/>
  <c r="M202" i="50" s="1"/>
  <c r="J201" i="50"/>
  <c r="M201" i="50" s="1"/>
  <c r="J200" i="50"/>
  <c r="M200" i="50" s="1"/>
  <c r="J199" i="50"/>
  <c r="M199" i="50" s="1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M175" i="50"/>
  <c r="J175" i="50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M160" i="50"/>
  <c r="J160" i="50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J130" i="50"/>
  <c r="M130" i="50" s="1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J114" i="50"/>
  <c r="M114" i="50" s="1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J107" i="50"/>
  <c r="M107" i="50" s="1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J100" i="50"/>
  <c r="M100" i="50" s="1"/>
  <c r="X99" i="50"/>
  <c r="Q99" i="50"/>
  <c r="S99" i="50" s="1"/>
  <c r="U99" i="50" s="1"/>
  <c r="J99" i="50"/>
  <c r="M99" i="50" s="1"/>
  <c r="X98" i="50"/>
  <c r="Q98" i="50"/>
  <c r="S98" i="50" s="1"/>
  <c r="U98" i="50" s="1"/>
  <c r="J98" i="50"/>
  <c r="M98" i="50" s="1"/>
  <c r="X97" i="50"/>
  <c r="S97" i="50"/>
  <c r="U97" i="50" s="1"/>
  <c r="Q97" i="50"/>
  <c r="J97" i="50"/>
  <c r="M97" i="50" s="1"/>
  <c r="X96" i="50"/>
  <c r="Q96" i="50"/>
  <c r="S96" i="50" s="1"/>
  <c r="U96" i="50" s="1"/>
  <c r="J96" i="50"/>
  <c r="M96" i="50" s="1"/>
  <c r="X95" i="50"/>
  <c r="Q95" i="50"/>
  <c r="S95" i="50" s="1"/>
  <c r="U95" i="50" s="1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J88" i="50"/>
  <c r="M88" i="50" s="1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Q77" i="50"/>
  <c r="S77" i="50" s="1"/>
  <c r="U77" i="50" s="1"/>
  <c r="J77" i="50"/>
  <c r="M77" i="50" s="1"/>
  <c r="X76" i="50"/>
  <c r="Q76" i="50"/>
  <c r="S76" i="50" s="1"/>
  <c r="U76" i="50" s="1"/>
  <c r="J76" i="50"/>
  <c r="M76" i="50" s="1"/>
  <c r="X75" i="50"/>
  <c r="Q75" i="50"/>
  <c r="S75" i="50" s="1"/>
  <c r="U75" i="50" s="1"/>
  <c r="J75" i="50"/>
  <c r="M75" i="50" s="1"/>
  <c r="X74" i="50"/>
  <c r="Q74" i="50"/>
  <c r="S74" i="50" s="1"/>
  <c r="U74" i="50" s="1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Q70" i="50"/>
  <c r="S70" i="50" s="1"/>
  <c r="U70" i="50" s="1"/>
  <c r="J70" i="50"/>
  <c r="M70" i="50" s="1"/>
  <c r="X69" i="50"/>
  <c r="Q69" i="50"/>
  <c r="S69" i="50" s="1"/>
  <c r="U69" i="50" s="1"/>
  <c r="J69" i="50"/>
  <c r="M69" i="50" s="1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Q66" i="50"/>
  <c r="S66" i="50" s="1"/>
  <c r="U66" i="50" s="1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Q63" i="50"/>
  <c r="S63" i="50" s="1"/>
  <c r="U63" i="50" s="1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J60" i="50"/>
  <c r="M60" i="50" s="1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S55" i="50"/>
  <c r="U55" i="50" s="1"/>
  <c r="Q55" i="50"/>
  <c r="J55" i="50"/>
  <c r="M55" i="50" s="1"/>
  <c r="X54" i="50"/>
  <c r="Q54" i="50"/>
  <c r="S54" i="50" s="1"/>
  <c r="U54" i="50" s="1"/>
  <c r="J54" i="50"/>
  <c r="M54" i="50" s="1"/>
  <c r="X53" i="50"/>
  <c r="Q53" i="50"/>
  <c r="S53" i="50" s="1"/>
  <c r="U53" i="50" s="1"/>
  <c r="M53" i="50"/>
  <c r="J53" i="50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Q49" i="50"/>
  <c r="S49" i="50" s="1"/>
  <c r="U49" i="50" s="1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J47" i="50"/>
  <c r="M47" i="50" s="1"/>
  <c r="X46" i="50"/>
  <c r="Q46" i="50"/>
  <c r="S46" i="50" s="1"/>
  <c r="U46" i="50" s="1"/>
  <c r="J46" i="50"/>
  <c r="M46" i="50" s="1"/>
  <c r="X45" i="50"/>
  <c r="Q45" i="50"/>
  <c r="S45" i="50" s="1"/>
  <c r="U45" i="50" s="1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Q40" i="50"/>
  <c r="S40" i="50" s="1"/>
  <c r="U40" i="50" s="1"/>
  <c r="J40" i="50"/>
  <c r="M40" i="50" s="1"/>
  <c r="X39" i="50"/>
  <c r="Q39" i="50"/>
  <c r="S39" i="50" s="1"/>
  <c r="U39" i="50" s="1"/>
  <c r="J39" i="50"/>
  <c r="M39" i="50" s="1"/>
  <c r="X38" i="50"/>
  <c r="Q38" i="50"/>
  <c r="S38" i="50" s="1"/>
  <c r="U38" i="50" s="1"/>
  <c r="J38" i="50"/>
  <c r="M38" i="50" s="1"/>
  <c r="X37" i="50"/>
  <c r="Q37" i="50"/>
  <c r="S37" i="50" s="1"/>
  <c r="U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Q34" i="50"/>
  <c r="S34" i="50" s="1"/>
  <c r="U34" i="50" s="1"/>
  <c r="J34" i="50"/>
  <c r="M34" i="50" s="1"/>
  <c r="X33" i="50"/>
  <c r="Q33" i="50"/>
  <c r="S33" i="50" s="1"/>
  <c r="U33" i="50" s="1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J30" i="50"/>
  <c r="M30" i="50" s="1"/>
  <c r="X29" i="50"/>
  <c r="Q29" i="50"/>
  <c r="S29" i="50" s="1"/>
  <c r="U29" i="50" s="1"/>
  <c r="J29" i="50"/>
  <c r="M29" i="50" s="1"/>
  <c r="X28" i="50"/>
  <c r="Q28" i="50"/>
  <c r="S28" i="50" s="1"/>
  <c r="U28" i="50" s="1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Q25" i="50"/>
  <c r="S25" i="50" s="1"/>
  <c r="U25" i="50" s="1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Q21" i="50"/>
  <c r="S21" i="50" s="1"/>
  <c r="U21" i="50" s="1"/>
  <c r="J21" i="50"/>
  <c r="M21" i="50" s="1"/>
  <c r="X20" i="50"/>
  <c r="Q20" i="50"/>
  <c r="S20" i="50" s="1"/>
  <c r="U20" i="50" s="1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Q17" i="50"/>
  <c r="S17" i="50" s="1"/>
  <c r="U17" i="50" s="1"/>
  <c r="J17" i="50"/>
  <c r="M17" i="50" s="1"/>
  <c r="X16" i="50"/>
  <c r="Q16" i="50"/>
  <c r="S16" i="50" s="1"/>
  <c r="U16" i="50" s="1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Q12" i="50"/>
  <c r="S12" i="50" s="1"/>
  <c r="U12" i="50" s="1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Q5" i="50"/>
  <c r="S5" i="50" s="1"/>
  <c r="U5" i="50" s="1"/>
  <c r="J5" i="50"/>
  <c r="K223" i="49"/>
  <c r="N19" i="16" s="1"/>
  <c r="K220" i="49"/>
  <c r="K230" i="49" s="1"/>
  <c r="J213" i="49"/>
  <c r="M213" i="49" s="1"/>
  <c r="J212" i="49"/>
  <c r="M212" i="49" s="1"/>
  <c r="J211" i="49"/>
  <c r="M211" i="49" s="1"/>
  <c r="J210" i="49"/>
  <c r="M210" i="49" s="1"/>
  <c r="J209" i="49"/>
  <c r="M209" i="49" s="1"/>
  <c r="J208" i="49"/>
  <c r="M208" i="49" s="1"/>
  <c r="J207" i="49"/>
  <c r="M207" i="49" s="1"/>
  <c r="J206" i="49"/>
  <c r="M206" i="49" s="1"/>
  <c r="J205" i="49"/>
  <c r="M205" i="49" s="1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J191" i="49"/>
  <c r="M191" i="49" s="1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J164" i="49"/>
  <c r="M164" i="49" s="1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J142" i="49"/>
  <c r="M142" i="49" s="1"/>
  <c r="J141" i="49"/>
  <c r="M141" i="49" s="1"/>
  <c r="J140" i="49"/>
  <c r="M140" i="49" s="1"/>
  <c r="J139" i="49"/>
  <c r="M139" i="49" s="1"/>
  <c r="J138" i="49"/>
  <c r="M138" i="49" s="1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J127" i="49"/>
  <c r="M127" i="49" s="1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J118" i="49"/>
  <c r="M118" i="49" s="1"/>
  <c r="J117" i="49"/>
  <c r="M117" i="49" s="1"/>
  <c r="J116" i="49"/>
  <c r="M116" i="49" s="1"/>
  <c r="J115" i="49"/>
  <c r="M115" i="49" s="1"/>
  <c r="J114" i="49"/>
  <c r="M114" i="49" s="1"/>
  <c r="J113" i="49"/>
  <c r="M113" i="49" s="1"/>
  <c r="J112" i="49"/>
  <c r="M112" i="49" s="1"/>
  <c r="J111" i="49"/>
  <c r="M111" i="49" s="1"/>
  <c r="J110" i="49"/>
  <c r="M110" i="49" s="1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Q104" i="49"/>
  <c r="S104" i="49" s="1"/>
  <c r="U104" i="49" s="1"/>
  <c r="J104" i="49"/>
  <c r="M104" i="49" s="1"/>
  <c r="X103" i="49"/>
  <c r="Q103" i="49"/>
  <c r="S103" i="49" s="1"/>
  <c r="U103" i="49" s="1"/>
  <c r="J103" i="49"/>
  <c r="M103" i="49" s="1"/>
  <c r="X102" i="49"/>
  <c r="Q102" i="49"/>
  <c r="S102" i="49" s="1"/>
  <c r="U102" i="49" s="1"/>
  <c r="J102" i="49"/>
  <c r="M102" i="49" s="1"/>
  <c r="X101" i="49"/>
  <c r="Q101" i="49"/>
  <c r="S101" i="49" s="1"/>
  <c r="U101" i="49" s="1"/>
  <c r="M101" i="49"/>
  <c r="J101" i="49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Q98" i="49"/>
  <c r="S98" i="49" s="1"/>
  <c r="U98" i="49" s="1"/>
  <c r="J98" i="49"/>
  <c r="M98" i="49" s="1"/>
  <c r="X97" i="49"/>
  <c r="Q97" i="49"/>
  <c r="S97" i="49" s="1"/>
  <c r="U97" i="49" s="1"/>
  <c r="J97" i="49"/>
  <c r="M97" i="49" s="1"/>
  <c r="X96" i="49"/>
  <c r="Q96" i="49"/>
  <c r="S96" i="49" s="1"/>
  <c r="U96" i="49" s="1"/>
  <c r="J96" i="49"/>
  <c r="M96" i="49" s="1"/>
  <c r="X95" i="49"/>
  <c r="Q95" i="49"/>
  <c r="S95" i="49" s="1"/>
  <c r="U95" i="49" s="1"/>
  <c r="J95" i="49"/>
  <c r="M95" i="49" s="1"/>
  <c r="X94" i="49"/>
  <c r="Q94" i="49"/>
  <c r="S94" i="49" s="1"/>
  <c r="U94" i="49" s="1"/>
  <c r="J94" i="49"/>
  <c r="M94" i="49" s="1"/>
  <c r="X93" i="49"/>
  <c r="S93" i="49"/>
  <c r="U93" i="49" s="1"/>
  <c r="Q93" i="49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Q90" i="49"/>
  <c r="S90" i="49" s="1"/>
  <c r="U90" i="49" s="1"/>
  <c r="J90" i="49"/>
  <c r="M90" i="49" s="1"/>
  <c r="X89" i="49"/>
  <c r="Q89" i="49"/>
  <c r="S89" i="49" s="1"/>
  <c r="U89" i="49" s="1"/>
  <c r="J89" i="49"/>
  <c r="M89" i="49" s="1"/>
  <c r="X88" i="49"/>
  <c r="Q88" i="49"/>
  <c r="S88" i="49" s="1"/>
  <c r="U88" i="49" s="1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J86" i="49"/>
  <c r="M86" i="49" s="1"/>
  <c r="X85" i="49"/>
  <c r="Q85" i="49"/>
  <c r="S85" i="49" s="1"/>
  <c r="U85" i="49" s="1"/>
  <c r="J85" i="49"/>
  <c r="M85" i="49" s="1"/>
  <c r="X84" i="49"/>
  <c r="Q84" i="49"/>
  <c r="S84" i="49" s="1"/>
  <c r="U84" i="49" s="1"/>
  <c r="J84" i="49"/>
  <c r="M84" i="49" s="1"/>
  <c r="X83" i="49"/>
  <c r="Q83" i="49"/>
  <c r="S83" i="49" s="1"/>
  <c r="U83" i="49" s="1"/>
  <c r="J83" i="49"/>
  <c r="M83" i="49" s="1"/>
  <c r="X82" i="49"/>
  <c r="Q82" i="49"/>
  <c r="S82" i="49" s="1"/>
  <c r="U82" i="49" s="1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Q74" i="49"/>
  <c r="S74" i="49" s="1"/>
  <c r="U74" i="49" s="1"/>
  <c r="J74" i="49"/>
  <c r="M74" i="49" s="1"/>
  <c r="X73" i="49"/>
  <c r="Q73" i="49"/>
  <c r="S73" i="49" s="1"/>
  <c r="U73" i="49" s="1"/>
  <c r="J73" i="49"/>
  <c r="M73" i="49" s="1"/>
  <c r="X72" i="49"/>
  <c r="Q72" i="49"/>
  <c r="S72" i="49" s="1"/>
  <c r="U72" i="49" s="1"/>
  <c r="J72" i="49"/>
  <c r="M72" i="49" s="1"/>
  <c r="X71" i="49"/>
  <c r="S71" i="49"/>
  <c r="U71" i="49" s="1"/>
  <c r="Q71" i="49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S68" i="49"/>
  <c r="U68" i="49" s="1"/>
  <c r="Q68" i="49"/>
  <c r="J68" i="49"/>
  <c r="M68" i="49" s="1"/>
  <c r="X67" i="49"/>
  <c r="Q67" i="49"/>
  <c r="S67" i="49" s="1"/>
  <c r="U67" i="49" s="1"/>
  <c r="J67" i="49"/>
  <c r="M67" i="49" s="1"/>
  <c r="X66" i="49"/>
  <c r="Q66" i="49"/>
  <c r="S66" i="49" s="1"/>
  <c r="U66" i="49" s="1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S52" i="49"/>
  <c r="U52" i="49" s="1"/>
  <c r="Q52" i="49"/>
  <c r="J52" i="49"/>
  <c r="M52" i="49" s="1"/>
  <c r="X51" i="49"/>
  <c r="Q51" i="49"/>
  <c r="S51" i="49" s="1"/>
  <c r="U51" i="49" s="1"/>
  <c r="J51" i="49"/>
  <c r="M51" i="49" s="1"/>
  <c r="X50" i="49"/>
  <c r="Q50" i="49"/>
  <c r="S50" i="49" s="1"/>
  <c r="U50" i="49" s="1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S37" i="49"/>
  <c r="U37" i="49" s="1"/>
  <c r="Q37" i="49"/>
  <c r="J37" i="49"/>
  <c r="M37" i="49" s="1"/>
  <c r="X36" i="49"/>
  <c r="Q36" i="49"/>
  <c r="S36" i="49" s="1"/>
  <c r="U36" i="49" s="1"/>
  <c r="J36" i="49"/>
  <c r="M36" i="49" s="1"/>
  <c r="X35" i="49"/>
  <c r="Q35" i="49"/>
  <c r="S35" i="49" s="1"/>
  <c r="U35" i="49" s="1"/>
  <c r="J35" i="49"/>
  <c r="M35" i="49" s="1"/>
  <c r="X34" i="49"/>
  <c r="Q34" i="49"/>
  <c r="S34" i="49" s="1"/>
  <c r="U34" i="49" s="1"/>
  <c r="J34" i="49"/>
  <c r="M34" i="49" s="1"/>
  <c r="X33" i="49"/>
  <c r="Q33" i="49"/>
  <c r="S33" i="49" s="1"/>
  <c r="U33" i="49" s="1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Q23" i="49"/>
  <c r="S23" i="49" s="1"/>
  <c r="U23" i="49" s="1"/>
  <c r="J23" i="49"/>
  <c r="M23" i="49" s="1"/>
  <c r="X22" i="49"/>
  <c r="Q22" i="49"/>
  <c r="S22" i="49" s="1"/>
  <c r="U22" i="49" s="1"/>
  <c r="J22" i="49"/>
  <c r="M22" i="49" s="1"/>
  <c r="X21" i="49"/>
  <c r="Q21" i="49"/>
  <c r="S21" i="49" s="1"/>
  <c r="U21" i="49" s="1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Q16" i="49"/>
  <c r="S16" i="49" s="1"/>
  <c r="U16" i="49" s="1"/>
  <c r="J16" i="49"/>
  <c r="M16" i="49" s="1"/>
  <c r="X15" i="49"/>
  <c r="Q15" i="49"/>
  <c r="S15" i="49" s="1"/>
  <c r="U15" i="49" s="1"/>
  <c r="J15" i="49"/>
  <c r="M15" i="49" s="1"/>
  <c r="X14" i="49"/>
  <c r="Q14" i="49"/>
  <c r="S14" i="49" s="1"/>
  <c r="U14" i="49" s="1"/>
  <c r="J14" i="49"/>
  <c r="M14" i="49" s="1"/>
  <c r="X13" i="49"/>
  <c r="Q13" i="49"/>
  <c r="S13" i="49" s="1"/>
  <c r="U13" i="49" s="1"/>
  <c r="J13" i="49"/>
  <c r="M13" i="49" s="1"/>
  <c r="X12" i="49"/>
  <c r="Q12" i="49"/>
  <c r="S12" i="49" s="1"/>
  <c r="U12" i="49" s="1"/>
  <c r="J12" i="49"/>
  <c r="M12" i="49" s="1"/>
  <c r="X11" i="49"/>
  <c r="Q11" i="49"/>
  <c r="S11" i="49" s="1"/>
  <c r="U11" i="49" s="1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Q8" i="49"/>
  <c r="S8" i="49" s="1"/>
  <c r="U8" i="49" s="1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M5" i="49" s="1"/>
  <c r="K223" i="48"/>
  <c r="N18" i="16" s="1"/>
  <c r="K220" i="48"/>
  <c r="J213" i="48"/>
  <c r="M213" i="48" s="1"/>
  <c r="J212" i="48"/>
  <c r="M212" i="48" s="1"/>
  <c r="J211" i="48"/>
  <c r="M211" i="48" s="1"/>
  <c r="J210" i="48"/>
  <c r="M210" i="48" s="1"/>
  <c r="J209" i="48"/>
  <c r="M209" i="48" s="1"/>
  <c r="J208" i="48"/>
  <c r="M208" i="48" s="1"/>
  <c r="J207" i="48"/>
  <c r="M207" i="48" s="1"/>
  <c r="J206" i="48"/>
  <c r="M206" i="48" s="1"/>
  <c r="J205" i="48"/>
  <c r="M205" i="48" s="1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M197" i="48"/>
  <c r="J197" i="48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S79" i="48"/>
  <c r="U79" i="48" s="1"/>
  <c r="Q79" i="48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S76" i="48"/>
  <c r="U76" i="48" s="1"/>
  <c r="Q76" i="48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Q72" i="48"/>
  <c r="S72" i="48" s="1"/>
  <c r="U72" i="48" s="1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Q67" i="48"/>
  <c r="S67" i="48" s="1"/>
  <c r="U67" i="48" s="1"/>
  <c r="J67" i="48"/>
  <c r="M67" i="48" s="1"/>
  <c r="X66" i="48"/>
  <c r="Q66" i="48"/>
  <c r="S66" i="48" s="1"/>
  <c r="U66" i="48" s="1"/>
  <c r="J66" i="48"/>
  <c r="M66" i="48" s="1"/>
  <c r="X65" i="48"/>
  <c r="Q65" i="48"/>
  <c r="S65" i="48" s="1"/>
  <c r="U65" i="48" s="1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Q54" i="48"/>
  <c r="S54" i="48" s="1"/>
  <c r="U54" i="48" s="1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S47" i="48"/>
  <c r="U47" i="48" s="1"/>
  <c r="Q47" i="48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23" i="47"/>
  <c r="N17" i="16" s="1"/>
  <c r="K220" i="47"/>
  <c r="J213" i="47"/>
  <c r="M213" i="47" s="1"/>
  <c r="J212" i="47"/>
  <c r="M212" i="47" s="1"/>
  <c r="J211" i="47"/>
  <c r="M211" i="47" s="1"/>
  <c r="J210" i="47"/>
  <c r="M210" i="47" s="1"/>
  <c r="J209" i="47"/>
  <c r="M209" i="47" s="1"/>
  <c r="J208" i="47"/>
  <c r="M208" i="47" s="1"/>
  <c r="J207" i="47"/>
  <c r="M207" i="47" s="1"/>
  <c r="J206" i="47"/>
  <c r="M206" i="47" s="1"/>
  <c r="J205" i="47"/>
  <c r="M205" i="47" s="1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M131" i="47"/>
  <c r="J131" i="47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S90" i="47"/>
  <c r="U90" i="47" s="1"/>
  <c r="Q90" i="47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Q80" i="47"/>
  <c r="S80" i="47" s="1"/>
  <c r="U80" i="47" s="1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S59" i="47"/>
  <c r="U59" i="47" s="1"/>
  <c r="Q59" i="47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Q55" i="47"/>
  <c r="S55" i="47" s="1"/>
  <c r="U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S42" i="47"/>
  <c r="U42" i="47" s="1"/>
  <c r="Q42" i="47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U31" i="47"/>
  <c r="Q31" i="47"/>
  <c r="S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S24" i="47"/>
  <c r="U24" i="47" s="1"/>
  <c r="Q24" i="47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K223" i="46"/>
  <c r="N16" i="16" s="1"/>
  <c r="K220" i="46"/>
  <c r="J213" i="46"/>
  <c r="M213" i="46" s="1"/>
  <c r="J212" i="46"/>
  <c r="M212" i="46" s="1"/>
  <c r="J211" i="46"/>
  <c r="M211" i="46" s="1"/>
  <c r="J210" i="46"/>
  <c r="M210" i="46" s="1"/>
  <c r="J209" i="46"/>
  <c r="M209" i="46" s="1"/>
  <c r="J208" i="46"/>
  <c r="M208" i="46" s="1"/>
  <c r="J207" i="46"/>
  <c r="M207" i="46" s="1"/>
  <c r="J206" i="46"/>
  <c r="M206" i="46" s="1"/>
  <c r="J205" i="46"/>
  <c r="M205" i="46" s="1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J197" i="46"/>
  <c r="M197" i="46" s="1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Q97" i="46"/>
  <c r="S97" i="46" s="1"/>
  <c r="U97" i="46" s="1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S74" i="46"/>
  <c r="U74" i="46" s="1"/>
  <c r="Q74" i="46"/>
  <c r="J74" i="46"/>
  <c r="M74" i="46" s="1"/>
  <c r="X73" i="46"/>
  <c r="S73" i="46"/>
  <c r="U73" i="46" s="1"/>
  <c r="Q73" i="46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S57" i="46"/>
  <c r="U57" i="46" s="1"/>
  <c r="Q57" i="46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S42" i="46"/>
  <c r="U42" i="46" s="1"/>
  <c r="Q42" i="46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S25" i="46"/>
  <c r="U25" i="46" s="1"/>
  <c r="Q25" i="46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J213" i="45"/>
  <c r="C213" i="45"/>
  <c r="E213" i="45" s="1"/>
  <c r="G213" i="45" s="1"/>
  <c r="C213" i="46" s="1"/>
  <c r="E213" i="46" s="1"/>
  <c r="G213" i="46" s="1"/>
  <c r="C213" i="47" s="1"/>
  <c r="E213" i="47" s="1"/>
  <c r="G213" i="47" s="1"/>
  <c r="C213" i="48" s="1"/>
  <c r="E213" i="48" s="1"/>
  <c r="G213" i="48" s="1"/>
  <c r="C213" i="49" s="1"/>
  <c r="E213" i="49" s="1"/>
  <c r="G213" i="49" s="1"/>
  <c r="J212" i="45"/>
  <c r="M212" i="45" s="1"/>
  <c r="C212" i="45"/>
  <c r="E212" i="45" s="1"/>
  <c r="G212" i="45" s="1"/>
  <c r="C212" i="46" s="1"/>
  <c r="E212" i="46" s="1"/>
  <c r="G212" i="46" s="1"/>
  <c r="C212" i="47" s="1"/>
  <c r="E212" i="47" s="1"/>
  <c r="G212" i="47" s="1"/>
  <c r="C212" i="48" s="1"/>
  <c r="E212" i="48" s="1"/>
  <c r="G212" i="48" s="1"/>
  <c r="C212" i="49" s="1"/>
  <c r="E212" i="49" s="1"/>
  <c r="G212" i="49" s="1"/>
  <c r="C212" i="50" s="1"/>
  <c r="E212" i="50" s="1"/>
  <c r="K221" i="45"/>
  <c r="N15" i="16" s="1"/>
  <c r="K218" i="45"/>
  <c r="J211" i="45"/>
  <c r="J210" i="45"/>
  <c r="J209" i="45"/>
  <c r="J208" i="45"/>
  <c r="M208" i="45" s="1"/>
  <c r="J207" i="45"/>
  <c r="M207" i="45" s="1"/>
  <c r="J206" i="45"/>
  <c r="M206" i="45" s="1"/>
  <c r="J205" i="45"/>
  <c r="M205" i="45" s="1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M198" i="45"/>
  <c r="J198" i="45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M191" i="45"/>
  <c r="J191" i="45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M158" i="45"/>
  <c r="J158" i="45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S100" i="45"/>
  <c r="U100" i="45" s="1"/>
  <c r="Q100" i="45"/>
  <c r="J100" i="45"/>
  <c r="M100" i="45" s="1"/>
  <c r="X99" i="45"/>
  <c r="Q99" i="45"/>
  <c r="S99" i="45" s="1"/>
  <c r="U99" i="45" s="1"/>
  <c r="J99" i="45"/>
  <c r="M99" i="45" s="1"/>
  <c r="X98" i="45"/>
  <c r="S98" i="45"/>
  <c r="U98" i="45" s="1"/>
  <c r="Q98" i="45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S95" i="45"/>
  <c r="U95" i="45" s="1"/>
  <c r="Q95" i="45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S92" i="45"/>
  <c r="U92" i="45" s="1"/>
  <c r="Q92" i="45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S88" i="45"/>
  <c r="U88" i="45" s="1"/>
  <c r="Q88" i="45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S84" i="45"/>
  <c r="U84" i="45" s="1"/>
  <c r="Q84" i="45"/>
  <c r="J84" i="45"/>
  <c r="M84" i="45" s="1"/>
  <c r="X83" i="45"/>
  <c r="Q83" i="45"/>
  <c r="S83" i="45" s="1"/>
  <c r="U83" i="45" s="1"/>
  <c r="J83" i="45"/>
  <c r="M83" i="45" s="1"/>
  <c r="X82" i="45"/>
  <c r="S82" i="45"/>
  <c r="U82" i="45" s="1"/>
  <c r="Q82" i="45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S63" i="45"/>
  <c r="U63" i="45" s="1"/>
  <c r="Q63" i="45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J57" i="45"/>
  <c r="M57" i="45" s="1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S54" i="45"/>
  <c r="U54" i="45" s="1"/>
  <c r="Q54" i="45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M52" i="45"/>
  <c r="J52" i="45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U43" i="45"/>
  <c r="Q43" i="45"/>
  <c r="S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U40" i="45"/>
  <c r="Q40" i="45"/>
  <c r="S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S24" i="45"/>
  <c r="U24" i="45" s="1"/>
  <c r="Q24" i="45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S12" i="45"/>
  <c r="U12" i="45" s="1"/>
  <c r="Q12" i="45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X5" i="45"/>
  <c r="Q5" i="45"/>
  <c r="S5" i="45" s="1"/>
  <c r="U5" i="45" s="1"/>
  <c r="J5" i="45"/>
  <c r="N14" i="16"/>
  <c r="K218" i="44"/>
  <c r="J211" i="44"/>
  <c r="M211" i="44" s="1"/>
  <c r="J210" i="44"/>
  <c r="M210" i="44" s="1"/>
  <c r="J209" i="44"/>
  <c r="M209" i="44" s="1"/>
  <c r="J208" i="44"/>
  <c r="M208" i="44" s="1"/>
  <c r="J207" i="44"/>
  <c r="M207" i="44" s="1"/>
  <c r="J206" i="44"/>
  <c r="M206" i="44" s="1"/>
  <c r="J205" i="44"/>
  <c r="M205" i="44" s="1"/>
  <c r="J204" i="44"/>
  <c r="M204" i="44" s="1"/>
  <c r="J203" i="44"/>
  <c r="M203" i="44" s="1"/>
  <c r="J202" i="44"/>
  <c r="M202" i="44" s="1"/>
  <c r="J201" i="44"/>
  <c r="M201" i="44" s="1"/>
  <c r="M200" i="44"/>
  <c r="J200" i="44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J165" i="44"/>
  <c r="M165" i="44" s="1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Q100" i="44"/>
  <c r="S100" i="44" s="1"/>
  <c r="U100" i="44" s="1"/>
  <c r="J100" i="44"/>
  <c r="M100" i="44" s="1"/>
  <c r="X99" i="44"/>
  <c r="S99" i="44"/>
  <c r="U99" i="44" s="1"/>
  <c r="Q99" i="44"/>
  <c r="J99" i="44"/>
  <c r="M99" i="44" s="1"/>
  <c r="X98" i="44"/>
  <c r="Q98" i="44"/>
  <c r="S98" i="44" s="1"/>
  <c r="U98" i="44" s="1"/>
  <c r="J98" i="44"/>
  <c r="M98" i="44" s="1"/>
  <c r="X97" i="44"/>
  <c r="Q97" i="44"/>
  <c r="S97" i="44" s="1"/>
  <c r="U97" i="44" s="1"/>
  <c r="J97" i="44"/>
  <c r="M97" i="44" s="1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Q91" i="44"/>
  <c r="S91" i="44" s="1"/>
  <c r="U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Q83" i="44"/>
  <c r="S83" i="44" s="1"/>
  <c r="U83" i="44" s="1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Q69" i="44"/>
  <c r="S69" i="44" s="1"/>
  <c r="U69" i="44" s="1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Q59" i="44"/>
  <c r="S59" i="44" s="1"/>
  <c r="U59" i="44" s="1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S51" i="44"/>
  <c r="U51" i="44" s="1"/>
  <c r="Q51" i="44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S46" i="44"/>
  <c r="U46" i="44" s="1"/>
  <c r="Q46" i="44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S39" i="44"/>
  <c r="U39" i="44" s="1"/>
  <c r="Q39" i="44"/>
  <c r="J39" i="44"/>
  <c r="M39" i="44" s="1"/>
  <c r="X38" i="44"/>
  <c r="Q38" i="44"/>
  <c r="S38" i="44" s="1"/>
  <c r="U38" i="44" s="1"/>
  <c r="J38" i="44"/>
  <c r="M38" i="44" s="1"/>
  <c r="X37" i="44"/>
  <c r="Q37" i="44"/>
  <c r="S37" i="44" s="1"/>
  <c r="U37" i="44" s="1"/>
  <c r="J37" i="44"/>
  <c r="M37" i="44" s="1"/>
  <c r="X36" i="44"/>
  <c r="Q36" i="44"/>
  <c r="S36" i="44" s="1"/>
  <c r="U36" i="44" s="1"/>
  <c r="J36" i="44"/>
  <c r="M36" i="44" s="1"/>
  <c r="X35" i="44"/>
  <c r="Q35" i="44"/>
  <c r="S35" i="44" s="1"/>
  <c r="U35" i="44" s="1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Q31" i="44"/>
  <c r="S31" i="44" s="1"/>
  <c r="U31" i="44" s="1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Q26" i="44"/>
  <c r="S26" i="44" s="1"/>
  <c r="U26" i="44" s="1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M5" i="44" s="1"/>
  <c r="K221" i="43"/>
  <c r="N13" i="16" s="1"/>
  <c r="K218" i="43"/>
  <c r="J211" i="43"/>
  <c r="M211" i="43" s="1"/>
  <c r="J210" i="43"/>
  <c r="M210" i="43" s="1"/>
  <c r="J209" i="43"/>
  <c r="M209" i="43" s="1"/>
  <c r="J208" i="43"/>
  <c r="M208" i="43" s="1"/>
  <c r="J207" i="43"/>
  <c r="M207" i="43" s="1"/>
  <c r="J206" i="43"/>
  <c r="M206" i="43" s="1"/>
  <c r="J205" i="43"/>
  <c r="M205" i="43" s="1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J140" i="43"/>
  <c r="M140" i="43" s="1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S99" i="43"/>
  <c r="U99" i="43" s="1"/>
  <c r="Q99" i="43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S96" i="43"/>
  <c r="U96" i="43" s="1"/>
  <c r="Q96" i="43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Q92" i="43"/>
  <c r="S92" i="43" s="1"/>
  <c r="U92" i="43" s="1"/>
  <c r="J92" i="43"/>
  <c r="M92" i="43" s="1"/>
  <c r="X91" i="43"/>
  <c r="S91" i="43"/>
  <c r="U91" i="43" s="1"/>
  <c r="Q91" i="43"/>
  <c r="J91" i="43"/>
  <c r="M91" i="43" s="1"/>
  <c r="X90" i="43"/>
  <c r="Q90" i="43"/>
  <c r="S90" i="43" s="1"/>
  <c r="U90" i="43" s="1"/>
  <c r="J90" i="43"/>
  <c r="M90" i="43" s="1"/>
  <c r="X89" i="43"/>
  <c r="Q89" i="43"/>
  <c r="S89" i="43" s="1"/>
  <c r="U89" i="43" s="1"/>
  <c r="J89" i="43"/>
  <c r="M89" i="43" s="1"/>
  <c r="X88" i="43"/>
  <c r="S88" i="43"/>
  <c r="U88" i="43" s="1"/>
  <c r="Q88" i="43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S85" i="43"/>
  <c r="U85" i="43" s="1"/>
  <c r="Q85" i="43"/>
  <c r="J85" i="43"/>
  <c r="M85" i="43" s="1"/>
  <c r="X84" i="43"/>
  <c r="Q84" i="43"/>
  <c r="S84" i="43" s="1"/>
  <c r="U84" i="43" s="1"/>
  <c r="J84" i="43"/>
  <c r="M84" i="43" s="1"/>
  <c r="X83" i="43"/>
  <c r="Q83" i="43"/>
  <c r="S83" i="43" s="1"/>
  <c r="U83" i="43" s="1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S80" i="43"/>
  <c r="U80" i="43" s="1"/>
  <c r="Q80" i="43"/>
  <c r="J80" i="43"/>
  <c r="M80" i="43" s="1"/>
  <c r="X79" i="43"/>
  <c r="S79" i="43"/>
  <c r="U79" i="43" s="1"/>
  <c r="Q79" i="43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Q71" i="43"/>
  <c r="S71" i="43" s="1"/>
  <c r="U71" i="43" s="1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Q64" i="43"/>
  <c r="S64" i="43" s="1"/>
  <c r="U64" i="43" s="1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J61" i="43"/>
  <c r="M61" i="43" s="1"/>
  <c r="X60" i="43"/>
  <c r="Q60" i="43"/>
  <c r="S60" i="43" s="1"/>
  <c r="U60" i="43" s="1"/>
  <c r="J60" i="43"/>
  <c r="M60" i="43" s="1"/>
  <c r="X59" i="43"/>
  <c r="S59" i="43"/>
  <c r="U59" i="43" s="1"/>
  <c r="Q59" i="43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J57" i="43"/>
  <c r="M57" i="43" s="1"/>
  <c r="X56" i="43"/>
  <c r="Q56" i="43"/>
  <c r="S56" i="43" s="1"/>
  <c r="U56" i="43" s="1"/>
  <c r="J56" i="43"/>
  <c r="M56" i="43" s="1"/>
  <c r="X55" i="43"/>
  <c r="Q55" i="43"/>
  <c r="S55" i="43" s="1"/>
  <c r="U55" i="43" s="1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Q46" i="43"/>
  <c r="S46" i="43" s="1"/>
  <c r="U46" i="43" s="1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Q39" i="43"/>
  <c r="S39" i="43" s="1"/>
  <c r="U39" i="43" s="1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S35" i="43"/>
  <c r="U35" i="43" s="1"/>
  <c r="Q35" i="43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M31" i="43"/>
  <c r="J31" i="43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S24" i="43"/>
  <c r="U24" i="43" s="1"/>
  <c r="Q24" i="43"/>
  <c r="J24" i="43"/>
  <c r="M24" i="43" s="1"/>
  <c r="X23" i="43"/>
  <c r="S23" i="43"/>
  <c r="U23" i="43" s="1"/>
  <c r="Q23" i="43"/>
  <c r="J23" i="43"/>
  <c r="M23" i="43" s="1"/>
  <c r="X22" i="43"/>
  <c r="Q22" i="43"/>
  <c r="S22" i="43" s="1"/>
  <c r="U22" i="43" s="1"/>
  <c r="J22" i="43"/>
  <c r="M22" i="43" s="1"/>
  <c r="X21" i="43"/>
  <c r="Q21" i="43"/>
  <c r="S21" i="43" s="1"/>
  <c r="U21" i="43" s="1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M10" i="43"/>
  <c r="J10" i="43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Q5" i="43"/>
  <c r="S5" i="43" s="1"/>
  <c r="U5" i="43" s="1"/>
  <c r="J5" i="43"/>
  <c r="M5" i="43" s="1"/>
  <c r="K221" i="42"/>
  <c r="N12" i="16" s="1"/>
  <c r="K218" i="42"/>
  <c r="J211" i="42"/>
  <c r="M211" i="42" s="1"/>
  <c r="J210" i="42"/>
  <c r="M210" i="42" s="1"/>
  <c r="J209" i="42"/>
  <c r="M209" i="42" s="1"/>
  <c r="J208" i="42"/>
  <c r="M208" i="42" s="1"/>
  <c r="J207" i="42"/>
  <c r="M207" i="42" s="1"/>
  <c r="J206" i="42"/>
  <c r="M206" i="42" s="1"/>
  <c r="J205" i="42"/>
  <c r="M205" i="42" s="1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J157" i="42"/>
  <c r="M157" i="42" s="1"/>
  <c r="J156" i="42"/>
  <c r="M156" i="42" s="1"/>
  <c r="J155" i="42"/>
  <c r="M155" i="42" s="1"/>
  <c r="J154" i="42"/>
  <c r="M154" i="42" s="1"/>
  <c r="J153" i="42"/>
  <c r="M153" i="42" s="1"/>
  <c r="J152" i="42"/>
  <c r="M152" i="42" s="1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S98" i="42"/>
  <c r="U98" i="42" s="1"/>
  <c r="Q98" i="42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U93" i="42"/>
  <c r="Q93" i="42"/>
  <c r="S93" i="42" s="1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Q80" i="42"/>
  <c r="S80" i="42" s="1"/>
  <c r="U80" i="42" s="1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S72" i="42"/>
  <c r="U72" i="42" s="1"/>
  <c r="Q72" i="42"/>
  <c r="J72" i="42"/>
  <c r="M72" i="42" s="1"/>
  <c r="X71" i="42"/>
  <c r="Q71" i="42"/>
  <c r="S71" i="42" s="1"/>
  <c r="U71" i="42" s="1"/>
  <c r="J71" i="42"/>
  <c r="M71" i="42" s="1"/>
  <c r="X70" i="42"/>
  <c r="S70" i="42"/>
  <c r="U70" i="42" s="1"/>
  <c r="Q70" i="42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M68" i="42"/>
  <c r="J68" i="42"/>
  <c r="X67" i="42"/>
  <c r="Q67" i="42"/>
  <c r="S67" i="42" s="1"/>
  <c r="U67" i="42" s="1"/>
  <c r="J67" i="42"/>
  <c r="M67" i="42" s="1"/>
  <c r="X66" i="42"/>
  <c r="S66" i="42"/>
  <c r="U66" i="42" s="1"/>
  <c r="Q66" i="42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S54" i="42"/>
  <c r="U54" i="42" s="1"/>
  <c r="Q54" i="42"/>
  <c r="J54" i="42"/>
  <c r="M54" i="42" s="1"/>
  <c r="X53" i="42"/>
  <c r="Q53" i="42"/>
  <c r="S53" i="42" s="1"/>
  <c r="U53" i="42" s="1"/>
  <c r="J53" i="42"/>
  <c r="M53" i="42" s="1"/>
  <c r="X52" i="42"/>
  <c r="Q52" i="42"/>
  <c r="S52" i="42" s="1"/>
  <c r="U52" i="42" s="1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S44" i="42"/>
  <c r="U44" i="42" s="1"/>
  <c r="Q44" i="42"/>
  <c r="J44" i="42"/>
  <c r="M44" i="42" s="1"/>
  <c r="X43" i="42"/>
  <c r="S43" i="42"/>
  <c r="U43" i="42" s="1"/>
  <c r="Q43" i="42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Q40" i="42"/>
  <c r="S40" i="42" s="1"/>
  <c r="U40" i="42" s="1"/>
  <c r="J40" i="42"/>
  <c r="M40" i="42" s="1"/>
  <c r="X39" i="42"/>
  <c r="Q39" i="42"/>
  <c r="S39" i="42" s="1"/>
  <c r="U39" i="42" s="1"/>
  <c r="J39" i="42"/>
  <c r="M39" i="42" s="1"/>
  <c r="X38" i="42"/>
  <c r="S38" i="42"/>
  <c r="U38" i="42" s="1"/>
  <c r="Q38" i="42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S33" i="42"/>
  <c r="U33" i="42" s="1"/>
  <c r="Q33" i="42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S25" i="42"/>
  <c r="U25" i="42" s="1"/>
  <c r="Q25" i="42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S16" i="42"/>
  <c r="U16" i="42" s="1"/>
  <c r="Q16" i="42"/>
  <c r="M16" i="42"/>
  <c r="J16" i="42"/>
  <c r="X15" i="42"/>
  <c r="Q15" i="42"/>
  <c r="S15" i="42" s="1"/>
  <c r="U15" i="42" s="1"/>
  <c r="J15" i="42"/>
  <c r="M15" i="42" s="1"/>
  <c r="X14" i="42"/>
  <c r="S14" i="42"/>
  <c r="U14" i="42" s="1"/>
  <c r="Q14" i="42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Q11" i="42"/>
  <c r="S11" i="42" s="1"/>
  <c r="U11" i="42" s="1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M5" i="42" s="1"/>
  <c r="J208" i="41"/>
  <c r="M208" i="41" s="1"/>
  <c r="J207" i="41"/>
  <c r="M207" i="41" s="1"/>
  <c r="J206" i="41"/>
  <c r="M206" i="41" s="1"/>
  <c r="J205" i="41"/>
  <c r="M205" i="41" s="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M179" i="41"/>
  <c r="J179" i="4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M155" i="41"/>
  <c r="J155" i="4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M123" i="41"/>
  <c r="J123" i="4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M109" i="41"/>
  <c r="J109" i="41"/>
  <c r="J108" i="41"/>
  <c r="M108" i="41" s="1"/>
  <c r="J107" i="41"/>
  <c r="M107" i="41" s="1"/>
  <c r="J106" i="41"/>
  <c r="M106" i="41" s="1"/>
  <c r="Z105" i="41"/>
  <c r="J105" i="41"/>
  <c r="M105" i="41" s="1"/>
  <c r="X104" i="41"/>
  <c r="Q104" i="41"/>
  <c r="S104" i="41" s="1"/>
  <c r="U104" i="41" s="1"/>
  <c r="J104" i="41"/>
  <c r="M104" i="41" s="1"/>
  <c r="X103" i="41"/>
  <c r="Q103" i="41"/>
  <c r="S103" i="41" s="1"/>
  <c r="U103" i="41" s="1"/>
  <c r="J103" i="41"/>
  <c r="M103" i="41" s="1"/>
  <c r="X102" i="41"/>
  <c r="U102" i="41"/>
  <c r="Q102" i="41"/>
  <c r="S102" i="41" s="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M99" i="41"/>
  <c r="J99" i="4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Q96" i="41"/>
  <c r="S96" i="41" s="1"/>
  <c r="U96" i="41" s="1"/>
  <c r="J96" i="41"/>
  <c r="M96" i="41" s="1"/>
  <c r="X95" i="41"/>
  <c r="Q95" i="41"/>
  <c r="S95" i="41" s="1"/>
  <c r="U95" i="41" s="1"/>
  <c r="M95" i="41"/>
  <c r="J95" i="4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Q92" i="41"/>
  <c r="S92" i="41" s="1"/>
  <c r="U92" i="41" s="1"/>
  <c r="J92" i="41"/>
  <c r="M92" i="41" s="1"/>
  <c r="X91" i="41"/>
  <c r="S91" i="41"/>
  <c r="U91" i="41" s="1"/>
  <c r="Q91" i="4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S85" i="41"/>
  <c r="U85" i="41" s="1"/>
  <c r="Q85" i="4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S81" i="41"/>
  <c r="U81" i="41" s="1"/>
  <c r="Q81" i="4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Q78" i="41"/>
  <c r="S78" i="41" s="1"/>
  <c r="U78" i="41" s="1"/>
  <c r="J78" i="41"/>
  <c r="M78" i="41" s="1"/>
  <c r="X77" i="41"/>
  <c r="S77" i="41"/>
  <c r="U77" i="41" s="1"/>
  <c r="Q77" i="41"/>
  <c r="M77" i="41"/>
  <c r="J77" i="41"/>
  <c r="X76" i="41"/>
  <c r="Q76" i="41"/>
  <c r="S76" i="41" s="1"/>
  <c r="U76" i="41" s="1"/>
  <c r="J76" i="41"/>
  <c r="M76" i="41" s="1"/>
  <c r="X75" i="41"/>
  <c r="S75" i="41"/>
  <c r="U75" i="41" s="1"/>
  <c r="Q75" i="41"/>
  <c r="M75" i="41"/>
  <c r="J75" i="41"/>
  <c r="X74" i="41"/>
  <c r="Q74" i="41"/>
  <c r="S74" i="41" s="1"/>
  <c r="U74" i="41" s="1"/>
  <c r="J74" i="41"/>
  <c r="M74" i="41" s="1"/>
  <c r="X73" i="41"/>
  <c r="S73" i="41"/>
  <c r="U73" i="41" s="1"/>
  <c r="Q73" i="41"/>
  <c r="M73" i="41"/>
  <c r="J73" i="41"/>
  <c r="X72" i="41"/>
  <c r="Q72" i="41"/>
  <c r="S72" i="41" s="1"/>
  <c r="U72" i="41" s="1"/>
  <c r="J72" i="41"/>
  <c r="M72" i="41" s="1"/>
  <c r="X71" i="41"/>
  <c r="S71" i="41"/>
  <c r="U71" i="41" s="1"/>
  <c r="Q71" i="41"/>
  <c r="J71" i="41"/>
  <c r="M71" i="41" s="1"/>
  <c r="X70" i="41"/>
  <c r="U70" i="41"/>
  <c r="Q70" i="41"/>
  <c r="S70" i="41" s="1"/>
  <c r="J70" i="41"/>
  <c r="M70" i="41" s="1"/>
  <c r="X69" i="41"/>
  <c r="S69" i="41"/>
  <c r="U69" i="41" s="1"/>
  <c r="Q69" i="41"/>
  <c r="M69" i="41"/>
  <c r="J69" i="4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S65" i="41"/>
  <c r="U65" i="41" s="1"/>
  <c r="Q65" i="4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S61" i="41"/>
  <c r="U61" i="41" s="1"/>
  <c r="Q61" i="41"/>
  <c r="J61" i="41"/>
  <c r="M61" i="41" s="1"/>
  <c r="X60" i="41"/>
  <c r="Q60" i="41"/>
  <c r="S60" i="41" s="1"/>
  <c r="U60" i="41" s="1"/>
  <c r="J60" i="41"/>
  <c r="M60" i="41" s="1"/>
  <c r="X59" i="41"/>
  <c r="S59" i="41"/>
  <c r="U59" i="41" s="1"/>
  <c r="Q59" i="4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S55" i="41"/>
  <c r="U55" i="41" s="1"/>
  <c r="Q55" i="4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U50" i="41"/>
  <c r="Q50" i="41"/>
  <c r="S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S43" i="41"/>
  <c r="U43" i="41" s="1"/>
  <c r="Q43" i="41"/>
  <c r="J43" i="41"/>
  <c r="M43" i="41" s="1"/>
  <c r="X42" i="41"/>
  <c r="U42" i="41"/>
  <c r="Q42" i="41"/>
  <c r="S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U39" i="41"/>
  <c r="S39" i="41"/>
  <c r="Q39" i="41"/>
  <c r="J39" i="41"/>
  <c r="M39" i="41" s="1"/>
  <c r="X38" i="41"/>
  <c r="Q38" i="41"/>
  <c r="S38" i="41" s="1"/>
  <c r="U38" i="41" s="1"/>
  <c r="J38" i="41"/>
  <c r="M38" i="41" s="1"/>
  <c r="X37" i="41"/>
  <c r="Q37" i="41"/>
  <c r="S37" i="41" s="1"/>
  <c r="U37" i="41" s="1"/>
  <c r="J37" i="41"/>
  <c r="M37" i="41" s="1"/>
  <c r="X36" i="41"/>
  <c r="S36" i="41"/>
  <c r="U36" i="41" s="1"/>
  <c r="Q36" i="4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S33" i="41"/>
  <c r="U33" i="41" s="1"/>
  <c r="Q33" i="41"/>
  <c r="J33" i="41"/>
  <c r="M33" i="41" s="1"/>
  <c r="X32" i="41"/>
  <c r="S32" i="41"/>
  <c r="U32" i="41" s="1"/>
  <c r="Q32" i="4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Q26" i="41"/>
  <c r="S26" i="41" s="1"/>
  <c r="U26" i="41" s="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S20" i="41"/>
  <c r="U20" i="41" s="1"/>
  <c r="Q20" i="4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E18" i="4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C18" i="65" s="1"/>
  <c r="E18" i="65" s="1"/>
  <c r="G18" i="65" s="1"/>
  <c r="X17" i="41"/>
  <c r="Q17" i="41"/>
  <c r="S17" i="41" s="1"/>
  <c r="U17" i="41" s="1"/>
  <c r="J17" i="41"/>
  <c r="M17" i="41" s="1"/>
  <c r="X16" i="41"/>
  <c r="S16" i="41"/>
  <c r="U16" i="41" s="1"/>
  <c r="Q16" i="41"/>
  <c r="J16" i="41"/>
  <c r="M16" i="41" s="1"/>
  <c r="X15" i="41"/>
  <c r="Q15" i="41"/>
  <c r="S15" i="41" s="1"/>
  <c r="U15" i="41" s="1"/>
  <c r="J15" i="41"/>
  <c r="M15" i="41" s="1"/>
  <c r="X14" i="41"/>
  <c r="Q14" i="41"/>
  <c r="S14" i="41" s="1"/>
  <c r="U14" i="41" s="1"/>
  <c r="J14" i="41"/>
  <c r="M14" i="41" s="1"/>
  <c r="X13" i="41"/>
  <c r="Q13" i="41"/>
  <c r="S13" i="41" s="1"/>
  <c r="U13" i="41" s="1"/>
  <c r="J13" i="41"/>
  <c r="M13" i="41" s="1"/>
  <c r="X12" i="41"/>
  <c r="S12" i="41"/>
  <c r="U12" i="41" s="1"/>
  <c r="Q12" i="41"/>
  <c r="J12" i="41"/>
  <c r="M12" i="41" s="1"/>
  <c r="X11" i="41"/>
  <c r="Q11" i="41"/>
  <c r="S11" i="41" s="1"/>
  <c r="U11" i="41" s="1"/>
  <c r="M11" i="41"/>
  <c r="J11" i="41"/>
  <c r="X10" i="41"/>
  <c r="Q10" i="41"/>
  <c r="S10" i="41" s="1"/>
  <c r="U10" i="41" s="1"/>
  <c r="J10" i="41"/>
  <c r="M10" i="41" s="1"/>
  <c r="X9" i="41"/>
  <c r="S9" i="41"/>
  <c r="U9" i="41" s="1"/>
  <c r="Q9" i="41"/>
  <c r="J9" i="41"/>
  <c r="M9" i="41" s="1"/>
  <c r="X8" i="41"/>
  <c r="U8" i="41"/>
  <c r="S8" i="41"/>
  <c r="Q8" i="4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J208" i="40"/>
  <c r="M208" i="40" s="1"/>
  <c r="J207" i="40"/>
  <c r="M207" i="40" s="1"/>
  <c r="J206" i="40"/>
  <c r="M206" i="40" s="1"/>
  <c r="J205" i="40"/>
  <c r="M205" i="40" s="1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J198" i="40"/>
  <c r="M198" i="40" s="1"/>
  <c r="J197" i="40"/>
  <c r="M197" i="40" s="1"/>
  <c r="M196" i="40"/>
  <c r="J196" i="40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J167" i="40"/>
  <c r="M167" i="40" s="1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M137" i="40"/>
  <c r="J137" i="40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M114" i="40"/>
  <c r="J114" i="40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S103" i="40"/>
  <c r="U103" i="40" s="1"/>
  <c r="Q103" i="40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M99" i="40"/>
  <c r="J99" i="40"/>
  <c r="X98" i="40"/>
  <c r="S98" i="40"/>
  <c r="U98" i="40" s="1"/>
  <c r="Q98" i="40"/>
  <c r="J98" i="40"/>
  <c r="M98" i="40" s="1"/>
  <c r="X97" i="40"/>
  <c r="U97" i="40"/>
  <c r="S97" i="40"/>
  <c r="Q97" i="40"/>
  <c r="J97" i="40"/>
  <c r="M97" i="40" s="1"/>
  <c r="X96" i="40"/>
  <c r="Q96" i="40"/>
  <c r="S96" i="40" s="1"/>
  <c r="U96" i="40" s="1"/>
  <c r="M96" i="40"/>
  <c r="J96" i="40"/>
  <c r="X95" i="40"/>
  <c r="S95" i="40"/>
  <c r="U95" i="40" s="1"/>
  <c r="Q95" i="40"/>
  <c r="J95" i="40"/>
  <c r="M95" i="40" s="1"/>
  <c r="X94" i="40"/>
  <c r="S94" i="40"/>
  <c r="U94" i="40" s="1"/>
  <c r="Q94" i="40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S90" i="40"/>
  <c r="U90" i="40" s="1"/>
  <c r="Q90" i="40"/>
  <c r="J90" i="40"/>
  <c r="M90" i="40" s="1"/>
  <c r="X89" i="40"/>
  <c r="S89" i="40"/>
  <c r="U89" i="40" s="1"/>
  <c r="Q89" i="40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S82" i="40"/>
  <c r="U82" i="40" s="1"/>
  <c r="Q82" i="40"/>
  <c r="J82" i="40"/>
  <c r="M82" i="40" s="1"/>
  <c r="X81" i="40"/>
  <c r="S81" i="40"/>
  <c r="U81" i="40" s="1"/>
  <c r="Q81" i="40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S78" i="40"/>
  <c r="U78" i="40" s="1"/>
  <c r="Q78" i="40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S75" i="40"/>
  <c r="U75" i="40" s="1"/>
  <c r="Q75" i="40"/>
  <c r="J75" i="40"/>
  <c r="M75" i="40" s="1"/>
  <c r="X74" i="40"/>
  <c r="S74" i="40"/>
  <c r="U74" i="40" s="1"/>
  <c r="Q74" i="40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M72" i="40"/>
  <c r="J72" i="40"/>
  <c r="X71" i="40"/>
  <c r="S71" i="40"/>
  <c r="U71" i="40" s="1"/>
  <c r="Q71" i="40"/>
  <c r="J71" i="40"/>
  <c r="M71" i="40" s="1"/>
  <c r="X70" i="40"/>
  <c r="U70" i="40"/>
  <c r="S70" i="40"/>
  <c r="Q70" i="40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S66" i="40"/>
  <c r="U66" i="40" s="1"/>
  <c r="Q66" i="40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U62" i="40"/>
  <c r="S62" i="40"/>
  <c r="Q62" i="40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S55" i="40"/>
  <c r="U55" i="40" s="1"/>
  <c r="Q55" i="40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S52" i="40"/>
  <c r="U52" i="40" s="1"/>
  <c r="Q52" i="40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U49" i="40"/>
  <c r="S49" i="40"/>
  <c r="Q49" i="40"/>
  <c r="J49" i="40"/>
  <c r="M49" i="40" s="1"/>
  <c r="X48" i="40"/>
  <c r="Q48" i="40"/>
  <c r="S48" i="40" s="1"/>
  <c r="U48" i="40" s="1"/>
  <c r="J48" i="40"/>
  <c r="M48" i="40" s="1"/>
  <c r="X47" i="40"/>
  <c r="S47" i="40"/>
  <c r="U47" i="40" s="1"/>
  <c r="Q47" i="40"/>
  <c r="J47" i="40"/>
  <c r="M47" i="40" s="1"/>
  <c r="X46" i="40"/>
  <c r="S46" i="40"/>
  <c r="U46" i="40" s="1"/>
  <c r="Q46" i="40"/>
  <c r="J46" i="40"/>
  <c r="M46" i="40" s="1"/>
  <c r="X45" i="40"/>
  <c r="U45" i="40"/>
  <c r="Q45" i="40"/>
  <c r="S45" i="40" s="1"/>
  <c r="J45" i="40"/>
  <c r="M45" i="40" s="1"/>
  <c r="X44" i="40"/>
  <c r="S44" i="40"/>
  <c r="U44" i="40" s="1"/>
  <c r="Q44" i="40"/>
  <c r="J44" i="40"/>
  <c r="M44" i="40" s="1"/>
  <c r="X43" i="40"/>
  <c r="S43" i="40"/>
  <c r="U43" i="40" s="1"/>
  <c r="Q43" i="40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S33" i="40"/>
  <c r="U33" i="40" s="1"/>
  <c r="Q33" i="40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S29" i="40"/>
  <c r="U29" i="40" s="1"/>
  <c r="Q29" i="40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U24" i="40"/>
  <c r="S24" i="40"/>
  <c r="Q24" i="40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U20" i="40"/>
  <c r="S20" i="40"/>
  <c r="Q20" i="40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S16" i="40"/>
  <c r="U16" i="40" s="1"/>
  <c r="Q16" i="40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S13" i="40"/>
  <c r="U13" i="40" s="1"/>
  <c r="Q13" i="40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S9" i="40"/>
  <c r="U9" i="40" s="1"/>
  <c r="Q9" i="40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S5" i="40"/>
  <c r="U5" i="40" s="1"/>
  <c r="Q5" i="40"/>
  <c r="J5" i="40"/>
  <c r="J208" i="39"/>
  <c r="M208" i="39" s="1"/>
  <c r="J207" i="39"/>
  <c r="M207" i="39" s="1"/>
  <c r="J206" i="39"/>
  <c r="M206" i="39" s="1"/>
  <c r="J205" i="39"/>
  <c r="M205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M112" i="39"/>
  <c r="J112" i="39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S104" i="39"/>
  <c r="U104" i="39" s="1"/>
  <c r="Q104" i="39"/>
  <c r="J104" i="39"/>
  <c r="M104" i="39" s="1"/>
  <c r="X103" i="39"/>
  <c r="S103" i="39"/>
  <c r="U103" i="39" s="1"/>
  <c r="Q103" i="39"/>
  <c r="J103" i="39"/>
  <c r="M103" i="39" s="1"/>
  <c r="X102" i="39"/>
  <c r="S102" i="39"/>
  <c r="U102" i="39" s="1"/>
  <c r="Q102" i="39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Q98" i="39"/>
  <c r="S98" i="39" s="1"/>
  <c r="U98" i="39" s="1"/>
  <c r="J98" i="39"/>
  <c r="M98" i="39" s="1"/>
  <c r="X97" i="39"/>
  <c r="S97" i="39"/>
  <c r="U97" i="39" s="1"/>
  <c r="Q97" i="39"/>
  <c r="J97" i="39"/>
  <c r="M97" i="39" s="1"/>
  <c r="X96" i="39"/>
  <c r="Q96" i="39"/>
  <c r="S96" i="39" s="1"/>
  <c r="U96" i="39" s="1"/>
  <c r="J96" i="39"/>
  <c r="M96" i="39" s="1"/>
  <c r="X95" i="39"/>
  <c r="U95" i="39"/>
  <c r="Q95" i="39"/>
  <c r="S95" i="39" s="1"/>
  <c r="J95" i="39"/>
  <c r="M95" i="39" s="1"/>
  <c r="X94" i="39"/>
  <c r="Q94" i="39"/>
  <c r="S94" i="39" s="1"/>
  <c r="U94" i="39" s="1"/>
  <c r="J94" i="39"/>
  <c r="M94" i="39" s="1"/>
  <c r="X93" i="39"/>
  <c r="Q93" i="39"/>
  <c r="S93" i="39" s="1"/>
  <c r="U93" i="39" s="1"/>
  <c r="J93" i="39"/>
  <c r="M93" i="39" s="1"/>
  <c r="X92" i="39"/>
  <c r="S92" i="39"/>
  <c r="U92" i="39" s="1"/>
  <c r="Q92" i="39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S89" i="39"/>
  <c r="U89" i="39" s="1"/>
  <c r="Q89" i="39"/>
  <c r="J89" i="39"/>
  <c r="M89" i="39" s="1"/>
  <c r="X88" i="39"/>
  <c r="S88" i="39"/>
  <c r="U88" i="39" s="1"/>
  <c r="Q88" i="39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S84" i="39"/>
  <c r="U84" i="39" s="1"/>
  <c r="Q84" i="39"/>
  <c r="J84" i="39"/>
  <c r="M84" i="39" s="1"/>
  <c r="X83" i="39"/>
  <c r="Q83" i="39"/>
  <c r="S83" i="39" s="1"/>
  <c r="U83" i="39" s="1"/>
  <c r="J83" i="39"/>
  <c r="M83" i="39" s="1"/>
  <c r="X82" i="39"/>
  <c r="Q82" i="39"/>
  <c r="S82" i="39" s="1"/>
  <c r="U82" i="39" s="1"/>
  <c r="J82" i="39"/>
  <c r="M82" i="39" s="1"/>
  <c r="X81" i="39"/>
  <c r="Q81" i="39"/>
  <c r="S81" i="39" s="1"/>
  <c r="U81" i="39" s="1"/>
  <c r="J81" i="39"/>
  <c r="M81" i="39" s="1"/>
  <c r="X80" i="39"/>
  <c r="S80" i="39"/>
  <c r="U80" i="39" s="1"/>
  <c r="Q80" i="39"/>
  <c r="J80" i="39"/>
  <c r="M80" i="39" s="1"/>
  <c r="X79" i="39"/>
  <c r="U79" i="39"/>
  <c r="Q79" i="39"/>
  <c r="S79" i="39" s="1"/>
  <c r="J79" i="39"/>
  <c r="M79" i="39" s="1"/>
  <c r="X78" i="39"/>
  <c r="S78" i="39"/>
  <c r="U78" i="39" s="1"/>
  <c r="Q78" i="39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S73" i="39"/>
  <c r="U73" i="39" s="1"/>
  <c r="Q73" i="39"/>
  <c r="J73" i="39"/>
  <c r="M73" i="39" s="1"/>
  <c r="X72" i="39"/>
  <c r="Q72" i="39"/>
  <c r="S72" i="39" s="1"/>
  <c r="U72" i="39" s="1"/>
  <c r="J72" i="39"/>
  <c r="M72" i="39" s="1"/>
  <c r="X71" i="39"/>
  <c r="U71" i="39"/>
  <c r="Q71" i="39"/>
  <c r="S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S68" i="39"/>
  <c r="U68" i="39" s="1"/>
  <c r="Q68" i="39"/>
  <c r="J68" i="39"/>
  <c r="M68" i="39" s="1"/>
  <c r="X67" i="39"/>
  <c r="S67" i="39"/>
  <c r="U67" i="39" s="1"/>
  <c r="Q67" i="39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S64" i="39"/>
  <c r="U64" i="39" s="1"/>
  <c r="Q64" i="39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S59" i="39"/>
  <c r="U59" i="39" s="1"/>
  <c r="Q59" i="39"/>
  <c r="M59" i="39"/>
  <c r="J59" i="39"/>
  <c r="X58" i="39"/>
  <c r="Q58" i="39"/>
  <c r="S58" i="39" s="1"/>
  <c r="U58" i="39" s="1"/>
  <c r="J58" i="39"/>
  <c r="M58" i="39" s="1"/>
  <c r="X57" i="39"/>
  <c r="S57" i="39"/>
  <c r="U57" i="39" s="1"/>
  <c r="Q57" i="39"/>
  <c r="J57" i="39"/>
  <c r="M57" i="39" s="1"/>
  <c r="X56" i="39"/>
  <c r="S56" i="39"/>
  <c r="U56" i="39" s="1"/>
  <c r="Q56" i="39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M54" i="39"/>
  <c r="J54" i="39"/>
  <c r="X53" i="39"/>
  <c r="Q53" i="39"/>
  <c r="S53" i="39" s="1"/>
  <c r="U53" i="39" s="1"/>
  <c r="J53" i="39"/>
  <c r="M53" i="39" s="1"/>
  <c r="X52" i="39"/>
  <c r="S52" i="39"/>
  <c r="U52" i="39" s="1"/>
  <c r="Q52" i="39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S48" i="39"/>
  <c r="U48" i="39" s="1"/>
  <c r="Q48" i="39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U39" i="39"/>
  <c r="Q39" i="39"/>
  <c r="S39" i="39" s="1"/>
  <c r="J39" i="39"/>
  <c r="M39" i="39" s="1"/>
  <c r="X38" i="39"/>
  <c r="Q38" i="39"/>
  <c r="S38" i="39" s="1"/>
  <c r="U38" i="39" s="1"/>
  <c r="J38" i="39"/>
  <c r="M38" i="39" s="1"/>
  <c r="X37" i="39"/>
  <c r="S37" i="39"/>
  <c r="U37" i="39" s="1"/>
  <c r="Q37" i="39"/>
  <c r="J37" i="39"/>
  <c r="M37" i="39" s="1"/>
  <c r="X36" i="39"/>
  <c r="S36" i="39"/>
  <c r="U36" i="39" s="1"/>
  <c r="Q36" i="39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S31" i="39"/>
  <c r="U31" i="39" s="1"/>
  <c r="Q31" i="39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M26" i="39"/>
  <c r="J26" i="39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M22" i="39"/>
  <c r="J22" i="39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S16" i="39"/>
  <c r="U16" i="39" s="1"/>
  <c r="Q16" i="39"/>
  <c r="J16" i="39"/>
  <c r="M16" i="39" s="1"/>
  <c r="X15" i="39"/>
  <c r="S15" i="39"/>
  <c r="U15" i="39" s="1"/>
  <c r="Q15" i="39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M13" i="39"/>
  <c r="J13" i="39"/>
  <c r="X12" i="39"/>
  <c r="S12" i="39"/>
  <c r="U12" i="39" s="1"/>
  <c r="Q12" i="39"/>
  <c r="J12" i="39"/>
  <c r="M12" i="39" s="1"/>
  <c r="X11" i="39"/>
  <c r="S11" i="39"/>
  <c r="U11" i="39" s="1"/>
  <c r="Q11" i="39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S8" i="39"/>
  <c r="U8" i="39" s="1"/>
  <c r="Q8" i="39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M5" i="39" s="1"/>
  <c r="J208" i="38"/>
  <c r="M208" i="38" s="1"/>
  <c r="J207" i="38"/>
  <c r="M207" i="38" s="1"/>
  <c r="J206" i="38"/>
  <c r="M206" i="38" s="1"/>
  <c r="J205" i="38"/>
  <c r="M205" i="38" s="1"/>
  <c r="J204" i="38"/>
  <c r="M204" i="38" s="1"/>
  <c r="J203" i="38"/>
  <c r="M203" i="38" s="1"/>
  <c r="J202" i="38"/>
  <c r="M202" i="38" s="1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J140" i="38"/>
  <c r="M140" i="38" s="1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S104" i="38"/>
  <c r="U104" i="38" s="1"/>
  <c r="Q104" i="38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U101" i="38"/>
  <c r="S101" i="38"/>
  <c r="Q101" i="38"/>
  <c r="J101" i="38"/>
  <c r="M101" i="38" s="1"/>
  <c r="X100" i="38"/>
  <c r="S100" i="38"/>
  <c r="U100" i="38" s="1"/>
  <c r="Q100" i="38"/>
  <c r="J100" i="38"/>
  <c r="M100" i="38" s="1"/>
  <c r="X99" i="38"/>
  <c r="Q99" i="38"/>
  <c r="S99" i="38" s="1"/>
  <c r="U99" i="38" s="1"/>
  <c r="J99" i="38"/>
  <c r="M99" i="38" s="1"/>
  <c r="X98" i="38"/>
  <c r="S98" i="38"/>
  <c r="U98" i="38" s="1"/>
  <c r="Q98" i="38"/>
  <c r="J98" i="38"/>
  <c r="M98" i="38" s="1"/>
  <c r="X97" i="38"/>
  <c r="Q97" i="38"/>
  <c r="S97" i="38" s="1"/>
  <c r="U97" i="38" s="1"/>
  <c r="J97" i="38"/>
  <c r="M97" i="38" s="1"/>
  <c r="X96" i="38"/>
  <c r="Q96" i="38"/>
  <c r="S96" i="38" s="1"/>
  <c r="U96" i="38" s="1"/>
  <c r="J96" i="38"/>
  <c r="M96" i="38" s="1"/>
  <c r="X95" i="38"/>
  <c r="Q95" i="38"/>
  <c r="S95" i="38" s="1"/>
  <c r="U95" i="38" s="1"/>
  <c r="J95" i="38"/>
  <c r="M95" i="38" s="1"/>
  <c r="X94" i="38"/>
  <c r="S94" i="38"/>
  <c r="U94" i="38" s="1"/>
  <c r="Q94" i="38"/>
  <c r="J94" i="38"/>
  <c r="M94" i="38" s="1"/>
  <c r="X93" i="38"/>
  <c r="Q93" i="38"/>
  <c r="S93" i="38" s="1"/>
  <c r="U93" i="38" s="1"/>
  <c r="J93" i="38"/>
  <c r="M93" i="38" s="1"/>
  <c r="X92" i="38"/>
  <c r="Q92" i="38"/>
  <c r="S92" i="38" s="1"/>
  <c r="U92" i="38" s="1"/>
  <c r="J92" i="38"/>
  <c r="M92" i="38" s="1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S88" i="38"/>
  <c r="U88" i="38" s="1"/>
  <c r="Q88" i="38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S85" i="38"/>
  <c r="U85" i="38" s="1"/>
  <c r="Q85" i="38"/>
  <c r="J85" i="38"/>
  <c r="M85" i="38" s="1"/>
  <c r="X84" i="38"/>
  <c r="Q84" i="38"/>
  <c r="S84" i="38" s="1"/>
  <c r="U84" i="38" s="1"/>
  <c r="J84" i="38"/>
  <c r="M84" i="38" s="1"/>
  <c r="X83" i="38"/>
  <c r="Q83" i="38"/>
  <c r="S83" i="38" s="1"/>
  <c r="U83" i="38" s="1"/>
  <c r="J83" i="38"/>
  <c r="M83" i="38" s="1"/>
  <c r="X82" i="38"/>
  <c r="S82" i="38"/>
  <c r="U82" i="38" s="1"/>
  <c r="Q82" i="38"/>
  <c r="J82" i="38"/>
  <c r="M82" i="38" s="1"/>
  <c r="X81" i="38"/>
  <c r="S81" i="38"/>
  <c r="U81" i="38" s="1"/>
  <c r="Q81" i="38"/>
  <c r="J81" i="38"/>
  <c r="M81" i="38" s="1"/>
  <c r="X80" i="38"/>
  <c r="S80" i="38"/>
  <c r="U80" i="38" s="1"/>
  <c r="Q80" i="38"/>
  <c r="J80" i="38"/>
  <c r="M80" i="38" s="1"/>
  <c r="X79" i="38"/>
  <c r="U79" i="38"/>
  <c r="S79" i="38"/>
  <c r="Q79" i="38"/>
  <c r="J79" i="38"/>
  <c r="M79" i="38" s="1"/>
  <c r="X78" i="38"/>
  <c r="Q78" i="38"/>
  <c r="S78" i="38" s="1"/>
  <c r="U78" i="38" s="1"/>
  <c r="M78" i="38"/>
  <c r="J78" i="38"/>
  <c r="X77" i="38"/>
  <c r="S77" i="38"/>
  <c r="U77" i="38" s="1"/>
  <c r="Q77" i="38"/>
  <c r="J77" i="38"/>
  <c r="M77" i="38" s="1"/>
  <c r="X76" i="38"/>
  <c r="S76" i="38"/>
  <c r="U76" i="38" s="1"/>
  <c r="Q76" i="38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J73" i="38"/>
  <c r="M73" i="38" s="1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S68" i="38"/>
  <c r="U68" i="38" s="1"/>
  <c r="Q68" i="38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Q64" i="38"/>
  <c r="S64" i="38" s="1"/>
  <c r="U64" i="38" s="1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S60" i="38"/>
  <c r="U60" i="38" s="1"/>
  <c r="Q60" i="38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U57" i="38"/>
  <c r="Q57" i="38"/>
  <c r="S57" i="38" s="1"/>
  <c r="J57" i="38"/>
  <c r="M57" i="38" s="1"/>
  <c r="X56" i="38"/>
  <c r="S56" i="38"/>
  <c r="U56" i="38" s="1"/>
  <c r="Q56" i="38"/>
  <c r="J56" i="38"/>
  <c r="M56" i="38" s="1"/>
  <c r="X55" i="38"/>
  <c r="U55" i="38"/>
  <c r="S55" i="38"/>
  <c r="Q55" i="38"/>
  <c r="J55" i="38"/>
  <c r="M55" i="38" s="1"/>
  <c r="X54" i="38"/>
  <c r="Q54" i="38"/>
  <c r="S54" i="38" s="1"/>
  <c r="U54" i="38" s="1"/>
  <c r="J54" i="38"/>
  <c r="M54" i="38" s="1"/>
  <c r="X53" i="38"/>
  <c r="S53" i="38"/>
  <c r="U53" i="38" s="1"/>
  <c r="Q53" i="38"/>
  <c r="J53" i="38"/>
  <c r="M53" i="38" s="1"/>
  <c r="X52" i="38"/>
  <c r="Q52" i="38"/>
  <c r="S52" i="38" s="1"/>
  <c r="U52" i="38" s="1"/>
  <c r="J52" i="38"/>
  <c r="M52" i="38" s="1"/>
  <c r="X51" i="38"/>
  <c r="Q51" i="38"/>
  <c r="S51" i="38" s="1"/>
  <c r="U51" i="38" s="1"/>
  <c r="J51" i="38"/>
  <c r="M51" i="38" s="1"/>
  <c r="X50" i="38"/>
  <c r="Q50" i="38"/>
  <c r="S50" i="38" s="1"/>
  <c r="U50" i="38" s="1"/>
  <c r="J50" i="38"/>
  <c r="M50" i="38" s="1"/>
  <c r="X49" i="38"/>
  <c r="Q49" i="38"/>
  <c r="S49" i="38" s="1"/>
  <c r="U49" i="38" s="1"/>
  <c r="J49" i="38"/>
  <c r="M49" i="38" s="1"/>
  <c r="X48" i="38"/>
  <c r="S48" i="38"/>
  <c r="U48" i="38" s="1"/>
  <c r="Q48" i="38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J46" i="38"/>
  <c r="M46" i="38" s="1"/>
  <c r="X45" i="38"/>
  <c r="Q45" i="38"/>
  <c r="S45" i="38" s="1"/>
  <c r="U45" i="38" s="1"/>
  <c r="J45" i="38"/>
  <c r="M45" i="38" s="1"/>
  <c r="X44" i="38"/>
  <c r="Q44" i="38"/>
  <c r="S44" i="38" s="1"/>
  <c r="U44" i="38" s="1"/>
  <c r="J44" i="38"/>
  <c r="M44" i="38" s="1"/>
  <c r="X43" i="38"/>
  <c r="Q43" i="38"/>
  <c r="S43" i="38" s="1"/>
  <c r="U43" i="38" s="1"/>
  <c r="J43" i="38"/>
  <c r="M43" i="38" s="1"/>
  <c r="X42" i="38"/>
  <c r="S42" i="38"/>
  <c r="U42" i="38" s="1"/>
  <c r="Q42" i="38"/>
  <c r="M42" i="38"/>
  <c r="J42" i="38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S39" i="38"/>
  <c r="U39" i="38" s="1"/>
  <c r="Q39" i="38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U36" i="38"/>
  <c r="Q36" i="38"/>
  <c r="S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Q30" i="38"/>
  <c r="S30" i="38" s="1"/>
  <c r="U30" i="38" s="1"/>
  <c r="J30" i="38"/>
  <c r="M30" i="38" s="1"/>
  <c r="X29" i="38"/>
  <c r="S29" i="38"/>
  <c r="U29" i="38" s="1"/>
  <c r="Q29" i="38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Q20" i="38"/>
  <c r="S20" i="38" s="1"/>
  <c r="U20" i="38" s="1"/>
  <c r="J20" i="38"/>
  <c r="M20" i="38" s="1"/>
  <c r="X19" i="38"/>
  <c r="S19" i="38"/>
  <c r="U19" i="38" s="1"/>
  <c r="Q19" i="38"/>
  <c r="J19" i="38"/>
  <c r="M19" i="38" s="1"/>
  <c r="X18" i="38"/>
  <c r="Q18" i="38"/>
  <c r="S18" i="38" s="1"/>
  <c r="U18" i="38" s="1"/>
  <c r="J18" i="38"/>
  <c r="M18" i="38" s="1"/>
  <c r="X17" i="38"/>
  <c r="S17" i="38"/>
  <c r="U17" i="38" s="1"/>
  <c r="Q17" i="38"/>
  <c r="J17" i="38"/>
  <c r="M17" i="38" s="1"/>
  <c r="X16" i="38"/>
  <c r="Q16" i="38"/>
  <c r="S16" i="38" s="1"/>
  <c r="U16" i="38" s="1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S10" i="38"/>
  <c r="U10" i="38" s="1"/>
  <c r="Q10" i="38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J8" i="38"/>
  <c r="M8" i="38" s="1"/>
  <c r="X7" i="38"/>
  <c r="Q7" i="38"/>
  <c r="S7" i="38" s="1"/>
  <c r="U7" i="38" s="1"/>
  <c r="J7" i="38"/>
  <c r="M7" i="38" s="1"/>
  <c r="X6" i="38"/>
  <c r="S6" i="38"/>
  <c r="U6" i="38" s="1"/>
  <c r="Q6" i="38"/>
  <c r="J6" i="38"/>
  <c r="M6" i="38" s="1"/>
  <c r="X5" i="38"/>
  <c r="S5" i="38"/>
  <c r="U5" i="38" s="1"/>
  <c r="Q5" i="38"/>
  <c r="J5" i="38"/>
  <c r="M5" i="38" s="1"/>
  <c r="X107" i="40" l="1"/>
  <c r="R17" i="16"/>
  <c r="K230" i="47"/>
  <c r="X107" i="43"/>
  <c r="J215" i="43" s="1"/>
  <c r="M5" i="40"/>
  <c r="K216" i="40"/>
  <c r="M10" i="16" s="1"/>
  <c r="C213" i="50"/>
  <c r="E213" i="50" s="1"/>
  <c r="G213" i="50" s="1"/>
  <c r="C213" i="51" s="1"/>
  <c r="E213" i="51" s="1"/>
  <c r="G213" i="51" s="1"/>
  <c r="C213" i="52" s="1"/>
  <c r="E213" i="52" s="1"/>
  <c r="G213" i="52" s="1"/>
  <c r="C213" i="53" s="1"/>
  <c r="E213" i="53" s="1"/>
  <c r="G213" i="53" s="1"/>
  <c r="C213" i="54" s="1"/>
  <c r="E213" i="54" s="1"/>
  <c r="G213" i="54" s="1"/>
  <c r="C213" i="55" s="1"/>
  <c r="E213" i="55" s="1"/>
  <c r="G213" i="55" s="1"/>
  <c r="C213" i="56" s="1"/>
  <c r="E213" i="56" s="1"/>
  <c r="G213" i="56" s="1"/>
  <c r="C213" i="57" s="1"/>
  <c r="E213" i="57" s="1"/>
  <c r="G213" i="57" s="1"/>
  <c r="C213" i="58" s="1"/>
  <c r="E213" i="58" s="1"/>
  <c r="G213" i="58" s="1"/>
  <c r="C213" i="59" s="1"/>
  <c r="E213" i="59" s="1"/>
  <c r="G213" i="59" s="1"/>
  <c r="C213" i="60" s="1"/>
  <c r="E213" i="60" s="1"/>
  <c r="G213" i="60" s="1"/>
  <c r="C213" i="61" s="1"/>
  <c r="E213" i="61" s="1"/>
  <c r="G213" i="61" s="1"/>
  <c r="C213" i="62" s="1"/>
  <c r="E213" i="62" s="1"/>
  <c r="G213" i="62" s="1"/>
  <c r="C213" i="63" s="1"/>
  <c r="E213" i="63" s="1"/>
  <c r="G213" i="63" s="1"/>
  <c r="C213" i="64" s="1"/>
  <c r="E213" i="64" s="1"/>
  <c r="G213" i="64" s="1"/>
  <c r="C213" i="65" s="1"/>
  <c r="E213" i="65" s="1"/>
  <c r="G213" i="65" s="1"/>
  <c r="R16" i="16"/>
  <c r="K230" i="46"/>
  <c r="R23" i="16"/>
  <c r="K228" i="53"/>
  <c r="X107" i="53"/>
  <c r="J215" i="53" s="1"/>
  <c r="K216" i="53" s="1"/>
  <c r="X107" i="51"/>
  <c r="J215" i="51" s="1"/>
  <c r="K216" i="51" s="1"/>
  <c r="R21" i="16"/>
  <c r="K228" i="51"/>
  <c r="X107" i="59"/>
  <c r="J215" i="59" s="1"/>
  <c r="C213" i="39"/>
  <c r="E213" i="39" s="1"/>
  <c r="G213" i="39" s="1"/>
  <c r="C213" i="40" s="1"/>
  <c r="E213" i="40" s="1"/>
  <c r="G213" i="40" s="1"/>
  <c r="C213" i="37"/>
  <c r="E213" i="37" s="1"/>
  <c r="G213" i="37" s="1"/>
  <c r="C213" i="38"/>
  <c r="E213" i="38" s="1"/>
  <c r="G213" i="38" s="1"/>
  <c r="C213" i="41"/>
  <c r="E213" i="41" s="1"/>
  <c r="G213" i="41" s="1"/>
  <c r="C213" i="42" s="1"/>
  <c r="E213" i="42" s="1"/>
  <c r="G213" i="42" s="1"/>
  <c r="C213" i="43" s="1"/>
  <c r="E213" i="43" s="1"/>
  <c r="G213" i="43" s="1"/>
  <c r="C213" i="44" s="1"/>
  <c r="E213" i="44" s="1"/>
  <c r="G213" i="44" s="1"/>
  <c r="R22" i="16"/>
  <c r="K228" i="52"/>
  <c r="X107" i="64"/>
  <c r="J215" i="64" s="1"/>
  <c r="K228" i="37"/>
  <c r="R7" i="16"/>
  <c r="X107" i="63"/>
  <c r="J215" i="63" s="1"/>
  <c r="K228" i="40"/>
  <c r="R10" i="16"/>
  <c r="C209" i="41"/>
  <c r="E209" i="41" s="1"/>
  <c r="G209" i="41" s="1"/>
  <c r="K228" i="41"/>
  <c r="R11" i="16"/>
  <c r="K228" i="38"/>
  <c r="R8" i="16"/>
  <c r="C209" i="39"/>
  <c r="E209" i="39" s="1"/>
  <c r="G209" i="39" s="1"/>
  <c r="C209" i="40" s="1"/>
  <c r="E209" i="40" s="1"/>
  <c r="G209" i="40" s="1"/>
  <c r="K228" i="35"/>
  <c r="K228" i="39"/>
  <c r="R9" i="16"/>
  <c r="K228" i="36"/>
  <c r="C209" i="37"/>
  <c r="E209" i="37" s="1"/>
  <c r="G209" i="37" s="1"/>
  <c r="C212" i="37"/>
  <c r="E212" i="37" s="1"/>
  <c r="G212" i="37" s="1"/>
  <c r="C212" i="38"/>
  <c r="E212" i="38" s="1"/>
  <c r="G212" i="38" s="1"/>
  <c r="C212" i="39"/>
  <c r="E212" i="39" s="1"/>
  <c r="G212" i="39" s="1"/>
  <c r="C212" i="40" s="1"/>
  <c r="E212" i="40" s="1"/>
  <c r="G212" i="40" s="1"/>
  <c r="C211" i="41"/>
  <c r="E211" i="41" s="1"/>
  <c r="G211" i="41" s="1"/>
  <c r="C211" i="42" s="1"/>
  <c r="E211" i="42" s="1"/>
  <c r="G211" i="42" s="1"/>
  <c r="C210" i="37"/>
  <c r="E210" i="37" s="1"/>
  <c r="G210" i="37" s="1"/>
  <c r="C210" i="35"/>
  <c r="E210" i="35" s="1"/>
  <c r="G210" i="35" s="1"/>
  <c r="C210" i="36" s="1"/>
  <c r="E210" i="36" s="1"/>
  <c r="G210" i="36" s="1"/>
  <c r="C210" i="39"/>
  <c r="E210" i="39" s="1"/>
  <c r="G210" i="39" s="1"/>
  <c r="C210" i="40" s="1"/>
  <c r="E210" i="40" s="1"/>
  <c r="G210" i="40" s="1"/>
  <c r="C212" i="41"/>
  <c r="E212" i="41" s="1"/>
  <c r="G212" i="41" s="1"/>
  <c r="C212" i="42" s="1"/>
  <c r="E212" i="42" s="1"/>
  <c r="G212" i="42" s="1"/>
  <c r="C212" i="43" s="1"/>
  <c r="E212" i="43" s="1"/>
  <c r="G212" i="43" s="1"/>
  <c r="C212" i="44" s="1"/>
  <c r="E212" i="44" s="1"/>
  <c r="G212" i="44" s="1"/>
  <c r="C211" i="35"/>
  <c r="E211" i="35" s="1"/>
  <c r="G211" i="35" s="1"/>
  <c r="C211" i="36" s="1"/>
  <c r="E211" i="36" s="1"/>
  <c r="G211" i="36" s="1"/>
  <c r="C210" i="38"/>
  <c r="E210" i="38" s="1"/>
  <c r="G210" i="38" s="1"/>
  <c r="C211" i="37"/>
  <c r="E211" i="37" s="1"/>
  <c r="G211" i="37" s="1"/>
  <c r="C211" i="39"/>
  <c r="E211" i="39" s="1"/>
  <c r="G211" i="39" s="1"/>
  <c r="C211" i="40" s="1"/>
  <c r="E211" i="40" s="1"/>
  <c r="G211" i="40" s="1"/>
  <c r="R20" i="16"/>
  <c r="G212" i="50"/>
  <c r="C212" i="51" s="1"/>
  <c r="E212" i="51" s="1"/>
  <c r="G212" i="51" s="1"/>
  <c r="C212" i="52" s="1"/>
  <c r="E212" i="52" s="1"/>
  <c r="G212" i="52" s="1"/>
  <c r="C212" i="53" s="1"/>
  <c r="E212" i="53" s="1"/>
  <c r="G212" i="53" s="1"/>
  <c r="C212" i="54" s="1"/>
  <c r="E212" i="54" s="1"/>
  <c r="G212" i="54" s="1"/>
  <c r="C212" i="55" s="1"/>
  <c r="E212" i="55" s="1"/>
  <c r="G212" i="55" s="1"/>
  <c r="C212" i="56" s="1"/>
  <c r="E212" i="56" s="1"/>
  <c r="G212" i="56" s="1"/>
  <c r="C212" i="57" s="1"/>
  <c r="E212" i="57" s="1"/>
  <c r="G212" i="57" s="1"/>
  <c r="C212" i="58" s="1"/>
  <c r="E212" i="58" s="1"/>
  <c r="G212" i="58" s="1"/>
  <c r="C212" i="59" s="1"/>
  <c r="E212" i="59" s="1"/>
  <c r="G212" i="59" s="1"/>
  <c r="C212" i="60" s="1"/>
  <c r="E212" i="60" s="1"/>
  <c r="G212" i="60" s="1"/>
  <c r="C212" i="61" s="1"/>
  <c r="E212" i="61" s="1"/>
  <c r="G212" i="61" s="1"/>
  <c r="C212" i="62" s="1"/>
  <c r="E212" i="62" s="1"/>
  <c r="G212" i="62" s="1"/>
  <c r="C212" i="63" s="1"/>
  <c r="E212" i="63" s="1"/>
  <c r="G212" i="63" s="1"/>
  <c r="C212" i="64" s="1"/>
  <c r="E212" i="64" s="1"/>
  <c r="G212" i="64" s="1"/>
  <c r="C212" i="65" s="1"/>
  <c r="E212" i="65" s="1"/>
  <c r="G212" i="65" s="1"/>
  <c r="R19" i="16"/>
  <c r="R18" i="16"/>
  <c r="K230" i="48"/>
  <c r="X107" i="47"/>
  <c r="J217" i="47" s="1"/>
  <c r="J212" i="16"/>
  <c r="R15" i="16"/>
  <c r="K228" i="45"/>
  <c r="M6" i="45"/>
  <c r="J209" i="16"/>
  <c r="R13" i="16"/>
  <c r="K228" i="43"/>
  <c r="R12" i="16"/>
  <c r="K228" i="42"/>
  <c r="R14" i="16"/>
  <c r="K228" i="44"/>
  <c r="M89" i="44"/>
  <c r="K216" i="41"/>
  <c r="M11" i="16" s="1"/>
  <c r="K216" i="38"/>
  <c r="M209" i="41"/>
  <c r="M210" i="40"/>
  <c r="J211" i="16"/>
  <c r="K216" i="39"/>
  <c r="M9" i="16" s="1"/>
  <c r="M210" i="38"/>
  <c r="J210" i="16"/>
  <c r="M210" i="37"/>
  <c r="M210" i="36"/>
  <c r="J224" i="16"/>
  <c r="C210" i="42"/>
  <c r="E210" i="42" s="1"/>
  <c r="G210" i="42" s="1"/>
  <c r="M213" i="35"/>
  <c r="X107" i="33"/>
  <c r="J215" i="33" s="1"/>
  <c r="K216" i="33" s="1"/>
  <c r="K222" i="33" s="1"/>
  <c r="M5" i="33"/>
  <c r="X107" i="65"/>
  <c r="J215" i="65" s="1"/>
  <c r="K216" i="65"/>
  <c r="K216" i="64"/>
  <c r="M5" i="64"/>
  <c r="K216" i="63"/>
  <c r="X107" i="62"/>
  <c r="J215" i="62" s="1"/>
  <c r="K216" i="62" s="1"/>
  <c r="X107" i="61"/>
  <c r="J215" i="61" s="1"/>
  <c r="K216" i="61" s="1"/>
  <c r="X107" i="60"/>
  <c r="J215" i="60" s="1"/>
  <c r="K216" i="60" s="1"/>
  <c r="K216" i="59"/>
  <c r="M5" i="59"/>
  <c r="X107" i="58"/>
  <c r="J215" i="58" s="1"/>
  <c r="K216" i="58" s="1"/>
  <c r="M5" i="58"/>
  <c r="X107" i="57"/>
  <c r="J215" i="57" s="1"/>
  <c r="K216" i="57" s="1"/>
  <c r="M5" i="57"/>
  <c r="X107" i="56"/>
  <c r="J215" i="56" s="1"/>
  <c r="K216" i="56" s="1"/>
  <c r="X107" i="55"/>
  <c r="J215" i="55" s="1"/>
  <c r="K216" i="55" s="1"/>
  <c r="K216" i="54"/>
  <c r="M5" i="54"/>
  <c r="X107" i="54"/>
  <c r="J215" i="54" s="1"/>
  <c r="K216" i="52"/>
  <c r="X107" i="52"/>
  <c r="J215" i="52" s="1"/>
  <c r="M5" i="51"/>
  <c r="K218" i="50"/>
  <c r="M5" i="50"/>
  <c r="X107" i="50"/>
  <c r="J217" i="50" s="1"/>
  <c r="X107" i="49"/>
  <c r="J217" i="49" s="1"/>
  <c r="K218" i="49" s="1"/>
  <c r="X107" i="48"/>
  <c r="J217" i="48" s="1"/>
  <c r="K218" i="48" s="1"/>
  <c r="K218" i="47"/>
  <c r="M5" i="47"/>
  <c r="K218" i="46"/>
  <c r="M5" i="46"/>
  <c r="X107" i="46"/>
  <c r="J217" i="46" s="1"/>
  <c r="X107" i="45"/>
  <c r="J215" i="45" s="1"/>
  <c r="K216" i="45" s="1"/>
  <c r="M5" i="45"/>
  <c r="X107" i="44"/>
  <c r="J215" i="44" s="1"/>
  <c r="K216" i="44" s="1"/>
  <c r="K216" i="43"/>
  <c r="X107" i="42"/>
  <c r="J215" i="42" s="1"/>
  <c r="K216" i="42"/>
  <c r="M5" i="41"/>
  <c r="X107" i="41"/>
  <c r="X107" i="39"/>
  <c r="X107" i="38"/>
  <c r="J208" i="37"/>
  <c r="M208" i="37" s="1"/>
  <c r="J207" i="37"/>
  <c r="M207" i="37" s="1"/>
  <c r="J206" i="37"/>
  <c r="M206" i="37" s="1"/>
  <c r="J205" i="37"/>
  <c r="M205" i="37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J190" i="37"/>
  <c r="M190" i="37" s="1"/>
  <c r="J189" i="37"/>
  <c r="M189" i="37" s="1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J172" i="37"/>
  <c r="M172" i="37" s="1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S94" i="37"/>
  <c r="U94" i="37" s="1"/>
  <c r="Q94" i="37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Q80" i="37"/>
  <c r="S80" i="37" s="1"/>
  <c r="U80" i="37" s="1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Q67" i="37"/>
  <c r="S67" i="37" s="1"/>
  <c r="U67" i="37" s="1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J52" i="37"/>
  <c r="M52" i="37" s="1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Q42" i="37"/>
  <c r="S42" i="37" s="1"/>
  <c r="U42" i="37" s="1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J11" i="37"/>
  <c r="M11" i="37" s="1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M5" i="37" s="1"/>
  <c r="J208" i="36"/>
  <c r="M208" i="36" s="1"/>
  <c r="J207" i="36"/>
  <c r="M207" i="36" s="1"/>
  <c r="J206" i="36"/>
  <c r="M206" i="36" s="1"/>
  <c r="J205" i="36"/>
  <c r="M205" i="36" s="1"/>
  <c r="J204" i="36"/>
  <c r="M204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J156" i="36"/>
  <c r="M156" i="36" s="1"/>
  <c r="J155" i="36"/>
  <c r="M155" i="36" s="1"/>
  <c r="J154" i="36"/>
  <c r="M154" i="36" s="1"/>
  <c r="J153" i="36"/>
  <c r="M153" i="36" s="1"/>
  <c r="J152" i="36"/>
  <c r="M152" i="36" s="1"/>
  <c r="M151" i="36"/>
  <c r="J151" i="36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M125" i="36"/>
  <c r="J125" i="36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S103" i="36"/>
  <c r="U103" i="36" s="1"/>
  <c r="Q103" i="36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Q94" i="36"/>
  <c r="S94" i="36" s="1"/>
  <c r="U94" i="36" s="1"/>
  <c r="J94" i="36"/>
  <c r="M94" i="36" s="1"/>
  <c r="X93" i="36"/>
  <c r="S93" i="36"/>
  <c r="U93" i="36" s="1"/>
  <c r="Q93" i="36"/>
  <c r="J93" i="36"/>
  <c r="M93" i="36" s="1"/>
  <c r="X92" i="36"/>
  <c r="Q92" i="36"/>
  <c r="S92" i="36" s="1"/>
  <c r="U92" i="36" s="1"/>
  <c r="J92" i="36"/>
  <c r="M92" i="36" s="1"/>
  <c r="X91" i="36"/>
  <c r="Q91" i="36"/>
  <c r="S91" i="36" s="1"/>
  <c r="U91" i="36" s="1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S88" i="36"/>
  <c r="U88" i="36" s="1"/>
  <c r="Q88" i="36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S85" i="36"/>
  <c r="U85" i="36" s="1"/>
  <c r="Q85" i="36"/>
  <c r="J85" i="36"/>
  <c r="M85" i="36" s="1"/>
  <c r="X84" i="36"/>
  <c r="Q84" i="36"/>
  <c r="S84" i="36" s="1"/>
  <c r="U84" i="36" s="1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S80" i="36"/>
  <c r="U80" i="36" s="1"/>
  <c r="Q80" i="36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S68" i="36"/>
  <c r="U68" i="36" s="1"/>
  <c r="Q68" i="36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Q64" i="36"/>
  <c r="S64" i="36" s="1"/>
  <c r="U64" i="36" s="1"/>
  <c r="J64" i="36"/>
  <c r="M64" i="36" s="1"/>
  <c r="X63" i="36"/>
  <c r="S63" i="36"/>
  <c r="U63" i="36" s="1"/>
  <c r="Q63" i="36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S60" i="36"/>
  <c r="U60" i="36" s="1"/>
  <c r="Q60" i="36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S57" i="36"/>
  <c r="U57" i="36" s="1"/>
  <c r="Q57" i="36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Q54" i="36"/>
  <c r="S54" i="36" s="1"/>
  <c r="U54" i="36" s="1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J48" i="36"/>
  <c r="M48" i="36" s="1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Q43" i="36"/>
  <c r="S43" i="36" s="1"/>
  <c r="U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Q39" i="36"/>
  <c r="S39" i="36" s="1"/>
  <c r="U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S31" i="36"/>
  <c r="U31" i="36" s="1"/>
  <c r="Q31" i="36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Q23" i="36"/>
  <c r="S23" i="36" s="1"/>
  <c r="U23" i="36" s="1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S18" i="36"/>
  <c r="U18" i="36" s="1"/>
  <c r="Q18" i="36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J9" i="36"/>
  <c r="M9" i="36" s="1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M5" i="36" s="1"/>
  <c r="C35" i="35"/>
  <c r="C39" i="35"/>
  <c r="C41" i="35"/>
  <c r="C43" i="35"/>
  <c r="C47" i="35"/>
  <c r="C49" i="35"/>
  <c r="C59" i="35"/>
  <c r="C63" i="35"/>
  <c r="C65" i="35"/>
  <c r="C67" i="35"/>
  <c r="C71" i="35"/>
  <c r="C73" i="35"/>
  <c r="C75" i="35"/>
  <c r="C79" i="35"/>
  <c r="C81" i="35"/>
  <c r="C83" i="35"/>
  <c r="C87" i="35"/>
  <c r="C89" i="35"/>
  <c r="C91" i="35"/>
  <c r="C95" i="35"/>
  <c r="C97" i="35"/>
  <c r="C99" i="35"/>
  <c r="C103" i="35"/>
  <c r="C105" i="35"/>
  <c r="C107" i="35"/>
  <c r="C111" i="35"/>
  <c r="C113" i="35"/>
  <c r="C115" i="35"/>
  <c r="C119" i="35"/>
  <c r="C121" i="35"/>
  <c r="C123" i="35"/>
  <c r="C127" i="35"/>
  <c r="C129" i="35"/>
  <c r="C131" i="35"/>
  <c r="C135" i="35"/>
  <c r="C137" i="35"/>
  <c r="C139" i="35"/>
  <c r="C143" i="35"/>
  <c r="C145" i="35"/>
  <c r="C147" i="35"/>
  <c r="C151" i="35"/>
  <c r="C153" i="35"/>
  <c r="C155" i="35"/>
  <c r="C159" i="35"/>
  <c r="C161" i="35"/>
  <c r="C163" i="35"/>
  <c r="C167" i="35"/>
  <c r="C169" i="35"/>
  <c r="C171" i="35"/>
  <c r="C175" i="35"/>
  <c r="C177" i="35"/>
  <c r="C179" i="35"/>
  <c r="C185" i="35"/>
  <c r="C187" i="35"/>
  <c r="C191" i="35"/>
  <c r="C193" i="35"/>
  <c r="C195" i="35"/>
  <c r="C199" i="35"/>
  <c r="C201" i="35"/>
  <c r="C203" i="35"/>
  <c r="C34" i="35"/>
  <c r="E6" i="35"/>
  <c r="C7" i="35"/>
  <c r="E7" i="35" s="1"/>
  <c r="G7" i="35" s="1"/>
  <c r="C7" i="36" s="1"/>
  <c r="E7" i="36" s="1"/>
  <c r="G7" i="36" s="1"/>
  <c r="C7" i="37" s="1"/>
  <c r="E7" i="37" s="1"/>
  <c r="G7" i="37" s="1"/>
  <c r="C7" i="38" s="1"/>
  <c r="E7" i="38" s="1"/>
  <c r="G7" i="38" s="1"/>
  <c r="C8" i="35"/>
  <c r="E8" i="35" s="1"/>
  <c r="G8" i="35" s="1"/>
  <c r="C8" i="36" s="1"/>
  <c r="E8" i="36" s="1"/>
  <c r="G8" i="36" s="1"/>
  <c r="C8" i="37" s="1"/>
  <c r="E8" i="37" s="1"/>
  <c r="G8" i="37" s="1"/>
  <c r="C8" i="38" s="1"/>
  <c r="E8" i="38" s="1"/>
  <c r="G8" i="38" s="1"/>
  <c r="C9" i="35"/>
  <c r="C10" i="35"/>
  <c r="C11" i="35"/>
  <c r="E11" i="35" s="1"/>
  <c r="G11" i="35" s="1"/>
  <c r="C11" i="36" s="1"/>
  <c r="E11" i="36" s="1"/>
  <c r="G11" i="36" s="1"/>
  <c r="C11" i="37" s="1"/>
  <c r="E11" i="37" s="1"/>
  <c r="G11" i="37" s="1"/>
  <c r="C11" i="38" s="1"/>
  <c r="E11" i="38" s="1"/>
  <c r="G11" i="38" s="1"/>
  <c r="C12" i="35"/>
  <c r="C13" i="35"/>
  <c r="C14" i="35"/>
  <c r="E14" i="35" s="1"/>
  <c r="G14" i="35" s="1"/>
  <c r="C14" i="36" s="1"/>
  <c r="E14" i="36" s="1"/>
  <c r="G14" i="36" s="1"/>
  <c r="C14" i="37" s="1"/>
  <c r="E14" i="37" s="1"/>
  <c r="G14" i="37" s="1"/>
  <c r="C14" i="38" s="1"/>
  <c r="E14" i="38" s="1"/>
  <c r="G14" i="38" s="1"/>
  <c r="C15" i="35"/>
  <c r="E15" i="35" s="1"/>
  <c r="G15" i="35" s="1"/>
  <c r="C15" i="36" s="1"/>
  <c r="E15" i="36" s="1"/>
  <c r="G15" i="36" s="1"/>
  <c r="C15" i="37" s="1"/>
  <c r="E15" i="37" s="1"/>
  <c r="G15" i="37" s="1"/>
  <c r="C15" i="38" s="1"/>
  <c r="E15" i="38" s="1"/>
  <c r="G15" i="38" s="1"/>
  <c r="C16" i="35"/>
  <c r="E16" i="35" s="1"/>
  <c r="C17" i="35"/>
  <c r="C18" i="35"/>
  <c r="C19" i="35"/>
  <c r="E19" i="35" s="1"/>
  <c r="G19" i="35" s="1"/>
  <c r="C19" i="36" s="1"/>
  <c r="E19" i="36" s="1"/>
  <c r="G19" i="36" s="1"/>
  <c r="C19" i="37" s="1"/>
  <c r="E19" i="37" s="1"/>
  <c r="G19" i="37" s="1"/>
  <c r="C19" i="38" s="1"/>
  <c r="E19" i="38" s="1"/>
  <c r="G19" i="38" s="1"/>
  <c r="C20" i="35"/>
  <c r="C21" i="35"/>
  <c r="E21" i="35" s="1"/>
  <c r="C22" i="35"/>
  <c r="E22" i="35" s="1"/>
  <c r="G22" i="35" s="1"/>
  <c r="C22" i="36" s="1"/>
  <c r="E22" i="36" s="1"/>
  <c r="G22" i="36" s="1"/>
  <c r="C22" i="37" s="1"/>
  <c r="E22" i="37" s="1"/>
  <c r="G22" i="37" s="1"/>
  <c r="C22" i="38" s="1"/>
  <c r="E22" i="38" s="1"/>
  <c r="G22" i="38" s="1"/>
  <c r="C23" i="35"/>
  <c r="E23" i="35" s="1"/>
  <c r="G23" i="35" s="1"/>
  <c r="C23" i="36" s="1"/>
  <c r="E23" i="36" s="1"/>
  <c r="G23" i="36" s="1"/>
  <c r="C23" i="37" s="1"/>
  <c r="E23" i="37" s="1"/>
  <c r="G23" i="37" s="1"/>
  <c r="C23" i="38" s="1"/>
  <c r="E23" i="38" s="1"/>
  <c r="G23" i="38" s="1"/>
  <c r="C24" i="35"/>
  <c r="C25" i="35"/>
  <c r="E25" i="35" s="1"/>
  <c r="G25" i="35" s="1"/>
  <c r="C25" i="36" s="1"/>
  <c r="E25" i="36" s="1"/>
  <c r="G25" i="36" s="1"/>
  <c r="C25" i="37" s="1"/>
  <c r="E25" i="37" s="1"/>
  <c r="G25" i="37" s="1"/>
  <c r="C25" i="38" s="1"/>
  <c r="E25" i="38" s="1"/>
  <c r="G25" i="38" s="1"/>
  <c r="C26" i="35"/>
  <c r="C27" i="35"/>
  <c r="E27" i="35" s="1"/>
  <c r="G27" i="35" s="1"/>
  <c r="C27" i="36" s="1"/>
  <c r="E27" i="36" s="1"/>
  <c r="G27" i="36" s="1"/>
  <c r="C27" i="37" s="1"/>
  <c r="E27" i="37" s="1"/>
  <c r="G27" i="37" s="1"/>
  <c r="C27" i="38" s="1"/>
  <c r="E27" i="38" s="1"/>
  <c r="G27" i="38" s="1"/>
  <c r="C28" i="35"/>
  <c r="E28" i="35" s="1"/>
  <c r="G28" i="35" s="1"/>
  <c r="C28" i="36" s="1"/>
  <c r="E28" i="36" s="1"/>
  <c r="G28" i="36" s="1"/>
  <c r="C28" i="37" s="1"/>
  <c r="E28" i="37" s="1"/>
  <c r="G28" i="37" s="1"/>
  <c r="C28" i="38" s="1"/>
  <c r="E28" i="38" s="1"/>
  <c r="G28" i="38" s="1"/>
  <c r="C29" i="35"/>
  <c r="C30" i="35"/>
  <c r="E30" i="35" s="1"/>
  <c r="G30" i="35" s="1"/>
  <c r="C30" i="36" s="1"/>
  <c r="E30" i="36" s="1"/>
  <c r="G30" i="36" s="1"/>
  <c r="C30" i="37" s="1"/>
  <c r="E30" i="37" s="1"/>
  <c r="G30" i="37" s="1"/>
  <c r="C30" i="38" s="1"/>
  <c r="E30" i="38" s="1"/>
  <c r="G30" i="38" s="1"/>
  <c r="C31" i="35"/>
  <c r="E31" i="35" s="1"/>
  <c r="G31" i="35" s="1"/>
  <c r="C31" i="36" s="1"/>
  <c r="E31" i="36" s="1"/>
  <c r="G31" i="36" s="1"/>
  <c r="C31" i="37" s="1"/>
  <c r="E31" i="37" s="1"/>
  <c r="G31" i="37" s="1"/>
  <c r="C31" i="38" s="1"/>
  <c r="E31" i="38" s="1"/>
  <c r="G31" i="38" s="1"/>
  <c r="C32" i="35"/>
  <c r="E32" i="35" s="1"/>
  <c r="C33" i="35"/>
  <c r="C36" i="35"/>
  <c r="C37" i="35"/>
  <c r="C38" i="35"/>
  <c r="C40" i="35"/>
  <c r="E40" i="35" s="1"/>
  <c r="C42" i="35"/>
  <c r="E42" i="35" s="1"/>
  <c r="G42" i="35" s="1"/>
  <c r="C42" i="36" s="1"/>
  <c r="E42" i="36" s="1"/>
  <c r="G42" i="36" s="1"/>
  <c r="C42" i="37" s="1"/>
  <c r="E42" i="37" s="1"/>
  <c r="G42" i="37" s="1"/>
  <c r="C42" i="38" s="1"/>
  <c r="E42" i="38" s="1"/>
  <c r="G42" i="38" s="1"/>
  <c r="C44" i="35"/>
  <c r="C45" i="35"/>
  <c r="C46" i="35"/>
  <c r="E46" i="35" s="1"/>
  <c r="G46" i="35" s="1"/>
  <c r="C46" i="36" s="1"/>
  <c r="E46" i="36" s="1"/>
  <c r="G46" i="36" s="1"/>
  <c r="C46" i="37" s="1"/>
  <c r="E46" i="37" s="1"/>
  <c r="G46" i="37" s="1"/>
  <c r="C46" i="38" s="1"/>
  <c r="E46" i="38" s="1"/>
  <c r="G46" i="38" s="1"/>
  <c r="C48" i="35"/>
  <c r="C50" i="35"/>
  <c r="E50" i="35" s="1"/>
  <c r="G50" i="35" s="1"/>
  <c r="C50" i="36" s="1"/>
  <c r="E50" i="36" s="1"/>
  <c r="G50" i="36" s="1"/>
  <c r="C50" i="37" s="1"/>
  <c r="E50" i="37" s="1"/>
  <c r="G50" i="37" s="1"/>
  <c r="C50" i="38" s="1"/>
  <c r="E50" i="38" s="1"/>
  <c r="G50" i="38" s="1"/>
  <c r="C52" i="35"/>
  <c r="C53" i="35"/>
  <c r="C54" i="35"/>
  <c r="C56" i="35"/>
  <c r="E56" i="35" s="1"/>
  <c r="G56" i="35" s="1"/>
  <c r="C56" i="36" s="1"/>
  <c r="E56" i="36" s="1"/>
  <c r="G56" i="36" s="1"/>
  <c r="C56" i="37" s="1"/>
  <c r="E56" i="37" s="1"/>
  <c r="G56" i="37" s="1"/>
  <c r="C56" i="38" s="1"/>
  <c r="E56" i="38" s="1"/>
  <c r="G56" i="38" s="1"/>
  <c r="C60" i="35"/>
  <c r="C61" i="35"/>
  <c r="C62" i="35"/>
  <c r="C64" i="35"/>
  <c r="E64" i="35" s="1"/>
  <c r="G64" i="35" s="1"/>
  <c r="C64" i="36" s="1"/>
  <c r="E64" i="36" s="1"/>
  <c r="G64" i="36" s="1"/>
  <c r="C64" i="37" s="1"/>
  <c r="E64" i="37" s="1"/>
  <c r="G64" i="37" s="1"/>
  <c r="C64" i="38" s="1"/>
  <c r="E64" i="38" s="1"/>
  <c r="G64" i="38" s="1"/>
  <c r="C66" i="35"/>
  <c r="C68" i="35"/>
  <c r="C69" i="35"/>
  <c r="C70" i="35"/>
  <c r="E70" i="35" s="1"/>
  <c r="G70" i="35" s="1"/>
  <c r="C70" i="36" s="1"/>
  <c r="E70" i="36" s="1"/>
  <c r="G70" i="36" s="1"/>
  <c r="C70" i="37" s="1"/>
  <c r="E70" i="37" s="1"/>
  <c r="G70" i="37" s="1"/>
  <c r="C70" i="38" s="1"/>
  <c r="E70" i="38" s="1"/>
  <c r="G70" i="38" s="1"/>
  <c r="C72" i="35"/>
  <c r="C74" i="35"/>
  <c r="C76" i="35"/>
  <c r="C77" i="35"/>
  <c r="C78" i="35"/>
  <c r="E78" i="35" s="1"/>
  <c r="G78" i="35" s="1"/>
  <c r="C78" i="36" s="1"/>
  <c r="E78" i="36" s="1"/>
  <c r="G78" i="36" s="1"/>
  <c r="C78" i="37" s="1"/>
  <c r="E78" i="37" s="1"/>
  <c r="G78" i="37" s="1"/>
  <c r="C78" i="38" s="1"/>
  <c r="E78" i="38" s="1"/>
  <c r="G78" i="38" s="1"/>
  <c r="C80" i="35"/>
  <c r="E80" i="35" s="1"/>
  <c r="G80" i="35" s="1"/>
  <c r="C80" i="36" s="1"/>
  <c r="E80" i="36" s="1"/>
  <c r="G80" i="36" s="1"/>
  <c r="C80" i="37" s="1"/>
  <c r="E80" i="37" s="1"/>
  <c r="G80" i="37" s="1"/>
  <c r="C80" i="38" s="1"/>
  <c r="E80" i="38" s="1"/>
  <c r="G80" i="38" s="1"/>
  <c r="C82" i="35"/>
  <c r="C84" i="35"/>
  <c r="C85" i="35"/>
  <c r="C86" i="35"/>
  <c r="C88" i="35"/>
  <c r="C90" i="35"/>
  <c r="C92" i="35"/>
  <c r="C93" i="35"/>
  <c r="C94" i="35"/>
  <c r="C96" i="35"/>
  <c r="E96" i="35" s="1"/>
  <c r="G96" i="35" s="1"/>
  <c r="C96" i="36" s="1"/>
  <c r="E96" i="36" s="1"/>
  <c r="G96" i="36" s="1"/>
  <c r="C96" i="37" s="1"/>
  <c r="E96" i="37" s="1"/>
  <c r="G96" i="37" s="1"/>
  <c r="C96" i="38" s="1"/>
  <c r="E96" i="38" s="1"/>
  <c r="G96" i="38" s="1"/>
  <c r="C98" i="35"/>
  <c r="E98" i="35" s="1"/>
  <c r="G98" i="35" s="1"/>
  <c r="C98" i="36" s="1"/>
  <c r="E98" i="36" s="1"/>
  <c r="G98" i="36" s="1"/>
  <c r="C98" i="37" s="1"/>
  <c r="E98" i="37" s="1"/>
  <c r="G98" i="37" s="1"/>
  <c r="C98" i="38" s="1"/>
  <c r="E98" i="38" s="1"/>
  <c r="G98" i="38" s="1"/>
  <c r="C100" i="35"/>
  <c r="C101" i="35"/>
  <c r="C102" i="35"/>
  <c r="C104" i="35"/>
  <c r="E104" i="35" s="1"/>
  <c r="G104" i="35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06" i="35"/>
  <c r="C108" i="35"/>
  <c r="C109" i="35"/>
  <c r="C110" i="35"/>
  <c r="C112" i="35"/>
  <c r="E112" i="35" s="1"/>
  <c r="G112" i="35" s="1"/>
  <c r="C112" i="36" s="1"/>
  <c r="E112" i="36" s="1"/>
  <c r="G112" i="36" s="1"/>
  <c r="C112" i="37" s="1"/>
  <c r="E112" i="37" s="1"/>
  <c r="G112" i="37" s="1"/>
  <c r="C112" i="38" s="1"/>
  <c r="E112" i="38" s="1"/>
  <c r="G112" i="38" s="1"/>
  <c r="C114" i="35"/>
  <c r="C116" i="35"/>
  <c r="C117" i="35"/>
  <c r="C118" i="35"/>
  <c r="E118" i="35" s="1"/>
  <c r="G118" i="35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120" i="35"/>
  <c r="E120" i="35" s="1"/>
  <c r="G120" i="35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22" i="35"/>
  <c r="C124" i="35"/>
  <c r="C125" i="35"/>
  <c r="C126" i="35"/>
  <c r="C128" i="35"/>
  <c r="E128" i="35" s="1"/>
  <c r="G128" i="35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30" i="35"/>
  <c r="E130" i="35" s="1"/>
  <c r="G130" i="35" s="1"/>
  <c r="C130" i="36" s="1"/>
  <c r="E130" i="36" s="1"/>
  <c r="G130" i="36" s="1"/>
  <c r="C130" i="37" s="1"/>
  <c r="E130" i="37" s="1"/>
  <c r="G130" i="37" s="1"/>
  <c r="C130" i="38" s="1"/>
  <c r="E130" i="38" s="1"/>
  <c r="G130" i="38" s="1"/>
  <c r="C132" i="35"/>
  <c r="C134" i="35"/>
  <c r="C136" i="35"/>
  <c r="C138" i="35"/>
  <c r="C140" i="35"/>
  <c r="C141" i="35"/>
  <c r="C142" i="35"/>
  <c r="C144" i="35"/>
  <c r="C146" i="35"/>
  <c r="E146" i="35" s="1"/>
  <c r="G146" i="35" s="1"/>
  <c r="C146" i="36" s="1"/>
  <c r="E146" i="36" s="1"/>
  <c r="G146" i="36" s="1"/>
  <c r="C146" i="37" s="1"/>
  <c r="E146" i="37" s="1"/>
  <c r="G146" i="37" s="1"/>
  <c r="C146" i="38" s="1"/>
  <c r="E146" i="38" s="1"/>
  <c r="G146" i="38" s="1"/>
  <c r="C148" i="35"/>
  <c r="C149" i="35"/>
  <c r="C150" i="35"/>
  <c r="C152" i="35"/>
  <c r="E152" i="35" s="1"/>
  <c r="G152" i="35" s="1"/>
  <c r="C152" i="36" s="1"/>
  <c r="E152" i="36" s="1"/>
  <c r="G152" i="36" s="1"/>
  <c r="C152" i="37" s="1"/>
  <c r="E152" i="37" s="1"/>
  <c r="G152" i="37" s="1"/>
  <c r="C152" i="38" s="1"/>
  <c r="E152" i="38" s="1"/>
  <c r="G152" i="38" s="1"/>
  <c r="C154" i="35"/>
  <c r="C156" i="35"/>
  <c r="C157" i="35"/>
  <c r="C158" i="35"/>
  <c r="E158" i="35" s="1"/>
  <c r="G158" i="35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160" i="35"/>
  <c r="E160" i="35" s="1"/>
  <c r="G160" i="35" s="1"/>
  <c r="C160" i="36" s="1"/>
  <c r="E160" i="36" s="1"/>
  <c r="G160" i="36" s="1"/>
  <c r="C160" i="37" s="1"/>
  <c r="E160" i="37" s="1"/>
  <c r="G160" i="37" s="1"/>
  <c r="C160" i="38" s="1"/>
  <c r="E160" i="38" s="1"/>
  <c r="G160" i="38" s="1"/>
  <c r="C162" i="35"/>
  <c r="C164" i="35"/>
  <c r="C165" i="35"/>
  <c r="C166" i="35"/>
  <c r="C168" i="35"/>
  <c r="E168" i="35" s="1"/>
  <c r="G168" i="35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70" i="35"/>
  <c r="C172" i="35"/>
  <c r="C173" i="35"/>
  <c r="C174" i="35"/>
  <c r="C176" i="35"/>
  <c r="E176" i="35" s="1"/>
  <c r="G176" i="35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8" i="35"/>
  <c r="C180" i="35"/>
  <c r="C181" i="35"/>
  <c r="C182" i="35"/>
  <c r="E182" i="35" s="1"/>
  <c r="G182" i="35" s="1"/>
  <c r="C182" i="36" s="1"/>
  <c r="E182" i="36" s="1"/>
  <c r="G182" i="36" s="1"/>
  <c r="C182" i="37" s="1"/>
  <c r="E182" i="37" s="1"/>
  <c r="G182" i="37" s="1"/>
  <c r="C182" i="38" s="1"/>
  <c r="E182" i="38" s="1"/>
  <c r="G182" i="38" s="1"/>
  <c r="C184" i="35"/>
  <c r="E184" i="35" s="1"/>
  <c r="G184" i="35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86" i="35"/>
  <c r="C188" i="35"/>
  <c r="C189" i="35"/>
  <c r="C190" i="35"/>
  <c r="C192" i="35"/>
  <c r="E192" i="35" s="1"/>
  <c r="G192" i="35" s="1"/>
  <c r="C192" i="36" s="1"/>
  <c r="E192" i="36" s="1"/>
  <c r="G192" i="36" s="1"/>
  <c r="C192" i="37" s="1"/>
  <c r="E192" i="37" s="1"/>
  <c r="G192" i="37" s="1"/>
  <c r="C192" i="38" s="1"/>
  <c r="E192" i="38" s="1"/>
  <c r="G192" i="38" s="1"/>
  <c r="C194" i="35"/>
  <c r="C196" i="35"/>
  <c r="C197" i="35"/>
  <c r="C198" i="35"/>
  <c r="C200" i="35"/>
  <c r="E200" i="35" s="1"/>
  <c r="G200" i="35" s="1"/>
  <c r="C200" i="36" s="1"/>
  <c r="E200" i="36" s="1"/>
  <c r="G200" i="36" s="1"/>
  <c r="C200" i="37" s="1"/>
  <c r="E200" i="37" s="1"/>
  <c r="G200" i="37" s="1"/>
  <c r="C200" i="38" s="1"/>
  <c r="E200" i="38" s="1"/>
  <c r="G200" i="38" s="1"/>
  <c r="C202" i="35"/>
  <c r="C205" i="35"/>
  <c r="C5" i="35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5" i="65" s="1"/>
  <c r="E5" i="65" s="1"/>
  <c r="G5" i="65" s="1"/>
  <c r="J203" i="16"/>
  <c r="J202" i="16"/>
  <c r="J200" i="16"/>
  <c r="M196" i="35"/>
  <c r="J194" i="16"/>
  <c r="J187" i="16"/>
  <c r="J186" i="16"/>
  <c r="J176" i="16"/>
  <c r="J171" i="16"/>
  <c r="J160" i="16"/>
  <c r="J146" i="16"/>
  <c r="M142" i="35"/>
  <c r="J142" i="16"/>
  <c r="J123" i="16"/>
  <c r="J122" i="16"/>
  <c r="M120" i="35"/>
  <c r="J120" i="16"/>
  <c r="J110" i="16"/>
  <c r="Z105" i="35"/>
  <c r="X104" i="35"/>
  <c r="Q104" i="35"/>
  <c r="S104" i="35" s="1"/>
  <c r="U104" i="35" s="1"/>
  <c r="X103" i="35"/>
  <c r="Q103" i="35"/>
  <c r="S103" i="35" s="1"/>
  <c r="U103" i="35" s="1"/>
  <c r="X102" i="35"/>
  <c r="Q102" i="35"/>
  <c r="S102" i="35" s="1"/>
  <c r="U102" i="35" s="1"/>
  <c r="X101" i="35"/>
  <c r="Q101" i="35"/>
  <c r="S101" i="35" s="1"/>
  <c r="U101" i="35" s="1"/>
  <c r="X100" i="35"/>
  <c r="Q100" i="35"/>
  <c r="S100" i="35" s="1"/>
  <c r="U100" i="35" s="1"/>
  <c r="M100" i="35"/>
  <c r="J100" i="16"/>
  <c r="X99" i="35"/>
  <c r="Q99" i="35"/>
  <c r="S99" i="35" s="1"/>
  <c r="U99" i="35" s="1"/>
  <c r="X98" i="35"/>
  <c r="Q98" i="35"/>
  <c r="S98" i="35" s="1"/>
  <c r="U98" i="35" s="1"/>
  <c r="X97" i="35"/>
  <c r="Q97" i="35"/>
  <c r="S97" i="35" s="1"/>
  <c r="U97" i="35" s="1"/>
  <c r="J97" i="16"/>
  <c r="X96" i="35"/>
  <c r="Q96" i="35"/>
  <c r="S96" i="35" s="1"/>
  <c r="U96" i="35" s="1"/>
  <c r="X95" i="35"/>
  <c r="Q95" i="35"/>
  <c r="S95" i="35" s="1"/>
  <c r="U95" i="35" s="1"/>
  <c r="X94" i="35"/>
  <c r="Q94" i="35"/>
  <c r="S94" i="35" s="1"/>
  <c r="U94" i="35" s="1"/>
  <c r="X93" i="35"/>
  <c r="Q93" i="35"/>
  <c r="S93" i="35" s="1"/>
  <c r="U93" i="35" s="1"/>
  <c r="X92" i="35"/>
  <c r="Q92" i="35"/>
  <c r="S92" i="35" s="1"/>
  <c r="U92" i="35" s="1"/>
  <c r="X91" i="35"/>
  <c r="Q91" i="35"/>
  <c r="S91" i="35" s="1"/>
  <c r="U91" i="35" s="1"/>
  <c r="X90" i="35"/>
  <c r="Q90" i="35"/>
  <c r="S90" i="35" s="1"/>
  <c r="U90" i="35" s="1"/>
  <c r="X89" i="35"/>
  <c r="Q89" i="35"/>
  <c r="S89" i="35" s="1"/>
  <c r="U89" i="35" s="1"/>
  <c r="X88" i="35"/>
  <c r="Q88" i="35"/>
  <c r="S88" i="35" s="1"/>
  <c r="U88" i="35" s="1"/>
  <c r="X87" i="35"/>
  <c r="Q87" i="35"/>
  <c r="S87" i="35" s="1"/>
  <c r="U87" i="35" s="1"/>
  <c r="X86" i="35"/>
  <c r="Q86" i="35"/>
  <c r="S86" i="35" s="1"/>
  <c r="U86" i="35" s="1"/>
  <c r="X85" i="35"/>
  <c r="Q85" i="35"/>
  <c r="S85" i="35" s="1"/>
  <c r="U85" i="35" s="1"/>
  <c r="J85" i="16"/>
  <c r="X84" i="35"/>
  <c r="Q84" i="35"/>
  <c r="S84" i="35" s="1"/>
  <c r="U84" i="35" s="1"/>
  <c r="J84" i="16"/>
  <c r="X83" i="35"/>
  <c r="Q83" i="35"/>
  <c r="S83" i="35" s="1"/>
  <c r="U83" i="35" s="1"/>
  <c r="X82" i="35"/>
  <c r="Q82" i="35"/>
  <c r="S82" i="35" s="1"/>
  <c r="U82" i="35" s="1"/>
  <c r="J82" i="16"/>
  <c r="X81" i="35"/>
  <c r="Q81" i="35"/>
  <c r="S81" i="35" s="1"/>
  <c r="U81" i="35" s="1"/>
  <c r="X80" i="35"/>
  <c r="Q80" i="35"/>
  <c r="S80" i="35" s="1"/>
  <c r="U80" i="35" s="1"/>
  <c r="X79" i="35"/>
  <c r="Q79" i="35"/>
  <c r="S79" i="35" s="1"/>
  <c r="U79" i="35" s="1"/>
  <c r="X78" i="35"/>
  <c r="Q78" i="35"/>
  <c r="S78" i="35" s="1"/>
  <c r="U78" i="35" s="1"/>
  <c r="X77" i="35"/>
  <c r="Q77" i="35"/>
  <c r="S77" i="35" s="1"/>
  <c r="U77" i="35" s="1"/>
  <c r="J77" i="16"/>
  <c r="X76" i="35"/>
  <c r="Q76" i="35"/>
  <c r="S76" i="35" s="1"/>
  <c r="U76" i="35" s="1"/>
  <c r="J76" i="16"/>
  <c r="X75" i="35"/>
  <c r="Q75" i="35"/>
  <c r="S75" i="35" s="1"/>
  <c r="U75" i="35" s="1"/>
  <c r="X74" i="35"/>
  <c r="Q74" i="35"/>
  <c r="S74" i="35" s="1"/>
  <c r="U74" i="35" s="1"/>
  <c r="X73" i="35"/>
  <c r="Q73" i="35"/>
  <c r="S73" i="35" s="1"/>
  <c r="U73" i="35" s="1"/>
  <c r="X72" i="35"/>
  <c r="Q72" i="35"/>
  <c r="S72" i="35" s="1"/>
  <c r="U72" i="35" s="1"/>
  <c r="J72" i="16"/>
  <c r="X71" i="35"/>
  <c r="Q71" i="35"/>
  <c r="S71" i="35" s="1"/>
  <c r="U71" i="35" s="1"/>
  <c r="X70" i="35"/>
  <c r="Q70" i="35"/>
  <c r="S70" i="35" s="1"/>
  <c r="U70" i="35" s="1"/>
  <c r="X69" i="35"/>
  <c r="Q69" i="35"/>
  <c r="S69" i="35" s="1"/>
  <c r="U69" i="35" s="1"/>
  <c r="X68" i="35"/>
  <c r="Q68" i="35"/>
  <c r="S68" i="35" s="1"/>
  <c r="U68" i="35" s="1"/>
  <c r="X67" i="35"/>
  <c r="Q67" i="35"/>
  <c r="S67" i="35" s="1"/>
  <c r="U67" i="35" s="1"/>
  <c r="X66" i="35"/>
  <c r="Q66" i="35"/>
  <c r="S66" i="35" s="1"/>
  <c r="U66" i="35" s="1"/>
  <c r="X65" i="35"/>
  <c r="Q65" i="35"/>
  <c r="S65" i="35" s="1"/>
  <c r="U65" i="35" s="1"/>
  <c r="J65" i="16"/>
  <c r="X64" i="35"/>
  <c r="Q64" i="35"/>
  <c r="S64" i="35" s="1"/>
  <c r="U64" i="35" s="1"/>
  <c r="X63" i="35"/>
  <c r="Q63" i="35"/>
  <c r="S63" i="35" s="1"/>
  <c r="U63" i="35" s="1"/>
  <c r="X62" i="35"/>
  <c r="Q62" i="35"/>
  <c r="S62" i="35" s="1"/>
  <c r="U62" i="35" s="1"/>
  <c r="X61" i="35"/>
  <c r="Q61" i="35"/>
  <c r="S61" i="35" s="1"/>
  <c r="U61" i="35" s="1"/>
  <c r="X60" i="35"/>
  <c r="Q60" i="35"/>
  <c r="S60" i="35" s="1"/>
  <c r="U60" i="35" s="1"/>
  <c r="J60" i="16"/>
  <c r="X59" i="35"/>
  <c r="Q59" i="35"/>
  <c r="S59" i="35" s="1"/>
  <c r="U59" i="35" s="1"/>
  <c r="X58" i="35"/>
  <c r="Q58" i="35"/>
  <c r="S58" i="35" s="1"/>
  <c r="U58" i="35" s="1"/>
  <c r="X57" i="35"/>
  <c r="Q57" i="35"/>
  <c r="S57" i="35" s="1"/>
  <c r="U57" i="35" s="1"/>
  <c r="X56" i="35"/>
  <c r="Q56" i="35"/>
  <c r="S56" i="35" s="1"/>
  <c r="U56" i="35" s="1"/>
  <c r="J56" i="16"/>
  <c r="X55" i="35"/>
  <c r="Q55" i="35"/>
  <c r="S55" i="35" s="1"/>
  <c r="U55" i="35" s="1"/>
  <c r="X54" i="35"/>
  <c r="Q54" i="35"/>
  <c r="S54" i="35" s="1"/>
  <c r="U54" i="35" s="1"/>
  <c r="X53" i="35"/>
  <c r="Q53" i="35"/>
  <c r="S53" i="35" s="1"/>
  <c r="U53" i="35" s="1"/>
  <c r="X52" i="35"/>
  <c r="Q52" i="35"/>
  <c r="S52" i="35" s="1"/>
  <c r="U52" i="35" s="1"/>
  <c r="X51" i="35"/>
  <c r="Q51" i="35"/>
  <c r="S51" i="35" s="1"/>
  <c r="U51" i="35" s="1"/>
  <c r="X50" i="35"/>
  <c r="Q50" i="35"/>
  <c r="S50" i="35" s="1"/>
  <c r="U50" i="35" s="1"/>
  <c r="X49" i="35"/>
  <c r="Q49" i="35"/>
  <c r="S49" i="35" s="1"/>
  <c r="U49" i="35" s="1"/>
  <c r="X48" i="35"/>
  <c r="Q48" i="35"/>
  <c r="S48" i="35" s="1"/>
  <c r="U48" i="35" s="1"/>
  <c r="X47" i="35"/>
  <c r="Q47" i="35"/>
  <c r="S47" i="35" s="1"/>
  <c r="U47" i="35" s="1"/>
  <c r="X46" i="35"/>
  <c r="Q46" i="35"/>
  <c r="S46" i="35" s="1"/>
  <c r="U46" i="35" s="1"/>
  <c r="X45" i="35"/>
  <c r="Q45" i="35"/>
  <c r="S45" i="35" s="1"/>
  <c r="U45" i="35" s="1"/>
  <c r="X44" i="35"/>
  <c r="Q44" i="35"/>
  <c r="S44" i="35" s="1"/>
  <c r="U44" i="35" s="1"/>
  <c r="X43" i="35"/>
  <c r="Q43" i="35"/>
  <c r="S43" i="35" s="1"/>
  <c r="U43" i="35" s="1"/>
  <c r="X42" i="35"/>
  <c r="Q42" i="35"/>
  <c r="S42" i="35" s="1"/>
  <c r="U42" i="35" s="1"/>
  <c r="X41" i="35"/>
  <c r="Q41" i="35"/>
  <c r="S41" i="35" s="1"/>
  <c r="U41" i="35" s="1"/>
  <c r="X40" i="35"/>
  <c r="Q40" i="35"/>
  <c r="S40" i="35" s="1"/>
  <c r="U40" i="35" s="1"/>
  <c r="G40" i="35"/>
  <c r="C40" i="36" s="1"/>
  <c r="E40" i="36" s="1"/>
  <c r="G40" i="36" s="1"/>
  <c r="C40" i="37" s="1"/>
  <c r="E40" i="37" s="1"/>
  <c r="G40" i="37" s="1"/>
  <c r="C40" i="38" s="1"/>
  <c r="E40" i="38" s="1"/>
  <c r="G40" i="38" s="1"/>
  <c r="X39" i="35"/>
  <c r="Q39" i="35"/>
  <c r="S39" i="35" s="1"/>
  <c r="U39" i="35" s="1"/>
  <c r="X38" i="35"/>
  <c r="Q38" i="35"/>
  <c r="S38" i="35" s="1"/>
  <c r="U38" i="35" s="1"/>
  <c r="X37" i="35"/>
  <c r="Q37" i="35"/>
  <c r="S37" i="35" s="1"/>
  <c r="U37" i="35" s="1"/>
  <c r="X36" i="35"/>
  <c r="Q36" i="35"/>
  <c r="S36" i="35" s="1"/>
  <c r="U36" i="35" s="1"/>
  <c r="J36" i="16"/>
  <c r="X35" i="35"/>
  <c r="Q35" i="35"/>
  <c r="S35" i="35" s="1"/>
  <c r="U35" i="35" s="1"/>
  <c r="X34" i="35"/>
  <c r="Q34" i="35"/>
  <c r="S34" i="35" s="1"/>
  <c r="U34" i="35" s="1"/>
  <c r="X33" i="35"/>
  <c r="Q33" i="35"/>
  <c r="S33" i="35" s="1"/>
  <c r="U33" i="35" s="1"/>
  <c r="X32" i="35"/>
  <c r="Q32" i="35"/>
  <c r="S32" i="35" s="1"/>
  <c r="U32" i="35" s="1"/>
  <c r="G32" i="35"/>
  <c r="C32" i="36" s="1"/>
  <c r="E32" i="36" s="1"/>
  <c r="G32" i="36" s="1"/>
  <c r="C32" i="37" s="1"/>
  <c r="E32" i="37" s="1"/>
  <c r="G32" i="37" s="1"/>
  <c r="C32" i="38" s="1"/>
  <c r="E32" i="38" s="1"/>
  <c r="G32" i="38" s="1"/>
  <c r="X31" i="35"/>
  <c r="Q31" i="35"/>
  <c r="S31" i="35" s="1"/>
  <c r="U31" i="35" s="1"/>
  <c r="X30" i="35"/>
  <c r="Q30" i="35"/>
  <c r="S30" i="35" s="1"/>
  <c r="U30" i="35" s="1"/>
  <c r="X29" i="35"/>
  <c r="Q29" i="35"/>
  <c r="S29" i="35" s="1"/>
  <c r="U29" i="35" s="1"/>
  <c r="M29" i="35"/>
  <c r="X28" i="35"/>
  <c r="Q28" i="35"/>
  <c r="S28" i="35" s="1"/>
  <c r="U28" i="35" s="1"/>
  <c r="X27" i="35"/>
  <c r="Q27" i="35"/>
  <c r="S27" i="35" s="1"/>
  <c r="U27" i="35" s="1"/>
  <c r="X26" i="35"/>
  <c r="Q26" i="35"/>
  <c r="S26" i="35" s="1"/>
  <c r="U26" i="35" s="1"/>
  <c r="X25" i="35"/>
  <c r="Q25" i="35"/>
  <c r="S25" i="35" s="1"/>
  <c r="U25" i="35" s="1"/>
  <c r="X24" i="35"/>
  <c r="Q24" i="35"/>
  <c r="S24" i="35" s="1"/>
  <c r="U24" i="35" s="1"/>
  <c r="X23" i="35"/>
  <c r="Q23" i="35"/>
  <c r="S23" i="35" s="1"/>
  <c r="U23" i="35" s="1"/>
  <c r="X22" i="35"/>
  <c r="Q22" i="35"/>
  <c r="S22" i="35" s="1"/>
  <c r="U22" i="35" s="1"/>
  <c r="X21" i="35"/>
  <c r="Q21" i="35"/>
  <c r="S21" i="35" s="1"/>
  <c r="U21" i="35" s="1"/>
  <c r="J21" i="16"/>
  <c r="G21" i="35"/>
  <c r="C21" i="36" s="1"/>
  <c r="E21" i="36" s="1"/>
  <c r="G21" i="36" s="1"/>
  <c r="C21" i="37" s="1"/>
  <c r="E21" i="37" s="1"/>
  <c r="G21" i="37" s="1"/>
  <c r="C21" i="38" s="1"/>
  <c r="E21" i="38" s="1"/>
  <c r="G21" i="38" s="1"/>
  <c r="X20" i="35"/>
  <c r="Q20" i="35"/>
  <c r="S20" i="35" s="1"/>
  <c r="U20" i="35" s="1"/>
  <c r="X19" i="35"/>
  <c r="Q19" i="35"/>
  <c r="S19" i="35" s="1"/>
  <c r="U19" i="35" s="1"/>
  <c r="X18" i="35"/>
  <c r="Q18" i="35"/>
  <c r="S18" i="35" s="1"/>
  <c r="U18" i="35" s="1"/>
  <c r="X17" i="35"/>
  <c r="Q17" i="35"/>
  <c r="S17" i="35" s="1"/>
  <c r="U17" i="35" s="1"/>
  <c r="X16" i="35"/>
  <c r="Q16" i="35"/>
  <c r="S16" i="35" s="1"/>
  <c r="U16" i="35" s="1"/>
  <c r="G16" i="35"/>
  <c r="C16" i="36" s="1"/>
  <c r="E16" i="36" s="1"/>
  <c r="G16" i="36" s="1"/>
  <c r="C16" i="37" s="1"/>
  <c r="E16" i="37" s="1"/>
  <c r="G16" i="37" s="1"/>
  <c r="C16" i="38" s="1"/>
  <c r="E16" i="38" s="1"/>
  <c r="G16" i="38" s="1"/>
  <c r="X15" i="35"/>
  <c r="Q15" i="35"/>
  <c r="S15" i="35" s="1"/>
  <c r="U15" i="35" s="1"/>
  <c r="X14" i="35"/>
  <c r="Q14" i="35"/>
  <c r="S14" i="35" s="1"/>
  <c r="U14" i="35" s="1"/>
  <c r="X13" i="35"/>
  <c r="Q13" i="35"/>
  <c r="S13" i="35" s="1"/>
  <c r="U13" i="35" s="1"/>
  <c r="X12" i="35"/>
  <c r="Q12" i="35"/>
  <c r="S12" i="35" s="1"/>
  <c r="U12" i="35" s="1"/>
  <c r="X11" i="35"/>
  <c r="Q11" i="35"/>
  <c r="S11" i="35" s="1"/>
  <c r="U11" i="35" s="1"/>
  <c r="J11" i="16"/>
  <c r="X10" i="35"/>
  <c r="Q10" i="35"/>
  <c r="S10" i="35" s="1"/>
  <c r="U10" i="35" s="1"/>
  <c r="X9" i="35"/>
  <c r="Q9" i="35"/>
  <c r="S9" i="35" s="1"/>
  <c r="U9" i="35" s="1"/>
  <c r="X8" i="35"/>
  <c r="Q8" i="35"/>
  <c r="S8" i="35" s="1"/>
  <c r="U8" i="35" s="1"/>
  <c r="J8" i="16"/>
  <c r="X7" i="35"/>
  <c r="Q7" i="35"/>
  <c r="S7" i="35" s="1"/>
  <c r="U7" i="35" s="1"/>
  <c r="X6" i="35"/>
  <c r="Q6" i="35"/>
  <c r="S6" i="35" s="1"/>
  <c r="U6" i="35" s="1"/>
  <c r="G6" i="35"/>
  <c r="C6" i="36" s="1"/>
  <c r="E6" i="36" s="1"/>
  <c r="G6" i="36" s="1"/>
  <c r="C6" i="37" s="1"/>
  <c r="E6" i="37" s="1"/>
  <c r="G6" i="37" s="1"/>
  <c r="C6" i="38" s="1"/>
  <c r="E6" i="38" s="1"/>
  <c r="G6" i="38" s="1"/>
  <c r="X5" i="35"/>
  <c r="Q5" i="35"/>
  <c r="S5" i="35" s="1"/>
  <c r="U5" i="35" s="1"/>
  <c r="J5" i="35"/>
  <c r="J188" i="16" l="1"/>
  <c r="J5" i="16"/>
  <c r="K216" i="35"/>
  <c r="K222" i="35" s="1"/>
  <c r="K225" i="35" s="1"/>
  <c r="J54" i="16"/>
  <c r="J57" i="16"/>
  <c r="J144" i="16"/>
  <c r="J180" i="16"/>
  <c r="J166" i="16"/>
  <c r="J190" i="16"/>
  <c r="J104" i="16"/>
  <c r="J80" i="16"/>
  <c r="J136" i="16"/>
  <c r="K222" i="38"/>
  <c r="M8" i="16"/>
  <c r="K216" i="36"/>
  <c r="J24" i="16"/>
  <c r="J174" i="16"/>
  <c r="J196" i="16"/>
  <c r="J215" i="16"/>
  <c r="J213" i="16"/>
  <c r="C211" i="43"/>
  <c r="E211" i="43" s="1"/>
  <c r="G211" i="43" s="1"/>
  <c r="C211" i="44" s="1"/>
  <c r="E211" i="44" s="1"/>
  <c r="G211" i="44" s="1"/>
  <c r="C211" i="45" s="1"/>
  <c r="E211" i="45" s="1"/>
  <c r="G211" i="45" s="1"/>
  <c r="C211" i="46" s="1"/>
  <c r="E211" i="46" s="1"/>
  <c r="G211" i="46" s="1"/>
  <c r="C211" i="47" s="1"/>
  <c r="E211" i="47" s="1"/>
  <c r="G211" i="47" s="1"/>
  <c r="C211" i="48" s="1"/>
  <c r="E211" i="48" s="1"/>
  <c r="G211" i="48" s="1"/>
  <c r="C211" i="49" s="1"/>
  <c r="E211" i="49" s="1"/>
  <c r="G211" i="49" s="1"/>
  <c r="C211" i="50" s="1"/>
  <c r="E211" i="50" s="1"/>
  <c r="C210" i="43"/>
  <c r="E210" i="43" s="1"/>
  <c r="G210" i="43" s="1"/>
  <c r="C210" i="44" s="1"/>
  <c r="E210" i="44" s="1"/>
  <c r="G210" i="44" s="1"/>
  <c r="C210" i="45" s="1"/>
  <c r="E210" i="45" s="1"/>
  <c r="G210" i="45" s="1"/>
  <c r="C210" i="46" s="1"/>
  <c r="E210" i="46" s="1"/>
  <c r="G210" i="46" s="1"/>
  <c r="C210" i="47" s="1"/>
  <c r="E210" i="47" s="1"/>
  <c r="G210" i="47" s="1"/>
  <c r="C210" i="48" s="1"/>
  <c r="E210" i="48" s="1"/>
  <c r="G210" i="48" s="1"/>
  <c r="C210" i="49" s="1"/>
  <c r="E210" i="49" s="1"/>
  <c r="G210" i="49" s="1"/>
  <c r="C210" i="50" s="1"/>
  <c r="E210" i="50" s="1"/>
  <c r="K222" i="41"/>
  <c r="K225" i="41" s="1"/>
  <c r="K222" i="40"/>
  <c r="K224" i="40" s="1"/>
  <c r="K227" i="40" s="1"/>
  <c r="J178" i="16"/>
  <c r="K216" i="37"/>
  <c r="M7" i="16" s="1"/>
  <c r="K222" i="39"/>
  <c r="K225" i="38"/>
  <c r="K224" i="38"/>
  <c r="K227" i="38" s="1"/>
  <c r="J179" i="16"/>
  <c r="J44" i="16"/>
  <c r="M85" i="35"/>
  <c r="M80" i="35"/>
  <c r="M11" i="35"/>
  <c r="M44" i="35"/>
  <c r="M54" i="35"/>
  <c r="M171" i="35"/>
  <c r="M178" i="35"/>
  <c r="M180" i="35"/>
  <c r="M200" i="35"/>
  <c r="M36" i="35"/>
  <c r="M60" i="35"/>
  <c r="M84" i="35"/>
  <c r="M104" i="35"/>
  <c r="M144" i="35"/>
  <c r="M110" i="35"/>
  <c r="M160" i="35"/>
  <c r="M72" i="35"/>
  <c r="M146" i="35"/>
  <c r="M174" i="35"/>
  <c r="M179" i="35"/>
  <c r="X107" i="35"/>
  <c r="M76" i="35"/>
  <c r="M57" i="35"/>
  <c r="M65" i="35"/>
  <c r="M136" i="35"/>
  <c r="M176" i="35"/>
  <c r="M194" i="35"/>
  <c r="K225" i="33"/>
  <c r="K224" i="33"/>
  <c r="E89" i="35"/>
  <c r="G89" i="35" s="1"/>
  <c r="C89" i="36" s="1"/>
  <c r="E89" i="36" s="1"/>
  <c r="G89" i="36" s="1"/>
  <c r="C89" i="37" s="1"/>
  <c r="E89" i="37" s="1"/>
  <c r="G89" i="37" s="1"/>
  <c r="C89" i="38" s="1"/>
  <c r="E89" i="38" s="1"/>
  <c r="G89" i="38" s="1"/>
  <c r="C89" i="39" s="1"/>
  <c r="E89" i="39" s="1"/>
  <c r="G89" i="39" s="1"/>
  <c r="E193" i="35"/>
  <c r="G193" i="35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193" i="39" s="1"/>
  <c r="E193" i="39" s="1"/>
  <c r="G193" i="39" s="1"/>
  <c r="E87" i="35"/>
  <c r="G87" i="35" s="1"/>
  <c r="C87" i="36" s="1"/>
  <c r="E87" i="36" s="1"/>
  <c r="G87" i="36" s="1"/>
  <c r="C87" i="37" s="1"/>
  <c r="E87" i="37" s="1"/>
  <c r="G87" i="37" s="1"/>
  <c r="C87" i="38" s="1"/>
  <c r="E87" i="38" s="1"/>
  <c r="G87" i="38" s="1"/>
  <c r="C87" i="39" s="1"/>
  <c r="E87" i="39" s="1"/>
  <c r="G87" i="39" s="1"/>
  <c r="E43" i="35"/>
  <c r="G43" i="35" s="1"/>
  <c r="C43" i="36" s="1"/>
  <c r="E43" i="36" s="1"/>
  <c r="G43" i="36" s="1"/>
  <c r="C43" i="37" s="1"/>
  <c r="E43" i="37" s="1"/>
  <c r="G43" i="37" s="1"/>
  <c r="C43" i="38" s="1"/>
  <c r="E43" i="38" s="1"/>
  <c r="G43" i="38" s="1"/>
  <c r="C43" i="39" s="1"/>
  <c r="E43" i="39" s="1"/>
  <c r="G43" i="39" s="1"/>
  <c r="E53" i="35"/>
  <c r="G53" i="35" s="1"/>
  <c r="C53" i="36" s="1"/>
  <c r="E53" i="36" s="1"/>
  <c r="G53" i="36" s="1"/>
  <c r="C53" i="37" s="1"/>
  <c r="E53" i="37" s="1"/>
  <c r="G53" i="37" s="1"/>
  <c r="C53" i="38" s="1"/>
  <c r="E53" i="38" s="1"/>
  <c r="G53" i="38" s="1"/>
  <c r="C53" i="39" s="1"/>
  <c r="E53" i="39" s="1"/>
  <c r="G53" i="39" s="1"/>
  <c r="E29" i="35"/>
  <c r="G29" i="35" s="1"/>
  <c r="C29" i="36" s="1"/>
  <c r="E29" i="36" s="1"/>
  <c r="G29" i="36" s="1"/>
  <c r="C29" i="37" s="1"/>
  <c r="E29" i="37" s="1"/>
  <c r="E34" i="35"/>
  <c r="G34" i="35" s="1"/>
  <c r="C34" i="36" s="1"/>
  <c r="E34" i="36" s="1"/>
  <c r="G34" i="36" s="1"/>
  <c r="C34" i="37" s="1"/>
  <c r="E34" i="37" s="1"/>
  <c r="G34" i="37" s="1"/>
  <c r="C34" i="38" s="1"/>
  <c r="E34" i="38" s="1"/>
  <c r="G34" i="38" s="1"/>
  <c r="C34" i="39" s="1"/>
  <c r="E34" i="39" s="1"/>
  <c r="G34" i="39" s="1"/>
  <c r="E44" i="35"/>
  <c r="G44" i="35" s="1"/>
  <c r="C44" i="36" s="1"/>
  <c r="E44" i="36" s="1"/>
  <c r="G44" i="36" s="1"/>
  <c r="C44" i="37" s="1"/>
  <c r="E44" i="37" s="1"/>
  <c r="G44" i="37" s="1"/>
  <c r="C44" i="38" s="1"/>
  <c r="E44" i="38" s="1"/>
  <c r="G44" i="38" s="1"/>
  <c r="C44" i="39" s="1"/>
  <c r="E44" i="39" s="1"/>
  <c r="G44" i="39" s="1"/>
  <c r="E92" i="35"/>
  <c r="G92" i="35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E92" i="39" s="1"/>
  <c r="G92" i="39" s="1"/>
  <c r="E66" i="35"/>
  <c r="G66" i="35" s="1"/>
  <c r="C66" i="36" s="1"/>
  <c r="E66" i="36" s="1"/>
  <c r="G66" i="36" s="1"/>
  <c r="C66" i="37" s="1"/>
  <c r="E66" i="37" s="1"/>
  <c r="G66" i="37" s="1"/>
  <c r="C66" i="38" s="1"/>
  <c r="E66" i="38" s="1"/>
  <c r="G66" i="38" s="1"/>
  <c r="C66" i="39" s="1"/>
  <c r="E66" i="39" s="1"/>
  <c r="G66" i="39" s="1"/>
  <c r="E38" i="35"/>
  <c r="G38" i="35" s="1"/>
  <c r="C38" i="36" s="1"/>
  <c r="E38" i="36" s="1"/>
  <c r="G38" i="36" s="1"/>
  <c r="C38" i="37" s="1"/>
  <c r="E38" i="37" s="1"/>
  <c r="G38" i="37" s="1"/>
  <c r="C38" i="38" s="1"/>
  <c r="E38" i="38" s="1"/>
  <c r="G38" i="38" s="1"/>
  <c r="C38" i="39" s="1"/>
  <c r="E38" i="39" s="1"/>
  <c r="G38" i="39" s="1"/>
  <c r="E20" i="35"/>
  <c r="G20" i="35" s="1"/>
  <c r="C20" i="36" s="1"/>
  <c r="E20" i="36" s="1"/>
  <c r="G20" i="36" s="1"/>
  <c r="C20" i="37" s="1"/>
  <c r="E20" i="37" s="1"/>
  <c r="G20" i="37" s="1"/>
  <c r="C20" i="38" s="1"/>
  <c r="E20" i="38" s="1"/>
  <c r="G20" i="38" s="1"/>
  <c r="C20" i="39" s="1"/>
  <c r="E20" i="39" s="1"/>
  <c r="G20" i="39" s="1"/>
  <c r="E81" i="35"/>
  <c r="G81" i="35" s="1"/>
  <c r="C81" i="36" s="1"/>
  <c r="E81" i="36" s="1"/>
  <c r="G81" i="36" s="1"/>
  <c r="C81" i="37" s="1"/>
  <c r="E81" i="37" s="1"/>
  <c r="G81" i="37" s="1"/>
  <c r="C81" i="38" s="1"/>
  <c r="E81" i="38" s="1"/>
  <c r="G81" i="38" s="1"/>
  <c r="C81" i="39" s="1"/>
  <c r="E81" i="39" s="1"/>
  <c r="G81" i="39" s="1"/>
  <c r="E39" i="35"/>
  <c r="G39" i="35" s="1"/>
  <c r="C39" i="36" s="1"/>
  <c r="E39" i="36" s="1"/>
  <c r="G39" i="36" s="1"/>
  <c r="C39" i="37" s="1"/>
  <c r="E39" i="37" s="1"/>
  <c r="G39" i="37" s="1"/>
  <c r="C39" i="38" s="1"/>
  <c r="E39" i="38" s="1"/>
  <c r="G39" i="38" s="1"/>
  <c r="C39" i="39" s="1"/>
  <c r="E39" i="39" s="1"/>
  <c r="G39" i="39" s="1"/>
  <c r="E77" i="35"/>
  <c r="G77" i="35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E37" i="35"/>
  <c r="G37" i="35" s="1"/>
  <c r="C37" i="36" s="1"/>
  <c r="E37" i="36" s="1"/>
  <c r="G37" i="36" s="1"/>
  <c r="C37" i="37" s="1"/>
  <c r="E37" i="37" s="1"/>
  <c r="G37" i="37" s="1"/>
  <c r="C37" i="38" s="1"/>
  <c r="E37" i="38" s="1"/>
  <c r="G37" i="38" s="1"/>
  <c r="C37" i="39" s="1"/>
  <c r="E37" i="39" s="1"/>
  <c r="G37" i="39" s="1"/>
  <c r="E163" i="35"/>
  <c r="G163" i="35" s="1"/>
  <c r="C163" i="36" s="1"/>
  <c r="E163" i="36" s="1"/>
  <c r="G163" i="36" s="1"/>
  <c r="C163" i="37" s="1"/>
  <c r="E163" i="37" s="1"/>
  <c r="G163" i="37" s="1"/>
  <c r="C163" i="38" s="1"/>
  <c r="E163" i="38" s="1"/>
  <c r="G163" i="38" s="1"/>
  <c r="C163" i="39" s="1"/>
  <c r="E163" i="39" s="1"/>
  <c r="G163" i="39" s="1"/>
  <c r="E79" i="35"/>
  <c r="G79" i="35" s="1"/>
  <c r="C79" i="36" s="1"/>
  <c r="E79" i="36" s="1"/>
  <c r="G79" i="36" s="1"/>
  <c r="C79" i="37" s="1"/>
  <c r="E79" i="37" s="1"/>
  <c r="G79" i="37" s="1"/>
  <c r="C79" i="38" s="1"/>
  <c r="E79" i="38" s="1"/>
  <c r="G79" i="38" s="1"/>
  <c r="C79" i="39" s="1"/>
  <c r="E79" i="39" s="1"/>
  <c r="G79" i="39" s="1"/>
  <c r="G151" i="35"/>
  <c r="C151" i="36" s="1"/>
  <c r="E151" i="36" s="1"/>
  <c r="G151" i="36" s="1"/>
  <c r="C151" i="37" s="1"/>
  <c r="E151" i="37" s="1"/>
  <c r="G151" i="37" s="1"/>
  <c r="C151" i="38" s="1"/>
  <c r="E151" i="38" s="1"/>
  <c r="G151" i="38" s="1"/>
  <c r="E151" i="35"/>
  <c r="E178" i="35"/>
  <c r="G178" i="35" s="1"/>
  <c r="C178" i="36" s="1"/>
  <c r="E178" i="36" s="1"/>
  <c r="G178" i="36" s="1"/>
  <c r="C178" i="37" s="1"/>
  <c r="E178" i="37" s="1"/>
  <c r="G178" i="37" s="1"/>
  <c r="C178" i="38" s="1"/>
  <c r="E178" i="38" s="1"/>
  <c r="G178" i="38" s="1"/>
  <c r="C178" i="39" s="1"/>
  <c r="E178" i="39" s="1"/>
  <c r="G178" i="39" s="1"/>
  <c r="E88" i="35"/>
  <c r="G88" i="35" s="1"/>
  <c r="C88" i="36" s="1"/>
  <c r="E88" i="36" s="1"/>
  <c r="G88" i="36" s="1"/>
  <c r="C88" i="37" s="1"/>
  <c r="E88" i="37" s="1"/>
  <c r="G88" i="37" s="1"/>
  <c r="C88" i="38" s="1"/>
  <c r="E88" i="38" s="1"/>
  <c r="G88" i="38" s="1"/>
  <c r="C88" i="39" s="1"/>
  <c r="E88" i="39" s="1"/>
  <c r="G88" i="39" s="1"/>
  <c r="E62" i="35"/>
  <c r="G62" i="35" s="1"/>
  <c r="C62" i="36" s="1"/>
  <c r="E62" i="36" s="1"/>
  <c r="G62" i="36" s="1"/>
  <c r="C62" i="37" s="1"/>
  <c r="E62" i="37" s="1"/>
  <c r="G62" i="37" s="1"/>
  <c r="C62" i="38" s="1"/>
  <c r="E62" i="38" s="1"/>
  <c r="G62" i="38" s="1"/>
  <c r="C62" i="39" s="1"/>
  <c r="E62" i="39" s="1"/>
  <c r="G62" i="39" s="1"/>
  <c r="E48" i="35"/>
  <c r="G48" i="35" s="1"/>
  <c r="C48" i="36" s="1"/>
  <c r="E48" i="36" s="1"/>
  <c r="G48" i="36" s="1"/>
  <c r="C48" i="37" s="1"/>
  <c r="E48" i="37" s="1"/>
  <c r="G48" i="37" s="1"/>
  <c r="C48" i="38" s="1"/>
  <c r="E48" i="38" s="1"/>
  <c r="G48" i="38" s="1"/>
  <c r="C48" i="39" s="1"/>
  <c r="E48" i="39" s="1"/>
  <c r="G48" i="39" s="1"/>
  <c r="E26" i="35"/>
  <c r="G26" i="35" s="1"/>
  <c r="C26" i="36" s="1"/>
  <c r="E26" i="36" s="1"/>
  <c r="G26" i="36" s="1"/>
  <c r="C26" i="37" s="1"/>
  <c r="E26" i="37" s="1"/>
  <c r="G26" i="37" s="1"/>
  <c r="C26" i="38" s="1"/>
  <c r="E26" i="38" s="1"/>
  <c r="G26" i="38" s="1"/>
  <c r="C26" i="39" s="1"/>
  <c r="E26" i="39" s="1"/>
  <c r="G26" i="39" s="1"/>
  <c r="E18" i="35"/>
  <c r="G18" i="35" s="1"/>
  <c r="C18" i="36" s="1"/>
  <c r="E18" i="36" s="1"/>
  <c r="G18" i="36" s="1"/>
  <c r="C18" i="37" s="1"/>
  <c r="E18" i="37" s="1"/>
  <c r="G18" i="37" s="1"/>
  <c r="C18" i="38" s="1"/>
  <c r="E18" i="38" s="1"/>
  <c r="G18" i="38" s="1"/>
  <c r="C18" i="39" s="1"/>
  <c r="E18" i="39" s="1"/>
  <c r="G18" i="39" s="1"/>
  <c r="E183" i="35"/>
  <c r="G183" i="35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3" i="39" s="1"/>
  <c r="G183" i="39" s="1"/>
  <c r="E55" i="35"/>
  <c r="G55" i="35" s="1"/>
  <c r="C55" i="36" s="1"/>
  <c r="E55" i="36" s="1"/>
  <c r="G55" i="36" s="1"/>
  <c r="C55" i="37" s="1"/>
  <c r="E55" i="37" s="1"/>
  <c r="G55" i="37" s="1"/>
  <c r="C55" i="38" s="1"/>
  <c r="E55" i="38" s="1"/>
  <c r="G55" i="38" s="1"/>
  <c r="C55" i="39" s="1"/>
  <c r="E55" i="39" s="1"/>
  <c r="G55" i="39" s="1"/>
  <c r="E57" i="35"/>
  <c r="G57" i="35" s="1"/>
  <c r="C57" i="36" s="1"/>
  <c r="E57" i="36" s="1"/>
  <c r="G57" i="36" s="1"/>
  <c r="C57" i="37" s="1"/>
  <c r="E57" i="37" s="1"/>
  <c r="G57" i="37" s="1"/>
  <c r="C57" i="38" s="1"/>
  <c r="E57" i="38" s="1"/>
  <c r="G57" i="38" s="1"/>
  <c r="C57" i="39" s="1"/>
  <c r="E57" i="39" s="1"/>
  <c r="G57" i="39" s="1"/>
  <c r="E150" i="35"/>
  <c r="G150" i="35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E86" i="35"/>
  <c r="G86" i="35" s="1"/>
  <c r="C86" i="36" s="1"/>
  <c r="E86" i="36" s="1"/>
  <c r="G86" i="36" s="1"/>
  <c r="C86" i="37" s="1"/>
  <c r="E86" i="37" s="1"/>
  <c r="G86" i="37" s="1"/>
  <c r="C86" i="38" s="1"/>
  <c r="E86" i="38" s="1"/>
  <c r="G86" i="38" s="1"/>
  <c r="C86" i="39" s="1"/>
  <c r="E86" i="39" s="1"/>
  <c r="G86" i="39" s="1"/>
  <c r="G61" i="35"/>
  <c r="C61" i="36" s="1"/>
  <c r="E61" i="36" s="1"/>
  <c r="G61" i="36" s="1"/>
  <c r="C61" i="37" s="1"/>
  <c r="E61" i="37" s="1"/>
  <c r="G61" i="37" s="1"/>
  <c r="C61" i="38" s="1"/>
  <c r="E61" i="38" s="1"/>
  <c r="G61" i="38" s="1"/>
  <c r="E61" i="35"/>
  <c r="E17" i="35"/>
  <c r="G17" i="35" s="1"/>
  <c r="C17" i="36" s="1"/>
  <c r="E17" i="36" s="1"/>
  <c r="G17" i="36" s="1"/>
  <c r="C17" i="37" s="1"/>
  <c r="E17" i="37" s="1"/>
  <c r="G17" i="37" s="1"/>
  <c r="C17" i="38" s="1"/>
  <c r="E17" i="38" s="1"/>
  <c r="G17" i="38" s="1"/>
  <c r="C17" i="39" s="1"/>
  <c r="E17" i="39" s="1"/>
  <c r="G17" i="39" s="1"/>
  <c r="E95" i="35"/>
  <c r="G95" i="35" s="1"/>
  <c r="C95" i="36" s="1"/>
  <c r="E95" i="36" s="1"/>
  <c r="G95" i="36" s="1"/>
  <c r="C95" i="37" s="1"/>
  <c r="E95" i="37" s="1"/>
  <c r="G95" i="37" s="1"/>
  <c r="C95" i="38" s="1"/>
  <c r="E95" i="38" s="1"/>
  <c r="G95" i="38" s="1"/>
  <c r="C95" i="39" s="1"/>
  <c r="E95" i="39" s="1"/>
  <c r="G95" i="39" s="1"/>
  <c r="E73" i="35"/>
  <c r="G73" i="35" s="1"/>
  <c r="C73" i="36" s="1"/>
  <c r="E73" i="36" s="1"/>
  <c r="G73" i="36" s="1"/>
  <c r="C73" i="37" s="1"/>
  <c r="E73" i="37" s="1"/>
  <c r="G73" i="37" s="1"/>
  <c r="C73" i="38" s="1"/>
  <c r="E73" i="38" s="1"/>
  <c r="G73" i="38" s="1"/>
  <c r="C73" i="39" s="1"/>
  <c r="E73" i="39" s="1"/>
  <c r="G73" i="39" s="1"/>
  <c r="E51" i="35"/>
  <c r="G51" i="35" s="1"/>
  <c r="C51" i="36" s="1"/>
  <c r="E51" i="36" s="1"/>
  <c r="G51" i="36" s="1"/>
  <c r="C51" i="37" s="1"/>
  <c r="E51" i="37" s="1"/>
  <c r="G51" i="37" s="1"/>
  <c r="C51" i="38" s="1"/>
  <c r="E51" i="38" s="1"/>
  <c r="G51" i="38" s="1"/>
  <c r="C51" i="39" s="1"/>
  <c r="E51" i="39" s="1"/>
  <c r="G51" i="39" s="1"/>
  <c r="E67" i="35"/>
  <c r="G67" i="35" s="1"/>
  <c r="C67" i="36" s="1"/>
  <c r="E67" i="36" s="1"/>
  <c r="G67" i="36" s="1"/>
  <c r="C67" i="37" s="1"/>
  <c r="E67" i="37" s="1"/>
  <c r="G67" i="37" s="1"/>
  <c r="C67" i="38" s="1"/>
  <c r="E67" i="38" s="1"/>
  <c r="G67" i="38" s="1"/>
  <c r="C67" i="39" s="1"/>
  <c r="E67" i="39" s="1"/>
  <c r="G67" i="39" s="1"/>
  <c r="E85" i="35"/>
  <c r="G85" i="35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E85" i="39" s="1"/>
  <c r="G85" i="39" s="1"/>
  <c r="E71" i="35"/>
  <c r="G71" i="35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E49" i="35"/>
  <c r="G49" i="35" s="1"/>
  <c r="C49" i="36" s="1"/>
  <c r="E49" i="36" s="1"/>
  <c r="G49" i="36" s="1"/>
  <c r="C49" i="37" s="1"/>
  <c r="E49" i="37" s="1"/>
  <c r="G49" i="37" s="1"/>
  <c r="C49" i="38" s="1"/>
  <c r="E49" i="38" s="1"/>
  <c r="G49" i="38" s="1"/>
  <c r="C49" i="39" s="1"/>
  <c r="E49" i="39" s="1"/>
  <c r="G49" i="39" s="1"/>
  <c r="C209" i="42"/>
  <c r="E209" i="42" s="1"/>
  <c r="G209" i="42" s="1"/>
  <c r="E208" i="35"/>
  <c r="G208" i="35" s="1"/>
  <c r="E207" i="35"/>
  <c r="G207" i="35" s="1"/>
  <c r="C207" i="36" s="1"/>
  <c r="E207" i="36" s="1"/>
  <c r="G207" i="36" s="1"/>
  <c r="C207" i="37" s="1"/>
  <c r="E207" i="37" s="1"/>
  <c r="G207" i="37" s="1"/>
  <c r="C207" i="38" s="1"/>
  <c r="E207" i="38" s="1"/>
  <c r="G207" i="38" s="1"/>
  <c r="C207" i="39" s="1"/>
  <c r="E207" i="39" s="1"/>
  <c r="G207" i="39" s="1"/>
  <c r="E206" i="35"/>
  <c r="G206" i="35" s="1"/>
  <c r="C206" i="36" s="1"/>
  <c r="E206" i="36" s="1"/>
  <c r="G206" i="36" s="1"/>
  <c r="C206" i="37" s="1"/>
  <c r="E206" i="37" s="1"/>
  <c r="G206" i="37" s="1"/>
  <c r="C206" i="38" s="1"/>
  <c r="E206" i="38" s="1"/>
  <c r="G206" i="38" s="1"/>
  <c r="C206" i="39" s="1"/>
  <c r="E206" i="39" s="1"/>
  <c r="G206" i="39" s="1"/>
  <c r="E205" i="35"/>
  <c r="G205" i="35" s="1"/>
  <c r="C205" i="36" s="1"/>
  <c r="E205" i="36" s="1"/>
  <c r="G205" i="36" s="1"/>
  <c r="C205" i="37" s="1"/>
  <c r="E205" i="37" s="1"/>
  <c r="G205" i="37" s="1"/>
  <c r="C205" i="38" s="1"/>
  <c r="E205" i="38" s="1"/>
  <c r="G205" i="38" s="1"/>
  <c r="C205" i="39" s="1"/>
  <c r="E205" i="39" s="1"/>
  <c r="G205" i="39" s="1"/>
  <c r="E204" i="35"/>
  <c r="G204" i="35" s="1"/>
  <c r="C204" i="36" s="1"/>
  <c r="E204" i="36" s="1"/>
  <c r="G204" i="36" s="1"/>
  <c r="C204" i="37" s="1"/>
  <c r="E204" i="37" s="1"/>
  <c r="G204" i="37" s="1"/>
  <c r="C204" i="38" s="1"/>
  <c r="E204" i="38" s="1"/>
  <c r="G204" i="38" s="1"/>
  <c r="C204" i="39" s="1"/>
  <c r="E204" i="39" s="1"/>
  <c r="G204" i="39" s="1"/>
  <c r="E203" i="35"/>
  <c r="G203" i="35" s="1"/>
  <c r="C203" i="36" s="1"/>
  <c r="E203" i="36" s="1"/>
  <c r="G203" i="36" s="1"/>
  <c r="C203" i="37" s="1"/>
  <c r="E203" i="37" s="1"/>
  <c r="G203" i="37" s="1"/>
  <c r="C203" i="38" s="1"/>
  <c r="E203" i="38" s="1"/>
  <c r="G203" i="38" s="1"/>
  <c r="C203" i="39" s="1"/>
  <c r="E203" i="39" s="1"/>
  <c r="G203" i="39" s="1"/>
  <c r="E202" i="35"/>
  <c r="G202" i="35" s="1"/>
  <c r="C202" i="36" s="1"/>
  <c r="E202" i="36" s="1"/>
  <c r="G202" i="36" s="1"/>
  <c r="C202" i="37" s="1"/>
  <c r="E202" i="37" s="1"/>
  <c r="G202" i="37" s="1"/>
  <c r="C202" i="38" s="1"/>
  <c r="E202" i="38" s="1"/>
  <c r="G202" i="38" s="1"/>
  <c r="C202" i="39" s="1"/>
  <c r="E202" i="39" s="1"/>
  <c r="G202" i="39" s="1"/>
  <c r="E201" i="35"/>
  <c r="G201" i="35" s="1"/>
  <c r="C201" i="36" s="1"/>
  <c r="E201" i="36" s="1"/>
  <c r="G201" i="36" s="1"/>
  <c r="C201" i="37" s="1"/>
  <c r="E201" i="37" s="1"/>
  <c r="G201" i="37" s="1"/>
  <c r="C201" i="38" s="1"/>
  <c r="E201" i="38" s="1"/>
  <c r="G201" i="38" s="1"/>
  <c r="C201" i="39" s="1"/>
  <c r="E201" i="39" s="1"/>
  <c r="G201" i="39" s="1"/>
  <c r="E199" i="35"/>
  <c r="G199" i="35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199" i="39" s="1"/>
  <c r="E199" i="39" s="1"/>
  <c r="G199" i="39" s="1"/>
  <c r="E198" i="35"/>
  <c r="G198" i="35" s="1"/>
  <c r="C198" i="36" s="1"/>
  <c r="E198" i="36" s="1"/>
  <c r="G198" i="36" s="1"/>
  <c r="C198" i="37" s="1"/>
  <c r="E198" i="37" s="1"/>
  <c r="G198" i="37" s="1"/>
  <c r="C198" i="38" s="1"/>
  <c r="E198" i="38" s="1"/>
  <c r="G198" i="38" s="1"/>
  <c r="C198" i="39" s="1"/>
  <c r="E198" i="39" s="1"/>
  <c r="G198" i="39" s="1"/>
  <c r="E197" i="35"/>
  <c r="G197" i="35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97" i="39" s="1"/>
  <c r="E197" i="39" s="1"/>
  <c r="G197" i="39" s="1"/>
  <c r="E196" i="35"/>
  <c r="G196" i="35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E196" i="39" s="1"/>
  <c r="G196" i="39" s="1"/>
  <c r="E195" i="35"/>
  <c r="G195" i="35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195" i="39" s="1"/>
  <c r="E195" i="39" s="1"/>
  <c r="G195" i="39" s="1"/>
  <c r="E194" i="35"/>
  <c r="G194" i="35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E191" i="35"/>
  <c r="G191" i="35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91" i="39" s="1"/>
  <c r="G191" i="39" s="1"/>
  <c r="E190" i="35"/>
  <c r="G190" i="35" s="1"/>
  <c r="C190" i="36" s="1"/>
  <c r="E190" i="36" s="1"/>
  <c r="G190" i="36" s="1"/>
  <c r="C190" i="37" s="1"/>
  <c r="E190" i="37" s="1"/>
  <c r="G190" i="37" s="1"/>
  <c r="C190" i="38" s="1"/>
  <c r="E190" i="38" s="1"/>
  <c r="G190" i="38" s="1"/>
  <c r="C190" i="39" s="1"/>
  <c r="E190" i="39" s="1"/>
  <c r="G190" i="39" s="1"/>
  <c r="E189" i="35"/>
  <c r="G189" i="35" s="1"/>
  <c r="C189" i="36" s="1"/>
  <c r="E189" i="36" s="1"/>
  <c r="G189" i="36" s="1"/>
  <c r="C189" i="37" s="1"/>
  <c r="E189" i="37" s="1"/>
  <c r="G189" i="37" s="1"/>
  <c r="C189" i="38" s="1"/>
  <c r="E189" i="38" s="1"/>
  <c r="G189" i="38" s="1"/>
  <c r="C189" i="39" s="1"/>
  <c r="E189" i="39" s="1"/>
  <c r="G189" i="39" s="1"/>
  <c r="E188" i="35"/>
  <c r="G188" i="35" s="1"/>
  <c r="C188" i="36" s="1"/>
  <c r="E188" i="36" s="1"/>
  <c r="G188" i="36" s="1"/>
  <c r="C188" i="37" s="1"/>
  <c r="E188" i="37" s="1"/>
  <c r="G188" i="37" s="1"/>
  <c r="C188" i="38" s="1"/>
  <c r="E188" i="38" s="1"/>
  <c r="G188" i="38" s="1"/>
  <c r="C188" i="39" s="1"/>
  <c r="E188" i="39" s="1"/>
  <c r="G188" i="39" s="1"/>
  <c r="E187" i="35"/>
  <c r="G187" i="35" s="1"/>
  <c r="C187" i="36" s="1"/>
  <c r="E187" i="36" s="1"/>
  <c r="G187" i="36" s="1"/>
  <c r="C187" i="37" s="1"/>
  <c r="E187" i="37" s="1"/>
  <c r="G187" i="37" s="1"/>
  <c r="C187" i="38" s="1"/>
  <c r="E187" i="38" s="1"/>
  <c r="G187" i="38" s="1"/>
  <c r="C187" i="39" s="1"/>
  <c r="E187" i="39" s="1"/>
  <c r="G187" i="39" s="1"/>
  <c r="E186" i="35"/>
  <c r="G186" i="35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186" i="39" s="1"/>
  <c r="E186" i="39" s="1"/>
  <c r="G186" i="39" s="1"/>
  <c r="E185" i="35"/>
  <c r="G185" i="35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85" i="39" s="1"/>
  <c r="E185" i="39" s="1"/>
  <c r="G185" i="39" s="1"/>
  <c r="E181" i="35"/>
  <c r="G181" i="35" s="1"/>
  <c r="C181" i="36" s="1"/>
  <c r="E181" i="36" s="1"/>
  <c r="G181" i="36" s="1"/>
  <c r="C181" i="37" s="1"/>
  <c r="E181" i="37" s="1"/>
  <c r="G181" i="37" s="1"/>
  <c r="C181" i="38" s="1"/>
  <c r="E181" i="38" s="1"/>
  <c r="G181" i="38" s="1"/>
  <c r="C181" i="39" s="1"/>
  <c r="E181" i="39" s="1"/>
  <c r="G181" i="39" s="1"/>
  <c r="E180" i="35"/>
  <c r="G180" i="35" s="1"/>
  <c r="C180" i="36" s="1"/>
  <c r="E180" i="36" s="1"/>
  <c r="G180" i="36" s="1"/>
  <c r="C180" i="37" s="1"/>
  <c r="E180" i="37" s="1"/>
  <c r="G180" i="37" s="1"/>
  <c r="C180" i="38" s="1"/>
  <c r="E180" i="38" s="1"/>
  <c r="G180" i="38" s="1"/>
  <c r="C180" i="39" s="1"/>
  <c r="E180" i="39" s="1"/>
  <c r="G180" i="39" s="1"/>
  <c r="E179" i="35"/>
  <c r="G179" i="35" s="1"/>
  <c r="C179" i="36" s="1"/>
  <c r="E179" i="36" s="1"/>
  <c r="G179" i="36" s="1"/>
  <c r="C179" i="37" s="1"/>
  <c r="E179" i="37" s="1"/>
  <c r="G179" i="37" s="1"/>
  <c r="C179" i="38" s="1"/>
  <c r="E179" i="38" s="1"/>
  <c r="G179" i="38" s="1"/>
  <c r="C179" i="39" s="1"/>
  <c r="E179" i="39" s="1"/>
  <c r="G179" i="39" s="1"/>
  <c r="E177" i="35"/>
  <c r="G177" i="35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E175" i="35"/>
  <c r="G175" i="35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E174" i="35"/>
  <c r="G174" i="35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74" i="39" s="1"/>
  <c r="E174" i="39" s="1"/>
  <c r="G174" i="39" s="1"/>
  <c r="E173" i="35"/>
  <c r="G173" i="35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173" i="39" s="1"/>
  <c r="E173" i="39" s="1"/>
  <c r="G173" i="39" s="1"/>
  <c r="E172" i="35"/>
  <c r="G172" i="35" s="1"/>
  <c r="C172" i="36" s="1"/>
  <c r="E172" i="36" s="1"/>
  <c r="G172" i="36" s="1"/>
  <c r="C172" i="37" s="1"/>
  <c r="E172" i="37" s="1"/>
  <c r="G172" i="37" s="1"/>
  <c r="C172" i="38" s="1"/>
  <c r="E172" i="38" s="1"/>
  <c r="G172" i="38" s="1"/>
  <c r="C172" i="39" s="1"/>
  <c r="E172" i="39" s="1"/>
  <c r="G172" i="39" s="1"/>
  <c r="E171" i="35"/>
  <c r="G171" i="35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171" i="39" s="1"/>
  <c r="E171" i="39" s="1"/>
  <c r="G171" i="39" s="1"/>
  <c r="E170" i="35"/>
  <c r="G170" i="35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70" i="39" s="1"/>
  <c r="E170" i="39" s="1"/>
  <c r="G170" i="39" s="1"/>
  <c r="E169" i="35"/>
  <c r="G169" i="35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69" i="39" s="1"/>
  <c r="E169" i="39" s="1"/>
  <c r="G169" i="39" s="1"/>
  <c r="E167" i="35"/>
  <c r="G167" i="35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167" i="39" s="1"/>
  <c r="E167" i="39" s="1"/>
  <c r="G167" i="39" s="1"/>
  <c r="E166" i="35"/>
  <c r="G166" i="35" s="1"/>
  <c r="C166" i="36" s="1"/>
  <c r="E166" i="36" s="1"/>
  <c r="G166" i="36" s="1"/>
  <c r="C166" i="37" s="1"/>
  <c r="E166" i="37" s="1"/>
  <c r="G166" i="37" s="1"/>
  <c r="C166" i="38" s="1"/>
  <c r="E166" i="38" s="1"/>
  <c r="G166" i="38" s="1"/>
  <c r="C166" i="39" s="1"/>
  <c r="E166" i="39" s="1"/>
  <c r="G166" i="39" s="1"/>
  <c r="E165" i="35"/>
  <c r="G165" i="35" s="1"/>
  <c r="C165" i="36" s="1"/>
  <c r="E165" i="36" s="1"/>
  <c r="G165" i="36" s="1"/>
  <c r="C165" i="37" s="1"/>
  <c r="E165" i="37" s="1"/>
  <c r="G165" i="37" s="1"/>
  <c r="C165" i="38" s="1"/>
  <c r="E165" i="38" s="1"/>
  <c r="G165" i="38" s="1"/>
  <c r="C165" i="39" s="1"/>
  <c r="E165" i="39" s="1"/>
  <c r="G165" i="39" s="1"/>
  <c r="E164" i="35"/>
  <c r="G164" i="35" s="1"/>
  <c r="C164" i="36" s="1"/>
  <c r="E164" i="36" s="1"/>
  <c r="G164" i="36" s="1"/>
  <c r="C164" i="37" s="1"/>
  <c r="E164" i="37" s="1"/>
  <c r="G164" i="37" s="1"/>
  <c r="C164" i="38" s="1"/>
  <c r="E164" i="38" s="1"/>
  <c r="G164" i="38" s="1"/>
  <c r="C164" i="39" s="1"/>
  <c r="E164" i="39" s="1"/>
  <c r="G164" i="39" s="1"/>
  <c r="E162" i="35"/>
  <c r="G162" i="35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E161" i="35"/>
  <c r="G161" i="35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61" i="39" s="1"/>
  <c r="E161" i="39" s="1"/>
  <c r="G161" i="39" s="1"/>
  <c r="E159" i="35"/>
  <c r="G159" i="35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59" i="39" s="1"/>
  <c r="G159" i="39" s="1"/>
  <c r="E157" i="35"/>
  <c r="G157" i="35" s="1"/>
  <c r="C157" i="36" s="1"/>
  <c r="E157" i="36" s="1"/>
  <c r="G157" i="36" s="1"/>
  <c r="C157" i="37" s="1"/>
  <c r="E157" i="37" s="1"/>
  <c r="G157" i="37" s="1"/>
  <c r="C157" i="38" s="1"/>
  <c r="E157" i="38" s="1"/>
  <c r="G157" i="38" s="1"/>
  <c r="C157" i="39" s="1"/>
  <c r="E157" i="39" s="1"/>
  <c r="G157" i="39" s="1"/>
  <c r="E156" i="35"/>
  <c r="G156" i="35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39" s="1"/>
  <c r="E156" i="39" s="1"/>
  <c r="G156" i="39" s="1"/>
  <c r="E155" i="35"/>
  <c r="G155" i="35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5" i="39" s="1"/>
  <c r="G155" i="39" s="1"/>
  <c r="E154" i="35"/>
  <c r="G154" i="35" s="1"/>
  <c r="C154" i="36" s="1"/>
  <c r="E154" i="36" s="1"/>
  <c r="G154" i="36" s="1"/>
  <c r="C154" i="37" s="1"/>
  <c r="E154" i="37" s="1"/>
  <c r="G154" i="37" s="1"/>
  <c r="C154" i="38" s="1"/>
  <c r="E154" i="38" s="1"/>
  <c r="G154" i="38" s="1"/>
  <c r="C154" i="39" s="1"/>
  <c r="E154" i="39" s="1"/>
  <c r="G154" i="39" s="1"/>
  <c r="E153" i="35"/>
  <c r="G153" i="35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53" i="39" s="1"/>
  <c r="E153" i="39" s="1"/>
  <c r="G153" i="39" s="1"/>
  <c r="E149" i="35"/>
  <c r="G149" i="35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49" i="39" s="1"/>
  <c r="E149" i="39" s="1"/>
  <c r="G149" i="39" s="1"/>
  <c r="E148" i="35"/>
  <c r="G148" i="35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8" i="39" s="1"/>
  <c r="E148" i="39" s="1"/>
  <c r="G148" i="39" s="1"/>
  <c r="E147" i="35"/>
  <c r="G147" i="35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7" i="39" s="1"/>
  <c r="E147" i="39" s="1"/>
  <c r="G147" i="39" s="1"/>
  <c r="E145" i="35"/>
  <c r="G145" i="35" s="1"/>
  <c r="C145" i="36" s="1"/>
  <c r="E145" i="36" s="1"/>
  <c r="G145" i="36" s="1"/>
  <c r="C145" i="37" s="1"/>
  <c r="E145" i="37" s="1"/>
  <c r="G145" i="37" s="1"/>
  <c r="C145" i="38" s="1"/>
  <c r="E145" i="38" s="1"/>
  <c r="G145" i="38" s="1"/>
  <c r="C145" i="39" s="1"/>
  <c r="E145" i="39" s="1"/>
  <c r="G145" i="39" s="1"/>
  <c r="E144" i="35"/>
  <c r="G144" i="35" s="1"/>
  <c r="C144" i="36" s="1"/>
  <c r="E144" i="36" s="1"/>
  <c r="G144" i="36" s="1"/>
  <c r="C144" i="37" s="1"/>
  <c r="E144" i="37" s="1"/>
  <c r="G144" i="37" s="1"/>
  <c r="C144" i="38" s="1"/>
  <c r="E144" i="38" s="1"/>
  <c r="G144" i="38" s="1"/>
  <c r="C144" i="39" s="1"/>
  <c r="E144" i="39" s="1"/>
  <c r="G144" i="39" s="1"/>
  <c r="E143" i="35"/>
  <c r="G143" i="35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43" i="39" s="1"/>
  <c r="E143" i="39" s="1"/>
  <c r="G143" i="39" s="1"/>
  <c r="E142" i="35"/>
  <c r="G142" i="35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42" i="39" s="1"/>
  <c r="E142" i="39" s="1"/>
  <c r="G142" i="39" s="1"/>
  <c r="E141" i="35"/>
  <c r="G141" i="35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41" i="39" s="1"/>
  <c r="E141" i="39" s="1"/>
  <c r="G141" i="39" s="1"/>
  <c r="E140" i="35"/>
  <c r="G140" i="35" s="1"/>
  <c r="C140" i="36" s="1"/>
  <c r="E140" i="36" s="1"/>
  <c r="G140" i="36" s="1"/>
  <c r="C140" i="37" s="1"/>
  <c r="E140" i="37" s="1"/>
  <c r="G140" i="37" s="1"/>
  <c r="C140" i="38" s="1"/>
  <c r="E140" i="38" s="1"/>
  <c r="G140" i="38" s="1"/>
  <c r="C140" i="39" s="1"/>
  <c r="E140" i="39" s="1"/>
  <c r="G140" i="39" s="1"/>
  <c r="E139" i="35"/>
  <c r="G139" i="35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9" i="39" s="1"/>
  <c r="G139" i="39" s="1"/>
  <c r="E138" i="35"/>
  <c r="G138" i="35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38" i="39" s="1"/>
  <c r="E138" i="39" s="1"/>
  <c r="G138" i="39" s="1"/>
  <c r="E137" i="35"/>
  <c r="G137" i="35" s="1"/>
  <c r="C137" i="36" s="1"/>
  <c r="E137" i="36" s="1"/>
  <c r="G137" i="36" s="1"/>
  <c r="C137" i="37" s="1"/>
  <c r="E137" i="37" s="1"/>
  <c r="G137" i="37" s="1"/>
  <c r="C137" i="38" s="1"/>
  <c r="E137" i="38" s="1"/>
  <c r="G137" i="38" s="1"/>
  <c r="C137" i="39" s="1"/>
  <c r="E137" i="39" s="1"/>
  <c r="G137" i="39" s="1"/>
  <c r="E136" i="35"/>
  <c r="G136" i="35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6" i="39" s="1"/>
  <c r="E136" i="39" s="1"/>
  <c r="G136" i="39" s="1"/>
  <c r="E135" i="35"/>
  <c r="G135" i="35" s="1"/>
  <c r="C135" i="36" s="1"/>
  <c r="E135" i="36" s="1"/>
  <c r="G135" i="36" s="1"/>
  <c r="C135" i="37" s="1"/>
  <c r="E135" i="37" s="1"/>
  <c r="G135" i="37" s="1"/>
  <c r="C135" i="38" s="1"/>
  <c r="E135" i="38" s="1"/>
  <c r="G135" i="38" s="1"/>
  <c r="C135" i="39" s="1"/>
  <c r="E135" i="39" s="1"/>
  <c r="G135" i="39" s="1"/>
  <c r="E134" i="35"/>
  <c r="G134" i="35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34" i="39" s="1"/>
  <c r="E134" i="39" s="1"/>
  <c r="G134" i="39" s="1"/>
  <c r="E133" i="35"/>
  <c r="G133" i="35" s="1"/>
  <c r="C133" i="36" s="1"/>
  <c r="E133" i="36" s="1"/>
  <c r="G133" i="36" s="1"/>
  <c r="C133" i="37" s="1"/>
  <c r="E133" i="37" s="1"/>
  <c r="G133" i="37" s="1"/>
  <c r="C133" i="38" s="1"/>
  <c r="E133" i="38" s="1"/>
  <c r="G133" i="38" s="1"/>
  <c r="C133" i="39" s="1"/>
  <c r="E133" i="39" s="1"/>
  <c r="G133" i="39" s="1"/>
  <c r="E132" i="35"/>
  <c r="G132" i="35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32" i="39" s="1"/>
  <c r="G132" i="39" s="1"/>
  <c r="E131" i="35"/>
  <c r="G131" i="35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1" i="39" s="1"/>
  <c r="G131" i="39" s="1"/>
  <c r="E129" i="35"/>
  <c r="G129" i="35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29" i="39" s="1"/>
  <c r="E129" i="39" s="1"/>
  <c r="G129" i="39" s="1"/>
  <c r="E127" i="35"/>
  <c r="G127" i="35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27" i="39" s="1"/>
  <c r="G127" i="39" s="1"/>
  <c r="E126" i="35"/>
  <c r="G126" i="35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126" i="39" s="1"/>
  <c r="E126" i="39" s="1"/>
  <c r="G126" i="39" s="1"/>
  <c r="E125" i="35"/>
  <c r="G125" i="35" s="1"/>
  <c r="C125" i="36" s="1"/>
  <c r="E125" i="36" s="1"/>
  <c r="G125" i="36" s="1"/>
  <c r="C125" i="37" s="1"/>
  <c r="E125" i="37" s="1"/>
  <c r="G125" i="37" s="1"/>
  <c r="C125" i="38" s="1"/>
  <c r="E125" i="38" s="1"/>
  <c r="G125" i="38" s="1"/>
  <c r="C125" i="39" s="1"/>
  <c r="E125" i="39" s="1"/>
  <c r="G125" i="39" s="1"/>
  <c r="E124" i="35"/>
  <c r="G124" i="35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39" s="1"/>
  <c r="E124" i="39" s="1"/>
  <c r="G124" i="39" s="1"/>
  <c r="E123" i="35"/>
  <c r="G123" i="35" s="1"/>
  <c r="C123" i="36" s="1"/>
  <c r="E123" i="36" s="1"/>
  <c r="G123" i="36" s="1"/>
  <c r="C123" i="37" s="1"/>
  <c r="E123" i="37" s="1"/>
  <c r="G123" i="37" s="1"/>
  <c r="C123" i="38" s="1"/>
  <c r="E123" i="38" s="1"/>
  <c r="G123" i="38" s="1"/>
  <c r="C123" i="39" s="1"/>
  <c r="E123" i="39" s="1"/>
  <c r="G123" i="39" s="1"/>
  <c r="E122" i="35"/>
  <c r="G122" i="35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22" i="39" s="1"/>
  <c r="E122" i="39" s="1"/>
  <c r="G122" i="39" s="1"/>
  <c r="E121" i="35"/>
  <c r="G121" i="35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21" i="39" s="1"/>
  <c r="E121" i="39" s="1"/>
  <c r="G121" i="39" s="1"/>
  <c r="E119" i="35"/>
  <c r="G119" i="35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119" i="39" s="1"/>
  <c r="G119" i="39" s="1"/>
  <c r="E117" i="35"/>
  <c r="G117" i="35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17" i="39" s="1"/>
  <c r="E117" i="39" s="1"/>
  <c r="G117" i="39" s="1"/>
  <c r="E116" i="35"/>
  <c r="G116" i="35" s="1"/>
  <c r="C116" i="36" s="1"/>
  <c r="E116" i="36" s="1"/>
  <c r="G116" i="36" s="1"/>
  <c r="C116" i="37" s="1"/>
  <c r="E116" i="37" s="1"/>
  <c r="G116" i="37" s="1"/>
  <c r="C116" i="38" s="1"/>
  <c r="E116" i="38" s="1"/>
  <c r="G116" i="38" s="1"/>
  <c r="C116" i="39" s="1"/>
  <c r="E116" i="39" s="1"/>
  <c r="G116" i="39" s="1"/>
  <c r="E115" i="35"/>
  <c r="G115" i="35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5" i="39" s="1"/>
  <c r="E115" i="39" s="1"/>
  <c r="G115" i="39" s="1"/>
  <c r="E114" i="35"/>
  <c r="G114" i="35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14" i="39" s="1"/>
  <c r="E114" i="39" s="1"/>
  <c r="G114" i="39" s="1"/>
  <c r="E113" i="35"/>
  <c r="G113" i="35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13" i="39" s="1"/>
  <c r="E113" i="39" s="1"/>
  <c r="G113" i="39" s="1"/>
  <c r="E111" i="35"/>
  <c r="G111" i="35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11" i="39" s="1"/>
  <c r="G111" i="39" s="1"/>
  <c r="E110" i="35"/>
  <c r="G110" i="35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E109" i="35"/>
  <c r="G109" i="35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09" i="39" s="1"/>
  <c r="E109" i="39" s="1"/>
  <c r="G109" i="39" s="1"/>
  <c r="E108" i="35"/>
  <c r="G108" i="35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08" i="39" s="1"/>
  <c r="E108" i="39" s="1"/>
  <c r="G108" i="39" s="1"/>
  <c r="E107" i="35"/>
  <c r="G107" i="35" s="1"/>
  <c r="C107" i="36" s="1"/>
  <c r="E107" i="36" s="1"/>
  <c r="G107" i="36" s="1"/>
  <c r="C107" i="37" s="1"/>
  <c r="E107" i="37" s="1"/>
  <c r="G107" i="37" s="1"/>
  <c r="C107" i="38" s="1"/>
  <c r="E107" i="38" s="1"/>
  <c r="G107" i="38" s="1"/>
  <c r="C107" i="39" s="1"/>
  <c r="E107" i="39" s="1"/>
  <c r="G107" i="39" s="1"/>
  <c r="E106" i="35"/>
  <c r="G106" i="35" s="1"/>
  <c r="C106" i="36" s="1"/>
  <c r="E106" i="36" s="1"/>
  <c r="G106" i="36" s="1"/>
  <c r="C106" i="37" s="1"/>
  <c r="E106" i="37" s="1"/>
  <c r="G106" i="37" s="1"/>
  <c r="C106" i="38" s="1"/>
  <c r="E106" i="38" s="1"/>
  <c r="G106" i="38" s="1"/>
  <c r="C106" i="39" s="1"/>
  <c r="E106" i="39" s="1"/>
  <c r="G106" i="39" s="1"/>
  <c r="E105" i="35"/>
  <c r="G105" i="35" s="1"/>
  <c r="C105" i="36" s="1"/>
  <c r="E105" i="36" s="1"/>
  <c r="G105" i="36" s="1"/>
  <c r="C105" i="37" s="1"/>
  <c r="E105" i="37" s="1"/>
  <c r="G105" i="37" s="1"/>
  <c r="C105" i="38" s="1"/>
  <c r="E105" i="38" s="1"/>
  <c r="G105" i="38" s="1"/>
  <c r="C105" i="39" s="1"/>
  <c r="E105" i="39" s="1"/>
  <c r="G105" i="39" s="1"/>
  <c r="E103" i="35"/>
  <c r="G103" i="35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03" i="39" s="1"/>
  <c r="G103" i="39" s="1"/>
  <c r="E102" i="35"/>
  <c r="G102" i="35" s="1"/>
  <c r="C102" i="36" s="1"/>
  <c r="E102" i="36" s="1"/>
  <c r="G102" i="36" s="1"/>
  <c r="C102" i="37" s="1"/>
  <c r="E102" i="37" s="1"/>
  <c r="G102" i="37" s="1"/>
  <c r="C102" i="38" s="1"/>
  <c r="E102" i="38" s="1"/>
  <c r="G102" i="38" s="1"/>
  <c r="C102" i="39" s="1"/>
  <c r="E102" i="39" s="1"/>
  <c r="G102" i="39" s="1"/>
  <c r="E101" i="35"/>
  <c r="G101" i="35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E101" i="39" s="1"/>
  <c r="G101" i="39" s="1"/>
  <c r="E100" i="35"/>
  <c r="G100" i="35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0" i="39" s="1"/>
  <c r="E100" i="39" s="1"/>
  <c r="G100" i="39" s="1"/>
  <c r="E99" i="35"/>
  <c r="G99" i="35" s="1"/>
  <c r="C99" i="36" s="1"/>
  <c r="E99" i="36" s="1"/>
  <c r="G99" i="36" s="1"/>
  <c r="C99" i="37" s="1"/>
  <c r="E99" i="37" s="1"/>
  <c r="G99" i="37" s="1"/>
  <c r="C99" i="38" s="1"/>
  <c r="E99" i="38" s="1"/>
  <c r="G99" i="38" s="1"/>
  <c r="C99" i="39" s="1"/>
  <c r="E99" i="39" s="1"/>
  <c r="G99" i="39" s="1"/>
  <c r="E97" i="35"/>
  <c r="G97" i="35" s="1"/>
  <c r="C97" i="36" s="1"/>
  <c r="E97" i="36" s="1"/>
  <c r="G97" i="36" s="1"/>
  <c r="C97" i="37" s="1"/>
  <c r="E97" i="37" s="1"/>
  <c r="G97" i="37" s="1"/>
  <c r="C97" i="38" s="1"/>
  <c r="E97" i="38" s="1"/>
  <c r="G97" i="38" s="1"/>
  <c r="C97" i="39" s="1"/>
  <c r="E97" i="39" s="1"/>
  <c r="G97" i="39" s="1"/>
  <c r="E94" i="35"/>
  <c r="G94" i="35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E94" i="39" s="1"/>
  <c r="G94" i="39" s="1"/>
  <c r="E93" i="35"/>
  <c r="G93" i="35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E91" i="35"/>
  <c r="G91" i="35" s="1"/>
  <c r="C91" i="36" s="1"/>
  <c r="E91" i="36" s="1"/>
  <c r="G91" i="36" s="1"/>
  <c r="C91" i="37" s="1"/>
  <c r="E91" i="37" s="1"/>
  <c r="G91" i="37" s="1"/>
  <c r="C91" i="38" s="1"/>
  <c r="E91" i="38" s="1"/>
  <c r="G91" i="38" s="1"/>
  <c r="C91" i="39" s="1"/>
  <c r="E91" i="39" s="1"/>
  <c r="G91" i="39" s="1"/>
  <c r="E90" i="35"/>
  <c r="G90" i="35" s="1"/>
  <c r="C90" i="36" s="1"/>
  <c r="E90" i="36" s="1"/>
  <c r="G90" i="36" s="1"/>
  <c r="C90" i="37" s="1"/>
  <c r="E90" i="37" s="1"/>
  <c r="G90" i="37" s="1"/>
  <c r="C90" i="38" s="1"/>
  <c r="E90" i="38" s="1"/>
  <c r="G90" i="38" s="1"/>
  <c r="C90" i="39" s="1"/>
  <c r="E90" i="39" s="1"/>
  <c r="G90" i="39" s="1"/>
  <c r="E84" i="35"/>
  <c r="G84" i="35" s="1"/>
  <c r="C84" i="36" s="1"/>
  <c r="E84" i="36" s="1"/>
  <c r="G84" i="36" s="1"/>
  <c r="C84" i="37" s="1"/>
  <c r="E84" i="37" s="1"/>
  <c r="G84" i="37" s="1"/>
  <c r="C84" i="38" s="1"/>
  <c r="E84" i="38" s="1"/>
  <c r="G84" i="38" s="1"/>
  <c r="C84" i="39" s="1"/>
  <c r="E84" i="39" s="1"/>
  <c r="G84" i="39" s="1"/>
  <c r="E83" i="35"/>
  <c r="G83" i="35" s="1"/>
  <c r="C83" i="36" s="1"/>
  <c r="E83" i="36" s="1"/>
  <c r="G83" i="36" s="1"/>
  <c r="C83" i="37" s="1"/>
  <c r="E83" i="37" s="1"/>
  <c r="G83" i="37" s="1"/>
  <c r="C83" i="38" s="1"/>
  <c r="E83" i="38" s="1"/>
  <c r="G83" i="38" s="1"/>
  <c r="C83" i="39" s="1"/>
  <c r="E83" i="39" s="1"/>
  <c r="G83" i="39" s="1"/>
  <c r="E82" i="35"/>
  <c r="G82" i="35" s="1"/>
  <c r="C82" i="36" s="1"/>
  <c r="E82" i="36" s="1"/>
  <c r="G82" i="36" s="1"/>
  <c r="C82" i="37" s="1"/>
  <c r="E82" i="37" s="1"/>
  <c r="G82" i="37" s="1"/>
  <c r="C82" i="38" s="1"/>
  <c r="E82" i="38" s="1"/>
  <c r="G82" i="38" s="1"/>
  <c r="C82" i="39" s="1"/>
  <c r="E82" i="39" s="1"/>
  <c r="G82" i="39" s="1"/>
  <c r="E76" i="35"/>
  <c r="G76" i="35" s="1"/>
  <c r="C76" i="36" s="1"/>
  <c r="E76" i="36" s="1"/>
  <c r="G76" i="36" s="1"/>
  <c r="C76" i="37" s="1"/>
  <c r="E76" i="37" s="1"/>
  <c r="G76" i="37" s="1"/>
  <c r="C76" i="38" s="1"/>
  <c r="E76" i="38" s="1"/>
  <c r="G76" i="38" s="1"/>
  <c r="C76" i="39" s="1"/>
  <c r="E76" i="39" s="1"/>
  <c r="G76" i="39" s="1"/>
  <c r="E75" i="35"/>
  <c r="G75" i="35" s="1"/>
  <c r="C75" i="36" s="1"/>
  <c r="E75" i="36" s="1"/>
  <c r="G75" i="36" s="1"/>
  <c r="C75" i="37" s="1"/>
  <c r="E75" i="37" s="1"/>
  <c r="G75" i="37" s="1"/>
  <c r="C75" i="38" s="1"/>
  <c r="E75" i="38" s="1"/>
  <c r="G75" i="38" s="1"/>
  <c r="C75" i="39" s="1"/>
  <c r="E75" i="39" s="1"/>
  <c r="G75" i="39" s="1"/>
  <c r="E74" i="35"/>
  <c r="G74" i="35" s="1"/>
  <c r="C74" i="36" s="1"/>
  <c r="E74" i="36" s="1"/>
  <c r="G74" i="36" s="1"/>
  <c r="C74" i="37" s="1"/>
  <c r="E74" i="37" s="1"/>
  <c r="G74" i="37" s="1"/>
  <c r="C74" i="38" s="1"/>
  <c r="E74" i="38" s="1"/>
  <c r="G74" i="38" s="1"/>
  <c r="C74" i="39" s="1"/>
  <c r="E74" i="39" s="1"/>
  <c r="G74" i="39" s="1"/>
  <c r="E72" i="35"/>
  <c r="G72" i="35" s="1"/>
  <c r="C72" i="36" s="1"/>
  <c r="E72" i="36" s="1"/>
  <c r="G72" i="36" s="1"/>
  <c r="C72" i="37" s="1"/>
  <c r="E72" i="37" s="1"/>
  <c r="G72" i="37" s="1"/>
  <c r="C72" i="38" s="1"/>
  <c r="E72" i="38" s="1"/>
  <c r="G72" i="38" s="1"/>
  <c r="C72" i="39" s="1"/>
  <c r="E72" i="39" s="1"/>
  <c r="G72" i="39" s="1"/>
  <c r="E69" i="35"/>
  <c r="G69" i="35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69" i="39" s="1"/>
  <c r="G69" i="39" s="1"/>
  <c r="E68" i="35"/>
  <c r="G68" i="35" s="1"/>
  <c r="C68" i="36" s="1"/>
  <c r="E68" i="36" s="1"/>
  <c r="G68" i="36" s="1"/>
  <c r="C68" i="37" s="1"/>
  <c r="E68" i="37" s="1"/>
  <c r="G68" i="37" s="1"/>
  <c r="C68" i="38" s="1"/>
  <c r="E68" i="38" s="1"/>
  <c r="G68" i="38" s="1"/>
  <c r="C68" i="39" s="1"/>
  <c r="E68" i="39" s="1"/>
  <c r="G68" i="39" s="1"/>
  <c r="E65" i="35"/>
  <c r="G65" i="35" s="1"/>
  <c r="C65" i="36" s="1"/>
  <c r="E65" i="36" s="1"/>
  <c r="G65" i="36" s="1"/>
  <c r="C65" i="37" s="1"/>
  <c r="E65" i="37" s="1"/>
  <c r="G65" i="37" s="1"/>
  <c r="C65" i="38" s="1"/>
  <c r="E65" i="38" s="1"/>
  <c r="G65" i="38" s="1"/>
  <c r="C65" i="39" s="1"/>
  <c r="E65" i="39" s="1"/>
  <c r="G65" i="39" s="1"/>
  <c r="E63" i="35"/>
  <c r="G63" i="35" s="1"/>
  <c r="C63" i="36" s="1"/>
  <c r="E63" i="36" s="1"/>
  <c r="G63" i="36" s="1"/>
  <c r="C63" i="37" s="1"/>
  <c r="E63" i="37" s="1"/>
  <c r="G63" i="37" s="1"/>
  <c r="C63" i="38" s="1"/>
  <c r="E63" i="38" s="1"/>
  <c r="G63" i="38" s="1"/>
  <c r="C63" i="39" s="1"/>
  <c r="E63" i="39" s="1"/>
  <c r="G63" i="39" s="1"/>
  <c r="E60" i="35"/>
  <c r="G60" i="35" s="1"/>
  <c r="C60" i="36" s="1"/>
  <c r="E60" i="36" s="1"/>
  <c r="G60" i="36" s="1"/>
  <c r="C60" i="37" s="1"/>
  <c r="E60" i="37" s="1"/>
  <c r="G60" i="37" s="1"/>
  <c r="C60" i="38" s="1"/>
  <c r="E60" i="38" s="1"/>
  <c r="G60" i="38" s="1"/>
  <c r="C60" i="39" s="1"/>
  <c r="E60" i="39" s="1"/>
  <c r="G60" i="39" s="1"/>
  <c r="E59" i="35"/>
  <c r="G59" i="35" s="1"/>
  <c r="C59" i="36" s="1"/>
  <c r="E59" i="36" s="1"/>
  <c r="G59" i="36" s="1"/>
  <c r="C59" i="37" s="1"/>
  <c r="E59" i="37" s="1"/>
  <c r="G59" i="37" s="1"/>
  <c r="C59" i="38" s="1"/>
  <c r="E59" i="38" s="1"/>
  <c r="G59" i="38" s="1"/>
  <c r="C59" i="39" s="1"/>
  <c r="E59" i="39" s="1"/>
  <c r="G59" i="39" s="1"/>
  <c r="E58" i="35"/>
  <c r="G58" i="35" s="1"/>
  <c r="C58" i="36" s="1"/>
  <c r="E58" i="36" s="1"/>
  <c r="G58" i="36" s="1"/>
  <c r="C58" i="37" s="1"/>
  <c r="E58" i="37" s="1"/>
  <c r="G58" i="37" s="1"/>
  <c r="C58" i="38" s="1"/>
  <c r="E58" i="38" s="1"/>
  <c r="G58" i="38" s="1"/>
  <c r="C58" i="39" s="1"/>
  <c r="E58" i="39" s="1"/>
  <c r="G58" i="39" s="1"/>
  <c r="E54" i="35"/>
  <c r="G54" i="35" s="1"/>
  <c r="C54" i="36" s="1"/>
  <c r="E54" i="36" s="1"/>
  <c r="G54" i="36" s="1"/>
  <c r="C54" i="37" s="1"/>
  <c r="E54" i="37" s="1"/>
  <c r="G54" i="37" s="1"/>
  <c r="C54" i="38" s="1"/>
  <c r="E54" i="38" s="1"/>
  <c r="G54" i="38" s="1"/>
  <c r="C54" i="39" s="1"/>
  <c r="E54" i="39" s="1"/>
  <c r="G54" i="39" s="1"/>
  <c r="E52" i="35"/>
  <c r="G52" i="35" s="1"/>
  <c r="C52" i="36" s="1"/>
  <c r="E52" i="36" s="1"/>
  <c r="G52" i="36" s="1"/>
  <c r="C52" i="37" s="1"/>
  <c r="E52" i="37" s="1"/>
  <c r="G52" i="37" s="1"/>
  <c r="C52" i="38" s="1"/>
  <c r="E52" i="38" s="1"/>
  <c r="G52" i="38" s="1"/>
  <c r="C52" i="39" s="1"/>
  <c r="E52" i="39" s="1"/>
  <c r="G52" i="39" s="1"/>
  <c r="E47" i="35"/>
  <c r="G47" i="35" s="1"/>
  <c r="C47" i="36" s="1"/>
  <c r="E47" i="36" s="1"/>
  <c r="G47" i="36" s="1"/>
  <c r="C47" i="37" s="1"/>
  <c r="E47" i="37" s="1"/>
  <c r="G47" i="37" s="1"/>
  <c r="C47" i="38" s="1"/>
  <c r="E47" i="38" s="1"/>
  <c r="G47" i="38" s="1"/>
  <c r="C47" i="39" s="1"/>
  <c r="E47" i="39" s="1"/>
  <c r="G47" i="39" s="1"/>
  <c r="E45" i="35"/>
  <c r="G45" i="35" s="1"/>
  <c r="C45" i="36" s="1"/>
  <c r="E45" i="36" s="1"/>
  <c r="G45" i="36" s="1"/>
  <c r="C45" i="37" s="1"/>
  <c r="E45" i="37" s="1"/>
  <c r="G45" i="37" s="1"/>
  <c r="C45" i="38" s="1"/>
  <c r="E45" i="38" s="1"/>
  <c r="G45" i="38" s="1"/>
  <c r="C45" i="39" s="1"/>
  <c r="E45" i="39" s="1"/>
  <c r="G45" i="39" s="1"/>
  <c r="E41" i="35"/>
  <c r="G41" i="35" s="1"/>
  <c r="C41" i="36" s="1"/>
  <c r="E41" i="36" s="1"/>
  <c r="G41" i="36" s="1"/>
  <c r="C41" i="37" s="1"/>
  <c r="E41" i="37" s="1"/>
  <c r="G41" i="37" s="1"/>
  <c r="C41" i="38" s="1"/>
  <c r="E41" i="38" s="1"/>
  <c r="G41" i="38" s="1"/>
  <c r="C41" i="39" s="1"/>
  <c r="E41" i="39" s="1"/>
  <c r="G41" i="39" s="1"/>
  <c r="E36" i="35"/>
  <c r="G36" i="35" s="1"/>
  <c r="C36" i="36" s="1"/>
  <c r="E36" i="36" s="1"/>
  <c r="G36" i="36" s="1"/>
  <c r="C36" i="37" s="1"/>
  <c r="E36" i="37" s="1"/>
  <c r="G36" i="37" s="1"/>
  <c r="C36" i="38" s="1"/>
  <c r="E36" i="38" s="1"/>
  <c r="G36" i="38" s="1"/>
  <c r="C36" i="39" s="1"/>
  <c r="E36" i="39" s="1"/>
  <c r="G36" i="39" s="1"/>
  <c r="E35" i="35"/>
  <c r="G35" i="35" s="1"/>
  <c r="C35" i="36" s="1"/>
  <c r="E35" i="36" s="1"/>
  <c r="G35" i="36" s="1"/>
  <c r="C35" i="37" s="1"/>
  <c r="E35" i="37" s="1"/>
  <c r="G35" i="37" s="1"/>
  <c r="C35" i="38" s="1"/>
  <c r="E35" i="38" s="1"/>
  <c r="G35" i="38" s="1"/>
  <c r="C35" i="39" s="1"/>
  <c r="E35" i="39" s="1"/>
  <c r="G35" i="39" s="1"/>
  <c r="E33" i="35"/>
  <c r="G33" i="35" s="1"/>
  <c r="C33" i="36" s="1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E24" i="35"/>
  <c r="G24" i="35" s="1"/>
  <c r="C24" i="36" s="1"/>
  <c r="E24" i="36" s="1"/>
  <c r="G24" i="36" s="1"/>
  <c r="C24" i="37" s="1"/>
  <c r="E24" i="37" s="1"/>
  <c r="G24" i="37" s="1"/>
  <c r="C24" i="38" s="1"/>
  <c r="E24" i="38" s="1"/>
  <c r="G24" i="38" s="1"/>
  <c r="C24" i="39" s="1"/>
  <c r="E24" i="39" s="1"/>
  <c r="G24" i="39" s="1"/>
  <c r="E13" i="35"/>
  <c r="G13" i="35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E12" i="35"/>
  <c r="G12" i="35" s="1"/>
  <c r="C12" i="36" s="1"/>
  <c r="E12" i="36" s="1"/>
  <c r="G12" i="36" s="1"/>
  <c r="C12" i="37" s="1"/>
  <c r="E12" i="37" s="1"/>
  <c r="G12" i="37" s="1"/>
  <c r="C12" i="38" s="1"/>
  <c r="E12" i="38" s="1"/>
  <c r="G12" i="38" s="1"/>
  <c r="E10" i="35"/>
  <c r="G10" i="35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E9" i="35"/>
  <c r="G9" i="35" s="1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46" i="39"/>
  <c r="E46" i="39" s="1"/>
  <c r="G46" i="39" s="1"/>
  <c r="C200" i="39"/>
  <c r="E200" i="39" s="1"/>
  <c r="G200" i="39" s="1"/>
  <c r="C14" i="39"/>
  <c r="E14" i="39" s="1"/>
  <c r="G14" i="39" s="1"/>
  <c r="C64" i="39"/>
  <c r="E64" i="39" s="1"/>
  <c r="G64" i="39" s="1"/>
  <c r="C7" i="39"/>
  <c r="E7" i="39" s="1"/>
  <c r="G7" i="39" s="1"/>
  <c r="C25" i="39"/>
  <c r="E25" i="39" s="1"/>
  <c r="G25" i="39" s="1"/>
  <c r="C16" i="39"/>
  <c r="E16" i="39" s="1"/>
  <c r="G16" i="39" s="1"/>
  <c r="C31" i="39"/>
  <c r="E31" i="39" s="1"/>
  <c r="G31" i="39" s="1"/>
  <c r="C70" i="39"/>
  <c r="E70" i="39" s="1"/>
  <c r="G70" i="39" s="1"/>
  <c r="C118" i="39"/>
  <c r="E118" i="39" s="1"/>
  <c r="G118" i="39" s="1"/>
  <c r="C130" i="39"/>
  <c r="E130" i="39" s="1"/>
  <c r="G130" i="39" s="1"/>
  <c r="C168" i="39"/>
  <c r="E168" i="39" s="1"/>
  <c r="G168" i="39" s="1"/>
  <c r="C61" i="39"/>
  <c r="E61" i="39" s="1"/>
  <c r="G61" i="39" s="1"/>
  <c r="C96" i="39"/>
  <c r="E96" i="39" s="1"/>
  <c r="G96" i="39" s="1"/>
  <c r="C27" i="39"/>
  <c r="E27" i="39" s="1"/>
  <c r="G27" i="39" s="1"/>
  <c r="C11" i="39"/>
  <c r="E11" i="39" s="1"/>
  <c r="G11" i="39" s="1"/>
  <c r="C22" i="39"/>
  <c r="E22" i="39" s="1"/>
  <c r="G22" i="39" s="1"/>
  <c r="C78" i="39"/>
  <c r="E78" i="39" s="1"/>
  <c r="G78" i="39" s="1"/>
  <c r="C80" i="39"/>
  <c r="E80" i="39" s="1"/>
  <c r="G80" i="39" s="1"/>
  <c r="C112" i="39"/>
  <c r="E112" i="39" s="1"/>
  <c r="G112" i="39" s="1"/>
  <c r="C184" i="39"/>
  <c r="E184" i="39" s="1"/>
  <c r="G184" i="39" s="1"/>
  <c r="C98" i="39"/>
  <c r="E98" i="39" s="1"/>
  <c r="G98" i="39" s="1"/>
  <c r="C192" i="39"/>
  <c r="E192" i="39" s="1"/>
  <c r="G192" i="39" s="1"/>
  <c r="C19" i="39"/>
  <c r="E19" i="39" s="1"/>
  <c r="G19" i="39" s="1"/>
  <c r="C28" i="39"/>
  <c r="E28" i="39" s="1"/>
  <c r="G28" i="39" s="1"/>
  <c r="C30" i="39"/>
  <c r="E30" i="39" s="1"/>
  <c r="G30" i="39" s="1"/>
  <c r="C50" i="39"/>
  <c r="E50" i="39" s="1"/>
  <c r="G50" i="39" s="1"/>
  <c r="C104" i="39"/>
  <c r="E104" i="39" s="1"/>
  <c r="G104" i="39" s="1"/>
  <c r="C120" i="39"/>
  <c r="E120" i="39" s="1"/>
  <c r="G120" i="39" s="1"/>
  <c r="C158" i="39"/>
  <c r="E158" i="39" s="1"/>
  <c r="G158" i="39" s="1"/>
  <c r="C176" i="39"/>
  <c r="E176" i="39" s="1"/>
  <c r="G176" i="39" s="1"/>
  <c r="C151" i="39"/>
  <c r="E151" i="39" s="1"/>
  <c r="G151" i="39" s="1"/>
  <c r="C15" i="39"/>
  <c r="E15" i="39" s="1"/>
  <c r="G15" i="39" s="1"/>
  <c r="C32" i="39"/>
  <c r="E32" i="39" s="1"/>
  <c r="G32" i="39" s="1"/>
  <c r="C40" i="39"/>
  <c r="E40" i="39" s="1"/>
  <c r="G40" i="39" s="1"/>
  <c r="C42" i="39"/>
  <c r="E42" i="39" s="1"/>
  <c r="G42" i="39" s="1"/>
  <c r="C56" i="39"/>
  <c r="E56" i="39" s="1"/>
  <c r="G56" i="39" s="1"/>
  <c r="C146" i="39"/>
  <c r="E146" i="39" s="1"/>
  <c r="G146" i="39" s="1"/>
  <c r="C152" i="39"/>
  <c r="E152" i="39" s="1"/>
  <c r="G152" i="39" s="1"/>
  <c r="C6" i="39"/>
  <c r="E6" i="39" s="1"/>
  <c r="G6" i="39" s="1"/>
  <c r="C128" i="39"/>
  <c r="E128" i="39" s="1"/>
  <c r="G128" i="39" s="1"/>
  <c r="C21" i="39"/>
  <c r="E21" i="39" s="1"/>
  <c r="G21" i="39" s="1"/>
  <c r="C8" i="39"/>
  <c r="E8" i="39" s="1"/>
  <c r="G8" i="39" s="1"/>
  <c r="C23" i="39"/>
  <c r="E23" i="39" s="1"/>
  <c r="G23" i="39" s="1"/>
  <c r="C160" i="39"/>
  <c r="E160" i="39" s="1"/>
  <c r="G160" i="39" s="1"/>
  <c r="C182" i="39"/>
  <c r="E182" i="39" s="1"/>
  <c r="G182" i="39" s="1"/>
  <c r="K222" i="65"/>
  <c r="K224" i="65" s="1"/>
  <c r="M35" i="16"/>
  <c r="S35" i="16" s="1"/>
  <c r="U35" i="16" s="1"/>
  <c r="K222" i="64"/>
  <c r="M34" i="16"/>
  <c r="K222" i="63"/>
  <c r="K225" i="63" s="1"/>
  <c r="M33" i="16"/>
  <c r="K222" i="62"/>
  <c r="K225" i="62" s="1"/>
  <c r="M32" i="16"/>
  <c r="K222" i="61"/>
  <c r="M31" i="16"/>
  <c r="K222" i="60"/>
  <c r="K225" i="60" s="1"/>
  <c r="M30" i="16"/>
  <c r="K222" i="59"/>
  <c r="K224" i="59" s="1"/>
  <c r="M29" i="16"/>
  <c r="K222" i="58"/>
  <c r="K225" i="58" s="1"/>
  <c r="M28" i="16"/>
  <c r="K222" i="57"/>
  <c r="K225" i="57" s="1"/>
  <c r="M27" i="16"/>
  <c r="K222" i="56"/>
  <c r="K225" i="56" s="1"/>
  <c r="M26" i="16"/>
  <c r="K222" i="55"/>
  <c r="K224" i="55" s="1"/>
  <c r="M25" i="16"/>
  <c r="K222" i="54"/>
  <c r="K224" i="54" s="1"/>
  <c r="M24" i="16"/>
  <c r="K222" i="53"/>
  <c r="K225" i="53" s="1"/>
  <c r="M23" i="16"/>
  <c r="K222" i="52"/>
  <c r="K224" i="52" s="1"/>
  <c r="K227" i="52" s="1"/>
  <c r="M22" i="16"/>
  <c r="K222" i="51"/>
  <c r="K225" i="51" s="1"/>
  <c r="M21" i="16"/>
  <c r="K224" i="50"/>
  <c r="K227" i="50" s="1"/>
  <c r="M20" i="16"/>
  <c r="K224" i="49"/>
  <c r="K226" i="49" s="1"/>
  <c r="K229" i="49" s="1"/>
  <c r="M19" i="16"/>
  <c r="K224" i="48"/>
  <c r="K226" i="48" s="1"/>
  <c r="K229" i="48" s="1"/>
  <c r="M18" i="16"/>
  <c r="K224" i="47"/>
  <c r="K227" i="47" s="1"/>
  <c r="M17" i="16"/>
  <c r="K224" i="46"/>
  <c r="K226" i="46" s="1"/>
  <c r="K229" i="46" s="1"/>
  <c r="M16" i="16"/>
  <c r="K222" i="45"/>
  <c r="K225" i="45" s="1"/>
  <c r="M15" i="16"/>
  <c r="K222" i="44"/>
  <c r="K225" i="44" s="1"/>
  <c r="M14" i="16"/>
  <c r="K222" i="43"/>
  <c r="K224" i="43" s="1"/>
  <c r="K227" i="43" s="1"/>
  <c r="M13" i="16"/>
  <c r="K222" i="42"/>
  <c r="K225" i="42" s="1"/>
  <c r="M12" i="16"/>
  <c r="J29" i="16"/>
  <c r="M26" i="35"/>
  <c r="J26" i="16"/>
  <c r="M45" i="35"/>
  <c r="J45" i="16"/>
  <c r="M118" i="35"/>
  <c r="J118" i="16"/>
  <c r="M128" i="35"/>
  <c r="J128" i="16"/>
  <c r="M135" i="35"/>
  <c r="J135" i="16"/>
  <c r="M141" i="35"/>
  <c r="J141" i="16"/>
  <c r="M192" i="35"/>
  <c r="J192" i="16"/>
  <c r="M198" i="35"/>
  <c r="J198" i="16"/>
  <c r="M15" i="35"/>
  <c r="J15" i="16"/>
  <c r="M19" i="35"/>
  <c r="J19" i="16"/>
  <c r="M33" i="35"/>
  <c r="J33" i="16"/>
  <c r="M53" i="35"/>
  <c r="J53" i="16"/>
  <c r="M71" i="35"/>
  <c r="J71" i="16"/>
  <c r="M106" i="35"/>
  <c r="J106" i="16"/>
  <c r="M158" i="35"/>
  <c r="J158" i="16"/>
  <c r="M163" i="35"/>
  <c r="J163" i="16"/>
  <c r="M168" i="35"/>
  <c r="J168" i="16"/>
  <c r="M183" i="35"/>
  <c r="J183" i="16"/>
  <c r="M12" i="35"/>
  <c r="J12" i="16"/>
  <c r="M14" i="35"/>
  <c r="J14" i="16"/>
  <c r="M21" i="35"/>
  <c r="M59" i="35"/>
  <c r="J59" i="16"/>
  <c r="M61" i="35"/>
  <c r="J61" i="16"/>
  <c r="M64" i="35"/>
  <c r="J64" i="16"/>
  <c r="M77" i="35"/>
  <c r="M79" i="35"/>
  <c r="J79" i="16"/>
  <c r="M81" i="35"/>
  <c r="J81" i="16"/>
  <c r="M83" i="35"/>
  <c r="J83" i="16"/>
  <c r="M93" i="35"/>
  <c r="J93" i="16"/>
  <c r="M98" i="35"/>
  <c r="J98" i="16"/>
  <c r="M107" i="35"/>
  <c r="J107" i="16"/>
  <c r="M112" i="35"/>
  <c r="J112" i="16"/>
  <c r="M119" i="35"/>
  <c r="J119" i="16"/>
  <c r="M123" i="35"/>
  <c r="M129" i="35"/>
  <c r="J129" i="16"/>
  <c r="M152" i="35"/>
  <c r="J152" i="16"/>
  <c r="M159" i="35"/>
  <c r="J159" i="16"/>
  <c r="M164" i="35"/>
  <c r="J164" i="16"/>
  <c r="M169" i="35"/>
  <c r="J169" i="16"/>
  <c r="M175" i="35"/>
  <c r="J175" i="16"/>
  <c r="M188" i="35"/>
  <c r="M193" i="35"/>
  <c r="J193" i="16"/>
  <c r="M199" i="35"/>
  <c r="J199" i="16"/>
  <c r="M203" i="35"/>
  <c r="M39" i="35"/>
  <c r="J39" i="16"/>
  <c r="M43" i="35"/>
  <c r="J43" i="16"/>
  <c r="M47" i="35"/>
  <c r="J47" i="16"/>
  <c r="M55" i="35"/>
  <c r="J55" i="16"/>
  <c r="M96" i="35"/>
  <c r="J96" i="16"/>
  <c r="M7" i="35"/>
  <c r="J7" i="16"/>
  <c r="M9" i="35"/>
  <c r="J9" i="16"/>
  <c r="M16" i="35"/>
  <c r="J16" i="16"/>
  <c r="M18" i="35"/>
  <c r="J18" i="16"/>
  <c r="M23" i="35"/>
  <c r="J23" i="16"/>
  <c r="M28" i="35"/>
  <c r="J28" i="16"/>
  <c r="M30" i="35"/>
  <c r="J30" i="16"/>
  <c r="M34" i="35"/>
  <c r="J34" i="16"/>
  <c r="M38" i="35"/>
  <c r="J38" i="16"/>
  <c r="M66" i="35"/>
  <c r="J66" i="16"/>
  <c r="M68" i="35"/>
  <c r="J68" i="16"/>
  <c r="M70" i="35"/>
  <c r="J70" i="16"/>
  <c r="M91" i="35"/>
  <c r="J91" i="16"/>
  <c r="M95" i="35"/>
  <c r="J95" i="16"/>
  <c r="M102" i="35"/>
  <c r="J102" i="16"/>
  <c r="M108" i="35"/>
  <c r="J108" i="16"/>
  <c r="M113" i="35"/>
  <c r="J113" i="16"/>
  <c r="M124" i="35"/>
  <c r="J124" i="16"/>
  <c r="M153" i="35"/>
  <c r="J153" i="16"/>
  <c r="M170" i="35"/>
  <c r="J170" i="16"/>
  <c r="M184" i="35"/>
  <c r="J184" i="16"/>
  <c r="M189" i="35"/>
  <c r="J189" i="16"/>
  <c r="M204" i="35"/>
  <c r="J204" i="16"/>
  <c r="M75" i="35"/>
  <c r="J75" i="16"/>
  <c r="M20" i="35"/>
  <c r="J20" i="16"/>
  <c r="M25" i="35"/>
  <c r="J25" i="16"/>
  <c r="M32" i="35"/>
  <c r="J32" i="16"/>
  <c r="M40" i="35"/>
  <c r="J40" i="16"/>
  <c r="M42" i="35"/>
  <c r="J42" i="16"/>
  <c r="M50" i="35"/>
  <c r="J50" i="16"/>
  <c r="M52" i="35"/>
  <c r="J52" i="16"/>
  <c r="M63" i="35"/>
  <c r="J63" i="16"/>
  <c r="M74" i="35"/>
  <c r="J74" i="16"/>
  <c r="M87" i="35"/>
  <c r="J87" i="16"/>
  <c r="M89" i="35"/>
  <c r="J89" i="16"/>
  <c r="M109" i="35"/>
  <c r="J109" i="16"/>
  <c r="M114" i="35"/>
  <c r="J114" i="16"/>
  <c r="M125" i="35"/>
  <c r="J125" i="16"/>
  <c r="M130" i="35"/>
  <c r="J130" i="16"/>
  <c r="M143" i="35"/>
  <c r="J143" i="16"/>
  <c r="M147" i="35"/>
  <c r="J147" i="16"/>
  <c r="M154" i="35"/>
  <c r="J154" i="16"/>
  <c r="M165" i="35"/>
  <c r="J165" i="16"/>
  <c r="M185" i="35"/>
  <c r="J185" i="16"/>
  <c r="M205" i="35"/>
  <c r="J205" i="16"/>
  <c r="M46" i="35"/>
  <c r="J46" i="16"/>
  <c r="M115" i="35"/>
  <c r="J115" i="16"/>
  <c r="M148" i="35"/>
  <c r="J148" i="16"/>
  <c r="M155" i="35"/>
  <c r="J155" i="16"/>
  <c r="M195" i="35"/>
  <c r="J195" i="16"/>
  <c r="M206" i="35"/>
  <c r="J206" i="16"/>
  <c r="M27" i="35"/>
  <c r="J27" i="16"/>
  <c r="M48" i="35"/>
  <c r="J48" i="16"/>
  <c r="M131" i="35"/>
  <c r="J131" i="16"/>
  <c r="M137" i="35"/>
  <c r="J137" i="16"/>
  <c r="M6" i="35"/>
  <c r="J6" i="16"/>
  <c r="M13" i="35"/>
  <c r="J13" i="16"/>
  <c r="M17" i="35"/>
  <c r="J17" i="16"/>
  <c r="M22" i="35"/>
  <c r="J22" i="16"/>
  <c r="M56" i="35"/>
  <c r="M58" i="35"/>
  <c r="J58" i="16"/>
  <c r="M78" i="35"/>
  <c r="J78" i="16"/>
  <c r="M82" i="35"/>
  <c r="M94" i="35"/>
  <c r="J94" i="16"/>
  <c r="M97" i="35"/>
  <c r="M116" i="35"/>
  <c r="J116" i="16"/>
  <c r="M121" i="35"/>
  <c r="J121" i="16"/>
  <c r="M126" i="35"/>
  <c r="J126" i="16"/>
  <c r="M132" i="35"/>
  <c r="J132" i="16"/>
  <c r="M138" i="35"/>
  <c r="J138" i="16"/>
  <c r="M149" i="35"/>
  <c r="J149" i="16"/>
  <c r="M156" i="35"/>
  <c r="J156" i="16"/>
  <c r="M161" i="35"/>
  <c r="J161" i="16"/>
  <c r="M166" i="35"/>
  <c r="M172" i="35"/>
  <c r="J172" i="16"/>
  <c r="M177" i="35"/>
  <c r="J177" i="16"/>
  <c r="M181" i="35"/>
  <c r="J181" i="16"/>
  <c r="M186" i="35"/>
  <c r="M190" i="35"/>
  <c r="M201" i="35"/>
  <c r="J201" i="16"/>
  <c r="M207" i="35"/>
  <c r="J207" i="16"/>
  <c r="M41" i="35"/>
  <c r="J41" i="16"/>
  <c r="M62" i="35"/>
  <c r="J62" i="16"/>
  <c r="M69" i="35"/>
  <c r="J69" i="16"/>
  <c r="M86" i="35"/>
  <c r="J86" i="16"/>
  <c r="M167" i="35"/>
  <c r="J167" i="16"/>
  <c r="M173" i="35"/>
  <c r="J173" i="16"/>
  <c r="M191" i="35"/>
  <c r="J191" i="16"/>
  <c r="M90" i="35"/>
  <c r="J90" i="16"/>
  <c r="M92" i="35"/>
  <c r="J92" i="16"/>
  <c r="M99" i="35"/>
  <c r="J99" i="16"/>
  <c r="M101" i="35"/>
  <c r="J101" i="16"/>
  <c r="M103" i="35"/>
  <c r="J103" i="16"/>
  <c r="M105" i="35"/>
  <c r="J105" i="16"/>
  <c r="M117" i="35"/>
  <c r="J117" i="16"/>
  <c r="M127" i="35"/>
  <c r="J127" i="16"/>
  <c r="M133" i="35"/>
  <c r="J133" i="16"/>
  <c r="M139" i="35"/>
  <c r="J139" i="16"/>
  <c r="M150" i="35"/>
  <c r="J150" i="16"/>
  <c r="M157" i="35"/>
  <c r="J157" i="16"/>
  <c r="M8" i="35"/>
  <c r="M10" i="35"/>
  <c r="J10" i="16"/>
  <c r="M24" i="35"/>
  <c r="M31" i="35"/>
  <c r="J31" i="16"/>
  <c r="M35" i="35"/>
  <c r="J35" i="16"/>
  <c r="M37" i="35"/>
  <c r="J37" i="16"/>
  <c r="M49" i="35"/>
  <c r="J49" i="16"/>
  <c r="M51" i="35"/>
  <c r="J51" i="16"/>
  <c r="M67" i="35"/>
  <c r="J67" i="16"/>
  <c r="M73" i="35"/>
  <c r="J73" i="16"/>
  <c r="M88" i="35"/>
  <c r="J88" i="16"/>
  <c r="M111" i="35"/>
  <c r="J111" i="16"/>
  <c r="M122" i="35"/>
  <c r="M134" i="35"/>
  <c r="J134" i="16"/>
  <c r="M140" i="35"/>
  <c r="J140" i="16"/>
  <c r="M145" i="35"/>
  <c r="J145" i="16"/>
  <c r="M151" i="35"/>
  <c r="J151" i="16"/>
  <c r="M162" i="35"/>
  <c r="J162" i="16"/>
  <c r="M182" i="35"/>
  <c r="J182" i="16"/>
  <c r="M187" i="35"/>
  <c r="M197" i="35"/>
  <c r="J197" i="16"/>
  <c r="M202" i="35"/>
  <c r="M208" i="35"/>
  <c r="J208" i="16"/>
  <c r="M5" i="35"/>
  <c r="K225" i="64"/>
  <c r="K224" i="64"/>
  <c r="K225" i="61"/>
  <c r="K224" i="61"/>
  <c r="K224" i="58"/>
  <c r="K224" i="57"/>
  <c r="K225" i="54"/>
  <c r="K225" i="52"/>
  <c r="K224" i="51"/>
  <c r="K227" i="51" s="1"/>
  <c r="X107" i="37"/>
  <c r="X107" i="36"/>
  <c r="C51" i="40" l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C57" i="40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E57" i="50" s="1"/>
  <c r="C55" i="40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C55" i="65" s="1"/>
  <c r="E55" i="65" s="1"/>
  <c r="G55" i="65" s="1"/>
  <c r="C183" i="40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M5" i="16"/>
  <c r="C58" i="40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C133" i="40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133" i="50" s="1"/>
  <c r="K225" i="55"/>
  <c r="E6" i="40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C6" i="65" s="1"/>
  <c r="E6" i="65" s="1"/>
  <c r="G6" i="65" s="1"/>
  <c r="C6" i="40"/>
  <c r="K225" i="59"/>
  <c r="M6" i="16"/>
  <c r="K222" i="36"/>
  <c r="C204" i="40"/>
  <c r="E204" i="40" s="1"/>
  <c r="G204" i="40" s="1"/>
  <c r="C204" i="41" s="1"/>
  <c r="E204" i="41" s="1"/>
  <c r="G204" i="41" s="1"/>
  <c r="C204" i="42" s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C9" i="40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C9" i="65" s="1"/>
  <c r="E9" i="65" s="1"/>
  <c r="G9" i="65" s="1"/>
  <c r="C106" i="40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106" i="50" s="1"/>
  <c r="C176" i="40"/>
  <c r="E176" i="40" s="1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C27" i="40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C27" i="65" s="1"/>
  <c r="E27" i="65" s="1"/>
  <c r="G27" i="65" s="1"/>
  <c r="C45" i="40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C45" i="65" s="1"/>
  <c r="E45" i="65" s="1"/>
  <c r="G45" i="65" s="1"/>
  <c r="C65" i="40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C97" i="40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97" i="50" s="1"/>
  <c r="E97" i="50" s="1"/>
  <c r="C116" i="40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16" i="50" s="1"/>
  <c r="C136" i="40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E136" i="50" s="1"/>
  <c r="C156" i="40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E156" i="50" s="1"/>
  <c r="C177" i="40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E199" i="40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C199" i="40"/>
  <c r="C208" i="36"/>
  <c r="E208" i="36" s="1"/>
  <c r="G208" i="36" s="1"/>
  <c r="C208" i="37" s="1"/>
  <c r="E208" i="37" s="1"/>
  <c r="G208" i="37" s="1"/>
  <c r="C208" i="38" s="1"/>
  <c r="E208" i="38" s="1"/>
  <c r="G208" i="38" s="1"/>
  <c r="C208" i="39" s="1"/>
  <c r="E208" i="39" s="1"/>
  <c r="G208" i="39" s="1"/>
  <c r="C182" i="40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C146" i="40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46" i="50" s="1"/>
  <c r="E158" i="40"/>
  <c r="G158" i="40" s="1"/>
  <c r="C158" i="41" s="1"/>
  <c r="E158" i="41" s="1"/>
  <c r="G158" i="41" s="1"/>
  <c r="C158" i="42" s="1"/>
  <c r="E158" i="42" s="1"/>
  <c r="G158" i="42" s="1"/>
  <c r="C158" i="40"/>
  <c r="C98" i="40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98" i="50" s="1"/>
  <c r="E98" i="50" s="1"/>
  <c r="E96" i="40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96" i="50" s="1"/>
  <c r="C96" i="40"/>
  <c r="C25" i="40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C25" i="65" s="1"/>
  <c r="E25" i="65" s="1"/>
  <c r="G25" i="65" s="1"/>
  <c r="C47" i="40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C47" i="65" s="1"/>
  <c r="E47" i="65" s="1"/>
  <c r="G47" i="65" s="1"/>
  <c r="C68" i="40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C99" i="40"/>
  <c r="E99" i="40" s="1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99" i="50" s="1"/>
  <c r="E99" i="50" s="1"/>
  <c r="C108" i="40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08" i="50" s="1"/>
  <c r="C117" i="40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117" i="50" s="1"/>
  <c r="C127" i="40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127" i="50" s="1"/>
  <c r="E127" i="50" s="1"/>
  <c r="C137" i="40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37" i="50" s="1"/>
  <c r="C145" i="40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E145" i="50" s="1"/>
  <c r="E157" i="40"/>
  <c r="G157" i="40" s="1"/>
  <c r="C157" i="41" s="1"/>
  <c r="E157" i="41" s="1"/>
  <c r="G157" i="41" s="1"/>
  <c r="C157" i="42" s="1"/>
  <c r="E157" i="42" s="1"/>
  <c r="G157" i="42" s="1"/>
  <c r="C157" i="40"/>
  <c r="C169" i="40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E169" i="50" s="1"/>
  <c r="E179" i="40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C179" i="40"/>
  <c r="C190" i="40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E201" i="40"/>
  <c r="G201" i="40" s="1"/>
  <c r="C201" i="41" s="1"/>
  <c r="E201" i="41" s="1"/>
  <c r="G201" i="41" s="1"/>
  <c r="C201" i="42" s="1"/>
  <c r="E201" i="42" s="1"/>
  <c r="G201" i="42" s="1"/>
  <c r="C201" i="40"/>
  <c r="C17" i="40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C17" i="65" s="1"/>
  <c r="E17" i="65" s="1"/>
  <c r="G17" i="65" s="1"/>
  <c r="E18" i="40"/>
  <c r="G18" i="40" s="1"/>
  <c r="C18" i="40"/>
  <c r="C79" i="40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C66" i="40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C193" i="40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C151" i="40"/>
  <c r="E151" i="40" s="1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C41" i="40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C41" i="65" s="1"/>
  <c r="E41" i="65" s="1"/>
  <c r="G41" i="65" s="1"/>
  <c r="C115" i="40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5" i="50" s="1"/>
  <c r="C152" i="40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52" i="50" s="1"/>
  <c r="C192" i="40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C16" i="40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C16" i="65" s="1"/>
  <c r="E16" i="65" s="1"/>
  <c r="G16" i="65" s="1"/>
  <c r="E160" i="40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60" i="50" s="1"/>
  <c r="C160" i="40"/>
  <c r="C56" i="40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E120" i="40"/>
  <c r="G120" i="40" s="1"/>
  <c r="C120" i="41" s="1"/>
  <c r="E120" i="41" s="1"/>
  <c r="G120" i="41" s="1"/>
  <c r="C120" i="42" s="1"/>
  <c r="E120" i="42" s="1"/>
  <c r="G120" i="42" s="1"/>
  <c r="C120" i="40"/>
  <c r="C184" i="40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C61" i="40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C7" i="40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C7" i="65" s="1"/>
  <c r="E7" i="65" s="1"/>
  <c r="G7" i="65" s="1"/>
  <c r="E13" i="40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C13" i="65" s="1"/>
  <c r="E13" i="65" s="1"/>
  <c r="G13" i="65" s="1"/>
  <c r="C13" i="40"/>
  <c r="C52" i="40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C69" i="40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C84" i="40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C100" i="40"/>
  <c r="E100" i="40" s="1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100" i="50" s="1"/>
  <c r="C109" i="40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09" i="50" s="1"/>
  <c r="C119" i="40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19" i="50" s="1"/>
  <c r="C129" i="40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E129" i="50" s="1"/>
  <c r="C138" i="40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138" i="50" s="1"/>
  <c r="C147" i="40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147" i="50" s="1"/>
  <c r="E159" i="40"/>
  <c r="G159" i="40" s="1"/>
  <c r="C159" i="41" s="1"/>
  <c r="E159" i="41" s="1"/>
  <c r="G159" i="41" s="1"/>
  <c r="C159" i="42" s="1"/>
  <c r="E159" i="42" s="1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159" i="50" s="1"/>
  <c r="E159" i="50" s="1"/>
  <c r="C159" i="40"/>
  <c r="C170" i="40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E170" i="50" s="1"/>
  <c r="E180" i="40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C180" i="40"/>
  <c r="C191" i="40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C202" i="40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C49" i="40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C49" i="65" s="1"/>
  <c r="E49" i="65" s="1"/>
  <c r="G49" i="65" s="1"/>
  <c r="E26" i="40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C26" i="65" s="1"/>
  <c r="E26" i="65" s="1"/>
  <c r="G26" i="65" s="1"/>
  <c r="C26" i="40"/>
  <c r="C163" i="40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C92" i="40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C89" i="40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C104" i="40"/>
  <c r="E104" i="40" s="1"/>
  <c r="G104" i="40" s="1"/>
  <c r="C104" i="41" s="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104" i="50" s="1"/>
  <c r="C168" i="40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68" i="50" s="1"/>
  <c r="E168" i="50" s="1"/>
  <c r="C72" i="40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C121" i="40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21" i="50" s="1"/>
  <c r="E121" i="50" s="1"/>
  <c r="C131" i="40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31" i="50" s="1"/>
  <c r="E131" i="50" s="1"/>
  <c r="C139" i="40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39" i="50" s="1"/>
  <c r="E139" i="50" s="1"/>
  <c r="E148" i="40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E148" i="50" s="1"/>
  <c r="C148" i="40"/>
  <c r="C161" i="40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E171" i="40"/>
  <c r="G171" i="40" s="1"/>
  <c r="C171" i="41" s="1"/>
  <c r="E171" i="41" s="1"/>
  <c r="G171" i="41" s="1"/>
  <c r="C171" i="42" s="1"/>
  <c r="E171" i="42" s="1"/>
  <c r="G171" i="42" s="1"/>
  <c r="C171" i="40"/>
  <c r="C181" i="40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C194" i="40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C203" i="40"/>
  <c r="E203" i="40" s="1"/>
  <c r="G203" i="40" s="1"/>
  <c r="C203" i="41" s="1"/>
  <c r="E203" i="41" s="1"/>
  <c r="G203" i="41" s="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E71" i="40"/>
  <c r="G71" i="40" s="1"/>
  <c r="C71" i="41" s="1"/>
  <c r="E71" i="41" s="1"/>
  <c r="G71" i="41" s="1"/>
  <c r="C71" i="42" s="1"/>
  <c r="E71" i="42" s="1"/>
  <c r="G71" i="42" s="1"/>
  <c r="C71" i="40"/>
  <c r="C48" i="40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37" i="40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C37" i="65" s="1"/>
  <c r="E37" i="65" s="1"/>
  <c r="G37" i="65" s="1"/>
  <c r="C44" i="40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C44" i="65" s="1"/>
  <c r="E44" i="65" s="1"/>
  <c r="G44" i="65" s="1"/>
  <c r="C42" i="40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C42" i="65" s="1"/>
  <c r="E42" i="65" s="1"/>
  <c r="G42" i="65" s="1"/>
  <c r="C112" i="40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12" i="50" s="1"/>
  <c r="E112" i="50" s="1"/>
  <c r="C64" i="40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C90" i="40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C40" i="40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C40" i="65" s="1"/>
  <c r="E40" i="65" s="1"/>
  <c r="G40" i="65" s="1"/>
  <c r="C80" i="40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E14" i="40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C14" i="65" s="1"/>
  <c r="E14" i="65" s="1"/>
  <c r="G14" i="65" s="1"/>
  <c r="C14" i="40"/>
  <c r="C91" i="40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E91" i="50" s="1"/>
  <c r="E111" i="40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E111" i="50" s="1"/>
  <c r="C111" i="40"/>
  <c r="C132" i="40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E132" i="50" s="1"/>
  <c r="E149" i="40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49" i="50" s="1"/>
  <c r="E149" i="50" s="1"/>
  <c r="C149" i="40"/>
  <c r="C172" i="40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E195" i="40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C195" i="40"/>
  <c r="C85" i="40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C62" i="40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C77" i="40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C34" i="40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C34" i="65" s="1"/>
  <c r="E34" i="65" s="1"/>
  <c r="G34" i="65" s="1"/>
  <c r="C23" i="40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C23" i="65" s="1"/>
  <c r="E23" i="65" s="1"/>
  <c r="G23" i="65" s="1"/>
  <c r="C54" i="40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C110" i="40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110" i="50" s="1"/>
  <c r="C8" i="40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C8" i="65" s="1"/>
  <c r="E8" i="65" s="1"/>
  <c r="G8" i="65" s="1"/>
  <c r="C50" i="40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E50" i="50" s="1"/>
  <c r="E130" i="40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30" i="50" s="1"/>
  <c r="C130" i="40"/>
  <c r="C74" i="40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E102" i="40"/>
  <c r="G102" i="40" s="1"/>
  <c r="C102" i="41" s="1"/>
  <c r="E102" i="41" s="1"/>
  <c r="G102" i="41" s="1"/>
  <c r="C102" i="42" s="1"/>
  <c r="E102" i="42" s="1"/>
  <c r="G102" i="42" s="1"/>
  <c r="C102" i="40"/>
  <c r="C122" i="40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C122" i="50" s="1"/>
  <c r="E122" i="50" s="1"/>
  <c r="E140" i="40"/>
  <c r="G140" i="40" s="1"/>
  <c r="C140" i="41" s="1"/>
  <c r="E140" i="41" s="1"/>
  <c r="G140" i="41" s="1"/>
  <c r="C140" i="42" s="1"/>
  <c r="E140" i="42" s="1"/>
  <c r="G140" i="42" s="1"/>
  <c r="C140" i="40"/>
  <c r="C162" i="40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E185" i="40"/>
  <c r="G185" i="40" s="1"/>
  <c r="C185" i="41" s="1"/>
  <c r="E185" i="41" s="1"/>
  <c r="G185" i="41" s="1"/>
  <c r="C185" i="42" s="1"/>
  <c r="E185" i="42" s="1"/>
  <c r="G185" i="42" s="1"/>
  <c r="C185" i="40"/>
  <c r="C86" i="40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C21" i="40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C21" i="65" s="1"/>
  <c r="E21" i="65" s="1"/>
  <c r="G21" i="65" s="1"/>
  <c r="C32" i="40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C32" i="65" s="1"/>
  <c r="E32" i="65" s="1"/>
  <c r="G32" i="65" s="1"/>
  <c r="C30" i="40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C30" i="65" s="1"/>
  <c r="E30" i="65" s="1"/>
  <c r="G30" i="65" s="1"/>
  <c r="C78" i="40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C118" i="40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118" i="50" s="1"/>
  <c r="C200" i="40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C35" i="40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C35" i="65" s="1"/>
  <c r="E35" i="65" s="1"/>
  <c r="G35" i="65" s="1"/>
  <c r="C59" i="40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E75" i="40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C75" i="40"/>
  <c r="C103" i="40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03" i="50" s="1"/>
  <c r="E113" i="40"/>
  <c r="G113" i="40" s="1"/>
  <c r="C113" i="41" s="1"/>
  <c r="E113" i="41" s="1"/>
  <c r="G113" i="41" s="1"/>
  <c r="C113" i="42" s="1"/>
  <c r="E113" i="42" s="1"/>
  <c r="G113" i="42" s="1"/>
  <c r="C113" i="40"/>
  <c r="C123" i="40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23" i="50" s="1"/>
  <c r="E141" i="40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E141" i="50" s="1"/>
  <c r="C141" i="40"/>
  <c r="C153" i="40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E164" i="40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C164" i="40"/>
  <c r="C173" i="40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73" i="50" s="1"/>
  <c r="C186" i="40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C196" i="40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C205" i="40"/>
  <c r="E205" i="40" s="1"/>
  <c r="G205" i="40" s="1"/>
  <c r="C205" i="41" s="1"/>
  <c r="E205" i="41" s="1"/>
  <c r="G205" i="41" s="1"/>
  <c r="C205" i="42" s="1"/>
  <c r="E205" i="42" s="1"/>
  <c r="G205" i="42" s="1"/>
  <c r="C205" i="43" s="1"/>
  <c r="E205" i="43" s="1"/>
  <c r="G205" i="43" s="1"/>
  <c r="C205" i="44" s="1"/>
  <c r="E205" i="44" s="1"/>
  <c r="G205" i="44" s="1"/>
  <c r="C205" i="45" s="1"/>
  <c r="E205" i="45" s="1"/>
  <c r="G205" i="45" s="1"/>
  <c r="C205" i="46" s="1"/>
  <c r="E205" i="46" s="1"/>
  <c r="G205" i="46" s="1"/>
  <c r="C205" i="47" s="1"/>
  <c r="E205" i="47" s="1"/>
  <c r="G205" i="47" s="1"/>
  <c r="C205" i="48" s="1"/>
  <c r="E205" i="48" s="1"/>
  <c r="G205" i="48" s="1"/>
  <c r="C205" i="49" s="1"/>
  <c r="E205" i="49" s="1"/>
  <c r="G205" i="49" s="1"/>
  <c r="C205" i="50" s="1"/>
  <c r="E205" i="50" s="1"/>
  <c r="C67" i="40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C150" i="40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E150" i="50" s="1"/>
  <c r="C88" i="40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C39" i="40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C39" i="65" s="1"/>
  <c r="E39" i="65" s="1"/>
  <c r="G39" i="65" s="1"/>
  <c r="G29" i="37"/>
  <c r="C29" i="38" s="1"/>
  <c r="E29" i="38" s="1"/>
  <c r="G29" i="38" s="1"/>
  <c r="C29" i="39" s="1"/>
  <c r="E29" i="39" s="1"/>
  <c r="G29" i="39" s="1"/>
  <c r="E24" i="40"/>
  <c r="G24" i="40" s="1"/>
  <c r="C24" i="41" s="1"/>
  <c r="E24" i="41" s="1"/>
  <c r="G24" i="41" s="1"/>
  <c r="C24" i="42" s="1"/>
  <c r="E24" i="42" s="1"/>
  <c r="G24" i="42" s="1"/>
  <c r="C24" i="40"/>
  <c r="C101" i="40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101" i="50" s="1"/>
  <c r="E101" i="50" s="1"/>
  <c r="E33" i="40"/>
  <c r="G33" i="40" s="1"/>
  <c r="C33" i="41" s="1"/>
  <c r="E33" i="41" s="1"/>
  <c r="G33" i="41" s="1"/>
  <c r="C33" i="42" s="1"/>
  <c r="E33" i="42" s="1"/>
  <c r="G33" i="42" s="1"/>
  <c r="C33" i="40"/>
  <c r="C128" i="40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28" i="50" s="1"/>
  <c r="E128" i="50" s="1"/>
  <c r="E15" i="40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C15" i="65" s="1"/>
  <c r="E15" i="65" s="1"/>
  <c r="G15" i="65" s="1"/>
  <c r="C15" i="40"/>
  <c r="C28" i="40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C28" i="65" s="1"/>
  <c r="E28" i="65" s="1"/>
  <c r="G28" i="65" s="1"/>
  <c r="E22" i="40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C22" i="65" s="1"/>
  <c r="E22" i="65" s="1"/>
  <c r="G22" i="65" s="1"/>
  <c r="C22" i="40"/>
  <c r="C70" i="40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C46" i="40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C46" i="65" s="1"/>
  <c r="E46" i="65" s="1"/>
  <c r="G46" i="65" s="1"/>
  <c r="C36" i="40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C36" i="65" s="1"/>
  <c r="E36" i="65" s="1"/>
  <c r="G36" i="65" s="1"/>
  <c r="C60" i="40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C76" i="40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C93" i="40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93" i="50" s="1"/>
  <c r="E93" i="50" s="1"/>
  <c r="C105" i="40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05" i="50" s="1"/>
  <c r="C114" i="40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14" i="50" s="1"/>
  <c r="C124" i="40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E134" i="40"/>
  <c r="G134" i="40" s="1"/>
  <c r="C134" i="41" s="1"/>
  <c r="E134" i="41" s="1"/>
  <c r="G134" i="41" s="1"/>
  <c r="C134" i="42" s="1"/>
  <c r="E134" i="42" s="1"/>
  <c r="G134" i="42" s="1"/>
  <c r="C134" i="40"/>
  <c r="C142" i="40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E142" i="50" s="1"/>
  <c r="E154" i="40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C154" i="40"/>
  <c r="C165" i="40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65" i="50" s="1"/>
  <c r="E165" i="50" s="1"/>
  <c r="E174" i="40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74" i="50" s="1"/>
  <c r="C174" i="40"/>
  <c r="C187" i="40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E197" i="40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C197" i="40"/>
  <c r="C206" i="40"/>
  <c r="E206" i="40" s="1"/>
  <c r="G206" i="40" s="1"/>
  <c r="C206" i="41" s="1"/>
  <c r="E206" i="41" s="1"/>
  <c r="G206" i="41" s="1"/>
  <c r="C206" i="42" s="1"/>
  <c r="E206" i="42" s="1"/>
  <c r="G206" i="42" s="1"/>
  <c r="C206" i="43" s="1"/>
  <c r="E206" i="43" s="1"/>
  <c r="G206" i="43" s="1"/>
  <c r="C206" i="44" s="1"/>
  <c r="E206" i="44" s="1"/>
  <c r="G206" i="44" s="1"/>
  <c r="C206" i="45" s="1"/>
  <c r="E206" i="45" s="1"/>
  <c r="G206" i="45" s="1"/>
  <c r="C206" i="46" s="1"/>
  <c r="E206" i="46" s="1"/>
  <c r="G206" i="46" s="1"/>
  <c r="C206" i="47" s="1"/>
  <c r="E206" i="47" s="1"/>
  <c r="G206" i="47" s="1"/>
  <c r="C206" i="48" s="1"/>
  <c r="E206" i="48" s="1"/>
  <c r="G206" i="48" s="1"/>
  <c r="C206" i="49" s="1"/>
  <c r="E206" i="49" s="1"/>
  <c r="G206" i="49" s="1"/>
  <c r="C206" i="50" s="1"/>
  <c r="E206" i="50" s="1"/>
  <c r="C178" i="40"/>
  <c r="E178" i="40" s="1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C81" i="40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C53" i="40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C19" i="40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C19" i="65" s="1"/>
  <c r="E19" i="65" s="1"/>
  <c r="G19" i="65" s="1"/>
  <c r="C63" i="40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C94" i="40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94" i="50" s="1"/>
  <c r="E94" i="50" s="1"/>
  <c r="C125" i="40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25" i="50" s="1"/>
  <c r="E125" i="50" s="1"/>
  <c r="C135" i="40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E135" i="50" s="1"/>
  <c r="C143" i="40"/>
  <c r="E143" i="40" s="1"/>
  <c r="G143" i="40" s="1"/>
  <c r="C143" i="41" s="1"/>
  <c r="E143" i="41" s="1"/>
  <c r="G143" i="41" s="1"/>
  <c r="C143" i="42" s="1"/>
  <c r="E143" i="42" s="1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3" i="50" s="1"/>
  <c r="E143" i="50" s="1"/>
  <c r="C155" i="40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55" i="50" s="1"/>
  <c r="E166" i="40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166" i="50" s="1"/>
  <c r="C166" i="40"/>
  <c r="C175" i="40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C188" i="40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C198" i="40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E207" i="40"/>
  <c r="G207" i="40" s="1"/>
  <c r="C207" i="41" s="1"/>
  <c r="E207" i="41" s="1"/>
  <c r="G207" i="41" s="1"/>
  <c r="C207" i="42" s="1"/>
  <c r="E207" i="42" s="1"/>
  <c r="G207" i="42" s="1"/>
  <c r="C207" i="43" s="1"/>
  <c r="E207" i="43" s="1"/>
  <c r="G207" i="43" s="1"/>
  <c r="C207" i="44" s="1"/>
  <c r="E207" i="44" s="1"/>
  <c r="G207" i="44" s="1"/>
  <c r="C207" i="45" s="1"/>
  <c r="E207" i="45" s="1"/>
  <c r="G207" i="45" s="1"/>
  <c r="C207" i="46" s="1"/>
  <c r="E207" i="46" s="1"/>
  <c r="G207" i="46" s="1"/>
  <c r="C207" i="47" s="1"/>
  <c r="E207" i="47" s="1"/>
  <c r="G207" i="47" s="1"/>
  <c r="C207" i="48" s="1"/>
  <c r="E207" i="48" s="1"/>
  <c r="G207" i="48" s="1"/>
  <c r="C207" i="49" s="1"/>
  <c r="E207" i="49" s="1"/>
  <c r="G207" i="49" s="1"/>
  <c r="C207" i="50" s="1"/>
  <c r="E207" i="50" s="1"/>
  <c r="C207" i="40"/>
  <c r="C73" i="40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C20" i="40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C20" i="65" s="1"/>
  <c r="E20" i="65" s="1"/>
  <c r="G20" i="65" s="1"/>
  <c r="C43" i="40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C11" i="40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C11" i="65" s="1"/>
  <c r="E11" i="65" s="1"/>
  <c r="G11" i="65" s="1"/>
  <c r="C31" i="40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C31" i="65" s="1"/>
  <c r="E31" i="65" s="1"/>
  <c r="G31" i="65" s="1"/>
  <c r="C82" i="40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C10" i="40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C10" i="65" s="1"/>
  <c r="E10" i="65" s="1"/>
  <c r="G10" i="65" s="1"/>
  <c r="C83" i="40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C107" i="40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C126" i="40"/>
  <c r="E126" i="40" s="1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126" i="50" s="1"/>
  <c r="C144" i="40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144" i="50" s="1"/>
  <c r="E167" i="40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C167" i="40"/>
  <c r="C189" i="40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C95" i="40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95" i="50" s="1"/>
  <c r="C38" i="40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C38" i="65" s="1"/>
  <c r="E38" i="65" s="1"/>
  <c r="G38" i="65" s="1"/>
  <c r="E87" i="40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C87" i="40"/>
  <c r="G210" i="50"/>
  <c r="C210" i="51" s="1"/>
  <c r="E210" i="51" s="1"/>
  <c r="G210" i="51" s="1"/>
  <c r="C210" i="52" s="1"/>
  <c r="E210" i="52" s="1"/>
  <c r="G210" i="52" s="1"/>
  <c r="C210" i="53" s="1"/>
  <c r="E210" i="53" s="1"/>
  <c r="G210" i="53" s="1"/>
  <c r="C210" i="54" s="1"/>
  <c r="E210" i="54" s="1"/>
  <c r="G210" i="54" s="1"/>
  <c r="C210" i="55" s="1"/>
  <c r="E210" i="55" s="1"/>
  <c r="G210" i="55" s="1"/>
  <c r="C210" i="56" s="1"/>
  <c r="E210" i="56" s="1"/>
  <c r="G210" i="56" s="1"/>
  <c r="C210" i="57" s="1"/>
  <c r="E210" i="57" s="1"/>
  <c r="G210" i="57" s="1"/>
  <c r="C210" i="58" s="1"/>
  <c r="E210" i="58" s="1"/>
  <c r="G210" i="58" s="1"/>
  <c r="C210" i="59" s="1"/>
  <c r="E210" i="59" s="1"/>
  <c r="G210" i="59" s="1"/>
  <c r="C210" i="60" s="1"/>
  <c r="E210" i="60" s="1"/>
  <c r="G210" i="60" s="1"/>
  <c r="C210" i="61" s="1"/>
  <c r="E210" i="61" s="1"/>
  <c r="G210" i="61" s="1"/>
  <c r="C210" i="62" s="1"/>
  <c r="E210" i="62" s="1"/>
  <c r="G210" i="62" s="1"/>
  <c r="C210" i="63" s="1"/>
  <c r="E210" i="63" s="1"/>
  <c r="G210" i="63" s="1"/>
  <c r="C210" i="64" s="1"/>
  <c r="E210" i="64" s="1"/>
  <c r="G210" i="64" s="1"/>
  <c r="C210" i="65" s="1"/>
  <c r="E210" i="65" s="1"/>
  <c r="G210" i="65" s="1"/>
  <c r="G211" i="50"/>
  <c r="C211" i="51" s="1"/>
  <c r="E211" i="51" s="1"/>
  <c r="G211" i="51" s="1"/>
  <c r="C211" i="52" s="1"/>
  <c r="E211" i="52" s="1"/>
  <c r="G211" i="52" s="1"/>
  <c r="C211" i="53" s="1"/>
  <c r="E211" i="53" s="1"/>
  <c r="G211" i="53" s="1"/>
  <c r="C211" i="54" s="1"/>
  <c r="E211" i="54" s="1"/>
  <c r="G211" i="54" s="1"/>
  <c r="C211" i="55" s="1"/>
  <c r="E211" i="55" s="1"/>
  <c r="G211" i="55" s="1"/>
  <c r="C211" i="56" s="1"/>
  <c r="E211" i="56" s="1"/>
  <c r="G211" i="56" s="1"/>
  <c r="C211" i="57" s="1"/>
  <c r="E211" i="57" s="1"/>
  <c r="G211" i="57" s="1"/>
  <c r="C211" i="58" s="1"/>
  <c r="E211" i="58" s="1"/>
  <c r="G211" i="58" s="1"/>
  <c r="C211" i="59" s="1"/>
  <c r="E211" i="59" s="1"/>
  <c r="G211" i="59" s="1"/>
  <c r="C211" i="60" s="1"/>
  <c r="E211" i="60" s="1"/>
  <c r="G211" i="60" s="1"/>
  <c r="C211" i="61" s="1"/>
  <c r="E211" i="61" s="1"/>
  <c r="G211" i="61" s="1"/>
  <c r="C211" i="62" s="1"/>
  <c r="E211" i="62" s="1"/>
  <c r="G211" i="62" s="1"/>
  <c r="C211" i="63" s="1"/>
  <c r="E211" i="63" s="1"/>
  <c r="G211" i="63" s="1"/>
  <c r="C211" i="64" s="1"/>
  <c r="E211" i="64" s="1"/>
  <c r="G211" i="64" s="1"/>
  <c r="C211" i="65" s="1"/>
  <c r="E211" i="65" s="1"/>
  <c r="G211" i="65" s="1"/>
  <c r="K227" i="49"/>
  <c r="K227" i="48"/>
  <c r="K227" i="46"/>
  <c r="K224" i="45"/>
  <c r="K227" i="45" s="1"/>
  <c r="C120" i="43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50" s="1"/>
  <c r="E120" i="50" s="1"/>
  <c r="C24" i="43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C24" i="65" s="1"/>
  <c r="E24" i="65" s="1"/>
  <c r="G24" i="65" s="1"/>
  <c r="C171" i="43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E171" i="50" s="1"/>
  <c r="C71" i="43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C33" i="43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C33" i="65" s="1"/>
  <c r="E33" i="65" s="1"/>
  <c r="G33" i="65" s="1"/>
  <c r="C102" i="43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E102" i="50" s="1"/>
  <c r="C140" i="43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C140" i="50" s="1"/>
  <c r="E140" i="50" s="1"/>
  <c r="C185" i="43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C113" i="43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E113" i="50" s="1"/>
  <c r="C134" i="43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34" i="50" s="1"/>
  <c r="C158" i="43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58" i="50" s="1"/>
  <c r="E158" i="50" s="1"/>
  <c r="C157" i="43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57" i="50" s="1"/>
  <c r="E157" i="50" s="1"/>
  <c r="C201" i="43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C209" i="43"/>
  <c r="E209" i="43" s="1"/>
  <c r="G209" i="43" s="1"/>
  <c r="C209" i="44" s="1"/>
  <c r="E209" i="44" s="1"/>
  <c r="G209" i="44" s="1"/>
  <c r="C209" i="45" s="1"/>
  <c r="E209" i="45" s="1"/>
  <c r="G209" i="45" s="1"/>
  <c r="C209" i="46" s="1"/>
  <c r="E209" i="46" s="1"/>
  <c r="G209" i="46" s="1"/>
  <c r="C209" i="47" s="1"/>
  <c r="E209" i="47" s="1"/>
  <c r="G209" i="47" s="1"/>
  <c r="C209" i="48" s="1"/>
  <c r="E209" i="48" s="1"/>
  <c r="G209" i="48" s="1"/>
  <c r="C209" i="49" s="1"/>
  <c r="E209" i="49" s="1"/>
  <c r="G209" i="49" s="1"/>
  <c r="C209" i="50" s="1"/>
  <c r="E209" i="50" s="1"/>
  <c r="K225" i="43"/>
  <c r="K224" i="42"/>
  <c r="K227" i="42" s="1"/>
  <c r="K224" i="41"/>
  <c r="K227" i="41" s="1"/>
  <c r="K225" i="40"/>
  <c r="K222" i="37"/>
  <c r="K225" i="39"/>
  <c r="K224" i="39"/>
  <c r="K227" i="39" s="1"/>
  <c r="K224" i="35"/>
  <c r="K227" i="35" s="1"/>
  <c r="C12" i="39"/>
  <c r="E12" i="39" s="1"/>
  <c r="G12" i="39" s="1"/>
  <c r="K225" i="65"/>
  <c r="K224" i="63"/>
  <c r="K224" i="62"/>
  <c r="K224" i="60"/>
  <c r="K224" i="56"/>
  <c r="K224" i="53"/>
  <c r="K227" i="53" s="1"/>
  <c r="K226" i="50"/>
  <c r="K229" i="50" s="1"/>
  <c r="K226" i="47"/>
  <c r="K229" i="47" s="1"/>
  <c r="K224" i="44"/>
  <c r="K227" i="44" s="1"/>
  <c r="K225" i="36" l="1"/>
  <c r="K224" i="36"/>
  <c r="K227" i="36" s="1"/>
  <c r="C29" i="40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C29" i="65" s="1"/>
  <c r="E29" i="65" s="1"/>
  <c r="G29" i="65" s="1"/>
  <c r="G43" i="48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C43" i="65" s="1"/>
  <c r="E43" i="65" s="1"/>
  <c r="G43" i="65" s="1"/>
  <c r="C48" i="50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C48" i="65" s="1"/>
  <c r="E48" i="65" s="1"/>
  <c r="G48" i="65" s="1"/>
  <c r="C208" i="40"/>
  <c r="E208" i="40" s="1"/>
  <c r="G208" i="40" s="1"/>
  <c r="C208" i="41" s="1"/>
  <c r="E208" i="41" s="1"/>
  <c r="G208" i="41" s="1"/>
  <c r="C208" i="42" s="1"/>
  <c r="E208" i="42" s="1"/>
  <c r="G208" i="42" s="1"/>
  <c r="C208" i="43" s="1"/>
  <c r="E208" i="43" s="1"/>
  <c r="G208" i="43" s="1"/>
  <c r="C208" i="44" s="1"/>
  <c r="E208" i="44" s="1"/>
  <c r="G208" i="44" s="1"/>
  <c r="C208" i="45" s="1"/>
  <c r="E208" i="45" s="1"/>
  <c r="G208" i="45" s="1"/>
  <c r="C208" i="46" s="1"/>
  <c r="E208" i="46" s="1"/>
  <c r="G208" i="46" s="1"/>
  <c r="C208" i="47" s="1"/>
  <c r="E208" i="47" s="1"/>
  <c r="G208" i="47" s="1"/>
  <c r="C208" i="48" s="1"/>
  <c r="E208" i="48" s="1"/>
  <c r="G208" i="48" s="1"/>
  <c r="C208" i="49" s="1"/>
  <c r="E208" i="49" s="1"/>
  <c r="G208" i="49" s="1"/>
  <c r="C208" i="50" s="1"/>
  <c r="E208" i="50" s="1"/>
  <c r="G208" i="50" s="1"/>
  <c r="C208" i="51" s="1"/>
  <c r="E208" i="51" s="1"/>
  <c r="G208" i="51" s="1"/>
  <c r="C208" i="52" s="1"/>
  <c r="E208" i="52" s="1"/>
  <c r="G208" i="52" s="1"/>
  <c r="C208" i="53" s="1"/>
  <c r="E208" i="53" s="1"/>
  <c r="G208" i="53" s="1"/>
  <c r="C208" i="54" s="1"/>
  <c r="E208" i="54" s="1"/>
  <c r="G208" i="54" s="1"/>
  <c r="C208" i="55" s="1"/>
  <c r="E208" i="55" s="1"/>
  <c r="G208" i="55" s="1"/>
  <c r="C208" i="56" s="1"/>
  <c r="E208" i="56" s="1"/>
  <c r="G208" i="56" s="1"/>
  <c r="C208" i="57" s="1"/>
  <c r="E208" i="57" s="1"/>
  <c r="G208" i="57" s="1"/>
  <c r="C208" i="58" s="1"/>
  <c r="E208" i="58" s="1"/>
  <c r="G208" i="58" s="1"/>
  <c r="C208" i="59" s="1"/>
  <c r="E208" i="59" s="1"/>
  <c r="G208" i="59" s="1"/>
  <c r="C208" i="60" s="1"/>
  <c r="E208" i="60" s="1"/>
  <c r="G208" i="60" s="1"/>
  <c r="C208" i="61" s="1"/>
  <c r="E208" i="61" s="1"/>
  <c r="G208" i="61" s="1"/>
  <c r="C208" i="62" s="1"/>
  <c r="E208" i="62" s="1"/>
  <c r="G208" i="62" s="1"/>
  <c r="C208" i="63" s="1"/>
  <c r="E208" i="63" s="1"/>
  <c r="G208" i="63" s="1"/>
  <c r="C208" i="64" s="1"/>
  <c r="E208" i="64" s="1"/>
  <c r="G208" i="64" s="1"/>
  <c r="C208" i="65" s="1"/>
  <c r="E208" i="65" s="1"/>
  <c r="G208" i="65" s="1"/>
  <c r="C12" i="40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C12" i="65" s="1"/>
  <c r="E12" i="65" s="1"/>
  <c r="G12" i="65" s="1"/>
  <c r="G188" i="50"/>
  <c r="C188" i="51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C188" i="65" s="1"/>
  <c r="E188" i="65" s="1"/>
  <c r="G188" i="65" s="1"/>
  <c r="G106" i="50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C106" i="65" s="1"/>
  <c r="E106" i="65" s="1"/>
  <c r="G106" i="65" s="1"/>
  <c r="G53" i="50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C53" i="65" s="1"/>
  <c r="E53" i="65" s="1"/>
  <c r="G53" i="65" s="1"/>
  <c r="G174" i="50"/>
  <c r="C174" i="51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C174" i="65" s="1"/>
  <c r="E174" i="65" s="1"/>
  <c r="G174" i="65" s="1"/>
  <c r="G93" i="50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C93" i="65" s="1"/>
  <c r="E93" i="65" s="1"/>
  <c r="G93" i="65" s="1"/>
  <c r="G190" i="50"/>
  <c r="C190" i="51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C190" i="65" s="1"/>
  <c r="E190" i="65" s="1"/>
  <c r="G190" i="65" s="1"/>
  <c r="G108" i="50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C108" i="65" s="1"/>
  <c r="E108" i="65" s="1"/>
  <c r="G108" i="65" s="1"/>
  <c r="G158" i="50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C158" i="65" s="1"/>
  <c r="E158" i="65" s="1"/>
  <c r="G158" i="65" s="1"/>
  <c r="G126" i="50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C126" i="65" s="1"/>
  <c r="E126" i="65" s="1"/>
  <c r="G126" i="65" s="1"/>
  <c r="G192" i="50"/>
  <c r="C192" i="51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C192" i="65" s="1"/>
  <c r="E192" i="65" s="1"/>
  <c r="G192" i="65" s="1"/>
  <c r="G175" i="50"/>
  <c r="C175" i="51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C175" i="65" s="1"/>
  <c r="E175" i="65" s="1"/>
  <c r="G175" i="65" s="1"/>
  <c r="G94" i="50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C94" i="65" s="1"/>
  <c r="E94" i="65" s="1"/>
  <c r="G94" i="65" s="1"/>
  <c r="G81" i="50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C81" i="65" s="1"/>
  <c r="E81" i="65" s="1"/>
  <c r="G81" i="65" s="1"/>
  <c r="G165" i="50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C165" i="65" s="1"/>
  <c r="E165" i="65" s="1"/>
  <c r="G165" i="65" s="1"/>
  <c r="G76" i="50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C76" i="65" s="1"/>
  <c r="E76" i="65" s="1"/>
  <c r="G76" i="65" s="1"/>
  <c r="G128" i="50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C128" i="65" s="1"/>
  <c r="E128" i="65" s="1"/>
  <c r="G128" i="65" s="1"/>
  <c r="G186" i="50"/>
  <c r="C186" i="51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C186" i="65" s="1"/>
  <c r="E186" i="65" s="1"/>
  <c r="G186" i="65" s="1"/>
  <c r="G103" i="50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C103" i="65" s="1"/>
  <c r="E103" i="65" s="1"/>
  <c r="G103" i="65" s="1"/>
  <c r="C85" i="5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C85" i="65" s="1"/>
  <c r="E85" i="65" s="1"/>
  <c r="G85" i="65" s="1"/>
  <c r="G85" i="50"/>
  <c r="G132" i="50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C132" i="65" s="1"/>
  <c r="E132" i="65" s="1"/>
  <c r="G132" i="65" s="1"/>
  <c r="G130" i="50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C130" i="65" s="1"/>
  <c r="E130" i="65" s="1"/>
  <c r="G130" i="65" s="1"/>
  <c r="G203" i="50"/>
  <c r="C203" i="51" s="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C203" i="65" s="1"/>
  <c r="E203" i="65" s="1"/>
  <c r="G203" i="65" s="1"/>
  <c r="G131" i="50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C131" i="65" s="1"/>
  <c r="E131" i="65" s="1"/>
  <c r="G131" i="65" s="1"/>
  <c r="G64" i="50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C64" i="65" s="1"/>
  <c r="E64" i="65" s="1"/>
  <c r="G64" i="65" s="1"/>
  <c r="G163" i="50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C163" i="65" s="1"/>
  <c r="E163" i="65" s="1"/>
  <c r="G163" i="65" s="1"/>
  <c r="G147" i="50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C147" i="65" s="1"/>
  <c r="E147" i="65" s="1"/>
  <c r="G147" i="65" s="1"/>
  <c r="G52" i="50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C52" i="65" s="1"/>
  <c r="E52" i="65" s="1"/>
  <c r="G52" i="65" s="1"/>
  <c r="G79" i="50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C79" i="65" s="1"/>
  <c r="E79" i="65" s="1"/>
  <c r="G79" i="65" s="1"/>
  <c r="G201" i="50"/>
  <c r="C201" i="51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C201" i="65" s="1"/>
  <c r="E201" i="65" s="1"/>
  <c r="G201" i="65" s="1"/>
  <c r="G117" i="50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C117" i="65" s="1"/>
  <c r="E117" i="65" s="1"/>
  <c r="G117" i="65" s="1"/>
  <c r="G136" i="50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C136" i="65" s="1"/>
  <c r="E136" i="65" s="1"/>
  <c r="G136" i="65" s="1"/>
  <c r="G179" i="50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C179" i="65" s="1"/>
  <c r="E179" i="65" s="1"/>
  <c r="G179" i="65" s="1"/>
  <c r="G99" i="50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C99" i="65" s="1"/>
  <c r="E99" i="65" s="1"/>
  <c r="G99" i="65" s="1"/>
  <c r="G146" i="50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C146" i="65" s="1"/>
  <c r="E146" i="65" s="1"/>
  <c r="G146" i="65" s="1"/>
  <c r="G199" i="50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C199" i="65" s="1"/>
  <c r="E199" i="65" s="1"/>
  <c r="G199" i="65" s="1"/>
  <c r="G116" i="50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C116" i="65" s="1"/>
  <c r="E116" i="65" s="1"/>
  <c r="G116" i="65" s="1"/>
  <c r="G176" i="50"/>
  <c r="C176" i="51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C176" i="65" s="1"/>
  <c r="E176" i="65" s="1"/>
  <c r="G176" i="65" s="1"/>
  <c r="G166" i="50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C166" i="65" s="1"/>
  <c r="E166" i="65" s="1"/>
  <c r="G166" i="65" s="1"/>
  <c r="G178" i="50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C178" i="65" s="1"/>
  <c r="E178" i="65" s="1"/>
  <c r="G178" i="65" s="1"/>
  <c r="G154" i="50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C154" i="65" s="1"/>
  <c r="E154" i="65" s="1"/>
  <c r="G154" i="65" s="1"/>
  <c r="G60" i="50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C60" i="65" s="1"/>
  <c r="E60" i="65" s="1"/>
  <c r="G60" i="65" s="1"/>
  <c r="G173" i="50"/>
  <c r="C173" i="51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C173" i="65" s="1"/>
  <c r="E173" i="65" s="1"/>
  <c r="G173" i="65" s="1"/>
  <c r="G75" i="50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C75" i="65" s="1"/>
  <c r="E75" i="65" s="1"/>
  <c r="G75" i="65" s="1"/>
  <c r="G204" i="50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C204" i="65" s="1"/>
  <c r="E204" i="65" s="1"/>
  <c r="G204" i="65" s="1"/>
  <c r="G122" i="50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C122" i="65" s="1"/>
  <c r="E122" i="65" s="1"/>
  <c r="G122" i="65" s="1"/>
  <c r="C80" i="5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C80" i="65" s="1"/>
  <c r="E80" i="65" s="1"/>
  <c r="G80" i="65" s="1"/>
  <c r="G80" i="50"/>
  <c r="G194" i="50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C194" i="65" s="1"/>
  <c r="E194" i="65" s="1"/>
  <c r="G194" i="65" s="1"/>
  <c r="G121" i="50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C121" i="65" s="1"/>
  <c r="E121" i="65" s="1"/>
  <c r="G121" i="65" s="1"/>
  <c r="G168" i="50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C168" i="65" s="1"/>
  <c r="E168" i="65" s="1"/>
  <c r="G168" i="65" s="1"/>
  <c r="G138" i="50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C138" i="65" s="1"/>
  <c r="E138" i="65" s="1"/>
  <c r="G138" i="65" s="1"/>
  <c r="G61" i="50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C61" i="65" s="1"/>
  <c r="E61" i="65" s="1"/>
  <c r="G61" i="65" s="1"/>
  <c r="G169" i="50"/>
  <c r="C169" i="51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C169" i="65" s="1"/>
  <c r="E169" i="65" s="1"/>
  <c r="G169" i="65" s="1"/>
  <c r="G68" i="50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C68" i="65" s="1"/>
  <c r="E68" i="65" s="1"/>
  <c r="G68" i="65" s="1"/>
  <c r="G182" i="50"/>
  <c r="C182" i="51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C182" i="65" s="1"/>
  <c r="E182" i="65" s="1"/>
  <c r="G182" i="65" s="1"/>
  <c r="G189" i="50"/>
  <c r="C189" i="51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C189" i="65" s="1"/>
  <c r="E189" i="65" s="1"/>
  <c r="G189" i="65" s="1"/>
  <c r="G107" i="50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C107" i="65" s="1"/>
  <c r="E107" i="65" s="1"/>
  <c r="G107" i="65" s="1"/>
  <c r="G152" i="50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C152" i="65" s="1"/>
  <c r="E152" i="65" s="1"/>
  <c r="G152" i="65" s="1"/>
  <c r="G155" i="50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C155" i="65" s="1"/>
  <c r="E155" i="65" s="1"/>
  <c r="G155" i="65" s="1"/>
  <c r="G82" i="50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C82" i="65" s="1"/>
  <c r="E82" i="65" s="1"/>
  <c r="G82" i="65" s="1"/>
  <c r="G142" i="50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C142" i="65" s="1"/>
  <c r="E142" i="65" s="1"/>
  <c r="G142" i="65" s="1"/>
  <c r="G164" i="50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C164" i="65" s="1"/>
  <c r="E164" i="65" s="1"/>
  <c r="G164" i="65" s="1"/>
  <c r="G59" i="50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C59" i="65" s="1"/>
  <c r="E59" i="65" s="1"/>
  <c r="G59" i="65" s="1"/>
  <c r="G195" i="50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C195" i="65" s="1"/>
  <c r="E195" i="65" s="1"/>
  <c r="G195" i="65" s="1"/>
  <c r="G111" i="50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C111" i="65" s="1"/>
  <c r="E111" i="65" s="1"/>
  <c r="G111" i="65" s="1"/>
  <c r="G181" i="50"/>
  <c r="C181" i="51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C181" i="65" s="1"/>
  <c r="E181" i="65" s="1"/>
  <c r="G181" i="65" s="1"/>
  <c r="G110" i="50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C110" i="65" s="1"/>
  <c r="E110" i="65" s="1"/>
  <c r="G110" i="65" s="1"/>
  <c r="G112" i="50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C112" i="65" s="1"/>
  <c r="E112" i="65" s="1"/>
  <c r="G112" i="65" s="1"/>
  <c r="G129" i="50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C129" i="65" s="1"/>
  <c r="E129" i="65" s="1"/>
  <c r="G129" i="65" s="1"/>
  <c r="G184" i="50"/>
  <c r="C184" i="51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C184" i="65" s="1"/>
  <c r="E184" i="65" s="1"/>
  <c r="G184" i="65" s="1"/>
  <c r="G143" i="50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C143" i="65" s="1"/>
  <c r="E143" i="65" s="1"/>
  <c r="G143" i="65" s="1"/>
  <c r="G63" i="50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C63" i="65" s="1"/>
  <c r="E63" i="65" s="1"/>
  <c r="G63" i="65" s="1"/>
  <c r="G51" i="50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C51" i="65" s="1"/>
  <c r="E51" i="65" s="1"/>
  <c r="G51" i="65" s="1"/>
  <c r="G134" i="50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C134" i="65" s="1"/>
  <c r="E134" i="65" s="1"/>
  <c r="G134" i="65" s="1"/>
  <c r="G88" i="50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C88" i="65" s="1"/>
  <c r="E88" i="65" s="1"/>
  <c r="G88" i="65" s="1"/>
  <c r="G153" i="50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C153" i="65" s="1"/>
  <c r="E153" i="65" s="1"/>
  <c r="G153" i="65" s="1"/>
  <c r="G185" i="50"/>
  <c r="C185" i="51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C185" i="65" s="1"/>
  <c r="E185" i="65" s="1"/>
  <c r="G185" i="65" s="1"/>
  <c r="G102" i="50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C102" i="65" s="1"/>
  <c r="E102" i="65" s="1"/>
  <c r="G102" i="65" s="1"/>
  <c r="C171" i="5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C171" i="65" s="1"/>
  <c r="E171" i="65" s="1"/>
  <c r="G171" i="65" s="1"/>
  <c r="G171" i="50"/>
  <c r="G101" i="50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C101" i="65" s="1"/>
  <c r="E101" i="65" s="1"/>
  <c r="G101" i="65" s="1"/>
  <c r="G104" i="50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C104" i="65" s="1"/>
  <c r="E104" i="65" s="1"/>
  <c r="G104" i="65" s="1"/>
  <c r="G202" i="50"/>
  <c r="C202" i="51" s="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C202" i="65" s="1"/>
  <c r="E202" i="65" s="1"/>
  <c r="G202" i="65" s="1"/>
  <c r="G119" i="50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C119" i="65" s="1"/>
  <c r="E119" i="65" s="1"/>
  <c r="G119" i="65" s="1"/>
  <c r="G120" i="50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C120" i="65" s="1"/>
  <c r="E120" i="65" s="1"/>
  <c r="G120" i="65" s="1"/>
  <c r="G87" i="50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C87" i="65" s="1"/>
  <c r="E87" i="65" s="1"/>
  <c r="G87" i="65" s="1"/>
  <c r="G145" i="50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C145" i="65" s="1"/>
  <c r="E145" i="65" s="1"/>
  <c r="G145" i="65" s="1"/>
  <c r="G206" i="50"/>
  <c r="C206" i="51" s="1"/>
  <c r="E206" i="51" s="1"/>
  <c r="G206" i="51" s="1"/>
  <c r="C206" i="52" s="1"/>
  <c r="E206" i="52" s="1"/>
  <c r="G206" i="52" s="1"/>
  <c r="C206" i="53" s="1"/>
  <c r="E206" i="53" s="1"/>
  <c r="G206" i="53" s="1"/>
  <c r="C206" i="54" s="1"/>
  <c r="E206" i="54" s="1"/>
  <c r="G206" i="54" s="1"/>
  <c r="C206" i="55" s="1"/>
  <c r="E206" i="55" s="1"/>
  <c r="G206" i="55" s="1"/>
  <c r="C206" i="56" s="1"/>
  <c r="E206" i="56" s="1"/>
  <c r="G206" i="56" s="1"/>
  <c r="C206" i="57" s="1"/>
  <c r="E206" i="57" s="1"/>
  <c r="G206" i="57" s="1"/>
  <c r="C206" i="58" s="1"/>
  <c r="E206" i="58" s="1"/>
  <c r="G206" i="58" s="1"/>
  <c r="C206" i="59" s="1"/>
  <c r="E206" i="59" s="1"/>
  <c r="G206" i="59" s="1"/>
  <c r="C206" i="60" s="1"/>
  <c r="E206" i="60" s="1"/>
  <c r="G206" i="60" s="1"/>
  <c r="C206" i="61" s="1"/>
  <c r="E206" i="61" s="1"/>
  <c r="G206" i="61" s="1"/>
  <c r="C206" i="62" s="1"/>
  <c r="E206" i="62" s="1"/>
  <c r="G206" i="62" s="1"/>
  <c r="C206" i="63" s="1"/>
  <c r="E206" i="63" s="1"/>
  <c r="G206" i="63" s="1"/>
  <c r="C206" i="64" s="1"/>
  <c r="E206" i="64" s="1"/>
  <c r="G206" i="64" s="1"/>
  <c r="C206" i="65" s="1"/>
  <c r="E206" i="65" s="1"/>
  <c r="G206" i="65" s="1"/>
  <c r="G124" i="50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C124" i="65" s="1"/>
  <c r="E124" i="65" s="1"/>
  <c r="G124" i="65" s="1"/>
  <c r="G150" i="50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C150" i="65" s="1"/>
  <c r="E150" i="65" s="1"/>
  <c r="G150" i="65" s="1"/>
  <c r="G141" i="50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C141" i="65" s="1"/>
  <c r="E141" i="65" s="1"/>
  <c r="G141" i="65" s="1"/>
  <c r="G200" i="50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200" i="65" s="1"/>
  <c r="E200" i="65" s="1"/>
  <c r="G200" i="65" s="1"/>
  <c r="G172" i="50"/>
  <c r="C172" i="51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C172" i="65" s="1"/>
  <c r="E172" i="65" s="1"/>
  <c r="G172" i="65" s="1"/>
  <c r="G91" i="50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C91" i="65" s="1"/>
  <c r="E91" i="65" s="1"/>
  <c r="G91" i="65" s="1"/>
  <c r="G161" i="50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C161" i="65" s="1"/>
  <c r="E161" i="65" s="1"/>
  <c r="G161" i="65" s="1"/>
  <c r="G90" i="50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C90" i="65" s="1"/>
  <c r="E90" i="65" s="1"/>
  <c r="G90" i="65" s="1"/>
  <c r="G191" i="50"/>
  <c r="C191" i="51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C191" i="65" s="1"/>
  <c r="E191" i="65" s="1"/>
  <c r="G191" i="65" s="1"/>
  <c r="G109" i="50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C109" i="65" s="1"/>
  <c r="E109" i="65" s="1"/>
  <c r="G109" i="65" s="1"/>
  <c r="G56" i="50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C56" i="65" s="1"/>
  <c r="E56" i="65" s="1"/>
  <c r="G56" i="65" s="1"/>
  <c r="C177" i="5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C177" i="65" s="1"/>
  <c r="E177" i="65" s="1"/>
  <c r="G177" i="65" s="1"/>
  <c r="G177" i="50"/>
  <c r="G83" i="50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C83" i="65" s="1"/>
  <c r="E83" i="65" s="1"/>
  <c r="G83" i="65" s="1"/>
  <c r="G96" i="50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C96" i="65" s="1"/>
  <c r="E96" i="65" s="1"/>
  <c r="G96" i="65" s="1"/>
  <c r="G183" i="50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C183" i="65" s="1"/>
  <c r="E183" i="65" s="1"/>
  <c r="G183" i="65" s="1"/>
  <c r="G156" i="50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C156" i="65" s="1"/>
  <c r="E156" i="65" s="1"/>
  <c r="G156" i="65" s="1"/>
  <c r="G65" i="50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C65" i="65" s="1"/>
  <c r="E65" i="65" s="1"/>
  <c r="G65" i="65" s="1"/>
  <c r="G207" i="50"/>
  <c r="C207" i="51" s="1"/>
  <c r="E207" i="51" s="1"/>
  <c r="G207" i="51" s="1"/>
  <c r="C207" i="52" s="1"/>
  <c r="E207" i="52" s="1"/>
  <c r="G207" i="52" s="1"/>
  <c r="C207" i="53" s="1"/>
  <c r="E207" i="53" s="1"/>
  <c r="G207" i="53" s="1"/>
  <c r="C207" i="54" s="1"/>
  <c r="E207" i="54" s="1"/>
  <c r="G207" i="54" s="1"/>
  <c r="C207" i="55" s="1"/>
  <c r="E207" i="55" s="1"/>
  <c r="G207" i="55" s="1"/>
  <c r="C207" i="56" s="1"/>
  <c r="E207" i="56" s="1"/>
  <c r="G207" i="56" s="1"/>
  <c r="C207" i="57" s="1"/>
  <c r="E207" i="57" s="1"/>
  <c r="G207" i="57" s="1"/>
  <c r="C207" i="58" s="1"/>
  <c r="E207" i="58" s="1"/>
  <c r="G207" i="58" s="1"/>
  <c r="C207" i="59" s="1"/>
  <c r="E207" i="59" s="1"/>
  <c r="G207" i="59" s="1"/>
  <c r="C207" i="60" s="1"/>
  <c r="E207" i="60" s="1"/>
  <c r="G207" i="60" s="1"/>
  <c r="C207" i="61" s="1"/>
  <c r="E207" i="61" s="1"/>
  <c r="G207" i="61" s="1"/>
  <c r="C207" i="62" s="1"/>
  <c r="E207" i="62" s="1"/>
  <c r="G207" i="62" s="1"/>
  <c r="C207" i="63" s="1"/>
  <c r="E207" i="63" s="1"/>
  <c r="G207" i="63" s="1"/>
  <c r="C207" i="64" s="1"/>
  <c r="E207" i="64" s="1"/>
  <c r="G207" i="64" s="1"/>
  <c r="C207" i="65" s="1"/>
  <c r="E207" i="65" s="1"/>
  <c r="G207" i="65" s="1"/>
  <c r="G125" i="50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C125" i="65" s="1"/>
  <c r="E125" i="65" s="1"/>
  <c r="G125" i="65" s="1"/>
  <c r="G197" i="50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C197" i="65" s="1"/>
  <c r="E197" i="65" s="1"/>
  <c r="G197" i="65" s="1"/>
  <c r="G114" i="50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C114" i="65" s="1"/>
  <c r="E114" i="65" s="1"/>
  <c r="G114" i="65" s="1"/>
  <c r="G70" i="50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C70" i="65" s="1"/>
  <c r="E70" i="65" s="1"/>
  <c r="G70" i="65" s="1"/>
  <c r="G67" i="50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C67" i="65" s="1"/>
  <c r="E67" i="65" s="1"/>
  <c r="G67" i="65" s="1"/>
  <c r="G133" i="50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C133" i="65" s="1"/>
  <c r="E133" i="65" s="1"/>
  <c r="G133" i="65" s="1"/>
  <c r="G118" i="50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C118" i="65" s="1"/>
  <c r="E118" i="65" s="1"/>
  <c r="G118" i="65" s="1"/>
  <c r="G77" i="50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C77" i="65" s="1"/>
  <c r="E77" i="65" s="1"/>
  <c r="G77" i="65" s="1"/>
  <c r="G162" i="50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C162" i="65" s="1"/>
  <c r="E162" i="65" s="1"/>
  <c r="G162" i="65" s="1"/>
  <c r="G74" i="50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C74" i="65" s="1"/>
  <c r="E74" i="65" s="1"/>
  <c r="G74" i="65" s="1"/>
  <c r="G72" i="50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C72" i="65" s="1"/>
  <c r="E72" i="65" s="1"/>
  <c r="G72" i="65" s="1"/>
  <c r="G180" i="50"/>
  <c r="C180" i="51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C180" i="65" s="1"/>
  <c r="E180" i="65" s="1"/>
  <c r="G180" i="65" s="1"/>
  <c r="G100" i="50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C100" i="65" s="1"/>
  <c r="E100" i="65" s="1"/>
  <c r="G100" i="65" s="1"/>
  <c r="G160" i="50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C160" i="65" s="1"/>
  <c r="E160" i="65" s="1"/>
  <c r="G160" i="65" s="1"/>
  <c r="G157" i="50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C157" i="65" s="1"/>
  <c r="E157" i="65" s="1"/>
  <c r="G157" i="65" s="1"/>
  <c r="G97" i="50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C97" i="65" s="1"/>
  <c r="E97" i="65" s="1"/>
  <c r="G97" i="65" s="1"/>
  <c r="G167" i="50"/>
  <c r="C167" i="51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C167" i="65" s="1"/>
  <c r="E167" i="65" s="1"/>
  <c r="G167" i="65" s="1"/>
  <c r="G135" i="50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C135" i="65" s="1"/>
  <c r="E135" i="65" s="1"/>
  <c r="G135" i="65" s="1"/>
  <c r="G209" i="50"/>
  <c r="C209" i="51" s="1"/>
  <c r="E209" i="51" s="1"/>
  <c r="G209" i="51" s="1"/>
  <c r="C209" i="52" s="1"/>
  <c r="E209" i="52" s="1"/>
  <c r="G209" i="52" s="1"/>
  <c r="C209" i="53" s="1"/>
  <c r="E209" i="53" s="1"/>
  <c r="G209" i="53" s="1"/>
  <c r="C209" i="54" s="1"/>
  <c r="E209" i="54" s="1"/>
  <c r="G209" i="54" s="1"/>
  <c r="C209" i="55" s="1"/>
  <c r="E209" i="55" s="1"/>
  <c r="G209" i="55" s="1"/>
  <c r="C209" i="56" s="1"/>
  <c r="E209" i="56" s="1"/>
  <c r="G209" i="56" s="1"/>
  <c r="C209" i="57" s="1"/>
  <c r="E209" i="57" s="1"/>
  <c r="G209" i="57" s="1"/>
  <c r="C209" i="58" s="1"/>
  <c r="E209" i="58" s="1"/>
  <c r="G209" i="58" s="1"/>
  <c r="C209" i="59" s="1"/>
  <c r="E209" i="59" s="1"/>
  <c r="G209" i="59" s="1"/>
  <c r="C209" i="60" s="1"/>
  <c r="E209" i="60" s="1"/>
  <c r="G209" i="60" s="1"/>
  <c r="C209" i="61" s="1"/>
  <c r="E209" i="61" s="1"/>
  <c r="G209" i="61" s="1"/>
  <c r="C209" i="62" s="1"/>
  <c r="E209" i="62" s="1"/>
  <c r="G209" i="62" s="1"/>
  <c r="C209" i="63" s="1"/>
  <c r="E209" i="63" s="1"/>
  <c r="G209" i="63" s="1"/>
  <c r="C209" i="64" s="1"/>
  <c r="E209" i="64" s="1"/>
  <c r="G209" i="64" s="1"/>
  <c r="C209" i="65" s="1"/>
  <c r="E209" i="65" s="1"/>
  <c r="G209" i="65" s="1"/>
  <c r="G127" i="50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C127" i="65" s="1"/>
  <c r="E127" i="65" s="1"/>
  <c r="G127" i="65" s="1"/>
  <c r="G98" i="50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C98" i="65" s="1"/>
  <c r="E98" i="65" s="1"/>
  <c r="G98" i="65" s="1"/>
  <c r="C95" i="5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C95" i="65" s="1"/>
  <c r="E95" i="65" s="1"/>
  <c r="G95" i="65" s="1"/>
  <c r="G95" i="50"/>
  <c r="G144" i="50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C144" i="65" s="1"/>
  <c r="E144" i="65" s="1"/>
  <c r="G144" i="65" s="1"/>
  <c r="G198" i="50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C198" i="65" s="1"/>
  <c r="E198" i="65" s="1"/>
  <c r="G198" i="65" s="1"/>
  <c r="G115" i="50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C115" i="65" s="1"/>
  <c r="E115" i="65" s="1"/>
  <c r="G115" i="65" s="1"/>
  <c r="G151" i="50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C151" i="65" s="1"/>
  <c r="E151" i="65" s="1"/>
  <c r="G151" i="65" s="1"/>
  <c r="G187" i="50"/>
  <c r="C187" i="51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C187" i="65" s="1"/>
  <c r="E187" i="65" s="1"/>
  <c r="G187" i="65" s="1"/>
  <c r="G105" i="50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C105" i="65" s="1"/>
  <c r="E105" i="65" s="1"/>
  <c r="G105" i="65" s="1"/>
  <c r="G205" i="50"/>
  <c r="C205" i="51" s="1"/>
  <c r="E205" i="51" s="1"/>
  <c r="G205" i="51" s="1"/>
  <c r="C205" i="52" s="1"/>
  <c r="E205" i="52" s="1"/>
  <c r="G205" i="52" s="1"/>
  <c r="C205" i="53" s="1"/>
  <c r="E205" i="53" s="1"/>
  <c r="G205" i="53" s="1"/>
  <c r="C205" i="54" s="1"/>
  <c r="E205" i="54" s="1"/>
  <c r="G205" i="54" s="1"/>
  <c r="C205" i="55" s="1"/>
  <c r="E205" i="55" s="1"/>
  <c r="G205" i="55" s="1"/>
  <c r="C205" i="56" s="1"/>
  <c r="E205" i="56" s="1"/>
  <c r="G205" i="56" s="1"/>
  <c r="C205" i="57" s="1"/>
  <c r="E205" i="57" s="1"/>
  <c r="G205" i="57" s="1"/>
  <c r="C205" i="58" s="1"/>
  <c r="E205" i="58" s="1"/>
  <c r="G205" i="58" s="1"/>
  <c r="C205" i="59" s="1"/>
  <c r="E205" i="59" s="1"/>
  <c r="G205" i="59" s="1"/>
  <c r="C205" i="60" s="1"/>
  <c r="E205" i="60" s="1"/>
  <c r="G205" i="60" s="1"/>
  <c r="C205" i="61" s="1"/>
  <c r="E205" i="61" s="1"/>
  <c r="G205" i="61" s="1"/>
  <c r="C205" i="62" s="1"/>
  <c r="E205" i="62" s="1"/>
  <c r="G205" i="62" s="1"/>
  <c r="C205" i="63" s="1"/>
  <c r="E205" i="63" s="1"/>
  <c r="G205" i="63" s="1"/>
  <c r="C205" i="64" s="1"/>
  <c r="E205" i="64" s="1"/>
  <c r="G205" i="64" s="1"/>
  <c r="C205" i="65" s="1"/>
  <c r="E205" i="65" s="1"/>
  <c r="G205" i="65" s="1"/>
  <c r="G123" i="50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C123" i="65" s="1"/>
  <c r="E123" i="65" s="1"/>
  <c r="G123" i="65" s="1"/>
  <c r="G78" i="50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C78" i="65" s="1"/>
  <c r="E78" i="65" s="1"/>
  <c r="G78" i="65" s="1"/>
  <c r="G62" i="50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C62" i="65" s="1"/>
  <c r="E62" i="65" s="1"/>
  <c r="G62" i="65" s="1"/>
  <c r="G149" i="50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C149" i="65" s="1"/>
  <c r="E149" i="65" s="1"/>
  <c r="G149" i="65" s="1"/>
  <c r="G58" i="50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C58" i="65" s="1"/>
  <c r="E58" i="65" s="1"/>
  <c r="G58" i="65" s="1"/>
  <c r="G148" i="50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C148" i="65" s="1"/>
  <c r="E148" i="65" s="1"/>
  <c r="G148" i="65" s="1"/>
  <c r="G54" i="50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C54" i="65" s="1"/>
  <c r="E54" i="65" s="1"/>
  <c r="G54" i="65" s="1"/>
  <c r="G89" i="50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C89" i="65" s="1"/>
  <c r="E89" i="65" s="1"/>
  <c r="G89" i="65" s="1"/>
  <c r="G170" i="50"/>
  <c r="C170" i="51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C170" i="65" s="1"/>
  <c r="E170" i="65" s="1"/>
  <c r="G170" i="65" s="1"/>
  <c r="G84" i="50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C84" i="65" s="1"/>
  <c r="E84" i="65" s="1"/>
  <c r="G84" i="65" s="1"/>
  <c r="G193" i="50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C193" i="65" s="1"/>
  <c r="E193" i="65" s="1"/>
  <c r="G193" i="65" s="1"/>
  <c r="G66" i="50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C66" i="65" s="1"/>
  <c r="E66" i="65" s="1"/>
  <c r="G66" i="65" s="1"/>
  <c r="G73" i="50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C73" i="65" s="1"/>
  <c r="E73" i="65" s="1"/>
  <c r="G73" i="65" s="1"/>
  <c r="G137" i="50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C137" i="65" s="1"/>
  <c r="E137" i="65" s="1"/>
  <c r="G137" i="65" s="1"/>
  <c r="G196" i="50"/>
  <c r="C196" i="51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C196" i="65" s="1"/>
  <c r="E196" i="65" s="1"/>
  <c r="G196" i="65" s="1"/>
  <c r="G113" i="50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C113" i="65" s="1"/>
  <c r="E113" i="65" s="1"/>
  <c r="G113" i="65" s="1"/>
  <c r="G86" i="50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C86" i="65" s="1"/>
  <c r="E86" i="65" s="1"/>
  <c r="G86" i="65" s="1"/>
  <c r="G140" i="50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C140" i="65" s="1"/>
  <c r="E140" i="65" s="1"/>
  <c r="G140" i="65" s="1"/>
  <c r="G71" i="50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C71" i="65" s="1"/>
  <c r="E71" i="65" s="1"/>
  <c r="G71" i="65" s="1"/>
  <c r="G139" i="50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C139" i="65" s="1"/>
  <c r="E139" i="65" s="1"/>
  <c r="G139" i="65" s="1"/>
  <c r="G92" i="50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C92" i="65" s="1"/>
  <c r="E92" i="65" s="1"/>
  <c r="G92" i="65" s="1"/>
  <c r="G159" i="50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C159" i="65" s="1"/>
  <c r="E159" i="65" s="1"/>
  <c r="G159" i="65" s="1"/>
  <c r="G69" i="50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C69" i="65" s="1"/>
  <c r="E69" i="65" s="1"/>
  <c r="G69" i="65" s="1"/>
  <c r="G50" i="50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C50" i="65" s="1"/>
  <c r="E50" i="65" s="1"/>
  <c r="G50" i="65" s="1"/>
  <c r="G57" i="50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C57" i="65" s="1"/>
  <c r="E57" i="65" s="1"/>
  <c r="G57" i="65" s="1"/>
  <c r="K225" i="37"/>
  <c r="K224" i="37"/>
  <c r="K227" i="37" s="1"/>
  <c r="E223" i="16"/>
  <c r="E207" i="16"/>
  <c r="E211" i="16"/>
  <c r="E212" i="16"/>
  <c r="E214" i="16"/>
  <c r="E215" i="16"/>
  <c r="E217" i="16"/>
  <c r="E219" i="16"/>
  <c r="E222" i="16"/>
  <c r="E224" i="16"/>
  <c r="E220" i="16"/>
  <c r="E218" i="16"/>
  <c r="E216" i="16"/>
  <c r="E210" i="16"/>
  <c r="E209" i="16"/>
  <c r="E208" i="16"/>
  <c r="E206" i="16"/>
  <c r="S34" i="16"/>
  <c r="U34" i="16" s="1"/>
  <c r="S33" i="16"/>
  <c r="U33" i="16" s="1"/>
  <c r="S32" i="16"/>
  <c r="U32" i="16" s="1"/>
  <c r="S25" i="16" l="1"/>
  <c r="U25" i="16" s="1"/>
  <c r="S26" i="16"/>
  <c r="U26" i="16" s="1"/>
  <c r="T36" i="16"/>
  <c r="J233" i="16" s="1"/>
  <c r="O36" i="16"/>
  <c r="J229" i="16" s="1"/>
  <c r="S22" i="16"/>
  <c r="U22" i="16" s="1"/>
  <c r="S31" i="16"/>
  <c r="U31" i="16" s="1"/>
  <c r="P36" i="16"/>
  <c r="F228" i="16" s="1"/>
  <c r="S23" i="16"/>
  <c r="U23" i="16" s="1"/>
  <c r="S24" i="16"/>
  <c r="U24" i="16" s="1"/>
  <c r="S30" i="16"/>
  <c r="U30" i="16" s="1"/>
  <c r="S29" i="16"/>
  <c r="U29" i="16" s="1"/>
  <c r="S27" i="16"/>
  <c r="U27" i="16" s="1"/>
  <c r="S20" i="16"/>
  <c r="U20" i="16" s="1"/>
  <c r="S21" i="16"/>
  <c r="U21" i="16" s="1"/>
  <c r="E221" i="16"/>
  <c r="E213" i="16"/>
  <c r="E205" i="16"/>
  <c r="S28" i="16" l="1"/>
  <c r="U28" i="16" s="1"/>
  <c r="S19" i="16"/>
  <c r="U19" i="16" s="1"/>
  <c r="E5" i="16" l="1"/>
  <c r="E124" i="16" l="1"/>
  <c r="E155" i="16"/>
  <c r="N36" i="16"/>
  <c r="K230" i="16" s="1"/>
  <c r="D229" i="16" s="1"/>
  <c r="B230" i="16" s="1"/>
  <c r="R36" i="16"/>
  <c r="K228" i="16" s="1"/>
  <c r="E139" i="16"/>
  <c r="E58" i="16"/>
  <c r="Q36" i="16"/>
  <c r="F230" i="16" s="1"/>
  <c r="F231" i="16" s="1"/>
  <c r="J231" i="16" s="1"/>
  <c r="E173" i="16"/>
  <c r="E75" i="16"/>
  <c r="E141" i="16"/>
  <c r="E165" i="16"/>
  <c r="E181" i="16"/>
  <c r="E189" i="16"/>
  <c r="E146" i="16"/>
  <c r="E178" i="16"/>
  <c r="E61" i="16"/>
  <c r="E123" i="16"/>
  <c r="E171" i="16"/>
  <c r="E133" i="16"/>
  <c r="E157" i="16"/>
  <c r="E68" i="16"/>
  <c r="E92" i="16"/>
  <c r="E197" i="16"/>
  <c r="E100" i="16"/>
  <c r="E170" i="16"/>
  <c r="E10" i="16"/>
  <c r="E12" i="16"/>
  <c r="E18" i="16"/>
  <c r="E20" i="16"/>
  <c r="E36" i="16"/>
  <c r="E42" i="16"/>
  <c r="E44" i="16"/>
  <c r="E50" i="16"/>
  <c r="E52" i="16"/>
  <c r="E67" i="16"/>
  <c r="E82" i="16"/>
  <c r="E84" i="16"/>
  <c r="E203" i="16"/>
  <c r="E63" i="16"/>
  <c r="E93" i="16"/>
  <c r="E103" i="16"/>
  <c r="E109" i="16"/>
  <c r="E132" i="16"/>
  <c r="E140" i="16"/>
  <c r="E196" i="16"/>
  <c r="E204" i="16"/>
  <c r="E66" i="16"/>
  <c r="E73" i="16"/>
  <c r="E111" i="16"/>
  <c r="E138" i="16"/>
  <c r="E200" i="16"/>
  <c r="E115" i="16"/>
  <c r="E158" i="16"/>
  <c r="E76" i="16"/>
  <c r="E24" i="16"/>
  <c r="E97" i="16"/>
  <c r="E131" i="16"/>
  <c r="E70" i="16"/>
  <c r="E88" i="16"/>
  <c r="E101" i="16"/>
  <c r="E116" i="16"/>
  <c r="E120" i="16"/>
  <c r="E128" i="16"/>
  <c r="E151" i="16"/>
  <c r="E159" i="16"/>
  <c r="E163" i="16"/>
  <c r="E167" i="16"/>
  <c r="E182" i="16"/>
  <c r="E186" i="16"/>
  <c r="E190" i="16"/>
  <c r="E188" i="16"/>
  <c r="E34" i="16"/>
  <c r="E150" i="16"/>
  <c r="E193" i="16"/>
  <c r="E28" i="16"/>
  <c r="E8" i="16"/>
  <c r="E16" i="16"/>
  <c r="E30" i="16"/>
  <c r="E56" i="16"/>
  <c r="E86" i="16"/>
  <c r="E95" i="16"/>
  <c r="E135" i="16"/>
  <c r="E174" i="16"/>
  <c r="E147" i="16"/>
  <c r="E117" i="16"/>
  <c r="E74" i="16"/>
  <c r="E65" i="16"/>
  <c r="E72" i="16"/>
  <c r="E79" i="16"/>
  <c r="E81" i="16"/>
  <c r="E90" i="16"/>
  <c r="E105" i="16"/>
  <c r="E113" i="16"/>
  <c r="E136" i="16"/>
  <c r="E144" i="16"/>
  <c r="E175" i="16"/>
  <c r="E194" i="16"/>
  <c r="E198" i="16"/>
  <c r="E202" i="16"/>
  <c r="E71" i="16"/>
  <c r="E80" i="16"/>
  <c r="E134" i="16"/>
  <c r="E177" i="16"/>
  <c r="E119" i="16"/>
  <c r="E166" i="16"/>
  <c r="E148" i="16"/>
  <c r="E14" i="16"/>
  <c r="E32" i="16"/>
  <c r="E46" i="16"/>
  <c r="E54" i="16"/>
  <c r="E201" i="16"/>
  <c r="E60" i="16"/>
  <c r="E62" i="16"/>
  <c r="E83" i="16"/>
  <c r="E121" i="16"/>
  <c r="E129" i="16"/>
  <c r="E152" i="16"/>
  <c r="E160" i="16"/>
  <c r="E164" i="16"/>
  <c r="E168" i="16"/>
  <c r="E179" i="16"/>
  <c r="E183" i="16"/>
  <c r="E191" i="16"/>
  <c r="E104" i="16"/>
  <c r="E130" i="16"/>
  <c r="E127" i="16"/>
  <c r="E162" i="16"/>
  <c r="E6" i="16"/>
  <c r="E22" i="16"/>
  <c r="E38" i="16"/>
  <c r="E48" i="16"/>
  <c r="E108" i="16"/>
  <c r="E7" i="16"/>
  <c r="E9" i="16"/>
  <c r="E11" i="16"/>
  <c r="E13" i="16"/>
  <c r="E15" i="16"/>
  <c r="E17" i="16"/>
  <c r="E19" i="16"/>
  <c r="E21" i="16"/>
  <c r="E23" i="16"/>
  <c r="E25" i="16"/>
  <c r="E27" i="16"/>
  <c r="E29" i="16"/>
  <c r="E31" i="16"/>
  <c r="E33" i="16"/>
  <c r="E35" i="16"/>
  <c r="E37" i="16"/>
  <c r="E39" i="16"/>
  <c r="E41" i="16"/>
  <c r="E43" i="16"/>
  <c r="E45" i="16"/>
  <c r="E47" i="16"/>
  <c r="E49" i="16"/>
  <c r="E51" i="16"/>
  <c r="E53" i="16"/>
  <c r="E55" i="16"/>
  <c r="E57" i="16"/>
  <c r="E78" i="16"/>
  <c r="E85" i="16"/>
  <c r="E94" i="16"/>
  <c r="E96" i="16"/>
  <c r="E98" i="16"/>
  <c r="E106" i="16"/>
  <c r="E110" i="16"/>
  <c r="E137" i="16"/>
  <c r="E145" i="16"/>
  <c r="E172" i="16"/>
  <c r="E176" i="16"/>
  <c r="E195" i="16"/>
  <c r="E199" i="16"/>
  <c r="E89" i="16"/>
  <c r="E107" i="16"/>
  <c r="E142" i="16"/>
  <c r="E91" i="16"/>
  <c r="E154" i="16"/>
  <c r="E185" i="16"/>
  <c r="E187" i="16"/>
  <c r="E26" i="16"/>
  <c r="E40" i="16"/>
  <c r="E77" i="16"/>
  <c r="E99" i="16"/>
  <c r="E112" i="16"/>
  <c r="E143" i="16"/>
  <c r="E59" i="16"/>
  <c r="E64" i="16"/>
  <c r="E69" i="16"/>
  <c r="E87" i="16"/>
  <c r="E102" i="16"/>
  <c r="E114" i="16"/>
  <c r="E118" i="16"/>
  <c r="E122" i="16"/>
  <c r="E126" i="16"/>
  <c r="E149" i="16"/>
  <c r="E153" i="16"/>
  <c r="E161" i="16"/>
  <c r="E169" i="16"/>
  <c r="E180" i="16"/>
  <c r="E184" i="16"/>
  <c r="E192" i="16"/>
  <c r="E156" i="16"/>
  <c r="E125" i="16"/>
  <c r="S6" i="16" l="1"/>
  <c r="U6" i="16" s="1"/>
  <c r="S11" i="16"/>
  <c r="U11" i="16" s="1"/>
  <c r="S13" i="16"/>
  <c r="U13" i="16" s="1"/>
  <c r="S16" i="16"/>
  <c r="U16" i="16" s="1"/>
  <c r="S7" i="16"/>
  <c r="U7" i="16" s="1"/>
  <c r="S9" i="16"/>
  <c r="U9" i="16" s="1"/>
  <c r="S18" i="16"/>
  <c r="U18" i="16" s="1"/>
  <c r="J227" i="16"/>
  <c r="S17" i="16"/>
  <c r="U17" i="16" s="1"/>
  <c r="S10" i="16"/>
  <c r="U10" i="16" s="1"/>
  <c r="S12" i="16"/>
  <c r="U12" i="16" s="1"/>
  <c r="S8" i="16"/>
  <c r="U8" i="16" s="1"/>
  <c r="S14" i="16"/>
  <c r="U14" i="16" s="1"/>
  <c r="S15" i="16"/>
  <c r="U15" i="16" s="1"/>
  <c r="M36" i="16" l="1"/>
  <c r="D228" i="16"/>
  <c r="D231" i="16" s="1"/>
  <c r="D233" i="16" s="1"/>
  <c r="J230" i="16"/>
  <c r="B228" i="16" l="1"/>
  <c r="B231" i="16" s="1"/>
  <c r="J232" i="16"/>
  <c r="J235" i="16" s="1"/>
  <c r="S5" i="16"/>
  <c r="S36" i="16" s="1"/>
  <c r="U5" i="16" l="1"/>
  <c r="U36" i="1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33" authorId="0" shapeId="0" xr:uid="{DD0624B9-924A-490C-AC16-50CD4951DB9B}">
      <text>
        <r>
          <rPr>
            <b/>
            <sz val="9"/>
            <color indexed="81"/>
            <rFont val="Tahoma"/>
            <family val="2"/>
          </rPr>
          <t xml:space="preserve">ปรับตาม Ordit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26" authorId="0" shapeId="0" xr:uid="{2D38F298-8983-4A85-AD38-4D6922CA6D20}">
      <text>
        <r>
          <rPr>
            <b/>
            <sz val="9"/>
            <color indexed="81"/>
            <rFont val="Tahoma"/>
            <family val="2"/>
          </rPr>
          <t>หมดอายุ</t>
        </r>
      </text>
    </comment>
    <comment ref="F39" authorId="0" shapeId="0" xr:uid="{09D5993C-B0F5-4571-926F-3553E6A210E2}">
      <text>
        <r>
          <rPr>
            <b/>
            <sz val="9"/>
            <color indexed="81"/>
            <rFont val="Tahoma"/>
            <family val="2"/>
          </rPr>
          <t>หมดอายุ</t>
        </r>
      </text>
    </comment>
    <comment ref="F40" authorId="0" shapeId="0" xr:uid="{7506FE6C-9A3B-40A2-929C-7A1944A312DA}">
      <text>
        <r>
          <rPr>
            <b/>
            <sz val="9"/>
            <color indexed="81"/>
            <rFont val="Tahoma"/>
            <family val="2"/>
          </rPr>
          <t>หมดอายุ</t>
        </r>
      </text>
    </comment>
    <comment ref="F66" authorId="0" shapeId="0" xr:uid="{45A03B7E-0B19-48FD-AC47-FB85C3665B3D}">
      <text>
        <r>
          <rPr>
            <b/>
            <sz val="9"/>
            <color indexed="81"/>
            <rFont val="Tahoma"/>
            <family val="2"/>
          </rPr>
          <t>หนูกัดสินค้า</t>
        </r>
      </text>
    </comment>
    <comment ref="F73" authorId="0" shapeId="0" xr:uid="{3C6E4526-C5B9-4EE3-8390-9CBDF7D5C996}">
      <text>
        <r>
          <rPr>
            <b/>
            <sz val="9"/>
            <color indexed="81"/>
            <rFont val="Tahoma"/>
            <family val="2"/>
          </rPr>
          <t>หนูกัดสินค้า</t>
        </r>
      </text>
    </comment>
    <comment ref="F133" authorId="0" shapeId="0" xr:uid="{FE2CCDC5-651F-4608-8A8A-E682861B405F}">
      <text>
        <r>
          <rPr>
            <b/>
            <sz val="9"/>
            <color indexed="81"/>
            <rFont val="Tahoma"/>
            <family val="2"/>
          </rPr>
          <t>หมดอายุ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5" authorId="0" shapeId="0" xr:uid="{F2545CBD-C946-42DB-AD00-6B1BBD572AD0}">
      <text>
        <r>
          <rPr>
            <b/>
            <sz val="9"/>
            <color indexed="81"/>
            <rFont val="Tahoma"/>
            <charset val="222"/>
          </rPr>
          <t xml:space="preserve">โยกไปลาดหลุมแก้ว 10
</t>
        </r>
      </text>
    </comment>
    <comment ref="F6" authorId="0" shapeId="0" xr:uid="{2E33B4F0-8947-47F3-BBF7-26A0B8CA8F6B}">
      <text>
        <r>
          <rPr>
            <b/>
            <sz val="9"/>
            <color indexed="81"/>
            <rFont val="Tahoma"/>
            <charset val="222"/>
          </rPr>
          <t xml:space="preserve">โยกไปลาดหลุมแก้ว </t>
        </r>
      </text>
    </comment>
    <comment ref="F23" authorId="0" shapeId="0" xr:uid="{98C59E91-B979-4005-B671-885D6365212A}">
      <text>
        <r>
          <rPr>
            <b/>
            <sz val="9"/>
            <color indexed="81"/>
            <rFont val="Tahoma"/>
            <charset val="222"/>
          </rPr>
          <t xml:space="preserve">โยกไปลาดหลุมแก้ว </t>
        </r>
      </text>
    </comment>
    <comment ref="F24" authorId="0" shapeId="0" xr:uid="{45427902-D11B-4DC4-8CDE-7FCC7415DE91}">
      <text>
        <r>
          <rPr>
            <b/>
            <sz val="9"/>
            <color indexed="81"/>
            <rFont val="Tahoma"/>
            <charset val="222"/>
          </rPr>
          <t xml:space="preserve">โยกไปลาดหลุมแก้ว </t>
        </r>
      </text>
    </comment>
    <comment ref="F27" authorId="0" shapeId="0" xr:uid="{2AA1A5C1-687E-4B34-81CF-D7EA19DB31A8}">
      <text>
        <r>
          <rPr>
            <b/>
            <sz val="9"/>
            <color indexed="81"/>
            <rFont val="Tahoma"/>
            <charset val="222"/>
          </rPr>
          <t xml:space="preserve">โยกไปลาดหลุมแก้ว </t>
        </r>
      </text>
    </comment>
    <comment ref="F29" authorId="0" shapeId="0" xr:uid="{5DC25417-C70C-4B13-8331-864D2D239F64}">
      <text>
        <r>
          <rPr>
            <b/>
            <sz val="9"/>
            <color indexed="81"/>
            <rFont val="Tahoma"/>
            <charset val="222"/>
          </rPr>
          <t xml:space="preserve">โยกไปลาดหลุมแก้ว </t>
        </r>
      </text>
    </comment>
    <comment ref="F30" authorId="0" shapeId="0" xr:uid="{526680DD-37EC-4BAC-A95A-53F5DEBE0EC6}">
      <text>
        <r>
          <rPr>
            <b/>
            <sz val="9"/>
            <color indexed="81"/>
            <rFont val="Tahoma"/>
            <charset val="222"/>
          </rPr>
          <t xml:space="preserve">โยกไปลาดหลุมแก้ว </t>
        </r>
      </text>
    </comment>
    <comment ref="F31" authorId="0" shapeId="0" xr:uid="{C62AE733-5C0F-408D-B99F-6A2E77DBBB14}">
      <text>
        <r>
          <rPr>
            <b/>
            <sz val="9"/>
            <color indexed="81"/>
            <rFont val="Tahoma"/>
            <charset val="222"/>
          </rPr>
          <t xml:space="preserve">โยกไปลาดหลุมแก้ว </t>
        </r>
      </text>
    </comment>
    <comment ref="F37" authorId="0" shapeId="0" xr:uid="{84598A44-AE5D-451D-AD40-98FC3A1C126D}">
      <text>
        <r>
          <rPr>
            <b/>
            <sz val="9"/>
            <color indexed="81"/>
            <rFont val="Tahoma"/>
            <charset val="222"/>
          </rPr>
          <t xml:space="preserve">โยกไปลาดหลุมแก้ว 
</t>
        </r>
      </text>
    </comment>
    <comment ref="F150" authorId="0" shapeId="0" xr:uid="{9F0CB41B-24F6-4D69-AAD1-1AE7844A1F0D}">
      <text>
        <r>
          <rPr>
            <b/>
            <sz val="9"/>
            <color indexed="81"/>
            <rFont val="Tahoma"/>
            <charset val="222"/>
          </rPr>
          <t xml:space="preserve">โยกไปลาดหลุมแก้ว </t>
        </r>
      </text>
    </comment>
    <comment ref="F152" authorId="0" shapeId="0" xr:uid="{8B316D4E-FFDD-41EB-B8E8-04CB1525F908}">
      <text>
        <r>
          <rPr>
            <b/>
            <sz val="9"/>
            <color indexed="81"/>
            <rFont val="Tahoma"/>
            <charset val="222"/>
          </rPr>
          <t xml:space="preserve">โยกไปลาดหลุมแก้ว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C26" authorId="0" shapeId="0" xr:uid="{0A0B699D-07A2-44F5-8194-F7224D4E737D}">
      <text>
        <r>
          <rPr>
            <b/>
            <sz val="9"/>
            <color indexed="81"/>
            <rFont val="Tahoma"/>
            <charset val="222"/>
          </rPr>
          <t xml:space="preserve">สลับกับส้ม 2
</t>
        </r>
      </text>
    </comment>
    <comment ref="C30" authorId="0" shapeId="0" xr:uid="{A1B5E23C-2375-4E66-A8AF-141402CF1869}">
      <text>
        <r>
          <rPr>
            <b/>
            <sz val="9"/>
            <color indexed="81"/>
            <rFont val="Tahoma"/>
            <charset val="222"/>
          </rPr>
          <t>สลับกับนมชมพู</t>
        </r>
      </text>
    </comment>
  </commentList>
</comments>
</file>

<file path=xl/sharedStrings.xml><?xml version="1.0" encoding="utf-8"?>
<sst xmlns="http://schemas.openxmlformats.org/spreadsheetml/2006/main" count="18258" uniqueCount="283">
  <si>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</si>
  <si>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</si>
  <si>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</si>
  <si>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</si>
  <si>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</si>
  <si>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</si>
  <si>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</si>
  <si>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</si>
  <si>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</si>
  <si>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</si>
  <si>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</si>
  <si>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</si>
  <si>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</si>
  <si>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</si>
  <si>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</si>
  <si>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</si>
  <si>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</si>
  <si>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</si>
  <si>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</si>
  <si>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</si>
  <si>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</si>
  <si>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</si>
  <si>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</si>
  <si>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</si>
  <si>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</si>
  <si>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</si>
  <si>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</si>
  <si>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</si>
  <si>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</si>
  <si>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</si>
  <si>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</si>
  <si>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</si>
  <si>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</si>
  <si>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</si>
  <si>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</si>
  <si>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</si>
  <si>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</si>
  <si>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</si>
  <si>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</si>
  <si>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</si>
  <si>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</si>
  <si>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</si>
  <si>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</si>
  <si>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</si>
  <si>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</si>
  <si>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</si>
  <si>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</si>
  <si>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</si>
  <si>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</si>
  <si>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</si>
  <si>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</si>
  <si>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</si>
  <si>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</si>
  <si>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</si>
  <si>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</si>
  <si>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</si>
  <si>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</si>
  <si>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</si>
  <si>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</si>
  <si>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</si>
  <si>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</si>
  <si>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</si>
  <si>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</si>
  <si>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</si>
  <si>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</si>
  <si>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</si>
  <si>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</si>
  <si>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</si>
  <si>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</si>
  <si>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</si>
  <si>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</si>
  <si>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</si>
  <si>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</si>
  <si>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</si>
  <si>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</si>
  <si>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</si>
  <si>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</si>
  <si>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</si>
  <si>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</si>
  <si>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</si>
  <si>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</si>
  <si>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</si>
  <si>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</si>
  <si>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</si>
  <si>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</si>
  <si>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</si>
  <si>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</si>
  <si>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</si>
  <si>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</si>
  <si>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</si>
  <si>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</si>
  <si>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</si>
  <si>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</si>
  <si>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</si>
  <si>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</si>
  <si>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</si>
  <si>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</si>
  <si>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</si>
  <si>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</si>
  <si>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</si>
  <si>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</si>
  <si>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</si>
  <si>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</si>
  <si>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</si>
  <si>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</si>
  <si>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</si>
  <si>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</si>
  <si>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</si>
  <si>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>เค้กมะพร้าว 1/2 ปอนด์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</si>
  <si>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</si>
  <si>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</si>
  <si>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</si>
  <si>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</si>
  <si>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</si>
  <si>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</si>
  <si>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</si>
  <si>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</si>
  <si>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</si>
  <si>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</si>
  <si>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</si>
  <si>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</si>
  <si>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</si>
  <si>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</si>
  <si>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</si>
  <si>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</si>
  <si>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</si>
  <si>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</si>
  <si>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</si>
  <si>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</si>
  <si>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</si>
  <si>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</si>
  <si>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</si>
  <si>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</si>
  <si>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</si>
  <si>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</si>
  <si>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</si>
  <si>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</si>
  <si>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</si>
  <si>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</si>
  <si>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</si>
  <si>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</si>
  <si>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</si>
  <si>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</si>
  <si>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</si>
  <si>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</si>
  <si>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</si>
  <si>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</si>
  <si>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</si>
  <si>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</si>
  <si>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</si>
  <si>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</si>
  <si>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</si>
  <si>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</si>
  <si>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</si>
  <si>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</si>
  <si>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</si>
  <si>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</si>
  <si>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</si>
  <si>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</si>
  <si>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</si>
  <si>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</si>
  <si>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</si>
  <si>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</si>
  <si>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</si>
  <si>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</si>
  <si>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</si>
  <si>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</si>
  <si>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</si>
  <si>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</si>
  <si>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</si>
  <si>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</si>
  <si>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</si>
  <si>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</si>
  <si>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</si>
  <si>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</si>
  <si>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</si>
  <si>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</si>
  <si>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</si>
  <si>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</si>
  <si>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</si>
  <si>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</si>
  <si>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</si>
  <si>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</si>
  <si>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</si>
  <si>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</si>
  <si>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</si>
  <si>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</si>
  <si>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</si>
  <si>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</si>
  <si>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</si>
  <si>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</si>
  <si>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</si>
  <si>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</si>
  <si>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</si>
  <si>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</si>
  <si>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</si>
  <si>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</si>
  <si>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</si>
  <si>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</si>
  <si>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</si>
  <si>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</si>
  <si>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</si>
  <si>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เปี๊ยะลาวาไข่เค็ม 1 ชิ้น </t>
  </si>
  <si>
    <t>ขนมปุยฝ้าย</t>
  </si>
  <si>
    <t>คัพเค้กครีมมะพร้าวเนยสด 4 ชิ้น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</si>
  <si>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</si>
  <si>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</si>
  <si>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</si>
  <si>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</si>
  <si>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</si>
  <si>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</si>
  <si>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</si>
  <si>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</si>
  <si>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</si>
  <si>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</si>
  <si>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</si>
  <si>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</si>
  <si>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</si>
  <si>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บูธ ธรรมศาลา วันที่ 1-31/12/2566</t>
  </si>
  <si>
    <t>ยอดขายสินค้า SALE</t>
  </si>
  <si>
    <t>ส่วนลดสินค้า SALE</t>
  </si>
  <si>
    <t>เค้กวุ้นฝอยทอง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</si>
  <si>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</si>
  <si>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</si>
  <si>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</si>
  <si>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</si>
  <si>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</si>
  <si>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</si>
  <si>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</si>
  <si>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</si>
  <si>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</si>
  <si>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</si>
  <si>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</si>
  <si>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ค่าคอมมิสชั่น คุณาวรรณ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</si>
  <si>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</si>
  <si>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</si>
  <si>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</si>
  <si>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</si>
  <si>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</si>
  <si>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</si>
  <si>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</si>
  <si>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</si>
  <si>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</si>
  <si>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</si>
  <si>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</si>
  <si>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</si>
  <si>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</si>
  <si>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</si>
  <si>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สรุป บูธ ธรรมศาลา วันที่ 1-31/12/2566</t>
  </si>
  <si>
    <t>ลาวา (ล) ใบเตย</t>
  </si>
  <si>
    <t>ขนมปังไก่หยองชิ้น</t>
  </si>
  <si>
    <t>ขนมปังลูกเกดฝอยทอง</t>
  </si>
  <si>
    <t>ขนมปังสตอเบอรี่</t>
  </si>
  <si>
    <t>ขนมปังบลูเบอรี่</t>
  </si>
  <si>
    <t>ขนมปังฝอยทอง</t>
  </si>
  <si>
    <t xml:space="preserve">ขนมปังลูกเกด </t>
  </si>
  <si>
    <t>ชิฟฟ่อน รสกาแฟ 4 ชิ้น</t>
  </si>
  <si>
    <t>ชิฟฟ่อน 8 ชิ้น ห่อรวมรส</t>
  </si>
  <si>
    <t>ชิฟฟ่อนมะลิ 8 ชิ้น</t>
  </si>
  <si>
    <t>ชิฟฟ่อน 8 ชิ้น รวมรส กลาง</t>
  </si>
  <si>
    <t>ชิฟฟ่อน 8 ชิ้น ห่อมะพร้าว</t>
  </si>
  <si>
    <t>เค้กโอริโอ้ 1 ปอนด์</t>
  </si>
  <si>
    <t>เค้กช็อคโกแล็ต 1 ปอนด์</t>
  </si>
  <si>
    <t>เค้กสตรอว์เบอร์รี่ 1 ปอนด์</t>
  </si>
  <si>
    <t>เบาหวิว (ล) ใหม่ ตาลหอม</t>
  </si>
  <si>
    <t>ลาวา (ล) ฝอยทอง</t>
  </si>
  <si>
    <t>แถม*1</t>
  </si>
  <si>
    <t>หมดอายุ</t>
  </si>
  <si>
    <t>ลด 50%</t>
  </si>
  <si>
    <t>.</t>
  </si>
  <si>
    <t>ยอดขายหักส่วนลด</t>
  </si>
  <si>
    <t>ยอดเงินสด</t>
  </si>
  <si>
    <t>ยอดโอน</t>
  </si>
  <si>
    <t>แถม 1</t>
  </si>
  <si>
    <t>โปร</t>
  </si>
  <si>
    <t>แถม</t>
  </si>
  <si>
    <t>แถม2 / ลด50%=1</t>
  </si>
  <si>
    <t>แถม1</t>
  </si>
  <si>
    <t>ลด50%</t>
  </si>
  <si>
    <t>ครัฟฟินรูบี้ช็อกโกแลตสตรอเบอร์รี่</t>
  </si>
  <si>
    <t>ฝอยทองกรอบ</t>
  </si>
  <si>
    <t>โปรคู่</t>
  </si>
  <si>
    <t>ลด50%=1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</si>
</sst>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9"/>
      <color indexed="81"/>
      <name val="Tahoma"/>
      <family val="2"/>
    </font>
    <font>
      <b/>
      <sz val="9"/>
      <color indexed="81"/>
      <name val="Tahoma"/>
      <charset val="22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0" borderId="14" xfId="1" applyFont="1" applyFill="1" applyBorder="1" applyAlignment="1">
      <alignment horizontal="center"/>
    </xf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43" fontId="2" fillId="0" borderId="17" xfId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43" fontId="6" fillId="0" borderId="0" xfId="0" applyNumberFormat="1" applyFont="1" applyAlignment="1">
      <alignment horizontal="center"/>
    </xf>
    <xf numFmtId="0" fontId="14" fillId="12" borderId="1" xfId="0" applyFont="1" applyFill="1" applyBorder="1"/>
    <xf numFmtId="43" fontId="6" fillId="15" borderId="1" xfId="0" applyNumberFormat="1" applyFont="1" applyFill="1" applyBorder="1"/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1" xfId="0" applyFont="1" applyFill="1" applyBorder="1"/>
    <xf numFmtId="43" fontId="2" fillId="2" borderId="14" xfId="1" applyFont="1" applyFill="1" applyBorder="1" applyAlignment="1">
      <alignment horizontal="center"/>
    </xf>
    <xf numFmtId="0" fontId="2" fillId="2" borderId="1" xfId="0" applyFont="1" applyFill="1" applyBorder="1"/>
    <xf numFmtId="0" fontId="2" fillId="0" borderId="0" xfId="0" applyFont="1" applyAlignment="1">
      <alignment horizontal="right"/>
    </xf>
    <xf numFmtId="43" fontId="2" fillId="17" borderId="14" xfId="1" applyFont="1" applyFill="1" applyBorder="1" applyAlignment="1">
      <alignment horizontal="center"/>
    </xf>
    <xf numFmtId="43" fontId="2" fillId="18" borderId="14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ownloads\&#3610;&#3641;&#3608;&#3608;&#3619;&#3619;&#3617;&#3624;&#3634;&#3621;&#3634;%20&#3617;.&#3588;.67.xlsx" TargetMode="External"/><Relationship Id="rId1" Type="http://schemas.openxmlformats.org/officeDocument/2006/relationships/externalLinkPath" Target="file:///D:\Users\PC29\Downloads\&#3610;&#3641;&#3608;&#3608;&#3619;&#3619;&#3617;&#3624;&#3634;&#3621;&#3634;%20&#3617;.&#3588;.6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14;.&#3618;.%2066\&#3610;&#3641;&#3608;&#3608;&#3619;&#3619;&#3617;&#3624;&#3634;&#3621;&#3634;%20&#3614;.&#3618;.%2066.xlsx" TargetMode="External"/><Relationship Id="rId1" Type="http://schemas.openxmlformats.org/officeDocument/2006/relationships/externalLinkPath" Target="file:///D:\Users\PC29\Desktop\&#3610;&#3641;&#3608;\2566\&#3648;&#3604;&#3639;&#3629;&#3609;%20&#3614;.&#3618;.%2066\&#3610;&#3641;&#3608;&#3608;&#3619;&#3619;&#3617;&#3624;&#3634;&#3621;&#3634;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วันที่ 3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">
          <cell r="G5">
            <v>14</v>
          </cell>
        </row>
        <row r="6">
          <cell r="G6">
            <v>13</v>
          </cell>
        </row>
        <row r="7">
          <cell r="G7">
            <v>7</v>
          </cell>
        </row>
        <row r="8">
          <cell r="G8">
            <v>0</v>
          </cell>
        </row>
        <row r="9">
          <cell r="G9">
            <v>0</v>
          </cell>
        </row>
        <row r="10">
          <cell r="G10">
            <v>0</v>
          </cell>
        </row>
        <row r="11">
          <cell r="G11">
            <v>0</v>
          </cell>
        </row>
        <row r="12">
          <cell r="G12">
            <v>0</v>
          </cell>
        </row>
        <row r="13">
          <cell r="G13">
            <v>0</v>
          </cell>
        </row>
        <row r="14">
          <cell r="G14">
            <v>0</v>
          </cell>
        </row>
        <row r="15">
          <cell r="G15">
            <v>0</v>
          </cell>
        </row>
        <row r="16">
          <cell r="G16">
            <v>0</v>
          </cell>
        </row>
        <row r="17">
          <cell r="G17">
            <v>0</v>
          </cell>
        </row>
        <row r="18">
          <cell r="G18">
            <v>0</v>
          </cell>
        </row>
        <row r="19">
          <cell r="G19">
            <v>0</v>
          </cell>
        </row>
        <row r="20">
          <cell r="G20">
            <v>0</v>
          </cell>
        </row>
        <row r="21">
          <cell r="G21">
            <v>0</v>
          </cell>
        </row>
        <row r="22">
          <cell r="G22">
            <v>0</v>
          </cell>
        </row>
        <row r="23">
          <cell r="G23">
            <v>0</v>
          </cell>
        </row>
        <row r="24">
          <cell r="G24">
            <v>0</v>
          </cell>
        </row>
        <row r="25">
          <cell r="G25">
            <v>0</v>
          </cell>
        </row>
        <row r="26">
          <cell r="G26">
            <v>2</v>
          </cell>
        </row>
        <row r="27">
          <cell r="G27">
            <v>1</v>
          </cell>
        </row>
        <row r="28">
          <cell r="G28">
            <v>0</v>
          </cell>
        </row>
        <row r="29">
          <cell r="G29">
            <v>1</v>
          </cell>
        </row>
        <row r="30">
          <cell r="G30">
            <v>0</v>
          </cell>
        </row>
        <row r="31">
          <cell r="G31">
            <v>1</v>
          </cell>
        </row>
        <row r="32">
          <cell r="G32">
            <v>0</v>
          </cell>
        </row>
        <row r="33">
          <cell r="G33">
            <v>2</v>
          </cell>
        </row>
        <row r="34">
          <cell r="G34">
            <v>0</v>
          </cell>
        </row>
        <row r="35">
          <cell r="G35">
            <v>0</v>
          </cell>
        </row>
        <row r="36">
          <cell r="G36">
            <v>0</v>
          </cell>
        </row>
        <row r="37">
          <cell r="G37">
            <v>0</v>
          </cell>
        </row>
        <row r="38">
          <cell r="G38">
            <v>5</v>
          </cell>
        </row>
        <row r="39">
          <cell r="G39">
            <v>8</v>
          </cell>
        </row>
        <row r="40">
          <cell r="G40">
            <v>13</v>
          </cell>
        </row>
        <row r="41">
          <cell r="G41">
            <v>0</v>
          </cell>
        </row>
        <row r="42">
          <cell r="G42">
            <v>2</v>
          </cell>
        </row>
        <row r="43">
          <cell r="G43">
            <v>2</v>
          </cell>
        </row>
        <row r="44">
          <cell r="G44">
            <v>8</v>
          </cell>
        </row>
        <row r="45">
          <cell r="G45">
            <v>0</v>
          </cell>
        </row>
        <row r="46">
          <cell r="G46">
            <v>1</v>
          </cell>
        </row>
        <row r="47">
          <cell r="G47">
            <v>0</v>
          </cell>
        </row>
        <row r="48">
          <cell r="G48">
            <v>2</v>
          </cell>
        </row>
        <row r="49">
          <cell r="G49">
            <v>7</v>
          </cell>
        </row>
        <row r="50">
          <cell r="G50">
            <v>2</v>
          </cell>
        </row>
        <row r="51">
          <cell r="G51">
            <v>1</v>
          </cell>
        </row>
        <row r="52">
          <cell r="G52">
            <v>0</v>
          </cell>
        </row>
        <row r="53">
          <cell r="G53">
            <v>1</v>
          </cell>
        </row>
        <row r="54">
          <cell r="G54">
            <v>0</v>
          </cell>
        </row>
        <row r="55">
          <cell r="G55">
            <v>1</v>
          </cell>
        </row>
        <row r="56">
          <cell r="G56">
            <v>0</v>
          </cell>
        </row>
        <row r="57">
          <cell r="G57">
            <v>1</v>
          </cell>
        </row>
        <row r="58">
          <cell r="G58">
            <v>0</v>
          </cell>
        </row>
        <row r="59">
          <cell r="G59">
            <v>0</v>
          </cell>
        </row>
        <row r="60">
          <cell r="G60">
            <v>0</v>
          </cell>
        </row>
        <row r="61">
          <cell r="G61">
            <v>1</v>
          </cell>
        </row>
        <row r="62">
          <cell r="G62">
            <v>1</v>
          </cell>
        </row>
        <row r="63">
          <cell r="G63">
            <v>0</v>
          </cell>
        </row>
        <row r="64">
          <cell r="G64">
            <v>0</v>
          </cell>
        </row>
        <row r="65">
          <cell r="G65">
            <v>0</v>
          </cell>
        </row>
        <row r="66">
          <cell r="G66">
            <v>9</v>
          </cell>
        </row>
        <row r="67">
          <cell r="G67">
            <v>6</v>
          </cell>
        </row>
        <row r="68">
          <cell r="G68">
            <v>0</v>
          </cell>
        </row>
        <row r="69">
          <cell r="G69">
            <v>0</v>
          </cell>
        </row>
        <row r="70">
          <cell r="G70">
            <v>11</v>
          </cell>
        </row>
        <row r="71">
          <cell r="G71">
            <v>3</v>
          </cell>
        </row>
        <row r="72">
          <cell r="G72">
            <v>0</v>
          </cell>
        </row>
        <row r="73">
          <cell r="G73">
            <v>1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2</v>
          </cell>
        </row>
        <row r="78">
          <cell r="G78">
            <v>0</v>
          </cell>
        </row>
        <row r="79">
          <cell r="G79">
            <v>9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1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1</v>
          </cell>
        </row>
        <row r="86">
          <cell r="G86">
            <v>0</v>
          </cell>
        </row>
        <row r="87">
          <cell r="G87">
            <v>1</v>
          </cell>
        </row>
        <row r="88">
          <cell r="G88">
            <v>11</v>
          </cell>
        </row>
        <row r="89">
          <cell r="G89">
            <v>9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1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1</v>
          </cell>
        </row>
        <row r="96">
          <cell r="G96">
            <v>0</v>
          </cell>
        </row>
        <row r="97">
          <cell r="G97">
            <v>0</v>
          </cell>
        </row>
        <row r="98">
          <cell r="G98">
            <v>0</v>
          </cell>
        </row>
        <row r="99">
          <cell r="G99">
            <v>0</v>
          </cell>
        </row>
        <row r="100">
          <cell r="G100">
            <v>0</v>
          </cell>
        </row>
        <row r="101">
          <cell r="G101">
            <v>0</v>
          </cell>
        </row>
        <row r="102">
          <cell r="G102">
            <v>0</v>
          </cell>
        </row>
        <row r="103">
          <cell r="G103">
            <v>0</v>
          </cell>
        </row>
        <row r="104">
          <cell r="G104">
            <v>0</v>
          </cell>
        </row>
        <row r="105">
          <cell r="G105">
            <v>0</v>
          </cell>
        </row>
        <row r="106">
          <cell r="G106">
            <v>0</v>
          </cell>
        </row>
        <row r="107">
          <cell r="G107">
            <v>0</v>
          </cell>
        </row>
        <row r="108">
          <cell r="G108">
            <v>0</v>
          </cell>
        </row>
        <row r="109">
          <cell r="G109">
            <v>0</v>
          </cell>
        </row>
        <row r="110">
          <cell r="G110">
            <v>0</v>
          </cell>
        </row>
        <row r="111">
          <cell r="G111">
            <v>0</v>
          </cell>
        </row>
        <row r="112">
          <cell r="G112">
            <v>0</v>
          </cell>
        </row>
        <row r="113">
          <cell r="G113">
            <v>0</v>
          </cell>
        </row>
        <row r="114">
          <cell r="G114">
            <v>0</v>
          </cell>
        </row>
        <row r="115">
          <cell r="G115">
            <v>0</v>
          </cell>
        </row>
        <row r="116">
          <cell r="G116">
            <v>0</v>
          </cell>
        </row>
        <row r="117">
          <cell r="G117">
            <v>0</v>
          </cell>
        </row>
        <row r="118">
          <cell r="G118">
            <v>0</v>
          </cell>
        </row>
        <row r="119">
          <cell r="G119">
            <v>0</v>
          </cell>
        </row>
        <row r="120">
          <cell r="G120">
            <v>0</v>
          </cell>
        </row>
        <row r="121">
          <cell r="G121">
            <v>0</v>
          </cell>
        </row>
        <row r="122">
          <cell r="G122">
            <v>0</v>
          </cell>
        </row>
        <row r="123">
          <cell r="G123">
            <v>0</v>
          </cell>
        </row>
        <row r="124">
          <cell r="G124">
            <v>0</v>
          </cell>
        </row>
        <row r="125">
          <cell r="G125">
            <v>0</v>
          </cell>
        </row>
        <row r="126">
          <cell r="G126">
            <v>0</v>
          </cell>
        </row>
        <row r="127">
          <cell r="G127">
            <v>0</v>
          </cell>
        </row>
        <row r="128">
          <cell r="G128">
            <v>0</v>
          </cell>
        </row>
        <row r="129">
          <cell r="G129">
            <v>0</v>
          </cell>
        </row>
        <row r="130">
          <cell r="G130">
            <v>0</v>
          </cell>
        </row>
        <row r="131">
          <cell r="G131">
            <v>0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0</v>
          </cell>
        </row>
        <row r="136">
          <cell r="G136">
            <v>0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0</v>
          </cell>
        </row>
        <row r="141">
          <cell r="G141">
            <v>0</v>
          </cell>
        </row>
        <row r="142">
          <cell r="G142">
            <v>0</v>
          </cell>
        </row>
        <row r="143">
          <cell r="G143">
            <v>0</v>
          </cell>
        </row>
        <row r="144">
          <cell r="G144">
            <v>0</v>
          </cell>
        </row>
        <row r="145">
          <cell r="G145">
            <v>0</v>
          </cell>
        </row>
        <row r="146">
          <cell r="G146">
            <v>0</v>
          </cell>
        </row>
        <row r="147">
          <cell r="G147">
            <v>0</v>
          </cell>
        </row>
        <row r="148">
          <cell r="G148">
            <v>0</v>
          </cell>
        </row>
        <row r="149">
          <cell r="G149">
            <v>0</v>
          </cell>
        </row>
        <row r="150">
          <cell r="G150">
            <v>2</v>
          </cell>
        </row>
        <row r="151">
          <cell r="G151">
            <v>2</v>
          </cell>
        </row>
        <row r="152">
          <cell r="G152">
            <v>0</v>
          </cell>
        </row>
        <row r="153">
          <cell r="G153">
            <v>0</v>
          </cell>
        </row>
        <row r="154">
          <cell r="G154">
            <v>0</v>
          </cell>
        </row>
        <row r="155">
          <cell r="G155">
            <v>0</v>
          </cell>
        </row>
        <row r="156">
          <cell r="G156">
            <v>0</v>
          </cell>
        </row>
        <row r="157">
          <cell r="G157">
            <v>0</v>
          </cell>
        </row>
        <row r="158">
          <cell r="G158">
            <v>0</v>
          </cell>
        </row>
        <row r="159">
          <cell r="G159">
            <v>0</v>
          </cell>
        </row>
        <row r="160">
          <cell r="G160">
            <v>0</v>
          </cell>
        </row>
        <row r="161">
          <cell r="G161">
            <v>0</v>
          </cell>
        </row>
        <row r="162">
          <cell r="G162">
            <v>0</v>
          </cell>
        </row>
        <row r="163">
          <cell r="G163">
            <v>4</v>
          </cell>
        </row>
        <row r="164">
          <cell r="G164">
            <v>0</v>
          </cell>
        </row>
        <row r="165">
          <cell r="G165">
            <v>0</v>
          </cell>
        </row>
        <row r="166">
          <cell r="G166">
            <v>0</v>
          </cell>
        </row>
        <row r="167">
          <cell r="G167">
            <v>0</v>
          </cell>
        </row>
        <row r="168">
          <cell r="G168">
            <v>41</v>
          </cell>
        </row>
        <row r="169">
          <cell r="G169">
            <v>0</v>
          </cell>
        </row>
        <row r="170">
          <cell r="G170">
            <v>0</v>
          </cell>
        </row>
        <row r="171">
          <cell r="G171">
            <v>0</v>
          </cell>
        </row>
        <row r="172">
          <cell r="G172">
            <v>0</v>
          </cell>
        </row>
        <row r="173">
          <cell r="G173">
            <v>0</v>
          </cell>
        </row>
        <row r="174">
          <cell r="G174">
            <v>0</v>
          </cell>
        </row>
        <row r="175">
          <cell r="G175">
            <v>0</v>
          </cell>
        </row>
        <row r="176">
          <cell r="G176">
            <v>3</v>
          </cell>
        </row>
        <row r="177">
          <cell r="G177">
            <v>0</v>
          </cell>
        </row>
        <row r="178">
          <cell r="G178">
            <v>0</v>
          </cell>
        </row>
        <row r="179">
          <cell r="G179">
            <v>0</v>
          </cell>
        </row>
        <row r="180">
          <cell r="G180">
            <v>0</v>
          </cell>
        </row>
        <row r="181">
          <cell r="G181">
            <v>0</v>
          </cell>
        </row>
        <row r="182">
          <cell r="G182">
            <v>0</v>
          </cell>
        </row>
        <row r="183">
          <cell r="G183">
            <v>10</v>
          </cell>
        </row>
        <row r="184">
          <cell r="G184">
            <v>0</v>
          </cell>
        </row>
        <row r="185">
          <cell r="G185">
            <v>0</v>
          </cell>
        </row>
        <row r="186">
          <cell r="G186">
            <v>0</v>
          </cell>
        </row>
        <row r="187">
          <cell r="G187">
            <v>0</v>
          </cell>
        </row>
        <row r="188">
          <cell r="G188">
            <v>0</v>
          </cell>
        </row>
        <row r="189">
          <cell r="G189">
            <v>0</v>
          </cell>
        </row>
        <row r="190">
          <cell r="G190">
            <v>0</v>
          </cell>
        </row>
        <row r="191">
          <cell r="G191">
            <v>0</v>
          </cell>
        </row>
        <row r="192">
          <cell r="G192">
            <v>4</v>
          </cell>
        </row>
        <row r="193">
          <cell r="G193">
            <v>3</v>
          </cell>
        </row>
        <row r="194">
          <cell r="G194">
            <v>0</v>
          </cell>
        </row>
        <row r="195">
          <cell r="G195">
            <v>0</v>
          </cell>
        </row>
        <row r="196">
          <cell r="G196">
            <v>0</v>
          </cell>
        </row>
        <row r="197">
          <cell r="G197">
            <v>1</v>
          </cell>
        </row>
        <row r="198">
          <cell r="G198">
            <v>0</v>
          </cell>
        </row>
        <row r="199">
          <cell r="G199">
            <v>0</v>
          </cell>
        </row>
        <row r="200">
          <cell r="G200">
            <v>0</v>
          </cell>
        </row>
        <row r="201">
          <cell r="G201">
            <v>0</v>
          </cell>
        </row>
        <row r="202">
          <cell r="G202">
            <v>0</v>
          </cell>
        </row>
        <row r="203">
          <cell r="G203">
            <v>0</v>
          </cell>
        </row>
        <row r="204">
          <cell r="G204">
            <v>0</v>
          </cell>
        </row>
        <row r="205">
          <cell r="G205">
            <v>0</v>
          </cell>
        </row>
        <row r="206">
          <cell r="G206">
            <v>0</v>
          </cell>
        </row>
        <row r="207">
          <cell r="G207">
            <v>0</v>
          </cell>
        </row>
        <row r="208">
          <cell r="G208">
            <v>0</v>
          </cell>
        </row>
        <row r="209">
          <cell r="G209">
            <v>0</v>
          </cell>
        </row>
        <row r="210">
          <cell r="G210">
            <v>0</v>
          </cell>
        </row>
        <row r="211">
          <cell r="G211">
            <v>0</v>
          </cell>
        </row>
        <row r="212">
          <cell r="G212">
            <v>2</v>
          </cell>
        </row>
        <row r="213">
          <cell r="G213">
            <v>0</v>
          </cell>
        </row>
      </sheetData>
      <sheetData sheetId="3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5">
          <cell r="U5">
            <v>0</v>
          </cell>
        </row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8B71-6156-4710-9A23-5EEBE41A0E1C}">
  <sheetPr>
    <tabColor rgb="FFFF0000"/>
    <pageSetUpPr fitToPage="1"/>
  </sheetPr>
  <dimension ref="A1:V237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19.42578125" style="2" bestFit="1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5" customWidth="1"/>
    <col min="10" max="11" width="11.5703125" style="2" customWidth="1"/>
    <col min="12" max="12" width="6.5703125" style="2" customWidth="1"/>
    <col min="13" max="13" width="12.140625" style="1" customWidth="1"/>
    <col min="14" max="14" width="12" style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3.42578125" style="2" customWidth="1"/>
    <col min="22" max="16384" width="9" style="2"/>
  </cols>
  <sheetData>
    <row r="1" spans="1:22">
      <c r="A1" s="1"/>
    </row>
    <row r="2" spans="1:22" s="3" customFormat="1" ht="29.25">
      <c r="A2" s="87" t="s">
        <v>248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44"/>
      <c r="O2" s="44"/>
      <c r="P2" s="44"/>
      <c r="Q2" s="44"/>
      <c r="R2" s="44"/>
      <c r="S2" s="44"/>
      <c r="T2" s="44"/>
    </row>
    <row r="3" spans="1:22" s="5" customFormat="1">
      <c r="A3" s="88" t="s">
        <v>1</v>
      </c>
      <c r="B3" s="88" t="s">
        <v>2</v>
      </c>
      <c r="C3" s="90" t="s">
        <v>3</v>
      </c>
      <c r="D3" s="90" t="s">
        <v>4</v>
      </c>
      <c r="E3" s="90" t="s">
        <v>5</v>
      </c>
      <c r="F3" s="45" t="s">
        <v>6</v>
      </c>
      <c r="G3" s="90" t="s">
        <v>7</v>
      </c>
      <c r="H3" s="91" t="s">
        <v>8</v>
      </c>
      <c r="I3" s="91"/>
      <c r="J3" s="91"/>
      <c r="K3" s="90" t="s">
        <v>9</v>
      </c>
      <c r="L3" s="92" t="s">
        <v>222</v>
      </c>
      <c r="M3" s="92" t="s">
        <v>223</v>
      </c>
      <c r="N3" s="92" t="s">
        <v>10</v>
      </c>
      <c r="O3" s="92" t="s">
        <v>224</v>
      </c>
      <c r="P3" s="92" t="s">
        <v>225</v>
      </c>
      <c r="Q3" s="93" t="s">
        <v>226</v>
      </c>
      <c r="R3" s="93" t="s">
        <v>227</v>
      </c>
      <c r="S3" s="93" t="s">
        <v>228</v>
      </c>
      <c r="T3" s="92" t="s">
        <v>229</v>
      </c>
      <c r="U3" s="95" t="s">
        <v>230</v>
      </c>
    </row>
    <row r="4" spans="1:22" s="5" customFormat="1">
      <c r="A4" s="89"/>
      <c r="B4" s="89"/>
      <c r="C4" s="90"/>
      <c r="D4" s="90"/>
      <c r="E4" s="90"/>
      <c r="F4" s="45" t="s">
        <v>11</v>
      </c>
      <c r="G4" s="90"/>
      <c r="H4" s="45" t="s">
        <v>12</v>
      </c>
      <c r="I4" s="46" t="s">
        <v>13</v>
      </c>
      <c r="J4" s="45" t="s">
        <v>14</v>
      </c>
      <c r="K4" s="90"/>
      <c r="L4" s="92"/>
      <c r="M4" s="92"/>
      <c r="N4" s="92"/>
      <c r="O4" s="92"/>
      <c r="P4" s="92"/>
      <c r="Q4" s="94"/>
      <c r="R4" s="94"/>
      <c r="S4" s="94"/>
      <c r="T4" s="92"/>
      <c r="U4" s="96"/>
    </row>
    <row r="5" spans="1:22">
      <c r="A5" s="10">
        <v>1</v>
      </c>
      <c r="B5" s="11" t="s">
        <v>15</v>
      </c>
      <c r="C5" s="47">
        <v>6</v>
      </c>
      <c r="D5" s="48">
        <f>+'1'!D5+'2'!D5+'3'!D5+'4'!D5+'5'!D5+'6'!D5+'7'!D5+'8'!D5+'9'!D5+'10'!D5+'11'!D5+'12'!D5+'13'!D5+'14'!D5+'15'!D5+'16'!D5+'17'!D5+'18'!D5+'19'!D5+'20'!D5+'21'!D5+'22'!D5+'23'!D5+'24'!D5+'25'!D5+'26'!D5+'27'!D5+'28'!D5+'29'!D5+'30'!D5+'31'!D5</f>
        <v>55</v>
      </c>
      <c r="E5" s="47">
        <f>+C5+D5</f>
        <v>61</v>
      </c>
      <c r="F5" s="48">
        <f>+'1'!F5+'2'!F5+'3'!F5+'4'!F5+'5'!F5+'6'!F5+'7'!F5+'8'!F5+'9'!F5+'10'!F5+'11'!F5+'12'!F5+'13'!F5+'14'!F5+'15'!F5+'16'!F5+'17'!F5+'18'!F5+'19'!F5+'20'!F5+'21'!F5+'22'!F5+'23'!F5+'24'!F5+'25'!F5+'26'!F5+'27'!F5+'28'!F5+'29'!F5+'30'!F5+'31'!F5</f>
        <v>10</v>
      </c>
      <c r="G5" s="47">
        <v>0</v>
      </c>
      <c r="H5" s="48">
        <f>+'1'!H5+'2'!H5+'3'!H5+'4'!H5+'5'!H5+'6'!H5+'7'!H5+'8'!H5+'9'!H5+'10'!H5+'11'!H5+'12'!H5+'13'!H5+'14'!H5+'15'!H5+'16'!H5+'17'!H5+'18'!H5+'19'!H5+'20'!H5+'21'!H5+'22'!H5+'23'!H5+'24'!H5+'25'!H5+'26'!H5+'27'!H5+'28'!H5+'29'!H5+'30'!H5+'31'!H5</f>
        <v>38</v>
      </c>
      <c r="I5" s="16">
        <v>50</v>
      </c>
      <c r="J5" s="48">
        <f>+'1'!J5+'2'!J5+'3'!J5+'4'!J5+'5'!J5+'6'!J5+'7'!J5+'8'!J5+'9'!J5+'10'!J5+'11'!J5+'12'!J5+'13'!J5+'14'!J5+'15'!J5+'16'!J5+'17'!J5+'18'!J5+'19'!J5+'20'!J5+'21'!J5+'22'!J5+'23'!J5+'24'!J5+'25'!J5+'26'!J5+'27'!J5+'28'!J5+'29'!J5+'30'!J5+'31'!J5</f>
        <v>1900</v>
      </c>
      <c r="K5" s="16"/>
      <c r="L5" s="50">
        <v>1</v>
      </c>
      <c r="M5" s="51">
        <f>+'1'!K216</f>
        <v>835</v>
      </c>
      <c r="N5" s="51">
        <f>+'1'!K221</f>
        <v>85</v>
      </c>
      <c r="O5" s="51"/>
      <c r="P5" s="51">
        <f>+'1'!K217</f>
        <v>15</v>
      </c>
      <c r="Q5" s="51">
        <f>+'1'!K220</f>
        <v>0</v>
      </c>
      <c r="R5" s="51">
        <f>+'1'!K218</f>
        <v>315</v>
      </c>
      <c r="S5" s="51">
        <f>+M5-N5-P5-R5-Q5</f>
        <v>420</v>
      </c>
      <c r="T5" s="51">
        <f>+'1'!K223</f>
        <v>420</v>
      </c>
      <c r="U5" s="52">
        <f>+T5-S5</f>
        <v>0</v>
      </c>
      <c r="V5" s="5"/>
    </row>
    <row r="6" spans="1:22">
      <c r="A6" s="10">
        <v>2</v>
      </c>
      <c r="B6" s="11" t="s">
        <v>17</v>
      </c>
      <c r="C6" s="47">
        <v>146</v>
      </c>
      <c r="D6" s="48">
        <f>+'1'!D6+'2'!D6+'3'!D6+'4'!D6+'5'!D6+'6'!D6+'7'!D6+'8'!D6+'9'!D6+'10'!D6+'11'!D6+'12'!D6+'13'!D6+'14'!D6+'15'!D6+'16'!D6+'17'!D6+'18'!D6+'19'!D6+'20'!D6+'21'!D6+'22'!D6+'23'!D6+'24'!D6+'25'!D6+'26'!D6+'27'!D6+'28'!D6+'29'!D6+'30'!D6+'31'!D6</f>
        <v>70</v>
      </c>
      <c r="E6" s="47">
        <f t="shared" ref="E6:E69" si="0">+C6+D6</f>
        <v>216</v>
      </c>
      <c r="F6" s="48">
        <f>+'1'!F6+'2'!F6+'3'!F6+'4'!F6+'5'!F6+'6'!F6+'7'!F6+'8'!F6+'9'!F6+'10'!F6+'11'!F6+'12'!F6+'13'!F6+'14'!F6+'15'!F6+'16'!F6+'17'!F6+'18'!F6+'19'!F6+'20'!F6+'21'!F6+'22'!F6+'23'!F6+'24'!F6+'25'!F6+'26'!F6+'27'!F6+'28'!F6+'29'!F6+'30'!F6+'31'!F6</f>
        <v>5</v>
      </c>
      <c r="G6" s="47">
        <v>0</v>
      </c>
      <c r="H6" s="48">
        <f>+'1'!H6+'2'!H6+'3'!H6+'4'!H6+'5'!H6+'6'!H6+'7'!H6+'8'!H6+'9'!H6+'10'!H6+'11'!H6+'12'!H6+'13'!H6+'14'!H6+'15'!H6+'16'!H6+'17'!H6+'18'!H6+'19'!H6+'20'!H6+'21'!H6+'22'!H6+'23'!H6+'24'!H6+'25'!H6+'26'!H6+'27'!H6+'28'!H6+'29'!H6+'30'!H6+'31'!H6</f>
        <v>67</v>
      </c>
      <c r="I6" s="16">
        <v>100</v>
      </c>
      <c r="J6" s="48">
        <f>+'1'!J6+'2'!J6+'3'!J6+'4'!J6+'5'!J6+'6'!J6+'7'!J6+'8'!J6+'9'!J6+'10'!J6+'11'!J6+'12'!J6+'13'!J6+'14'!J6+'15'!J6+'16'!J6+'17'!J6+'18'!J6+'19'!J6+'20'!J6+'21'!J6+'22'!J6+'23'!J6+'24'!J6+'25'!J6+'26'!J6+'27'!J6+'28'!J6+'29'!J6+'30'!J6+'31'!J6</f>
        <v>6700</v>
      </c>
      <c r="K6" s="16"/>
      <c r="L6" s="50">
        <v>2</v>
      </c>
      <c r="M6" s="51">
        <f>+'2'!K216</f>
        <v>1430</v>
      </c>
      <c r="N6" s="51">
        <f>+'2'!K221</f>
        <v>385</v>
      </c>
      <c r="O6" s="51"/>
      <c r="P6" s="51">
        <f>+'2'!K217</f>
        <v>15</v>
      </c>
      <c r="Q6" s="51">
        <f>+'2'!K220</f>
        <v>0</v>
      </c>
      <c r="R6" s="51">
        <f>+'2'!K218</f>
        <v>300</v>
      </c>
      <c r="S6" s="51">
        <f t="shared" ref="S6:S35" si="1">+M6-N6-P6-R6-Q6</f>
        <v>730</v>
      </c>
      <c r="T6" s="51">
        <f>+'2'!K223</f>
        <v>730</v>
      </c>
      <c r="U6" s="52">
        <f t="shared" ref="U6:U35" si="2">+T6-S6</f>
        <v>0</v>
      </c>
      <c r="V6" s="5"/>
    </row>
    <row r="7" spans="1:22">
      <c r="A7" s="10">
        <v>3</v>
      </c>
      <c r="B7" s="11" t="s">
        <v>18</v>
      </c>
      <c r="C7" s="47">
        <v>0</v>
      </c>
      <c r="D7" s="48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7">
        <f t="shared" si="0"/>
        <v>0</v>
      </c>
      <c r="F7" s="48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7">
        <v>0</v>
      </c>
      <c r="H7" s="48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6">
        <v>50</v>
      </c>
      <c r="J7" s="48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6"/>
      <c r="L7" s="50">
        <v>3</v>
      </c>
      <c r="M7" s="51">
        <f>+'3'!K216</f>
        <v>4650</v>
      </c>
      <c r="N7" s="51">
        <f>+'3'!K221</f>
        <v>540</v>
      </c>
      <c r="O7" s="51"/>
      <c r="P7" s="51">
        <f>+'3'!K217</f>
        <v>15</v>
      </c>
      <c r="Q7" s="51">
        <f>+'3'!K220</f>
        <v>0</v>
      </c>
      <c r="R7" s="51">
        <f>+'3'!K218</f>
        <v>1225</v>
      </c>
      <c r="S7" s="51">
        <f t="shared" si="1"/>
        <v>2870</v>
      </c>
      <c r="T7" s="51">
        <f>+'3'!K223</f>
        <v>2870</v>
      </c>
      <c r="U7" s="52">
        <f t="shared" si="2"/>
        <v>0</v>
      </c>
      <c r="V7" s="5"/>
    </row>
    <row r="8" spans="1:22">
      <c r="A8" s="10">
        <v>4</v>
      </c>
      <c r="B8" s="11" t="s">
        <v>19</v>
      </c>
      <c r="C8" s="47">
        <v>0</v>
      </c>
      <c r="D8" s="48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7">
        <f t="shared" si="0"/>
        <v>0</v>
      </c>
      <c r="F8" s="48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7">
        <v>0</v>
      </c>
      <c r="H8" s="48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6">
        <v>100</v>
      </c>
      <c r="J8" s="48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6"/>
      <c r="L8" s="50">
        <v>4</v>
      </c>
      <c r="M8" s="51">
        <f>+'4'!K216</f>
        <v>2520</v>
      </c>
      <c r="N8" s="51">
        <f>+'4'!K221</f>
        <v>0</v>
      </c>
      <c r="O8" s="51"/>
      <c r="P8" s="51">
        <f>+'4'!K217</f>
        <v>15</v>
      </c>
      <c r="Q8" s="51">
        <f>+'4'!K220</f>
        <v>0</v>
      </c>
      <c r="R8" s="51">
        <f>+'4'!K218</f>
        <v>480</v>
      </c>
      <c r="S8" s="51">
        <f t="shared" si="1"/>
        <v>2025</v>
      </c>
      <c r="T8" s="51">
        <f>+'4'!K223</f>
        <v>2025</v>
      </c>
      <c r="U8" s="52">
        <f t="shared" si="2"/>
        <v>0</v>
      </c>
      <c r="V8" s="5"/>
    </row>
    <row r="9" spans="1:22">
      <c r="A9" s="10">
        <v>5</v>
      </c>
      <c r="B9" s="11" t="s">
        <v>20</v>
      </c>
      <c r="C9" s="47">
        <v>0</v>
      </c>
      <c r="D9" s="48">
        <f>+'1'!D9+'2'!D9+'3'!D9+'4'!D9+'5'!D9+'6'!D9+'7'!D9+'8'!D9+'9'!D9+'10'!D9+'11'!D9+'12'!D9+'13'!D9+'14'!D9+'15'!D9+'16'!D9+'17'!D9+'18'!D9+'19'!D9+'20'!D9+'21'!D9+'22'!D9+'23'!D9+'24'!D9+'25'!D9+'26'!D9+'27'!D9+'28'!D9+'29'!D9+'30'!D9+'31'!D9</f>
        <v>0</v>
      </c>
      <c r="E9" s="47">
        <f t="shared" si="0"/>
        <v>0</v>
      </c>
      <c r="F9" s="48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7">
        <v>0</v>
      </c>
      <c r="H9" s="48">
        <f>+'1'!H9+'2'!H9+'3'!H9+'4'!H9+'5'!H9+'6'!H9+'7'!H9+'8'!H9+'9'!H9+'10'!H9+'11'!H9+'12'!H9+'13'!H9+'14'!H9+'15'!H9+'16'!H9+'17'!H9+'18'!H9+'19'!H9+'20'!H9+'21'!H9+'22'!H9+'23'!H9+'24'!H9+'25'!H9+'26'!H9+'27'!H9+'28'!H9+'29'!H9+'30'!H9+'31'!H9</f>
        <v>0</v>
      </c>
      <c r="I9" s="16">
        <v>12</v>
      </c>
      <c r="J9" s="48">
        <f>+'1'!J9+'2'!J9+'3'!J9+'4'!J9+'5'!J9+'6'!J9+'7'!J9+'8'!J9+'9'!J9+'10'!J9+'11'!J9+'12'!J9+'13'!J9+'14'!J9+'15'!J9+'16'!J9+'17'!J9+'18'!J9+'19'!J9+'20'!J9+'21'!J9+'22'!J9+'23'!J9+'24'!J9+'25'!J9+'26'!J9+'27'!J9+'28'!J9+'29'!J9+'30'!J9+'31'!J9</f>
        <v>0</v>
      </c>
      <c r="K9" s="16"/>
      <c r="L9" s="50">
        <v>5</v>
      </c>
      <c r="M9" s="51">
        <f>+'5'!K216</f>
        <v>3020</v>
      </c>
      <c r="N9" s="51">
        <f>+'5'!K221</f>
        <v>440</v>
      </c>
      <c r="O9" s="51"/>
      <c r="P9" s="51">
        <f>+'5'!K217</f>
        <v>15</v>
      </c>
      <c r="Q9" s="51">
        <f>+'5'!K220</f>
        <v>0</v>
      </c>
      <c r="R9" s="51">
        <f>+'5'!K218</f>
        <v>1450</v>
      </c>
      <c r="S9" s="51">
        <f t="shared" si="1"/>
        <v>1115</v>
      </c>
      <c r="T9" s="51">
        <f>+'5'!K223</f>
        <v>1115</v>
      </c>
      <c r="U9" s="52">
        <f t="shared" si="2"/>
        <v>0</v>
      </c>
      <c r="V9" s="5"/>
    </row>
    <row r="10" spans="1:22">
      <c r="A10" s="10">
        <v>6</v>
      </c>
      <c r="B10" s="11" t="s">
        <v>21</v>
      </c>
      <c r="C10" s="47">
        <v>0</v>
      </c>
      <c r="D10" s="48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7">
        <f t="shared" si="0"/>
        <v>0</v>
      </c>
      <c r="F10" s="48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7">
        <v>0</v>
      </c>
      <c r="H10" s="4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6">
        <v>15</v>
      </c>
      <c r="J10" s="48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6"/>
      <c r="L10" s="50">
        <v>6</v>
      </c>
      <c r="M10" s="51">
        <f>+'6'!K216</f>
        <v>3410</v>
      </c>
      <c r="N10" s="51">
        <f>+'6'!K221</f>
        <v>385</v>
      </c>
      <c r="O10" s="51"/>
      <c r="P10" s="51">
        <f>+'6'!K217</f>
        <v>15</v>
      </c>
      <c r="Q10" s="51">
        <f>+'6'!K220</f>
        <v>0</v>
      </c>
      <c r="R10" s="51">
        <f>+'6'!K218</f>
        <v>205</v>
      </c>
      <c r="S10" s="51">
        <f t="shared" si="1"/>
        <v>2805</v>
      </c>
      <c r="T10" s="51">
        <f>+'6'!K223</f>
        <v>2805</v>
      </c>
      <c r="U10" s="52">
        <f t="shared" si="2"/>
        <v>0</v>
      </c>
      <c r="V10" s="5"/>
    </row>
    <row r="11" spans="1:22">
      <c r="A11" s="10">
        <v>7</v>
      </c>
      <c r="B11" s="21" t="s">
        <v>22</v>
      </c>
      <c r="C11" s="47">
        <v>0</v>
      </c>
      <c r="D11" s="48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7">
        <f t="shared" si="0"/>
        <v>0</v>
      </c>
      <c r="F11" s="48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7">
        <v>0</v>
      </c>
      <c r="H11" s="4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6">
        <v>40</v>
      </c>
      <c r="J11" s="48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6"/>
      <c r="L11" s="50">
        <v>7</v>
      </c>
      <c r="M11" s="51">
        <f>+'7'!K216</f>
        <v>555</v>
      </c>
      <c r="N11" s="51">
        <f>+'7'!K221</f>
        <v>0</v>
      </c>
      <c r="O11" s="51"/>
      <c r="P11" s="51">
        <f>+'7'!K217</f>
        <v>15</v>
      </c>
      <c r="Q11" s="51">
        <f>+'7'!K220</f>
        <v>0</v>
      </c>
      <c r="R11" s="51">
        <f>+'7'!K218</f>
        <v>120</v>
      </c>
      <c r="S11" s="51">
        <f t="shared" si="1"/>
        <v>420</v>
      </c>
      <c r="T11" s="51">
        <f>+'7'!K223</f>
        <v>420</v>
      </c>
      <c r="U11" s="52">
        <f t="shared" si="2"/>
        <v>0</v>
      </c>
      <c r="V11" s="5"/>
    </row>
    <row r="12" spans="1:22">
      <c r="A12" s="10">
        <v>8</v>
      </c>
      <c r="B12" s="21" t="s">
        <v>23</v>
      </c>
      <c r="C12" s="47">
        <v>0</v>
      </c>
      <c r="D12" s="48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10</v>
      </c>
      <c r="E12" s="47">
        <f t="shared" si="0"/>
        <v>10</v>
      </c>
      <c r="F12" s="48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0</v>
      </c>
      <c r="G12" s="47">
        <v>0</v>
      </c>
      <c r="H12" s="4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2</v>
      </c>
      <c r="I12" s="22">
        <v>50</v>
      </c>
      <c r="J12" s="48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100</v>
      </c>
      <c r="K12" s="16"/>
      <c r="L12" s="50">
        <v>8</v>
      </c>
      <c r="M12" s="51">
        <f>+'8'!K216</f>
        <v>2980</v>
      </c>
      <c r="N12" s="51">
        <f>+'8'!K221</f>
        <v>100</v>
      </c>
      <c r="O12" s="51"/>
      <c r="P12" s="51">
        <f>+'8'!K217</f>
        <v>15</v>
      </c>
      <c r="Q12" s="51"/>
      <c r="R12" s="51">
        <f>+'8'!K218</f>
        <v>430</v>
      </c>
      <c r="S12" s="51">
        <f t="shared" si="1"/>
        <v>2435</v>
      </c>
      <c r="T12" s="51">
        <f>+'8'!K223</f>
        <v>2435</v>
      </c>
      <c r="U12" s="52">
        <f t="shared" si="2"/>
        <v>0</v>
      </c>
      <c r="V12" s="5"/>
    </row>
    <row r="13" spans="1:22">
      <c r="A13" s="10">
        <v>9</v>
      </c>
      <c r="B13" s="21" t="s">
        <v>24</v>
      </c>
      <c r="C13" s="47">
        <v>0</v>
      </c>
      <c r="D13" s="48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7">
        <f t="shared" si="0"/>
        <v>0</v>
      </c>
      <c r="F13" s="48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7">
        <v>0</v>
      </c>
      <c r="H13" s="4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2">
        <v>55</v>
      </c>
      <c r="J13" s="48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6"/>
      <c r="L13" s="50">
        <v>9</v>
      </c>
      <c r="M13" s="51">
        <f>+'9'!K216</f>
        <v>3150</v>
      </c>
      <c r="N13" s="51">
        <f>+'9'!K221</f>
        <v>150</v>
      </c>
      <c r="O13" s="51"/>
      <c r="P13" s="51">
        <f>+'9'!K217</f>
        <v>15</v>
      </c>
      <c r="Q13" s="51"/>
      <c r="R13" s="51">
        <f>+'9'!K218</f>
        <v>1070</v>
      </c>
      <c r="S13" s="51">
        <f t="shared" si="1"/>
        <v>1915</v>
      </c>
      <c r="T13" s="51">
        <f>+'9'!K223</f>
        <v>1915</v>
      </c>
      <c r="U13" s="52">
        <f t="shared" si="2"/>
        <v>0</v>
      </c>
      <c r="V13" s="5"/>
    </row>
    <row r="14" spans="1:22">
      <c r="A14" s="10">
        <v>10</v>
      </c>
      <c r="B14" s="21" t="s">
        <v>25</v>
      </c>
      <c r="C14" s="47">
        <v>0</v>
      </c>
      <c r="D14" s="48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0</v>
      </c>
      <c r="E14" s="47">
        <f t="shared" si="0"/>
        <v>0</v>
      </c>
      <c r="F14" s="48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0</v>
      </c>
      <c r="G14" s="47">
        <v>0</v>
      </c>
      <c r="H14" s="4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3</v>
      </c>
      <c r="I14" s="22">
        <v>65</v>
      </c>
      <c r="J14" s="48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195</v>
      </c>
      <c r="K14" s="16"/>
      <c r="L14" s="50">
        <v>10</v>
      </c>
      <c r="M14" s="51">
        <f>+'10'!K216</f>
        <v>2760</v>
      </c>
      <c r="N14" s="51">
        <f>+'10'!K221</f>
        <v>0</v>
      </c>
      <c r="O14" s="51"/>
      <c r="P14" s="51">
        <f>+'10'!K217</f>
        <v>15</v>
      </c>
      <c r="Q14" s="51"/>
      <c r="R14" s="51">
        <f>+'10'!K218</f>
        <v>390</v>
      </c>
      <c r="S14" s="51">
        <f t="shared" si="1"/>
        <v>2355</v>
      </c>
      <c r="T14" s="51">
        <f>+'10'!K223</f>
        <v>2355</v>
      </c>
      <c r="U14" s="52">
        <f t="shared" si="2"/>
        <v>0</v>
      </c>
      <c r="V14" s="5"/>
    </row>
    <row r="15" spans="1:22">
      <c r="A15" s="10">
        <v>11</v>
      </c>
      <c r="B15" s="11" t="s">
        <v>26</v>
      </c>
      <c r="C15" s="47">
        <v>12</v>
      </c>
      <c r="D15" s="48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2</v>
      </c>
      <c r="E15" s="47">
        <f t="shared" si="0"/>
        <v>14</v>
      </c>
      <c r="F15" s="48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0</v>
      </c>
      <c r="G15" s="47">
        <v>0</v>
      </c>
      <c r="H15" s="4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2</v>
      </c>
      <c r="I15" s="22">
        <v>50</v>
      </c>
      <c r="J15" s="48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100</v>
      </c>
      <c r="K15" s="16"/>
      <c r="L15" s="50">
        <v>11</v>
      </c>
      <c r="M15" s="51">
        <f>+'11'!K216</f>
        <v>4005</v>
      </c>
      <c r="N15" s="51">
        <f>+'11'!K221</f>
        <v>185</v>
      </c>
      <c r="O15" s="51"/>
      <c r="P15" s="51">
        <f>+'11'!K217</f>
        <v>15</v>
      </c>
      <c r="Q15" s="51"/>
      <c r="R15" s="51">
        <f>+'11'!K218</f>
        <v>1335</v>
      </c>
      <c r="S15" s="51">
        <f t="shared" si="1"/>
        <v>2470</v>
      </c>
      <c r="T15" s="51">
        <f>+'11'!K223</f>
        <v>2470</v>
      </c>
      <c r="U15" s="52">
        <f t="shared" si="2"/>
        <v>0</v>
      </c>
      <c r="V15" s="5"/>
    </row>
    <row r="16" spans="1:22">
      <c r="A16" s="10">
        <v>12</v>
      </c>
      <c r="B16" s="11" t="s">
        <v>27</v>
      </c>
      <c r="C16" s="47">
        <v>18</v>
      </c>
      <c r="D16" s="48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4</v>
      </c>
      <c r="E16" s="47">
        <f t="shared" si="0"/>
        <v>22</v>
      </c>
      <c r="F16" s="48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7">
        <v>0</v>
      </c>
      <c r="H16" s="4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6</v>
      </c>
      <c r="I16" s="16">
        <v>50</v>
      </c>
      <c r="J16" s="48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300</v>
      </c>
      <c r="K16" s="16"/>
      <c r="L16" s="50">
        <v>12</v>
      </c>
      <c r="M16" s="51">
        <f>+'12'!K218</f>
        <v>685</v>
      </c>
      <c r="N16" s="51">
        <f>+'12'!K223</f>
        <v>0</v>
      </c>
      <c r="O16" s="51"/>
      <c r="P16" s="51">
        <f>+'12'!K219</f>
        <v>15</v>
      </c>
      <c r="Q16" s="51"/>
      <c r="R16" s="51">
        <f>+'12'!K220</f>
        <v>350</v>
      </c>
      <c r="S16" s="51">
        <f t="shared" si="1"/>
        <v>320</v>
      </c>
      <c r="T16" s="51">
        <f>+'12'!K225</f>
        <v>320</v>
      </c>
      <c r="U16" s="52">
        <f t="shared" si="2"/>
        <v>0</v>
      </c>
      <c r="V16" s="5"/>
    </row>
    <row r="17" spans="1:22">
      <c r="A17" s="10">
        <v>13</v>
      </c>
      <c r="B17" s="11" t="s">
        <v>28</v>
      </c>
      <c r="C17" s="47">
        <v>0</v>
      </c>
      <c r="D17" s="48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4</v>
      </c>
      <c r="E17" s="47">
        <f t="shared" si="0"/>
        <v>4</v>
      </c>
      <c r="F17" s="48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0</v>
      </c>
      <c r="G17" s="47">
        <v>0</v>
      </c>
      <c r="H17" s="4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4</v>
      </c>
      <c r="I17" s="16">
        <v>50</v>
      </c>
      <c r="J17" s="48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200</v>
      </c>
      <c r="K17" s="16"/>
      <c r="L17" s="50">
        <v>13</v>
      </c>
      <c r="M17" s="51">
        <f>+'13'!K218</f>
        <v>2420</v>
      </c>
      <c r="N17" s="51">
        <f>+'13'!K223</f>
        <v>190</v>
      </c>
      <c r="O17" s="51"/>
      <c r="P17" s="51">
        <f>+'13'!K219</f>
        <v>15</v>
      </c>
      <c r="Q17" s="51"/>
      <c r="R17" s="51">
        <f>+'13'!K220</f>
        <v>580</v>
      </c>
      <c r="S17" s="51">
        <f t="shared" si="1"/>
        <v>1635</v>
      </c>
      <c r="T17" s="51">
        <f>+'13'!K225</f>
        <v>1635</v>
      </c>
      <c r="U17" s="52">
        <f t="shared" si="2"/>
        <v>0</v>
      </c>
      <c r="V17" s="5"/>
    </row>
    <row r="18" spans="1:22">
      <c r="A18" s="10">
        <v>14</v>
      </c>
      <c r="B18" s="21" t="s">
        <v>29</v>
      </c>
      <c r="C18" s="47">
        <v>17</v>
      </c>
      <c r="D18" s="48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6</v>
      </c>
      <c r="E18" s="47">
        <f t="shared" si="0"/>
        <v>23</v>
      </c>
      <c r="F18" s="48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7">
        <v>0</v>
      </c>
      <c r="H18" s="4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4</v>
      </c>
      <c r="I18" s="22">
        <v>50</v>
      </c>
      <c r="J18" s="48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200</v>
      </c>
      <c r="K18" s="16"/>
      <c r="L18" s="50">
        <v>14</v>
      </c>
      <c r="M18" s="51">
        <f>+'14'!K218</f>
        <v>1325</v>
      </c>
      <c r="N18" s="51">
        <f>+'14'!K223</f>
        <v>50</v>
      </c>
      <c r="O18" s="51"/>
      <c r="P18" s="51">
        <f>+'14'!K219</f>
        <v>15</v>
      </c>
      <c r="Q18" s="51"/>
      <c r="R18" s="51">
        <f>+'14'!K220</f>
        <v>460</v>
      </c>
      <c r="S18" s="51">
        <f t="shared" si="1"/>
        <v>800</v>
      </c>
      <c r="T18" s="51">
        <f>+'14'!K225</f>
        <v>800</v>
      </c>
      <c r="U18" s="52">
        <f t="shared" si="2"/>
        <v>0</v>
      </c>
      <c r="V18" s="5"/>
    </row>
    <row r="19" spans="1:22">
      <c r="A19" s="10">
        <v>15</v>
      </c>
      <c r="B19" s="11" t="s">
        <v>30</v>
      </c>
      <c r="C19" s="47">
        <v>9</v>
      </c>
      <c r="D19" s="48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4</v>
      </c>
      <c r="E19" s="47">
        <f t="shared" si="0"/>
        <v>13</v>
      </c>
      <c r="F19" s="48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0</v>
      </c>
      <c r="G19" s="47">
        <v>0</v>
      </c>
      <c r="H19" s="4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4</v>
      </c>
      <c r="I19" s="16">
        <v>50</v>
      </c>
      <c r="J19" s="48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200</v>
      </c>
      <c r="K19" s="16"/>
      <c r="L19" s="50">
        <v>15</v>
      </c>
      <c r="M19" s="51">
        <f>+'15'!K218</f>
        <v>2030</v>
      </c>
      <c r="N19" s="51">
        <f>+'15'!K223</f>
        <v>0</v>
      </c>
      <c r="O19" s="51"/>
      <c r="P19" s="51">
        <f>+'15'!K219</f>
        <v>15</v>
      </c>
      <c r="Q19" s="51"/>
      <c r="R19" s="51">
        <f>+'15'!K220</f>
        <v>775</v>
      </c>
      <c r="S19" s="51">
        <f t="shared" si="1"/>
        <v>1240</v>
      </c>
      <c r="T19" s="51">
        <f>+'15'!K225</f>
        <v>1240</v>
      </c>
      <c r="U19" s="52">
        <f t="shared" si="2"/>
        <v>0</v>
      </c>
      <c r="V19" s="5"/>
    </row>
    <row r="20" spans="1:22">
      <c r="A20" s="10">
        <v>16</v>
      </c>
      <c r="B20" s="11" t="s">
        <v>31</v>
      </c>
      <c r="C20" s="47">
        <v>17</v>
      </c>
      <c r="D20" s="48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4</v>
      </c>
      <c r="E20" s="47">
        <f t="shared" si="0"/>
        <v>21</v>
      </c>
      <c r="F20" s="48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7">
        <v>0</v>
      </c>
      <c r="H20" s="4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3</v>
      </c>
      <c r="I20" s="16">
        <v>50</v>
      </c>
      <c r="J20" s="48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150</v>
      </c>
      <c r="K20" s="16"/>
      <c r="L20" s="50">
        <v>16</v>
      </c>
      <c r="M20" s="51">
        <f>+'16'!K218</f>
        <v>1410</v>
      </c>
      <c r="N20" s="51">
        <f>+'16'!K223</f>
        <v>30</v>
      </c>
      <c r="O20" s="51"/>
      <c r="P20" s="51">
        <f>+'16'!K219</f>
        <v>0</v>
      </c>
      <c r="Q20" s="51"/>
      <c r="R20" s="51">
        <f>+'16'!K220</f>
        <v>330</v>
      </c>
      <c r="S20" s="51">
        <f t="shared" si="1"/>
        <v>1050</v>
      </c>
      <c r="T20" s="51">
        <f>+'16'!K225</f>
        <v>0</v>
      </c>
      <c r="U20" s="52">
        <f t="shared" si="2"/>
        <v>-1050</v>
      </c>
      <c r="V20" s="5"/>
    </row>
    <row r="21" spans="1:22">
      <c r="A21" s="10">
        <v>17</v>
      </c>
      <c r="B21" s="11" t="s">
        <v>32</v>
      </c>
      <c r="C21" s="47">
        <v>0</v>
      </c>
      <c r="D21" s="48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7">
        <f t="shared" si="0"/>
        <v>0</v>
      </c>
      <c r="F21" s="48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7">
        <v>0</v>
      </c>
      <c r="H21" s="4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6">
        <v>50</v>
      </c>
      <c r="J21" s="48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6"/>
      <c r="L21" s="50">
        <v>17</v>
      </c>
      <c r="M21" s="51">
        <f>+'17'!K216</f>
        <v>0</v>
      </c>
      <c r="N21" s="51">
        <f>+'17'!K221</f>
        <v>0</v>
      </c>
      <c r="O21" s="51"/>
      <c r="P21" s="51">
        <f>+'17'!K217</f>
        <v>0</v>
      </c>
      <c r="Q21" s="51"/>
      <c r="R21" s="51">
        <f>+'17'!K218</f>
        <v>0</v>
      </c>
      <c r="S21" s="51">
        <f t="shared" si="1"/>
        <v>0</v>
      </c>
      <c r="T21" s="51">
        <f>+'17'!K223</f>
        <v>0</v>
      </c>
      <c r="U21" s="52">
        <f t="shared" si="2"/>
        <v>0</v>
      </c>
      <c r="V21" s="5"/>
    </row>
    <row r="22" spans="1:22">
      <c r="A22" s="10">
        <v>18</v>
      </c>
      <c r="B22" s="11" t="s">
        <v>33</v>
      </c>
      <c r="C22" s="47">
        <v>0</v>
      </c>
      <c r="D22" s="48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5</v>
      </c>
      <c r="E22" s="47">
        <f t="shared" si="0"/>
        <v>5</v>
      </c>
      <c r="F22" s="48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0</v>
      </c>
      <c r="G22" s="47">
        <v>0</v>
      </c>
      <c r="H22" s="4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5</v>
      </c>
      <c r="I22" s="16">
        <v>85</v>
      </c>
      <c r="J22" s="48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425</v>
      </c>
      <c r="K22" s="16"/>
      <c r="L22" s="50">
        <v>18</v>
      </c>
      <c r="M22" s="51">
        <f>+'18'!K216</f>
        <v>0</v>
      </c>
      <c r="N22" s="51">
        <f>+'18'!K221</f>
        <v>0</v>
      </c>
      <c r="O22" s="51"/>
      <c r="P22" s="51">
        <f>+'18'!K217</f>
        <v>0</v>
      </c>
      <c r="Q22" s="51"/>
      <c r="R22" s="51">
        <f>+'18'!K218</f>
        <v>0</v>
      </c>
      <c r="S22" s="51">
        <f t="shared" si="1"/>
        <v>0</v>
      </c>
      <c r="T22" s="51">
        <f>+'18'!K223</f>
        <v>0</v>
      </c>
      <c r="U22" s="52">
        <f t="shared" si="2"/>
        <v>0</v>
      </c>
      <c r="V22" s="5"/>
    </row>
    <row r="23" spans="1:22">
      <c r="A23" s="10">
        <v>19</v>
      </c>
      <c r="B23" s="11" t="s">
        <v>34</v>
      </c>
      <c r="C23" s="47">
        <v>61</v>
      </c>
      <c r="D23" s="48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45</v>
      </c>
      <c r="E23" s="47">
        <f t="shared" si="0"/>
        <v>106</v>
      </c>
      <c r="F23" s="48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5</v>
      </c>
      <c r="G23" s="47">
        <v>0</v>
      </c>
      <c r="H23" s="4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36</v>
      </c>
      <c r="I23" s="16">
        <v>100</v>
      </c>
      <c r="J23" s="48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3600</v>
      </c>
      <c r="K23" s="16"/>
      <c r="L23" s="50">
        <v>19</v>
      </c>
      <c r="M23" s="51">
        <f>+'19'!K216</f>
        <v>0</v>
      </c>
      <c r="N23" s="51">
        <f>+'19'!K221</f>
        <v>0</v>
      </c>
      <c r="O23" s="51"/>
      <c r="P23" s="51">
        <f>+'19'!K217</f>
        <v>0</v>
      </c>
      <c r="Q23" s="51"/>
      <c r="R23" s="51">
        <f>+'19'!K218</f>
        <v>0</v>
      </c>
      <c r="S23" s="51">
        <f t="shared" si="1"/>
        <v>0</v>
      </c>
      <c r="T23" s="51">
        <f>+'19'!K223</f>
        <v>0</v>
      </c>
      <c r="U23" s="52">
        <f t="shared" si="2"/>
        <v>0</v>
      </c>
      <c r="V23" s="5"/>
    </row>
    <row r="24" spans="1:22">
      <c r="A24" s="10">
        <v>20</v>
      </c>
      <c r="B24" s="11" t="s">
        <v>35</v>
      </c>
      <c r="C24" s="47">
        <v>1</v>
      </c>
      <c r="D24" s="48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12</v>
      </c>
      <c r="E24" s="47">
        <f t="shared" si="0"/>
        <v>13</v>
      </c>
      <c r="F24" s="48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2</v>
      </c>
      <c r="G24" s="47">
        <v>0</v>
      </c>
      <c r="H24" s="4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5</v>
      </c>
      <c r="I24" s="20">
        <v>100</v>
      </c>
      <c r="J24" s="48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500</v>
      </c>
      <c r="K24" s="16"/>
      <c r="L24" s="50">
        <v>20</v>
      </c>
      <c r="M24" s="51">
        <f>+'20'!K216</f>
        <v>0</v>
      </c>
      <c r="N24" s="51">
        <f>+'20'!K221</f>
        <v>0</v>
      </c>
      <c r="O24" s="51"/>
      <c r="P24" s="51">
        <f>+'20'!K217</f>
        <v>0</v>
      </c>
      <c r="Q24" s="51"/>
      <c r="R24" s="51">
        <f>+'20'!K218</f>
        <v>0</v>
      </c>
      <c r="S24" s="51">
        <f t="shared" si="1"/>
        <v>0</v>
      </c>
      <c r="T24" s="51">
        <f>+'20'!K223</f>
        <v>0</v>
      </c>
      <c r="U24" s="52">
        <f t="shared" si="2"/>
        <v>0</v>
      </c>
      <c r="V24" s="5"/>
    </row>
    <row r="25" spans="1:22">
      <c r="A25" s="10">
        <v>21</v>
      </c>
      <c r="B25" s="11" t="s">
        <v>36</v>
      </c>
      <c r="C25" s="47">
        <v>0</v>
      </c>
      <c r="D25" s="48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7">
        <f t="shared" si="0"/>
        <v>0</v>
      </c>
      <c r="F25" s="48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7">
        <v>0</v>
      </c>
      <c r="H25" s="4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20">
        <v>100</v>
      </c>
      <c r="J25" s="48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6"/>
      <c r="L25" s="50">
        <v>21</v>
      </c>
      <c r="M25" s="51">
        <f>+'21'!K216</f>
        <v>0</v>
      </c>
      <c r="N25" s="51">
        <f>+'21'!K221</f>
        <v>0</v>
      </c>
      <c r="O25" s="51"/>
      <c r="P25" s="51">
        <f>+'21'!K217</f>
        <v>0</v>
      </c>
      <c r="Q25" s="51"/>
      <c r="R25" s="51">
        <f>+'21'!K218</f>
        <v>0</v>
      </c>
      <c r="S25" s="51">
        <f t="shared" si="1"/>
        <v>0</v>
      </c>
      <c r="T25" s="51">
        <f>+'21'!K223</f>
        <v>0</v>
      </c>
      <c r="U25" s="52">
        <f t="shared" si="2"/>
        <v>0</v>
      </c>
      <c r="V25" s="5"/>
    </row>
    <row r="26" spans="1:22">
      <c r="A26" s="10">
        <v>22</v>
      </c>
      <c r="B26" s="11" t="s">
        <v>37</v>
      </c>
      <c r="C26" s="47">
        <v>24</v>
      </c>
      <c r="D26" s="48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9</v>
      </c>
      <c r="E26" s="47">
        <f t="shared" si="0"/>
        <v>33</v>
      </c>
      <c r="F26" s="48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1</v>
      </c>
      <c r="G26" s="47">
        <v>0</v>
      </c>
      <c r="H26" s="4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20">
        <v>100</v>
      </c>
      <c r="J26" s="48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6"/>
      <c r="L26" s="50">
        <v>22</v>
      </c>
      <c r="M26" s="51">
        <f>+'22'!K216</f>
        <v>0</v>
      </c>
      <c r="N26" s="51">
        <f>+'22'!K221</f>
        <v>0</v>
      </c>
      <c r="O26" s="51"/>
      <c r="P26" s="51">
        <f>+'22'!K217</f>
        <v>0</v>
      </c>
      <c r="Q26" s="51"/>
      <c r="R26" s="51">
        <f>+'22'!K218</f>
        <v>0</v>
      </c>
      <c r="S26" s="51">
        <f t="shared" si="1"/>
        <v>0</v>
      </c>
      <c r="T26" s="51">
        <f>+'22'!K223</f>
        <v>0</v>
      </c>
      <c r="U26" s="52">
        <f t="shared" si="2"/>
        <v>0</v>
      </c>
      <c r="V26" s="5"/>
    </row>
    <row r="27" spans="1:22">
      <c r="A27" s="10">
        <v>23</v>
      </c>
      <c r="B27" s="21" t="s">
        <v>38</v>
      </c>
      <c r="C27" s="47">
        <v>28</v>
      </c>
      <c r="D27" s="48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8</v>
      </c>
      <c r="E27" s="47">
        <f t="shared" si="0"/>
        <v>36</v>
      </c>
      <c r="F27" s="48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2</v>
      </c>
      <c r="G27" s="47">
        <v>0</v>
      </c>
      <c r="H27" s="4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8</v>
      </c>
      <c r="I27" s="22">
        <v>100</v>
      </c>
      <c r="J27" s="48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800</v>
      </c>
      <c r="K27" s="16"/>
      <c r="L27" s="50">
        <v>23</v>
      </c>
      <c r="M27" s="51">
        <f>+'23'!K216</f>
        <v>0</v>
      </c>
      <c r="N27" s="51">
        <f>+'23'!K221</f>
        <v>0</v>
      </c>
      <c r="O27" s="51"/>
      <c r="P27" s="51">
        <f>+'23'!K217</f>
        <v>0</v>
      </c>
      <c r="Q27" s="51"/>
      <c r="R27" s="51">
        <f>+'23'!K218</f>
        <v>0</v>
      </c>
      <c r="S27" s="51">
        <f t="shared" si="1"/>
        <v>0</v>
      </c>
      <c r="T27" s="51">
        <f>+'23'!K223</f>
        <v>0</v>
      </c>
      <c r="U27" s="52">
        <f t="shared" si="2"/>
        <v>0</v>
      </c>
      <c r="V27" s="5"/>
    </row>
    <row r="28" spans="1:22">
      <c r="A28" s="10">
        <v>24</v>
      </c>
      <c r="B28" s="21" t="s">
        <v>39</v>
      </c>
      <c r="C28" s="47">
        <v>5</v>
      </c>
      <c r="D28" s="48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7">
        <f t="shared" si="0"/>
        <v>5</v>
      </c>
      <c r="F28" s="48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7">
        <v>0</v>
      </c>
      <c r="H28" s="4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2">
        <v>100</v>
      </c>
      <c r="J28" s="48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6"/>
      <c r="L28" s="50">
        <v>24</v>
      </c>
      <c r="M28" s="51">
        <f>+'24'!K216</f>
        <v>0</v>
      </c>
      <c r="N28" s="51">
        <f>+'24'!K221</f>
        <v>0</v>
      </c>
      <c r="O28" s="51"/>
      <c r="P28" s="51">
        <f>+'24'!K217</f>
        <v>0</v>
      </c>
      <c r="Q28" s="51"/>
      <c r="R28" s="51">
        <f>+'24'!K218</f>
        <v>0</v>
      </c>
      <c r="S28" s="51">
        <f t="shared" si="1"/>
        <v>0</v>
      </c>
      <c r="T28" s="51">
        <f>+'24'!K223</f>
        <v>0</v>
      </c>
      <c r="U28" s="52">
        <f t="shared" si="2"/>
        <v>0</v>
      </c>
      <c r="V28" s="5"/>
    </row>
    <row r="29" spans="1:22">
      <c r="A29" s="10">
        <v>25</v>
      </c>
      <c r="B29" s="11" t="s">
        <v>40</v>
      </c>
      <c r="C29" s="47">
        <v>18</v>
      </c>
      <c r="D29" s="48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15</v>
      </c>
      <c r="E29" s="47">
        <f t="shared" si="0"/>
        <v>33</v>
      </c>
      <c r="F29" s="48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4</v>
      </c>
      <c r="G29" s="47">
        <v>0</v>
      </c>
      <c r="H29" s="4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8</v>
      </c>
      <c r="I29" s="16">
        <v>100</v>
      </c>
      <c r="J29" s="48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800</v>
      </c>
      <c r="K29" s="16"/>
      <c r="L29" s="50">
        <v>25</v>
      </c>
      <c r="M29" s="51">
        <f>+'25'!K216</f>
        <v>0</v>
      </c>
      <c r="N29" s="51">
        <f>+'25'!K221</f>
        <v>0</v>
      </c>
      <c r="O29" s="51"/>
      <c r="P29" s="51">
        <f>+'25'!K217</f>
        <v>0</v>
      </c>
      <c r="Q29" s="51"/>
      <c r="R29" s="51">
        <f>+'25'!K218</f>
        <v>0</v>
      </c>
      <c r="S29" s="51">
        <f t="shared" si="1"/>
        <v>0</v>
      </c>
      <c r="T29" s="51">
        <f>+'25'!K223</f>
        <v>0</v>
      </c>
      <c r="U29" s="52">
        <f t="shared" si="2"/>
        <v>0</v>
      </c>
      <c r="V29" s="5"/>
    </row>
    <row r="30" spans="1:22">
      <c r="A30" s="10">
        <v>26</v>
      </c>
      <c r="B30" s="11" t="s">
        <v>41</v>
      </c>
      <c r="C30" s="47">
        <v>10</v>
      </c>
      <c r="D30" s="48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7">
        <f t="shared" si="0"/>
        <v>10</v>
      </c>
      <c r="F30" s="48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2</v>
      </c>
      <c r="G30" s="47">
        <v>0</v>
      </c>
      <c r="H30" s="4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2</v>
      </c>
      <c r="I30" s="16">
        <v>100</v>
      </c>
      <c r="J30" s="48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200</v>
      </c>
      <c r="K30" s="16"/>
      <c r="L30" s="50">
        <v>26</v>
      </c>
      <c r="M30" s="51">
        <f>+'26'!K216</f>
        <v>0</v>
      </c>
      <c r="N30" s="51">
        <f>+'26'!K221</f>
        <v>0</v>
      </c>
      <c r="O30" s="51"/>
      <c r="P30" s="51">
        <f>+'26'!K217</f>
        <v>0</v>
      </c>
      <c r="Q30" s="51"/>
      <c r="R30" s="51">
        <f>+'26'!K218</f>
        <v>0</v>
      </c>
      <c r="S30" s="51">
        <f t="shared" si="1"/>
        <v>0</v>
      </c>
      <c r="T30" s="51">
        <f>+'26'!K223</f>
        <v>0</v>
      </c>
      <c r="U30" s="52">
        <f t="shared" si="2"/>
        <v>0</v>
      </c>
      <c r="V30" s="5"/>
    </row>
    <row r="31" spans="1:22">
      <c r="A31" s="10">
        <v>27</v>
      </c>
      <c r="B31" s="11" t="s">
        <v>42</v>
      </c>
      <c r="C31" s="47">
        <v>30</v>
      </c>
      <c r="D31" s="48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8</v>
      </c>
      <c r="E31" s="47">
        <f t="shared" si="0"/>
        <v>38</v>
      </c>
      <c r="F31" s="48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2</v>
      </c>
      <c r="G31" s="47">
        <v>0</v>
      </c>
      <c r="H31" s="4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4</v>
      </c>
      <c r="I31" s="16">
        <v>100</v>
      </c>
      <c r="J31" s="48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400</v>
      </c>
      <c r="K31" s="16"/>
      <c r="L31" s="50">
        <v>27</v>
      </c>
      <c r="M31" s="51">
        <f>+'27'!K216</f>
        <v>0</v>
      </c>
      <c r="N31" s="51">
        <f>+'27'!K221</f>
        <v>0</v>
      </c>
      <c r="O31" s="51"/>
      <c r="P31" s="51">
        <f>+'27'!K217</f>
        <v>0</v>
      </c>
      <c r="Q31" s="51"/>
      <c r="R31" s="51">
        <f>+'27'!K218</f>
        <v>0</v>
      </c>
      <c r="S31" s="51">
        <f t="shared" si="1"/>
        <v>0</v>
      </c>
      <c r="T31" s="51">
        <f>+'27'!K223</f>
        <v>0</v>
      </c>
      <c r="U31" s="52">
        <f t="shared" si="2"/>
        <v>0</v>
      </c>
      <c r="V31" s="5"/>
    </row>
    <row r="32" spans="1:22">
      <c r="A32" s="10">
        <v>28</v>
      </c>
      <c r="B32" s="11" t="s">
        <v>43</v>
      </c>
      <c r="C32" s="47">
        <v>0</v>
      </c>
      <c r="D32" s="48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7">
        <f t="shared" si="0"/>
        <v>0</v>
      </c>
      <c r="F32" s="48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7">
        <v>0</v>
      </c>
      <c r="H32" s="4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6">
        <v>130</v>
      </c>
      <c r="J32" s="48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6"/>
      <c r="L32" s="50">
        <v>28</v>
      </c>
      <c r="M32" s="51">
        <f>+'28'!K216</f>
        <v>0</v>
      </c>
      <c r="N32" s="51">
        <f>+'28'!K221</f>
        <v>0</v>
      </c>
      <c r="O32" s="51"/>
      <c r="P32" s="51">
        <f>+'28'!K217</f>
        <v>0</v>
      </c>
      <c r="Q32" s="51"/>
      <c r="R32" s="51">
        <f>+'28'!K218</f>
        <v>0</v>
      </c>
      <c r="S32" s="51">
        <f t="shared" si="1"/>
        <v>0</v>
      </c>
      <c r="T32" s="51">
        <f>+'28'!K223</f>
        <v>0</v>
      </c>
      <c r="U32" s="52">
        <f t="shared" si="2"/>
        <v>0</v>
      </c>
      <c r="V32" s="5"/>
    </row>
    <row r="33" spans="1:22">
      <c r="A33" s="10">
        <v>29</v>
      </c>
      <c r="B33" s="11" t="s">
        <v>44</v>
      </c>
      <c r="C33" s="47">
        <v>7</v>
      </c>
      <c r="D33" s="48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12</v>
      </c>
      <c r="E33" s="47">
        <f t="shared" si="0"/>
        <v>19</v>
      </c>
      <c r="F33" s="48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2</v>
      </c>
      <c r="G33" s="47">
        <v>0</v>
      </c>
      <c r="H33" s="4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11</v>
      </c>
      <c r="I33" s="16">
        <v>130</v>
      </c>
      <c r="J33" s="48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1430</v>
      </c>
      <c r="K33" s="16"/>
      <c r="L33" s="50">
        <v>29</v>
      </c>
      <c r="M33" s="51">
        <f>+'29'!K216</f>
        <v>0</v>
      </c>
      <c r="N33" s="51">
        <f>+'29'!K221</f>
        <v>0</v>
      </c>
      <c r="O33" s="51"/>
      <c r="P33" s="51">
        <f>+'29'!K217</f>
        <v>0</v>
      </c>
      <c r="Q33" s="51"/>
      <c r="R33" s="51">
        <f>+'29'!K218</f>
        <v>0</v>
      </c>
      <c r="S33" s="51">
        <f t="shared" si="1"/>
        <v>0</v>
      </c>
      <c r="T33" s="51">
        <f>+'29'!K223</f>
        <v>0</v>
      </c>
      <c r="U33" s="52">
        <f t="shared" si="2"/>
        <v>0</v>
      </c>
      <c r="V33" s="5"/>
    </row>
    <row r="34" spans="1:22">
      <c r="A34" s="10">
        <v>30</v>
      </c>
      <c r="B34" s="11" t="s">
        <v>45</v>
      </c>
      <c r="C34" s="47">
        <v>5</v>
      </c>
      <c r="D34" s="48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10</v>
      </c>
      <c r="E34" s="47">
        <f t="shared" si="0"/>
        <v>15</v>
      </c>
      <c r="F34" s="48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3</v>
      </c>
      <c r="G34" s="47">
        <v>0</v>
      </c>
      <c r="H34" s="4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11</v>
      </c>
      <c r="I34" s="16">
        <v>130</v>
      </c>
      <c r="J34" s="48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1430</v>
      </c>
      <c r="K34" s="16"/>
      <c r="L34" s="50">
        <v>30</v>
      </c>
      <c r="M34" s="51">
        <f>+'30'!K216</f>
        <v>0</v>
      </c>
      <c r="N34" s="51">
        <f>+'30'!K221</f>
        <v>0</v>
      </c>
      <c r="O34" s="51"/>
      <c r="P34" s="51">
        <f>+'30'!K217</f>
        <v>0</v>
      </c>
      <c r="Q34" s="51"/>
      <c r="R34" s="51">
        <f>+'30'!K218</f>
        <v>0</v>
      </c>
      <c r="S34" s="51">
        <f t="shared" si="1"/>
        <v>0</v>
      </c>
      <c r="T34" s="51">
        <f>+'30'!K223</f>
        <v>0</v>
      </c>
      <c r="U34" s="52">
        <f t="shared" si="2"/>
        <v>0</v>
      </c>
      <c r="V34" s="5"/>
    </row>
    <row r="35" spans="1:22">
      <c r="A35" s="10">
        <v>31</v>
      </c>
      <c r="B35" s="11" t="s">
        <v>46</v>
      </c>
      <c r="C35" s="47">
        <v>0</v>
      </c>
      <c r="D35" s="48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0</v>
      </c>
      <c r="E35" s="47">
        <f t="shared" si="0"/>
        <v>0</v>
      </c>
      <c r="F35" s="48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0</v>
      </c>
      <c r="G35" s="47">
        <v>0</v>
      </c>
      <c r="H35" s="4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0</v>
      </c>
      <c r="I35" s="16">
        <v>130</v>
      </c>
      <c r="J35" s="48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0</v>
      </c>
      <c r="K35" s="16"/>
      <c r="L35" s="50">
        <v>31</v>
      </c>
      <c r="M35" s="51">
        <f>+'31'!K216</f>
        <v>0</v>
      </c>
      <c r="N35" s="51">
        <f>+'31'!K221</f>
        <v>0</v>
      </c>
      <c r="O35" s="51"/>
      <c r="P35" s="51">
        <f>+'31'!K217</f>
        <v>0</v>
      </c>
      <c r="Q35" s="51"/>
      <c r="R35" s="51">
        <f>+'31'!K218</f>
        <v>0</v>
      </c>
      <c r="S35" s="51">
        <f t="shared" si="1"/>
        <v>0</v>
      </c>
      <c r="T35" s="51">
        <f>+'31'!K223</f>
        <v>0</v>
      </c>
      <c r="U35" s="52">
        <f t="shared" si="2"/>
        <v>0</v>
      </c>
      <c r="V35" s="5"/>
    </row>
    <row r="36" spans="1:22">
      <c r="A36" s="10">
        <v>32</v>
      </c>
      <c r="B36" s="11" t="s">
        <v>47</v>
      </c>
      <c r="C36" s="47">
        <v>0</v>
      </c>
      <c r="D36" s="48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7">
        <f t="shared" si="0"/>
        <v>0</v>
      </c>
      <c r="F36" s="48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7">
        <v>0</v>
      </c>
      <c r="H36" s="4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6">
        <v>100</v>
      </c>
      <c r="J36" s="48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6"/>
      <c r="L36" s="53" t="s">
        <v>5</v>
      </c>
      <c r="M36" s="54">
        <f>SUM(M5:M35)</f>
        <v>37185</v>
      </c>
      <c r="N36" s="54">
        <f t="shared" ref="N36:U36" si="3">SUM(N5:N35)</f>
        <v>2540</v>
      </c>
      <c r="O36" s="54">
        <f t="shared" si="3"/>
        <v>0</v>
      </c>
      <c r="P36" s="54">
        <f t="shared" si="3"/>
        <v>225</v>
      </c>
      <c r="Q36" s="54">
        <f t="shared" si="3"/>
        <v>0</v>
      </c>
      <c r="R36" s="54">
        <f t="shared" si="3"/>
        <v>9815</v>
      </c>
      <c r="S36" s="54">
        <f t="shared" si="3"/>
        <v>24605</v>
      </c>
      <c r="T36" s="54">
        <f t="shared" si="3"/>
        <v>23555</v>
      </c>
      <c r="U36" s="54">
        <f t="shared" si="3"/>
        <v>-1050</v>
      </c>
    </row>
    <row r="37" spans="1:22">
      <c r="A37" s="10">
        <v>33</v>
      </c>
      <c r="B37" s="11" t="s">
        <v>48</v>
      </c>
      <c r="C37" s="47">
        <v>20</v>
      </c>
      <c r="D37" s="48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20</v>
      </c>
      <c r="E37" s="47">
        <f t="shared" si="0"/>
        <v>40</v>
      </c>
      <c r="F37" s="48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5</v>
      </c>
      <c r="G37" s="47">
        <v>0</v>
      </c>
      <c r="H37" s="4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11</v>
      </c>
      <c r="I37" s="16">
        <v>100</v>
      </c>
      <c r="J37" s="48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1100</v>
      </c>
      <c r="K37" s="16"/>
      <c r="P37" s="55"/>
      <c r="S37" s="55"/>
      <c r="U37" s="5"/>
    </row>
    <row r="38" spans="1:22">
      <c r="A38" s="10">
        <v>34</v>
      </c>
      <c r="B38" s="11" t="s">
        <v>49</v>
      </c>
      <c r="C38" s="47">
        <v>13</v>
      </c>
      <c r="D38" s="48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14</v>
      </c>
      <c r="E38" s="47">
        <f t="shared" si="0"/>
        <v>27</v>
      </c>
      <c r="F38" s="48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0</v>
      </c>
      <c r="G38" s="47">
        <v>0</v>
      </c>
      <c r="H38" s="4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13</v>
      </c>
      <c r="I38" s="16">
        <v>50</v>
      </c>
      <c r="J38" s="48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650</v>
      </c>
      <c r="K38" s="16"/>
      <c r="M38" s="56"/>
      <c r="N38" s="55"/>
      <c r="U38" s="5"/>
    </row>
    <row r="39" spans="1:22">
      <c r="A39" s="10">
        <v>35</v>
      </c>
      <c r="B39" s="11" t="s">
        <v>50</v>
      </c>
      <c r="C39" s="47">
        <v>9</v>
      </c>
      <c r="D39" s="48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14</v>
      </c>
      <c r="E39" s="47">
        <f t="shared" si="0"/>
        <v>23</v>
      </c>
      <c r="F39" s="48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2</v>
      </c>
      <c r="G39" s="47">
        <v>0</v>
      </c>
      <c r="H39" s="4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15</v>
      </c>
      <c r="I39" s="16">
        <v>50</v>
      </c>
      <c r="J39" s="48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750</v>
      </c>
      <c r="K39" s="16"/>
      <c r="M39" s="57"/>
      <c r="O39" s="55"/>
      <c r="U39" s="5"/>
    </row>
    <row r="40" spans="1:22">
      <c r="A40" s="10">
        <v>36</v>
      </c>
      <c r="B40" s="11" t="s">
        <v>51</v>
      </c>
      <c r="C40" s="47">
        <v>7</v>
      </c>
      <c r="D40" s="48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14</v>
      </c>
      <c r="E40" s="47">
        <f t="shared" si="0"/>
        <v>21</v>
      </c>
      <c r="F40" s="48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4</v>
      </c>
      <c r="G40" s="47">
        <v>0</v>
      </c>
      <c r="H40" s="4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8</v>
      </c>
      <c r="I40" s="16">
        <v>50</v>
      </c>
      <c r="J40" s="48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400</v>
      </c>
      <c r="K40" s="16"/>
      <c r="M40" s="57"/>
      <c r="U40" s="5"/>
    </row>
    <row r="41" spans="1:22">
      <c r="A41" s="10">
        <v>37</v>
      </c>
      <c r="B41" s="11" t="s">
        <v>52</v>
      </c>
      <c r="C41" s="47">
        <v>0</v>
      </c>
      <c r="D41" s="48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0</v>
      </c>
      <c r="E41" s="47">
        <f t="shared" si="0"/>
        <v>0</v>
      </c>
      <c r="F41" s="48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7">
        <v>0</v>
      </c>
      <c r="H41" s="4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0</v>
      </c>
      <c r="I41" s="16">
        <v>50</v>
      </c>
      <c r="J41" s="48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0</v>
      </c>
      <c r="K41" s="16"/>
      <c r="M41" s="57"/>
      <c r="U41" s="5"/>
    </row>
    <row r="42" spans="1:22">
      <c r="A42" s="10">
        <v>38</v>
      </c>
      <c r="B42" s="11" t="s">
        <v>53</v>
      </c>
      <c r="C42" s="47">
        <v>0</v>
      </c>
      <c r="D42" s="48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0</v>
      </c>
      <c r="E42" s="47">
        <f t="shared" si="0"/>
        <v>0</v>
      </c>
      <c r="F42" s="48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1</v>
      </c>
      <c r="G42" s="47">
        <v>0</v>
      </c>
      <c r="H42" s="4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1</v>
      </c>
      <c r="I42" s="16">
        <v>50</v>
      </c>
      <c r="J42" s="48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50</v>
      </c>
      <c r="K42" s="16"/>
      <c r="M42" s="57"/>
      <c r="U42" s="5"/>
    </row>
    <row r="43" spans="1:22">
      <c r="A43" s="10">
        <v>39</v>
      </c>
      <c r="B43" s="11" t="s">
        <v>54</v>
      </c>
      <c r="C43" s="47">
        <v>0</v>
      </c>
      <c r="D43" s="48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2</v>
      </c>
      <c r="E43" s="47">
        <f t="shared" si="0"/>
        <v>2</v>
      </c>
      <c r="F43" s="48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0</v>
      </c>
      <c r="G43" s="47">
        <v>0</v>
      </c>
      <c r="H43" s="4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1</v>
      </c>
      <c r="I43" s="16">
        <v>50</v>
      </c>
      <c r="J43" s="48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50</v>
      </c>
      <c r="K43" s="16"/>
      <c r="M43" s="57"/>
      <c r="U43" s="5"/>
    </row>
    <row r="44" spans="1:22">
      <c r="A44" s="10">
        <v>40</v>
      </c>
      <c r="B44" s="11" t="s">
        <v>55</v>
      </c>
      <c r="C44" s="47">
        <v>0</v>
      </c>
      <c r="D44" s="48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0</v>
      </c>
      <c r="E44" s="47">
        <f t="shared" si="0"/>
        <v>0</v>
      </c>
      <c r="F44" s="48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7">
        <v>0</v>
      </c>
      <c r="H44" s="4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6</v>
      </c>
      <c r="I44" s="16">
        <v>50</v>
      </c>
      <c r="J44" s="48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300</v>
      </c>
      <c r="K44" s="16"/>
      <c r="M44" s="57"/>
      <c r="U44" s="5"/>
    </row>
    <row r="45" spans="1:22">
      <c r="A45" s="10">
        <v>41</v>
      </c>
      <c r="B45" s="11" t="s">
        <v>56</v>
      </c>
      <c r="C45" s="47">
        <v>0</v>
      </c>
      <c r="D45" s="48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7">
        <f t="shared" si="0"/>
        <v>0</v>
      </c>
      <c r="F45" s="48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0</v>
      </c>
      <c r="G45" s="47">
        <v>0</v>
      </c>
      <c r="H45" s="4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0</v>
      </c>
      <c r="I45" s="16">
        <v>50</v>
      </c>
      <c r="J45" s="48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0</v>
      </c>
      <c r="K45" s="16"/>
      <c r="M45" s="57"/>
      <c r="O45" s="55"/>
      <c r="U45" s="5"/>
    </row>
    <row r="46" spans="1:22">
      <c r="A46" s="10">
        <v>42</v>
      </c>
      <c r="B46" s="11" t="s">
        <v>57</v>
      </c>
      <c r="C46" s="47">
        <v>1</v>
      </c>
      <c r="D46" s="48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2</v>
      </c>
      <c r="E46" s="47">
        <f t="shared" si="0"/>
        <v>3</v>
      </c>
      <c r="F46" s="48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7">
        <v>0</v>
      </c>
      <c r="H46" s="4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3</v>
      </c>
      <c r="I46" s="16">
        <v>50</v>
      </c>
      <c r="J46" s="48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150</v>
      </c>
      <c r="K46" s="23"/>
      <c r="M46" s="57"/>
      <c r="U46" s="5"/>
    </row>
    <row r="47" spans="1:22">
      <c r="A47" s="10">
        <v>43</v>
      </c>
      <c r="B47" s="11" t="s">
        <v>58</v>
      </c>
      <c r="C47" s="47">
        <v>0</v>
      </c>
      <c r="D47" s="48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0</v>
      </c>
      <c r="E47" s="47">
        <f t="shared" si="0"/>
        <v>0</v>
      </c>
      <c r="F47" s="48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7">
        <v>0</v>
      </c>
      <c r="H47" s="4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0</v>
      </c>
      <c r="I47" s="16">
        <v>50</v>
      </c>
      <c r="J47" s="48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0</v>
      </c>
      <c r="K47" s="23"/>
      <c r="M47" s="57"/>
      <c r="U47" s="5"/>
    </row>
    <row r="48" spans="1:22">
      <c r="A48" s="10">
        <v>44</v>
      </c>
      <c r="B48" s="11" t="s">
        <v>59</v>
      </c>
      <c r="C48" s="47">
        <v>0</v>
      </c>
      <c r="D48" s="48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0</v>
      </c>
      <c r="E48" s="47">
        <f t="shared" si="0"/>
        <v>0</v>
      </c>
      <c r="F48" s="48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47">
        <v>0</v>
      </c>
      <c r="H48" s="4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1</v>
      </c>
      <c r="I48" s="16">
        <v>50</v>
      </c>
      <c r="J48" s="48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50</v>
      </c>
      <c r="K48" s="23"/>
      <c r="M48" s="57"/>
      <c r="U48" s="5"/>
    </row>
    <row r="49" spans="1:21">
      <c r="A49" s="10">
        <v>45</v>
      </c>
      <c r="B49" s="11" t="s">
        <v>60</v>
      </c>
      <c r="C49" s="47">
        <v>0</v>
      </c>
      <c r="D49" s="48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47">
        <f t="shared" si="0"/>
        <v>0</v>
      </c>
      <c r="F49" s="48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5</v>
      </c>
      <c r="G49" s="47">
        <v>0</v>
      </c>
      <c r="H49" s="4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2</v>
      </c>
      <c r="I49" s="16">
        <v>50</v>
      </c>
      <c r="J49" s="48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100</v>
      </c>
      <c r="K49" s="23"/>
      <c r="M49" s="57"/>
      <c r="U49" s="5"/>
    </row>
    <row r="50" spans="1:21">
      <c r="A50" s="10">
        <v>46</v>
      </c>
      <c r="B50" s="11" t="s">
        <v>61</v>
      </c>
      <c r="C50" s="47">
        <v>0</v>
      </c>
      <c r="D50" s="48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3</v>
      </c>
      <c r="E50" s="47">
        <f t="shared" si="0"/>
        <v>3</v>
      </c>
      <c r="F50" s="48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7">
        <v>0</v>
      </c>
      <c r="H50" s="4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4</v>
      </c>
      <c r="I50" s="16">
        <v>120</v>
      </c>
      <c r="J50" s="48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480</v>
      </c>
      <c r="K50" s="23"/>
      <c r="M50" s="57"/>
      <c r="U50" s="5"/>
    </row>
    <row r="51" spans="1:21">
      <c r="A51" s="10">
        <v>47</v>
      </c>
      <c r="B51" s="11" t="s">
        <v>62</v>
      </c>
      <c r="C51" s="47">
        <v>4</v>
      </c>
      <c r="D51" s="48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2</v>
      </c>
      <c r="E51" s="47">
        <f t="shared" si="0"/>
        <v>6</v>
      </c>
      <c r="F51" s="48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7">
        <v>0</v>
      </c>
      <c r="H51" s="4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3</v>
      </c>
      <c r="I51" s="16">
        <v>120</v>
      </c>
      <c r="J51" s="48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360</v>
      </c>
      <c r="K51" s="23"/>
      <c r="M51" s="57"/>
      <c r="U51" s="5"/>
    </row>
    <row r="52" spans="1:21">
      <c r="A52" s="10">
        <v>48</v>
      </c>
      <c r="B52" s="11" t="s">
        <v>63</v>
      </c>
      <c r="C52" s="47">
        <v>4</v>
      </c>
      <c r="D52" s="48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4</v>
      </c>
      <c r="E52" s="47">
        <f t="shared" si="0"/>
        <v>8</v>
      </c>
      <c r="F52" s="48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7">
        <v>0</v>
      </c>
      <c r="H52" s="4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3</v>
      </c>
      <c r="I52" s="20">
        <v>120</v>
      </c>
      <c r="J52" s="48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360</v>
      </c>
      <c r="K52" s="23"/>
      <c r="M52" s="57"/>
      <c r="U52" s="5"/>
    </row>
    <row r="53" spans="1:21">
      <c r="A53" s="10">
        <v>49</v>
      </c>
      <c r="B53" s="11" t="s">
        <v>64</v>
      </c>
      <c r="C53" s="47">
        <v>0</v>
      </c>
      <c r="D53" s="48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4</v>
      </c>
      <c r="E53" s="47">
        <f t="shared" si="0"/>
        <v>4</v>
      </c>
      <c r="F53" s="48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1</v>
      </c>
      <c r="G53" s="47">
        <v>0</v>
      </c>
      <c r="H53" s="4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3</v>
      </c>
      <c r="I53" s="16">
        <v>120</v>
      </c>
      <c r="J53" s="48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360</v>
      </c>
      <c r="K53" s="23"/>
      <c r="M53" s="57"/>
      <c r="U53" s="5"/>
    </row>
    <row r="54" spans="1:21">
      <c r="A54" s="10">
        <v>50</v>
      </c>
      <c r="B54" s="11" t="s">
        <v>65</v>
      </c>
      <c r="C54" s="47">
        <v>0</v>
      </c>
      <c r="D54" s="48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7">
        <f t="shared" si="0"/>
        <v>0</v>
      </c>
      <c r="F54" s="48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7">
        <v>0</v>
      </c>
      <c r="H54" s="4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6">
        <v>120</v>
      </c>
      <c r="J54" s="48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7"/>
      <c r="U54" s="5"/>
    </row>
    <row r="55" spans="1:21">
      <c r="A55" s="10">
        <v>51</v>
      </c>
      <c r="B55" s="11" t="s">
        <v>66</v>
      </c>
      <c r="C55" s="47">
        <v>0</v>
      </c>
      <c r="D55" s="48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2</v>
      </c>
      <c r="E55" s="47">
        <f t="shared" si="0"/>
        <v>2</v>
      </c>
      <c r="F55" s="48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7">
        <v>0</v>
      </c>
      <c r="H55" s="4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1</v>
      </c>
      <c r="I55" s="20">
        <v>120</v>
      </c>
      <c r="J55" s="48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120</v>
      </c>
      <c r="K55" s="22"/>
      <c r="M55" s="57"/>
      <c r="U55" s="5"/>
    </row>
    <row r="56" spans="1:21">
      <c r="A56" s="10">
        <v>52</v>
      </c>
      <c r="B56" s="11" t="s">
        <v>67</v>
      </c>
      <c r="C56" s="47">
        <v>0</v>
      </c>
      <c r="D56" s="48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7">
        <f t="shared" si="0"/>
        <v>0</v>
      </c>
      <c r="F56" s="48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7">
        <v>0</v>
      </c>
      <c r="H56" s="4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20">
        <v>120</v>
      </c>
      <c r="J56" s="48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2"/>
      <c r="M56" s="57"/>
      <c r="U56" s="5"/>
    </row>
    <row r="57" spans="1:21">
      <c r="A57" s="10">
        <v>53</v>
      </c>
      <c r="B57" s="11" t="s">
        <v>68</v>
      </c>
      <c r="C57" s="47">
        <v>25</v>
      </c>
      <c r="D57" s="48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2</v>
      </c>
      <c r="E57" s="47">
        <f t="shared" si="0"/>
        <v>27</v>
      </c>
      <c r="F57" s="48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1</v>
      </c>
      <c r="G57" s="47">
        <v>0</v>
      </c>
      <c r="H57" s="4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2</v>
      </c>
      <c r="I57" s="20">
        <v>120</v>
      </c>
      <c r="J57" s="48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240</v>
      </c>
      <c r="K57" s="22"/>
      <c r="M57" s="57"/>
      <c r="U57" s="5"/>
    </row>
    <row r="58" spans="1:21">
      <c r="A58" s="10">
        <v>54</v>
      </c>
      <c r="B58" s="11" t="s">
        <v>69</v>
      </c>
      <c r="C58" s="47">
        <v>1</v>
      </c>
      <c r="D58" s="48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7">
        <f t="shared" si="0"/>
        <v>1</v>
      </c>
      <c r="F58" s="48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7">
        <v>0</v>
      </c>
      <c r="H58" s="4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1</v>
      </c>
      <c r="I58" s="20">
        <v>120</v>
      </c>
      <c r="J58" s="48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120</v>
      </c>
      <c r="K58" s="22"/>
      <c r="M58" s="57"/>
      <c r="U58" s="5"/>
    </row>
    <row r="59" spans="1:21">
      <c r="A59" s="10">
        <v>55</v>
      </c>
      <c r="B59" s="11" t="s">
        <v>70</v>
      </c>
      <c r="C59" s="47">
        <v>0</v>
      </c>
      <c r="D59" s="48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7">
        <f t="shared" si="0"/>
        <v>0</v>
      </c>
      <c r="F59" s="48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7">
        <v>0</v>
      </c>
      <c r="H59" s="4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6">
        <v>70</v>
      </c>
      <c r="J59" s="48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1"/>
      <c r="M59" s="57"/>
      <c r="U59" s="5"/>
    </row>
    <row r="60" spans="1:21">
      <c r="A60" s="10">
        <v>56</v>
      </c>
      <c r="B60" s="11" t="s">
        <v>71</v>
      </c>
      <c r="C60" s="47">
        <v>0</v>
      </c>
      <c r="D60" s="48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7">
        <f t="shared" si="0"/>
        <v>0</v>
      </c>
      <c r="F60" s="48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7">
        <v>0</v>
      </c>
      <c r="H60" s="4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20">
        <v>80</v>
      </c>
      <c r="J60" s="48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1"/>
      <c r="M60" s="57"/>
      <c r="U60" s="5"/>
    </row>
    <row r="61" spans="1:21">
      <c r="A61" s="10">
        <v>57</v>
      </c>
      <c r="B61" s="11" t="s">
        <v>72</v>
      </c>
      <c r="C61" s="47">
        <v>5</v>
      </c>
      <c r="D61" s="48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0</v>
      </c>
      <c r="E61" s="47">
        <f t="shared" si="0"/>
        <v>5</v>
      </c>
      <c r="F61" s="48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0</v>
      </c>
      <c r="G61" s="47">
        <v>0</v>
      </c>
      <c r="H61" s="4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1</v>
      </c>
      <c r="I61" s="16">
        <v>50</v>
      </c>
      <c r="J61" s="48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50</v>
      </c>
      <c r="K61" s="21"/>
      <c r="M61" s="57"/>
      <c r="U61" s="5"/>
    </row>
    <row r="62" spans="1:21">
      <c r="A62" s="10">
        <v>58</v>
      </c>
      <c r="B62" s="21" t="s">
        <v>73</v>
      </c>
      <c r="C62" s="47">
        <v>1</v>
      </c>
      <c r="D62" s="48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2</v>
      </c>
      <c r="E62" s="47">
        <f t="shared" si="0"/>
        <v>3</v>
      </c>
      <c r="F62" s="48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0</v>
      </c>
      <c r="G62" s="47">
        <v>0</v>
      </c>
      <c r="H62" s="4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2</v>
      </c>
      <c r="I62" s="22">
        <v>50</v>
      </c>
      <c r="J62" s="48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100</v>
      </c>
      <c r="K62" s="21"/>
      <c r="M62" s="57"/>
      <c r="U62" s="5"/>
    </row>
    <row r="63" spans="1:21">
      <c r="A63" s="10">
        <v>59</v>
      </c>
      <c r="B63" s="21" t="s">
        <v>74</v>
      </c>
      <c r="C63" s="47">
        <v>0</v>
      </c>
      <c r="D63" s="48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2</v>
      </c>
      <c r="E63" s="47">
        <f t="shared" si="0"/>
        <v>2</v>
      </c>
      <c r="F63" s="48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0</v>
      </c>
      <c r="G63" s="47">
        <v>0</v>
      </c>
      <c r="H63" s="4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0</v>
      </c>
      <c r="I63" s="22">
        <v>50</v>
      </c>
      <c r="J63" s="48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0</v>
      </c>
      <c r="K63" s="21"/>
      <c r="M63" s="57"/>
      <c r="U63" s="5"/>
    </row>
    <row r="64" spans="1:21">
      <c r="A64" s="10">
        <v>60</v>
      </c>
      <c r="B64" s="11" t="s">
        <v>75</v>
      </c>
      <c r="C64" s="47">
        <v>0</v>
      </c>
      <c r="D64" s="48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7">
        <f t="shared" si="0"/>
        <v>0</v>
      </c>
      <c r="F64" s="48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7">
        <v>0</v>
      </c>
      <c r="H64" s="4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20">
        <v>30</v>
      </c>
      <c r="J64" s="48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1"/>
      <c r="M64" s="57"/>
      <c r="U64" s="5"/>
    </row>
    <row r="65" spans="1:21">
      <c r="A65" s="10">
        <v>61</v>
      </c>
      <c r="B65" s="11" t="s">
        <v>76</v>
      </c>
      <c r="C65" s="47">
        <v>0</v>
      </c>
      <c r="D65" s="48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7">
        <f t="shared" si="0"/>
        <v>0</v>
      </c>
      <c r="F65" s="48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7">
        <v>0</v>
      </c>
      <c r="H65" s="4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20">
        <v>30</v>
      </c>
      <c r="J65" s="48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1"/>
      <c r="M65" s="57"/>
      <c r="U65" s="5"/>
    </row>
    <row r="66" spans="1:21">
      <c r="A66" s="10">
        <v>62</v>
      </c>
      <c r="B66" s="11" t="s">
        <v>77</v>
      </c>
      <c r="C66" s="47">
        <v>1</v>
      </c>
      <c r="D66" s="48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6" s="47">
        <f t="shared" si="0"/>
        <v>1</v>
      </c>
      <c r="F66" s="48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3</v>
      </c>
      <c r="G66" s="47">
        <v>0</v>
      </c>
      <c r="H66" s="4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6</v>
      </c>
      <c r="I66" s="16">
        <v>50</v>
      </c>
      <c r="J66" s="48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300</v>
      </c>
      <c r="K66" s="21"/>
      <c r="M66" s="57"/>
      <c r="U66" s="5"/>
    </row>
    <row r="67" spans="1:21">
      <c r="A67" s="10">
        <v>63</v>
      </c>
      <c r="B67" s="11" t="s">
        <v>78</v>
      </c>
      <c r="C67" s="47">
        <v>5</v>
      </c>
      <c r="D67" s="48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9</v>
      </c>
      <c r="E67" s="47">
        <f t="shared" si="0"/>
        <v>14</v>
      </c>
      <c r="F67" s="48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1</v>
      </c>
      <c r="G67" s="47">
        <v>0</v>
      </c>
      <c r="H67" s="4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12</v>
      </c>
      <c r="I67" s="16">
        <v>50</v>
      </c>
      <c r="J67" s="48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600</v>
      </c>
      <c r="K67" s="21"/>
      <c r="M67" s="57"/>
      <c r="U67" s="5"/>
    </row>
    <row r="68" spans="1:21">
      <c r="A68" s="10">
        <v>64</v>
      </c>
      <c r="B68" s="21" t="s">
        <v>79</v>
      </c>
      <c r="C68" s="47">
        <v>0</v>
      </c>
      <c r="D68" s="48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7">
        <f t="shared" si="0"/>
        <v>0</v>
      </c>
      <c r="F68" s="48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7">
        <v>0</v>
      </c>
      <c r="H68" s="4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2">
        <v>35</v>
      </c>
      <c r="J68" s="48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1"/>
      <c r="M68" s="57"/>
      <c r="U68" s="5"/>
    </row>
    <row r="69" spans="1:21">
      <c r="A69" s="10">
        <v>65</v>
      </c>
      <c r="B69" s="21" t="s">
        <v>80</v>
      </c>
      <c r="C69" s="47">
        <v>0</v>
      </c>
      <c r="D69" s="48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7">
        <f t="shared" si="0"/>
        <v>0</v>
      </c>
      <c r="F69" s="48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7">
        <v>0</v>
      </c>
      <c r="H69" s="4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2">
        <v>25</v>
      </c>
      <c r="J69" s="48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1"/>
      <c r="M69" s="57"/>
      <c r="U69" s="5"/>
    </row>
    <row r="70" spans="1:21">
      <c r="A70" s="10">
        <v>66</v>
      </c>
      <c r="B70" s="21" t="s">
        <v>81</v>
      </c>
      <c r="C70" s="47">
        <v>3</v>
      </c>
      <c r="D70" s="48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15</v>
      </c>
      <c r="E70" s="47">
        <f t="shared" ref="E70:E133" si="4">+C70+D70</f>
        <v>18</v>
      </c>
      <c r="F70" s="48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4</v>
      </c>
      <c r="G70" s="47">
        <v>0</v>
      </c>
      <c r="H70" s="4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15</v>
      </c>
      <c r="I70" s="22">
        <v>50</v>
      </c>
      <c r="J70" s="48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750</v>
      </c>
      <c r="K70" s="21"/>
      <c r="M70" s="57"/>
      <c r="U70" s="5"/>
    </row>
    <row r="71" spans="1:21">
      <c r="A71" s="10">
        <v>67</v>
      </c>
      <c r="B71" s="21" t="s">
        <v>82</v>
      </c>
      <c r="C71" s="47">
        <v>0</v>
      </c>
      <c r="D71" s="48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9</v>
      </c>
      <c r="E71" s="47">
        <f t="shared" si="4"/>
        <v>9</v>
      </c>
      <c r="F71" s="48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7">
        <v>0</v>
      </c>
      <c r="H71" s="4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8</v>
      </c>
      <c r="I71" s="22">
        <v>60</v>
      </c>
      <c r="J71" s="48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480</v>
      </c>
      <c r="K71" s="21"/>
      <c r="M71" s="57"/>
      <c r="U71" s="5"/>
    </row>
    <row r="72" spans="1:21">
      <c r="A72" s="10">
        <v>68</v>
      </c>
      <c r="B72" s="21" t="s">
        <v>83</v>
      </c>
      <c r="C72" s="47">
        <v>0</v>
      </c>
      <c r="D72" s="48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7">
        <f t="shared" si="4"/>
        <v>0</v>
      </c>
      <c r="F72" s="48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7">
        <v>0</v>
      </c>
      <c r="H72" s="4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8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1"/>
      <c r="M72" s="57"/>
      <c r="U72" s="5"/>
    </row>
    <row r="73" spans="1:21">
      <c r="A73" s="10">
        <v>69</v>
      </c>
      <c r="B73" s="21" t="s">
        <v>84</v>
      </c>
      <c r="C73" s="47">
        <v>0</v>
      </c>
      <c r="D73" s="48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3" s="47">
        <f t="shared" si="4"/>
        <v>0</v>
      </c>
      <c r="F73" s="48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1</v>
      </c>
      <c r="G73" s="47">
        <v>0</v>
      </c>
      <c r="H73" s="4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8</v>
      </c>
      <c r="I73" s="22">
        <v>60</v>
      </c>
      <c r="J73" s="48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480</v>
      </c>
      <c r="K73" s="21"/>
      <c r="M73" s="57"/>
      <c r="U73" s="5"/>
    </row>
    <row r="74" spans="1:21">
      <c r="A74" s="10">
        <v>70</v>
      </c>
      <c r="B74" s="21" t="s">
        <v>85</v>
      </c>
      <c r="C74" s="47">
        <v>0</v>
      </c>
      <c r="D74" s="48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5</v>
      </c>
      <c r="E74" s="47">
        <f t="shared" si="4"/>
        <v>5</v>
      </c>
      <c r="F74" s="48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7">
        <v>0</v>
      </c>
      <c r="H74" s="4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5</v>
      </c>
      <c r="I74" s="23">
        <v>120</v>
      </c>
      <c r="J74" s="48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600</v>
      </c>
      <c r="K74" s="21"/>
      <c r="M74" s="57"/>
      <c r="U74" s="5"/>
    </row>
    <row r="75" spans="1:21">
      <c r="A75" s="10">
        <v>71</v>
      </c>
      <c r="B75" s="21" t="s">
        <v>86</v>
      </c>
      <c r="C75" s="47">
        <v>0</v>
      </c>
      <c r="D75" s="48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7">
        <f t="shared" si="4"/>
        <v>0</v>
      </c>
      <c r="F75" s="48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7">
        <v>0</v>
      </c>
      <c r="H75" s="4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8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1"/>
      <c r="M75" s="57"/>
      <c r="U75" s="5"/>
    </row>
    <row r="76" spans="1:21">
      <c r="A76" s="10">
        <v>72</v>
      </c>
      <c r="B76" s="21" t="s">
        <v>87</v>
      </c>
      <c r="C76" s="47">
        <v>0</v>
      </c>
      <c r="D76" s="48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7">
        <f t="shared" si="4"/>
        <v>0</v>
      </c>
      <c r="F76" s="48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7">
        <v>0</v>
      </c>
      <c r="H76" s="4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8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1"/>
      <c r="M76" s="57"/>
      <c r="U76" s="5"/>
    </row>
    <row r="77" spans="1:21">
      <c r="A77" s="10">
        <v>73</v>
      </c>
      <c r="B77" s="21" t="s">
        <v>88</v>
      </c>
      <c r="C77" s="47">
        <v>0</v>
      </c>
      <c r="D77" s="48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4</v>
      </c>
      <c r="E77" s="47">
        <f t="shared" si="4"/>
        <v>4</v>
      </c>
      <c r="F77" s="48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0</v>
      </c>
      <c r="G77" s="47">
        <v>0</v>
      </c>
      <c r="H77" s="4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4</v>
      </c>
      <c r="I77" s="22">
        <v>50</v>
      </c>
      <c r="J77" s="48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200</v>
      </c>
      <c r="K77" s="21"/>
      <c r="M77" s="57"/>
      <c r="U77" s="5"/>
    </row>
    <row r="78" spans="1:21">
      <c r="A78" s="10">
        <v>74</v>
      </c>
      <c r="B78" s="21" t="s">
        <v>89</v>
      </c>
      <c r="C78" s="47">
        <v>0</v>
      </c>
      <c r="D78" s="48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0</v>
      </c>
      <c r="E78" s="47">
        <f t="shared" si="4"/>
        <v>0</v>
      </c>
      <c r="F78" s="48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7">
        <v>0</v>
      </c>
      <c r="H78" s="4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0</v>
      </c>
      <c r="I78" s="23">
        <v>120</v>
      </c>
      <c r="J78" s="48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0</v>
      </c>
      <c r="K78" s="21"/>
      <c r="M78" s="57"/>
      <c r="T78" s="5"/>
    </row>
    <row r="79" spans="1:21">
      <c r="A79" s="10">
        <v>75</v>
      </c>
      <c r="B79" s="21" t="s">
        <v>90</v>
      </c>
      <c r="C79" s="47">
        <v>4</v>
      </c>
      <c r="D79" s="48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17</v>
      </c>
      <c r="E79" s="47">
        <f t="shared" si="4"/>
        <v>21</v>
      </c>
      <c r="F79" s="48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1</v>
      </c>
      <c r="G79" s="47">
        <v>0</v>
      </c>
      <c r="H79" s="4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20</v>
      </c>
      <c r="I79" s="23">
        <v>50</v>
      </c>
      <c r="J79" s="48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1000</v>
      </c>
      <c r="K79" s="21"/>
      <c r="M79" s="57"/>
      <c r="T79" s="5"/>
    </row>
    <row r="80" spans="1:21">
      <c r="A80" s="10">
        <v>76</v>
      </c>
      <c r="B80" s="21" t="s">
        <v>91</v>
      </c>
      <c r="C80" s="47">
        <v>0</v>
      </c>
      <c r="D80" s="48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7">
        <f t="shared" si="4"/>
        <v>0</v>
      </c>
      <c r="F80" s="48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7">
        <v>0</v>
      </c>
      <c r="H80" s="4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8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1"/>
      <c r="M80" s="57"/>
      <c r="T80" s="5"/>
    </row>
    <row r="81" spans="1:21">
      <c r="A81" s="10">
        <v>77</v>
      </c>
      <c r="B81" s="21" t="s">
        <v>92</v>
      </c>
      <c r="C81" s="47">
        <v>0</v>
      </c>
      <c r="D81" s="48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4</v>
      </c>
      <c r="E81" s="47">
        <f t="shared" si="4"/>
        <v>4</v>
      </c>
      <c r="F81" s="48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7">
        <v>0</v>
      </c>
      <c r="H81" s="4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5</v>
      </c>
      <c r="I81" s="22">
        <v>55</v>
      </c>
      <c r="J81" s="48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275</v>
      </c>
      <c r="K81" s="21"/>
      <c r="M81" s="57"/>
      <c r="T81" s="5"/>
    </row>
    <row r="82" spans="1:21">
      <c r="A82" s="10">
        <v>78</v>
      </c>
      <c r="B82" s="21" t="s">
        <v>93</v>
      </c>
      <c r="C82" s="47">
        <v>0</v>
      </c>
      <c r="D82" s="48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4</v>
      </c>
      <c r="E82" s="47">
        <f t="shared" si="4"/>
        <v>4</v>
      </c>
      <c r="F82" s="48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7">
        <v>0</v>
      </c>
      <c r="H82" s="4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2</v>
      </c>
      <c r="I82" s="23">
        <v>55</v>
      </c>
      <c r="J82" s="48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110</v>
      </c>
      <c r="K82" s="21"/>
      <c r="M82" s="57"/>
      <c r="U82" s="5"/>
    </row>
    <row r="83" spans="1:21">
      <c r="A83" s="10">
        <v>79</v>
      </c>
      <c r="B83" s="21" t="s">
        <v>94</v>
      </c>
      <c r="C83" s="47">
        <v>0</v>
      </c>
      <c r="D83" s="48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7">
        <f t="shared" si="4"/>
        <v>0</v>
      </c>
      <c r="F83" s="48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7">
        <v>0</v>
      </c>
      <c r="H83" s="4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8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1"/>
      <c r="M83" s="57"/>
      <c r="U83" s="5"/>
    </row>
    <row r="84" spans="1:21">
      <c r="A84" s="10">
        <v>80</v>
      </c>
      <c r="B84" s="21" t="s">
        <v>95</v>
      </c>
      <c r="C84" s="47">
        <v>0</v>
      </c>
      <c r="D84" s="48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7">
        <f t="shared" si="4"/>
        <v>0</v>
      </c>
      <c r="F84" s="48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7">
        <v>0</v>
      </c>
      <c r="H84" s="4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8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1"/>
      <c r="M84" s="57"/>
      <c r="U84" s="5"/>
    </row>
    <row r="85" spans="1:21">
      <c r="A85" s="10">
        <v>81</v>
      </c>
      <c r="B85" s="21" t="s">
        <v>96</v>
      </c>
      <c r="C85" s="47">
        <v>7</v>
      </c>
      <c r="D85" s="48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5</v>
      </c>
      <c r="E85" s="47">
        <f t="shared" si="4"/>
        <v>12</v>
      </c>
      <c r="F85" s="48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7">
        <v>0</v>
      </c>
      <c r="H85" s="4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3</v>
      </c>
      <c r="I85" s="23">
        <v>100</v>
      </c>
      <c r="J85" s="48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300</v>
      </c>
      <c r="K85" s="21"/>
      <c r="M85" s="57"/>
      <c r="U85" s="5"/>
    </row>
    <row r="86" spans="1:21">
      <c r="A86" s="10">
        <v>82</v>
      </c>
      <c r="B86" s="21" t="s">
        <v>97</v>
      </c>
      <c r="C86" s="47">
        <v>2</v>
      </c>
      <c r="D86" s="48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0</v>
      </c>
      <c r="E86" s="47">
        <f t="shared" si="4"/>
        <v>2</v>
      </c>
      <c r="F86" s="48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7">
        <v>0</v>
      </c>
      <c r="H86" s="4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5</v>
      </c>
      <c r="I86" s="22">
        <v>55</v>
      </c>
      <c r="J86" s="48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275</v>
      </c>
      <c r="K86" s="21"/>
      <c r="M86" s="57"/>
      <c r="U86" s="5"/>
    </row>
    <row r="87" spans="1:21">
      <c r="A87" s="10">
        <v>83</v>
      </c>
      <c r="B87" s="21" t="s">
        <v>98</v>
      </c>
      <c r="C87" s="47">
        <v>6</v>
      </c>
      <c r="D87" s="48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0</v>
      </c>
      <c r="E87" s="47">
        <f t="shared" si="4"/>
        <v>6</v>
      </c>
      <c r="F87" s="48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7">
        <v>0</v>
      </c>
      <c r="H87" s="4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8</v>
      </c>
      <c r="I87" s="22">
        <v>60</v>
      </c>
      <c r="J87" s="48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480</v>
      </c>
      <c r="K87" s="21"/>
      <c r="M87" s="57"/>
      <c r="U87" s="5"/>
    </row>
    <row r="88" spans="1:21">
      <c r="A88" s="10">
        <v>84</v>
      </c>
      <c r="B88" s="21" t="s">
        <v>99</v>
      </c>
      <c r="C88" s="47">
        <v>13</v>
      </c>
      <c r="D88" s="48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0</v>
      </c>
      <c r="E88" s="47">
        <f t="shared" si="4"/>
        <v>13</v>
      </c>
      <c r="F88" s="48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7">
        <v>0</v>
      </c>
      <c r="H88" s="48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7</v>
      </c>
      <c r="I88" s="22">
        <v>100</v>
      </c>
      <c r="J88" s="48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700</v>
      </c>
      <c r="K88" s="21"/>
      <c r="M88" s="57"/>
      <c r="U88" s="5"/>
    </row>
    <row r="89" spans="1:21">
      <c r="A89" s="10">
        <v>85</v>
      </c>
      <c r="B89" s="21" t="s">
        <v>100</v>
      </c>
      <c r="C89" s="47">
        <v>5</v>
      </c>
      <c r="D89" s="48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7">
        <f t="shared" si="4"/>
        <v>5</v>
      </c>
      <c r="F89" s="48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7">
        <v>0</v>
      </c>
      <c r="H89" s="4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5</v>
      </c>
      <c r="I89" s="22">
        <v>55</v>
      </c>
      <c r="J89" s="48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275</v>
      </c>
      <c r="K89" s="21"/>
      <c r="M89" s="57"/>
      <c r="U89" s="5"/>
    </row>
    <row r="90" spans="1:21">
      <c r="A90" s="10">
        <v>86</v>
      </c>
      <c r="B90" s="21" t="s">
        <v>101</v>
      </c>
      <c r="C90" s="47">
        <v>0</v>
      </c>
      <c r="D90" s="48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0</v>
      </c>
      <c r="E90" s="47">
        <f t="shared" si="4"/>
        <v>0</v>
      </c>
      <c r="F90" s="48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7">
        <v>0</v>
      </c>
      <c r="H90" s="4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0</v>
      </c>
      <c r="I90" s="22">
        <v>50</v>
      </c>
      <c r="J90" s="48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0</v>
      </c>
      <c r="K90" s="21"/>
      <c r="M90" s="57"/>
      <c r="U90" s="5"/>
    </row>
    <row r="91" spans="1:21">
      <c r="A91" s="10">
        <v>87</v>
      </c>
      <c r="B91" s="21" t="s">
        <v>102</v>
      </c>
      <c r="C91" s="47">
        <v>0</v>
      </c>
      <c r="D91" s="48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0</v>
      </c>
      <c r="E91" s="47">
        <f t="shared" si="4"/>
        <v>0</v>
      </c>
      <c r="F91" s="48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7">
        <v>0</v>
      </c>
      <c r="H91" s="4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0</v>
      </c>
      <c r="I91" s="23">
        <v>50</v>
      </c>
      <c r="J91" s="48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0</v>
      </c>
      <c r="K91" s="21"/>
      <c r="M91" s="57"/>
      <c r="U91" s="5"/>
    </row>
    <row r="92" spans="1:21">
      <c r="A92" s="10">
        <v>88</v>
      </c>
      <c r="B92" s="21" t="s">
        <v>103</v>
      </c>
      <c r="C92" s="47">
        <v>0</v>
      </c>
      <c r="D92" s="48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7">
        <f t="shared" si="4"/>
        <v>0</v>
      </c>
      <c r="F92" s="48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1</v>
      </c>
      <c r="G92" s="47">
        <v>0</v>
      </c>
      <c r="H92" s="4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8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21"/>
      <c r="M92" s="57"/>
      <c r="U92" s="5"/>
    </row>
    <row r="93" spans="1:21">
      <c r="A93" s="10">
        <v>89</v>
      </c>
      <c r="B93" s="21" t="s">
        <v>104</v>
      </c>
      <c r="C93" s="47">
        <v>0</v>
      </c>
      <c r="D93" s="48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7">
        <f t="shared" si="4"/>
        <v>0</v>
      </c>
      <c r="F93" s="48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7">
        <v>0</v>
      </c>
      <c r="H93" s="4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2">
        <v>250</v>
      </c>
      <c r="J93" s="48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21"/>
      <c r="M93" s="57"/>
      <c r="U93" s="5"/>
    </row>
    <row r="94" spans="1:21">
      <c r="A94" s="10">
        <v>90</v>
      </c>
      <c r="B94" s="21" t="s">
        <v>105</v>
      </c>
      <c r="C94" s="47">
        <v>0</v>
      </c>
      <c r="D94" s="48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1</v>
      </c>
      <c r="E94" s="47">
        <f t="shared" si="4"/>
        <v>1</v>
      </c>
      <c r="F94" s="48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7">
        <v>0</v>
      </c>
      <c r="H94" s="4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2">
        <v>120</v>
      </c>
      <c r="J94" s="48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1"/>
      <c r="M94" s="57"/>
      <c r="U94" s="5"/>
    </row>
    <row r="95" spans="1:21">
      <c r="A95" s="10">
        <v>91</v>
      </c>
      <c r="B95" s="21" t="s">
        <v>106</v>
      </c>
      <c r="C95" s="47">
        <v>0</v>
      </c>
      <c r="D95" s="48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2</v>
      </c>
      <c r="E95" s="47">
        <f t="shared" si="4"/>
        <v>2</v>
      </c>
      <c r="F95" s="48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1</v>
      </c>
      <c r="G95" s="47">
        <v>0</v>
      </c>
      <c r="H95" s="4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2</v>
      </c>
      <c r="I95" s="22">
        <v>120</v>
      </c>
      <c r="J95" s="48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240</v>
      </c>
      <c r="K95" s="21"/>
      <c r="M95" s="57"/>
      <c r="U95" s="5"/>
    </row>
    <row r="96" spans="1:21">
      <c r="A96" s="10">
        <v>92</v>
      </c>
      <c r="B96" s="21" t="s">
        <v>107</v>
      </c>
      <c r="C96" s="47">
        <v>1</v>
      </c>
      <c r="D96" s="48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7">
        <f t="shared" si="4"/>
        <v>1</v>
      </c>
      <c r="F96" s="48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7">
        <v>0</v>
      </c>
      <c r="H96" s="4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2">
        <v>120</v>
      </c>
      <c r="J96" s="48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1"/>
      <c r="M96" s="57"/>
      <c r="U96" s="5"/>
    </row>
    <row r="97" spans="1:21">
      <c r="A97" s="10">
        <v>93</v>
      </c>
      <c r="B97" s="21" t="s">
        <v>108</v>
      </c>
      <c r="C97" s="47">
        <v>0</v>
      </c>
      <c r="D97" s="48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2</v>
      </c>
      <c r="E97" s="47">
        <f t="shared" si="4"/>
        <v>2</v>
      </c>
      <c r="F97" s="48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7">
        <v>0</v>
      </c>
      <c r="H97" s="4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2</v>
      </c>
      <c r="I97" s="22">
        <v>120</v>
      </c>
      <c r="J97" s="48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240</v>
      </c>
      <c r="K97" s="21"/>
      <c r="M97" s="57"/>
      <c r="U97" s="5"/>
    </row>
    <row r="98" spans="1:21">
      <c r="A98" s="10">
        <v>94</v>
      </c>
      <c r="B98" s="21" t="s">
        <v>109</v>
      </c>
      <c r="C98" s="47">
        <v>0</v>
      </c>
      <c r="D98" s="48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7">
        <f t="shared" si="4"/>
        <v>0</v>
      </c>
      <c r="F98" s="48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7">
        <v>0</v>
      </c>
      <c r="H98" s="4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2">
        <v>50</v>
      </c>
      <c r="J98" s="48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1"/>
      <c r="M98" s="57"/>
      <c r="U98" s="5"/>
    </row>
    <row r="99" spans="1:21">
      <c r="A99" s="10">
        <v>95</v>
      </c>
      <c r="B99" s="21" t="s">
        <v>110</v>
      </c>
      <c r="C99" s="47">
        <v>0</v>
      </c>
      <c r="D99" s="48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7">
        <f t="shared" si="4"/>
        <v>0</v>
      </c>
      <c r="F99" s="48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7">
        <v>0</v>
      </c>
      <c r="H99" s="4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2">
        <v>50</v>
      </c>
      <c r="J99" s="48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1"/>
      <c r="M99" s="57"/>
      <c r="U99" s="5"/>
    </row>
    <row r="100" spans="1:21">
      <c r="A100" s="10">
        <v>96</v>
      </c>
      <c r="B100" s="21" t="s">
        <v>111</v>
      </c>
      <c r="C100" s="47">
        <v>0</v>
      </c>
      <c r="D100" s="48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7">
        <f t="shared" si="4"/>
        <v>0</v>
      </c>
      <c r="F100" s="48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7">
        <v>0</v>
      </c>
      <c r="H100" s="4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2">
        <v>60</v>
      </c>
      <c r="J100" s="48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1"/>
      <c r="M100" s="57"/>
      <c r="U100" s="5"/>
    </row>
    <row r="101" spans="1:21">
      <c r="A101" s="10">
        <v>97</v>
      </c>
      <c r="B101" s="21" t="s">
        <v>112</v>
      </c>
      <c r="C101" s="47">
        <v>0</v>
      </c>
      <c r="D101" s="48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10</v>
      </c>
      <c r="E101" s="47">
        <f t="shared" si="4"/>
        <v>10</v>
      </c>
      <c r="F101" s="48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7">
        <v>0</v>
      </c>
      <c r="H101" s="4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1</v>
      </c>
      <c r="I101" s="22">
        <v>55</v>
      </c>
      <c r="J101" s="48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55</v>
      </c>
      <c r="K101" s="21"/>
      <c r="M101" s="57"/>
      <c r="U101" s="5"/>
    </row>
    <row r="102" spans="1:21">
      <c r="A102" s="10">
        <v>98</v>
      </c>
      <c r="B102" s="21" t="s">
        <v>113</v>
      </c>
      <c r="C102" s="47">
        <v>0</v>
      </c>
      <c r="D102" s="48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0</v>
      </c>
      <c r="E102" s="47">
        <f t="shared" si="4"/>
        <v>0</v>
      </c>
      <c r="F102" s="48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7">
        <v>0</v>
      </c>
      <c r="H102" s="48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0</v>
      </c>
      <c r="I102" s="22">
        <v>50</v>
      </c>
      <c r="J102" s="48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0</v>
      </c>
      <c r="K102" s="21"/>
      <c r="M102" s="57"/>
      <c r="U102" s="5"/>
    </row>
    <row r="103" spans="1:21">
      <c r="A103" s="10">
        <v>99</v>
      </c>
      <c r="B103" s="21" t="s">
        <v>114</v>
      </c>
      <c r="C103" s="47">
        <v>0</v>
      </c>
      <c r="D103" s="48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7">
        <f t="shared" si="4"/>
        <v>0</v>
      </c>
      <c r="F103" s="48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7">
        <v>0</v>
      </c>
      <c r="H103" s="4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2">
        <v>100</v>
      </c>
      <c r="J103" s="48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1"/>
      <c r="M103" s="57"/>
      <c r="U103" s="5"/>
    </row>
    <row r="104" spans="1:21">
      <c r="A104" s="10">
        <v>100</v>
      </c>
      <c r="B104" s="21" t="s">
        <v>115</v>
      </c>
      <c r="C104" s="47">
        <v>0</v>
      </c>
      <c r="D104" s="48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7">
        <f t="shared" si="4"/>
        <v>0</v>
      </c>
      <c r="F104" s="48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7">
        <v>0</v>
      </c>
      <c r="H104" s="4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2">
        <v>100</v>
      </c>
      <c r="J104" s="48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1"/>
      <c r="M104" s="57"/>
      <c r="U104" s="5"/>
    </row>
    <row r="105" spans="1:21">
      <c r="A105" s="10">
        <v>101</v>
      </c>
      <c r="B105" s="21" t="s">
        <v>116</v>
      </c>
      <c r="C105" s="47">
        <v>0</v>
      </c>
      <c r="D105" s="48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7">
        <f t="shared" si="4"/>
        <v>0</v>
      </c>
      <c r="F105" s="48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7">
        <v>0</v>
      </c>
      <c r="H105" s="4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8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1"/>
      <c r="M105" s="57"/>
      <c r="U105" s="5"/>
    </row>
    <row r="106" spans="1:21">
      <c r="A106" s="10">
        <v>102</v>
      </c>
      <c r="B106" s="21" t="s">
        <v>117</v>
      </c>
      <c r="C106" s="47">
        <v>0</v>
      </c>
      <c r="D106" s="48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7">
        <f t="shared" si="4"/>
        <v>0</v>
      </c>
      <c r="F106" s="48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7">
        <v>0</v>
      </c>
      <c r="H106" s="4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8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1"/>
      <c r="M106" s="57"/>
      <c r="U106" s="5"/>
    </row>
    <row r="107" spans="1:21">
      <c r="A107" s="10">
        <v>103</v>
      </c>
      <c r="B107" s="21" t="s">
        <v>118</v>
      </c>
      <c r="C107" s="47">
        <v>0</v>
      </c>
      <c r="D107" s="48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7">
        <f t="shared" si="4"/>
        <v>0</v>
      </c>
      <c r="F107" s="48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7">
        <v>0</v>
      </c>
      <c r="H107" s="4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2">
        <v>100</v>
      </c>
      <c r="J107" s="48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1"/>
      <c r="M107" s="57"/>
      <c r="U107" s="5"/>
    </row>
    <row r="108" spans="1:21">
      <c r="A108" s="10">
        <v>104</v>
      </c>
      <c r="B108" s="21" t="s">
        <v>120</v>
      </c>
      <c r="C108" s="47">
        <v>0</v>
      </c>
      <c r="D108" s="48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7">
        <f t="shared" si="4"/>
        <v>0</v>
      </c>
      <c r="F108" s="48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7">
        <v>0</v>
      </c>
      <c r="H108" s="4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2">
        <v>80</v>
      </c>
      <c r="J108" s="48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1"/>
      <c r="M108" s="57"/>
      <c r="U108" s="5"/>
    </row>
    <row r="109" spans="1:21">
      <c r="A109" s="10">
        <v>105</v>
      </c>
      <c r="B109" s="21" t="s">
        <v>121</v>
      </c>
      <c r="C109" s="47">
        <v>0</v>
      </c>
      <c r="D109" s="48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7">
        <f t="shared" si="4"/>
        <v>0</v>
      </c>
      <c r="F109" s="48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7">
        <v>0</v>
      </c>
      <c r="H109" s="4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2">
        <v>60</v>
      </c>
      <c r="J109" s="48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1"/>
      <c r="M109" s="57"/>
      <c r="U109" s="5"/>
    </row>
    <row r="110" spans="1:21">
      <c r="A110" s="10">
        <v>106</v>
      </c>
      <c r="B110" s="21" t="s">
        <v>122</v>
      </c>
      <c r="C110" s="47">
        <v>0</v>
      </c>
      <c r="D110" s="48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7">
        <f t="shared" si="4"/>
        <v>0</v>
      </c>
      <c r="F110" s="48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7">
        <v>0</v>
      </c>
      <c r="H110" s="4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2">
        <v>35</v>
      </c>
      <c r="J110" s="48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1"/>
      <c r="M110" s="57"/>
      <c r="U110" s="5"/>
    </row>
    <row r="111" spans="1:21">
      <c r="A111" s="10">
        <v>107</v>
      </c>
      <c r="B111" s="21" t="s">
        <v>123</v>
      </c>
      <c r="C111" s="47">
        <v>0</v>
      </c>
      <c r="D111" s="48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7">
        <f t="shared" si="4"/>
        <v>0</v>
      </c>
      <c r="F111" s="48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7">
        <v>0</v>
      </c>
      <c r="H111" s="4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2">
        <v>35</v>
      </c>
      <c r="J111" s="48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1"/>
      <c r="M111" s="57"/>
      <c r="U111" s="5"/>
    </row>
    <row r="112" spans="1:21">
      <c r="A112" s="10">
        <v>108</v>
      </c>
      <c r="B112" s="21" t="s">
        <v>124</v>
      </c>
      <c r="C112" s="47">
        <v>0</v>
      </c>
      <c r="D112" s="48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7">
        <f t="shared" si="4"/>
        <v>0</v>
      </c>
      <c r="F112" s="48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7">
        <v>0</v>
      </c>
      <c r="H112" s="4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2">
        <v>35</v>
      </c>
      <c r="J112" s="48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1"/>
      <c r="M112" s="57"/>
      <c r="U112" s="5"/>
    </row>
    <row r="113" spans="1:21">
      <c r="A113" s="10">
        <v>109</v>
      </c>
      <c r="B113" s="21" t="s">
        <v>125</v>
      </c>
      <c r="C113" s="47">
        <v>0</v>
      </c>
      <c r="D113" s="48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7">
        <f t="shared" si="4"/>
        <v>0</v>
      </c>
      <c r="F113" s="48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7">
        <v>0</v>
      </c>
      <c r="H113" s="4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2">
        <v>35</v>
      </c>
      <c r="J113" s="48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1"/>
      <c r="M113" s="57"/>
      <c r="U113" s="5"/>
    </row>
    <row r="114" spans="1:21">
      <c r="A114" s="10">
        <v>110</v>
      </c>
      <c r="B114" s="21" t="s">
        <v>126</v>
      </c>
      <c r="C114" s="47">
        <v>0</v>
      </c>
      <c r="D114" s="48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7">
        <f t="shared" si="4"/>
        <v>0</v>
      </c>
      <c r="F114" s="48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7">
        <v>0</v>
      </c>
      <c r="H114" s="4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2">
        <v>35</v>
      </c>
      <c r="J114" s="48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1"/>
      <c r="M114" s="57"/>
      <c r="U114" s="5"/>
    </row>
    <row r="115" spans="1:21">
      <c r="A115" s="10">
        <v>111</v>
      </c>
      <c r="B115" s="21" t="s">
        <v>127</v>
      </c>
      <c r="C115" s="47">
        <v>0</v>
      </c>
      <c r="D115" s="48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7">
        <f t="shared" si="4"/>
        <v>0</v>
      </c>
      <c r="F115" s="48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7">
        <v>0</v>
      </c>
      <c r="H115" s="4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2">
        <v>30</v>
      </c>
      <c r="J115" s="48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1"/>
      <c r="M115" s="57"/>
      <c r="U115" s="5"/>
    </row>
    <row r="116" spans="1:21">
      <c r="A116" s="10">
        <v>112</v>
      </c>
      <c r="B116" s="21" t="s">
        <v>128</v>
      </c>
      <c r="C116" s="47">
        <v>2</v>
      </c>
      <c r="D116" s="48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7">
        <f t="shared" si="4"/>
        <v>2</v>
      </c>
      <c r="F116" s="48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7">
        <v>0</v>
      </c>
      <c r="H116" s="4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2">
        <v>30</v>
      </c>
      <c r="J116" s="48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1"/>
      <c r="M116" s="57"/>
      <c r="U116" s="5"/>
    </row>
    <row r="117" spans="1:21">
      <c r="A117" s="10">
        <v>113</v>
      </c>
      <c r="B117" s="21" t="s">
        <v>129</v>
      </c>
      <c r="C117" s="47">
        <v>0</v>
      </c>
      <c r="D117" s="48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7">
        <f t="shared" si="4"/>
        <v>0</v>
      </c>
      <c r="F117" s="48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7">
        <v>0</v>
      </c>
      <c r="H117" s="4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2">
        <v>30</v>
      </c>
      <c r="J117" s="48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1"/>
      <c r="M117" s="57"/>
      <c r="U117" s="5"/>
    </row>
    <row r="118" spans="1:21">
      <c r="A118" s="10">
        <v>114</v>
      </c>
      <c r="B118" s="21" t="s">
        <v>130</v>
      </c>
      <c r="C118" s="47">
        <v>3</v>
      </c>
      <c r="D118" s="48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7">
        <f t="shared" si="4"/>
        <v>3</v>
      </c>
      <c r="F118" s="48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7">
        <v>0</v>
      </c>
      <c r="H118" s="4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2">
        <v>30</v>
      </c>
      <c r="J118" s="48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1"/>
      <c r="M118" s="57"/>
      <c r="U118" s="5"/>
    </row>
    <row r="119" spans="1:21">
      <c r="A119" s="10">
        <v>115</v>
      </c>
      <c r="B119" s="21" t="s">
        <v>131</v>
      </c>
      <c r="C119" s="47">
        <v>2</v>
      </c>
      <c r="D119" s="48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7">
        <f t="shared" si="4"/>
        <v>2</v>
      </c>
      <c r="F119" s="48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7">
        <v>0</v>
      </c>
      <c r="H119" s="4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2">
        <v>30</v>
      </c>
      <c r="J119" s="48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1"/>
      <c r="M119" s="57"/>
      <c r="U119" s="5"/>
    </row>
    <row r="120" spans="1:21">
      <c r="A120" s="10">
        <v>116</v>
      </c>
      <c r="B120" s="21" t="s">
        <v>132</v>
      </c>
      <c r="C120" s="47">
        <v>0</v>
      </c>
      <c r="D120" s="48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7">
        <f t="shared" si="4"/>
        <v>0</v>
      </c>
      <c r="F120" s="48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7">
        <v>0</v>
      </c>
      <c r="H120" s="4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2">
        <v>30</v>
      </c>
      <c r="J120" s="48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1"/>
      <c r="M120" s="57"/>
      <c r="U120" s="5"/>
    </row>
    <row r="121" spans="1:21">
      <c r="A121" s="10">
        <v>117</v>
      </c>
      <c r="B121" s="21" t="s">
        <v>133</v>
      </c>
      <c r="C121" s="47">
        <v>0</v>
      </c>
      <c r="D121" s="48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7">
        <f t="shared" si="4"/>
        <v>0</v>
      </c>
      <c r="F121" s="48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7">
        <v>0</v>
      </c>
      <c r="H121" s="4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2">
        <v>40</v>
      </c>
      <c r="J121" s="48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1"/>
      <c r="M121" s="57"/>
      <c r="U121" s="5"/>
    </row>
    <row r="122" spans="1:21">
      <c r="A122" s="10">
        <v>118</v>
      </c>
      <c r="B122" s="21" t="s">
        <v>134</v>
      </c>
      <c r="C122" s="47">
        <v>0</v>
      </c>
      <c r="D122" s="48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7">
        <f t="shared" si="4"/>
        <v>0</v>
      </c>
      <c r="F122" s="48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7">
        <v>0</v>
      </c>
      <c r="H122" s="4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2">
        <v>35</v>
      </c>
      <c r="J122" s="48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1"/>
      <c r="M122" s="57"/>
      <c r="U122" s="5"/>
    </row>
    <row r="123" spans="1:21">
      <c r="A123" s="10">
        <v>119</v>
      </c>
      <c r="B123" s="21" t="s">
        <v>135</v>
      </c>
      <c r="C123" s="47">
        <v>0</v>
      </c>
      <c r="D123" s="48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7">
        <f t="shared" si="4"/>
        <v>0</v>
      </c>
      <c r="F123" s="48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7">
        <v>0</v>
      </c>
      <c r="H123" s="4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2">
        <v>40</v>
      </c>
      <c r="J123" s="48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1"/>
      <c r="M123" s="57"/>
      <c r="U123" s="5"/>
    </row>
    <row r="124" spans="1:21">
      <c r="A124" s="10">
        <v>120</v>
      </c>
      <c r="B124" s="21" t="s">
        <v>136</v>
      </c>
      <c r="C124" s="47">
        <v>0</v>
      </c>
      <c r="D124" s="48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7">
        <f t="shared" si="4"/>
        <v>0</v>
      </c>
      <c r="F124" s="48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7">
        <v>0</v>
      </c>
      <c r="H124" s="4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2">
        <v>40</v>
      </c>
      <c r="J124" s="48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1"/>
      <c r="M124" s="57"/>
      <c r="U124" s="5"/>
    </row>
    <row r="125" spans="1:21">
      <c r="A125" s="10">
        <v>121</v>
      </c>
      <c r="B125" s="21" t="s">
        <v>137</v>
      </c>
      <c r="C125" s="47">
        <v>0</v>
      </c>
      <c r="D125" s="48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7">
        <f t="shared" si="4"/>
        <v>0</v>
      </c>
      <c r="F125" s="48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7">
        <v>0</v>
      </c>
      <c r="H125" s="4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2">
        <v>30</v>
      </c>
      <c r="J125" s="48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1"/>
      <c r="M125" s="57"/>
      <c r="U125" s="5"/>
    </row>
    <row r="126" spans="1:21">
      <c r="A126" s="10">
        <v>122</v>
      </c>
      <c r="B126" s="21" t="s">
        <v>138</v>
      </c>
      <c r="C126" s="47">
        <v>0</v>
      </c>
      <c r="D126" s="48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7">
        <f t="shared" si="4"/>
        <v>0</v>
      </c>
      <c r="F126" s="48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7">
        <v>0</v>
      </c>
      <c r="H126" s="4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2">
        <v>40</v>
      </c>
      <c r="J126" s="48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1"/>
      <c r="M126" s="57"/>
      <c r="U126" s="5"/>
    </row>
    <row r="127" spans="1:21">
      <c r="A127" s="10">
        <v>123</v>
      </c>
      <c r="B127" s="21" t="s">
        <v>139</v>
      </c>
      <c r="C127" s="47">
        <v>0</v>
      </c>
      <c r="D127" s="48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7">
        <f t="shared" si="4"/>
        <v>0</v>
      </c>
      <c r="F127" s="48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7">
        <v>0</v>
      </c>
      <c r="H127" s="4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2">
        <v>20</v>
      </c>
      <c r="J127" s="48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1"/>
      <c r="M127" s="57"/>
      <c r="U127" s="5"/>
    </row>
    <row r="128" spans="1:21">
      <c r="A128" s="10">
        <v>124</v>
      </c>
      <c r="B128" s="21" t="s">
        <v>140</v>
      </c>
      <c r="C128" s="47">
        <v>0</v>
      </c>
      <c r="D128" s="48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7">
        <f t="shared" si="4"/>
        <v>0</v>
      </c>
      <c r="F128" s="48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7">
        <v>0</v>
      </c>
      <c r="H128" s="4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2">
        <v>35</v>
      </c>
      <c r="J128" s="48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1"/>
      <c r="M128" s="57"/>
      <c r="U128" s="5"/>
    </row>
    <row r="129" spans="1:21">
      <c r="A129" s="10">
        <v>125</v>
      </c>
      <c r="B129" s="21" t="s">
        <v>141</v>
      </c>
      <c r="C129" s="47">
        <v>0</v>
      </c>
      <c r="D129" s="48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7">
        <f t="shared" si="4"/>
        <v>0</v>
      </c>
      <c r="F129" s="48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7">
        <v>0</v>
      </c>
      <c r="H129" s="4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2">
        <v>40</v>
      </c>
      <c r="J129" s="48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1"/>
      <c r="M129" s="57"/>
      <c r="U129" s="5"/>
    </row>
    <row r="130" spans="1:21">
      <c r="A130" s="10">
        <v>126</v>
      </c>
      <c r="B130" s="21" t="s">
        <v>142</v>
      </c>
      <c r="C130" s="47">
        <v>0</v>
      </c>
      <c r="D130" s="48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7">
        <f t="shared" si="4"/>
        <v>0</v>
      </c>
      <c r="F130" s="48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7">
        <v>0</v>
      </c>
      <c r="H130" s="4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2">
        <v>50</v>
      </c>
      <c r="J130" s="48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1"/>
      <c r="M130" s="57"/>
      <c r="U130" s="5"/>
    </row>
    <row r="131" spans="1:21">
      <c r="A131" s="10">
        <v>127</v>
      </c>
      <c r="B131" s="21" t="s">
        <v>143</v>
      </c>
      <c r="C131" s="47">
        <v>0</v>
      </c>
      <c r="D131" s="48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7">
        <f t="shared" si="4"/>
        <v>0</v>
      </c>
      <c r="F131" s="48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7">
        <v>0</v>
      </c>
      <c r="H131" s="4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2">
        <v>55</v>
      </c>
      <c r="J131" s="48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1"/>
      <c r="M131" s="57"/>
      <c r="U131" s="5"/>
    </row>
    <row r="132" spans="1:21">
      <c r="A132" s="10">
        <v>128</v>
      </c>
      <c r="B132" s="21" t="s">
        <v>144</v>
      </c>
      <c r="C132" s="47">
        <v>0</v>
      </c>
      <c r="D132" s="48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7">
        <f t="shared" si="4"/>
        <v>0</v>
      </c>
      <c r="F132" s="48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7">
        <v>0</v>
      </c>
      <c r="H132" s="4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2">
        <v>55</v>
      </c>
      <c r="J132" s="48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1"/>
      <c r="M132" s="57"/>
      <c r="U132" s="5"/>
    </row>
    <row r="133" spans="1:21">
      <c r="A133" s="10">
        <v>129</v>
      </c>
      <c r="B133" s="21" t="s">
        <v>145</v>
      </c>
      <c r="C133" s="47">
        <v>0</v>
      </c>
      <c r="D133" s="48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7">
        <f t="shared" si="4"/>
        <v>0</v>
      </c>
      <c r="F133" s="48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4</v>
      </c>
      <c r="G133" s="47">
        <v>0</v>
      </c>
      <c r="H133" s="4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1</v>
      </c>
      <c r="I133" s="22">
        <v>45</v>
      </c>
      <c r="J133" s="48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45</v>
      </c>
      <c r="K133" s="21"/>
      <c r="M133" s="57"/>
      <c r="U133" s="5"/>
    </row>
    <row r="134" spans="1:21">
      <c r="A134" s="10">
        <v>130</v>
      </c>
      <c r="B134" s="21" t="s">
        <v>146</v>
      </c>
      <c r="C134" s="47">
        <v>0</v>
      </c>
      <c r="D134" s="48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7">
        <f t="shared" ref="E134:E197" si="5">+C134+D134</f>
        <v>0</v>
      </c>
      <c r="F134" s="48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7">
        <v>0</v>
      </c>
      <c r="H134" s="4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2">
        <v>45</v>
      </c>
      <c r="J134" s="48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1"/>
      <c r="M134" s="57"/>
      <c r="U134" s="5"/>
    </row>
    <row r="135" spans="1:21">
      <c r="A135" s="10">
        <v>131</v>
      </c>
      <c r="B135" s="21" t="s">
        <v>147</v>
      </c>
      <c r="C135" s="47">
        <v>0</v>
      </c>
      <c r="D135" s="48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7">
        <f t="shared" si="5"/>
        <v>0</v>
      </c>
      <c r="F135" s="48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7">
        <v>0</v>
      </c>
      <c r="H135" s="4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2">
        <v>55</v>
      </c>
      <c r="J135" s="48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1"/>
      <c r="M135" s="57"/>
      <c r="U135" s="5"/>
    </row>
    <row r="136" spans="1:21">
      <c r="A136" s="10">
        <v>132</v>
      </c>
      <c r="B136" s="21" t="s">
        <v>148</v>
      </c>
      <c r="C136" s="47">
        <v>0</v>
      </c>
      <c r="D136" s="48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7">
        <f t="shared" si="5"/>
        <v>0</v>
      </c>
      <c r="F136" s="48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7">
        <v>0</v>
      </c>
      <c r="H136" s="4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2">
        <v>45</v>
      </c>
      <c r="J136" s="48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1"/>
      <c r="M136" s="57"/>
      <c r="U136" s="5"/>
    </row>
    <row r="137" spans="1:21">
      <c r="A137" s="10">
        <v>133</v>
      </c>
      <c r="B137" s="21" t="s">
        <v>149</v>
      </c>
      <c r="C137" s="47">
        <v>0</v>
      </c>
      <c r="D137" s="48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7">
        <f t="shared" si="5"/>
        <v>0</v>
      </c>
      <c r="F137" s="48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7">
        <v>0</v>
      </c>
      <c r="H137" s="4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2">
        <v>45</v>
      </c>
      <c r="J137" s="48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1"/>
      <c r="M137" s="57"/>
      <c r="U137" s="5"/>
    </row>
    <row r="138" spans="1:21">
      <c r="A138" s="10">
        <v>134</v>
      </c>
      <c r="B138" s="21" t="s">
        <v>150</v>
      </c>
      <c r="C138" s="47">
        <v>0</v>
      </c>
      <c r="D138" s="48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7">
        <f t="shared" si="5"/>
        <v>0</v>
      </c>
      <c r="F138" s="48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7">
        <v>0</v>
      </c>
      <c r="H138" s="4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2">
        <v>45</v>
      </c>
      <c r="J138" s="48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1"/>
      <c r="M138" s="57"/>
      <c r="U138" s="5"/>
    </row>
    <row r="139" spans="1:21">
      <c r="A139" s="10">
        <v>135</v>
      </c>
      <c r="B139" s="21" t="s">
        <v>151</v>
      </c>
      <c r="C139" s="47">
        <v>0</v>
      </c>
      <c r="D139" s="48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7">
        <f t="shared" si="5"/>
        <v>0</v>
      </c>
      <c r="F139" s="48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7">
        <v>0</v>
      </c>
      <c r="H139" s="4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2">
        <v>45</v>
      </c>
      <c r="J139" s="48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1"/>
      <c r="M139" s="57"/>
      <c r="U139" s="5"/>
    </row>
    <row r="140" spans="1:21">
      <c r="A140" s="10">
        <v>136</v>
      </c>
      <c r="B140" s="21" t="s">
        <v>152</v>
      </c>
      <c r="C140" s="47">
        <v>0</v>
      </c>
      <c r="D140" s="48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7">
        <f t="shared" si="5"/>
        <v>0</v>
      </c>
      <c r="F140" s="48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7">
        <v>0</v>
      </c>
      <c r="H140" s="4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2">
        <v>45</v>
      </c>
      <c r="J140" s="48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1"/>
      <c r="M140" s="57"/>
      <c r="U140" s="5"/>
    </row>
    <row r="141" spans="1:21">
      <c r="A141" s="10">
        <v>137</v>
      </c>
      <c r="B141" s="21" t="s">
        <v>153</v>
      </c>
      <c r="C141" s="47">
        <v>0</v>
      </c>
      <c r="D141" s="48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7">
        <f t="shared" si="5"/>
        <v>0</v>
      </c>
      <c r="F141" s="48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7">
        <v>0</v>
      </c>
      <c r="H141" s="4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2">
        <v>45</v>
      </c>
      <c r="J141" s="48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1"/>
      <c r="M141" s="57"/>
      <c r="U141" s="5"/>
    </row>
    <row r="142" spans="1:21">
      <c r="A142" s="10">
        <v>138</v>
      </c>
      <c r="B142" s="21" t="s">
        <v>154</v>
      </c>
      <c r="C142" s="47">
        <v>0</v>
      </c>
      <c r="D142" s="48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7">
        <f t="shared" si="5"/>
        <v>0</v>
      </c>
      <c r="F142" s="48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7">
        <v>0</v>
      </c>
      <c r="H142" s="4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2">
        <v>120</v>
      </c>
      <c r="J142" s="48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1"/>
      <c r="M142" s="57"/>
      <c r="U142" s="5"/>
    </row>
    <row r="143" spans="1:21">
      <c r="A143" s="10">
        <v>139</v>
      </c>
      <c r="B143" s="21" t="s">
        <v>155</v>
      </c>
      <c r="C143" s="47">
        <v>0</v>
      </c>
      <c r="D143" s="48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7">
        <f t="shared" si="5"/>
        <v>0</v>
      </c>
      <c r="F143" s="48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7">
        <v>0</v>
      </c>
      <c r="H143" s="4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2">
        <v>120</v>
      </c>
      <c r="J143" s="48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1"/>
      <c r="M143" s="57"/>
      <c r="U143" s="5"/>
    </row>
    <row r="144" spans="1:21">
      <c r="A144" s="10">
        <v>140</v>
      </c>
      <c r="B144" s="21" t="s">
        <v>156</v>
      </c>
      <c r="C144" s="47">
        <v>0</v>
      </c>
      <c r="D144" s="48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7">
        <f t="shared" si="5"/>
        <v>0</v>
      </c>
      <c r="F144" s="48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7">
        <v>0</v>
      </c>
      <c r="H144" s="4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2">
        <v>120</v>
      </c>
      <c r="J144" s="48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1"/>
      <c r="M144" s="57"/>
      <c r="U144" s="5"/>
    </row>
    <row r="145" spans="1:21">
      <c r="A145" s="10">
        <v>141</v>
      </c>
      <c r="B145" s="21" t="s">
        <v>157</v>
      </c>
      <c r="C145" s="47">
        <v>0</v>
      </c>
      <c r="D145" s="48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7">
        <f t="shared" si="5"/>
        <v>0</v>
      </c>
      <c r="F145" s="48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7">
        <v>0</v>
      </c>
      <c r="H145" s="4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2">
        <v>120</v>
      </c>
      <c r="J145" s="48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1"/>
      <c r="M145" s="57"/>
      <c r="U145" s="5"/>
    </row>
    <row r="146" spans="1:21">
      <c r="A146" s="10">
        <v>142</v>
      </c>
      <c r="B146" s="21" t="s">
        <v>158</v>
      </c>
      <c r="C146" s="47">
        <v>0</v>
      </c>
      <c r="D146" s="48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7">
        <f t="shared" si="5"/>
        <v>0</v>
      </c>
      <c r="F146" s="48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7">
        <v>0</v>
      </c>
      <c r="H146" s="4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2">
        <v>185</v>
      </c>
      <c r="J146" s="48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1"/>
      <c r="M146" s="57"/>
      <c r="U146" s="5"/>
    </row>
    <row r="147" spans="1:21">
      <c r="A147" s="10">
        <v>143</v>
      </c>
      <c r="B147" s="21" t="s">
        <v>159</v>
      </c>
      <c r="C147" s="47">
        <v>0</v>
      </c>
      <c r="D147" s="48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7">
        <f t="shared" si="5"/>
        <v>0</v>
      </c>
      <c r="F147" s="48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7">
        <v>0</v>
      </c>
      <c r="H147" s="4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2">
        <v>185</v>
      </c>
      <c r="J147" s="48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1"/>
      <c r="M147" s="57"/>
      <c r="U147" s="5"/>
    </row>
    <row r="148" spans="1:21">
      <c r="A148" s="10">
        <v>144</v>
      </c>
      <c r="B148" s="21" t="s">
        <v>160</v>
      </c>
      <c r="C148" s="47">
        <v>0</v>
      </c>
      <c r="D148" s="48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7">
        <f t="shared" si="5"/>
        <v>0</v>
      </c>
      <c r="F148" s="48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7">
        <v>0</v>
      </c>
      <c r="H148" s="4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2">
        <v>185</v>
      </c>
      <c r="J148" s="48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1"/>
      <c r="M148" s="57"/>
      <c r="U148" s="5"/>
    </row>
    <row r="149" spans="1:21">
      <c r="A149" s="10">
        <v>145</v>
      </c>
      <c r="B149" s="21" t="s">
        <v>161</v>
      </c>
      <c r="C149" s="47">
        <v>0</v>
      </c>
      <c r="D149" s="48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7">
        <f t="shared" si="5"/>
        <v>0</v>
      </c>
      <c r="F149" s="48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7">
        <v>0</v>
      </c>
      <c r="H149" s="4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2">
        <v>185</v>
      </c>
      <c r="J149" s="48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1"/>
      <c r="M149" s="57"/>
      <c r="U149" s="5"/>
    </row>
    <row r="150" spans="1:21">
      <c r="A150" s="10">
        <v>146</v>
      </c>
      <c r="B150" s="21" t="s">
        <v>162</v>
      </c>
      <c r="C150" s="47">
        <v>0</v>
      </c>
      <c r="D150" s="48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3</v>
      </c>
      <c r="E150" s="47">
        <f t="shared" si="5"/>
        <v>3</v>
      </c>
      <c r="F150" s="48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2</v>
      </c>
      <c r="G150" s="47">
        <v>0</v>
      </c>
      <c r="H150" s="4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3</v>
      </c>
      <c r="I150" s="22">
        <v>120</v>
      </c>
      <c r="J150" s="48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360</v>
      </c>
      <c r="K150" s="21"/>
      <c r="M150" s="57"/>
      <c r="U150" s="5"/>
    </row>
    <row r="151" spans="1:21">
      <c r="A151" s="10">
        <v>147</v>
      </c>
      <c r="B151" s="21" t="s">
        <v>163</v>
      </c>
      <c r="C151" s="47">
        <v>0</v>
      </c>
      <c r="D151" s="48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3</v>
      </c>
      <c r="E151" s="47">
        <f t="shared" si="5"/>
        <v>3</v>
      </c>
      <c r="F151" s="48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7">
        <v>0</v>
      </c>
      <c r="H151" s="4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5</v>
      </c>
      <c r="I151" s="22">
        <v>120</v>
      </c>
      <c r="J151" s="48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600</v>
      </c>
      <c r="K151" s="21"/>
      <c r="M151" s="57"/>
      <c r="U151" s="5"/>
    </row>
    <row r="152" spans="1:21">
      <c r="A152" s="10">
        <v>148</v>
      </c>
      <c r="B152" s="21" t="s">
        <v>164</v>
      </c>
      <c r="C152" s="47">
        <v>2</v>
      </c>
      <c r="D152" s="48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3</v>
      </c>
      <c r="E152" s="47">
        <f t="shared" si="5"/>
        <v>5</v>
      </c>
      <c r="F152" s="48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2</v>
      </c>
      <c r="G152" s="47">
        <v>0</v>
      </c>
      <c r="H152" s="4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1</v>
      </c>
      <c r="I152" s="22">
        <v>120</v>
      </c>
      <c r="J152" s="48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120</v>
      </c>
      <c r="K152" s="21"/>
      <c r="M152" s="57"/>
      <c r="U152" s="5"/>
    </row>
    <row r="153" spans="1:21">
      <c r="A153" s="10">
        <v>149</v>
      </c>
      <c r="B153" s="21" t="s">
        <v>165</v>
      </c>
      <c r="C153" s="47">
        <v>0</v>
      </c>
      <c r="D153" s="48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7">
        <f t="shared" si="5"/>
        <v>0</v>
      </c>
      <c r="F153" s="48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7">
        <v>0</v>
      </c>
      <c r="H153" s="4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0</v>
      </c>
      <c r="I153" s="22">
        <v>120</v>
      </c>
      <c r="J153" s="48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0</v>
      </c>
      <c r="K153" s="21"/>
      <c r="M153" s="57"/>
      <c r="U153" s="5"/>
    </row>
    <row r="154" spans="1:21">
      <c r="A154" s="10">
        <v>150</v>
      </c>
      <c r="B154" s="21" t="s">
        <v>166</v>
      </c>
      <c r="C154" s="47">
        <v>0</v>
      </c>
      <c r="D154" s="48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2</v>
      </c>
      <c r="E154" s="47">
        <f t="shared" si="5"/>
        <v>2</v>
      </c>
      <c r="F154" s="48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7">
        <v>0</v>
      </c>
      <c r="H154" s="4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2</v>
      </c>
      <c r="I154" s="22">
        <v>185</v>
      </c>
      <c r="J154" s="48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370</v>
      </c>
      <c r="K154" s="21"/>
      <c r="M154" s="57"/>
      <c r="U154" s="5"/>
    </row>
    <row r="155" spans="1:21">
      <c r="A155" s="10">
        <v>151</v>
      </c>
      <c r="B155" s="21" t="s">
        <v>167</v>
      </c>
      <c r="C155" s="47">
        <v>0</v>
      </c>
      <c r="D155" s="48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7">
        <f t="shared" si="5"/>
        <v>0</v>
      </c>
      <c r="F155" s="48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7">
        <v>0</v>
      </c>
      <c r="H155" s="4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2">
        <v>185</v>
      </c>
      <c r="J155" s="48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1"/>
      <c r="M155" s="57"/>
      <c r="U155" s="5"/>
    </row>
    <row r="156" spans="1:21">
      <c r="A156" s="10">
        <v>152</v>
      </c>
      <c r="B156" s="21" t="s">
        <v>168</v>
      </c>
      <c r="C156" s="47">
        <v>0</v>
      </c>
      <c r="D156" s="48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2</v>
      </c>
      <c r="E156" s="47">
        <f t="shared" si="5"/>
        <v>2</v>
      </c>
      <c r="F156" s="48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7">
        <v>0</v>
      </c>
      <c r="H156" s="4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2</v>
      </c>
      <c r="I156" s="22">
        <v>185</v>
      </c>
      <c r="J156" s="48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370</v>
      </c>
      <c r="K156" s="21"/>
      <c r="M156" s="57"/>
      <c r="U156" s="5"/>
    </row>
    <row r="157" spans="1:21">
      <c r="A157" s="10">
        <v>153</v>
      </c>
      <c r="B157" s="21" t="s">
        <v>169</v>
      </c>
      <c r="C157" s="47">
        <v>0</v>
      </c>
      <c r="D157" s="48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7">
        <f t="shared" si="5"/>
        <v>0</v>
      </c>
      <c r="F157" s="48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7">
        <v>0</v>
      </c>
      <c r="H157" s="4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2">
        <v>185</v>
      </c>
      <c r="J157" s="48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1"/>
      <c r="M157" s="57"/>
      <c r="U157" s="5"/>
    </row>
    <row r="158" spans="1:21">
      <c r="A158" s="10">
        <v>154</v>
      </c>
      <c r="B158" s="21" t="s">
        <v>170</v>
      </c>
      <c r="C158" s="47">
        <v>0</v>
      </c>
      <c r="D158" s="48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7">
        <f t="shared" si="5"/>
        <v>0</v>
      </c>
      <c r="F158" s="48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7">
        <v>0</v>
      </c>
      <c r="H158" s="4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2">
        <v>135</v>
      </c>
      <c r="J158" s="48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1"/>
      <c r="M158" s="57"/>
      <c r="U158" s="5"/>
    </row>
    <row r="159" spans="1:21">
      <c r="A159" s="10">
        <v>155</v>
      </c>
      <c r="B159" s="21" t="s">
        <v>171</v>
      </c>
      <c r="C159" s="47">
        <v>0</v>
      </c>
      <c r="D159" s="48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7">
        <f t="shared" si="5"/>
        <v>0</v>
      </c>
      <c r="F159" s="48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7">
        <v>0</v>
      </c>
      <c r="H159" s="4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2">
        <v>90</v>
      </c>
      <c r="J159" s="48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1"/>
      <c r="M159" s="57"/>
      <c r="U159" s="5"/>
    </row>
    <row r="160" spans="1:21">
      <c r="A160" s="10">
        <v>156</v>
      </c>
      <c r="B160" s="21" t="s">
        <v>172</v>
      </c>
      <c r="C160" s="47">
        <v>0</v>
      </c>
      <c r="D160" s="48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7">
        <f t="shared" si="5"/>
        <v>0</v>
      </c>
      <c r="F160" s="48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7">
        <v>0</v>
      </c>
      <c r="H160" s="4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2">
        <v>90</v>
      </c>
      <c r="J160" s="48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1"/>
      <c r="M160" s="57"/>
      <c r="U160" s="5"/>
    </row>
    <row r="161" spans="1:21">
      <c r="A161" s="10">
        <v>157</v>
      </c>
      <c r="B161" s="21" t="s">
        <v>173</v>
      </c>
      <c r="C161" s="47">
        <v>0</v>
      </c>
      <c r="D161" s="48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7">
        <f t="shared" si="5"/>
        <v>0</v>
      </c>
      <c r="F161" s="48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7">
        <v>0</v>
      </c>
      <c r="H161" s="4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2">
        <v>90</v>
      </c>
      <c r="J161" s="48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21"/>
      <c r="M161" s="57"/>
      <c r="U161" s="5"/>
    </row>
    <row r="162" spans="1:21">
      <c r="A162" s="10">
        <v>158</v>
      </c>
      <c r="B162" s="21" t="s">
        <v>174</v>
      </c>
      <c r="C162" s="47">
        <v>0</v>
      </c>
      <c r="D162" s="48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7">
        <f t="shared" si="5"/>
        <v>0</v>
      </c>
      <c r="F162" s="48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7">
        <v>0</v>
      </c>
      <c r="H162" s="4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2">
        <v>90</v>
      </c>
      <c r="J162" s="48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21"/>
      <c r="M162" s="57"/>
      <c r="U162" s="5"/>
    </row>
    <row r="163" spans="1:21">
      <c r="A163" s="10">
        <v>159</v>
      </c>
      <c r="B163" s="21" t="s">
        <v>175</v>
      </c>
      <c r="C163" s="47">
        <v>1</v>
      </c>
      <c r="D163" s="48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4</v>
      </c>
      <c r="E163" s="47">
        <f t="shared" si="5"/>
        <v>5</v>
      </c>
      <c r="F163" s="48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2</v>
      </c>
      <c r="G163" s="47">
        <v>0</v>
      </c>
      <c r="H163" s="4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4</v>
      </c>
      <c r="I163" s="22">
        <v>25</v>
      </c>
      <c r="J163" s="48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100</v>
      </c>
      <c r="K163" s="21"/>
      <c r="M163" s="57"/>
      <c r="U163" s="5"/>
    </row>
    <row r="164" spans="1:21">
      <c r="A164" s="10">
        <v>160</v>
      </c>
      <c r="B164" s="21" t="s">
        <v>176</v>
      </c>
      <c r="C164" s="47">
        <v>0</v>
      </c>
      <c r="D164" s="48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7">
        <f t="shared" si="5"/>
        <v>0</v>
      </c>
      <c r="F164" s="48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7">
        <v>0</v>
      </c>
      <c r="H164" s="4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2">
        <v>50</v>
      </c>
      <c r="J164" s="48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21"/>
      <c r="M164" s="57"/>
      <c r="U164" s="5"/>
    </row>
    <row r="165" spans="1:21">
      <c r="A165" s="10">
        <v>161</v>
      </c>
      <c r="B165" s="21" t="s">
        <v>177</v>
      </c>
      <c r="C165" s="47">
        <v>0</v>
      </c>
      <c r="D165" s="48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7">
        <f t="shared" si="5"/>
        <v>0</v>
      </c>
      <c r="F165" s="48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7">
        <v>0</v>
      </c>
      <c r="H165" s="4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2">
        <v>50</v>
      </c>
      <c r="J165" s="48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1"/>
      <c r="M165" s="57"/>
      <c r="U165" s="5"/>
    </row>
    <row r="166" spans="1:21">
      <c r="A166" s="10">
        <v>162</v>
      </c>
      <c r="B166" s="21" t="s">
        <v>178</v>
      </c>
      <c r="C166" s="47">
        <v>0</v>
      </c>
      <c r="D166" s="48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7">
        <f t="shared" si="5"/>
        <v>0</v>
      </c>
      <c r="F166" s="48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7">
        <v>0</v>
      </c>
      <c r="H166" s="4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2">
        <v>50</v>
      </c>
      <c r="J166" s="48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1"/>
      <c r="M166" s="57"/>
      <c r="U166" s="5"/>
    </row>
    <row r="167" spans="1:21">
      <c r="A167" s="10">
        <v>163</v>
      </c>
      <c r="B167" s="21" t="s">
        <v>179</v>
      </c>
      <c r="C167" s="47">
        <v>0</v>
      </c>
      <c r="D167" s="48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7">
        <f t="shared" si="5"/>
        <v>0</v>
      </c>
      <c r="F167" s="48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7">
        <v>0</v>
      </c>
      <c r="H167" s="4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2">
        <v>50</v>
      </c>
      <c r="J167" s="48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21"/>
      <c r="M167" s="57"/>
      <c r="U167" s="5"/>
    </row>
    <row r="168" spans="1:21">
      <c r="A168" s="10">
        <v>164</v>
      </c>
      <c r="B168" s="21" t="s">
        <v>180</v>
      </c>
      <c r="C168" s="47">
        <v>51</v>
      </c>
      <c r="D168" s="48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7">
        <f t="shared" si="5"/>
        <v>51</v>
      </c>
      <c r="F168" s="48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7">
        <v>0</v>
      </c>
      <c r="H168" s="4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8</v>
      </c>
      <c r="I168" s="22">
        <v>55</v>
      </c>
      <c r="J168" s="48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440</v>
      </c>
      <c r="K168" s="21"/>
      <c r="M168" s="57"/>
      <c r="U168" s="5"/>
    </row>
    <row r="169" spans="1:21">
      <c r="A169" s="10">
        <v>165</v>
      </c>
      <c r="B169" s="21" t="s">
        <v>181</v>
      </c>
      <c r="C169" s="47">
        <v>0</v>
      </c>
      <c r="D169" s="48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7">
        <f t="shared" si="5"/>
        <v>0</v>
      </c>
      <c r="F169" s="48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7">
        <v>0</v>
      </c>
      <c r="H169" s="4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2">
        <v>85</v>
      </c>
      <c r="J169" s="48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1"/>
      <c r="M169" s="57"/>
      <c r="U169" s="5"/>
    </row>
    <row r="170" spans="1:21">
      <c r="A170" s="10">
        <v>166</v>
      </c>
      <c r="B170" s="21" t="s">
        <v>182</v>
      </c>
      <c r="C170" s="47">
        <v>0</v>
      </c>
      <c r="D170" s="48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7">
        <f t="shared" si="5"/>
        <v>0</v>
      </c>
      <c r="F170" s="48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7">
        <v>0</v>
      </c>
      <c r="H170" s="4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2">
        <v>80</v>
      </c>
      <c r="J170" s="48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21"/>
      <c r="M170" s="57"/>
      <c r="U170" s="5"/>
    </row>
    <row r="171" spans="1:21">
      <c r="A171" s="10">
        <v>167</v>
      </c>
      <c r="B171" s="21" t="s">
        <v>183</v>
      </c>
      <c r="C171" s="47">
        <v>0</v>
      </c>
      <c r="D171" s="48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7">
        <f t="shared" si="5"/>
        <v>0</v>
      </c>
      <c r="F171" s="48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7">
        <v>0</v>
      </c>
      <c r="H171" s="4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2">
        <v>40</v>
      </c>
      <c r="J171" s="48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1"/>
      <c r="M171" s="57"/>
      <c r="U171" s="5"/>
    </row>
    <row r="172" spans="1:21">
      <c r="A172" s="10">
        <v>168</v>
      </c>
      <c r="B172" s="21" t="s">
        <v>184</v>
      </c>
      <c r="C172" s="47">
        <v>0</v>
      </c>
      <c r="D172" s="48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7">
        <f t="shared" si="5"/>
        <v>0</v>
      </c>
      <c r="F172" s="48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7">
        <v>0</v>
      </c>
      <c r="H172" s="4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2">
        <v>120</v>
      </c>
      <c r="J172" s="48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1"/>
      <c r="M172" s="57"/>
      <c r="U172" s="5"/>
    </row>
    <row r="173" spans="1:21">
      <c r="A173" s="10">
        <v>169</v>
      </c>
      <c r="B173" s="21" t="s">
        <v>185</v>
      </c>
      <c r="C173" s="47">
        <v>0</v>
      </c>
      <c r="D173" s="48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7">
        <f t="shared" si="5"/>
        <v>0</v>
      </c>
      <c r="F173" s="48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7">
        <v>0</v>
      </c>
      <c r="H173" s="4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2">
        <v>120</v>
      </c>
      <c r="J173" s="48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1"/>
      <c r="M173" s="57"/>
      <c r="U173" s="5"/>
    </row>
    <row r="174" spans="1:21">
      <c r="A174" s="10">
        <v>170</v>
      </c>
      <c r="B174" s="21" t="s">
        <v>186</v>
      </c>
      <c r="C174" s="47">
        <v>0</v>
      </c>
      <c r="D174" s="48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7">
        <f t="shared" si="5"/>
        <v>0</v>
      </c>
      <c r="F174" s="48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7">
        <v>0</v>
      </c>
      <c r="H174" s="48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2">
        <v>55</v>
      </c>
      <c r="J174" s="48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1"/>
      <c r="M174" s="57"/>
      <c r="U174" s="5"/>
    </row>
    <row r="175" spans="1:21">
      <c r="A175" s="10">
        <v>171</v>
      </c>
      <c r="B175" s="21" t="s">
        <v>187</v>
      </c>
      <c r="C175" s="47">
        <v>0</v>
      </c>
      <c r="D175" s="48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7">
        <f t="shared" si="5"/>
        <v>0</v>
      </c>
      <c r="F175" s="48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7">
        <v>0</v>
      </c>
      <c r="H175" s="4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2">
        <v>50</v>
      </c>
      <c r="J175" s="48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1"/>
      <c r="M175" s="57"/>
      <c r="U175" s="5"/>
    </row>
    <row r="176" spans="1:21">
      <c r="A176" s="10">
        <v>172</v>
      </c>
      <c r="B176" s="21" t="s">
        <v>188</v>
      </c>
      <c r="C176" s="47">
        <v>0</v>
      </c>
      <c r="D176" s="48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5</v>
      </c>
      <c r="E176" s="47">
        <f t="shared" si="5"/>
        <v>5</v>
      </c>
      <c r="F176" s="48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7">
        <v>0</v>
      </c>
      <c r="H176" s="4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7</v>
      </c>
      <c r="I176" s="22">
        <v>50</v>
      </c>
      <c r="J176" s="48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350</v>
      </c>
      <c r="K176" s="21"/>
      <c r="M176" s="57"/>
      <c r="U176" s="5"/>
    </row>
    <row r="177" spans="1:21">
      <c r="A177" s="10">
        <v>173</v>
      </c>
      <c r="B177" s="21" t="s">
        <v>189</v>
      </c>
      <c r="C177" s="47">
        <v>0</v>
      </c>
      <c r="D177" s="48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7">
        <f t="shared" si="5"/>
        <v>0</v>
      </c>
      <c r="F177" s="48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7">
        <v>0</v>
      </c>
      <c r="H177" s="4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2">
        <v>120</v>
      </c>
      <c r="J177" s="48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1"/>
      <c r="M177" s="57"/>
      <c r="U177" s="5"/>
    </row>
    <row r="178" spans="1:21">
      <c r="A178" s="10">
        <v>174</v>
      </c>
      <c r="B178" s="21" t="s">
        <v>190</v>
      </c>
      <c r="C178" s="47">
        <v>0</v>
      </c>
      <c r="D178" s="48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5</v>
      </c>
      <c r="E178" s="47">
        <f t="shared" si="5"/>
        <v>5</v>
      </c>
      <c r="F178" s="48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7">
        <v>0</v>
      </c>
      <c r="H178" s="4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10</v>
      </c>
      <c r="I178" s="22">
        <v>120</v>
      </c>
      <c r="J178" s="48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1200</v>
      </c>
      <c r="K178" s="21"/>
      <c r="M178" s="57"/>
      <c r="U178" s="5"/>
    </row>
    <row r="179" spans="1:21">
      <c r="A179" s="10">
        <v>175</v>
      </c>
      <c r="B179" s="21" t="s">
        <v>191</v>
      </c>
      <c r="C179" s="47">
        <v>0</v>
      </c>
      <c r="D179" s="48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7">
        <f t="shared" si="5"/>
        <v>0</v>
      </c>
      <c r="F179" s="48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7">
        <v>0</v>
      </c>
      <c r="H179" s="4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2">
        <v>10</v>
      </c>
      <c r="J179" s="48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1"/>
      <c r="M179" s="57"/>
      <c r="U179" s="5"/>
    </row>
    <row r="180" spans="1:21">
      <c r="A180" s="10">
        <v>176</v>
      </c>
      <c r="B180" s="21" t="s">
        <v>192</v>
      </c>
      <c r="C180" s="47">
        <v>0</v>
      </c>
      <c r="D180" s="48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7">
        <f t="shared" si="5"/>
        <v>0</v>
      </c>
      <c r="F180" s="48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7">
        <v>0</v>
      </c>
      <c r="H180" s="4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2">
        <v>35</v>
      </c>
      <c r="J180" s="48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1"/>
      <c r="M180" s="57"/>
      <c r="U180" s="5"/>
    </row>
    <row r="181" spans="1:21">
      <c r="A181" s="10">
        <v>177</v>
      </c>
      <c r="B181" s="21" t="s">
        <v>193</v>
      </c>
      <c r="C181" s="47">
        <v>0</v>
      </c>
      <c r="D181" s="48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7">
        <f t="shared" si="5"/>
        <v>0</v>
      </c>
      <c r="F181" s="48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7">
        <v>0</v>
      </c>
      <c r="H181" s="4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2">
        <v>10</v>
      </c>
      <c r="J181" s="48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1"/>
      <c r="M181" s="57"/>
      <c r="U181" s="5"/>
    </row>
    <row r="182" spans="1:21">
      <c r="A182" s="10">
        <v>178</v>
      </c>
      <c r="B182" s="21" t="s">
        <v>194</v>
      </c>
      <c r="C182" s="47">
        <v>0</v>
      </c>
      <c r="D182" s="48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7">
        <f t="shared" si="5"/>
        <v>0</v>
      </c>
      <c r="F182" s="48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7">
        <v>0</v>
      </c>
      <c r="H182" s="4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2">
        <v>10</v>
      </c>
      <c r="J182" s="48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1"/>
      <c r="M182" s="57"/>
      <c r="U182" s="5"/>
    </row>
    <row r="183" spans="1:21">
      <c r="A183" s="10">
        <v>179</v>
      </c>
      <c r="B183" s="21" t="s">
        <v>195</v>
      </c>
      <c r="C183" s="47">
        <v>10</v>
      </c>
      <c r="D183" s="48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7">
        <f t="shared" si="5"/>
        <v>10</v>
      </c>
      <c r="F183" s="48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7">
        <v>0</v>
      </c>
      <c r="H183" s="4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2">
        <v>10</v>
      </c>
      <c r="J183" s="48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1"/>
      <c r="M183" s="57"/>
      <c r="U183" s="5"/>
    </row>
    <row r="184" spans="1:21">
      <c r="A184" s="10">
        <v>180</v>
      </c>
      <c r="B184" s="21" t="s">
        <v>196</v>
      </c>
      <c r="C184" s="47">
        <v>0</v>
      </c>
      <c r="D184" s="48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7">
        <f t="shared" si="5"/>
        <v>0</v>
      </c>
      <c r="F184" s="48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7">
        <v>0</v>
      </c>
      <c r="H184" s="4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2">
        <v>10</v>
      </c>
      <c r="J184" s="48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1"/>
      <c r="M184" s="57"/>
      <c r="U184" s="5"/>
    </row>
    <row r="185" spans="1:21">
      <c r="A185" s="10">
        <v>181</v>
      </c>
      <c r="B185" s="21" t="s">
        <v>197</v>
      </c>
      <c r="C185" s="47">
        <v>0</v>
      </c>
      <c r="D185" s="48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7">
        <f t="shared" si="5"/>
        <v>0</v>
      </c>
      <c r="F185" s="48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7">
        <v>0</v>
      </c>
      <c r="H185" s="4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2">
        <v>10</v>
      </c>
      <c r="J185" s="48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1"/>
      <c r="M185" s="57"/>
      <c r="U185" s="5"/>
    </row>
    <row r="186" spans="1:21">
      <c r="A186" s="10">
        <v>182</v>
      </c>
      <c r="B186" s="21" t="s">
        <v>198</v>
      </c>
      <c r="C186" s="47">
        <v>0</v>
      </c>
      <c r="D186" s="48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7">
        <f t="shared" si="5"/>
        <v>0</v>
      </c>
      <c r="F186" s="48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7">
        <v>0</v>
      </c>
      <c r="H186" s="4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2">
        <v>25</v>
      </c>
      <c r="J186" s="48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1"/>
      <c r="M186" s="57"/>
      <c r="U186" s="5"/>
    </row>
    <row r="187" spans="1:21">
      <c r="A187" s="10">
        <v>183</v>
      </c>
      <c r="B187" s="21" t="s">
        <v>199</v>
      </c>
      <c r="C187" s="47">
        <v>0</v>
      </c>
      <c r="D187" s="48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7">
        <f t="shared" si="5"/>
        <v>0</v>
      </c>
      <c r="F187" s="48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7">
        <v>0</v>
      </c>
      <c r="H187" s="4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6">
        <v>50</v>
      </c>
      <c r="J187" s="48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1"/>
      <c r="M187" s="57"/>
      <c r="U187" s="5"/>
    </row>
    <row r="188" spans="1:21">
      <c r="A188" s="10">
        <v>184</v>
      </c>
      <c r="B188" s="21" t="s">
        <v>200</v>
      </c>
      <c r="C188" s="47">
        <v>0</v>
      </c>
      <c r="D188" s="48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7">
        <f t="shared" si="5"/>
        <v>0</v>
      </c>
      <c r="F188" s="48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7">
        <v>0</v>
      </c>
      <c r="H188" s="4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6">
        <v>10</v>
      </c>
      <c r="J188" s="48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1"/>
      <c r="M188" s="57"/>
      <c r="U188" s="5"/>
    </row>
    <row r="189" spans="1:21">
      <c r="A189" s="10">
        <v>185</v>
      </c>
      <c r="B189" s="21" t="s">
        <v>201</v>
      </c>
      <c r="C189" s="47">
        <v>0</v>
      </c>
      <c r="D189" s="48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7">
        <f t="shared" si="5"/>
        <v>0</v>
      </c>
      <c r="F189" s="48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7">
        <v>0</v>
      </c>
      <c r="H189" s="4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6">
        <v>15</v>
      </c>
      <c r="J189" s="48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1"/>
      <c r="M189" s="57"/>
      <c r="U189" s="5"/>
    </row>
    <row r="190" spans="1:21">
      <c r="A190" s="10">
        <v>186</v>
      </c>
      <c r="B190" s="21" t="s">
        <v>202</v>
      </c>
      <c r="C190" s="47">
        <v>0</v>
      </c>
      <c r="D190" s="48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7">
        <f t="shared" si="5"/>
        <v>0</v>
      </c>
      <c r="F190" s="48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7">
        <v>0</v>
      </c>
      <c r="H190" s="4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6">
        <v>25</v>
      </c>
      <c r="J190" s="48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1"/>
      <c r="M190" s="57"/>
      <c r="U190" s="5"/>
    </row>
    <row r="191" spans="1:21">
      <c r="A191" s="10">
        <v>187</v>
      </c>
      <c r="B191" s="21" t="s">
        <v>203</v>
      </c>
      <c r="C191" s="47">
        <v>0</v>
      </c>
      <c r="D191" s="48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0</v>
      </c>
      <c r="E191" s="47">
        <f t="shared" si="5"/>
        <v>0</v>
      </c>
      <c r="F191" s="48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7">
        <v>0</v>
      </c>
      <c r="H191" s="4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0</v>
      </c>
      <c r="I191" s="16">
        <v>50</v>
      </c>
      <c r="J191" s="48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0</v>
      </c>
      <c r="K191" s="21"/>
      <c r="M191" s="57"/>
      <c r="U191" s="5"/>
    </row>
    <row r="192" spans="1:21">
      <c r="A192" s="10">
        <v>188</v>
      </c>
      <c r="B192" s="21" t="s">
        <v>204</v>
      </c>
      <c r="C192" s="47">
        <v>0</v>
      </c>
      <c r="D192" s="48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7">
        <f t="shared" si="5"/>
        <v>0</v>
      </c>
      <c r="F192" s="48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7">
        <v>0</v>
      </c>
      <c r="H192" s="4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6">
        <v>45</v>
      </c>
      <c r="J192" s="48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1"/>
      <c r="M192" s="57"/>
      <c r="U192" s="5"/>
    </row>
    <row r="193" spans="1:21">
      <c r="A193" s="10">
        <v>189</v>
      </c>
      <c r="B193" s="21" t="s">
        <v>249</v>
      </c>
      <c r="C193" s="47">
        <v>3</v>
      </c>
      <c r="D193" s="48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7">
        <f t="shared" si="5"/>
        <v>3</v>
      </c>
      <c r="F193" s="48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7">
        <v>0</v>
      </c>
      <c r="H193" s="4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6">
        <v>50</v>
      </c>
      <c r="J193" s="48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1"/>
      <c r="M193" s="57"/>
      <c r="U193" s="5"/>
    </row>
    <row r="194" spans="1:21">
      <c r="A194" s="10">
        <v>190</v>
      </c>
      <c r="B194" s="21" t="s">
        <v>205</v>
      </c>
      <c r="C194" s="47">
        <v>0</v>
      </c>
      <c r="D194" s="48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7">
        <f t="shared" si="5"/>
        <v>0</v>
      </c>
      <c r="F194" s="48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7">
        <v>0</v>
      </c>
      <c r="H194" s="4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6">
        <v>150</v>
      </c>
      <c r="J194" s="48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1"/>
      <c r="M194" s="57"/>
      <c r="U194" s="5"/>
    </row>
    <row r="195" spans="1:21">
      <c r="A195" s="10">
        <v>191</v>
      </c>
      <c r="B195" s="21" t="s">
        <v>206</v>
      </c>
      <c r="C195" s="47">
        <v>0</v>
      </c>
      <c r="D195" s="48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7">
        <f t="shared" si="5"/>
        <v>0</v>
      </c>
      <c r="F195" s="48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7">
        <v>0</v>
      </c>
      <c r="H195" s="4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6">
        <v>150</v>
      </c>
      <c r="J195" s="48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1"/>
      <c r="M195" s="57"/>
      <c r="U195" s="5"/>
    </row>
    <row r="196" spans="1:21">
      <c r="A196" s="10">
        <v>192</v>
      </c>
      <c r="B196" s="21" t="s">
        <v>207</v>
      </c>
      <c r="C196" s="47">
        <v>0</v>
      </c>
      <c r="D196" s="48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7">
        <f t="shared" si="5"/>
        <v>0</v>
      </c>
      <c r="F196" s="48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7">
        <v>0</v>
      </c>
      <c r="H196" s="4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6">
        <v>150</v>
      </c>
      <c r="J196" s="48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1"/>
      <c r="M196" s="57"/>
      <c r="U196" s="5"/>
    </row>
    <row r="197" spans="1:21">
      <c r="A197" s="10">
        <v>193</v>
      </c>
      <c r="B197" s="21" t="s">
        <v>221</v>
      </c>
      <c r="C197" s="47">
        <v>1</v>
      </c>
      <c r="D197" s="48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7">
        <f t="shared" si="5"/>
        <v>1</v>
      </c>
      <c r="F197" s="48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7">
        <v>0</v>
      </c>
      <c r="H197" s="4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6">
        <v>55</v>
      </c>
      <c r="J197" s="48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1"/>
      <c r="M197" s="57"/>
      <c r="U197" s="5"/>
    </row>
    <row r="198" spans="1:21">
      <c r="A198" s="10">
        <v>194</v>
      </c>
      <c r="B198" s="21" t="s">
        <v>250</v>
      </c>
      <c r="C198" s="47">
        <v>0</v>
      </c>
      <c r="D198" s="48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7">
        <f t="shared" ref="E198:E224" si="6">+C198+D198</f>
        <v>0</v>
      </c>
      <c r="F198" s="48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7">
        <v>0</v>
      </c>
      <c r="H198" s="4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6">
        <v>30</v>
      </c>
      <c r="J198" s="48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1"/>
      <c r="M198" s="57"/>
      <c r="U198" s="5"/>
    </row>
    <row r="199" spans="1:21">
      <c r="A199" s="10">
        <v>195</v>
      </c>
      <c r="B199" s="21" t="s">
        <v>251</v>
      </c>
      <c r="C199" s="47">
        <v>0</v>
      </c>
      <c r="D199" s="48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7">
        <f t="shared" si="6"/>
        <v>0</v>
      </c>
      <c r="F199" s="48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7">
        <v>0</v>
      </c>
      <c r="H199" s="4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6">
        <v>30</v>
      </c>
      <c r="J199" s="48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1"/>
      <c r="M199" s="57"/>
      <c r="U199" s="5"/>
    </row>
    <row r="200" spans="1:21">
      <c r="A200" s="10">
        <v>196</v>
      </c>
      <c r="B200" s="21" t="s">
        <v>252</v>
      </c>
      <c r="C200" s="47">
        <v>0</v>
      </c>
      <c r="D200" s="48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7">
        <f t="shared" si="6"/>
        <v>0</v>
      </c>
      <c r="F200" s="48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7">
        <v>0</v>
      </c>
      <c r="H200" s="4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6">
        <v>30</v>
      </c>
      <c r="J200" s="48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1"/>
      <c r="M200" s="57"/>
      <c r="U200" s="5"/>
    </row>
    <row r="201" spans="1:21">
      <c r="A201" s="10">
        <v>197</v>
      </c>
      <c r="B201" s="21" t="s">
        <v>253</v>
      </c>
      <c r="C201" s="47">
        <v>0</v>
      </c>
      <c r="D201" s="48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7">
        <f t="shared" si="6"/>
        <v>0</v>
      </c>
      <c r="F201" s="48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7">
        <v>0</v>
      </c>
      <c r="H201" s="4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6">
        <v>30</v>
      </c>
      <c r="J201" s="48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1"/>
      <c r="M201" s="57"/>
      <c r="U201" s="5"/>
    </row>
    <row r="202" spans="1:21">
      <c r="A202" s="10">
        <v>198</v>
      </c>
      <c r="B202" s="21" t="s">
        <v>254</v>
      </c>
      <c r="C202" s="47">
        <v>0</v>
      </c>
      <c r="D202" s="48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0</v>
      </c>
      <c r="E202" s="47">
        <f t="shared" si="6"/>
        <v>0</v>
      </c>
      <c r="F202" s="48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0</v>
      </c>
      <c r="G202" s="47">
        <v>0</v>
      </c>
      <c r="H202" s="4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0</v>
      </c>
      <c r="I202" s="16">
        <v>30</v>
      </c>
      <c r="J202" s="48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0</v>
      </c>
      <c r="K202" s="21"/>
      <c r="M202" s="57"/>
      <c r="U202" s="5"/>
    </row>
    <row r="203" spans="1:21">
      <c r="A203" s="10">
        <v>199</v>
      </c>
      <c r="B203" s="21" t="s">
        <v>255</v>
      </c>
      <c r="C203" s="47">
        <v>0</v>
      </c>
      <c r="D203" s="48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0</v>
      </c>
      <c r="E203" s="47">
        <f t="shared" si="6"/>
        <v>0</v>
      </c>
      <c r="F203" s="48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7">
        <v>0</v>
      </c>
      <c r="H203" s="4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0</v>
      </c>
      <c r="I203" s="16">
        <v>30</v>
      </c>
      <c r="J203" s="48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0</v>
      </c>
      <c r="K203" s="21"/>
      <c r="M203" s="57"/>
      <c r="U203" s="5"/>
    </row>
    <row r="204" spans="1:21">
      <c r="A204" s="10">
        <v>200</v>
      </c>
      <c r="B204" s="21" t="s">
        <v>256</v>
      </c>
      <c r="C204" s="47">
        <v>4</v>
      </c>
      <c r="D204" s="48">
        <f>+'1'!D204+'2'!D204+'3'!D204+'4'!D204+'5'!D204+'6'!D204+'7'!D204+'8'!D204+'9'!D204+'10'!D204+'11'!D204+'12'!D204+'13'!D204+'14'!D204+'15'!D204+'16'!D204+'17'!D204+'18'!D204+'19'!D204+'20'!D204+'21'!D204+'22'!D204+'23'!D204+'24'!D204+'25'!D204+'26'!D204+'27'!D204+'28'!D204+'29'!D204+'30'!D204+'31'!D204</f>
        <v>5</v>
      </c>
      <c r="E204" s="47">
        <f t="shared" si="6"/>
        <v>9</v>
      </c>
      <c r="F204" s="48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'!F204</f>
        <v>1</v>
      </c>
      <c r="G204" s="47">
        <v>0</v>
      </c>
      <c r="H204" s="4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'!H204</f>
        <v>9</v>
      </c>
      <c r="I204" s="16">
        <v>50</v>
      </c>
      <c r="J204" s="48">
        <f>+'1'!J204+'2'!J204+'3'!J204+'4'!J204+'5'!J204+'6'!J204+'7'!J204+'8'!J204+'9'!J204+'10'!J204+'11'!J204+'12'!J204+'13'!J204+'14'!J204+'15'!J204+'16'!J204+'17'!J204+'18'!J204+'19'!J204+'20'!J204+'21'!J204+'22'!J204+'23'!J204+'24'!J204+'25'!J204+'26'!J204+'27'!J204+'28'!J204+'29'!J204+'30'!J204+'31'!J204</f>
        <v>450</v>
      </c>
      <c r="K204" s="21"/>
      <c r="M204" s="57"/>
      <c r="U204" s="5"/>
    </row>
    <row r="205" spans="1:21">
      <c r="A205" s="10">
        <v>201</v>
      </c>
      <c r="B205" s="21" t="s">
        <v>257</v>
      </c>
      <c r="C205" s="47">
        <v>0</v>
      </c>
      <c r="D205" s="48">
        <f>+'1'!D205+'2'!D205+'3'!D205+'4'!D205+'5'!D205+'6'!D205+'7'!D205+'8'!D205+'9'!D205+'10'!D205+'11'!D205+'12'!D205+'13'!D205+'14'!D205+'15'!D205+'16'!D205+'17'!D205+'18'!D205+'19'!D205+'20'!D205+'21'!D205+'22'!D205+'23'!D205+'24'!D205+'25'!D205+'26'!D205+'27'!D205+'28'!D205+'29'!D205+'30'!D205+'31'!D205</f>
        <v>0</v>
      </c>
      <c r="E205" s="47">
        <f t="shared" si="6"/>
        <v>0</v>
      </c>
      <c r="F205" s="48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'!F205</f>
        <v>0</v>
      </c>
      <c r="G205" s="47">
        <v>0</v>
      </c>
      <c r="H205" s="4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'!H205</f>
        <v>0</v>
      </c>
      <c r="I205" s="16">
        <v>100</v>
      </c>
      <c r="J205" s="48">
        <f>+'1'!J205+'2'!J205+'3'!J205+'4'!J205+'5'!J205+'6'!J205+'7'!J205+'8'!J205+'9'!J205+'10'!J205+'11'!J205+'12'!J205+'13'!J205+'14'!J205+'15'!J205+'16'!J205+'17'!J205+'18'!J205+'19'!J205+'20'!J205+'21'!J205+'22'!J205+'23'!J205+'24'!J205+'25'!J205+'26'!J205+'27'!J205+'28'!J205+'29'!J205+'30'!J205+'31'!J205</f>
        <v>0</v>
      </c>
      <c r="K205" s="21"/>
      <c r="M205" s="57"/>
      <c r="U205" s="5"/>
    </row>
    <row r="206" spans="1:21">
      <c r="A206" s="10">
        <v>202</v>
      </c>
      <c r="B206" s="21" t="s">
        <v>258</v>
      </c>
      <c r="C206" s="47">
        <v>0</v>
      </c>
      <c r="D206" s="48">
        <f>+'1'!D206+'2'!D206+'3'!D206+'4'!D206+'5'!D206+'6'!D206+'7'!D206+'8'!D206+'9'!D206+'10'!D206+'11'!D206+'12'!D206+'13'!D206+'14'!D206+'15'!D206+'16'!D206+'17'!D206+'18'!D206+'19'!D206+'20'!D206+'21'!D206+'22'!D206+'23'!D206+'24'!D206+'25'!D206+'26'!D206+'27'!D206+'28'!D206+'29'!D206+'30'!D206+'31'!D206</f>
        <v>0</v>
      </c>
      <c r="E206" s="47">
        <f t="shared" si="6"/>
        <v>0</v>
      </c>
      <c r="F206" s="48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'!F206</f>
        <v>0</v>
      </c>
      <c r="G206" s="47">
        <v>0</v>
      </c>
      <c r="H206" s="4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'!H206</f>
        <v>0</v>
      </c>
      <c r="I206" s="16">
        <v>100</v>
      </c>
      <c r="J206" s="48">
        <f>+'1'!J206+'2'!J206+'3'!J206+'4'!J206+'5'!J206+'6'!J206+'7'!J206+'8'!J206+'9'!J206+'10'!J206+'11'!J206+'12'!J206+'13'!J206+'14'!J206+'15'!J206+'16'!J206+'17'!J206+'18'!J206+'19'!J206+'20'!J206+'21'!J206+'22'!J206+'23'!J206+'24'!J206+'25'!J206+'26'!J206+'27'!J206+'28'!J206+'29'!J206+'30'!J206+'31'!J206</f>
        <v>0</v>
      </c>
      <c r="K206" s="21"/>
      <c r="M206" s="57"/>
      <c r="U206" s="5"/>
    </row>
    <row r="207" spans="1:21">
      <c r="A207" s="10">
        <v>203</v>
      </c>
      <c r="B207" s="21" t="s">
        <v>259</v>
      </c>
      <c r="C207" s="47">
        <v>0</v>
      </c>
      <c r="D207" s="48">
        <f>+'1'!D207+'2'!D207+'3'!D207+'4'!D207+'5'!D207+'6'!D207+'7'!D207+'8'!D207+'9'!D207+'10'!D207+'11'!D207+'12'!D207+'13'!D207+'14'!D207+'15'!D207+'16'!D207+'17'!D207+'18'!D207+'19'!D207+'20'!D207+'21'!D207+'22'!D207+'23'!D207+'24'!D207+'25'!D207+'26'!D207+'27'!D207+'28'!D207+'29'!D207+'30'!D207+'31'!D207</f>
        <v>0</v>
      </c>
      <c r="E207" s="47">
        <f t="shared" si="6"/>
        <v>0</v>
      </c>
      <c r="F207" s="48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'!F207</f>
        <v>0</v>
      </c>
      <c r="G207" s="47">
        <v>0</v>
      </c>
      <c r="H207" s="4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'!H207</f>
        <v>0</v>
      </c>
      <c r="I207" s="16">
        <v>100</v>
      </c>
      <c r="J207" s="48">
        <f>+'1'!J207+'2'!J207+'3'!J207+'4'!J207+'5'!J207+'6'!J207+'7'!J207+'8'!J207+'9'!J207+'10'!J207+'11'!J207+'12'!J207+'13'!J207+'14'!J207+'15'!J207+'16'!J207+'17'!J207+'18'!J207+'19'!J207+'20'!J207+'21'!J207+'22'!J207+'23'!J207+'24'!J207+'25'!J207+'26'!J207+'27'!J207+'28'!J207+'29'!J207+'30'!J207+'31'!J207</f>
        <v>0</v>
      </c>
      <c r="K207" s="21"/>
      <c r="M207" s="57"/>
      <c r="U207" s="5"/>
    </row>
    <row r="208" spans="1:21">
      <c r="A208" s="10">
        <v>204</v>
      </c>
      <c r="B208" s="21" t="s">
        <v>260</v>
      </c>
      <c r="C208" s="47">
        <v>0</v>
      </c>
      <c r="D208" s="48">
        <f>+'1'!D208+'2'!D208+'3'!D208+'4'!D208+'5'!D208+'6'!D208+'7'!D208+'8'!D208+'9'!D208+'10'!D208+'11'!D208+'12'!D208+'13'!D208+'14'!D208+'15'!D208+'16'!D208+'17'!D208+'18'!D208+'19'!D208+'20'!D208+'21'!D208+'22'!D208+'23'!D208+'24'!D208+'25'!D208+'26'!D208+'27'!D208+'28'!D208+'29'!D208+'30'!D208+'31'!D208</f>
        <v>0</v>
      </c>
      <c r="E208" s="47">
        <f t="shared" si="6"/>
        <v>0</v>
      </c>
      <c r="F208" s="48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'!F208</f>
        <v>0</v>
      </c>
      <c r="G208" s="47">
        <v>0</v>
      </c>
      <c r="H208" s="4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'!H208</f>
        <v>0</v>
      </c>
      <c r="I208" s="16">
        <v>100</v>
      </c>
      <c r="J208" s="48">
        <f>+'1'!J208+'2'!J208+'3'!J208+'4'!J208+'5'!J208+'6'!J208+'7'!J208+'8'!J208+'9'!J208+'10'!J208+'11'!J208+'12'!J208+'13'!J208+'14'!J208+'15'!J208+'16'!J208+'17'!J208+'18'!J208+'19'!J208+'20'!J208+'21'!J208+'22'!J208+'23'!J208+'24'!J208+'25'!J208+'26'!J208+'27'!J208+'28'!J208+'29'!J208+'30'!J208+'31'!J208</f>
        <v>0</v>
      </c>
      <c r="K208" s="21"/>
      <c r="M208" s="57"/>
      <c r="U208" s="5"/>
    </row>
    <row r="209" spans="1:22">
      <c r="A209" s="10">
        <v>205</v>
      </c>
      <c r="B209" s="21" t="s">
        <v>261</v>
      </c>
      <c r="C209" s="47">
        <v>0</v>
      </c>
      <c r="D209" s="48" t="e">
        <f>+'1'!D209+'2'!#REF!+'3'!#REF!+'4'!D209+'5'!D209+'6'!D209+'7'!D209+'8'!D209+'9'!D209+'10'!D209+'11'!D209+'12'!D209+'13'!D209+'14'!D209+'15'!D209+'16'!D209+'17'!D209+'18'!D209+'19'!D209+'20'!D209+'21'!D209+'22'!D209+'23'!D209+'24'!D209+'25'!D209+'26'!D209+'27'!D209+'28'!D209+'29'!D209+'30'!D209+'31'!D209</f>
        <v>#REF!</v>
      </c>
      <c r="E209" s="47" t="e">
        <f t="shared" si="6"/>
        <v>#REF!</v>
      </c>
      <c r="F209" s="48" t="e">
        <f>+'1'!F209+'2'!#REF!+'3'!#REF!+'4'!F209+'5'!F209+'6'!F209+'7'!F209+'8'!F209+'9'!F209+'10'!F209+'11'!F209+'12'!F209+'13'!F209+'14'!F209+'15'!F209+'16'!F209+'17'!F209+'18'!F209+'19'!F209+'20'!F209+'21'!F209+'22'!F209+'23'!F209+'24'!F209+'25'!F209+'26'!F209+'27'!F209+'28'!F209+'29'!F209+'30'!F209+'31'!F209</f>
        <v>#REF!</v>
      </c>
      <c r="G209" s="47">
        <v>0</v>
      </c>
      <c r="H209" s="48" t="e">
        <f>+'1'!H209+'2'!#REF!+'3'!#REF!+'4'!H209+'5'!H209+'6'!H209+'7'!H209+'8'!H209+'9'!H209+'10'!H209+'11'!H209+'12'!H209+'13'!H209+'14'!H209+'15'!H209+'16'!H209+'17'!H209+'18'!H209+'19'!H209+'20'!H209+'21'!H209+'22'!H209+'23'!H209+'24'!H209+'25'!H209+'26'!H209+'27'!H209+'28'!H209+'29'!H209+'30'!H209+'31'!H209</f>
        <v>#REF!</v>
      </c>
      <c r="I209" s="16">
        <v>250</v>
      </c>
      <c r="J209" s="48" t="e">
        <f>+'1'!J209+'2'!#REF!+'3'!#REF!+'4'!J209+'5'!J209+'6'!J209+'7'!J209+'8'!J209+'9'!J209+'10'!J209+'11'!J209+'12'!J209+'13'!J209+'14'!J209+'15'!J209+'16'!J209+'17'!J209+'18'!J209+'19'!J209+'20'!J209+'21'!J209+'22'!J209+'23'!J209+'24'!J209+'25'!J209+'26'!J209+'27'!J209+'28'!J209+'29'!J209+'30'!J209+'31'!J209</f>
        <v>#REF!</v>
      </c>
      <c r="K209" s="21"/>
      <c r="M209" s="57"/>
      <c r="U209" s="5"/>
    </row>
    <row r="210" spans="1:22">
      <c r="A210" s="10">
        <v>206</v>
      </c>
      <c r="B210" s="21" t="s">
        <v>262</v>
      </c>
      <c r="C210" s="47">
        <v>0</v>
      </c>
      <c r="D210" s="48" t="e">
        <f>+'1'!D210+'2'!#REF!+'3'!#REF!+'4'!D210+'5'!D210+'6'!D210+'7'!D210+'8'!D210+'9'!D210+'10'!D210+'11'!D210+'12'!D210+'13'!D210+'14'!D210+'15'!D210+'16'!D210+'17'!D210+'18'!D210+'19'!D210+'20'!D210+'21'!D210+'22'!D210+'23'!D210+'24'!D210+'25'!D210+'26'!D210+'27'!D210+'28'!D210+'29'!D210+'30'!D210+'31'!D210</f>
        <v>#REF!</v>
      </c>
      <c r="E210" s="47" t="e">
        <f t="shared" si="6"/>
        <v>#REF!</v>
      </c>
      <c r="F210" s="48" t="e">
        <f>+'1'!F210+'2'!#REF!+'3'!#REF!+'4'!F210+'5'!F210+'6'!F210+'7'!F210+'8'!F210+'9'!F210+'10'!F210+'11'!F210+'12'!F210+'13'!F210+'14'!F210+'15'!F210+'16'!F210+'17'!F210+'18'!F210+'19'!F210+'20'!F210+'21'!F210+'22'!F210+'23'!F210+'24'!F210+'25'!F210+'26'!F210+'27'!F210+'28'!F210+'29'!F210+'30'!F210+'31'!F210</f>
        <v>#REF!</v>
      </c>
      <c r="G210" s="47">
        <v>0</v>
      </c>
      <c r="H210" s="48" t="e">
        <f>+'1'!H210+'2'!#REF!+'3'!#REF!+'4'!H210+'5'!H210+'6'!H210+'7'!H210+'8'!H210+'9'!H210+'10'!H210+'11'!H210+'12'!H210+'13'!H210+'14'!H210+'15'!H210+'16'!H210+'17'!H210+'18'!H210+'19'!H210+'20'!H210+'21'!H210+'22'!H210+'23'!H210+'24'!H210+'25'!H210+'26'!H210+'27'!H210+'28'!H210+'29'!H210+'30'!H210+'31'!H210</f>
        <v>#REF!</v>
      </c>
      <c r="I210" s="16">
        <v>250</v>
      </c>
      <c r="J210" s="48" t="e">
        <f>+'1'!J210+'2'!#REF!+'3'!#REF!+'4'!J210+'5'!J210+'6'!J210+'7'!J210+'8'!J210+'9'!J210+'10'!J210+'11'!J210+'12'!J210+'13'!J210+'14'!J210+'15'!J210+'16'!J210+'17'!J210+'18'!J210+'19'!J210+'20'!J210+'21'!J210+'22'!J210+'23'!J210+'24'!J210+'25'!J210+'26'!J210+'27'!J210+'28'!J210+'29'!J210+'30'!J210+'31'!J210</f>
        <v>#REF!</v>
      </c>
      <c r="K210" s="21"/>
      <c r="M210" s="57"/>
      <c r="U210" s="5"/>
    </row>
    <row r="211" spans="1:22">
      <c r="A211" s="10">
        <v>207</v>
      </c>
      <c r="B211" s="21" t="s">
        <v>263</v>
      </c>
      <c r="C211" s="47">
        <v>0</v>
      </c>
      <c r="D211" s="48" t="e">
        <f>+'1'!D211+'2'!#REF!+'3'!#REF!+'4'!D211+'5'!D211+'6'!D211+'7'!D211+'8'!D211+'9'!D211+'10'!D211+'11'!D211+'12'!D211+'13'!D211+'14'!D211+'15'!D211+'16'!D211+'17'!D211+'18'!D211+'19'!D211+'20'!D211+'21'!D211+'22'!D211+'23'!D211+'24'!D211+'25'!D211+'26'!D211+'27'!D211+'28'!D211+'29'!D211+'30'!D211+'31'!D211</f>
        <v>#REF!</v>
      </c>
      <c r="E211" s="47" t="e">
        <f t="shared" si="6"/>
        <v>#REF!</v>
      </c>
      <c r="F211" s="48" t="e">
        <f>+'1'!F211+'2'!#REF!+'3'!#REF!+'4'!F211+'5'!F211+'6'!F211+'7'!F211+'8'!F211+'9'!F211+'10'!F211+'11'!F211+'12'!F211+'13'!F211+'14'!F211+'15'!F211+'16'!F211+'17'!F211+'18'!F211+'19'!F211+'20'!F211+'21'!F211+'22'!F211+'23'!F211+'24'!F211+'25'!F211+'26'!F211+'27'!F211+'28'!F211+'29'!F211+'30'!F211+'31'!F211</f>
        <v>#REF!</v>
      </c>
      <c r="G211" s="47">
        <v>0</v>
      </c>
      <c r="H211" s="48" t="e">
        <f>+'1'!H211+'2'!#REF!+'3'!#REF!+'4'!H211+'5'!H211+'6'!H211+'7'!H211+'8'!H211+'9'!H211+'10'!H211+'11'!H211+'12'!H211+'13'!H211+'14'!H211+'15'!H211+'16'!H211+'17'!H211+'18'!H211+'19'!H211+'20'!H211+'21'!H211+'22'!H211+'23'!H211+'24'!H211+'25'!H211+'26'!H211+'27'!H211+'28'!H211+'29'!H211+'30'!H211+'31'!H211</f>
        <v>#REF!</v>
      </c>
      <c r="I211" s="16">
        <v>250</v>
      </c>
      <c r="J211" s="48" t="e">
        <f>+'1'!J211+'2'!#REF!+'3'!#REF!+'4'!J211+'5'!J211+'6'!J211+'7'!J211+'8'!J211+'9'!J211+'10'!J211+'11'!J211+'12'!J211+'13'!J211+'14'!J211+'15'!J211+'16'!J211+'17'!J211+'18'!J211+'19'!J211+'20'!J211+'21'!J211+'22'!J211+'23'!J211+'24'!J211+'25'!J211+'26'!J211+'27'!J211+'28'!J211+'29'!J211+'30'!J211+'31'!J211</f>
        <v>#REF!</v>
      </c>
      <c r="K211" s="21"/>
      <c r="M211" s="57"/>
      <c r="U211" s="5"/>
    </row>
    <row r="212" spans="1:22">
      <c r="A212" s="10">
        <v>208</v>
      </c>
      <c r="B212" s="11" t="s">
        <v>264</v>
      </c>
      <c r="C212" s="47">
        <v>0</v>
      </c>
      <c r="D212" s="48" t="e">
        <f>+'1'!D212+'2'!#REF!+'3'!#REF!+'4'!D212+'5'!D212+'6'!D212+'7'!D212+'8'!D214+'9'!D214+'10'!D214+'11'!D212+'12'!D212+'13'!D212+'14'!D212+'15'!D212+'16'!D212+'17'!D212+'18'!D212+'19'!D212+'20'!D212+'21'!D212+'22'!D212+'23'!D212+'24'!D212+'25'!D212+'26'!D212+'27'!D212+'28'!D212+'29'!D212+'30'!D212+'31'!D212</f>
        <v>#REF!</v>
      </c>
      <c r="E212" s="47" t="e">
        <f t="shared" si="6"/>
        <v>#REF!</v>
      </c>
      <c r="F212" s="48" t="e">
        <f>+'1'!F212+'2'!#REF!+'3'!#REF!+'4'!F212+'5'!F212+'6'!F212+'7'!F212+'8'!F214+'9'!F214+'10'!F214+'11'!F212+'12'!F212+'13'!F212+'14'!F212+'15'!F212+'16'!F212+'17'!F212+'18'!F212+'19'!F212+'20'!F212+'21'!F212+'22'!F212+'23'!F212+'24'!F212+'25'!F212+'26'!F212+'27'!F212+'28'!F212+'29'!F212+'30'!F212+'31'!F212</f>
        <v>#REF!</v>
      </c>
      <c r="G212" s="47">
        <v>0</v>
      </c>
      <c r="H212" s="48" t="e">
        <f>+'1'!H212+'2'!#REF!+'3'!#REF!+'4'!H212+'5'!H212+'6'!H212+'7'!H212+'8'!H214+'9'!H214+'10'!H214+'11'!H212+'12'!H212+'13'!H212+'14'!H212+'15'!H212+'16'!H212+'17'!H212+'18'!H212+'19'!H212+'20'!H212+'21'!H212+'22'!H212+'23'!H212+'24'!H212+'25'!H212+'26'!H212+'27'!H212+'28'!H212+'29'!H212+'30'!H212+'31'!H212</f>
        <v>#REF!</v>
      </c>
      <c r="I212" s="16">
        <v>50</v>
      </c>
      <c r="J212" s="48" t="e">
        <f>+'1'!J212+'2'!#REF!+'3'!#REF!+'4'!J212+'5'!J212+'6'!J212+'7'!J212+'8'!J214+'9'!J214+'10'!J214+'11'!J212+'12'!J212+'13'!J212+'14'!J212+'15'!J212+'16'!J212+'17'!J212+'18'!J212+'19'!J212+'20'!J212+'21'!J212+'22'!J212+'23'!J212+'24'!J212+'25'!J212+'26'!J212+'27'!J212+'28'!J212+'29'!J212+'30'!J212+'31'!J212</f>
        <v>#REF!</v>
      </c>
      <c r="K212" s="21"/>
      <c r="M212" s="57"/>
      <c r="U212" s="5"/>
    </row>
    <row r="213" spans="1:22">
      <c r="A213" s="10">
        <v>209</v>
      </c>
      <c r="B213" s="21" t="s">
        <v>265</v>
      </c>
      <c r="C213" s="47">
        <v>0</v>
      </c>
      <c r="D213" s="48" t="e">
        <f>+'1'!D213+'2'!#REF!+'3'!#REF!+'4'!D213+'5'!D213+'6'!D213+'7'!D213+'8'!D215+'9'!D215+'10'!D215+'11'!D213+'12'!D213+'13'!D213+'14'!D213+'15'!D213+'16'!D213+'17'!D213+'18'!D213+'19'!D213+'20'!D213+'21'!D213+'22'!D213+'23'!D213+'24'!D213+'25'!D213+'26'!D213+'27'!D213+'28'!D213+'29'!D213+'30'!D213+'31'!D213</f>
        <v>#REF!</v>
      </c>
      <c r="E213" s="47" t="e">
        <f t="shared" si="6"/>
        <v>#REF!</v>
      </c>
      <c r="F213" s="48" t="e">
        <f>+'1'!F213+'2'!#REF!+'3'!#REF!+'4'!F213+'5'!F213+'6'!F213+'7'!F213+'8'!F215+'9'!F215+'10'!F215+'11'!F213+'12'!F213+'13'!F213+'14'!F213+'15'!F213+'16'!F213+'17'!F213+'18'!F213+'19'!F213+'20'!F213+'21'!F213+'22'!F213+'23'!F213+'24'!F213+'25'!F213+'26'!F213+'27'!F213+'28'!F213+'29'!F213+'30'!F213+'31'!F213</f>
        <v>#REF!</v>
      </c>
      <c r="G213" s="47">
        <v>0</v>
      </c>
      <c r="H213" s="48" t="e">
        <f>+'1'!H213+'2'!#REF!+'3'!#REF!+'4'!H213+'5'!H213+'6'!H213+'7'!H213+'8'!H215+'9'!H215+'10'!H215+'11'!H213+'12'!H213+'13'!H213+'14'!H213+'15'!H213+'16'!H213+'17'!H213+'18'!H213+'19'!H213+'20'!H213+'21'!H213+'22'!H213+'23'!H213+'24'!H213+'25'!H213+'26'!H213+'27'!H213+'28'!H213+'29'!H213+'30'!H213+'31'!H213</f>
        <v>#REF!</v>
      </c>
      <c r="I213" s="22">
        <v>50</v>
      </c>
      <c r="J213" s="48" t="e">
        <f>+'1'!J213+'2'!#REF!+'3'!#REF!+'4'!J213+'5'!J213+'6'!J213+'7'!J213+'8'!J215+'9'!J215+'10'!J215+'11'!J213+'12'!J213+'13'!J213+'14'!J213+'15'!J213+'16'!J213+'17'!J213+'18'!J213+'19'!J213+'20'!J213+'21'!J213+'22'!J213+'23'!J213+'24'!J213+'25'!J213+'26'!J213+'27'!J213+'28'!J213+'29'!J213+'30'!J213+'31'!J213</f>
        <v>#REF!</v>
      </c>
      <c r="K213" s="21"/>
      <c r="M213" s="57"/>
      <c r="U213" s="5"/>
    </row>
    <row r="214" spans="1:22">
      <c r="A214" s="10">
        <v>210</v>
      </c>
      <c r="B214" s="11"/>
      <c r="C214" s="47">
        <v>0</v>
      </c>
      <c r="D214" s="48" t="e">
        <f>+'1'!D214+'2'!#REF!+'3'!#REF!+'4'!D214+'5'!D214+'6'!D214+'7'!D214+'8'!D216+'9'!D216+'10'!D216+'11'!D214+'12'!D216+'13'!D216+'14'!D216+'15'!D216+'16'!D216+'17'!D214+'18'!D214+'19'!D214+'20'!D214+'21'!D214+'22'!D214+'23'!D214+'24'!D214+'25'!D214+'26'!D214+'27'!D214+'28'!D214+'29'!D214+'30'!D214+'31'!D214</f>
        <v>#REF!</v>
      </c>
      <c r="E214" s="47" t="e">
        <f t="shared" si="6"/>
        <v>#REF!</v>
      </c>
      <c r="F214" s="48" t="e">
        <f>+'1'!F214+'2'!#REF!+'3'!#REF!+'4'!F214+'5'!F214+'6'!F214+'7'!F214+'8'!F216+'9'!F216+'10'!F216+'11'!F214+'12'!F216+'13'!F216+'14'!F216+'15'!F216+'16'!F216+'17'!F214+'18'!F214+'19'!F214+'20'!F214+'21'!F214+'22'!F214+'23'!F214+'24'!F214+'25'!F214+'26'!F214+'27'!F214+'28'!F214+'29'!F214+'30'!F214+'31'!F214</f>
        <v>#REF!</v>
      </c>
      <c r="G214" s="47">
        <v>0</v>
      </c>
      <c r="H214" s="48" t="e">
        <f>+'1'!H214+'2'!#REF!+'3'!#REF!+'4'!H214+'5'!H214+'6'!H214+'7'!H214+'8'!H216+'9'!H216+'10'!H216+'11'!H214+'12'!H216+'13'!H216+'14'!H216+'15'!H216+'16'!H216+'17'!H214+'18'!H214+'19'!H214+'20'!H214+'21'!H214+'22'!H214+'23'!H214+'24'!H214+'25'!H214+'26'!H214+'27'!H214+'28'!H214+'29'!H214+'30'!H214+'31'!H214</f>
        <v>#REF!</v>
      </c>
      <c r="I214" s="49">
        <v>0</v>
      </c>
      <c r="J214" s="48" t="e">
        <f>+'1'!J214+'2'!#REF!+'3'!#REF!+'4'!J214+'5'!J214+'6'!J214+'7'!J214+'8'!J216+'9'!J216+'10'!J216+'11'!J214+'12'!J216+'13'!J216+'14'!J216+'15'!J216+'16'!J216+'17'!J214+'18'!J214+'19'!J214+'20'!J214+'21'!J214+'22'!J214+'23'!J214+'24'!J214+'25'!J214+'26'!J214+'27'!J214+'28'!J214+'29'!J214+'30'!J214+'31'!J214</f>
        <v>#REF!</v>
      </c>
      <c r="K214" s="21"/>
      <c r="M214" s="57"/>
      <c r="U214" s="5"/>
    </row>
    <row r="215" spans="1:22">
      <c r="A215" s="10">
        <v>211</v>
      </c>
      <c r="B215" s="11"/>
      <c r="C215" s="47">
        <v>0</v>
      </c>
      <c r="D215" s="48" t="e">
        <f>+'1'!D215+'2'!#REF!+'3'!#REF!+'4'!D215+'5'!D215+'6'!D215+'7'!D215+'8'!D217+'9'!D217+'10'!D217+'11'!D215+'12'!D217+'13'!D217+'14'!D217+'15'!D217+'16'!D217+'17'!D215+'18'!D215+'19'!D215+'20'!D215+'21'!D215+'22'!D215+'23'!D215+'24'!D215+'25'!D215+'26'!D215+'27'!D215+'28'!D215+'29'!D215+'30'!D215+'31'!D215</f>
        <v>#REF!</v>
      </c>
      <c r="E215" s="47" t="e">
        <f t="shared" si="6"/>
        <v>#REF!</v>
      </c>
      <c r="F215" s="48" t="e">
        <f>+'1'!F215+'2'!#REF!+'3'!#REF!+'4'!F215+'5'!F215+'6'!F215+'7'!F215+'8'!F217+'9'!F217+'10'!F217+'11'!F215+'12'!F217+'13'!F217+'14'!F217+'15'!F217+'16'!F217+'17'!F215+'18'!F215+'19'!F215+'20'!F215+'21'!F215+'22'!F215+'23'!F215+'24'!F215+'25'!F215+'26'!F215+'27'!F215+'28'!F215+'29'!F215+'30'!F215+'31'!F215</f>
        <v>#REF!</v>
      </c>
      <c r="G215" s="47">
        <v>0</v>
      </c>
      <c r="H215" s="48" t="e">
        <f>+'1'!H215+'2'!#REF!+'3'!#REF!+'4'!H215+'5'!H215+'6'!H215+'7'!H215+'8'!H217+'9'!H217+'10'!H217+'11'!H215+'12'!H217+'13'!H217+'14'!H217+'15'!H217+'16'!H217+'17'!H215+'18'!H215+'19'!H215+'20'!H215+'21'!H215+'22'!H215+'23'!H215+'24'!H215+'25'!H215+'26'!H215+'27'!H215+'28'!H215+'29'!H215+'30'!H215+'31'!H215</f>
        <v>#VALUE!</v>
      </c>
      <c r="I215" s="49">
        <v>0</v>
      </c>
      <c r="J215" s="48" t="e">
        <f>+'1'!J215+'2'!#REF!+'3'!#REF!+'4'!J215+'5'!J215+'6'!J215+'7'!J215+'8'!J217+'9'!J217+'10'!J217+'11'!J215+'12'!J217+'13'!J217+'14'!J217+'15'!J217+'16'!J217+'17'!J215+'18'!J215+'19'!J215+'20'!J215+'21'!J215+'22'!J215+'23'!J215+'24'!J215+'25'!J215+'26'!J215+'27'!J215+'28'!J215+'29'!J215+'30'!J215+'31'!J215</f>
        <v>#REF!</v>
      </c>
      <c r="K215" s="21"/>
      <c r="M215" s="57"/>
      <c r="U215" s="5"/>
    </row>
    <row r="216" spans="1:22">
      <c r="A216" s="10">
        <v>212</v>
      </c>
      <c r="B216" s="11"/>
      <c r="C216" s="47">
        <v>0</v>
      </c>
      <c r="D216" s="48" t="e">
        <f>+'1'!D216+'2'!#REF!+'3'!#REF!+'4'!D216+'5'!D216+'6'!D216+'7'!D216+'8'!D218+'9'!D218+'10'!D218+'11'!D216+'12'!D218+'13'!D218+'14'!D218+'15'!D218+'16'!D218+'17'!D216+'18'!D216+'19'!D216+'20'!D216+'21'!D216+'22'!D216+'23'!D216+'24'!D216+'25'!D216+'26'!D216+'27'!D216+'28'!D216+'29'!D216+'30'!D216+'31'!D216</f>
        <v>#REF!</v>
      </c>
      <c r="E216" s="47" t="e">
        <f t="shared" si="6"/>
        <v>#REF!</v>
      </c>
      <c r="F216" s="48" t="e">
        <f>+'1'!F216+'2'!#REF!+'3'!#REF!+'4'!F216+'5'!F216+'6'!F216+'7'!F216+'8'!F218+'9'!F218+'10'!F218+'11'!F216+'12'!F218+'13'!F218+'14'!F218+'15'!F218+'16'!F218+'17'!F216+'18'!F216+'19'!F216+'20'!F216+'21'!F216+'22'!F216+'23'!F216+'24'!F216+'25'!F216+'26'!F216+'27'!F216+'28'!F216+'29'!F216+'30'!F216+'31'!F216</f>
        <v>#REF!</v>
      </c>
      <c r="G216" s="47">
        <v>0</v>
      </c>
      <c r="H216" s="48" t="e">
        <f>+'1'!H216+'2'!#REF!+'3'!#REF!+'4'!H216+'5'!H216+'6'!H216+'7'!H216+'8'!H218+'9'!H218+'10'!H218+'11'!H216+'12'!H218+'13'!H218+'14'!H218+'15'!H218+'16'!H218+'17'!H216+'18'!H216+'19'!H216+'20'!H216+'21'!H216+'22'!H216+'23'!H216+'24'!H216+'25'!H216+'26'!H216+'27'!H216+'28'!H216+'29'!H216+'30'!H216+'31'!H216</f>
        <v>#REF!</v>
      </c>
      <c r="I216" s="49">
        <v>0</v>
      </c>
      <c r="J216" s="48" t="e">
        <f>+'1'!J216+'2'!#REF!+'3'!#REF!+'4'!J216+'5'!J216+'6'!J216+'7'!J216+'8'!J218+'9'!J218+'10'!J218+'11'!J216+'12'!J218+'13'!J218+'14'!J218+'15'!J218+'16'!J218+'17'!J216+'18'!J216+'19'!J216+'20'!J216+'21'!J216+'22'!J216+'23'!J216+'24'!J216+'25'!J216+'26'!J216+'27'!J216+'28'!J216+'29'!J216+'30'!J216+'31'!J216</f>
        <v>#REF!</v>
      </c>
      <c r="K216" s="21"/>
      <c r="M216" s="57"/>
      <c r="U216" s="5"/>
    </row>
    <row r="217" spans="1:22">
      <c r="A217" s="10">
        <v>213</v>
      </c>
      <c r="B217" s="11"/>
      <c r="C217" s="47">
        <v>0</v>
      </c>
      <c r="D217" s="48" t="e">
        <f>+'1'!D217+'2'!#REF!+'3'!#REF!+'4'!D217+'5'!D217+'6'!D217+'7'!D217+'8'!D219+'9'!D219+'10'!D219+'11'!D217+'12'!D219+'13'!D219+'14'!D219+'15'!D219+'16'!D219+'17'!D217+'18'!D217+'19'!D217+'20'!D217+'21'!D217+'22'!D217+'23'!D217+'24'!D217+'25'!D217+'26'!D217+'27'!D217+'28'!D217+'29'!D217+'30'!D217+'31'!D217</f>
        <v>#REF!</v>
      </c>
      <c r="E217" s="47" t="e">
        <f t="shared" si="6"/>
        <v>#REF!</v>
      </c>
      <c r="F217" s="48" t="e">
        <f>+'1'!F217+'2'!#REF!+'3'!#REF!+'4'!F217+'5'!F217+'6'!F217+'7'!F217+'8'!F219+'9'!F219+'10'!F219+'11'!F217+'12'!F219+'13'!F219+'14'!F219+'15'!F219+'16'!F219+'17'!F217+'18'!F217+'19'!F217+'20'!F217+'21'!F217+'22'!F217+'23'!F217+'24'!F217+'25'!F217+'26'!F217+'27'!F217+'28'!F217+'29'!F217+'30'!F217+'31'!F217</f>
        <v>#REF!</v>
      </c>
      <c r="G217" s="47">
        <v>0</v>
      </c>
      <c r="H217" s="48" t="e">
        <f>+'1'!H217+'2'!#REF!+'3'!#REF!+'4'!H217+'5'!H217+'6'!H217+'7'!H217+'8'!H219+'9'!H219+'10'!H219+'11'!H217+'12'!H219+'13'!H219+'14'!H219+'15'!H219+'16'!H219+'17'!H217+'18'!H217+'19'!H217+'20'!H217+'21'!H217+'22'!H217+'23'!H217+'24'!H217+'25'!H217+'26'!H217+'27'!H217+'28'!H217+'29'!H217+'30'!H217+'31'!H217</f>
        <v>#REF!</v>
      </c>
      <c r="I217" s="49">
        <v>0</v>
      </c>
      <c r="J217" s="48" t="e">
        <f>+'1'!J217+'2'!#REF!+'3'!#REF!+'4'!J217+'5'!J217+'6'!J217+'7'!J217+'8'!J219+'9'!J219+'10'!J219+'11'!J217+'12'!J219+'13'!J219+'14'!J219+'15'!J219+'16'!J219+'17'!J217+'18'!J217+'19'!J217+'20'!J217+'21'!J217+'22'!J217+'23'!J217+'24'!J217+'25'!J217+'26'!J217+'27'!J217+'28'!J217+'29'!J217+'30'!J217+'31'!J217</f>
        <v>#REF!</v>
      </c>
      <c r="K217" s="21"/>
      <c r="M217" s="57"/>
      <c r="U217" s="5"/>
    </row>
    <row r="218" spans="1:22">
      <c r="A218" s="10">
        <v>214</v>
      </c>
      <c r="B218" s="11"/>
      <c r="C218" s="47">
        <v>0</v>
      </c>
      <c r="D218" s="48" t="e">
        <f>+'1'!D218+'2'!#REF!+'3'!#REF!+'4'!D218+'5'!D218+'6'!D218+'7'!D218+'8'!D220+'9'!D220+'10'!D220+'11'!D218+'12'!D220+'13'!D220+'14'!D220+'15'!D220+'16'!D220+'17'!D218+'18'!D218+'19'!D218+'20'!D218+'21'!D218+'22'!D218+'23'!D218+'24'!D218+'25'!D218+'26'!D218+'27'!D218+'28'!D218+'29'!D218+'30'!D218+'31'!D218</f>
        <v>#REF!</v>
      </c>
      <c r="E218" s="47" t="e">
        <f t="shared" si="6"/>
        <v>#REF!</v>
      </c>
      <c r="F218" s="48" t="e">
        <f>+'1'!F218+'2'!#REF!+'3'!#REF!+'4'!F218+'5'!F218+'6'!F218+'7'!F218+'8'!F220+'9'!F220+'10'!F220+'11'!F218+'12'!F220+'13'!F220+'14'!F220+'15'!F220+'16'!F220+'17'!F218+'18'!F218+'19'!F218+'20'!F218+'21'!F218+'22'!F218+'23'!F218+'24'!F218+'25'!F218+'26'!F218+'27'!F218+'28'!F218+'29'!F218+'30'!F218+'31'!F218</f>
        <v>#REF!</v>
      </c>
      <c r="G218" s="47">
        <v>0</v>
      </c>
      <c r="H218" s="48" t="e">
        <f>+'1'!H218+'2'!#REF!+'3'!#REF!+'4'!H218+'5'!H218+'6'!H218+'7'!H218+'8'!H220+'9'!H220+'10'!H220+'11'!H218+'12'!H220+'13'!H220+'14'!H220+'15'!H220+'16'!H220+'17'!H218+'18'!H218+'19'!H218+'20'!H218+'21'!H218+'22'!H218+'23'!H218+'24'!H218+'25'!H218+'26'!H218+'27'!H218+'28'!H218+'29'!H218+'30'!H218+'31'!H218</f>
        <v>#REF!</v>
      </c>
      <c r="I218" s="49">
        <v>0</v>
      </c>
      <c r="J218" s="48" t="e">
        <f>+'1'!J218+'2'!#REF!+'3'!#REF!+'4'!J218+'5'!J218+'6'!J218+'7'!J218+'8'!J220+'9'!J220+'10'!J220+'11'!J218+'12'!J220+'13'!J220+'14'!J220+'15'!J220+'16'!J220+'17'!J218+'18'!J218+'19'!J218+'20'!J218+'21'!J218+'22'!J218+'23'!J218+'24'!J218+'25'!J218+'26'!J218+'27'!J218+'28'!J218+'29'!J218+'30'!J218+'31'!J218</f>
        <v>#REF!</v>
      </c>
      <c r="K218" s="21"/>
      <c r="M218" s="57"/>
      <c r="U218" s="5"/>
    </row>
    <row r="219" spans="1:22">
      <c r="A219" s="10">
        <v>215</v>
      </c>
      <c r="B219" s="11"/>
      <c r="C219" s="47">
        <v>0</v>
      </c>
      <c r="D219" s="48" t="e">
        <f>+'1'!D219+'2'!#REF!+'3'!#REF!+'4'!D219+'5'!D219+'6'!D219+'7'!D219+'8'!D221+'9'!D221+'10'!D221+'11'!D219+'12'!D221+'13'!D221+'14'!D221+'15'!D221+'16'!D221+'17'!D219+'18'!D219+'19'!D219+'20'!D219+'21'!D219+'22'!D219+'23'!D219+'24'!D219+'25'!D219+'26'!D219+'27'!D219+'28'!D219+'29'!D219+'30'!D219+'31'!D219</f>
        <v>#REF!</v>
      </c>
      <c r="E219" s="47" t="e">
        <f t="shared" si="6"/>
        <v>#REF!</v>
      </c>
      <c r="F219" s="48" t="e">
        <f>+'1'!F219+'2'!#REF!+'3'!#REF!+'4'!F219+'5'!F219+'6'!F219+'7'!F219+'8'!F221+'9'!F221+'10'!F221+'11'!F219+'12'!F221+'13'!F221+'14'!F221+'15'!F221+'16'!F221+'17'!F219+'18'!F219+'19'!F219+'20'!F219+'21'!F219+'22'!F219+'23'!F219+'24'!F219+'25'!F219+'26'!F219+'27'!F219+'28'!F219+'29'!F219+'30'!F219+'31'!F219</f>
        <v>#REF!</v>
      </c>
      <c r="G219" s="47">
        <v>0</v>
      </c>
      <c r="H219" s="48" t="e">
        <f>+'1'!H219+'2'!#REF!+'3'!#REF!+'4'!H219+'5'!H219+'6'!H219+'7'!H219+'8'!H221+'9'!H221+'10'!H221+'11'!H219+'12'!H221+'13'!H221+'14'!H221+'15'!H221+'16'!H221+'17'!H219+'18'!H219+'19'!H219+'20'!H219+'21'!H219+'22'!H219+'23'!H219+'24'!H219+'25'!H219+'26'!H219+'27'!H219+'28'!H219+'29'!H219+'30'!H219+'31'!H219</f>
        <v>#REF!</v>
      </c>
      <c r="I219" s="49">
        <v>0</v>
      </c>
      <c r="J219" s="48" t="e">
        <f>+'1'!J219+'2'!#REF!+'3'!#REF!+'4'!J219+'5'!J219+'6'!J219+'7'!J219+'8'!J221+'9'!J221+'10'!J221+'11'!J219+'12'!J221+'13'!J221+'14'!J221+'15'!J221+'16'!J221+'17'!J219+'18'!J219+'19'!J219+'20'!J219+'21'!J219+'22'!J219+'23'!J219+'24'!J219+'25'!J219+'26'!J219+'27'!J219+'28'!J219+'29'!J219+'30'!J219+'31'!J219</f>
        <v>#REF!</v>
      </c>
      <c r="K219" s="21"/>
      <c r="M219" s="57"/>
      <c r="U219" s="5"/>
    </row>
    <row r="220" spans="1:22">
      <c r="A220" s="10">
        <v>216</v>
      </c>
      <c r="B220" s="11"/>
      <c r="C220" s="47">
        <v>0</v>
      </c>
      <c r="D220" s="48" t="e">
        <f>+'1'!D220+'2'!#REF!+'3'!#REF!+'4'!D220+'5'!D220+'6'!D220+'7'!D220+'8'!D222+'9'!D222+'10'!D222+'11'!D220+'12'!D222+'13'!D222+'14'!D222+'15'!D222+'16'!D222+'17'!D220+'18'!D220+'19'!D220+'20'!D220+'21'!D220+'22'!D220+'23'!D220+'24'!D220+'25'!D220+'26'!D220+'27'!D220+'28'!D220+'29'!D220+'30'!D220+'31'!D220</f>
        <v>#REF!</v>
      </c>
      <c r="E220" s="47" t="e">
        <f t="shared" si="6"/>
        <v>#REF!</v>
      </c>
      <c r="F220" s="48" t="e">
        <f>+'1'!F220+'2'!#REF!+'3'!#REF!+'4'!F220+'5'!F220+'6'!F220+'7'!F220+'8'!F222+'9'!F222+'10'!F222+'11'!F220+'12'!F222+'13'!F222+'14'!F222+'15'!F222+'16'!F222+'17'!F220+'18'!F220+'19'!F220+'20'!F220+'21'!F220+'22'!F220+'23'!F220+'24'!F220+'25'!F220+'26'!F220+'27'!F220+'28'!F220+'29'!F220+'30'!F220+'31'!F220</f>
        <v>#REF!</v>
      </c>
      <c r="G220" s="47">
        <v>0</v>
      </c>
      <c r="H220" s="48" t="e">
        <f>+'1'!H220+'2'!#REF!+'3'!#REF!+'4'!H220+'5'!H220+'6'!H220+'7'!H220+'8'!H222+'9'!H222+'10'!H222+'11'!H220+'12'!H222+'13'!H222+'14'!H222+'15'!H222+'16'!H222+'17'!H220+'18'!H220+'19'!H220+'20'!H220+'21'!H220+'22'!H220+'23'!H220+'24'!H220+'25'!H220+'26'!H220+'27'!H220+'28'!H220+'29'!H220+'30'!H220+'31'!H220</f>
        <v>#REF!</v>
      </c>
      <c r="I220" s="49">
        <v>0</v>
      </c>
      <c r="J220" s="48" t="e">
        <f>+'1'!J220+'2'!#REF!+'3'!#REF!+'4'!J220+'5'!J220+'6'!J220+'7'!J220+'8'!J222+'9'!J222+'10'!J222+'11'!J220+'12'!J222+'13'!J222+'14'!J222+'15'!J222+'16'!J222+'17'!J220+'18'!J220+'19'!J220+'20'!J220+'21'!J220+'22'!J220+'23'!J220+'24'!J220+'25'!J220+'26'!J220+'27'!J220+'28'!J220+'29'!J220+'30'!J220+'31'!J220</f>
        <v>#REF!</v>
      </c>
      <c r="K220" s="21"/>
      <c r="M220" s="57"/>
      <c r="U220" s="5"/>
    </row>
    <row r="221" spans="1:22">
      <c r="A221" s="10">
        <v>217</v>
      </c>
      <c r="B221" s="11"/>
      <c r="C221" s="47">
        <v>0</v>
      </c>
      <c r="D221" s="48" t="e">
        <f>+'1'!D221+'2'!#REF!+'3'!#REF!+'4'!D221+'5'!D221+'6'!D221+'7'!D221+'8'!D223+'9'!D223+'10'!D223+'11'!D221+'12'!D223+'13'!D223+'14'!D223+'15'!D223+'16'!D223+'17'!D221+'18'!D221+'19'!D221+'20'!D221+'21'!D221+'22'!D221+'23'!D221+'24'!D221+'25'!D221+'26'!D221+'27'!D221+'28'!D221+'29'!D221+'30'!D221+'31'!D221</f>
        <v>#REF!</v>
      </c>
      <c r="E221" s="47" t="e">
        <f t="shared" si="6"/>
        <v>#REF!</v>
      </c>
      <c r="F221" s="48" t="e">
        <f>+'1'!F221+'2'!#REF!+'3'!#REF!+'4'!F221+'5'!F221+'6'!F221+'7'!F221+'8'!F223+'9'!F223+'10'!F223+'11'!F221+'12'!F223+'13'!F223+'14'!F223+'15'!F223+'16'!F223+'17'!F221+'18'!F221+'19'!F221+'20'!F221+'21'!F221+'22'!F221+'23'!F221+'24'!F221+'25'!F221+'26'!F221+'27'!F221+'28'!F221+'29'!F221+'30'!F221+'31'!F221</f>
        <v>#REF!</v>
      </c>
      <c r="G221" s="47">
        <v>0</v>
      </c>
      <c r="H221" s="48" t="e">
        <f>+'1'!H221+'2'!#REF!+'3'!#REF!+'4'!H221+'5'!H221+'6'!H221+'7'!H221+'8'!H223+'9'!H223+'10'!H223+'11'!H221+'12'!H223+'13'!H223+'14'!H223+'15'!H223+'16'!H223+'17'!H221+'18'!H221+'19'!H221+'20'!H221+'21'!H221+'22'!H221+'23'!H221+'24'!H221+'25'!H221+'26'!H221+'27'!H221+'28'!H221+'29'!H221+'30'!H221+'31'!H221</f>
        <v>#REF!</v>
      </c>
      <c r="I221" s="49">
        <v>0</v>
      </c>
      <c r="J221" s="48" t="e">
        <f>+'1'!J221+'2'!#REF!+'3'!#REF!+'4'!J221+'5'!J221+'6'!J221+'7'!J221+'8'!J223+'9'!J223+'10'!J223+'11'!J221+'12'!J223+'13'!J223+'14'!J223+'15'!J223+'16'!J223+'17'!J221+'18'!J221+'19'!J221+'20'!J221+'21'!J221+'22'!J221+'23'!J221+'24'!J221+'25'!J221+'26'!J221+'27'!J221+'28'!J221+'29'!J221+'30'!J221+'31'!J221</f>
        <v>#REF!</v>
      </c>
      <c r="K221" s="21"/>
      <c r="M221" s="57"/>
      <c r="U221" s="5"/>
    </row>
    <row r="222" spans="1:22">
      <c r="A222" s="10">
        <v>218</v>
      </c>
      <c r="B222" s="11"/>
      <c r="C222" s="47">
        <v>0</v>
      </c>
      <c r="D222" s="48" t="e">
        <f>+'1'!D222+'2'!#REF!+'3'!#REF!+'4'!D222+'5'!D222+'6'!D222+'7'!D222+'8'!D224+'9'!D224+'10'!D224+'11'!D222+'12'!D224+'13'!D224+'14'!D224+'15'!D224+'16'!D224+'17'!D222+'18'!D222+'19'!D222+'20'!D222+'21'!D222+'22'!D222+'23'!D222+'24'!D222+'25'!D222+'26'!D222+'27'!D222+'28'!D222+'29'!D222+'30'!D222+'31'!D222</f>
        <v>#REF!</v>
      </c>
      <c r="E222" s="47" t="e">
        <f t="shared" si="6"/>
        <v>#REF!</v>
      </c>
      <c r="F222" s="48" t="e">
        <f>+'1'!F222+'2'!#REF!+'3'!#REF!+'4'!F222+'5'!F222+'6'!F222+'7'!F222+'8'!F224+'9'!F224+'10'!F224+'11'!F222+'12'!F224+'13'!F224+'14'!F224+'15'!F224+'16'!F224+'17'!F222+'18'!F222+'19'!F222+'20'!F222+'21'!F222+'22'!F222+'23'!F222+'24'!F222+'25'!F222+'26'!F222+'27'!F222+'28'!F222+'29'!F222+'30'!F222+'31'!F222</f>
        <v>#REF!</v>
      </c>
      <c r="G222" s="47">
        <v>0</v>
      </c>
      <c r="H222" s="48" t="e">
        <f>+'1'!H222+'2'!#REF!+'3'!#REF!+'4'!H222+'5'!H222+'6'!H222+'7'!H222+'8'!H224+'9'!H224+'10'!H224+'11'!H222+'12'!H224+'13'!H224+'14'!H224+'15'!H224+'16'!H224+'17'!H222+'18'!H222+'19'!H222+'20'!H222+'21'!H222+'22'!H222+'23'!H222+'24'!H222+'25'!H222+'26'!H222+'27'!H222+'28'!H222+'29'!H222+'30'!H222+'31'!H222</f>
        <v>#REF!</v>
      </c>
      <c r="I222" s="49">
        <v>0</v>
      </c>
      <c r="J222" s="48" t="e">
        <f>+'1'!J222+'2'!#REF!+'3'!#REF!+'4'!J222+'5'!J222+'6'!J222+'7'!J222+'8'!J224+'9'!J224+'10'!J224+'11'!J222+'12'!J224+'13'!J224+'14'!J224+'15'!J224+'16'!J224+'17'!J222+'18'!J222+'19'!J222+'20'!J222+'21'!J222+'22'!J222+'23'!J222+'24'!J222+'25'!J222+'26'!J222+'27'!J222+'28'!J222+'29'!J222+'30'!J222+'31'!J222</f>
        <v>#REF!</v>
      </c>
      <c r="K222" s="21"/>
      <c r="M222" s="57"/>
      <c r="U222" s="5"/>
    </row>
    <row r="223" spans="1:22">
      <c r="A223" s="10">
        <v>219</v>
      </c>
      <c r="B223" s="11"/>
      <c r="C223" s="47">
        <v>0</v>
      </c>
      <c r="D223" s="48" t="e">
        <f>+'1'!D223+'2'!D209+'3'!#REF!+'4'!D223+'5'!D223+'6'!D223+'7'!D223+'8'!D225+'9'!D225+'10'!D225+'11'!D223+'12'!D225+'13'!D225+'14'!D225+'15'!D225+'16'!D225+'17'!D223+'18'!D223+'19'!D223+'20'!D223+'21'!D223+'22'!D223+'23'!D223+'24'!D223+'25'!D223+'26'!D223+'27'!D223+'28'!D223+'29'!D223+'30'!D223+'31'!D223</f>
        <v>#REF!</v>
      </c>
      <c r="E223" s="47" t="e">
        <f t="shared" si="6"/>
        <v>#REF!</v>
      </c>
      <c r="F223" s="48" t="e">
        <f>+'1'!F223+'2'!F209+'3'!#REF!+'4'!F223+'5'!F223+'6'!F223+'7'!F223+'8'!F225+'9'!F225+'10'!F225+'11'!F223+'12'!F225+'13'!F225+'14'!F225+'15'!F225+'16'!F225+'17'!F223+'18'!F223+'19'!F223+'20'!F223+'21'!F223+'22'!F223+'23'!F223+'24'!F223+'25'!F223+'26'!F223+'27'!F223+'28'!F223+'29'!F223+'30'!F223+'31'!F223</f>
        <v>#REF!</v>
      </c>
      <c r="G223" s="47">
        <v>0</v>
      </c>
      <c r="H223" s="48" t="e">
        <f>+'1'!H223+'2'!H209+'3'!#REF!+'4'!H223+'5'!H223+'6'!H223+'7'!H223+'8'!H225+'9'!H225+'10'!H225+'11'!H223+'12'!H225+'13'!H225+'14'!H225+'15'!H225+'16'!H225+'17'!H223+'18'!H223+'19'!H223+'20'!H223+'21'!H223+'22'!H223+'23'!H223+'24'!H223+'25'!H223+'26'!H223+'27'!H223+'28'!H223+'29'!H223+'30'!H223+'31'!H223</f>
        <v>#REF!</v>
      </c>
      <c r="I223" s="49">
        <v>0</v>
      </c>
      <c r="J223" s="48" t="e">
        <f>+'1'!J223+'2'!J209+'3'!#REF!+'4'!J223+'5'!J223+'6'!J223+'7'!J223+'8'!J225+'9'!J225+'10'!J225+'11'!J223+'12'!J225+'13'!J225+'14'!J225+'15'!J225+'16'!J225+'17'!J223+'18'!J223+'19'!J223+'20'!J223+'21'!J223+'22'!J223+'23'!J223+'24'!J223+'25'!J223+'26'!J223+'27'!J223+'28'!J223+'29'!J223+'30'!J223+'31'!J223</f>
        <v>#REF!</v>
      </c>
      <c r="K223" s="21"/>
      <c r="M223" s="57"/>
      <c r="U223" s="5"/>
    </row>
    <row r="224" spans="1:22" ht="29.25">
      <c r="A224" s="10">
        <v>220</v>
      </c>
      <c r="B224" s="11"/>
      <c r="C224" s="47">
        <v>0</v>
      </c>
      <c r="D224" s="48" t="e">
        <f>+'1'!D224+'2'!D210+'3'!#REF!+'4'!D224+'5'!D224+'6'!D224+'7'!D224+'8'!D226+'9'!D226+'10'!D226+'11'!D224+'12'!D226+'13'!D226+'14'!D226+'15'!D226+'16'!D226+'17'!D224+'18'!D224+'19'!D224+'20'!D224+'21'!D224+'22'!D224+'23'!D224+'24'!D224+'25'!D224+'26'!D224+'27'!D224+'28'!D224+'29'!D224+'30'!D224+'31'!D224</f>
        <v>#REF!</v>
      </c>
      <c r="E224" s="47" t="e">
        <f t="shared" si="6"/>
        <v>#REF!</v>
      </c>
      <c r="F224" s="48" t="e">
        <f>+'1'!F224+'2'!F210+'3'!#REF!+'4'!F224+'5'!F224+'6'!F224+'7'!F224+'8'!F226+'9'!F226+'10'!F226+'11'!F224+'12'!F226+'13'!F226+'14'!F226+'15'!F226+'16'!F226+'17'!F224+'18'!F224+'19'!F224+'20'!F224+'21'!F224+'22'!F224+'23'!F224+'24'!F224+'25'!F224+'26'!F224+'27'!F224+'28'!F224+'29'!F224+'30'!F224+'31'!F224</f>
        <v>#REF!</v>
      </c>
      <c r="G224" s="47">
        <v>0</v>
      </c>
      <c r="H224" s="48" t="e">
        <f>+'1'!H224+'2'!H210+'3'!#REF!+'4'!H224+'5'!H224+'6'!H224+'7'!H224+'8'!H226+'9'!H226+'10'!H226+'11'!H224+'12'!H226+'13'!H226+'14'!H226+'15'!H226+'16'!H226+'17'!H224+'18'!H224+'19'!H224+'20'!H224+'21'!H224+'22'!H224+'23'!H224+'24'!H224+'25'!H224+'26'!H224+'27'!H224+'28'!H224+'29'!H224+'30'!H224+'31'!H224</f>
        <v>#REF!</v>
      </c>
      <c r="I224" s="49">
        <v>0</v>
      </c>
      <c r="J224" s="48" t="e">
        <f>+'1'!J224+'2'!J210+'3'!#REF!+'4'!J224+'5'!J224+'6'!J224+'7'!J224+'8'!J226+'9'!J226+'10'!J226+'11'!J224+'12'!J226+'13'!J226+'14'!J226+'15'!J226+'16'!J226+'17'!J224+'18'!J224+'19'!J224+'20'!J224+'21'!J224+'22'!J224+'23'!J224+'24'!J224+'25'!J224+'26'!J224+'27'!J224+'28'!J224+'29'!J224+'30'!J224+'31'!J224</f>
        <v>#REF!</v>
      </c>
      <c r="K224" s="21"/>
      <c r="M224" s="57"/>
      <c r="U224" s="5"/>
      <c r="V224" s="58"/>
    </row>
    <row r="225" spans="1:22" ht="26.25">
      <c r="A225" s="10">
        <v>233</v>
      </c>
      <c r="B225" s="21"/>
      <c r="C225" s="47"/>
      <c r="D225" s="48"/>
      <c r="E225" s="47"/>
      <c r="F225" s="48"/>
      <c r="G225" s="47"/>
      <c r="H225" s="48"/>
      <c r="I225" s="16"/>
      <c r="J225" s="48" t="e">
        <f>+'1'!J225+'2'!J211+'3'!#REF!+'4'!J225+'5'!J225+'6'!J225+'7'!J225+'8'!J227+'9'!J227+'10'!J227+'11'!J225+'12'!J227+'13'!J227+'14'!J227+'15'!J227+'16'!J227+'17'!J225+'18'!J225+'19'!J225+'20'!J225+'21'!J225+'22'!J225+'23'!J225+'24'!J225+'25'!J225+'26'!J225+'27'!J225+'28'!J225+'29'!J225+'30'!J225+'31'!J225</f>
        <v>#REF!</v>
      </c>
      <c r="K225" s="21"/>
      <c r="M225" s="57"/>
      <c r="U225" s="5"/>
      <c r="V225" s="61"/>
    </row>
    <row r="226" spans="1:22" s="58" customFormat="1" ht="27.75" customHeight="1">
      <c r="A226" s="97" t="s">
        <v>231</v>
      </c>
      <c r="B226" s="98"/>
      <c r="C226" s="98"/>
      <c r="D226" s="98"/>
      <c r="E226" s="98"/>
      <c r="F226" s="98"/>
      <c r="G226" s="98"/>
      <c r="H226" s="98"/>
      <c r="I226" s="98"/>
      <c r="J226" s="98"/>
      <c r="K226" s="99"/>
      <c r="M226" s="59"/>
      <c r="N226" s="59"/>
      <c r="O226" s="59"/>
      <c r="P226" s="60"/>
      <c r="Q226" s="60"/>
      <c r="R226" s="60"/>
      <c r="S226" s="60"/>
      <c r="T226" s="60"/>
      <c r="U226" s="5"/>
      <c r="V226" s="63"/>
    </row>
    <row r="227" spans="1:22" s="61" customFormat="1" ht="25.5" customHeight="1">
      <c r="A227" s="100" t="s">
        <v>232</v>
      </c>
      <c r="B227" s="101"/>
      <c r="C227" s="102" t="s">
        <v>233</v>
      </c>
      <c r="D227" s="103"/>
      <c r="E227" s="104" t="s">
        <v>234</v>
      </c>
      <c r="F227" s="105"/>
      <c r="G227" s="106" t="s">
        <v>235</v>
      </c>
      <c r="H227" s="106"/>
      <c r="I227" s="106"/>
      <c r="J227" s="64" t="e">
        <f>SUM(J5:J225)</f>
        <v>#REF!</v>
      </c>
      <c r="K227" s="65" t="s">
        <v>227</v>
      </c>
      <c r="M227" s="62"/>
      <c r="N227" s="62"/>
      <c r="O227" s="62"/>
      <c r="P227" s="62"/>
      <c r="Q227" s="62"/>
      <c r="R227" s="62"/>
      <c r="S227" s="62"/>
      <c r="T227" s="62"/>
      <c r="U227" s="5"/>
      <c r="V227" s="63"/>
    </row>
    <row r="228" spans="1:22" s="63" customFormat="1" ht="24.75" customHeight="1">
      <c r="A228" s="66" t="s">
        <v>236</v>
      </c>
      <c r="B228" s="67" t="e">
        <f>+J230</f>
        <v>#REF!</v>
      </c>
      <c r="C228" s="68" t="s">
        <v>237</v>
      </c>
      <c r="D228" s="69" t="e">
        <f>+J227</f>
        <v>#REF!</v>
      </c>
      <c r="E228" s="70" t="s">
        <v>225</v>
      </c>
      <c r="F228" s="71">
        <f>SUM(P36)</f>
        <v>225</v>
      </c>
      <c r="G228" s="114"/>
      <c r="H228" s="114"/>
      <c r="I228" s="114"/>
      <c r="J228" s="73"/>
      <c r="K228" s="73">
        <f>+R36</f>
        <v>9815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3" customFormat="1" ht="24.75" customHeight="1">
      <c r="A229" s="66"/>
      <c r="B229" s="67"/>
      <c r="C229" s="68" t="s">
        <v>238</v>
      </c>
      <c r="D229" s="69">
        <f>K230</f>
        <v>2540</v>
      </c>
      <c r="E229" s="70"/>
      <c r="F229" s="74">
        <v>0</v>
      </c>
      <c r="G229" s="114" t="s">
        <v>239</v>
      </c>
      <c r="H229" s="114"/>
      <c r="I229" s="114"/>
      <c r="J229" s="73">
        <f>-O36</f>
        <v>0</v>
      </c>
      <c r="K229" s="73" t="s">
        <v>238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3" customFormat="1" ht="24.75" customHeight="1">
      <c r="A230" s="76" t="s">
        <v>10</v>
      </c>
      <c r="B230" s="67">
        <f>+D229</f>
        <v>2540</v>
      </c>
      <c r="C230" s="68"/>
      <c r="D230" s="69"/>
      <c r="E230" s="70" t="s">
        <v>240</v>
      </c>
      <c r="F230" s="74">
        <f>+Q36</f>
        <v>0</v>
      </c>
      <c r="G230" s="115" t="s">
        <v>241</v>
      </c>
      <c r="H230" s="116"/>
      <c r="I230" s="117"/>
      <c r="J230" s="73" t="e">
        <f>+J227-J228</f>
        <v>#REF!</v>
      </c>
      <c r="K230" s="77">
        <f>+N36</f>
        <v>2540</v>
      </c>
      <c r="M230" s="75"/>
      <c r="N230" s="5"/>
      <c r="O230" s="5"/>
      <c r="P230" s="5"/>
      <c r="Q230" s="5"/>
      <c r="R230" s="5"/>
      <c r="S230" s="5"/>
      <c r="T230" s="5"/>
      <c r="U230" s="5"/>
    </row>
    <row r="231" spans="1:22" s="63" customFormat="1" ht="24.75" customHeight="1" thickBot="1">
      <c r="A231" s="78" t="s">
        <v>242</v>
      </c>
      <c r="B231" s="67" t="e">
        <f>B228-B230</f>
        <v>#REF!</v>
      </c>
      <c r="C231" s="68" t="s">
        <v>242</v>
      </c>
      <c r="D231" s="69" t="e">
        <f>+D228-D229</f>
        <v>#REF!</v>
      </c>
      <c r="E231" s="70" t="s">
        <v>243</v>
      </c>
      <c r="F231" s="74">
        <f>SUM(F228:F230)</f>
        <v>225</v>
      </c>
      <c r="G231" s="114" t="s">
        <v>212</v>
      </c>
      <c r="H231" s="114"/>
      <c r="I231" s="114"/>
      <c r="J231" s="73">
        <f>F231</f>
        <v>225</v>
      </c>
      <c r="K231" s="72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3" customFormat="1" ht="24.75" customHeight="1" thickTop="1">
      <c r="A232" s="79"/>
      <c r="B232" s="79"/>
      <c r="C232" s="68" t="s">
        <v>244</v>
      </c>
      <c r="D232" s="69">
        <v>100000</v>
      </c>
      <c r="G232" s="107" t="s">
        <v>214</v>
      </c>
      <c r="H232" s="108"/>
      <c r="I232" s="109"/>
      <c r="J232" s="73" t="e">
        <f>J230-J231-K228-K230</f>
        <v>#REF!</v>
      </c>
      <c r="K232" s="72"/>
      <c r="M232" s="75"/>
      <c r="N232" s="75"/>
      <c r="O232" s="5"/>
      <c r="P232" s="5"/>
      <c r="Q232" s="5"/>
      <c r="R232" s="5"/>
      <c r="S232" s="5"/>
      <c r="T232" s="5"/>
    </row>
    <row r="233" spans="1:22" s="63" customFormat="1" ht="24.75" customHeight="1">
      <c r="A233" s="79"/>
      <c r="B233" s="79"/>
      <c r="C233" s="68" t="s">
        <v>245</v>
      </c>
      <c r="D233" s="69" t="e">
        <f>D231-D232</f>
        <v>#REF!</v>
      </c>
      <c r="G233" s="107" t="s">
        <v>215</v>
      </c>
      <c r="H233" s="108"/>
      <c r="I233" s="109"/>
      <c r="J233" s="73">
        <f>+T36</f>
        <v>23555</v>
      </c>
      <c r="K233" s="72"/>
      <c r="M233" s="75"/>
      <c r="N233" s="5"/>
      <c r="O233" s="5"/>
      <c r="P233" s="5"/>
      <c r="Q233" s="5"/>
      <c r="R233" s="5"/>
      <c r="S233" s="5"/>
      <c r="T233" s="5"/>
      <c r="V233" s="2"/>
    </row>
    <row r="234" spans="1:22" s="63" customFormat="1" ht="24.75" customHeight="1">
      <c r="A234" s="79"/>
      <c r="B234" s="79"/>
      <c r="C234" s="68" t="s">
        <v>246</v>
      </c>
      <c r="D234" s="69">
        <v>0</v>
      </c>
      <c r="G234" s="107" t="s">
        <v>216</v>
      </c>
      <c r="H234" s="108"/>
      <c r="I234" s="109"/>
      <c r="J234" s="73">
        <v>0</v>
      </c>
      <c r="K234" s="72"/>
      <c r="M234" s="75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79"/>
      <c r="B235" s="79"/>
      <c r="G235" s="110" t="s">
        <v>217</v>
      </c>
      <c r="H235" s="110"/>
      <c r="I235" s="110"/>
      <c r="J235" s="80" t="e">
        <f>+J233-J232</f>
        <v>#REF!</v>
      </c>
      <c r="K235" s="81"/>
    </row>
    <row r="236" spans="1:22" ht="24.75" customHeight="1" thickBot="1">
      <c r="F236" s="111" t="s">
        <v>247</v>
      </c>
      <c r="G236" s="112"/>
      <c r="H236" s="112"/>
      <c r="I236" s="112"/>
      <c r="J236" s="112"/>
      <c r="K236" s="113"/>
    </row>
    <row r="237" spans="1:22">
      <c r="D237" s="24"/>
    </row>
  </sheetData>
  <autoFilter ref="A2:U236" xr:uid="{77FC8B71-6156-4710-9A23-5EEBE41A0E1C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</autoFilter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089E6-3473-4085-ACAD-6BE533E467A8}">
  <sheetPr>
    <tabColor theme="4" tint="0.79998168889431442"/>
  </sheetPr>
  <dimension ref="A1:Z300"/>
  <sheetViews>
    <sheetView topLeftCell="A19" zoomScaleNormal="100" workbookViewId="0">
      <selection activeCell="L217" sqref="L217:N21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+'[1]30'!G5</f>
        <v>14</v>
      </c>
      <c r="D5" s="13">
        <v>30</v>
      </c>
      <c r="E5" s="12">
        <f t="shared" ref="E5:E94" si="0">C5+D5</f>
        <v>44</v>
      </c>
      <c r="F5" s="13">
        <v>0</v>
      </c>
      <c r="G5" s="14">
        <f t="shared" ref="G5:G81" si="1">E5-F5-H5</f>
        <v>13</v>
      </c>
      <c r="H5" s="15">
        <v>31</v>
      </c>
      <c r="I5" s="16">
        <v>50</v>
      </c>
      <c r="J5" s="43">
        <f>+I5*H5</f>
        <v>1550</v>
      </c>
      <c r="K5" s="18" t="s">
        <v>16</v>
      </c>
      <c r="L5" s="19">
        <v>300</v>
      </c>
      <c r="M5" s="24">
        <f>SUM(J5-L5)</f>
        <v>1250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+'[1]30'!G6</f>
        <v>13</v>
      </c>
      <c r="D6" s="13">
        <v>40</v>
      </c>
      <c r="E6" s="12">
        <f t="shared" si="0"/>
        <v>53</v>
      </c>
      <c r="F6" s="13">
        <v>0</v>
      </c>
      <c r="G6" s="14">
        <f t="shared" si="1"/>
        <v>21</v>
      </c>
      <c r="H6" s="15">
        <v>32</v>
      </c>
      <c r="I6" s="16">
        <v>100</v>
      </c>
      <c r="J6" s="43">
        <f t="shared" ref="J6:J69" si="5">+I6*H6</f>
        <v>3200</v>
      </c>
      <c r="K6" s="18" t="s">
        <v>16</v>
      </c>
      <c r="L6" s="19">
        <v>600</v>
      </c>
      <c r="M6" s="24">
        <f t="shared" ref="M6:M69" si="6">SUM(J6-L6)</f>
        <v>2600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+'[1]30'!G7</f>
        <v>7</v>
      </c>
      <c r="D7" s="13">
        <v>0</v>
      </c>
      <c r="E7" s="12">
        <f t="shared" si="0"/>
        <v>7</v>
      </c>
      <c r="F7" s="13">
        <v>1</v>
      </c>
      <c r="G7" s="14">
        <f t="shared" si="1"/>
        <v>5</v>
      </c>
      <c r="H7" s="15">
        <v>1</v>
      </c>
      <c r="I7" s="16">
        <v>50</v>
      </c>
      <c r="J7" s="43">
        <f t="shared" si="5"/>
        <v>50</v>
      </c>
      <c r="K7" s="18" t="s">
        <v>16</v>
      </c>
      <c r="L7" s="19">
        <v>0</v>
      </c>
      <c r="M7" s="24">
        <f t="shared" si="6"/>
        <v>50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+'[1]30'!G8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+'[1]30'!G9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+'[1]30'!G10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+'[1]30'!G11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+'[1]30'!G12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+'[1]30'!G13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+'[1]30'!G14</f>
        <v>0</v>
      </c>
      <c r="D14" s="13">
        <v>4</v>
      </c>
      <c r="E14" s="12">
        <f t="shared" si="0"/>
        <v>4</v>
      </c>
      <c r="F14" s="13">
        <v>0</v>
      </c>
      <c r="G14" s="14">
        <f t="shared" si="1"/>
        <v>3</v>
      </c>
      <c r="H14" s="15">
        <v>1</v>
      </c>
      <c r="I14" s="22">
        <v>65</v>
      </c>
      <c r="J14" s="43">
        <f t="shared" si="5"/>
        <v>65</v>
      </c>
      <c r="K14" s="18" t="s">
        <v>16</v>
      </c>
      <c r="L14" s="19">
        <v>0</v>
      </c>
      <c r="M14" s="24">
        <f t="shared" si="6"/>
        <v>65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+'[1]30'!G15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+'[1]30'!G16</f>
        <v>0</v>
      </c>
      <c r="D16" s="13">
        <v>2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+'[1]30'!G17</f>
        <v>0</v>
      </c>
      <c r="D17" s="13">
        <v>2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+'[1]30'!G18</f>
        <v>0</v>
      </c>
      <c r="D18" s="13">
        <v>2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+'[1]30'!G19</f>
        <v>0</v>
      </c>
      <c r="D19" s="13">
        <v>2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+'[1]30'!G20</f>
        <v>0</v>
      </c>
      <c r="D20" s="13">
        <v>2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+'[1]30'!G21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+'[1]30'!G22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+'[1]30'!G23</f>
        <v>0</v>
      </c>
      <c r="D23" s="13">
        <v>10</v>
      </c>
      <c r="E23" s="12">
        <f t="shared" si="0"/>
        <v>10</v>
      </c>
      <c r="F23" s="13">
        <v>0</v>
      </c>
      <c r="G23" s="14">
        <f t="shared" si="1"/>
        <v>8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+'[1]30'!G24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+'[1]30'!G25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+'[1]30'!G26</f>
        <v>2</v>
      </c>
      <c r="D26" s="13">
        <v>0</v>
      </c>
      <c r="E26" s="12">
        <f t="shared" si="0"/>
        <v>2</v>
      </c>
      <c r="F26" s="13">
        <v>0</v>
      </c>
      <c r="G26" s="14">
        <f t="shared" si="1"/>
        <v>1</v>
      </c>
      <c r="H26" s="15">
        <v>1</v>
      </c>
      <c r="I26" s="20">
        <v>100</v>
      </c>
      <c r="J26" s="43">
        <f t="shared" si="5"/>
        <v>100</v>
      </c>
      <c r="K26" s="18" t="s">
        <v>16</v>
      </c>
      <c r="L26" s="19">
        <v>0</v>
      </c>
      <c r="M26" s="24">
        <f t="shared" si="6"/>
        <v>100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+'[1]30'!G27</f>
        <v>1</v>
      </c>
      <c r="D27" s="13">
        <v>2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+'[1]30'!G28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+'[1]30'!G29</f>
        <v>1</v>
      </c>
      <c r="D29" s="13">
        <v>5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+'[1]30'!G30</f>
        <v>0</v>
      </c>
      <c r="D30" s="13">
        <v>2</v>
      </c>
      <c r="E30" s="12">
        <f t="shared" si="0"/>
        <v>2</v>
      </c>
      <c r="F30" s="13">
        <v>0</v>
      </c>
      <c r="G30" s="14">
        <f t="shared" si="1"/>
        <v>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+'[1]30'!G31</f>
        <v>1</v>
      </c>
      <c r="D31" s="13">
        <v>2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+'[1]30'!G32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+'[1]30'!G33</f>
        <v>2</v>
      </c>
      <c r="D33" s="13">
        <v>4</v>
      </c>
      <c r="E33" s="12">
        <f t="shared" si="0"/>
        <v>6</v>
      </c>
      <c r="F33" s="13">
        <v>0</v>
      </c>
      <c r="G33" s="14">
        <f t="shared" si="1"/>
        <v>5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+'[1]30'!G34</f>
        <v>0</v>
      </c>
      <c r="D34" s="13">
        <v>4</v>
      </c>
      <c r="E34" s="12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+'[1]30'!G35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+'[1]30'!G36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+'[1]30'!G37</f>
        <v>0</v>
      </c>
      <c r="D37" s="13">
        <v>5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+'[1]30'!G38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4</v>
      </c>
      <c r="H38" s="15">
        <v>1</v>
      </c>
      <c r="I38" s="16">
        <v>50</v>
      </c>
      <c r="J38" s="43">
        <f t="shared" si="5"/>
        <v>50</v>
      </c>
      <c r="K38" s="18" t="s">
        <v>266</v>
      </c>
      <c r="L38" s="19">
        <v>50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+'[1]30'!G39</f>
        <v>8</v>
      </c>
      <c r="D39" s="13">
        <v>0</v>
      </c>
      <c r="E39" s="12">
        <f t="shared" si="0"/>
        <v>8</v>
      </c>
      <c r="F39" s="13">
        <v>0</v>
      </c>
      <c r="G39" s="14">
        <f t="shared" si="1"/>
        <v>7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+'[1]30'!G40</f>
        <v>13</v>
      </c>
      <c r="D40" s="13">
        <v>0</v>
      </c>
      <c r="E40" s="12">
        <f t="shared" si="0"/>
        <v>13</v>
      </c>
      <c r="F40" s="13">
        <v>4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267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+'[1]30'!G41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+'[1]30'!G42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+'[1]30'!G43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+'[1]30'!G44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8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+'[1]30'!G45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+'[1]30'!G46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+'[1]30'!G47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+'[1]30'!G48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+'[1]30'!G49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+'[1]30'!G50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+'[1]30'!G51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+'[1]30'!G52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+'[1]30'!G53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+'[1]30'!G54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+'[1]30'!G55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+'[1]30'!G56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+'[1]30'!G57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+'[1]30'!G58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+'[1]30'!G59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+'[1]30'!G60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+'[1]30'!G61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+'[1]30'!G62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+'[1]30'!G63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+'[1]30'!G64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+'[1]30'!G65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+'[1]30'!G66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+'[1]30'!G67</f>
        <v>6</v>
      </c>
      <c r="D67" s="13">
        <v>0</v>
      </c>
      <c r="E67" s="12">
        <f t="shared" si="0"/>
        <v>6</v>
      </c>
      <c r="F67" s="13">
        <v>0</v>
      </c>
      <c r="G67" s="14">
        <f t="shared" si="1"/>
        <v>6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+'[1]30'!G68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+'[1]30'!G69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+'[1]30'!G70</f>
        <v>11</v>
      </c>
      <c r="D70" s="13">
        <v>0</v>
      </c>
      <c r="E70" s="12">
        <f t="shared" si="0"/>
        <v>11</v>
      </c>
      <c r="F70" s="13">
        <v>2</v>
      </c>
      <c r="G70" s="14">
        <f t="shared" si="1"/>
        <v>9</v>
      </c>
      <c r="H70" s="15">
        <v>0</v>
      </c>
      <c r="I70" s="22">
        <v>50</v>
      </c>
      <c r="J70" s="43">
        <f t="shared" ref="J70:J133" si="10">+I70*H70</f>
        <v>0</v>
      </c>
      <c r="K70" s="18" t="s">
        <v>267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+'[1]30'!G71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3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+'[1]30'!G72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+'[1]30'!G73</f>
        <v>1</v>
      </c>
      <c r="D73" s="13">
        <v>10</v>
      </c>
      <c r="E73" s="12">
        <f t="shared" si="0"/>
        <v>11</v>
      </c>
      <c r="F73" s="13">
        <v>0</v>
      </c>
      <c r="G73" s="14">
        <f t="shared" si="1"/>
        <v>10</v>
      </c>
      <c r="H73" s="15">
        <v>1</v>
      </c>
      <c r="I73" s="22">
        <v>60</v>
      </c>
      <c r="J73" s="43">
        <f t="shared" si="10"/>
        <v>60</v>
      </c>
      <c r="K73" s="18" t="s">
        <v>16</v>
      </c>
      <c r="L73" s="19">
        <v>0</v>
      </c>
      <c r="M73" s="24">
        <f t="shared" si="11"/>
        <v>60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+'[1]30'!G74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+'[1]30'!G75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+'[1]30'!G76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+'[1]30'!G77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+'[1]30'!G78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+'[1]30'!G79</f>
        <v>9</v>
      </c>
      <c r="D79" s="13">
        <v>0</v>
      </c>
      <c r="E79" s="12">
        <f t="shared" si="0"/>
        <v>9</v>
      </c>
      <c r="F79" s="13">
        <v>0</v>
      </c>
      <c r="G79" s="14">
        <f t="shared" si="1"/>
        <v>8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+'[1]30'!G80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+'[1]30'!G81</f>
        <v>0</v>
      </c>
      <c r="D81" s="13">
        <v>2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+'[1]30'!G82</f>
        <v>1</v>
      </c>
      <c r="D82" s="13">
        <v>0</v>
      </c>
      <c r="E82" s="12">
        <f t="shared" si="0"/>
        <v>1</v>
      </c>
      <c r="F82" s="13">
        <v>1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267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+'[1]30'!G83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+'[1]30'!G84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+'[1]30'!G85</f>
        <v>1</v>
      </c>
      <c r="D85" s="13">
        <v>0</v>
      </c>
      <c r="E85" s="12">
        <f t="shared" si="0"/>
        <v>1</v>
      </c>
      <c r="F85" s="13">
        <v>0</v>
      </c>
      <c r="G85" s="14">
        <f t="shared" si="12"/>
        <v>1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+'[1]30'!G86</f>
        <v>0</v>
      </c>
      <c r="D86" s="13">
        <v>10</v>
      </c>
      <c r="E86" s="12">
        <f t="shared" si="0"/>
        <v>10</v>
      </c>
      <c r="F86" s="13">
        <v>0</v>
      </c>
      <c r="G86" s="14">
        <f t="shared" si="12"/>
        <v>10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+'[1]30'!G87</f>
        <v>1</v>
      </c>
      <c r="D87" s="13">
        <v>10</v>
      </c>
      <c r="E87" s="12">
        <f t="shared" si="0"/>
        <v>11</v>
      </c>
      <c r="F87" s="13">
        <v>0</v>
      </c>
      <c r="G87" s="14">
        <f t="shared" si="12"/>
        <v>8</v>
      </c>
      <c r="H87" s="15">
        <v>3</v>
      </c>
      <c r="I87" s="22">
        <v>60</v>
      </c>
      <c r="J87" s="43">
        <f t="shared" si="10"/>
        <v>180</v>
      </c>
      <c r="K87" s="18" t="s">
        <v>16</v>
      </c>
      <c r="L87" s="19">
        <v>0</v>
      </c>
      <c r="M87" s="24">
        <f t="shared" si="11"/>
        <v>180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+'[1]30'!G88</f>
        <v>11</v>
      </c>
      <c r="D88" s="13">
        <v>0</v>
      </c>
      <c r="E88" s="12">
        <f t="shared" si="0"/>
        <v>11</v>
      </c>
      <c r="F88" s="13">
        <v>0</v>
      </c>
      <c r="G88" s="14">
        <f t="shared" si="12"/>
        <v>10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+'[1]30'!G89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+'[1]30'!G90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+'[1]30'!G91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+'[1]30'!G92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+'[1]30'!G93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+'[1]30'!G94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+'[1]30'!G95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+'[1]30'!G96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+'[1]30'!G97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+'[1]30'!G98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+'[1]30'!G99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+'[1]30'!G100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+'[1]30'!G101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+'[1]30'!G102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+'[1]30'!G103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+'[1]30'!G104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+'[1]30'!G105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+'[1]30'!G106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+'[1]30'!G107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+'[1]30'!G108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+'[1]30'!G109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+'[1]30'!G110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+'[1]30'!G111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+'[1]30'!G112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+'[1]30'!G113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+'[1]30'!G114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+'[1]30'!G115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+'[1]30'!G116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+'[1]30'!G117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+'[1]30'!G118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+'[1]30'!G119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+'[1]30'!G120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+'[1]30'!G121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+'[1]30'!G122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+'[1]30'!G123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+'[1]30'!G124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+'[1]30'!G125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+'[1]30'!G126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+'[1]30'!G127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+'[1]30'!G128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+'[1]30'!G129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+'[1]30'!G130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+'[1]30'!G131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+'[1]30'!G132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+'[1]30'!G133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+'[1]30'!G134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+'[1]30'!G135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+'[1]30'!G136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+'[1]30'!G137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+'[1]30'!G138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+'[1]30'!G139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+'[1]30'!G140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+'[1]30'!G141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+'[1]30'!G142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+'[1]30'!G143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+'[1]30'!G144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+'[1]30'!G145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+'[1]30'!G146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+'[1]30'!G147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+'[1]30'!G148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+'[1]30'!G149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+'[1]30'!G150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+'[1]30'!G151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+'[1]30'!G152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+'[1]30'!G153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+'[1]30'!G154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+'[1]30'!G155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+'[1]30'!G156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+'[1]30'!G157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+'[1]30'!G158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+'[1]30'!G159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+'[1]30'!G160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+'[1]30'!G161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+'[1]30'!G162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+'[1]30'!G163</f>
        <v>4</v>
      </c>
      <c r="D163" s="13">
        <v>0</v>
      </c>
      <c r="E163" s="12">
        <f t="shared" si="17"/>
        <v>4</v>
      </c>
      <c r="F163" s="13">
        <v>0</v>
      </c>
      <c r="G163" s="14">
        <f t="shared" si="16"/>
        <v>4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+'[1]30'!G164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+'[1]30'!G165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+'[1]30'!G166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+'[1]30'!G167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+'[1]30'!G168</f>
        <v>41</v>
      </c>
      <c r="D168" s="13">
        <v>0</v>
      </c>
      <c r="E168" s="12">
        <f t="shared" si="17"/>
        <v>41</v>
      </c>
      <c r="F168" s="13">
        <v>0</v>
      </c>
      <c r="G168" s="14">
        <f t="shared" si="16"/>
        <v>41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+'[1]30'!G169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+'[1]30'!G170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+'[1]30'!G171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+'[1]30'!G172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+'[1]30'!G173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+'[1]30'!G174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+'[1]30'!G175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+'[1]30'!G176</f>
        <v>3</v>
      </c>
      <c r="D176" s="13">
        <v>0</v>
      </c>
      <c r="E176" s="12">
        <f t="shared" si="17"/>
        <v>3</v>
      </c>
      <c r="F176" s="13">
        <v>1</v>
      </c>
      <c r="G176" s="14">
        <f t="shared" si="16"/>
        <v>2</v>
      </c>
      <c r="H176" s="15">
        <v>0</v>
      </c>
      <c r="I176" s="22">
        <v>50</v>
      </c>
      <c r="J176" s="43">
        <f t="shared" si="14"/>
        <v>0</v>
      </c>
      <c r="K176" s="18" t="s">
        <v>267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+'[1]30'!G177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+'[1]30'!G178</f>
        <v>0</v>
      </c>
      <c r="D178" s="13">
        <v>5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+'[1]30'!G179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+'[1]30'!G180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+'[1]30'!G181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+'[1]30'!G182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+'[1]30'!G183</f>
        <v>10</v>
      </c>
      <c r="D183" s="13">
        <v>0</v>
      </c>
      <c r="E183" s="12">
        <f t="shared" si="17"/>
        <v>10</v>
      </c>
      <c r="F183" s="13">
        <v>0</v>
      </c>
      <c r="G183" s="14">
        <f t="shared" si="16"/>
        <v>10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+'[1]30'!G184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+'[1]30'!G185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+'[1]30'!G186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+'[1]30'!G187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+'[1]30'!G188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+'[1]30'!G189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+'[1]30'!G190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+'[1]30'!G191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+'[1]30'!G192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+'[1]30'!G193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+'[1]30'!G194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+'[1]30'!G195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+'[1]30'!G196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+'[1]30'!G197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+'[1]30'!G198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+'[1]30'!G199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+'[1]30'!G200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+'[1]30'!G201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+'[1]30'!G202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+'[1]30'!G203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+'[1]30'!G204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+'[1]30'!G205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+'[1]30'!G206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+'[1]30'!G207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+'[1]30'!G208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+'[1]30'!G209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+'[1]30'!G210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+'[1]30'!G211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+'[1]30'!G212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+'[1]30'!G213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5785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340</v>
      </c>
      <c r="L218" s="2">
        <v>60</v>
      </c>
      <c r="M218" s="2">
        <v>180</v>
      </c>
      <c r="N218" s="2">
        <v>100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SUM(L5:L214)</f>
        <v>950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4480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4430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-50</v>
      </c>
    </row>
    <row r="225" spans="7:11" ht="25.5">
      <c r="G225" s="2"/>
      <c r="I225" s="134" t="s">
        <v>217</v>
      </c>
      <c r="J225" s="135"/>
      <c r="K225" s="34">
        <f>+K223-K222</f>
        <v>-50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1" xr:uid="{A8659A1D-7742-48A0-A8EC-0F2280F9B025}"/>
  <mergeCells count="32">
    <mergeCell ref="I221:J221"/>
    <mergeCell ref="I222:J222"/>
    <mergeCell ref="I223:J223"/>
    <mergeCell ref="I224:J224"/>
    <mergeCell ref="I225:J225"/>
    <mergeCell ref="I220:J220"/>
    <mergeCell ref="S3:S4"/>
    <mergeCell ref="U3:U4"/>
    <mergeCell ref="V3:X3"/>
    <mergeCell ref="Y3:Y4"/>
    <mergeCell ref="M214:N214"/>
    <mergeCell ref="H215:I215"/>
    <mergeCell ref="I216:J216"/>
    <mergeCell ref="I217:J217"/>
    <mergeCell ref="I219:J219"/>
    <mergeCell ref="Z3:Z4"/>
    <mergeCell ref="P107:W107"/>
    <mergeCell ref="K3:K4"/>
    <mergeCell ref="L3:L4"/>
    <mergeCell ref="O3:O4"/>
    <mergeCell ref="P3:P4"/>
    <mergeCell ref="Q3:Q4"/>
    <mergeCell ref="R3:R4"/>
    <mergeCell ref="A2:K2"/>
    <mergeCell ref="O2:Y2"/>
    <mergeCell ref="A3:A4"/>
    <mergeCell ref="B3:B4"/>
    <mergeCell ref="C3:C4"/>
    <mergeCell ref="D3:D4"/>
    <mergeCell ref="E3:E4"/>
    <mergeCell ref="G3:G4"/>
    <mergeCell ref="H3:J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A9974-D0AE-4BA8-83F8-E5894993B426}">
  <sheetPr>
    <tabColor theme="5" tint="0.79998168889431442"/>
  </sheetPr>
  <dimension ref="A1:Z280"/>
  <sheetViews>
    <sheetView topLeftCell="A211" zoomScale="90" zoomScaleNormal="90" workbookViewId="0">
      <selection activeCell="K221" sqref="K221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+ยกมา!G5</f>
        <v>13</v>
      </c>
      <c r="D5" s="13">
        <v>0</v>
      </c>
      <c r="E5" s="12">
        <f t="shared" ref="E5:E94" si="0">C5+D5</f>
        <v>13</v>
      </c>
      <c r="F5" s="13">
        <v>0</v>
      </c>
      <c r="G5" s="14">
        <f t="shared" ref="G5:G81" si="1">E5-F5-H5</f>
        <v>12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82">
        <v>19</v>
      </c>
      <c r="D6" s="13">
        <v>0</v>
      </c>
      <c r="E6" s="12">
        <f t="shared" si="0"/>
        <v>19</v>
      </c>
      <c r="F6" s="13">
        <v>0</v>
      </c>
      <c r="G6" s="14">
        <f t="shared" si="1"/>
        <v>15</v>
      </c>
      <c r="H6" s="15">
        <v>4</v>
      </c>
      <c r="I6" s="16">
        <v>100</v>
      </c>
      <c r="J6" s="43">
        <f t="shared" ref="J6:J69" si="5">+I6*H6</f>
        <v>400</v>
      </c>
      <c r="K6" s="18" t="s">
        <v>16</v>
      </c>
      <c r="L6" s="19">
        <v>0</v>
      </c>
      <c r="M6" s="24">
        <f t="shared" ref="M6:M69" si="6">SUM(J6-L6)</f>
        <v>400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+ยกมา!G7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+ยกมา!G12</f>
        <v>0</v>
      </c>
      <c r="D12" s="13">
        <v>0</v>
      </c>
      <c r="E12" s="12">
        <f t="shared" si="0"/>
        <v>0</v>
      </c>
      <c r="F12" s="13">
        <v>0</v>
      </c>
      <c r="G12" s="14">
        <f>E12-F12-H12</f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+ยกมา!G13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269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+ยกมา!G14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+ยกมา!G15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+ยกมา!G16</f>
        <v>2</v>
      </c>
      <c r="D16" s="13">
        <v>0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+ยกมา!G17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+ยกมา!G18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+ยกมา!G19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+ยกมา!G20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+ยกมา!G22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+ยกมา!G23</f>
        <v>8</v>
      </c>
      <c r="D23" s="13">
        <v>0</v>
      </c>
      <c r="E23" s="12">
        <f t="shared" si="0"/>
        <v>8</v>
      </c>
      <c r="F23" s="13">
        <v>0</v>
      </c>
      <c r="G23" s="14">
        <f t="shared" si="1"/>
        <v>7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+ยกมา!G24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+ยกมา!G26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+ยกมา!G27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+ยกมา!G29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+ยกมา!G30</f>
        <v>2</v>
      </c>
      <c r="D30" s="13">
        <v>0</v>
      </c>
      <c r="E30" s="12">
        <f t="shared" si="0"/>
        <v>2</v>
      </c>
      <c r="F30" s="13">
        <v>0</v>
      </c>
      <c r="G30" s="14">
        <f t="shared" si="1"/>
        <v>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+ยกมา!G31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+ยกมา!G33</f>
        <v>5</v>
      </c>
      <c r="D33" s="13">
        <v>0</v>
      </c>
      <c r="E33" s="12">
        <f t="shared" si="0"/>
        <v>5</v>
      </c>
      <c r="F33" s="13">
        <v>0</v>
      </c>
      <c r="G33" s="14">
        <f t="shared" si="1"/>
        <v>5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+ยกมา!G34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+ยกมา!G35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+ยกมา!G37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5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+ยกมา!G38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+ยกมา!G39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7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+ยกมา!G40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+ยกมา!G41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+ยกมา!G42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+ยกมา!G43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+ยกมา!G44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8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+ยกมา!G45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+ยกมา!G46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+ยกมา!G47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+ยกมา!G48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+ยกมา!G49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+ยกมา!G50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82"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+ยกมา!G52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+ยกมา!G53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+ยกมา!G54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82"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+ยกมา!G56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82"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82"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+ยกมา!G61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+ยกมา!G62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+ยกมา!G63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+ยกมา!G66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+ยกมา!G67</f>
        <v>6</v>
      </c>
      <c r="D67" s="13">
        <v>0</v>
      </c>
      <c r="E67" s="12">
        <f t="shared" si="0"/>
        <v>6</v>
      </c>
      <c r="F67" s="13">
        <v>0</v>
      </c>
      <c r="G67" s="14">
        <f t="shared" si="1"/>
        <v>5</v>
      </c>
      <c r="H67" s="15">
        <v>1</v>
      </c>
      <c r="I67" s="16">
        <v>50</v>
      </c>
      <c r="J67" s="43">
        <f t="shared" si="5"/>
        <v>50</v>
      </c>
      <c r="K67" s="18" t="s">
        <v>268</v>
      </c>
      <c r="L67" s="19">
        <v>25</v>
      </c>
      <c r="M67" s="24">
        <f t="shared" si="6"/>
        <v>25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+ยกมา!G68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+ยกมา!G70</f>
        <v>9</v>
      </c>
      <c r="D70" s="13">
        <v>0</v>
      </c>
      <c r="E70" s="12">
        <f t="shared" si="0"/>
        <v>9</v>
      </c>
      <c r="F70" s="13">
        <v>0</v>
      </c>
      <c r="G70" s="14">
        <f t="shared" si="1"/>
        <v>9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+ยกมา!G71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2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+ยกมา!G73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1"/>
        <v>10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+ยกมา!G74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+ยกมา!G77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+ยกมา!G79</f>
        <v>8</v>
      </c>
      <c r="D79" s="13">
        <v>0</v>
      </c>
      <c r="E79" s="12">
        <f t="shared" si="0"/>
        <v>8</v>
      </c>
      <c r="F79" s="13">
        <v>0</v>
      </c>
      <c r="G79" s="14">
        <f t="shared" si="1"/>
        <v>8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+ยกมา!G81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+ยกมา!G82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+ยกมา!G85</f>
        <v>1</v>
      </c>
      <c r="D85" s="13">
        <v>0</v>
      </c>
      <c r="E85" s="12">
        <f t="shared" si="0"/>
        <v>1</v>
      </c>
      <c r="F85" s="13">
        <v>0</v>
      </c>
      <c r="G85" s="14">
        <f t="shared" si="12"/>
        <v>1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+ยกมา!G86</f>
        <v>10</v>
      </c>
      <c r="D86" s="13">
        <v>0</v>
      </c>
      <c r="E86" s="12">
        <f t="shared" si="0"/>
        <v>10</v>
      </c>
      <c r="F86" s="13">
        <v>0</v>
      </c>
      <c r="G86" s="14">
        <f t="shared" si="12"/>
        <v>10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+ยกมา!G87</f>
        <v>8</v>
      </c>
      <c r="D87" s="13">
        <v>0</v>
      </c>
      <c r="E87" s="12">
        <f t="shared" si="0"/>
        <v>8</v>
      </c>
      <c r="F87" s="13">
        <v>0</v>
      </c>
      <c r="G87" s="14">
        <f t="shared" si="12"/>
        <v>8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+ยกมา!G88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10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+ยกมา!G89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+ยกมา!G92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+ยกมา!G95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0</v>
      </c>
      <c r="H95" s="15">
        <v>1</v>
      </c>
      <c r="I95" s="22">
        <v>120</v>
      </c>
      <c r="J95" s="43">
        <f t="shared" si="10"/>
        <v>120</v>
      </c>
      <c r="K95" s="18" t="s">
        <v>268</v>
      </c>
      <c r="L95" s="19">
        <v>60</v>
      </c>
      <c r="M95" s="24">
        <f t="shared" si="11"/>
        <v>60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+ยกมา!G96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+ยกมา!G97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+ยกมา!G98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+ยกมา!G99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+ยกมา!G101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+ยกมา!G102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+ยกมา!G103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+ยกมา!G106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+ยกมา!G114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82">
        <v>5</v>
      </c>
      <c r="D133" s="13">
        <v>0</v>
      </c>
      <c r="E133" s="12">
        <f t="shared" si="13"/>
        <v>5</v>
      </c>
      <c r="F133" s="13">
        <v>0</v>
      </c>
      <c r="G133" s="14">
        <f t="shared" si="12"/>
        <v>5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+ยกมา!G146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8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+ยกมา!G150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+ยกมา!G151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+ยกมา!G152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+ยกมา!G153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+ยกมา!G154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+ยกมา!G155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+ยกมา!G156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+ยกมา!G159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+ยกมา!G160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+ยกมา!G161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+ยกมา!G162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+ยกมา!G163</f>
        <v>4</v>
      </c>
      <c r="D163" s="13">
        <v>0</v>
      </c>
      <c r="E163" s="12">
        <f t="shared" si="17"/>
        <v>4</v>
      </c>
      <c r="F163" s="13">
        <v>0</v>
      </c>
      <c r="G163" s="14">
        <f t="shared" si="16"/>
        <v>4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+ยกมา!G164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+ยกมา!G165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+ยกมา!G166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+ยกมา!G167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+ยกมา!G168</f>
        <v>41</v>
      </c>
      <c r="D168" s="13">
        <v>0</v>
      </c>
      <c r="E168" s="12">
        <f t="shared" si="17"/>
        <v>41</v>
      </c>
      <c r="F168" s="13">
        <v>0</v>
      </c>
      <c r="G168" s="14">
        <f t="shared" si="16"/>
        <v>40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+ยกมา!G169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+ยกมา!G170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+ยกมา!G171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+ยกมา!G172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+ยกมา!G173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+ยกมา!G174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+ยกมา!G175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+ยกมา!G176</f>
        <v>2</v>
      </c>
      <c r="D176" s="13">
        <v>0</v>
      </c>
      <c r="E176" s="12">
        <f t="shared" si="17"/>
        <v>2</v>
      </c>
      <c r="F176" s="13">
        <v>0</v>
      </c>
      <c r="G176" s="14">
        <f t="shared" si="16"/>
        <v>2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+ยกมา!G177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+ยกมา!G178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+ยกมา!G179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+ยกมา!G180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+ยกมา!G181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+ยกมา!G182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83" t="s">
        <v>195</v>
      </c>
      <c r="C183" s="82"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+ยกมา!G184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+ยกมา!G185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+ยกมา!G186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+ยกมา!G187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+ยกมา!G188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+ยกมา!G189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+ยกมา!G190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+ยกมา!G191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+ยกมา!G192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+ยกมา!G193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+ยกมา!G194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+ยกมา!G195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+ยกมา!G196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+ยกมา!G197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+ยกมา!G198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>
      <c r="A199" s="10">
        <v>195</v>
      </c>
      <c r="B199" s="21" t="s">
        <v>251</v>
      </c>
      <c r="C199" s="12">
        <f>+ยกมา!G199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+ยกมา!G200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+ยกมา!G201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+ยกมา!G202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+ยกมา!G203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82">
        <v>5</v>
      </c>
      <c r="D204" s="13">
        <v>0</v>
      </c>
      <c r="E204" s="12">
        <f t="shared" si="17"/>
        <v>5</v>
      </c>
      <c r="F204" s="13">
        <v>0</v>
      </c>
      <c r="G204" s="14">
        <f t="shared" si="16"/>
        <v>5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+ยกมา!G205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+ยกมา!G206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+ยกมา!G207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+ยกมา!G208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+ยกมา!G209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ref="G209:G213" si="20">E209-F209-H209</f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ref="M209:M213" si="21">SUM(J209-L209)</f>
        <v>0</v>
      </c>
    </row>
    <row r="210" spans="1:14" ht="25.5">
      <c r="A210" s="10">
        <v>206</v>
      </c>
      <c r="B210" s="21" t="s">
        <v>262</v>
      </c>
      <c r="C210" s="12">
        <f>+ยกมา!G210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si="20"/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21"/>
        <v>0</v>
      </c>
    </row>
    <row r="211" spans="1:14" ht="25.5">
      <c r="A211" s="10">
        <v>207</v>
      </c>
      <c r="B211" s="21" t="s">
        <v>263</v>
      </c>
      <c r="C211" s="12">
        <f>+ยกมา!G211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21"/>
        <v>0</v>
      </c>
    </row>
    <row r="212" spans="1:14" ht="25.5">
      <c r="A212" s="10">
        <v>208</v>
      </c>
      <c r="B212" s="11" t="s">
        <v>264</v>
      </c>
      <c r="C212" s="12">
        <f>+ยกมา!G212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21"/>
        <v>0</v>
      </c>
    </row>
    <row r="213" spans="1:14" ht="25.5">
      <c r="A213" s="10">
        <v>209</v>
      </c>
      <c r="B213" s="21" t="s">
        <v>265</v>
      </c>
      <c r="C213" s="12">
        <f>+ยกมา!G213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21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+X111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SUM(J5:J213)</f>
        <v>835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315</v>
      </c>
      <c r="L218" s="2">
        <v>55</v>
      </c>
      <c r="M218" s="2">
        <v>200</v>
      </c>
      <c r="N218" s="2">
        <v>60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SUM(L9:L214)</f>
        <v>85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420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420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270</v>
      </c>
      <c r="K227" s="24">
        <f>+K216-K221+K224</f>
        <v>750</v>
      </c>
    </row>
    <row r="228" spans="7:11">
      <c r="G228" s="2"/>
      <c r="I228" s="2"/>
      <c r="J228" s="2" t="s">
        <v>271</v>
      </c>
      <c r="K228" s="24">
        <f>SUM(K217:K220)</f>
        <v>330</v>
      </c>
    </row>
    <row r="229" spans="7:11">
      <c r="G229" s="2"/>
      <c r="I229" s="2"/>
      <c r="J229" s="2" t="s">
        <v>272</v>
      </c>
      <c r="K229" s="24">
        <f>+K223</f>
        <v>420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</sheetData>
  <autoFilter ref="A1:Y208" xr:uid="{A8659A1D-7742-48A0-A8EC-0F2280F9B025}"/>
  <mergeCells count="32">
    <mergeCell ref="I222:J222"/>
    <mergeCell ref="I223:J223"/>
    <mergeCell ref="I224:J224"/>
    <mergeCell ref="I225:J225"/>
    <mergeCell ref="M214:N214"/>
    <mergeCell ref="H215:I215"/>
    <mergeCell ref="I219:J219"/>
    <mergeCell ref="I220:J220"/>
    <mergeCell ref="I221:J221"/>
    <mergeCell ref="I216:J216"/>
    <mergeCell ref="I217:J217"/>
    <mergeCell ref="Z3:Z4"/>
    <mergeCell ref="P107:W107"/>
    <mergeCell ref="R3:R4"/>
    <mergeCell ref="S3:S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7DF7-FC91-4648-9AC1-123708A57575}">
  <sheetPr>
    <tabColor theme="5" tint="0.79998168889431442"/>
  </sheetPr>
  <dimension ref="A1:Z282"/>
  <sheetViews>
    <sheetView topLeftCell="A209" zoomScale="90" zoomScaleNormal="90" workbookViewId="0">
      <selection activeCell="K229" sqref="K22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+'1'!G5</f>
        <v>12</v>
      </c>
      <c r="D5" s="13">
        <v>0</v>
      </c>
      <c r="E5" s="12">
        <f t="shared" ref="E5:E94" si="0">C5+D5</f>
        <v>12</v>
      </c>
      <c r="F5" s="13">
        <v>0</v>
      </c>
      <c r="G5" s="14">
        <f t="shared" ref="G5:G81" si="1">E5-F5-H5</f>
        <v>12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+'1'!G6</f>
        <v>15</v>
      </c>
      <c r="D6" s="13">
        <v>0</v>
      </c>
      <c r="E6" s="12">
        <f t="shared" si="0"/>
        <v>15</v>
      </c>
      <c r="F6" s="13">
        <v>0</v>
      </c>
      <c r="G6" s="14">
        <f t="shared" si="1"/>
        <v>12</v>
      </c>
      <c r="H6" s="15">
        <v>3</v>
      </c>
      <c r="I6" s="16">
        <v>100</v>
      </c>
      <c r="J6" s="43">
        <f t="shared" ref="J6:J69" si="5">+I6*H6</f>
        <v>300</v>
      </c>
      <c r="K6" s="18" t="s">
        <v>16</v>
      </c>
      <c r="L6" s="19">
        <v>0</v>
      </c>
      <c r="M6" s="24">
        <f t="shared" ref="M6:M69" si="6">SUM(J6-L6)</f>
        <v>300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+'1'!G16</f>
        <v>2</v>
      </c>
      <c r="D16" s="13">
        <v>0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+'1'!G23</f>
        <v>7</v>
      </c>
      <c r="D23" s="13">
        <v>0</v>
      </c>
      <c r="E23" s="12">
        <f t="shared" si="0"/>
        <v>7</v>
      </c>
      <c r="F23" s="13">
        <v>0</v>
      </c>
      <c r="G23" s="14">
        <f t="shared" si="1"/>
        <v>7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+'1'!G29</f>
        <v>6</v>
      </c>
      <c r="D29" s="13">
        <v>0</v>
      </c>
      <c r="E29" s="12">
        <f t="shared" si="0"/>
        <v>6</v>
      </c>
      <c r="F29" s="13">
        <v>0</v>
      </c>
      <c r="G29" s="14">
        <f t="shared" si="1"/>
        <v>6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+'1'!G30</f>
        <v>2</v>
      </c>
      <c r="D30" s="13">
        <v>0</v>
      </c>
      <c r="E30" s="12">
        <f t="shared" si="0"/>
        <v>2</v>
      </c>
      <c r="F30" s="13">
        <v>0</v>
      </c>
      <c r="G30" s="14">
        <f t="shared" si="1"/>
        <v>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+'1'!G33</f>
        <v>5</v>
      </c>
      <c r="D33" s="13">
        <v>0</v>
      </c>
      <c r="E33" s="12">
        <f t="shared" si="0"/>
        <v>5</v>
      </c>
      <c r="F33" s="13">
        <v>0</v>
      </c>
      <c r="G33" s="14">
        <f t="shared" si="1"/>
        <v>5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+'1'!G34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+'1'!G37</f>
        <v>5</v>
      </c>
      <c r="D37" s="13">
        <v>0</v>
      </c>
      <c r="E37" s="12">
        <f t="shared" si="0"/>
        <v>5</v>
      </c>
      <c r="F37" s="13">
        <v>0</v>
      </c>
      <c r="G37" s="14">
        <f t="shared" si="1"/>
        <v>3</v>
      </c>
      <c r="H37" s="15">
        <v>2</v>
      </c>
      <c r="I37" s="16">
        <v>100</v>
      </c>
      <c r="J37" s="43">
        <f t="shared" si="5"/>
        <v>200</v>
      </c>
      <c r="K37" s="18" t="s">
        <v>16</v>
      </c>
      <c r="L37" s="19">
        <v>0</v>
      </c>
      <c r="M37" s="24">
        <f t="shared" si="6"/>
        <v>200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4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+'1'!G39</f>
        <v>7</v>
      </c>
      <c r="D39" s="13">
        <v>0</v>
      </c>
      <c r="E39" s="12">
        <f t="shared" si="0"/>
        <v>7</v>
      </c>
      <c r="F39" s="13">
        <v>0</v>
      </c>
      <c r="G39" s="14">
        <f t="shared" si="1"/>
        <v>5</v>
      </c>
      <c r="H39" s="15">
        <v>2</v>
      </c>
      <c r="I39" s="16">
        <v>50</v>
      </c>
      <c r="J39" s="43">
        <f t="shared" si="5"/>
        <v>100</v>
      </c>
      <c r="K39" s="18" t="s">
        <v>268</v>
      </c>
      <c r="L39" s="19">
        <v>50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7</v>
      </c>
      <c r="H40" s="15">
        <v>2</v>
      </c>
      <c r="I40" s="16">
        <v>50</v>
      </c>
      <c r="J40" s="43">
        <f t="shared" si="5"/>
        <v>100</v>
      </c>
      <c r="K40" s="18" t="s">
        <v>268</v>
      </c>
      <c r="L40" s="19">
        <v>50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+'1'!G42</f>
        <v>2</v>
      </c>
      <c r="D42" s="13">
        <v>0</v>
      </c>
      <c r="E42" s="12">
        <f t="shared" si="0"/>
        <v>2</v>
      </c>
      <c r="F42" s="13">
        <v>0</v>
      </c>
      <c r="G42" s="14">
        <f t="shared" si="1"/>
        <v>2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2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+'1'!G44</f>
        <v>8</v>
      </c>
      <c r="D44" s="13">
        <v>0</v>
      </c>
      <c r="E44" s="12">
        <f t="shared" si="0"/>
        <v>8</v>
      </c>
      <c r="F44" s="13">
        <v>0</v>
      </c>
      <c r="G44" s="14">
        <f t="shared" si="1"/>
        <v>2</v>
      </c>
      <c r="H44" s="15">
        <v>6</v>
      </c>
      <c r="I44" s="16">
        <v>50</v>
      </c>
      <c r="J44" s="43">
        <f t="shared" si="5"/>
        <v>300</v>
      </c>
      <c r="K44" s="18" t="s">
        <v>268</v>
      </c>
      <c r="L44" s="19">
        <v>150</v>
      </c>
      <c r="M44" s="24">
        <f t="shared" si="6"/>
        <v>150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7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2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1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1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0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+'1'!G67</f>
        <v>5</v>
      </c>
      <c r="D67" s="13">
        <v>0</v>
      </c>
      <c r="E67" s="12">
        <f t="shared" si="0"/>
        <v>5</v>
      </c>
      <c r="F67" s="13">
        <v>0</v>
      </c>
      <c r="G67" s="14">
        <f t="shared" si="1"/>
        <v>5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+'1'!G70</f>
        <v>9</v>
      </c>
      <c r="D70" s="13">
        <v>0</v>
      </c>
      <c r="E70" s="12">
        <f t="shared" si="0"/>
        <v>9</v>
      </c>
      <c r="F70" s="13">
        <v>0</v>
      </c>
      <c r="G70" s="14">
        <f t="shared" si="1"/>
        <v>8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+'1'!G71</f>
        <v>2</v>
      </c>
      <c r="D71" s="13">
        <v>0</v>
      </c>
      <c r="E71" s="12">
        <f t="shared" si="0"/>
        <v>2</v>
      </c>
      <c r="F71" s="13">
        <v>0</v>
      </c>
      <c r="G71" s="14">
        <f t="shared" si="1"/>
        <v>0</v>
      </c>
      <c r="H71" s="15">
        <v>2</v>
      </c>
      <c r="I71" s="22">
        <v>60</v>
      </c>
      <c r="J71" s="43">
        <f t="shared" si="10"/>
        <v>120</v>
      </c>
      <c r="K71" s="18" t="s">
        <v>268</v>
      </c>
      <c r="L71" s="19">
        <v>60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+'1'!G73</f>
        <v>10</v>
      </c>
      <c r="D73" s="13">
        <v>0</v>
      </c>
      <c r="E73" s="12">
        <f t="shared" si="0"/>
        <v>10</v>
      </c>
      <c r="F73" s="13">
        <v>0</v>
      </c>
      <c r="G73" s="14">
        <f t="shared" si="1"/>
        <v>9</v>
      </c>
      <c r="H73" s="15">
        <v>1</v>
      </c>
      <c r="I73" s="22">
        <v>60</v>
      </c>
      <c r="J73" s="43">
        <f t="shared" si="10"/>
        <v>60</v>
      </c>
      <c r="K73" s="18" t="s">
        <v>16</v>
      </c>
      <c r="L73" s="19">
        <v>0</v>
      </c>
      <c r="M73" s="24">
        <f t="shared" si="11"/>
        <v>60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+'1'!G79</f>
        <v>8</v>
      </c>
      <c r="D79" s="13">
        <v>0</v>
      </c>
      <c r="E79" s="12">
        <f t="shared" si="0"/>
        <v>8</v>
      </c>
      <c r="F79" s="13">
        <v>0</v>
      </c>
      <c r="G79" s="14">
        <f t="shared" si="1"/>
        <v>6</v>
      </c>
      <c r="H79" s="15">
        <v>2</v>
      </c>
      <c r="I79" s="23">
        <v>50</v>
      </c>
      <c r="J79" s="43">
        <f t="shared" si="10"/>
        <v>100</v>
      </c>
      <c r="K79" s="18" t="s">
        <v>268</v>
      </c>
      <c r="L79" s="19">
        <v>50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+'1'!G85</f>
        <v>1</v>
      </c>
      <c r="D85" s="13">
        <v>0</v>
      </c>
      <c r="E85" s="12">
        <f t="shared" si="0"/>
        <v>1</v>
      </c>
      <c r="F85" s="13">
        <v>0</v>
      </c>
      <c r="G85" s="14">
        <f t="shared" si="12"/>
        <v>1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+'1'!G86</f>
        <v>10</v>
      </c>
      <c r="D86" s="13">
        <v>0</v>
      </c>
      <c r="E86" s="12">
        <f t="shared" si="0"/>
        <v>10</v>
      </c>
      <c r="F86" s="13">
        <v>0</v>
      </c>
      <c r="G86" s="14">
        <f t="shared" si="12"/>
        <v>10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+'1'!G87</f>
        <v>8</v>
      </c>
      <c r="D87" s="13">
        <v>0</v>
      </c>
      <c r="E87" s="12">
        <f t="shared" si="0"/>
        <v>8</v>
      </c>
      <c r="F87" s="13">
        <v>0</v>
      </c>
      <c r="G87" s="14">
        <f t="shared" si="12"/>
        <v>8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10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+'1'!G92</f>
        <v>1</v>
      </c>
      <c r="D92" s="13">
        <v>0</v>
      </c>
      <c r="E92" s="12">
        <f t="shared" si="0"/>
        <v>1</v>
      </c>
      <c r="F92" s="13">
        <v>0</v>
      </c>
      <c r="G92" s="14">
        <f t="shared" si="12"/>
        <v>1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+'1'!G133</f>
        <v>5</v>
      </c>
      <c r="D133" s="13">
        <v>0</v>
      </c>
      <c r="E133" s="12">
        <f t="shared" si="13"/>
        <v>5</v>
      </c>
      <c r="F133" s="13">
        <v>0</v>
      </c>
      <c r="G133" s="14">
        <f t="shared" si="12"/>
        <v>5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+'1'!G163</f>
        <v>4</v>
      </c>
      <c r="D163" s="13">
        <v>4</v>
      </c>
      <c r="E163" s="12">
        <f t="shared" si="17"/>
        <v>8</v>
      </c>
      <c r="F163" s="13">
        <v>0</v>
      </c>
      <c r="G163" s="14">
        <f t="shared" si="16"/>
        <v>8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+'1'!G168</f>
        <v>40</v>
      </c>
      <c r="D168" s="13">
        <v>0</v>
      </c>
      <c r="E168" s="12">
        <f t="shared" si="17"/>
        <v>40</v>
      </c>
      <c r="F168" s="13">
        <v>0</v>
      </c>
      <c r="G168" s="14">
        <f t="shared" si="16"/>
        <v>40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+'1'!G176</f>
        <v>2</v>
      </c>
      <c r="D176" s="13">
        <v>0</v>
      </c>
      <c r="E176" s="12">
        <f t="shared" si="17"/>
        <v>2</v>
      </c>
      <c r="F176" s="13">
        <v>0</v>
      </c>
      <c r="G176" s="14">
        <f t="shared" si="16"/>
        <v>1</v>
      </c>
      <c r="H176" s="15">
        <v>1</v>
      </c>
      <c r="I176" s="22">
        <v>50</v>
      </c>
      <c r="J176" s="43">
        <f t="shared" si="14"/>
        <v>50</v>
      </c>
      <c r="K176" s="18" t="s">
        <v>268</v>
      </c>
      <c r="L176" s="19">
        <v>25</v>
      </c>
      <c r="M176" s="24">
        <f t="shared" si="15"/>
        <v>25</v>
      </c>
    </row>
    <row r="177" spans="1:13" ht="25.5">
      <c r="A177" s="10">
        <v>173</v>
      </c>
      <c r="B177" s="21" t="s">
        <v>189</v>
      </c>
      <c r="C177" s="12">
        <f>+'1'!G177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+'1'!G199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+'1'!G204</f>
        <v>5</v>
      </c>
      <c r="D204" s="13">
        <v>0</v>
      </c>
      <c r="E204" s="12">
        <f t="shared" si="17"/>
        <v>5</v>
      </c>
      <c r="F204" s="13">
        <v>0</v>
      </c>
      <c r="G204" s="14">
        <f t="shared" si="16"/>
        <v>5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+'1'!G212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+X111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SUM(J5:J213)</f>
        <v>1430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300</v>
      </c>
      <c r="L218" s="2">
        <v>300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SUM(L9:L214)</f>
        <v>385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730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730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270</v>
      </c>
      <c r="K227" s="24">
        <f>+K216-K221+K224</f>
        <v>1045</v>
      </c>
    </row>
    <row r="228" spans="7:11">
      <c r="G228" s="2"/>
      <c r="I228" s="2"/>
      <c r="J228" s="2" t="s">
        <v>271</v>
      </c>
      <c r="K228" s="24">
        <f>SUM(K217:K220)</f>
        <v>315</v>
      </c>
    </row>
    <row r="229" spans="7:11">
      <c r="G229" s="2"/>
      <c r="I229" s="2"/>
      <c r="J229" s="2" t="s">
        <v>272</v>
      </c>
      <c r="K229" s="24">
        <f>+K223</f>
        <v>730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</sheetData>
  <autoFilter ref="A1:Y208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L3:L4"/>
    <mergeCell ref="O3:O4"/>
    <mergeCell ref="P3:P4"/>
    <mergeCell ref="Q3:Q4"/>
    <mergeCell ref="I225:J225"/>
    <mergeCell ref="M214:N214"/>
    <mergeCell ref="H215:I215"/>
    <mergeCell ref="I222:J222"/>
    <mergeCell ref="I223:J223"/>
    <mergeCell ref="I224:J224"/>
    <mergeCell ref="I219:J219"/>
    <mergeCell ref="I220:J220"/>
    <mergeCell ref="I221:J221"/>
    <mergeCell ref="I216:J216"/>
    <mergeCell ref="I217:J21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F90E1-4329-4FB0-B1D0-0721C5B0392A}">
  <sheetPr>
    <tabColor theme="5" tint="0.79998168889431442"/>
  </sheetPr>
  <dimension ref="A1:Z280"/>
  <sheetViews>
    <sheetView topLeftCell="E1" zoomScale="90" zoomScaleNormal="90" workbookViewId="0">
      <pane ySplit="4" topLeftCell="A212" activePane="bottomLeft" state="frozen"/>
      <selection pane="bottomLeft" activeCell="P218" sqref="P218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+'2'!G5</f>
        <v>12</v>
      </c>
      <c r="D5" s="13">
        <v>0</v>
      </c>
      <c r="E5" s="12">
        <f t="shared" ref="E5:E94" si="0">C5+D5</f>
        <v>12</v>
      </c>
      <c r="F5" s="13">
        <v>0</v>
      </c>
      <c r="G5" s="14">
        <f t="shared" ref="G5:G81" si="1">E5-F5-H5</f>
        <v>11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+'2'!G6</f>
        <v>12</v>
      </c>
      <c r="D6" s="13">
        <v>0</v>
      </c>
      <c r="E6" s="12">
        <f t="shared" si="0"/>
        <v>12</v>
      </c>
      <c r="F6" s="13">
        <v>0</v>
      </c>
      <c r="G6" s="14">
        <f t="shared" si="1"/>
        <v>3</v>
      </c>
      <c r="H6" s="15">
        <v>9</v>
      </c>
      <c r="I6" s="16">
        <v>100</v>
      </c>
      <c r="J6" s="43">
        <f t="shared" ref="J6:J69" si="5">+I6*H6</f>
        <v>900</v>
      </c>
      <c r="K6" s="18" t="s">
        <v>16</v>
      </c>
      <c r="L6" s="19">
        <v>0</v>
      </c>
      <c r="M6" s="24">
        <f t="shared" ref="M6:M69" si="6">SUM(J6-L6)</f>
        <v>900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3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+'2'!G16</f>
        <v>2</v>
      </c>
      <c r="D16" s="13">
        <v>0</v>
      </c>
      <c r="E16" s="12">
        <f t="shared" si="0"/>
        <v>2</v>
      </c>
      <c r="F16" s="13">
        <v>0</v>
      </c>
      <c r="G16" s="14">
        <f t="shared" si="1"/>
        <v>1</v>
      </c>
      <c r="H16" s="15">
        <v>1</v>
      </c>
      <c r="I16" s="16">
        <v>50</v>
      </c>
      <c r="J16" s="43">
        <f t="shared" si="5"/>
        <v>50</v>
      </c>
      <c r="K16" s="18" t="s">
        <v>16</v>
      </c>
      <c r="L16" s="19">
        <v>0</v>
      </c>
      <c r="M16" s="24">
        <f t="shared" si="6"/>
        <v>50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0</v>
      </c>
      <c r="H17" s="15">
        <v>2</v>
      </c>
      <c r="I17" s="16">
        <v>50</v>
      </c>
      <c r="J17" s="43">
        <f t="shared" si="5"/>
        <v>100</v>
      </c>
      <c r="K17" s="18" t="s">
        <v>16</v>
      </c>
      <c r="L17" s="19">
        <v>0</v>
      </c>
      <c r="M17" s="24">
        <f t="shared" si="6"/>
        <v>100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0</v>
      </c>
      <c r="H18" s="15">
        <v>2</v>
      </c>
      <c r="I18" s="22">
        <v>50</v>
      </c>
      <c r="J18" s="43">
        <f t="shared" si="5"/>
        <v>100</v>
      </c>
      <c r="K18" s="18" t="s">
        <v>273</v>
      </c>
      <c r="L18" s="19">
        <v>50</v>
      </c>
      <c r="M18" s="24">
        <f t="shared" si="6"/>
        <v>50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1</v>
      </c>
      <c r="H19" s="15">
        <v>1</v>
      </c>
      <c r="I19" s="16">
        <v>50</v>
      </c>
      <c r="J19" s="43">
        <f t="shared" si="5"/>
        <v>50</v>
      </c>
      <c r="K19" s="18" t="s">
        <v>16</v>
      </c>
      <c r="L19" s="19">
        <v>0</v>
      </c>
      <c r="M19" s="24">
        <f t="shared" si="6"/>
        <v>50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1</v>
      </c>
      <c r="H20" s="15">
        <v>1</v>
      </c>
      <c r="I20" s="16">
        <v>50</v>
      </c>
      <c r="J20" s="43">
        <f t="shared" si="5"/>
        <v>50</v>
      </c>
      <c r="K20" s="18" t="s">
        <v>16</v>
      </c>
      <c r="L20" s="19">
        <v>0</v>
      </c>
      <c r="M20" s="24">
        <f t="shared" si="6"/>
        <v>50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+'2'!G23</f>
        <v>7</v>
      </c>
      <c r="D23" s="13">
        <v>0</v>
      </c>
      <c r="E23" s="12">
        <f t="shared" si="0"/>
        <v>7</v>
      </c>
      <c r="F23" s="13">
        <v>0</v>
      </c>
      <c r="G23" s="14">
        <f t="shared" si="1"/>
        <v>0</v>
      </c>
      <c r="H23" s="15">
        <v>7</v>
      </c>
      <c r="I23" s="16">
        <v>100</v>
      </c>
      <c r="J23" s="43">
        <f t="shared" si="5"/>
        <v>700</v>
      </c>
      <c r="K23" s="18" t="s">
        <v>16</v>
      </c>
      <c r="L23" s="19">
        <v>0</v>
      </c>
      <c r="M23" s="24">
        <f t="shared" si="6"/>
        <v>700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+'2'!G29</f>
        <v>6</v>
      </c>
      <c r="D29" s="13">
        <v>0</v>
      </c>
      <c r="E29" s="12">
        <f t="shared" si="0"/>
        <v>6</v>
      </c>
      <c r="F29" s="13">
        <v>1</v>
      </c>
      <c r="G29" s="14">
        <f t="shared" si="1"/>
        <v>4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+'2'!G30</f>
        <v>2</v>
      </c>
      <c r="D30" s="13">
        <v>0</v>
      </c>
      <c r="E30" s="12">
        <f t="shared" si="0"/>
        <v>2</v>
      </c>
      <c r="F30" s="13">
        <v>0</v>
      </c>
      <c r="G30" s="14">
        <f t="shared" si="1"/>
        <v>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+'2'!G33</f>
        <v>5</v>
      </c>
      <c r="D33" s="13">
        <v>0</v>
      </c>
      <c r="E33" s="12">
        <f t="shared" si="0"/>
        <v>5</v>
      </c>
      <c r="F33" s="13">
        <v>1</v>
      </c>
      <c r="G33" s="14">
        <f t="shared" si="1"/>
        <v>4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+'2'!G34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3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+'2'!G37</f>
        <v>3</v>
      </c>
      <c r="D37" s="13">
        <v>0</v>
      </c>
      <c r="E37" s="12">
        <f t="shared" si="0"/>
        <v>3</v>
      </c>
      <c r="F37" s="13">
        <v>0</v>
      </c>
      <c r="G37" s="14">
        <f t="shared" si="1"/>
        <v>1</v>
      </c>
      <c r="H37" s="15">
        <v>2</v>
      </c>
      <c r="I37" s="16">
        <v>100</v>
      </c>
      <c r="J37" s="43">
        <f t="shared" si="5"/>
        <v>200</v>
      </c>
      <c r="K37" s="18" t="s">
        <v>16</v>
      </c>
      <c r="L37" s="19">
        <v>0</v>
      </c>
      <c r="M37" s="24">
        <f t="shared" si="6"/>
        <v>200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+'2'!G38</f>
        <v>4</v>
      </c>
      <c r="D38" s="13">
        <v>0</v>
      </c>
      <c r="E38" s="12">
        <f t="shared" si="0"/>
        <v>4</v>
      </c>
      <c r="F38" s="13">
        <v>0</v>
      </c>
      <c r="G38" s="14">
        <f t="shared" si="1"/>
        <v>3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3</v>
      </c>
      <c r="H39" s="15">
        <v>2</v>
      </c>
      <c r="I39" s="16">
        <v>50</v>
      </c>
      <c r="J39" s="43">
        <f t="shared" si="5"/>
        <v>100</v>
      </c>
      <c r="K39" s="18" t="s">
        <v>268</v>
      </c>
      <c r="L39" s="19">
        <v>50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+'2'!G40</f>
        <v>7</v>
      </c>
      <c r="D40" s="13">
        <v>0</v>
      </c>
      <c r="E40" s="12">
        <f t="shared" si="0"/>
        <v>7</v>
      </c>
      <c r="F40" s="13">
        <v>0</v>
      </c>
      <c r="G40" s="14">
        <f t="shared" si="1"/>
        <v>4</v>
      </c>
      <c r="H40" s="15">
        <v>3</v>
      </c>
      <c r="I40" s="16">
        <v>50</v>
      </c>
      <c r="J40" s="43">
        <f t="shared" si="5"/>
        <v>150</v>
      </c>
      <c r="K40" s="18" t="s">
        <v>268</v>
      </c>
      <c r="L40" s="19">
        <v>75</v>
      </c>
      <c r="M40" s="24">
        <f t="shared" si="6"/>
        <v>75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+'2'!G42</f>
        <v>2</v>
      </c>
      <c r="D42" s="13">
        <v>0</v>
      </c>
      <c r="E42" s="12">
        <f t="shared" si="0"/>
        <v>2</v>
      </c>
      <c r="F42" s="13">
        <v>1</v>
      </c>
      <c r="G42" s="14">
        <f t="shared" si="1"/>
        <v>1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+'2'!G43</f>
        <v>2</v>
      </c>
      <c r="D43" s="13">
        <v>0</v>
      </c>
      <c r="E43" s="12">
        <f t="shared" si="0"/>
        <v>2</v>
      </c>
      <c r="F43" s="13">
        <v>0</v>
      </c>
      <c r="G43" s="14">
        <f t="shared" si="1"/>
        <v>1</v>
      </c>
      <c r="H43" s="15">
        <v>1</v>
      </c>
      <c r="I43" s="16">
        <v>50</v>
      </c>
      <c r="J43" s="43">
        <f t="shared" si="5"/>
        <v>50</v>
      </c>
      <c r="K43" s="18" t="s">
        <v>16</v>
      </c>
      <c r="L43" s="19">
        <v>0</v>
      </c>
      <c r="M43" s="24">
        <f t="shared" si="6"/>
        <v>50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+'2'!G49</f>
        <v>7</v>
      </c>
      <c r="D49" s="13">
        <v>0</v>
      </c>
      <c r="E49" s="12">
        <f t="shared" si="0"/>
        <v>7</v>
      </c>
      <c r="F49" s="13">
        <v>0</v>
      </c>
      <c r="G49" s="14">
        <f t="shared" si="1"/>
        <v>6</v>
      </c>
      <c r="H49" s="15">
        <v>1</v>
      </c>
      <c r="I49" s="16">
        <v>50</v>
      </c>
      <c r="J49" s="43">
        <f t="shared" si="5"/>
        <v>50</v>
      </c>
      <c r="K49" s="18" t="s">
        <v>16</v>
      </c>
      <c r="L49" s="19">
        <v>0</v>
      </c>
      <c r="M49" s="24">
        <f t="shared" si="6"/>
        <v>50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0</v>
      </c>
      <c r="H50" s="15">
        <v>2</v>
      </c>
      <c r="I50" s="16">
        <v>120</v>
      </c>
      <c r="J50" s="43">
        <f t="shared" si="5"/>
        <v>240</v>
      </c>
      <c r="K50" s="18" t="s">
        <v>274</v>
      </c>
      <c r="L50" s="19">
        <v>70</v>
      </c>
      <c r="M50" s="24">
        <f t="shared" si="6"/>
        <v>170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1</v>
      </c>
      <c r="H51" s="15">
        <v>1</v>
      </c>
      <c r="I51" s="16">
        <v>120</v>
      </c>
      <c r="J51" s="43">
        <f t="shared" si="5"/>
        <v>120</v>
      </c>
      <c r="K51" s="18" t="s">
        <v>274</v>
      </c>
      <c r="L51" s="19">
        <v>35</v>
      </c>
      <c r="M51" s="24">
        <f t="shared" si="6"/>
        <v>85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+'2'!G53</f>
        <v>1</v>
      </c>
      <c r="D53" s="13">
        <v>0</v>
      </c>
      <c r="E53" s="12">
        <f t="shared" si="0"/>
        <v>1</v>
      </c>
      <c r="F53" s="13">
        <v>1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+'2'!G57</f>
        <v>2</v>
      </c>
      <c r="D57" s="13">
        <v>0</v>
      </c>
      <c r="E57" s="12">
        <f t="shared" si="0"/>
        <v>2</v>
      </c>
      <c r="F57" s="13">
        <v>1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+'2'!G58</f>
        <v>1</v>
      </c>
      <c r="D58" s="13">
        <v>0</v>
      </c>
      <c r="E58" s="12">
        <f t="shared" si="0"/>
        <v>1</v>
      </c>
      <c r="F58" s="13">
        <v>0</v>
      </c>
      <c r="G58" s="14">
        <f t="shared" si="1"/>
        <v>0</v>
      </c>
      <c r="H58" s="15">
        <v>1</v>
      </c>
      <c r="I58" s="20">
        <v>120</v>
      </c>
      <c r="J58" s="43">
        <f t="shared" si="5"/>
        <v>120</v>
      </c>
      <c r="K58" s="18" t="s">
        <v>274</v>
      </c>
      <c r="L58" s="19">
        <v>35</v>
      </c>
      <c r="M58" s="24">
        <f t="shared" si="6"/>
        <v>85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+'2'!G61</f>
        <v>1</v>
      </c>
      <c r="D61" s="13">
        <v>0</v>
      </c>
      <c r="E61" s="12">
        <f t="shared" si="0"/>
        <v>1</v>
      </c>
      <c r="F61" s="13">
        <v>0</v>
      </c>
      <c r="G61" s="14">
        <f t="shared" si="1"/>
        <v>0</v>
      </c>
      <c r="H61" s="15">
        <v>1</v>
      </c>
      <c r="I61" s="16">
        <v>50</v>
      </c>
      <c r="J61" s="43">
        <f t="shared" si="5"/>
        <v>50</v>
      </c>
      <c r="K61" s="18" t="s">
        <v>268</v>
      </c>
      <c r="L61" s="19">
        <v>25</v>
      </c>
      <c r="M61" s="24">
        <f t="shared" si="6"/>
        <v>25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+'2'!G67</f>
        <v>5</v>
      </c>
      <c r="D67" s="13">
        <v>0</v>
      </c>
      <c r="E67" s="12">
        <f t="shared" si="0"/>
        <v>5</v>
      </c>
      <c r="F67" s="13">
        <v>1</v>
      </c>
      <c r="G67" s="14">
        <f t="shared" si="1"/>
        <v>4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+'2'!G70</f>
        <v>8</v>
      </c>
      <c r="D70" s="13">
        <v>0</v>
      </c>
      <c r="E70" s="12">
        <f t="shared" si="0"/>
        <v>8</v>
      </c>
      <c r="F70" s="13">
        <v>4</v>
      </c>
      <c r="G70" s="14">
        <f t="shared" si="1"/>
        <v>2</v>
      </c>
      <c r="H70" s="15">
        <v>2</v>
      </c>
      <c r="I70" s="22">
        <v>50</v>
      </c>
      <c r="J70" s="43">
        <f t="shared" ref="J70:J133" si="10">+I70*H70</f>
        <v>100</v>
      </c>
      <c r="K70" s="18" t="s">
        <v>273</v>
      </c>
      <c r="L70" s="19">
        <v>50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+'2'!G73</f>
        <v>9</v>
      </c>
      <c r="D73" s="13">
        <v>0</v>
      </c>
      <c r="E73" s="12">
        <f t="shared" si="0"/>
        <v>9</v>
      </c>
      <c r="F73" s="13">
        <v>0</v>
      </c>
      <c r="G73" s="14">
        <f t="shared" si="1"/>
        <v>8</v>
      </c>
      <c r="H73" s="15">
        <v>1</v>
      </c>
      <c r="I73" s="22">
        <v>60</v>
      </c>
      <c r="J73" s="43">
        <f t="shared" si="10"/>
        <v>60</v>
      </c>
      <c r="K73" s="18" t="s">
        <v>16</v>
      </c>
      <c r="L73" s="19">
        <v>0</v>
      </c>
      <c r="M73" s="24">
        <f t="shared" si="11"/>
        <v>60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0</v>
      </c>
      <c r="H77" s="15">
        <v>2</v>
      </c>
      <c r="I77" s="22">
        <v>50</v>
      </c>
      <c r="J77" s="43">
        <f t="shared" si="10"/>
        <v>100</v>
      </c>
      <c r="K77" s="18" t="s">
        <v>268</v>
      </c>
      <c r="L77" s="19">
        <v>50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+'2'!G79</f>
        <v>6</v>
      </c>
      <c r="D79" s="13">
        <v>0</v>
      </c>
      <c r="E79" s="12">
        <f t="shared" si="0"/>
        <v>6</v>
      </c>
      <c r="F79" s="13">
        <v>1</v>
      </c>
      <c r="G79" s="14">
        <f t="shared" si="1"/>
        <v>4</v>
      </c>
      <c r="H79" s="15">
        <v>1</v>
      </c>
      <c r="I79" s="23">
        <v>50</v>
      </c>
      <c r="J79" s="43">
        <f t="shared" si="10"/>
        <v>50</v>
      </c>
      <c r="K79" s="18" t="s">
        <v>273</v>
      </c>
      <c r="L79" s="19">
        <v>50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0</v>
      </c>
      <c r="H81" s="15">
        <v>2</v>
      </c>
      <c r="I81" s="22">
        <v>55</v>
      </c>
      <c r="J81" s="43">
        <f t="shared" si="10"/>
        <v>110</v>
      </c>
      <c r="K81" s="18" t="s">
        <v>16</v>
      </c>
      <c r="L81" s="19">
        <v>0</v>
      </c>
      <c r="M81" s="24">
        <f t="shared" si="11"/>
        <v>110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+'2'!G85</f>
        <v>1</v>
      </c>
      <c r="D85" s="13">
        <v>0</v>
      </c>
      <c r="E85" s="12">
        <f t="shared" si="0"/>
        <v>1</v>
      </c>
      <c r="F85" s="13">
        <v>0</v>
      </c>
      <c r="G85" s="14">
        <f t="shared" si="12"/>
        <v>1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+'2'!G86</f>
        <v>10</v>
      </c>
      <c r="D86" s="13">
        <v>0</v>
      </c>
      <c r="E86" s="12">
        <f t="shared" si="0"/>
        <v>10</v>
      </c>
      <c r="F86" s="13">
        <v>0</v>
      </c>
      <c r="G86" s="14">
        <f t="shared" si="12"/>
        <v>10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+'2'!G87</f>
        <v>8</v>
      </c>
      <c r="D87" s="13">
        <v>0</v>
      </c>
      <c r="E87" s="12">
        <f t="shared" si="0"/>
        <v>8</v>
      </c>
      <c r="F87" s="13">
        <v>0</v>
      </c>
      <c r="G87" s="14">
        <f t="shared" si="12"/>
        <v>8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10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+'2'!G92</f>
        <v>1</v>
      </c>
      <c r="D92" s="13">
        <v>0</v>
      </c>
      <c r="E92" s="12">
        <f t="shared" si="0"/>
        <v>1</v>
      </c>
      <c r="F92" s="13">
        <v>1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+'2'!G133</f>
        <v>5</v>
      </c>
      <c r="D133" s="13">
        <v>0</v>
      </c>
      <c r="E133" s="12">
        <f t="shared" si="13"/>
        <v>5</v>
      </c>
      <c r="F133" s="13">
        <v>0</v>
      </c>
      <c r="G133" s="14">
        <f t="shared" si="12"/>
        <v>5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0</v>
      </c>
      <c r="H150" s="15">
        <v>2</v>
      </c>
      <c r="I150" s="22">
        <v>120</v>
      </c>
      <c r="J150" s="43">
        <f t="shared" si="14"/>
        <v>240</v>
      </c>
      <c r="K150" s="18" t="s">
        <v>16</v>
      </c>
      <c r="L150" s="19">
        <v>0</v>
      </c>
      <c r="M150" s="24">
        <f t="shared" si="15"/>
        <v>240</v>
      </c>
    </row>
    <row r="151" spans="1:13" ht="25.5">
      <c r="A151" s="10">
        <v>147</v>
      </c>
      <c r="B151" s="21" t="s">
        <v>163</v>
      </c>
      <c r="C151" s="12">
        <f>+'2'!G151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0</v>
      </c>
      <c r="H151" s="15">
        <v>2</v>
      </c>
      <c r="I151" s="22">
        <v>120</v>
      </c>
      <c r="J151" s="43">
        <f t="shared" si="14"/>
        <v>240</v>
      </c>
      <c r="K151" s="18" t="s">
        <v>16</v>
      </c>
      <c r="L151" s="19">
        <v>0</v>
      </c>
      <c r="M151" s="24">
        <f t="shared" si="15"/>
        <v>240</v>
      </c>
    </row>
    <row r="152" spans="1:13" ht="25.5">
      <c r="A152" s="10">
        <v>148</v>
      </c>
      <c r="B152" s="21" t="s">
        <v>164</v>
      </c>
      <c r="C152" s="12">
        <f>+'2'!G152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+'2'!G163</f>
        <v>8</v>
      </c>
      <c r="D163" s="13">
        <v>0</v>
      </c>
      <c r="E163" s="12">
        <f t="shared" si="17"/>
        <v>8</v>
      </c>
      <c r="F163" s="13">
        <v>0</v>
      </c>
      <c r="G163" s="14">
        <f t="shared" si="16"/>
        <v>8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+'2'!G168</f>
        <v>40</v>
      </c>
      <c r="D168" s="13">
        <v>0</v>
      </c>
      <c r="E168" s="12">
        <f t="shared" si="17"/>
        <v>40</v>
      </c>
      <c r="F168" s="13">
        <v>0</v>
      </c>
      <c r="G168" s="14">
        <f t="shared" si="16"/>
        <v>40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+'2'!G176</f>
        <v>1</v>
      </c>
      <c r="D176" s="13">
        <v>0</v>
      </c>
      <c r="E176" s="12">
        <f t="shared" si="17"/>
        <v>1</v>
      </c>
      <c r="F176" s="13">
        <v>0</v>
      </c>
      <c r="G176" s="14">
        <f t="shared" si="16"/>
        <v>1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3</v>
      </c>
      <c r="H178" s="15">
        <v>2</v>
      </c>
      <c r="I178" s="22">
        <v>120</v>
      </c>
      <c r="J178" s="43">
        <f t="shared" si="14"/>
        <v>240</v>
      </c>
      <c r="K178" s="18" t="s">
        <v>16</v>
      </c>
      <c r="L178" s="19">
        <v>0</v>
      </c>
      <c r="M178" s="24">
        <f t="shared" si="15"/>
        <v>240</v>
      </c>
    </row>
    <row r="179" spans="1:13" ht="25.5">
      <c r="A179" s="10">
        <v>175</v>
      </c>
      <c r="B179" s="21" t="s">
        <v>191</v>
      </c>
      <c r="C179" s="12">
        <f>+'2'!G179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+'2'!G204</f>
        <v>5</v>
      </c>
      <c r="D204" s="13">
        <v>0</v>
      </c>
      <c r="E204" s="12">
        <f t="shared" si="17"/>
        <v>5</v>
      </c>
      <c r="F204" s="13">
        <v>1</v>
      </c>
      <c r="G204" s="14">
        <f t="shared" si="16"/>
        <v>1</v>
      </c>
      <c r="H204" s="15">
        <v>3</v>
      </c>
      <c r="I204" s="16">
        <v>50</v>
      </c>
      <c r="J204" s="43">
        <f t="shared" si="18"/>
        <v>150</v>
      </c>
      <c r="K204" s="18" t="s">
        <v>273</v>
      </c>
      <c r="L204" s="19">
        <v>50</v>
      </c>
      <c r="M204" s="24">
        <f t="shared" si="19"/>
        <v>100</v>
      </c>
    </row>
    <row r="205" spans="1:13" ht="25.5">
      <c r="A205" s="10">
        <v>201</v>
      </c>
      <c r="B205" s="21" t="s">
        <v>257</v>
      </c>
      <c r="C205" s="12">
        <f>+'2'!G205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>
      <c r="A209" s="10">
        <v>205</v>
      </c>
      <c r="B209" s="21" t="s">
        <v>261</v>
      </c>
      <c r="C209" s="12">
        <f>+ยกมา!G209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>
      <c r="A210" s="10">
        <v>206</v>
      </c>
      <c r="B210" s="21" t="s">
        <v>262</v>
      </c>
      <c r="C210" s="12">
        <f>+ยกมา!G210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>
      <c r="A211" s="10">
        <v>207</v>
      </c>
      <c r="B211" s="21" t="s">
        <v>263</v>
      </c>
      <c r="C211" s="12">
        <f>+ยกมา!G211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>
      <c r="A212" s="10">
        <v>208</v>
      </c>
      <c r="B212" s="11" t="s">
        <v>264</v>
      </c>
      <c r="C212" s="12">
        <f>+ยกมา!G212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>
      <c r="A213" s="10">
        <v>209</v>
      </c>
      <c r="B213" s="21" t="s">
        <v>265</v>
      </c>
      <c r="C213" s="12">
        <f>+ยกมา!G213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5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+X111</f>
        <v>0</v>
      </c>
      <c r="K215" s="28"/>
      <c r="L215" s="30"/>
    </row>
    <row r="216" spans="1:15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SUM(J5:J213)</f>
        <v>4650</v>
      </c>
    </row>
    <row r="217" spans="1:15" ht="25.5">
      <c r="A217" s="1"/>
      <c r="C217" s="32"/>
      <c r="E217" s="32"/>
      <c r="G217" s="32"/>
      <c r="I217" s="134" t="s">
        <v>209</v>
      </c>
      <c r="J217" s="135"/>
      <c r="K217" s="37">
        <v>15</v>
      </c>
    </row>
    <row r="218" spans="1:15" ht="25.5">
      <c r="A218" s="1"/>
      <c r="C218" s="32"/>
      <c r="E218" s="32"/>
      <c r="G218" s="32"/>
      <c r="I218" s="35" t="s">
        <v>210</v>
      </c>
      <c r="J218" s="36"/>
      <c r="K218" s="37">
        <f>SUM(L218:BO218)</f>
        <v>1225</v>
      </c>
      <c r="L218" s="2">
        <v>100</v>
      </c>
      <c r="M218" s="2">
        <v>825</v>
      </c>
      <c r="N218" s="2">
        <v>50</v>
      </c>
      <c r="O218" s="2">
        <v>250</v>
      </c>
    </row>
    <row r="219" spans="1:15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5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5" ht="25.5">
      <c r="A221" s="1"/>
      <c r="C221" s="32"/>
      <c r="E221" s="32"/>
      <c r="G221" s="32"/>
      <c r="I221" s="134" t="s">
        <v>213</v>
      </c>
      <c r="J221" s="135"/>
      <c r="K221" s="38">
        <f>SUM(L9:L214)</f>
        <v>540</v>
      </c>
    </row>
    <row r="222" spans="1:15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2870</v>
      </c>
    </row>
    <row r="223" spans="1:15" ht="25.5">
      <c r="A223" s="1"/>
      <c r="C223" s="32"/>
      <c r="E223" s="32"/>
      <c r="G223" s="32"/>
      <c r="I223" s="134" t="s">
        <v>215</v>
      </c>
      <c r="J223" s="135"/>
      <c r="K223" s="38">
        <v>2870</v>
      </c>
    </row>
    <row r="224" spans="1:15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270</v>
      </c>
      <c r="K227" s="24">
        <f>+K216-K221+K224</f>
        <v>4110</v>
      </c>
    </row>
    <row r="228" spans="7:11">
      <c r="G228" s="2"/>
      <c r="I228" s="2"/>
      <c r="J228" s="2" t="s">
        <v>271</v>
      </c>
      <c r="K228" s="24">
        <f>SUM(K217:K220)</f>
        <v>1240</v>
      </c>
    </row>
    <row r="229" spans="7:11">
      <c r="G229" s="2"/>
      <c r="I229" s="2"/>
      <c r="J229" s="2" t="s">
        <v>272</v>
      </c>
      <c r="K229" s="24">
        <f>+K223</f>
        <v>2870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</sheetData>
  <autoFilter ref="A1:Y208" xr:uid="{A8659A1D-7742-48A0-A8EC-0F2280F9B025}"/>
  <mergeCells count="32">
    <mergeCell ref="Z3:Z4"/>
    <mergeCell ref="P107:W107"/>
    <mergeCell ref="R3:R4"/>
    <mergeCell ref="S3:S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5:J225"/>
    <mergeCell ref="M214:N214"/>
    <mergeCell ref="H215:I215"/>
    <mergeCell ref="I216:J216"/>
    <mergeCell ref="I220:J220"/>
    <mergeCell ref="I224:J224"/>
    <mergeCell ref="I221:J221"/>
    <mergeCell ref="I222:J222"/>
    <mergeCell ref="I223:J223"/>
    <mergeCell ref="I217:J217"/>
    <mergeCell ref="I219:J21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8F17A-1407-4EAF-9739-737278E654C8}">
  <sheetPr>
    <tabColor theme="5" tint="0.79998168889431442"/>
  </sheetPr>
  <dimension ref="A1:Z298"/>
  <sheetViews>
    <sheetView zoomScale="90" zoomScaleNormal="90" workbookViewId="0">
      <pane ySplit="4" topLeftCell="A212" activePane="bottomLeft" state="frozen"/>
      <selection pane="bottomLeft" activeCell="F34" sqref="F3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+'3'!G5</f>
        <v>11</v>
      </c>
      <c r="D5" s="13">
        <v>0</v>
      </c>
      <c r="E5" s="12">
        <f t="shared" ref="E5:E94" si="0">C5+D5</f>
        <v>11</v>
      </c>
      <c r="F5" s="13">
        <v>0</v>
      </c>
      <c r="G5" s="14">
        <f t="shared" ref="G5:G81" si="1">E5-F5-H5</f>
        <v>10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+'3'!G6</f>
        <v>3</v>
      </c>
      <c r="D6" s="13">
        <v>0</v>
      </c>
      <c r="E6" s="12">
        <f t="shared" si="0"/>
        <v>3</v>
      </c>
      <c r="F6" s="13">
        <v>0</v>
      </c>
      <c r="G6" s="14">
        <f t="shared" si="1"/>
        <v>1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+'3'!G7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+'3'!G12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+'3'!G14</f>
        <v>3</v>
      </c>
      <c r="D14" s="13">
        <v>0</v>
      </c>
      <c r="E14" s="12">
        <f t="shared" si="0"/>
        <v>3</v>
      </c>
      <c r="F14" s="13">
        <v>0</v>
      </c>
      <c r="G14" s="14">
        <f t="shared" si="1"/>
        <v>0</v>
      </c>
      <c r="H14" s="15">
        <v>3</v>
      </c>
      <c r="I14" s="22">
        <v>65</v>
      </c>
      <c r="J14" s="43">
        <f t="shared" si="5"/>
        <v>195</v>
      </c>
      <c r="K14" s="18" t="s">
        <v>16</v>
      </c>
      <c r="L14" s="19">
        <v>0</v>
      </c>
      <c r="M14" s="24">
        <f t="shared" si="6"/>
        <v>195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+'3'!G16</f>
        <v>1</v>
      </c>
      <c r="D16" s="13">
        <v>0</v>
      </c>
      <c r="E16" s="12">
        <f t="shared" si="0"/>
        <v>1</v>
      </c>
      <c r="F16" s="13">
        <v>0</v>
      </c>
      <c r="G16" s="14">
        <f t="shared" si="1"/>
        <v>0</v>
      </c>
      <c r="H16" s="15">
        <v>1</v>
      </c>
      <c r="I16" s="16">
        <v>50</v>
      </c>
      <c r="J16" s="43">
        <f t="shared" si="5"/>
        <v>50</v>
      </c>
      <c r="K16" s="18" t="s">
        <v>16</v>
      </c>
      <c r="L16" s="19">
        <v>0</v>
      </c>
      <c r="M16" s="24">
        <f t="shared" si="6"/>
        <v>50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+'3'!G17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4">
        <f t="shared" si="1"/>
        <v>0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+'3'!G19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0</v>
      </c>
      <c r="H19" s="15">
        <v>1</v>
      </c>
      <c r="I19" s="16">
        <v>50</v>
      </c>
      <c r="J19" s="43">
        <f t="shared" si="5"/>
        <v>50</v>
      </c>
      <c r="K19" s="18" t="s">
        <v>16</v>
      </c>
      <c r="L19" s="19">
        <v>0</v>
      </c>
      <c r="M19" s="24">
        <f t="shared" si="6"/>
        <v>50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+'3'!G20</f>
        <v>1</v>
      </c>
      <c r="D20" s="13">
        <v>0</v>
      </c>
      <c r="E20" s="12">
        <f t="shared" si="0"/>
        <v>1</v>
      </c>
      <c r="F20" s="13">
        <v>0</v>
      </c>
      <c r="G20" s="14">
        <f t="shared" si="1"/>
        <v>1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+'3'!G23</f>
        <v>0</v>
      </c>
      <c r="D23" s="13">
        <v>0</v>
      </c>
      <c r="E23" s="12">
        <f t="shared" si="0"/>
        <v>0</v>
      </c>
      <c r="F23" s="13">
        <v>0</v>
      </c>
      <c r="G23" s="14">
        <f t="shared" si="1"/>
        <v>0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+'3'!G24</f>
        <v>0</v>
      </c>
      <c r="D24" s="13">
        <v>0</v>
      </c>
      <c r="E24" s="12">
        <f t="shared" si="0"/>
        <v>0</v>
      </c>
      <c r="F24" s="13">
        <v>0</v>
      </c>
      <c r="G24" s="14">
        <f t="shared" si="1"/>
        <v>0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+'3'!G26</f>
        <v>1</v>
      </c>
      <c r="D26" s="13">
        <v>0</v>
      </c>
      <c r="E26" s="12">
        <f t="shared" si="0"/>
        <v>1</v>
      </c>
      <c r="F26" s="13">
        <v>0</v>
      </c>
      <c r="G26" s="14">
        <f t="shared" si="1"/>
        <v>1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+'3'!G27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+'3'!G29</f>
        <v>4</v>
      </c>
      <c r="D29" s="13">
        <v>0</v>
      </c>
      <c r="E29" s="12">
        <f t="shared" si="0"/>
        <v>4</v>
      </c>
      <c r="F29" s="13">
        <v>0</v>
      </c>
      <c r="G29" s="14">
        <f t="shared" si="1"/>
        <v>2</v>
      </c>
      <c r="H29" s="15">
        <v>2</v>
      </c>
      <c r="I29" s="16">
        <v>100</v>
      </c>
      <c r="J29" s="43">
        <f t="shared" si="5"/>
        <v>200</v>
      </c>
      <c r="K29" s="18" t="s">
        <v>16</v>
      </c>
      <c r="L29" s="19">
        <v>0</v>
      </c>
      <c r="M29" s="24">
        <f t="shared" si="6"/>
        <v>200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+'3'!G30</f>
        <v>2</v>
      </c>
      <c r="D30" s="13">
        <v>0</v>
      </c>
      <c r="E30" s="12">
        <f t="shared" si="0"/>
        <v>2</v>
      </c>
      <c r="F30" s="13">
        <v>0</v>
      </c>
      <c r="G30" s="14">
        <f t="shared" si="1"/>
        <v>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+'3'!G31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3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+'3'!G33</f>
        <v>4</v>
      </c>
      <c r="D33" s="13">
        <v>0</v>
      </c>
      <c r="E33" s="12">
        <f t="shared" si="0"/>
        <v>4</v>
      </c>
      <c r="F33" s="13">
        <v>1</v>
      </c>
      <c r="G33" s="14">
        <f t="shared" si="1"/>
        <v>1</v>
      </c>
      <c r="H33" s="15">
        <v>2</v>
      </c>
      <c r="I33" s="16">
        <v>130</v>
      </c>
      <c r="J33" s="43">
        <f t="shared" si="5"/>
        <v>260</v>
      </c>
      <c r="K33" s="18" t="s">
        <v>16</v>
      </c>
      <c r="L33" s="19">
        <v>0</v>
      </c>
      <c r="M33" s="24">
        <f t="shared" si="6"/>
        <v>260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+'3'!G34</f>
        <v>3</v>
      </c>
      <c r="D34" s="13">
        <v>0</v>
      </c>
      <c r="E34" s="12">
        <f t="shared" si="0"/>
        <v>3</v>
      </c>
      <c r="F34" s="13">
        <v>0</v>
      </c>
      <c r="G34" s="14">
        <f t="shared" si="1"/>
        <v>2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+'3'!G35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+'3'!G37</f>
        <v>1</v>
      </c>
      <c r="D37" s="13">
        <v>0</v>
      </c>
      <c r="E37" s="12">
        <f t="shared" si="0"/>
        <v>1</v>
      </c>
      <c r="F37" s="13">
        <v>0</v>
      </c>
      <c r="G37" s="14">
        <f t="shared" si="1"/>
        <v>1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+'3'!G38</f>
        <v>3</v>
      </c>
      <c r="D38" s="13">
        <v>0</v>
      </c>
      <c r="E38" s="12">
        <f t="shared" si="0"/>
        <v>3</v>
      </c>
      <c r="F38" s="13">
        <v>0</v>
      </c>
      <c r="G38" s="14">
        <f t="shared" si="1"/>
        <v>0</v>
      </c>
      <c r="H38" s="15">
        <v>3</v>
      </c>
      <c r="I38" s="16">
        <v>50</v>
      </c>
      <c r="J38" s="43">
        <f t="shared" si="5"/>
        <v>150</v>
      </c>
      <c r="K38" s="18" t="s">
        <v>16</v>
      </c>
      <c r="L38" s="19">
        <v>0</v>
      </c>
      <c r="M38" s="24">
        <f t="shared" si="6"/>
        <v>150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+'3'!G39</f>
        <v>3</v>
      </c>
      <c r="D39" s="13">
        <v>0</v>
      </c>
      <c r="E39" s="12">
        <f t="shared" si="0"/>
        <v>3</v>
      </c>
      <c r="F39" s="13">
        <v>0</v>
      </c>
      <c r="G39" s="14">
        <f t="shared" si="1"/>
        <v>2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+'3'!G40</f>
        <v>4</v>
      </c>
      <c r="D40" s="13">
        <v>0</v>
      </c>
      <c r="E40" s="12">
        <f t="shared" si="0"/>
        <v>4</v>
      </c>
      <c r="F40" s="13">
        <v>0</v>
      </c>
      <c r="G40" s="14">
        <f t="shared" si="1"/>
        <v>4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+'3'!G42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+'3'!G43</f>
        <v>1</v>
      </c>
      <c r="D43" s="13">
        <v>0</v>
      </c>
      <c r="E43" s="12">
        <f t="shared" si="0"/>
        <v>1</v>
      </c>
      <c r="F43" s="13">
        <v>0</v>
      </c>
      <c r="G43" s="14">
        <f t="shared" si="1"/>
        <v>1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+'3'!G44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+'3'!G46</f>
        <v>1</v>
      </c>
      <c r="D46" s="13">
        <v>0</v>
      </c>
      <c r="E46" s="12">
        <f t="shared" si="0"/>
        <v>1</v>
      </c>
      <c r="F46" s="13">
        <v>0</v>
      </c>
      <c r="G46" s="14">
        <f t="shared" si="1"/>
        <v>1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+'3'!G47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+'3'!G48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+'3'!G49</f>
        <v>6</v>
      </c>
      <c r="D49" s="13">
        <v>0</v>
      </c>
      <c r="E49" s="12">
        <f t="shared" si="0"/>
        <v>6</v>
      </c>
      <c r="F49" s="13">
        <v>0</v>
      </c>
      <c r="G49" s="14">
        <f t="shared" si="1"/>
        <v>6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+'3'!G50</f>
        <v>0</v>
      </c>
      <c r="D50" s="13">
        <v>0</v>
      </c>
      <c r="E50" s="12">
        <f t="shared" si="0"/>
        <v>0</v>
      </c>
      <c r="F50" s="13">
        <v>0</v>
      </c>
      <c r="G50" s="14">
        <f t="shared" si="1"/>
        <v>0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+'3'!G51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+'3'!G52</f>
        <v>0</v>
      </c>
      <c r="D52" s="13">
        <v>0</v>
      </c>
      <c r="E52" s="12">
        <f t="shared" si="0"/>
        <v>0</v>
      </c>
      <c r="F52" s="13">
        <v>0</v>
      </c>
      <c r="G52" s="14">
        <f t="shared" si="1"/>
        <v>0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4">
        <f t="shared" si="1"/>
        <v>0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+'3'!G55</f>
        <v>0</v>
      </c>
      <c r="D55" s="13">
        <v>0</v>
      </c>
      <c r="E55" s="12">
        <f t="shared" si="0"/>
        <v>0</v>
      </c>
      <c r="F55" s="13">
        <v>0</v>
      </c>
      <c r="G55" s="14">
        <f t="shared" si="1"/>
        <v>0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+'3'!G57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+'3'!G62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+'3'!G63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+'3'!G66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+'3'!G67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2</v>
      </c>
      <c r="H67" s="15">
        <v>2</v>
      </c>
      <c r="I67" s="16">
        <v>50</v>
      </c>
      <c r="J67" s="43">
        <f t="shared" si="5"/>
        <v>100</v>
      </c>
      <c r="K67" s="18" t="s">
        <v>16</v>
      </c>
      <c r="L67" s="19">
        <v>0</v>
      </c>
      <c r="M67" s="24">
        <f t="shared" si="6"/>
        <v>100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+'3'!G70</f>
        <v>2</v>
      </c>
      <c r="D70" s="13">
        <v>0</v>
      </c>
      <c r="E70" s="12">
        <f t="shared" si="0"/>
        <v>2</v>
      </c>
      <c r="F70" s="13">
        <v>0</v>
      </c>
      <c r="G70" s="14">
        <f t="shared" si="1"/>
        <v>1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+'3'!G71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+'3'!G73</f>
        <v>8</v>
      </c>
      <c r="D73" s="13">
        <v>0</v>
      </c>
      <c r="E73" s="12">
        <f t="shared" si="0"/>
        <v>8</v>
      </c>
      <c r="F73" s="13">
        <v>0</v>
      </c>
      <c r="G73" s="14">
        <f t="shared" si="1"/>
        <v>7</v>
      </c>
      <c r="H73" s="15">
        <v>1</v>
      </c>
      <c r="I73" s="22">
        <v>60</v>
      </c>
      <c r="J73" s="43">
        <f t="shared" si="10"/>
        <v>60</v>
      </c>
      <c r="K73" s="18" t="s">
        <v>16</v>
      </c>
      <c r="L73" s="19">
        <v>0</v>
      </c>
      <c r="M73" s="24">
        <f t="shared" si="11"/>
        <v>60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+'3'!G74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+'3'!G77</f>
        <v>0</v>
      </c>
      <c r="D77" s="13">
        <v>0</v>
      </c>
      <c r="E77" s="12">
        <f t="shared" si="0"/>
        <v>0</v>
      </c>
      <c r="F77" s="13">
        <v>0</v>
      </c>
      <c r="G77" s="14">
        <f t="shared" si="1"/>
        <v>0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+'3'!G79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2</v>
      </c>
      <c r="H79" s="15">
        <v>2</v>
      </c>
      <c r="I79" s="23">
        <v>50</v>
      </c>
      <c r="J79" s="43">
        <f t="shared" si="10"/>
        <v>100</v>
      </c>
      <c r="K79" s="18" t="s">
        <v>16</v>
      </c>
      <c r="L79" s="19">
        <v>0</v>
      </c>
      <c r="M79" s="24">
        <f t="shared" si="11"/>
        <v>100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+'3'!G81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+'3'!G82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+'3'!G85</f>
        <v>1</v>
      </c>
      <c r="D85" s="13">
        <v>0</v>
      </c>
      <c r="E85" s="12">
        <f t="shared" si="0"/>
        <v>1</v>
      </c>
      <c r="F85" s="13">
        <v>0</v>
      </c>
      <c r="G85" s="14">
        <f t="shared" si="12"/>
        <v>0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+'3'!G86</f>
        <v>10</v>
      </c>
      <c r="D86" s="13">
        <v>0</v>
      </c>
      <c r="E86" s="12">
        <f t="shared" si="0"/>
        <v>10</v>
      </c>
      <c r="F86" s="13">
        <v>0</v>
      </c>
      <c r="G86" s="14">
        <f t="shared" si="12"/>
        <v>9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+'3'!G87</f>
        <v>8</v>
      </c>
      <c r="D87" s="13">
        <v>0</v>
      </c>
      <c r="E87" s="12">
        <f t="shared" si="0"/>
        <v>8</v>
      </c>
      <c r="F87" s="13">
        <v>0</v>
      </c>
      <c r="G87" s="14">
        <f t="shared" si="12"/>
        <v>7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+'3'!G88</f>
        <v>10</v>
      </c>
      <c r="D88" s="13">
        <v>0</v>
      </c>
      <c r="E88" s="12">
        <f t="shared" si="0"/>
        <v>10</v>
      </c>
      <c r="F88" s="13">
        <v>0</v>
      </c>
      <c r="G88" s="14">
        <f t="shared" si="12"/>
        <v>8</v>
      </c>
      <c r="H88" s="15">
        <v>2</v>
      </c>
      <c r="I88" s="22">
        <v>100</v>
      </c>
      <c r="J88" s="43">
        <f t="shared" si="10"/>
        <v>200</v>
      </c>
      <c r="K88" s="18" t="s">
        <v>16</v>
      </c>
      <c r="L88" s="19">
        <v>0</v>
      </c>
      <c r="M88" s="24">
        <f t="shared" si="11"/>
        <v>200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+'3'!G89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+'3'!G93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+'3'!G95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+'3'!G96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+'3'!G97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+'3'!G98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+'3'!G99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+'3'!G100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+'3'!G101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+'3'!G102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+'3'!G103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+'3'!G104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+'3'!G105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+'3'!G106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+'3'!G107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+'3'!G108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+'3'!G109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+'3'!G110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+'3'!G111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+'3'!G112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+'3'!G113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+'3'!G114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+'3'!G115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+'3'!G116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+'3'!G117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+'3'!G118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+'3'!G119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+'3'!G120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+'3'!G121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+'3'!G122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+'3'!G123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+'3'!G124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+'3'!G125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+'3'!G126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+'3'!G127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+'3'!G128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+'3'!G129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+'3'!G130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+'3'!G131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+'3'!G132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+'3'!G133</f>
        <v>5</v>
      </c>
      <c r="D133" s="13">
        <v>0</v>
      </c>
      <c r="E133" s="12">
        <f t="shared" si="13"/>
        <v>5</v>
      </c>
      <c r="F133" s="13">
        <v>0</v>
      </c>
      <c r="G133" s="14">
        <f t="shared" si="12"/>
        <v>5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+'3'!G134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+'3'!G135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+'3'!G136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+'3'!G137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+'3'!G138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+'3'!G139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+'3'!G140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+'3'!G141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+'3'!G142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+'3'!G143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+'3'!G144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+'3'!G145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+'3'!G146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+'3'!G147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+'3'!G148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+'3'!G149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+'3'!G150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+'3'!G151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+'3'!G152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+'3'!G153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+'3'!G154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+'3'!G155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+'3'!G156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+'3'!G157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+'3'!G158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+'3'!G159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+'3'!G160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+'3'!G161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+'3'!G162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+'3'!G163</f>
        <v>8</v>
      </c>
      <c r="D163" s="13">
        <v>0</v>
      </c>
      <c r="E163" s="12">
        <f t="shared" si="17"/>
        <v>8</v>
      </c>
      <c r="F163" s="13">
        <v>0</v>
      </c>
      <c r="G163" s="14">
        <f t="shared" si="16"/>
        <v>8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+'3'!G164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+'3'!G165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+'3'!G166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+'3'!G167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+'3'!G168</f>
        <v>40</v>
      </c>
      <c r="D168" s="13">
        <v>0</v>
      </c>
      <c r="E168" s="12">
        <f t="shared" si="17"/>
        <v>40</v>
      </c>
      <c r="F168" s="13">
        <v>0</v>
      </c>
      <c r="G168" s="14">
        <f t="shared" si="16"/>
        <v>40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+'3'!G169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+'3'!G170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+'3'!G171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+'3'!G172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+'3'!G173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+'3'!G174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+'3'!G175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+'3'!G176</f>
        <v>1</v>
      </c>
      <c r="D176" s="13">
        <v>0</v>
      </c>
      <c r="E176" s="12">
        <f t="shared" si="17"/>
        <v>1</v>
      </c>
      <c r="F176" s="13">
        <v>0</v>
      </c>
      <c r="G176" s="14">
        <f t="shared" si="16"/>
        <v>0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2">
        <f>+'3'!G177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+'3'!G178</f>
        <v>3</v>
      </c>
      <c r="D178" s="13">
        <v>0</v>
      </c>
      <c r="E178" s="12">
        <f t="shared" si="17"/>
        <v>3</v>
      </c>
      <c r="F178" s="13">
        <v>0</v>
      </c>
      <c r="G178" s="14">
        <f t="shared" si="16"/>
        <v>0</v>
      </c>
      <c r="H178" s="15">
        <v>3</v>
      </c>
      <c r="I178" s="22">
        <v>120</v>
      </c>
      <c r="J178" s="43">
        <f t="shared" si="14"/>
        <v>360</v>
      </c>
      <c r="K178" s="18" t="s">
        <v>16</v>
      </c>
      <c r="L178" s="19">
        <v>0</v>
      </c>
      <c r="M178" s="24">
        <f t="shared" si="15"/>
        <v>360</v>
      </c>
    </row>
    <row r="179" spans="1:13" ht="25.5">
      <c r="A179" s="10">
        <v>175</v>
      </c>
      <c r="B179" s="21" t="s">
        <v>191</v>
      </c>
      <c r="C179" s="12">
        <f>+'3'!G179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+'3'!G180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+'3'!G181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+'3'!G182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+'3'!G183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+'3'!G184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+'3'!G185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+'3'!G186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+'3'!G187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+'3'!G188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+'3'!G189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+'3'!G190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+'3'!G191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+'3'!G192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+'3'!G193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+'3'!G194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+'3'!G195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+'3'!G196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+'3'!G197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+'3'!G198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+'3'!G199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+'3'!G200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+'3'!G201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+'3'!G202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+'3'!G203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+'3'!G204</f>
        <v>1</v>
      </c>
      <c r="D204" s="13">
        <v>0</v>
      </c>
      <c r="E204" s="12">
        <f t="shared" si="17"/>
        <v>1</v>
      </c>
      <c r="F204" s="13">
        <v>0</v>
      </c>
      <c r="G204" s="14">
        <f t="shared" si="16"/>
        <v>0</v>
      </c>
      <c r="H204" s="15">
        <v>1</v>
      </c>
      <c r="I204" s="16">
        <v>50</v>
      </c>
      <c r="J204" s="43">
        <f t="shared" si="18"/>
        <v>50</v>
      </c>
      <c r="K204" s="18" t="s">
        <v>16</v>
      </c>
      <c r="L204" s="19">
        <v>0</v>
      </c>
      <c r="M204" s="24">
        <f t="shared" si="19"/>
        <v>50</v>
      </c>
    </row>
    <row r="205" spans="1:13" ht="25.5">
      <c r="A205" s="10">
        <v>201</v>
      </c>
      <c r="B205" s="21" t="s">
        <v>257</v>
      </c>
      <c r="C205" s="12">
        <f>+'3'!G205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+'3'!G206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+'3'!G207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>
      <c r="A209" s="10">
        <v>205</v>
      </c>
      <c r="B209" s="21" t="s">
        <v>261</v>
      </c>
      <c r="C209" s="12">
        <f>+ยกมา!G209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>
      <c r="A210" s="10">
        <v>206</v>
      </c>
      <c r="B210" s="21" t="s">
        <v>262</v>
      </c>
      <c r="C210" s="12">
        <f>+ยกมา!G210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>
      <c r="A211" s="10">
        <v>207</v>
      </c>
      <c r="B211" s="21" t="s">
        <v>263</v>
      </c>
      <c r="C211" s="12">
        <f>+ยกมา!G211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>
      <c r="A212" s="10">
        <v>208</v>
      </c>
      <c r="B212" s="11" t="s">
        <v>264</v>
      </c>
      <c r="C212" s="12">
        <f>+ยกมา!G212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>
      <c r="A213" s="10">
        <v>209</v>
      </c>
      <c r="B213" s="21" t="s">
        <v>265</v>
      </c>
      <c r="C213" s="12">
        <f>+ยกมา!G213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5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+X111</f>
        <v>0</v>
      </c>
      <c r="K215" s="28"/>
      <c r="L215" s="30"/>
    </row>
    <row r="216" spans="1:15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SUM(J5:J213)</f>
        <v>2520</v>
      </c>
    </row>
    <row r="217" spans="1:15" ht="25.5">
      <c r="A217" s="1"/>
      <c r="C217" s="32"/>
      <c r="E217" s="32"/>
      <c r="G217" s="32"/>
      <c r="I217" s="134" t="s">
        <v>209</v>
      </c>
      <c r="J217" s="135"/>
      <c r="K217" s="37">
        <v>15</v>
      </c>
    </row>
    <row r="218" spans="1:15" ht="25.5">
      <c r="A218" s="1"/>
      <c r="C218" s="32"/>
      <c r="E218" s="32"/>
      <c r="G218" s="32"/>
      <c r="I218" s="35" t="s">
        <v>210</v>
      </c>
      <c r="J218" s="36"/>
      <c r="K218" s="37">
        <f>SUM(L218:BO218)</f>
        <v>480</v>
      </c>
      <c r="L218" s="2">
        <v>100</v>
      </c>
      <c r="M218" s="2">
        <v>130</v>
      </c>
      <c r="N218" s="2">
        <v>130</v>
      </c>
      <c r="O218" s="2">
        <v>120</v>
      </c>
    </row>
    <row r="219" spans="1:15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5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5" ht="25.5">
      <c r="A221" s="1"/>
      <c r="C221" s="32"/>
      <c r="E221" s="32"/>
      <c r="G221" s="32"/>
      <c r="I221" s="134" t="s">
        <v>213</v>
      </c>
      <c r="J221" s="135"/>
      <c r="K221" s="38">
        <f>SUM(L9:L214)</f>
        <v>0</v>
      </c>
    </row>
    <row r="222" spans="1:15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2025</v>
      </c>
    </row>
    <row r="223" spans="1:15" ht="25.5">
      <c r="A223" s="1"/>
      <c r="C223" s="32"/>
      <c r="E223" s="32"/>
      <c r="G223" s="32"/>
      <c r="I223" s="134" t="s">
        <v>215</v>
      </c>
      <c r="J223" s="135"/>
      <c r="K223" s="38">
        <v>2025</v>
      </c>
    </row>
    <row r="224" spans="1:15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270</v>
      </c>
      <c r="K227" s="24">
        <f>+K216-K221+K224</f>
        <v>2520</v>
      </c>
    </row>
    <row r="228" spans="7:11">
      <c r="G228" s="2"/>
      <c r="I228" s="2"/>
      <c r="J228" s="2" t="s">
        <v>271</v>
      </c>
      <c r="K228" s="24">
        <f>SUM(K217:K220)</f>
        <v>495</v>
      </c>
    </row>
    <row r="229" spans="7:11">
      <c r="G229" s="2"/>
      <c r="I229" s="2"/>
      <c r="J229" s="2" t="s">
        <v>272</v>
      </c>
      <c r="K229" s="24">
        <f>+K223</f>
        <v>2025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</sheetData>
  <autoFilter ref="A1:Y223" xr:uid="{A8659A1D-7742-48A0-A8EC-0F2280F9B025}"/>
  <mergeCells count="32">
    <mergeCell ref="I222:J222"/>
    <mergeCell ref="I223:J223"/>
    <mergeCell ref="I217:J217"/>
    <mergeCell ref="I219:J219"/>
    <mergeCell ref="Z3:Z4"/>
    <mergeCell ref="P107:W107"/>
    <mergeCell ref="R3:R4"/>
    <mergeCell ref="S3:S4"/>
    <mergeCell ref="I220:J220"/>
    <mergeCell ref="L3:L4"/>
    <mergeCell ref="O3:O4"/>
    <mergeCell ref="P3:P4"/>
    <mergeCell ref="Q3:Q4"/>
    <mergeCell ref="M214:N214"/>
    <mergeCell ref="H215:I215"/>
    <mergeCell ref="I216:J216"/>
    <mergeCell ref="I224:J224"/>
    <mergeCell ref="I225:J225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1:J221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8CC0-1A9E-4A8D-B02D-0BBF6A9222F6}">
  <sheetPr>
    <tabColor theme="5" tint="0.79998168889431442"/>
  </sheetPr>
  <dimension ref="A1:Z298"/>
  <sheetViews>
    <sheetView zoomScale="90" zoomScaleNormal="90" workbookViewId="0">
      <pane ySplit="4" topLeftCell="A212" activePane="bottomLeft" state="frozen"/>
      <selection pane="bottomLeft" activeCell="C34" sqref="C3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+'4'!G5</f>
        <v>10</v>
      </c>
      <c r="D5" s="13">
        <v>20</v>
      </c>
      <c r="E5" s="12">
        <f t="shared" ref="E5:E94" si="0">C5+D5</f>
        <v>30</v>
      </c>
      <c r="F5" s="13">
        <v>0</v>
      </c>
      <c r="G5" s="14">
        <f t="shared" ref="G5:G81" si="1">E5-F5-H5</f>
        <v>24</v>
      </c>
      <c r="H5" s="15">
        <v>6</v>
      </c>
      <c r="I5" s="16">
        <v>50</v>
      </c>
      <c r="J5" s="43">
        <f>+I5*H5</f>
        <v>300</v>
      </c>
      <c r="K5" s="18" t="s">
        <v>268</v>
      </c>
      <c r="L5" s="19">
        <v>150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+'4'!G6</f>
        <v>1</v>
      </c>
      <c r="D6" s="13">
        <v>20</v>
      </c>
      <c r="E6" s="12">
        <f t="shared" si="0"/>
        <v>21</v>
      </c>
      <c r="F6" s="13">
        <v>0</v>
      </c>
      <c r="G6" s="14">
        <f t="shared" si="1"/>
        <v>17</v>
      </c>
      <c r="H6" s="15">
        <v>4</v>
      </c>
      <c r="I6" s="16">
        <v>100</v>
      </c>
      <c r="J6" s="43">
        <f t="shared" ref="J6:J69" si="5">+I6*H6</f>
        <v>400</v>
      </c>
      <c r="K6" s="18" t="s">
        <v>16</v>
      </c>
      <c r="L6" s="19">
        <v>0</v>
      </c>
      <c r="M6" s="24">
        <f t="shared" ref="M6:M69" si="6">SUM(J6-L6)</f>
        <v>400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+'4'!G7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+'4'!G12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+'4'!G16</f>
        <v>0</v>
      </c>
      <c r="D16" s="13">
        <v>2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+'4'!G17</f>
        <v>0</v>
      </c>
      <c r="D17" s="13">
        <v>2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+'4'!G18</f>
        <v>0</v>
      </c>
      <c r="D18" s="13">
        <v>2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+'4'!G19</f>
        <v>0</v>
      </c>
      <c r="D19" s="13">
        <v>2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+'4'!G20</f>
        <v>1</v>
      </c>
      <c r="D20" s="13">
        <v>2</v>
      </c>
      <c r="E20" s="12">
        <f t="shared" si="0"/>
        <v>3</v>
      </c>
      <c r="F20" s="13">
        <v>0</v>
      </c>
      <c r="G20" s="14">
        <f t="shared" si="1"/>
        <v>2</v>
      </c>
      <c r="H20" s="15">
        <v>1</v>
      </c>
      <c r="I20" s="16">
        <v>50</v>
      </c>
      <c r="J20" s="43">
        <f t="shared" si="5"/>
        <v>50</v>
      </c>
      <c r="K20" s="18" t="s">
        <v>275</v>
      </c>
      <c r="L20" s="19">
        <v>50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+'4'!G23</f>
        <v>0</v>
      </c>
      <c r="D23" s="13">
        <v>10</v>
      </c>
      <c r="E23" s="12">
        <f t="shared" si="0"/>
        <v>10</v>
      </c>
      <c r="F23" s="13">
        <v>0</v>
      </c>
      <c r="G23" s="14">
        <f t="shared" si="1"/>
        <v>8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+'4'!G24</f>
        <v>0</v>
      </c>
      <c r="D24" s="13">
        <v>2</v>
      </c>
      <c r="E24" s="12">
        <f t="shared" si="0"/>
        <v>2</v>
      </c>
      <c r="F24" s="13">
        <v>0</v>
      </c>
      <c r="G24" s="14">
        <f t="shared" si="1"/>
        <v>1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+'4'!G26</f>
        <v>1</v>
      </c>
      <c r="D26" s="13">
        <v>2</v>
      </c>
      <c r="E26" s="12">
        <f t="shared" si="0"/>
        <v>3</v>
      </c>
      <c r="F26" s="13">
        <v>0</v>
      </c>
      <c r="G26" s="14">
        <f t="shared" si="1"/>
        <v>3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+'4'!G27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0</v>
      </c>
      <c r="H27" s="15">
        <v>3</v>
      </c>
      <c r="I27" s="22">
        <v>100</v>
      </c>
      <c r="J27" s="43">
        <f t="shared" si="5"/>
        <v>300</v>
      </c>
      <c r="K27" s="18" t="s">
        <v>16</v>
      </c>
      <c r="L27" s="19">
        <v>0</v>
      </c>
      <c r="M27" s="24">
        <f t="shared" si="6"/>
        <v>300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+'4'!G29</f>
        <v>2</v>
      </c>
      <c r="D29" s="13">
        <v>5</v>
      </c>
      <c r="E29" s="12">
        <f t="shared" si="0"/>
        <v>7</v>
      </c>
      <c r="F29" s="13">
        <v>0</v>
      </c>
      <c r="G29" s="14">
        <f t="shared" si="1"/>
        <v>5</v>
      </c>
      <c r="H29" s="15">
        <v>2</v>
      </c>
      <c r="I29" s="16">
        <v>100</v>
      </c>
      <c r="J29" s="43">
        <f t="shared" si="5"/>
        <v>200</v>
      </c>
      <c r="K29" s="18" t="s">
        <v>16</v>
      </c>
      <c r="L29" s="19">
        <v>0</v>
      </c>
      <c r="M29" s="24">
        <f t="shared" si="6"/>
        <v>200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+'4'!G30</f>
        <v>2</v>
      </c>
      <c r="D30" s="13">
        <v>0</v>
      </c>
      <c r="E30" s="12">
        <f t="shared" si="0"/>
        <v>2</v>
      </c>
      <c r="F30" s="13">
        <v>0</v>
      </c>
      <c r="G30" s="14">
        <f t="shared" si="1"/>
        <v>0</v>
      </c>
      <c r="H30" s="15">
        <v>2</v>
      </c>
      <c r="I30" s="16">
        <v>100</v>
      </c>
      <c r="J30" s="43">
        <f t="shared" si="5"/>
        <v>200</v>
      </c>
      <c r="K30" s="18" t="s">
        <v>16</v>
      </c>
      <c r="L30" s="19">
        <v>0</v>
      </c>
      <c r="M30" s="24">
        <f t="shared" si="6"/>
        <v>200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+'4'!G31</f>
        <v>3</v>
      </c>
      <c r="D31" s="13">
        <v>0</v>
      </c>
      <c r="E31" s="12">
        <f t="shared" si="0"/>
        <v>3</v>
      </c>
      <c r="F31" s="13">
        <v>0</v>
      </c>
      <c r="G31" s="14">
        <f t="shared" si="1"/>
        <v>1</v>
      </c>
      <c r="H31" s="15">
        <v>2</v>
      </c>
      <c r="I31" s="16">
        <v>100</v>
      </c>
      <c r="J31" s="43">
        <f t="shared" si="5"/>
        <v>200</v>
      </c>
      <c r="K31" s="18" t="s">
        <v>16</v>
      </c>
      <c r="L31" s="19">
        <v>0</v>
      </c>
      <c r="M31" s="24">
        <f t="shared" si="6"/>
        <v>200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+'4'!G33</f>
        <v>1</v>
      </c>
      <c r="D33" s="13">
        <v>2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85">
        <f>+'4'!G34</f>
        <v>2</v>
      </c>
      <c r="D34" s="13">
        <v>4</v>
      </c>
      <c r="E34" s="12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+'4'!G35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+'4'!G37</f>
        <v>1</v>
      </c>
      <c r="D37" s="13">
        <v>5</v>
      </c>
      <c r="E37" s="12">
        <f t="shared" si="0"/>
        <v>6</v>
      </c>
      <c r="F37" s="13">
        <v>0</v>
      </c>
      <c r="G37" s="14">
        <f t="shared" si="1"/>
        <v>4</v>
      </c>
      <c r="H37" s="15">
        <v>2</v>
      </c>
      <c r="I37" s="16">
        <v>100</v>
      </c>
      <c r="J37" s="43">
        <f t="shared" si="5"/>
        <v>200</v>
      </c>
      <c r="K37" s="18" t="s">
        <v>16</v>
      </c>
      <c r="L37" s="19">
        <v>0</v>
      </c>
      <c r="M37" s="24">
        <f t="shared" si="6"/>
        <v>200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+'4'!G38</f>
        <v>0</v>
      </c>
      <c r="D38" s="13">
        <v>5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+'4'!G39</f>
        <v>2</v>
      </c>
      <c r="D39" s="13">
        <v>5</v>
      </c>
      <c r="E39" s="12">
        <f t="shared" si="0"/>
        <v>7</v>
      </c>
      <c r="F39" s="13">
        <v>0</v>
      </c>
      <c r="G39" s="14">
        <f t="shared" si="1"/>
        <v>7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+'4'!G40</f>
        <v>4</v>
      </c>
      <c r="D40" s="13">
        <v>5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+'4'!G42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+'4'!G43</f>
        <v>1</v>
      </c>
      <c r="D43" s="13">
        <v>2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+'4'!G44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+'4'!G46</f>
        <v>1</v>
      </c>
      <c r="D46" s="13">
        <v>2</v>
      </c>
      <c r="E46" s="12">
        <f t="shared" si="0"/>
        <v>3</v>
      </c>
      <c r="F46" s="13">
        <v>0</v>
      </c>
      <c r="G46" s="14">
        <f t="shared" si="1"/>
        <v>3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+'4'!G47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+'4'!G48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+'4'!G49</f>
        <v>6</v>
      </c>
      <c r="D49" s="13">
        <v>0</v>
      </c>
      <c r="E49" s="12">
        <f t="shared" si="0"/>
        <v>6</v>
      </c>
      <c r="F49" s="13">
        <v>0</v>
      </c>
      <c r="G49" s="14">
        <f t="shared" si="1"/>
        <v>6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+'4'!G50</f>
        <v>0</v>
      </c>
      <c r="D50" s="13">
        <v>2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+'4'!G51</f>
        <v>1</v>
      </c>
      <c r="D51" s="13">
        <v>2</v>
      </c>
      <c r="E51" s="12">
        <f t="shared" si="0"/>
        <v>3</v>
      </c>
      <c r="F51" s="13">
        <v>0</v>
      </c>
      <c r="G51" s="14">
        <f t="shared" si="1"/>
        <v>3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+'4'!G52</f>
        <v>0</v>
      </c>
      <c r="D52" s="13">
        <v>2</v>
      </c>
      <c r="E52" s="12">
        <f t="shared" si="0"/>
        <v>2</v>
      </c>
      <c r="F52" s="13">
        <v>0</v>
      </c>
      <c r="G52" s="14">
        <f t="shared" si="1"/>
        <v>1</v>
      </c>
      <c r="H52" s="15">
        <v>1</v>
      </c>
      <c r="I52" s="20">
        <v>120</v>
      </c>
      <c r="J52" s="43">
        <f t="shared" si="5"/>
        <v>120</v>
      </c>
      <c r="K52" s="18" t="s">
        <v>274</v>
      </c>
      <c r="L52" s="19">
        <v>35</v>
      </c>
      <c r="M52" s="24">
        <f t="shared" si="6"/>
        <v>85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+'4'!G53</f>
        <v>0</v>
      </c>
      <c r="D53" s="13">
        <v>2</v>
      </c>
      <c r="E53" s="12">
        <f t="shared" si="0"/>
        <v>2</v>
      </c>
      <c r="F53" s="13">
        <v>0</v>
      </c>
      <c r="G53" s="14">
        <f t="shared" si="1"/>
        <v>2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+'4'!G55</f>
        <v>0</v>
      </c>
      <c r="D55" s="13">
        <v>2</v>
      </c>
      <c r="E55" s="12">
        <f t="shared" si="0"/>
        <v>2</v>
      </c>
      <c r="F55" s="13">
        <v>0</v>
      </c>
      <c r="G55" s="14">
        <f t="shared" si="1"/>
        <v>2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+'4'!G57</f>
        <v>1</v>
      </c>
      <c r="D57" s="13">
        <v>2</v>
      </c>
      <c r="E57" s="12">
        <f t="shared" si="0"/>
        <v>3</v>
      </c>
      <c r="F57" s="13">
        <v>0</v>
      </c>
      <c r="G57" s="14">
        <f t="shared" si="1"/>
        <v>2</v>
      </c>
      <c r="H57" s="15">
        <v>1</v>
      </c>
      <c r="I57" s="20">
        <v>120</v>
      </c>
      <c r="J57" s="43">
        <f t="shared" si="5"/>
        <v>120</v>
      </c>
      <c r="K57" s="18" t="s">
        <v>274</v>
      </c>
      <c r="L57" s="19">
        <v>35</v>
      </c>
      <c r="M57" s="24">
        <f t="shared" si="6"/>
        <v>85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+'4'!G62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+'4'!G63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+'4'!G66</f>
        <v>9</v>
      </c>
      <c r="D66" s="13">
        <v>0</v>
      </c>
      <c r="E66" s="12">
        <f t="shared" si="0"/>
        <v>9</v>
      </c>
      <c r="F66" s="13">
        <v>0</v>
      </c>
      <c r="G66" s="14">
        <f t="shared" si="1"/>
        <v>9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+'4'!G67</f>
        <v>2</v>
      </c>
      <c r="D67" s="13">
        <v>4</v>
      </c>
      <c r="E67" s="12">
        <f t="shared" si="0"/>
        <v>6</v>
      </c>
      <c r="F67" s="13">
        <v>0</v>
      </c>
      <c r="G67" s="14">
        <f t="shared" si="1"/>
        <v>4</v>
      </c>
      <c r="H67" s="15">
        <v>2</v>
      </c>
      <c r="I67" s="16">
        <v>50</v>
      </c>
      <c r="J67" s="43">
        <f t="shared" si="5"/>
        <v>100</v>
      </c>
      <c r="K67" s="18" t="s">
        <v>273</v>
      </c>
      <c r="L67" s="19">
        <v>50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+'4'!G70</f>
        <v>1</v>
      </c>
      <c r="D70" s="13">
        <v>5</v>
      </c>
      <c r="E70" s="12">
        <f t="shared" si="0"/>
        <v>6</v>
      </c>
      <c r="F70" s="13">
        <v>0</v>
      </c>
      <c r="G70" s="14">
        <f t="shared" si="1"/>
        <v>5</v>
      </c>
      <c r="H70" s="15">
        <v>1</v>
      </c>
      <c r="I70" s="22">
        <v>50</v>
      </c>
      <c r="J70" s="43">
        <f t="shared" ref="J70:J133" si="10">+I70*H70</f>
        <v>50</v>
      </c>
      <c r="K70" s="18" t="s">
        <v>268</v>
      </c>
      <c r="L70" s="19">
        <v>25</v>
      </c>
      <c r="M70" s="24">
        <f t="shared" ref="M70:M133" si="11">SUM(J70-L70)</f>
        <v>25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+'4'!G71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+'4'!G73</f>
        <v>7</v>
      </c>
      <c r="D73" s="13">
        <v>0</v>
      </c>
      <c r="E73" s="12">
        <f t="shared" si="0"/>
        <v>7</v>
      </c>
      <c r="F73" s="13">
        <v>0</v>
      </c>
      <c r="G73" s="14">
        <f t="shared" si="1"/>
        <v>5</v>
      </c>
      <c r="H73" s="15">
        <v>2</v>
      </c>
      <c r="I73" s="22">
        <v>60</v>
      </c>
      <c r="J73" s="43">
        <f t="shared" si="10"/>
        <v>120</v>
      </c>
      <c r="K73" s="18" t="s">
        <v>16</v>
      </c>
      <c r="L73" s="19">
        <v>0</v>
      </c>
      <c r="M73" s="24">
        <f t="shared" si="11"/>
        <v>120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+'4'!G74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+'4'!G77</f>
        <v>0</v>
      </c>
      <c r="D77" s="13">
        <v>2</v>
      </c>
      <c r="E77" s="12">
        <f t="shared" si="0"/>
        <v>2</v>
      </c>
      <c r="F77" s="13">
        <v>0</v>
      </c>
      <c r="G77" s="14">
        <f t="shared" si="1"/>
        <v>1</v>
      </c>
      <c r="H77" s="15">
        <v>1</v>
      </c>
      <c r="I77" s="22">
        <v>50</v>
      </c>
      <c r="J77" s="43">
        <f t="shared" si="10"/>
        <v>50</v>
      </c>
      <c r="K77" s="18" t="s">
        <v>16</v>
      </c>
      <c r="L77" s="19">
        <v>0</v>
      </c>
      <c r="M77" s="24">
        <f t="shared" si="11"/>
        <v>50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+'4'!G79</f>
        <v>2</v>
      </c>
      <c r="D79" s="13">
        <v>2</v>
      </c>
      <c r="E79" s="12">
        <f t="shared" si="0"/>
        <v>4</v>
      </c>
      <c r="F79" s="13">
        <v>0</v>
      </c>
      <c r="G79" s="14">
        <f t="shared" si="1"/>
        <v>2</v>
      </c>
      <c r="H79" s="15">
        <v>2</v>
      </c>
      <c r="I79" s="23">
        <v>50</v>
      </c>
      <c r="J79" s="43">
        <f t="shared" si="10"/>
        <v>100</v>
      </c>
      <c r="K79" s="18" t="s">
        <v>268</v>
      </c>
      <c r="L79" s="19">
        <v>50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+'4'!G81</f>
        <v>0</v>
      </c>
      <c r="D81" s="13">
        <v>2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+'4'!G82</f>
        <v>0</v>
      </c>
      <c r="D82" s="13">
        <v>2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+'4'!G85</f>
        <v>0</v>
      </c>
      <c r="D85" s="13">
        <v>5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+'4'!G86</f>
        <v>9</v>
      </c>
      <c r="D86" s="13">
        <v>0</v>
      </c>
      <c r="E86" s="12">
        <f t="shared" si="0"/>
        <v>9</v>
      </c>
      <c r="F86" s="13">
        <v>0</v>
      </c>
      <c r="G86" s="14">
        <f t="shared" si="12"/>
        <v>9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+'4'!G87</f>
        <v>7</v>
      </c>
      <c r="D87" s="13">
        <v>0</v>
      </c>
      <c r="E87" s="12">
        <f t="shared" si="0"/>
        <v>7</v>
      </c>
      <c r="F87" s="13">
        <v>0</v>
      </c>
      <c r="G87" s="14">
        <f t="shared" si="12"/>
        <v>6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+'4'!G88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+'4'!G89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+'4'!G92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+'4'!G93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+'4'!G95</f>
        <v>0</v>
      </c>
      <c r="D95" s="13">
        <v>1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+'4'!G96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+'4'!G97</f>
        <v>0</v>
      </c>
      <c r="D97" s="13">
        <v>1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+'4'!G98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+'4'!G99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+'4'!G100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+'4'!G101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+'4'!G102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+'4'!G103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+'4'!G104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+'4'!G105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+'4'!G106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+'4'!G107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+'4'!G108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+'4'!G109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+'4'!G110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+'4'!G111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+'4'!G112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+'4'!G113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+'4'!G114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+'4'!G115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+'4'!G116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+'4'!G117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+'4'!G118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+'4'!G119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+'4'!G120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+'4'!G121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+'4'!G122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+'4'!G123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+'4'!G124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+'4'!G125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+'4'!G126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+'4'!G127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+'4'!G128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+'4'!G129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+'4'!G130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+'4'!G131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+'4'!G132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+'4'!G133</f>
        <v>5</v>
      </c>
      <c r="D133" s="13">
        <v>0</v>
      </c>
      <c r="E133" s="12">
        <f t="shared" si="13"/>
        <v>5</v>
      </c>
      <c r="F133" s="13">
        <v>0</v>
      </c>
      <c r="G133" s="14">
        <f t="shared" si="12"/>
        <v>4</v>
      </c>
      <c r="H133" s="15">
        <v>1</v>
      </c>
      <c r="I133" s="22">
        <v>45</v>
      </c>
      <c r="J133" s="43">
        <f t="shared" si="10"/>
        <v>45</v>
      </c>
      <c r="K133" s="18" t="s">
        <v>268</v>
      </c>
      <c r="L133" s="19">
        <v>20</v>
      </c>
      <c r="M133" s="24">
        <f t="shared" si="11"/>
        <v>25</v>
      </c>
    </row>
    <row r="134" spans="1:13" ht="25.5">
      <c r="A134" s="10">
        <v>130</v>
      </c>
      <c r="B134" s="21" t="s">
        <v>146</v>
      </c>
      <c r="C134" s="12">
        <f>+'4'!G134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+'4'!G135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+'4'!G136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+'4'!G137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+'4'!G138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+'4'!G139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+'4'!G140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+'4'!G141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+'4'!G142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+'4'!G143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+'4'!G144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+'4'!G145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+'4'!G146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+'4'!G147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+'4'!G148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+'4'!G149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+'4'!G150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+'4'!G151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+'4'!G152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+'4'!G153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+'4'!G154</f>
        <v>0</v>
      </c>
      <c r="D154" s="13">
        <v>2</v>
      </c>
      <c r="E154" s="12">
        <f t="shared" si="13"/>
        <v>2</v>
      </c>
      <c r="F154" s="13">
        <v>0</v>
      </c>
      <c r="G154" s="14">
        <f t="shared" si="16"/>
        <v>2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+'4'!G155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+'4'!G156</f>
        <v>0</v>
      </c>
      <c r="D156" s="13">
        <v>2</v>
      </c>
      <c r="E156" s="12">
        <f t="shared" si="13"/>
        <v>2</v>
      </c>
      <c r="F156" s="13">
        <v>0</v>
      </c>
      <c r="G156" s="14">
        <f t="shared" si="16"/>
        <v>2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+'4'!G157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+'4'!G158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+'4'!G159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+'4'!G160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+'4'!G161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+'4'!G162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+'4'!G163</f>
        <v>8</v>
      </c>
      <c r="D163" s="13">
        <v>0</v>
      </c>
      <c r="E163" s="12">
        <f t="shared" si="17"/>
        <v>8</v>
      </c>
      <c r="F163" s="13">
        <v>0</v>
      </c>
      <c r="G163" s="14">
        <f t="shared" si="16"/>
        <v>6</v>
      </c>
      <c r="H163" s="15">
        <v>2</v>
      </c>
      <c r="I163" s="22">
        <v>25</v>
      </c>
      <c r="J163" s="43">
        <f t="shared" si="14"/>
        <v>50</v>
      </c>
      <c r="K163" s="18" t="s">
        <v>268</v>
      </c>
      <c r="L163" s="19">
        <v>25</v>
      </c>
      <c r="M163" s="24">
        <f t="shared" si="15"/>
        <v>25</v>
      </c>
    </row>
    <row r="164" spans="1:13" ht="25.5">
      <c r="A164" s="10">
        <v>160</v>
      </c>
      <c r="B164" s="21" t="s">
        <v>176</v>
      </c>
      <c r="C164" s="12">
        <f>+'4'!G164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+'4'!G165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+'4'!G166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+'4'!G167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+'4'!G168</f>
        <v>40</v>
      </c>
      <c r="D168" s="13">
        <v>0</v>
      </c>
      <c r="E168" s="12">
        <f t="shared" si="17"/>
        <v>40</v>
      </c>
      <c r="F168" s="13">
        <v>0</v>
      </c>
      <c r="G168" s="14">
        <f t="shared" si="16"/>
        <v>39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+'4'!G169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+'4'!G170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+'4'!G171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+'4'!G172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+'4'!G173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+'4'!G174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+'4'!G175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+'4'!G176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+'4'!G177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+'4'!G178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+'4'!G179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+'4'!G180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+'4'!G181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+'4'!G182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+'4'!G183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+'4'!G184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+'4'!G185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+'4'!G186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+'4'!G187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+'4'!G188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+'4'!G189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+'4'!G190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+'4'!G191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+'4'!G192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+'4'!G193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+'4'!G194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+'4'!G195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+'4'!G196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+'4'!G197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+'4'!G198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+'4'!G199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+'4'!G200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+'4'!G201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+'4'!G202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+'4'!G203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+'4'!G204</f>
        <v>0</v>
      </c>
      <c r="D204" s="13">
        <v>5</v>
      </c>
      <c r="E204" s="12">
        <f t="shared" si="17"/>
        <v>5</v>
      </c>
      <c r="F204" s="13">
        <v>0</v>
      </c>
      <c r="G204" s="14">
        <f t="shared" si="16"/>
        <v>5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+'4'!G205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+'4'!G206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+'4'!G207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7" ht="25.5">
      <c r="A209" s="10">
        <v>205</v>
      </c>
      <c r="B209" s="21" t="s">
        <v>261</v>
      </c>
      <c r="C209" s="12">
        <f>+ยกมา!G209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7" ht="25.5">
      <c r="A210" s="10">
        <v>206</v>
      </c>
      <c r="B210" s="21" t="s">
        <v>262</v>
      </c>
      <c r="C210" s="12">
        <f>+ยกมา!G210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7" ht="25.5">
      <c r="A211" s="10">
        <v>207</v>
      </c>
      <c r="B211" s="21" t="s">
        <v>263</v>
      </c>
      <c r="C211" s="12">
        <f>+ยกมา!G211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7" ht="25.5">
      <c r="A212" s="10">
        <v>208</v>
      </c>
      <c r="B212" s="11" t="s">
        <v>264</v>
      </c>
      <c r="C212" s="12">
        <f>+ยกมา!G212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7" ht="25.5">
      <c r="A213" s="10">
        <v>209</v>
      </c>
      <c r="B213" s="21" t="s">
        <v>265</v>
      </c>
      <c r="C213" s="12">
        <f>+ยกมา!G213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7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7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+X111</f>
        <v>0</v>
      </c>
      <c r="K215" s="28"/>
      <c r="L215" s="30"/>
    </row>
    <row r="216" spans="1:17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SUM(J5:J213)</f>
        <v>3020</v>
      </c>
    </row>
    <row r="217" spans="1:17" ht="25.5">
      <c r="A217" s="1"/>
      <c r="C217" s="32"/>
      <c r="E217" s="32"/>
      <c r="G217" s="32"/>
      <c r="I217" s="134" t="s">
        <v>209</v>
      </c>
      <c r="J217" s="135"/>
      <c r="K217" s="37">
        <v>15</v>
      </c>
    </row>
    <row r="218" spans="1:17" ht="25.5">
      <c r="A218" s="1"/>
      <c r="C218" s="32"/>
      <c r="E218" s="32"/>
      <c r="G218" s="32"/>
      <c r="I218" s="35" t="s">
        <v>210</v>
      </c>
      <c r="J218" s="36"/>
      <c r="K218" s="37">
        <f>SUM(L218:BO218)</f>
        <v>1450</v>
      </c>
      <c r="L218" s="2">
        <v>470</v>
      </c>
      <c r="M218" s="2">
        <v>55</v>
      </c>
      <c r="N218" s="2">
        <v>75</v>
      </c>
      <c r="O218" s="2">
        <v>50</v>
      </c>
      <c r="P218" s="2">
        <v>200</v>
      </c>
      <c r="Q218" s="2">
        <v>600</v>
      </c>
    </row>
    <row r="219" spans="1:17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7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7" ht="25.5">
      <c r="A221" s="1"/>
      <c r="C221" s="32"/>
      <c r="E221" s="32"/>
      <c r="G221" s="32"/>
      <c r="I221" s="134" t="s">
        <v>213</v>
      </c>
      <c r="J221" s="135"/>
      <c r="K221" s="38">
        <f>SUM(L5:L213)</f>
        <v>440</v>
      </c>
    </row>
    <row r="222" spans="1:17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1115</v>
      </c>
    </row>
    <row r="223" spans="1:17" ht="25.5">
      <c r="A223" s="1"/>
      <c r="C223" s="32"/>
      <c r="E223" s="32"/>
      <c r="G223" s="32"/>
      <c r="I223" s="134" t="s">
        <v>215</v>
      </c>
      <c r="J223" s="135"/>
      <c r="K223" s="38">
        <v>1115</v>
      </c>
    </row>
    <row r="224" spans="1:17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270</v>
      </c>
      <c r="K227" s="24">
        <f>+K216-K221+K224</f>
        <v>2580</v>
      </c>
    </row>
    <row r="228" spans="7:11">
      <c r="G228" s="2"/>
      <c r="I228" s="2"/>
      <c r="J228" s="2" t="s">
        <v>271</v>
      </c>
      <c r="K228" s="24">
        <f>SUM(K217:K220)</f>
        <v>1465</v>
      </c>
    </row>
    <row r="229" spans="7:11">
      <c r="G229" s="2"/>
      <c r="I229" s="2"/>
      <c r="J229" s="2" t="s">
        <v>272</v>
      </c>
      <c r="K229" s="24">
        <f>+K223</f>
        <v>1115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</sheetData>
  <autoFilter ref="A1:Y223" xr:uid="{A8659A1D-7742-48A0-A8EC-0F2280F9B025}"/>
  <mergeCells count="32">
    <mergeCell ref="I219:J219"/>
    <mergeCell ref="H215:I215"/>
    <mergeCell ref="I216:J216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5:J225"/>
    <mergeCell ref="I221:J221"/>
    <mergeCell ref="I222:J222"/>
    <mergeCell ref="I223:J223"/>
    <mergeCell ref="Z3:Z4"/>
    <mergeCell ref="P107:W107"/>
    <mergeCell ref="R3:R4"/>
    <mergeCell ref="S3:S4"/>
    <mergeCell ref="I224:J224"/>
    <mergeCell ref="I220:J220"/>
    <mergeCell ref="L3:L4"/>
    <mergeCell ref="O3:O4"/>
    <mergeCell ref="P3:P4"/>
    <mergeCell ref="Q3:Q4"/>
    <mergeCell ref="M214:N214"/>
    <mergeCell ref="I217:J217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F490-EE3A-41AA-8688-9C009A7770E7}">
  <sheetPr>
    <tabColor theme="5" tint="0.79998168889431442"/>
  </sheetPr>
  <dimension ref="A1:Z298"/>
  <sheetViews>
    <sheetView zoomScale="90" zoomScaleNormal="90" workbookViewId="0">
      <pane ySplit="4" topLeftCell="A206" activePane="bottomLeft" state="frozen"/>
      <selection pane="bottomLeft" activeCell="L223" sqref="L22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+'5'!G5</f>
        <v>24</v>
      </c>
      <c r="D5" s="13">
        <v>0</v>
      </c>
      <c r="E5" s="12">
        <f t="shared" ref="E5:E94" si="0">C5+D5</f>
        <v>24</v>
      </c>
      <c r="F5" s="13">
        <v>0</v>
      </c>
      <c r="G5" s="14">
        <f t="shared" ref="G5:G81" si="1">E5-F5-H5</f>
        <v>18</v>
      </c>
      <c r="H5" s="15">
        <v>6</v>
      </c>
      <c r="I5" s="16">
        <v>50</v>
      </c>
      <c r="J5" s="43">
        <f>+I5*H5</f>
        <v>300</v>
      </c>
      <c r="K5" s="18" t="s">
        <v>276</v>
      </c>
      <c r="L5" s="19">
        <v>125</v>
      </c>
      <c r="M5" s="24">
        <f>SUM(J5-L5)</f>
        <v>175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+'5'!G6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9</v>
      </c>
      <c r="H6" s="15">
        <v>8</v>
      </c>
      <c r="I6" s="16">
        <v>100</v>
      </c>
      <c r="J6" s="43">
        <f t="shared" ref="J6:J69" si="5">+I6*H6</f>
        <v>800</v>
      </c>
      <c r="K6" s="18" t="s">
        <v>16</v>
      </c>
      <c r="L6" s="19">
        <v>0</v>
      </c>
      <c r="M6" s="24">
        <f t="shared" ref="M6:M69" si="6">SUM(J6-L6)</f>
        <v>800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+'5'!G7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+'5'!G12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+'5'!G16</f>
        <v>2</v>
      </c>
      <c r="D16" s="13">
        <v>0</v>
      </c>
      <c r="E16" s="12">
        <f t="shared" si="0"/>
        <v>2</v>
      </c>
      <c r="F16" s="13">
        <v>0</v>
      </c>
      <c r="G16" s="14">
        <f t="shared" si="1"/>
        <v>2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+'5'!G17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+'5'!G18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2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+'5'!G19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1</v>
      </c>
      <c r="H19" s="15">
        <v>1</v>
      </c>
      <c r="I19" s="16">
        <v>50</v>
      </c>
      <c r="J19" s="43">
        <f t="shared" si="5"/>
        <v>50</v>
      </c>
      <c r="K19" s="18" t="s">
        <v>16</v>
      </c>
      <c r="L19" s="19">
        <v>0</v>
      </c>
      <c r="M19" s="24">
        <f t="shared" si="6"/>
        <v>50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+'5'!G20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+'5'!G23</f>
        <v>8</v>
      </c>
      <c r="D23" s="13">
        <v>0</v>
      </c>
      <c r="E23" s="12">
        <f t="shared" si="0"/>
        <v>8</v>
      </c>
      <c r="F23" s="13">
        <v>0</v>
      </c>
      <c r="G23" s="14">
        <f t="shared" si="1"/>
        <v>3</v>
      </c>
      <c r="H23" s="15">
        <v>5</v>
      </c>
      <c r="I23" s="16">
        <v>100</v>
      </c>
      <c r="J23" s="43">
        <f t="shared" si="5"/>
        <v>500</v>
      </c>
      <c r="K23" s="18" t="s">
        <v>16</v>
      </c>
      <c r="L23" s="19">
        <v>0</v>
      </c>
      <c r="M23" s="24">
        <f t="shared" si="6"/>
        <v>500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+'5'!G24</f>
        <v>1</v>
      </c>
      <c r="D24" s="13">
        <v>0</v>
      </c>
      <c r="E24" s="12">
        <f t="shared" si="0"/>
        <v>1</v>
      </c>
      <c r="F24" s="13">
        <v>0</v>
      </c>
      <c r="G24" s="14">
        <f t="shared" si="1"/>
        <v>1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+'5'!G26</f>
        <v>3</v>
      </c>
      <c r="D26" s="13">
        <v>0</v>
      </c>
      <c r="E26" s="12">
        <f t="shared" si="0"/>
        <v>3</v>
      </c>
      <c r="F26" s="13">
        <v>1</v>
      </c>
      <c r="G26" s="14">
        <f t="shared" si="1"/>
        <v>2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4">
        <f t="shared" si="1"/>
        <v>0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+'5'!G29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+'5'!G31</f>
        <v>1</v>
      </c>
      <c r="D31" s="13">
        <v>0</v>
      </c>
      <c r="E31" s="12">
        <f t="shared" si="0"/>
        <v>1</v>
      </c>
      <c r="F31" s="13">
        <v>0</v>
      </c>
      <c r="G31" s="14">
        <f t="shared" si="1"/>
        <v>1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+'5'!G33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3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+'5'!G34</f>
        <v>6</v>
      </c>
      <c r="D34" s="13">
        <v>0</v>
      </c>
      <c r="E34" s="12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+'5'!G35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+'5'!G37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4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+'5'!G38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+'5'!G39</f>
        <v>7</v>
      </c>
      <c r="D39" s="13">
        <v>0</v>
      </c>
      <c r="E39" s="12">
        <f t="shared" si="0"/>
        <v>7</v>
      </c>
      <c r="F39" s="13">
        <v>2</v>
      </c>
      <c r="G39" s="14">
        <f t="shared" si="1"/>
        <v>5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+'5'!G40</f>
        <v>9</v>
      </c>
      <c r="D40" s="13">
        <v>0</v>
      </c>
      <c r="E40" s="12">
        <f t="shared" si="0"/>
        <v>9</v>
      </c>
      <c r="F40" s="13">
        <v>4</v>
      </c>
      <c r="G40" s="14">
        <f t="shared" si="1"/>
        <v>5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+'5'!G42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+'5'!G43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+'5'!G44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+'5'!G46</f>
        <v>3</v>
      </c>
      <c r="D46" s="13">
        <v>0</v>
      </c>
      <c r="E46" s="12">
        <f t="shared" si="0"/>
        <v>3</v>
      </c>
      <c r="F46" s="13">
        <v>0</v>
      </c>
      <c r="G46" s="14">
        <f t="shared" si="1"/>
        <v>2</v>
      </c>
      <c r="H46" s="15">
        <v>1</v>
      </c>
      <c r="I46" s="16">
        <v>50</v>
      </c>
      <c r="J46" s="43">
        <f t="shared" si="5"/>
        <v>50</v>
      </c>
      <c r="K46" s="18" t="s">
        <v>16</v>
      </c>
      <c r="L46" s="19">
        <v>0</v>
      </c>
      <c r="M46" s="24">
        <f t="shared" si="6"/>
        <v>50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+'5'!G47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+'5'!G48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+'5'!G49</f>
        <v>6</v>
      </c>
      <c r="D49" s="13">
        <v>0</v>
      </c>
      <c r="E49" s="12">
        <f t="shared" si="0"/>
        <v>6</v>
      </c>
      <c r="F49" s="13">
        <v>0</v>
      </c>
      <c r="G49" s="14">
        <f t="shared" si="1"/>
        <v>5</v>
      </c>
      <c r="H49" s="15">
        <v>1</v>
      </c>
      <c r="I49" s="16">
        <v>50</v>
      </c>
      <c r="J49" s="43">
        <f t="shared" si="5"/>
        <v>50</v>
      </c>
      <c r="K49" s="18" t="s">
        <v>16</v>
      </c>
      <c r="L49" s="19">
        <v>0</v>
      </c>
      <c r="M49" s="24">
        <f t="shared" si="6"/>
        <v>50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+'5'!G50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1</v>
      </c>
      <c r="H50" s="15">
        <v>1</v>
      </c>
      <c r="I50" s="16">
        <v>120</v>
      </c>
      <c r="J50" s="43">
        <f t="shared" si="5"/>
        <v>120</v>
      </c>
      <c r="K50" s="18" t="s">
        <v>274</v>
      </c>
      <c r="L50" s="19">
        <v>35</v>
      </c>
      <c r="M50" s="24">
        <f t="shared" si="6"/>
        <v>85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+'5'!G51</f>
        <v>3</v>
      </c>
      <c r="D51" s="13">
        <v>0</v>
      </c>
      <c r="E51" s="12">
        <f t="shared" si="0"/>
        <v>3</v>
      </c>
      <c r="F51" s="13">
        <v>0</v>
      </c>
      <c r="G51" s="14">
        <f t="shared" si="1"/>
        <v>2</v>
      </c>
      <c r="H51" s="15">
        <v>1</v>
      </c>
      <c r="I51" s="16">
        <v>120</v>
      </c>
      <c r="J51" s="43">
        <f t="shared" si="5"/>
        <v>120</v>
      </c>
      <c r="K51" s="18" t="s">
        <v>274</v>
      </c>
      <c r="L51" s="19">
        <v>35</v>
      </c>
      <c r="M51" s="24">
        <f t="shared" si="6"/>
        <v>85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+'5'!G52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0</v>
      </c>
      <c r="H52" s="15">
        <v>1</v>
      </c>
      <c r="I52" s="20">
        <v>120</v>
      </c>
      <c r="J52" s="43">
        <f t="shared" si="5"/>
        <v>120</v>
      </c>
      <c r="K52" s="18" t="s">
        <v>274</v>
      </c>
      <c r="L52" s="19">
        <v>35</v>
      </c>
      <c r="M52" s="24">
        <f t="shared" si="6"/>
        <v>85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+'5'!G53</f>
        <v>2</v>
      </c>
      <c r="D53" s="13">
        <v>0</v>
      </c>
      <c r="E53" s="12">
        <f t="shared" si="0"/>
        <v>2</v>
      </c>
      <c r="F53" s="13">
        <v>0</v>
      </c>
      <c r="G53" s="14">
        <f t="shared" si="1"/>
        <v>1</v>
      </c>
      <c r="H53" s="15">
        <v>1</v>
      </c>
      <c r="I53" s="16">
        <v>120</v>
      </c>
      <c r="J53" s="43">
        <f t="shared" si="5"/>
        <v>120</v>
      </c>
      <c r="K53" s="18" t="s">
        <v>274</v>
      </c>
      <c r="L53" s="19">
        <v>35</v>
      </c>
      <c r="M53" s="24">
        <f t="shared" si="6"/>
        <v>85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+'5'!G55</f>
        <v>2</v>
      </c>
      <c r="D55" s="13">
        <v>0</v>
      </c>
      <c r="E55" s="12">
        <f t="shared" si="0"/>
        <v>2</v>
      </c>
      <c r="F55" s="13">
        <v>0</v>
      </c>
      <c r="G55" s="14">
        <f t="shared" si="1"/>
        <v>1</v>
      </c>
      <c r="H55" s="15">
        <v>1</v>
      </c>
      <c r="I55" s="20">
        <v>120</v>
      </c>
      <c r="J55" s="43">
        <f t="shared" si="5"/>
        <v>120</v>
      </c>
      <c r="K55" s="18" t="s">
        <v>274</v>
      </c>
      <c r="L55" s="19">
        <v>35</v>
      </c>
      <c r="M55" s="24">
        <f t="shared" si="6"/>
        <v>85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+'5'!G57</f>
        <v>2</v>
      </c>
      <c r="D57" s="13">
        <v>0</v>
      </c>
      <c r="E57" s="12">
        <f t="shared" si="0"/>
        <v>2</v>
      </c>
      <c r="F57" s="13">
        <v>0</v>
      </c>
      <c r="G57" s="14">
        <f t="shared" si="1"/>
        <v>1</v>
      </c>
      <c r="H57" s="15">
        <v>1</v>
      </c>
      <c r="I57" s="20">
        <v>120</v>
      </c>
      <c r="J57" s="43">
        <f t="shared" si="5"/>
        <v>120</v>
      </c>
      <c r="K57" s="18" t="s">
        <v>274</v>
      </c>
      <c r="L57" s="19">
        <v>35</v>
      </c>
      <c r="M57" s="24">
        <f t="shared" si="6"/>
        <v>85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+'5'!G62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+'5'!G63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+'5'!G66</f>
        <v>9</v>
      </c>
      <c r="D66" s="13">
        <v>0</v>
      </c>
      <c r="E66" s="12">
        <f t="shared" si="0"/>
        <v>9</v>
      </c>
      <c r="F66" s="13">
        <v>3</v>
      </c>
      <c r="G66" s="14">
        <f t="shared" si="1"/>
        <v>6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+'5'!G67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3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+'5'!G70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1</v>
      </c>
      <c r="H70" s="15">
        <v>4</v>
      </c>
      <c r="I70" s="22">
        <v>50</v>
      </c>
      <c r="J70" s="43">
        <f t="shared" ref="J70:J133" si="10">+I70*H70</f>
        <v>200</v>
      </c>
      <c r="K70" s="18" t="s">
        <v>16</v>
      </c>
      <c r="L70" s="19">
        <v>0</v>
      </c>
      <c r="M70" s="24">
        <f t="shared" ref="M70:M133" si="11">SUM(J70-L70)</f>
        <v>200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+'5'!G71</f>
        <v>0</v>
      </c>
      <c r="D71" s="13">
        <v>0</v>
      </c>
      <c r="E71" s="12">
        <f t="shared" si="0"/>
        <v>0</v>
      </c>
      <c r="F71" s="13">
        <v>0</v>
      </c>
      <c r="G71" s="14">
        <f t="shared" si="1"/>
        <v>0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+'5'!G73</f>
        <v>5</v>
      </c>
      <c r="D73" s="13">
        <v>0</v>
      </c>
      <c r="E73" s="12">
        <f t="shared" si="0"/>
        <v>5</v>
      </c>
      <c r="F73" s="13">
        <v>1</v>
      </c>
      <c r="G73" s="14">
        <f t="shared" si="1"/>
        <v>4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+'5'!G74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+'5'!G77</f>
        <v>1</v>
      </c>
      <c r="D77" s="13">
        <v>0</v>
      </c>
      <c r="E77" s="12">
        <f t="shared" si="0"/>
        <v>1</v>
      </c>
      <c r="F77" s="13">
        <v>0</v>
      </c>
      <c r="G77" s="14">
        <f t="shared" si="1"/>
        <v>0</v>
      </c>
      <c r="H77" s="15">
        <v>1</v>
      </c>
      <c r="I77" s="22">
        <v>50</v>
      </c>
      <c r="J77" s="43">
        <f t="shared" si="10"/>
        <v>50</v>
      </c>
      <c r="K77" s="18" t="s">
        <v>277</v>
      </c>
      <c r="L77" s="19">
        <v>50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+'5'!G79</f>
        <v>2</v>
      </c>
      <c r="D79" s="13">
        <v>0</v>
      </c>
      <c r="E79" s="12">
        <f t="shared" si="0"/>
        <v>2</v>
      </c>
      <c r="F79" s="13">
        <v>0</v>
      </c>
      <c r="G79" s="14">
        <f t="shared" si="1"/>
        <v>0</v>
      </c>
      <c r="H79" s="15">
        <v>2</v>
      </c>
      <c r="I79" s="23">
        <v>50</v>
      </c>
      <c r="J79" s="43">
        <f t="shared" si="10"/>
        <v>100</v>
      </c>
      <c r="K79" s="18" t="s">
        <v>16</v>
      </c>
      <c r="L79" s="19">
        <v>0</v>
      </c>
      <c r="M79" s="24">
        <f t="shared" si="11"/>
        <v>100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+'5'!G81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1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+'5'!G82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+'5'!G85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+'5'!G86</f>
        <v>9</v>
      </c>
      <c r="D86" s="13">
        <v>0</v>
      </c>
      <c r="E86" s="12">
        <f t="shared" si="0"/>
        <v>9</v>
      </c>
      <c r="F86" s="13">
        <v>0</v>
      </c>
      <c r="G86" s="14">
        <f t="shared" si="12"/>
        <v>9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+'5'!G87</f>
        <v>6</v>
      </c>
      <c r="D87" s="13">
        <v>0</v>
      </c>
      <c r="E87" s="12">
        <f t="shared" si="0"/>
        <v>6</v>
      </c>
      <c r="F87" s="13">
        <v>0</v>
      </c>
      <c r="G87" s="14">
        <f t="shared" si="12"/>
        <v>5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+'5'!G88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+'5'!G89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+'5'!G92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+'5'!G93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+'5'!G95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+'5'!G96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+'5'!G97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+'5'!G101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+'5'!G102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+'5'!G106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+'5'!G133</f>
        <v>4</v>
      </c>
      <c r="D133" s="13">
        <v>0</v>
      </c>
      <c r="E133" s="12">
        <f t="shared" si="13"/>
        <v>4</v>
      </c>
      <c r="F133" s="13">
        <v>4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+'5'!G150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+'5'!G151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+'5'!G152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+'5'!G154</f>
        <v>2</v>
      </c>
      <c r="D154" s="13">
        <v>0</v>
      </c>
      <c r="E154" s="12">
        <f t="shared" si="13"/>
        <v>2</v>
      </c>
      <c r="F154" s="13">
        <v>0</v>
      </c>
      <c r="G154" s="14">
        <f t="shared" si="16"/>
        <v>2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+'5'!G156</f>
        <v>2</v>
      </c>
      <c r="D156" s="13">
        <v>0</v>
      </c>
      <c r="E156" s="12">
        <f t="shared" si="13"/>
        <v>2</v>
      </c>
      <c r="F156" s="13">
        <v>0</v>
      </c>
      <c r="G156" s="14">
        <f t="shared" si="16"/>
        <v>0</v>
      </c>
      <c r="H156" s="15">
        <v>2</v>
      </c>
      <c r="I156" s="22">
        <v>185</v>
      </c>
      <c r="J156" s="43">
        <f t="shared" si="14"/>
        <v>370</v>
      </c>
      <c r="K156" s="18" t="s">
        <v>16</v>
      </c>
      <c r="L156" s="19">
        <v>0</v>
      </c>
      <c r="M156" s="24">
        <f t="shared" si="15"/>
        <v>370</v>
      </c>
    </row>
    <row r="157" spans="1:13" ht="25.5">
      <c r="A157" s="10">
        <v>153</v>
      </c>
      <c r="B157" s="21" t="s">
        <v>169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+'5'!G159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+'5'!G160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+'5'!G161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+'5'!G162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+'5'!G163</f>
        <v>6</v>
      </c>
      <c r="D163" s="13">
        <v>0</v>
      </c>
      <c r="E163" s="12">
        <f t="shared" si="17"/>
        <v>6</v>
      </c>
      <c r="F163" s="13">
        <v>0</v>
      </c>
      <c r="G163" s="14">
        <f t="shared" si="16"/>
        <v>6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+'5'!G164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+'5'!G165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+'5'!G166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+'5'!G167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+'5'!G168</f>
        <v>39</v>
      </c>
      <c r="D168" s="13">
        <v>0</v>
      </c>
      <c r="E168" s="12">
        <f t="shared" si="17"/>
        <v>39</v>
      </c>
      <c r="F168" s="13">
        <v>0</v>
      </c>
      <c r="G168" s="14">
        <f t="shared" si="16"/>
        <v>38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+'5'!G169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+'5'!G170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+'5'!G171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+'5'!G172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+'5'!G173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+'5'!G174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+'5'!G175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+'5'!G176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+'5'!G177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+'5'!G178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+'5'!G179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+'5'!G180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+'5'!G181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+'5'!G182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+'5'!G183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+'5'!G184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+'5'!G185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+'5'!G186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+'5'!G187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+'5'!G188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+'5'!G189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+'5'!G190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+'5'!G191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+'5'!G192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+'5'!G193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+'5'!G194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+'5'!G195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+'5'!G196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+'5'!G197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+'5'!G198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+'5'!G199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+'5'!G200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+'5'!G201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+'5'!G202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+'5'!G203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+'5'!G204</f>
        <v>5</v>
      </c>
      <c r="D204" s="13">
        <v>0</v>
      </c>
      <c r="E204" s="12">
        <f t="shared" si="17"/>
        <v>5</v>
      </c>
      <c r="F204" s="13">
        <v>0</v>
      </c>
      <c r="G204" s="14">
        <f t="shared" si="16"/>
        <v>5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+'5'!G205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+'5'!G206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+'5'!G207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+'5'!G212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+X111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SUM(J5:J213)</f>
        <v>3410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205</v>
      </c>
      <c r="L218" s="2">
        <v>50</v>
      </c>
      <c r="M218" s="2">
        <v>55</v>
      </c>
      <c r="N218" s="2">
        <v>100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SUM(L5:L213)</f>
        <v>385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2805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2805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270</v>
      </c>
      <c r="K227" s="24">
        <f>+K216-K221+K224</f>
        <v>3025</v>
      </c>
    </row>
    <row r="228" spans="7:11">
      <c r="G228" s="2"/>
      <c r="I228" s="2"/>
      <c r="J228" s="2" t="s">
        <v>271</v>
      </c>
      <c r="K228" s="24">
        <f>SUM(K217:K218)</f>
        <v>220</v>
      </c>
    </row>
    <row r="229" spans="7:11">
      <c r="G229" s="2"/>
      <c r="I229" s="2"/>
      <c r="J229" s="2" t="s">
        <v>272</v>
      </c>
      <c r="K229" s="24">
        <f>+K223</f>
        <v>2805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</sheetData>
  <autoFilter ref="A1:Y223" xr:uid="{A8659A1D-7742-48A0-A8EC-0F2280F9B025}"/>
  <mergeCells count="32">
    <mergeCell ref="I222:J222"/>
    <mergeCell ref="I223:J223"/>
    <mergeCell ref="I217:J217"/>
    <mergeCell ref="I219:J219"/>
    <mergeCell ref="Z3:Z4"/>
    <mergeCell ref="P107:W107"/>
    <mergeCell ref="R3:R4"/>
    <mergeCell ref="S3:S4"/>
    <mergeCell ref="I220:J220"/>
    <mergeCell ref="L3:L4"/>
    <mergeCell ref="O3:O4"/>
    <mergeCell ref="P3:P4"/>
    <mergeCell ref="Q3:Q4"/>
    <mergeCell ref="M214:N214"/>
    <mergeCell ref="H215:I215"/>
    <mergeCell ref="I216:J216"/>
    <mergeCell ref="I224:J224"/>
    <mergeCell ref="I225:J225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1:J221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A9090-4D65-4F53-B222-B9EEA9F09D65}">
  <sheetPr>
    <tabColor theme="5" tint="0.79998168889431442"/>
  </sheetPr>
  <dimension ref="A1:Z298"/>
  <sheetViews>
    <sheetView zoomScale="90" zoomScaleNormal="90" workbookViewId="0">
      <pane ySplit="4" topLeftCell="A209" activePane="bottomLeft" state="frozen"/>
      <selection pane="bottomLeft" activeCell="A212" sqref="A212:B21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+'6'!G5</f>
        <v>18</v>
      </c>
      <c r="D5" s="13">
        <v>15</v>
      </c>
      <c r="E5" s="12">
        <f t="shared" ref="E5:E94" si="0">C5+D5</f>
        <v>33</v>
      </c>
      <c r="F5" s="13">
        <v>0</v>
      </c>
      <c r="G5" s="14">
        <f t="shared" ref="G5:G81" si="1">E5-F5-H5</f>
        <v>31</v>
      </c>
      <c r="H5" s="15">
        <v>2</v>
      </c>
      <c r="I5" s="16">
        <v>50</v>
      </c>
      <c r="J5" s="43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+'6'!G6</f>
        <v>9</v>
      </c>
      <c r="D6" s="13">
        <v>30</v>
      </c>
      <c r="E6" s="12">
        <f t="shared" si="0"/>
        <v>39</v>
      </c>
      <c r="F6" s="13">
        <v>0</v>
      </c>
      <c r="G6" s="14">
        <f t="shared" si="1"/>
        <v>39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+'6'!G7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+'6'!G12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+'6'!G14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+'6'!G15</f>
        <v>0</v>
      </c>
      <c r="D15" s="13">
        <v>2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+'6'!G16</f>
        <v>2</v>
      </c>
      <c r="D16" s="13">
        <v>2</v>
      </c>
      <c r="E16" s="12">
        <f t="shared" si="0"/>
        <v>4</v>
      </c>
      <c r="F16" s="13">
        <v>0</v>
      </c>
      <c r="G16" s="14">
        <f t="shared" si="1"/>
        <v>4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+'6'!G17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v>1</v>
      </c>
      <c r="D18" s="13">
        <v>2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+'6'!G19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1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+'6'!G20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+'6'!G23</f>
        <v>3</v>
      </c>
      <c r="D23" s="13">
        <v>20</v>
      </c>
      <c r="E23" s="12">
        <f t="shared" si="0"/>
        <v>23</v>
      </c>
      <c r="F23" s="13">
        <v>0</v>
      </c>
      <c r="G23" s="14">
        <f t="shared" si="1"/>
        <v>23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+'6'!G24</f>
        <v>1</v>
      </c>
      <c r="D24" s="13">
        <v>5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+'6'!G26</f>
        <v>2</v>
      </c>
      <c r="D26" s="13">
        <v>2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+'6'!G27</f>
        <v>0</v>
      </c>
      <c r="D27" s="13">
        <v>3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+'6'!G29</f>
        <v>5</v>
      </c>
      <c r="D29" s="13">
        <v>5</v>
      </c>
      <c r="E29" s="12">
        <f t="shared" si="0"/>
        <v>10</v>
      </c>
      <c r="F29" s="13">
        <v>0</v>
      </c>
      <c r="G29" s="14">
        <f t="shared" si="1"/>
        <v>10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+'6'!G31</f>
        <v>1</v>
      </c>
      <c r="D31" s="13">
        <v>3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+'6'!G33</f>
        <v>3</v>
      </c>
      <c r="D33" s="13">
        <v>4</v>
      </c>
      <c r="E33" s="12">
        <f t="shared" si="0"/>
        <v>7</v>
      </c>
      <c r="F33" s="13">
        <v>0</v>
      </c>
      <c r="G33" s="14">
        <f t="shared" si="1"/>
        <v>7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+'6'!G34</f>
        <v>6</v>
      </c>
      <c r="D34" s="13">
        <v>0</v>
      </c>
      <c r="E34" s="12">
        <f t="shared" si="0"/>
        <v>6</v>
      </c>
      <c r="F34" s="13">
        <v>0</v>
      </c>
      <c r="G34" s="14">
        <f t="shared" si="1"/>
        <v>6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+'6'!G35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+'6'!G37</f>
        <v>4</v>
      </c>
      <c r="D37" s="13">
        <v>5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+'6'!G38</f>
        <v>5</v>
      </c>
      <c r="D38" s="13">
        <v>4</v>
      </c>
      <c r="E38" s="12">
        <f t="shared" si="0"/>
        <v>9</v>
      </c>
      <c r="F38" s="13">
        <v>0</v>
      </c>
      <c r="G38" s="14">
        <f t="shared" si="1"/>
        <v>9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+'6'!G39</f>
        <v>5</v>
      </c>
      <c r="D39" s="13">
        <v>4</v>
      </c>
      <c r="E39" s="12">
        <f t="shared" si="0"/>
        <v>9</v>
      </c>
      <c r="F39" s="13">
        <v>0</v>
      </c>
      <c r="G39" s="14">
        <f t="shared" si="1"/>
        <v>9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+'6'!G40</f>
        <v>5</v>
      </c>
      <c r="D40" s="13">
        <v>4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+'6'!G42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+'6'!G43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+'6'!G44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+'6'!G46</f>
        <v>2</v>
      </c>
      <c r="D46" s="13">
        <v>0</v>
      </c>
      <c r="E46" s="12">
        <f t="shared" si="0"/>
        <v>2</v>
      </c>
      <c r="F46" s="13">
        <v>0</v>
      </c>
      <c r="G46" s="14">
        <f t="shared" si="1"/>
        <v>0</v>
      </c>
      <c r="H46" s="15">
        <v>2</v>
      </c>
      <c r="I46" s="16">
        <v>50</v>
      </c>
      <c r="J46" s="43">
        <f t="shared" si="5"/>
        <v>100</v>
      </c>
      <c r="K46" s="18" t="s">
        <v>16</v>
      </c>
      <c r="L46" s="19">
        <v>0</v>
      </c>
      <c r="M46" s="24">
        <f t="shared" si="6"/>
        <v>100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+'6'!G47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+'6'!G48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+'6'!G49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+'6'!G50</f>
        <v>1</v>
      </c>
      <c r="D50" s="13">
        <v>1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+'6'!G51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+'6'!G52</f>
        <v>0</v>
      </c>
      <c r="D52" s="13">
        <v>2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+'6'!G53</f>
        <v>1</v>
      </c>
      <c r="D53" s="13">
        <v>2</v>
      </c>
      <c r="E53" s="12">
        <f t="shared" si="0"/>
        <v>3</v>
      </c>
      <c r="F53" s="13">
        <v>0</v>
      </c>
      <c r="G53" s="14">
        <f t="shared" si="1"/>
        <v>3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+'6'!G55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+'6'!G57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+'6'!G62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+'6'!G63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+'6'!G66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+'6'!G67</f>
        <v>3</v>
      </c>
      <c r="D67" s="13">
        <v>0</v>
      </c>
      <c r="E67" s="12">
        <f t="shared" si="0"/>
        <v>3</v>
      </c>
      <c r="F67" s="13">
        <v>0</v>
      </c>
      <c r="G67" s="14">
        <f t="shared" si="1"/>
        <v>3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+'6'!G70</f>
        <v>1</v>
      </c>
      <c r="D70" s="13">
        <v>5</v>
      </c>
      <c r="E70" s="12">
        <f t="shared" si="0"/>
        <v>6</v>
      </c>
      <c r="F70" s="13">
        <v>0</v>
      </c>
      <c r="G70" s="14">
        <f t="shared" si="1"/>
        <v>5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+'6'!G71</f>
        <v>0</v>
      </c>
      <c r="D71" s="13">
        <v>5</v>
      </c>
      <c r="E71" s="12">
        <f t="shared" si="0"/>
        <v>5</v>
      </c>
      <c r="F71" s="13">
        <v>0</v>
      </c>
      <c r="G71" s="14">
        <f t="shared" si="1"/>
        <v>5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+'6'!G73</f>
        <v>4</v>
      </c>
      <c r="D73" s="13">
        <v>0</v>
      </c>
      <c r="E73" s="12">
        <f t="shared" si="0"/>
        <v>4</v>
      </c>
      <c r="F73" s="13">
        <v>0</v>
      </c>
      <c r="G73" s="14">
        <f t="shared" si="1"/>
        <v>4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+'6'!G74</f>
        <v>0</v>
      </c>
      <c r="D74" s="13">
        <v>5</v>
      </c>
      <c r="E74" s="12">
        <f t="shared" si="0"/>
        <v>5</v>
      </c>
      <c r="F74" s="13">
        <v>0</v>
      </c>
      <c r="G74" s="14">
        <f t="shared" si="1"/>
        <v>4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+'6'!G77</f>
        <v>0</v>
      </c>
      <c r="D77" s="13">
        <v>2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+'6'!G79</f>
        <v>0</v>
      </c>
      <c r="D79" s="13">
        <v>5</v>
      </c>
      <c r="E79" s="12">
        <f t="shared" si="0"/>
        <v>5</v>
      </c>
      <c r="F79" s="13">
        <v>0</v>
      </c>
      <c r="G79" s="14">
        <f t="shared" si="1"/>
        <v>5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+'6'!G81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+'6'!G82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+'6'!G85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+'6'!G86</f>
        <v>9</v>
      </c>
      <c r="D86" s="13">
        <v>0</v>
      </c>
      <c r="E86" s="12">
        <f t="shared" si="0"/>
        <v>9</v>
      </c>
      <c r="F86" s="13">
        <v>0</v>
      </c>
      <c r="G86" s="14">
        <f t="shared" si="12"/>
        <v>9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+'6'!G87</f>
        <v>5</v>
      </c>
      <c r="D87" s="13">
        <v>0</v>
      </c>
      <c r="E87" s="12">
        <f t="shared" si="0"/>
        <v>5</v>
      </c>
      <c r="F87" s="13">
        <v>0</v>
      </c>
      <c r="G87" s="14">
        <f t="shared" si="12"/>
        <v>5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+'6'!G88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+'6'!G89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+'6'!G92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+'6'!G93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+'6'!G95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+'6'!G96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+'6'!G97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+'6'!G98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+'6'!G99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+'6'!G100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+'6'!G101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+'6'!G102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+'6'!G103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+'6'!G104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+'6'!G105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+'6'!G106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+'6'!G107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+'6'!G108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+'6'!G109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+'6'!G110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+'6'!G111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+'6'!G112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+'6'!G113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+'6'!G114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+'6'!G115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+'6'!G116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+'6'!G117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+'6'!G118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+'6'!G119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+'6'!G120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+'6'!G121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+'6'!G122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+'6'!G123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+'6'!G124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+'6'!G125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+'6'!G126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+'6'!G127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+'6'!G128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+'6'!G129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+'6'!G130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+'6'!G131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+'6'!G132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+'6'!G133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+'6'!G134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+'6'!G135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+'6'!G136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+'6'!G137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+'6'!G138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+'6'!G139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+'6'!G140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+'6'!G141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+'6'!G142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+'6'!G143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+'6'!G144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+'6'!G145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+'6'!G146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+'6'!G147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+'6'!G148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+'6'!G149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+'6'!G150</f>
        <v>0</v>
      </c>
      <c r="D150" s="13">
        <v>3</v>
      </c>
      <c r="E150" s="12">
        <f t="shared" si="13"/>
        <v>3</v>
      </c>
      <c r="F150" s="13">
        <v>0</v>
      </c>
      <c r="G150" s="14">
        <f t="shared" si="16"/>
        <v>3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+'6'!G151</f>
        <v>0</v>
      </c>
      <c r="D151" s="13">
        <v>3</v>
      </c>
      <c r="E151" s="12">
        <f t="shared" si="13"/>
        <v>3</v>
      </c>
      <c r="F151" s="13">
        <v>0</v>
      </c>
      <c r="G151" s="14">
        <f t="shared" si="16"/>
        <v>3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+'6'!G152</f>
        <v>0</v>
      </c>
      <c r="D152" s="13">
        <v>3</v>
      </c>
      <c r="E152" s="12">
        <f t="shared" si="13"/>
        <v>3</v>
      </c>
      <c r="F152" s="13">
        <v>0</v>
      </c>
      <c r="G152" s="14">
        <f t="shared" si="16"/>
        <v>3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+'6'!G153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+'6'!G154</f>
        <v>2</v>
      </c>
      <c r="D154" s="13">
        <v>0</v>
      </c>
      <c r="E154" s="12">
        <f t="shared" si="13"/>
        <v>2</v>
      </c>
      <c r="F154" s="13">
        <v>0</v>
      </c>
      <c r="G154" s="14">
        <f t="shared" si="16"/>
        <v>1</v>
      </c>
      <c r="H154" s="15">
        <v>1</v>
      </c>
      <c r="I154" s="22">
        <v>185</v>
      </c>
      <c r="J154" s="43">
        <f t="shared" si="14"/>
        <v>185</v>
      </c>
      <c r="K154" s="18" t="s">
        <v>16</v>
      </c>
      <c r="L154" s="19">
        <v>0</v>
      </c>
      <c r="M154" s="24">
        <f t="shared" si="15"/>
        <v>185</v>
      </c>
    </row>
    <row r="155" spans="1:13" ht="25.5">
      <c r="A155" s="10">
        <v>151</v>
      </c>
      <c r="B155" s="21" t="s">
        <v>167</v>
      </c>
      <c r="C155" s="12">
        <f>+'6'!G155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+'6'!G156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+'6'!G157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+'6'!G158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+'6'!G159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+'6'!G160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+'6'!G161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+'6'!G162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+'6'!G163</f>
        <v>6</v>
      </c>
      <c r="D163" s="13">
        <v>0</v>
      </c>
      <c r="E163" s="12">
        <f t="shared" si="17"/>
        <v>6</v>
      </c>
      <c r="F163" s="13">
        <v>0</v>
      </c>
      <c r="G163" s="14">
        <f t="shared" si="16"/>
        <v>6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+'6'!G164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+'6'!G165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+'6'!G166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+'6'!G167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+'6'!G168</f>
        <v>38</v>
      </c>
      <c r="D168" s="13">
        <v>0</v>
      </c>
      <c r="E168" s="12">
        <f t="shared" si="17"/>
        <v>38</v>
      </c>
      <c r="F168" s="13">
        <v>0</v>
      </c>
      <c r="G168" s="14">
        <f t="shared" si="16"/>
        <v>38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+'6'!G169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+'6'!G170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+'6'!G171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+'6'!G172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+'6'!G173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+'6'!G174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+'6'!G175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+'6'!G176</f>
        <v>0</v>
      </c>
      <c r="D176" s="13">
        <v>5</v>
      </c>
      <c r="E176" s="12">
        <f t="shared" si="17"/>
        <v>5</v>
      </c>
      <c r="F176" s="13">
        <v>0</v>
      </c>
      <c r="G176" s="14">
        <f t="shared" si="16"/>
        <v>5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+'6'!G177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+'6'!G178</f>
        <v>0</v>
      </c>
      <c r="D178" s="13">
        <v>5</v>
      </c>
      <c r="E178" s="12">
        <f t="shared" si="17"/>
        <v>5</v>
      </c>
      <c r="F178" s="13">
        <v>0</v>
      </c>
      <c r="G178" s="14">
        <f t="shared" si="16"/>
        <v>5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+'6'!G179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+'6'!G180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+'6'!G181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+'6'!G182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+'6'!G183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+'6'!G184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+'6'!G185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+'6'!G186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+'6'!G187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+'6'!G188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+'6'!G189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+'6'!G190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+'6'!G191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+'6'!G192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+'6'!G193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+'6'!G194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+'6'!G195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+'6'!G196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+'6'!G197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+'6'!G198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+'6'!G199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+'6'!G200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+'6'!G201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+'6'!G202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+'6'!G203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+'6'!G204</f>
        <v>5</v>
      </c>
      <c r="D204" s="13">
        <v>0</v>
      </c>
      <c r="E204" s="12">
        <f t="shared" si="17"/>
        <v>5</v>
      </c>
      <c r="F204" s="13">
        <v>0</v>
      </c>
      <c r="G204" s="14">
        <f t="shared" si="16"/>
        <v>5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+'6'!G205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+'6'!G206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+'6'!G207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+ยกมา!G209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+ยกมา!G210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+ยกมา!G211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+ยกมา!G212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+ยกมา!G213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+X111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SUM(J5:J213)</f>
        <v>555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15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120</v>
      </c>
      <c r="L218" s="2">
        <v>120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SUM(L9:L214)</f>
        <v>0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420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420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270</v>
      </c>
      <c r="K227" s="24">
        <f>+K216-K221+K224</f>
        <v>555</v>
      </c>
    </row>
    <row r="228" spans="7:11">
      <c r="G228" s="2"/>
      <c r="I228" s="2"/>
      <c r="J228" s="2" t="s">
        <v>271</v>
      </c>
      <c r="K228" s="24">
        <f>SUM(K217:K218)</f>
        <v>135</v>
      </c>
    </row>
    <row r="229" spans="7:11">
      <c r="G229" s="2"/>
      <c r="I229" s="2"/>
      <c r="J229" s="2" t="s">
        <v>272</v>
      </c>
      <c r="K229" s="24">
        <f>+K223</f>
        <v>420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</sheetData>
  <autoFilter ref="A1:Y223" xr:uid="{A8659A1D-7742-48A0-A8EC-0F2280F9B025}"/>
  <mergeCells count="32">
    <mergeCell ref="I219:J219"/>
    <mergeCell ref="H215:I215"/>
    <mergeCell ref="I216:J216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I225:J225"/>
    <mergeCell ref="I221:J221"/>
    <mergeCell ref="I222:J222"/>
    <mergeCell ref="I223:J223"/>
    <mergeCell ref="Z3:Z4"/>
    <mergeCell ref="P107:W107"/>
    <mergeCell ref="R3:R4"/>
    <mergeCell ref="S3:S4"/>
    <mergeCell ref="I224:J224"/>
    <mergeCell ref="I220:J220"/>
    <mergeCell ref="L3:L4"/>
    <mergeCell ref="O3:O4"/>
    <mergeCell ref="P3:P4"/>
    <mergeCell ref="Q3:Q4"/>
    <mergeCell ref="M214:N214"/>
    <mergeCell ref="I217:J21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9FF96-53C1-44E8-B4BD-32D1945F2EF0}">
  <sheetPr>
    <tabColor theme="5" tint="0.79998168889431442"/>
  </sheetPr>
  <dimension ref="A1:Z300"/>
  <sheetViews>
    <sheetView zoomScale="90" zoomScaleNormal="90" workbookViewId="0">
      <pane ySplit="4" topLeftCell="A204" activePane="bottomLeft" state="frozen"/>
      <selection pane="bottomLeft" activeCell="I212" sqref="I212:I21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+'7'!G5</f>
        <v>31</v>
      </c>
      <c r="D5" s="13">
        <v>0</v>
      </c>
      <c r="E5" s="12">
        <f t="shared" ref="E5:E94" si="0">C5+D5</f>
        <v>31</v>
      </c>
      <c r="F5" s="13">
        <v>0</v>
      </c>
      <c r="G5" s="14">
        <f t="shared" ref="G5:G81" si="1">E5-F5-H5</f>
        <v>29</v>
      </c>
      <c r="H5" s="15">
        <v>2</v>
      </c>
      <c r="I5" s="16">
        <v>50</v>
      </c>
      <c r="J5" s="43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+'7'!G6</f>
        <v>39</v>
      </c>
      <c r="D6" s="13">
        <v>0</v>
      </c>
      <c r="E6" s="12">
        <f t="shared" si="0"/>
        <v>39</v>
      </c>
      <c r="F6" s="13">
        <v>0</v>
      </c>
      <c r="G6" s="14">
        <f t="shared" si="1"/>
        <v>37</v>
      </c>
      <c r="H6" s="15">
        <v>2</v>
      </c>
      <c r="I6" s="16">
        <v>100</v>
      </c>
      <c r="J6" s="43">
        <f t="shared" ref="J6:J69" si="5">+I6*H6</f>
        <v>200</v>
      </c>
      <c r="K6" s="18" t="s">
        <v>16</v>
      </c>
      <c r="L6" s="19">
        <v>0</v>
      </c>
      <c r="M6" s="24">
        <f t="shared" ref="M6:M69" si="6">SUM(J6-L6)</f>
        <v>200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+'7'!G7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+'7'!G12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+'7'!G14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+'7'!G15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+'7'!G16</f>
        <v>4</v>
      </c>
      <c r="D16" s="13">
        <v>0</v>
      </c>
      <c r="E16" s="12">
        <f t="shared" si="0"/>
        <v>4</v>
      </c>
      <c r="F16" s="13">
        <v>0</v>
      </c>
      <c r="G16" s="14">
        <f t="shared" si="1"/>
        <v>4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+'7'!G17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+'7'!G18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+'7'!G19</f>
        <v>1</v>
      </c>
      <c r="D19" s="13">
        <v>0</v>
      </c>
      <c r="E19" s="12">
        <f t="shared" si="0"/>
        <v>1</v>
      </c>
      <c r="F19" s="13">
        <v>0</v>
      </c>
      <c r="G19" s="14">
        <f t="shared" si="1"/>
        <v>0</v>
      </c>
      <c r="H19" s="15">
        <v>1</v>
      </c>
      <c r="I19" s="16">
        <v>50</v>
      </c>
      <c r="J19" s="43">
        <f t="shared" si="5"/>
        <v>50</v>
      </c>
      <c r="K19" s="18" t="s">
        <v>275</v>
      </c>
      <c r="L19" s="19">
        <v>50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+'7'!G20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+'7'!G23</f>
        <v>23</v>
      </c>
      <c r="D23" s="13">
        <v>0</v>
      </c>
      <c r="E23" s="12">
        <f t="shared" si="0"/>
        <v>23</v>
      </c>
      <c r="F23" s="13">
        <v>0</v>
      </c>
      <c r="G23" s="14">
        <f t="shared" si="1"/>
        <v>18</v>
      </c>
      <c r="H23" s="15">
        <v>5</v>
      </c>
      <c r="I23" s="16">
        <v>100</v>
      </c>
      <c r="J23" s="43">
        <f t="shared" si="5"/>
        <v>500</v>
      </c>
      <c r="K23" s="18" t="s">
        <v>16</v>
      </c>
      <c r="L23" s="19">
        <v>0</v>
      </c>
      <c r="M23" s="24">
        <f t="shared" si="6"/>
        <v>500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+'7'!G24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4</v>
      </c>
      <c r="H24" s="15">
        <v>2</v>
      </c>
      <c r="I24" s="20">
        <v>100</v>
      </c>
      <c r="J24" s="43">
        <f t="shared" si="5"/>
        <v>200</v>
      </c>
      <c r="K24" s="18" t="s">
        <v>16</v>
      </c>
      <c r="L24" s="19">
        <v>0</v>
      </c>
      <c r="M24" s="24">
        <f t="shared" si="6"/>
        <v>200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+'7'!G26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+'7'!G27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+'7'!G29</f>
        <v>10</v>
      </c>
      <c r="D29" s="13">
        <v>0</v>
      </c>
      <c r="E29" s="12">
        <f t="shared" si="0"/>
        <v>10</v>
      </c>
      <c r="F29" s="13">
        <v>0</v>
      </c>
      <c r="G29" s="14">
        <f t="shared" si="1"/>
        <v>8</v>
      </c>
      <c r="H29" s="15">
        <v>2</v>
      </c>
      <c r="I29" s="16">
        <v>100</v>
      </c>
      <c r="J29" s="43">
        <f t="shared" si="5"/>
        <v>200</v>
      </c>
      <c r="K29" s="18" t="s">
        <v>16</v>
      </c>
      <c r="L29" s="19">
        <v>0</v>
      </c>
      <c r="M29" s="24">
        <f t="shared" si="6"/>
        <v>200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+'7'!G31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+'7'!G33</f>
        <v>7</v>
      </c>
      <c r="D33" s="13">
        <v>0</v>
      </c>
      <c r="E33" s="12">
        <f t="shared" si="0"/>
        <v>7</v>
      </c>
      <c r="F33" s="13">
        <v>0</v>
      </c>
      <c r="G33" s="14">
        <f t="shared" si="1"/>
        <v>7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+'7'!G34</f>
        <v>6</v>
      </c>
      <c r="D34" s="13">
        <v>0</v>
      </c>
      <c r="E34" s="12">
        <f t="shared" si="0"/>
        <v>6</v>
      </c>
      <c r="F34" s="13">
        <v>0</v>
      </c>
      <c r="G34" s="14">
        <f t="shared" si="1"/>
        <v>4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+'7'!G35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+'7'!G37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+'7'!G38</f>
        <v>9</v>
      </c>
      <c r="D38" s="13">
        <v>0</v>
      </c>
      <c r="E38" s="12">
        <f t="shared" si="0"/>
        <v>9</v>
      </c>
      <c r="F38" s="13">
        <v>0</v>
      </c>
      <c r="G38" s="14">
        <f t="shared" si="1"/>
        <v>8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+'7'!G39</f>
        <v>9</v>
      </c>
      <c r="D39" s="13">
        <v>0</v>
      </c>
      <c r="E39" s="12">
        <f t="shared" si="0"/>
        <v>9</v>
      </c>
      <c r="F39" s="13">
        <v>0</v>
      </c>
      <c r="G39" s="14">
        <f t="shared" si="1"/>
        <v>8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+'7'!G40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9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+'7'!G42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1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+'7'!G43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+'7'!G44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+'7'!G46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+'7'!G47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+'7'!G48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+'7'!G49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+'7'!G50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+'7'!G51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+'7'!G52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+'7'!G53</f>
        <v>3</v>
      </c>
      <c r="D53" s="13">
        <v>0</v>
      </c>
      <c r="E53" s="12">
        <f t="shared" si="0"/>
        <v>3</v>
      </c>
      <c r="F53" s="13">
        <v>0</v>
      </c>
      <c r="G53" s="14">
        <f t="shared" si="1"/>
        <v>3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+'7'!G55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+'7'!G57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+'7'!G62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+'7'!G63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+'7'!G66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+'7'!G67</f>
        <v>3</v>
      </c>
      <c r="D67" s="13">
        <v>0</v>
      </c>
      <c r="E67" s="12">
        <f t="shared" si="0"/>
        <v>3</v>
      </c>
      <c r="F67" s="13">
        <v>0</v>
      </c>
      <c r="G67" s="14">
        <f t="shared" si="1"/>
        <v>2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+'7'!G70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4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+'7'!G71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4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+'7'!G73</f>
        <v>4</v>
      </c>
      <c r="D73" s="13">
        <v>0</v>
      </c>
      <c r="E73" s="12">
        <f t="shared" si="0"/>
        <v>4</v>
      </c>
      <c r="F73" s="13">
        <v>0</v>
      </c>
      <c r="G73" s="14">
        <f t="shared" si="1"/>
        <v>4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+'7'!G74</f>
        <v>4</v>
      </c>
      <c r="D74" s="13">
        <v>0</v>
      </c>
      <c r="E74" s="12">
        <f t="shared" si="0"/>
        <v>4</v>
      </c>
      <c r="F74" s="13">
        <v>0</v>
      </c>
      <c r="G74" s="14">
        <f t="shared" si="1"/>
        <v>1</v>
      </c>
      <c r="H74" s="15">
        <v>3</v>
      </c>
      <c r="I74" s="23">
        <v>120</v>
      </c>
      <c r="J74" s="43">
        <f t="shared" si="10"/>
        <v>360</v>
      </c>
      <c r="K74" s="18" t="s">
        <v>16</v>
      </c>
      <c r="L74" s="19">
        <v>0</v>
      </c>
      <c r="M74" s="24">
        <f t="shared" si="11"/>
        <v>360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+'7'!G77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+'7'!G79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4</v>
      </c>
      <c r="H79" s="15">
        <v>1</v>
      </c>
      <c r="I79" s="23">
        <v>50</v>
      </c>
      <c r="J79" s="43">
        <f t="shared" si="10"/>
        <v>50</v>
      </c>
      <c r="K79" s="18" t="s">
        <v>275</v>
      </c>
      <c r="L79" s="19">
        <v>50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+'7'!G81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0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+'7'!G82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1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+'7'!G85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+'7'!G86</f>
        <v>9</v>
      </c>
      <c r="D86" s="13">
        <v>0</v>
      </c>
      <c r="E86" s="12">
        <f t="shared" si="0"/>
        <v>9</v>
      </c>
      <c r="F86" s="13">
        <v>0</v>
      </c>
      <c r="G86" s="14">
        <f t="shared" si="12"/>
        <v>9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+'7'!G87</f>
        <v>5</v>
      </c>
      <c r="D87" s="13">
        <v>0</v>
      </c>
      <c r="E87" s="12">
        <f t="shared" si="0"/>
        <v>5</v>
      </c>
      <c r="F87" s="13">
        <v>0</v>
      </c>
      <c r="G87" s="14">
        <f t="shared" si="12"/>
        <v>4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+'7'!G88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+'7'!G89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9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+'7'!G93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+'7'!G95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+'7'!G96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+'7'!G97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+'7'!G98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+'7'!G99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+'7'!G100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+'7'!G101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+'7'!G102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+'7'!G103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+'7'!G104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+'7'!G105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+'7'!G106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+'7'!G107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+'7'!G108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+'7'!G109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+'7'!G110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+'7'!G111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+'7'!G112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+'7'!G113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+'7'!G114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+'7'!G115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+'7'!G116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+'7'!G117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+'7'!G118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+'7'!G119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+'7'!G120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+'7'!G121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+'7'!G122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+'7'!G123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+'7'!G124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+'7'!G125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+'7'!G126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+'7'!G127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+'7'!G128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+'7'!G129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+'7'!G130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+'7'!G131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+'7'!G132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+'7'!G133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+'7'!G134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+'7'!G135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+'7'!G136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+'7'!G137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+'7'!G138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+'7'!G139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+'7'!G140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+'7'!G141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+'7'!G142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+'7'!G143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+'7'!G144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+'7'!G145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+'7'!G146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+'7'!G147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+'7'!G148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+'7'!G149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+'7'!G150</f>
        <v>3</v>
      </c>
      <c r="D150" s="13">
        <v>0</v>
      </c>
      <c r="E150" s="12">
        <f t="shared" si="13"/>
        <v>3</v>
      </c>
      <c r="F150" s="13">
        <v>0</v>
      </c>
      <c r="G150" s="14">
        <f t="shared" si="16"/>
        <v>2</v>
      </c>
      <c r="H150" s="15">
        <v>1</v>
      </c>
      <c r="I150" s="22">
        <v>120</v>
      </c>
      <c r="J150" s="43">
        <f t="shared" si="14"/>
        <v>120</v>
      </c>
      <c r="K150" s="18" t="s">
        <v>16</v>
      </c>
      <c r="L150" s="19">
        <v>0</v>
      </c>
      <c r="M150" s="24">
        <f t="shared" si="15"/>
        <v>120</v>
      </c>
    </row>
    <row r="151" spans="1:13" ht="25.5">
      <c r="A151" s="10">
        <v>147</v>
      </c>
      <c r="B151" s="21" t="s">
        <v>163</v>
      </c>
      <c r="C151" s="12">
        <f>+'7'!G151</f>
        <v>3</v>
      </c>
      <c r="D151" s="13">
        <v>0</v>
      </c>
      <c r="E151" s="12">
        <f t="shared" si="13"/>
        <v>3</v>
      </c>
      <c r="F151" s="13">
        <v>0</v>
      </c>
      <c r="G151" s="14">
        <f t="shared" si="16"/>
        <v>3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+'7'!G152</f>
        <v>3</v>
      </c>
      <c r="D152" s="13">
        <v>0</v>
      </c>
      <c r="E152" s="12">
        <f t="shared" si="13"/>
        <v>3</v>
      </c>
      <c r="F152" s="13">
        <v>0</v>
      </c>
      <c r="G152" s="14">
        <f t="shared" si="16"/>
        <v>3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+'7'!G153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+'7'!G154</f>
        <v>1</v>
      </c>
      <c r="D154" s="13">
        <v>0</v>
      </c>
      <c r="E154" s="12">
        <f t="shared" si="13"/>
        <v>1</v>
      </c>
      <c r="F154" s="13">
        <v>0</v>
      </c>
      <c r="G154" s="14">
        <f t="shared" si="16"/>
        <v>1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+'7'!G155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+'7'!G156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+'7'!G157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+'7'!G158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+'7'!G159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+'7'!G160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+'7'!G161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+'7'!G162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+'7'!G163</f>
        <v>6</v>
      </c>
      <c r="D163" s="13">
        <v>0</v>
      </c>
      <c r="E163" s="12">
        <f t="shared" si="17"/>
        <v>6</v>
      </c>
      <c r="F163" s="13">
        <v>0</v>
      </c>
      <c r="G163" s="14">
        <f t="shared" si="16"/>
        <v>6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+'7'!G164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+'7'!G165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+'7'!G166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+'7'!G167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+'7'!G168</f>
        <v>38</v>
      </c>
      <c r="D168" s="13">
        <v>0</v>
      </c>
      <c r="E168" s="12">
        <f t="shared" si="17"/>
        <v>38</v>
      </c>
      <c r="F168" s="13">
        <v>0</v>
      </c>
      <c r="G168" s="14">
        <f t="shared" si="16"/>
        <v>38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+'7'!G169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+'7'!G170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+'7'!G171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+'7'!G172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+'7'!G173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+'7'!G174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+'7'!G175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+'7'!G176</f>
        <v>5</v>
      </c>
      <c r="D176" s="13">
        <v>0</v>
      </c>
      <c r="E176" s="12">
        <f t="shared" si="17"/>
        <v>5</v>
      </c>
      <c r="F176" s="13">
        <v>0</v>
      </c>
      <c r="G176" s="14">
        <f t="shared" si="16"/>
        <v>3</v>
      </c>
      <c r="H176" s="15">
        <v>2</v>
      </c>
      <c r="I176" s="22">
        <v>50</v>
      </c>
      <c r="J176" s="43">
        <f t="shared" si="14"/>
        <v>100</v>
      </c>
      <c r="K176" s="18" t="s">
        <v>16</v>
      </c>
      <c r="L176" s="19">
        <v>0</v>
      </c>
      <c r="M176" s="24">
        <f t="shared" si="15"/>
        <v>100</v>
      </c>
    </row>
    <row r="177" spans="1:13" ht="25.5">
      <c r="A177" s="10">
        <v>173</v>
      </c>
      <c r="B177" s="21" t="s">
        <v>189</v>
      </c>
      <c r="C177" s="12">
        <f>+'7'!G177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+'7'!G178</f>
        <v>5</v>
      </c>
      <c r="D178" s="13">
        <v>0</v>
      </c>
      <c r="E178" s="12">
        <f t="shared" si="17"/>
        <v>5</v>
      </c>
      <c r="F178" s="13">
        <v>0</v>
      </c>
      <c r="G178" s="14">
        <f t="shared" si="16"/>
        <v>2</v>
      </c>
      <c r="H178" s="15">
        <v>3</v>
      </c>
      <c r="I178" s="22">
        <v>120</v>
      </c>
      <c r="J178" s="43">
        <f t="shared" si="14"/>
        <v>360</v>
      </c>
      <c r="K178" s="18" t="s">
        <v>16</v>
      </c>
      <c r="L178" s="19">
        <v>0</v>
      </c>
      <c r="M178" s="24">
        <f t="shared" si="15"/>
        <v>360</v>
      </c>
    </row>
    <row r="179" spans="1:13" ht="25.5">
      <c r="A179" s="10">
        <v>175</v>
      </c>
      <c r="B179" s="21" t="s">
        <v>191</v>
      </c>
      <c r="C179" s="12">
        <f>+'7'!G179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+'7'!G180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+'7'!G181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+'7'!G182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+'7'!G183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+'7'!G184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+'7'!G185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+'7'!G186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+'7'!G187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+'7'!G188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+'7'!G189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+'7'!G190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+'7'!G191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+'7'!G192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+'7'!G193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+'7'!G194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+'7'!G195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+'7'!G196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+'7'!G197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+'7'!G198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+'7'!G199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+'7'!G200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+'7'!G201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+'7'!G202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+'7'!G203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+'7'!G204</f>
        <v>5</v>
      </c>
      <c r="D204" s="13">
        <v>0</v>
      </c>
      <c r="E204" s="12">
        <f t="shared" si="17"/>
        <v>5</v>
      </c>
      <c r="F204" s="13">
        <v>0</v>
      </c>
      <c r="G204" s="14">
        <f t="shared" si="16"/>
        <v>4</v>
      </c>
      <c r="H204" s="15">
        <v>1</v>
      </c>
      <c r="I204" s="16">
        <v>50</v>
      </c>
      <c r="J204" s="43">
        <f t="shared" si="18"/>
        <v>50</v>
      </c>
      <c r="K204" s="18" t="s">
        <v>16</v>
      </c>
      <c r="L204" s="19">
        <v>0</v>
      </c>
      <c r="M204" s="24">
        <f t="shared" si="19"/>
        <v>50</v>
      </c>
    </row>
    <row r="205" spans="1:13" ht="25.5">
      <c r="A205" s="10">
        <v>201</v>
      </c>
      <c r="B205" s="21" t="s">
        <v>257</v>
      </c>
      <c r="C205" s="12">
        <f>+'7'!G205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+'7'!G206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+'7'!G207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>
      <c r="A209" s="10">
        <v>205</v>
      </c>
      <c r="B209" s="21" t="s">
        <v>261</v>
      </c>
      <c r="C209" s="12">
        <f>+'7'!G209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>
      <c r="A210" s="10">
        <v>206</v>
      </c>
      <c r="B210" s="21" t="s">
        <v>262</v>
      </c>
      <c r="C210" s="12">
        <f>+'7'!G210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>
      <c r="A211" s="10">
        <v>207</v>
      </c>
      <c r="B211" s="21" t="s">
        <v>263</v>
      </c>
      <c r="C211" s="12">
        <f>+'7'!G211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>
      <c r="A212" s="10">
        <v>208</v>
      </c>
      <c r="B212" s="11" t="s">
        <v>264</v>
      </c>
      <c r="C212" s="12">
        <f>+'7'!G212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>
      <c r="A213" s="10">
        <v>209</v>
      </c>
      <c r="B213" s="21" t="s">
        <v>265</v>
      </c>
      <c r="C213" s="12">
        <f>+'7'!G213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16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5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15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2980</v>
      </c>
    </row>
    <row r="217" spans="1:15" ht="25.5">
      <c r="A217" s="1"/>
      <c r="C217" s="32"/>
      <c r="E217" s="32"/>
      <c r="G217" s="32"/>
      <c r="I217" s="134" t="s">
        <v>209</v>
      </c>
      <c r="J217" s="135"/>
      <c r="K217" s="37">
        <v>15</v>
      </c>
    </row>
    <row r="218" spans="1:15" ht="25.5">
      <c r="A218" s="1"/>
      <c r="C218" s="32"/>
      <c r="E218" s="32"/>
      <c r="G218" s="32"/>
      <c r="I218" s="35" t="s">
        <v>210</v>
      </c>
      <c r="J218" s="36"/>
      <c r="K218" s="37">
        <f>SUM(L218:BO218)</f>
        <v>430</v>
      </c>
      <c r="L218" s="2">
        <v>160</v>
      </c>
      <c r="M218" s="2">
        <v>50</v>
      </c>
      <c r="N218" s="2">
        <v>120</v>
      </c>
      <c r="O218" s="2">
        <v>100</v>
      </c>
    </row>
    <row r="219" spans="1:15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5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5" ht="25.5">
      <c r="A221" s="1"/>
      <c r="C221" s="32"/>
      <c r="E221" s="32"/>
      <c r="G221" s="32"/>
      <c r="I221" s="134" t="s">
        <v>213</v>
      </c>
      <c r="J221" s="135"/>
      <c r="K221" s="38">
        <f>SUM(L5:L214)</f>
        <v>100</v>
      </c>
    </row>
    <row r="222" spans="1:15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2435</v>
      </c>
    </row>
    <row r="223" spans="1:15" ht="25.5">
      <c r="A223" s="1"/>
      <c r="C223" s="32"/>
      <c r="E223" s="32"/>
      <c r="G223" s="32"/>
      <c r="I223" s="134" t="s">
        <v>215</v>
      </c>
      <c r="J223" s="135"/>
      <c r="K223" s="38">
        <v>2435</v>
      </c>
    </row>
    <row r="224" spans="1:15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270</v>
      </c>
      <c r="K227" s="24">
        <f>+K216-K221+K224</f>
        <v>2880</v>
      </c>
    </row>
    <row r="228" spans="7:11">
      <c r="G228" s="2"/>
      <c r="I228" s="2"/>
      <c r="J228" s="2" t="s">
        <v>271</v>
      </c>
      <c r="K228" s="24">
        <f>SUM(K217:K218)</f>
        <v>445</v>
      </c>
    </row>
    <row r="229" spans="7:11">
      <c r="G229" s="2"/>
      <c r="I229" s="2"/>
      <c r="J229" s="2" t="s">
        <v>272</v>
      </c>
      <c r="K229" s="24">
        <f>+K223</f>
        <v>2435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80205-2856-414F-8C8A-490E0A500066}">
  <sheetPr>
    <tabColor theme="5" tint="0.79998168889431442"/>
  </sheetPr>
  <dimension ref="A1:Z300"/>
  <sheetViews>
    <sheetView zoomScale="90" zoomScaleNormal="90" workbookViewId="0">
      <pane ySplit="4" topLeftCell="A15" activePane="bottomLeft" state="frozen"/>
      <selection pane="bottomLeft" activeCell="I212" sqref="I212:I21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+'8'!G5</f>
        <v>29</v>
      </c>
      <c r="D5" s="13">
        <v>0</v>
      </c>
      <c r="E5" s="12">
        <f t="shared" ref="E5:E94" si="0">C5+D5</f>
        <v>29</v>
      </c>
      <c r="F5" s="13">
        <v>0</v>
      </c>
      <c r="G5" s="14">
        <f t="shared" ref="G5:G81" si="1">E5-F5-H5</f>
        <v>24</v>
      </c>
      <c r="H5" s="15">
        <v>5</v>
      </c>
      <c r="I5" s="16">
        <v>50</v>
      </c>
      <c r="J5" s="43">
        <f>+I5*H5</f>
        <v>250</v>
      </c>
      <c r="K5" s="18" t="s">
        <v>16</v>
      </c>
      <c r="L5" s="19">
        <v>0</v>
      </c>
      <c r="M5" s="24">
        <f>SUM(J5-L5)</f>
        <v>250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+'8'!G6</f>
        <v>37</v>
      </c>
      <c r="D6" s="13">
        <v>0</v>
      </c>
      <c r="E6" s="12">
        <f t="shared" si="0"/>
        <v>37</v>
      </c>
      <c r="F6" s="13">
        <v>0</v>
      </c>
      <c r="G6" s="14">
        <f t="shared" si="1"/>
        <v>24</v>
      </c>
      <c r="H6" s="15">
        <v>13</v>
      </c>
      <c r="I6" s="16">
        <v>100</v>
      </c>
      <c r="J6" s="43">
        <f t="shared" ref="J6:J69" si="5">+I6*H6</f>
        <v>1300</v>
      </c>
      <c r="K6" s="18" t="s">
        <v>16</v>
      </c>
      <c r="L6" s="19">
        <v>0</v>
      </c>
      <c r="M6" s="24">
        <f t="shared" ref="M6:M69" si="6">SUM(J6-L6)</f>
        <v>1300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+'8'!G7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+'8'!G12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+'8'!G15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+'8'!G16</f>
        <v>4</v>
      </c>
      <c r="D16" s="13">
        <v>0</v>
      </c>
      <c r="E16" s="12">
        <f t="shared" si="0"/>
        <v>4</v>
      </c>
      <c r="F16" s="13">
        <v>0</v>
      </c>
      <c r="G16" s="14">
        <f t="shared" si="1"/>
        <v>0</v>
      </c>
      <c r="H16" s="15">
        <v>4</v>
      </c>
      <c r="I16" s="16">
        <v>50</v>
      </c>
      <c r="J16" s="43">
        <f t="shared" si="5"/>
        <v>200</v>
      </c>
      <c r="K16" s="18" t="s">
        <v>16</v>
      </c>
      <c r="L16" s="19">
        <v>0</v>
      </c>
      <c r="M16" s="24">
        <f t="shared" si="6"/>
        <v>200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+'8'!G17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0</v>
      </c>
      <c r="H17" s="15">
        <v>2</v>
      </c>
      <c r="I17" s="16">
        <v>50</v>
      </c>
      <c r="J17" s="43">
        <f t="shared" si="5"/>
        <v>100</v>
      </c>
      <c r="K17" s="18" t="s">
        <v>16</v>
      </c>
      <c r="L17" s="19">
        <v>0</v>
      </c>
      <c r="M17" s="24">
        <f t="shared" si="6"/>
        <v>100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+'8'!G18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+'8'!G19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+'8'!G20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2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+'8'!G23</f>
        <v>18</v>
      </c>
      <c r="D23" s="13">
        <v>0</v>
      </c>
      <c r="E23" s="12">
        <f t="shared" si="0"/>
        <v>18</v>
      </c>
      <c r="F23" s="13">
        <v>0</v>
      </c>
      <c r="G23" s="14">
        <f t="shared" si="1"/>
        <v>16</v>
      </c>
      <c r="H23" s="15">
        <v>2</v>
      </c>
      <c r="I23" s="16">
        <v>100</v>
      </c>
      <c r="J23" s="43">
        <f t="shared" si="5"/>
        <v>200</v>
      </c>
      <c r="K23" s="18" t="s">
        <v>277</v>
      </c>
      <c r="L23" s="19">
        <v>100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+'8'!G24</f>
        <v>4</v>
      </c>
      <c r="D24" s="13">
        <v>0</v>
      </c>
      <c r="E24" s="12">
        <f t="shared" si="0"/>
        <v>4</v>
      </c>
      <c r="F24" s="13">
        <v>0</v>
      </c>
      <c r="G24" s="14">
        <f t="shared" si="1"/>
        <v>4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+'8'!G26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+'8'!G27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+'8'!G29</f>
        <v>8</v>
      </c>
      <c r="D29" s="13">
        <v>0</v>
      </c>
      <c r="E29" s="12">
        <f t="shared" si="0"/>
        <v>8</v>
      </c>
      <c r="F29" s="13">
        <v>0</v>
      </c>
      <c r="G29" s="14">
        <f t="shared" si="1"/>
        <v>8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+'8'!G31</f>
        <v>4</v>
      </c>
      <c r="D31" s="13">
        <v>0</v>
      </c>
      <c r="E31" s="12">
        <f t="shared" si="0"/>
        <v>4</v>
      </c>
      <c r="F31" s="13">
        <v>0</v>
      </c>
      <c r="G31" s="14">
        <f t="shared" si="1"/>
        <v>4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+'8'!G33</f>
        <v>7</v>
      </c>
      <c r="D33" s="13">
        <v>0</v>
      </c>
      <c r="E33" s="12">
        <f t="shared" si="0"/>
        <v>7</v>
      </c>
      <c r="F33" s="13">
        <v>0</v>
      </c>
      <c r="G33" s="14">
        <f t="shared" si="1"/>
        <v>7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+'8'!G34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+'8'!G35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+'8'!G37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+'8'!G38</f>
        <v>8</v>
      </c>
      <c r="D38" s="13">
        <v>0</v>
      </c>
      <c r="E38" s="12">
        <f t="shared" si="0"/>
        <v>8</v>
      </c>
      <c r="F38" s="13">
        <v>0</v>
      </c>
      <c r="G38" s="14">
        <f t="shared" si="1"/>
        <v>7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+'8'!G39</f>
        <v>8</v>
      </c>
      <c r="D39" s="13">
        <v>0</v>
      </c>
      <c r="E39" s="12">
        <f t="shared" si="0"/>
        <v>8</v>
      </c>
      <c r="F39" s="13">
        <v>0</v>
      </c>
      <c r="G39" s="14">
        <f t="shared" si="1"/>
        <v>6</v>
      </c>
      <c r="H39" s="15">
        <v>2</v>
      </c>
      <c r="I39" s="16">
        <v>50</v>
      </c>
      <c r="J39" s="43">
        <f t="shared" si="5"/>
        <v>100</v>
      </c>
      <c r="K39" s="18" t="s">
        <v>277</v>
      </c>
      <c r="L39" s="19">
        <v>50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+'8'!G40</f>
        <v>9</v>
      </c>
      <c r="D40" s="13">
        <v>0</v>
      </c>
      <c r="E40" s="12">
        <f t="shared" si="0"/>
        <v>9</v>
      </c>
      <c r="F40" s="13">
        <v>0</v>
      </c>
      <c r="G40" s="14">
        <f t="shared" si="1"/>
        <v>8</v>
      </c>
      <c r="H40" s="15">
        <v>1</v>
      </c>
      <c r="I40" s="16">
        <v>50</v>
      </c>
      <c r="J40" s="43">
        <f t="shared" si="5"/>
        <v>50</v>
      </c>
      <c r="K40" s="18" t="s">
        <v>16</v>
      </c>
      <c r="L40" s="19">
        <v>0</v>
      </c>
      <c r="M40" s="24">
        <f t="shared" si="6"/>
        <v>50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+'8'!G42</f>
        <v>1</v>
      </c>
      <c r="D42" s="13">
        <v>0</v>
      </c>
      <c r="E42" s="12">
        <f t="shared" si="0"/>
        <v>1</v>
      </c>
      <c r="F42" s="13">
        <v>0</v>
      </c>
      <c r="G42" s="14">
        <f t="shared" si="1"/>
        <v>0</v>
      </c>
      <c r="H42" s="15">
        <v>1</v>
      </c>
      <c r="I42" s="16">
        <v>50</v>
      </c>
      <c r="J42" s="43">
        <f t="shared" si="5"/>
        <v>50</v>
      </c>
      <c r="K42" s="18" t="s">
        <v>16</v>
      </c>
      <c r="L42" s="19">
        <v>0</v>
      </c>
      <c r="M42" s="24">
        <f t="shared" si="6"/>
        <v>50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+'8'!G43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+'8'!G44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+'8'!G46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+'8'!G47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+'8'!G48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+'8'!G49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+'8'!G50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+'8'!G51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+'8'!G52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+'8'!G53</f>
        <v>3</v>
      </c>
      <c r="D53" s="13">
        <v>0</v>
      </c>
      <c r="E53" s="12">
        <f t="shared" si="0"/>
        <v>3</v>
      </c>
      <c r="F53" s="13">
        <v>0</v>
      </c>
      <c r="G53" s="14">
        <f t="shared" si="1"/>
        <v>3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+'8'!G55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+'8'!G57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+'8'!G62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+'8'!G63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+'8'!G66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+'8'!G67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1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+'8'!G70</f>
        <v>4</v>
      </c>
      <c r="D70" s="13">
        <v>0</v>
      </c>
      <c r="E70" s="12">
        <f t="shared" si="0"/>
        <v>4</v>
      </c>
      <c r="F70" s="13">
        <v>0</v>
      </c>
      <c r="G70" s="14">
        <f t="shared" si="1"/>
        <v>4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+'8'!G71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+'8'!G73</f>
        <v>4</v>
      </c>
      <c r="D73" s="13">
        <v>0</v>
      </c>
      <c r="E73" s="12">
        <f t="shared" si="0"/>
        <v>4</v>
      </c>
      <c r="F73" s="13">
        <v>0</v>
      </c>
      <c r="G73" s="14">
        <f t="shared" si="1"/>
        <v>1</v>
      </c>
      <c r="H73" s="15">
        <v>3</v>
      </c>
      <c r="I73" s="22">
        <v>60</v>
      </c>
      <c r="J73" s="43">
        <f t="shared" si="10"/>
        <v>180</v>
      </c>
      <c r="K73" s="18" t="s">
        <v>16</v>
      </c>
      <c r="L73" s="19">
        <v>0</v>
      </c>
      <c r="M73" s="24">
        <f t="shared" si="11"/>
        <v>180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+'8'!G74</f>
        <v>1</v>
      </c>
      <c r="D74" s="13">
        <v>0</v>
      </c>
      <c r="E74" s="12">
        <f t="shared" si="0"/>
        <v>1</v>
      </c>
      <c r="F74" s="13">
        <v>0</v>
      </c>
      <c r="G74" s="14">
        <f t="shared" si="1"/>
        <v>0</v>
      </c>
      <c r="H74" s="15">
        <v>1</v>
      </c>
      <c r="I74" s="23">
        <v>120</v>
      </c>
      <c r="J74" s="43">
        <f t="shared" si="10"/>
        <v>120</v>
      </c>
      <c r="K74" s="18" t="s">
        <v>16</v>
      </c>
      <c r="L74" s="19">
        <v>0</v>
      </c>
      <c r="M74" s="24">
        <f t="shared" si="11"/>
        <v>120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+'8'!G77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+'8'!G79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3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+'8'!G81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+'8'!G82</f>
        <v>1</v>
      </c>
      <c r="D82" s="13">
        <v>0</v>
      </c>
      <c r="E82" s="12">
        <f t="shared" si="0"/>
        <v>1</v>
      </c>
      <c r="F82" s="13">
        <v>0</v>
      </c>
      <c r="G82" s="14">
        <f t="shared" ref="G82:G145" si="12">E82-F82-H82</f>
        <v>0</v>
      </c>
      <c r="H82" s="15">
        <v>1</v>
      </c>
      <c r="I82" s="23">
        <v>55</v>
      </c>
      <c r="J82" s="43">
        <f t="shared" si="10"/>
        <v>55</v>
      </c>
      <c r="K82" s="18" t="s">
        <v>16</v>
      </c>
      <c r="L82" s="19">
        <v>0</v>
      </c>
      <c r="M82" s="24">
        <f t="shared" si="11"/>
        <v>55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+'8'!G85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+'8'!G86</f>
        <v>9</v>
      </c>
      <c r="D86" s="13">
        <v>0</v>
      </c>
      <c r="E86" s="12">
        <f t="shared" si="0"/>
        <v>9</v>
      </c>
      <c r="F86" s="13">
        <v>0</v>
      </c>
      <c r="G86" s="14">
        <f t="shared" si="12"/>
        <v>9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+'8'!G87</f>
        <v>4</v>
      </c>
      <c r="D87" s="13">
        <v>0</v>
      </c>
      <c r="E87" s="12">
        <f t="shared" si="0"/>
        <v>4</v>
      </c>
      <c r="F87" s="13">
        <v>0</v>
      </c>
      <c r="G87" s="14">
        <f t="shared" si="12"/>
        <v>4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+'8'!G88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+'8'!G89</f>
        <v>9</v>
      </c>
      <c r="D89" s="13">
        <v>0</v>
      </c>
      <c r="E89" s="12">
        <f t="shared" si="0"/>
        <v>9</v>
      </c>
      <c r="F89" s="13">
        <v>0</v>
      </c>
      <c r="G89" s="14">
        <f t="shared" si="12"/>
        <v>8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+'8'!G95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+'8'!G96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+'8'!G97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+'8'!G98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+'8'!G101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+'8'!G102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+'8'!G103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+'8'!G104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+'8'!G106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+'8'!G114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+'8'!G147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+'8'!G148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+'8'!G150</f>
        <v>2</v>
      </c>
      <c r="D150" s="13">
        <v>0</v>
      </c>
      <c r="E150" s="12">
        <f t="shared" si="13"/>
        <v>2</v>
      </c>
      <c r="F150" s="13">
        <v>0</v>
      </c>
      <c r="G150" s="14">
        <f t="shared" si="16"/>
        <v>2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+'8'!G151</f>
        <v>3</v>
      </c>
      <c r="D151" s="13">
        <v>0</v>
      </c>
      <c r="E151" s="12">
        <f t="shared" si="13"/>
        <v>3</v>
      </c>
      <c r="F151" s="13">
        <v>0</v>
      </c>
      <c r="G151" s="14">
        <f t="shared" si="16"/>
        <v>2</v>
      </c>
      <c r="H151" s="15">
        <v>1</v>
      </c>
      <c r="I151" s="22">
        <v>120</v>
      </c>
      <c r="J151" s="43">
        <f t="shared" si="14"/>
        <v>120</v>
      </c>
      <c r="K151" s="18" t="s">
        <v>16</v>
      </c>
      <c r="L151" s="19">
        <v>0</v>
      </c>
      <c r="M151" s="24">
        <f t="shared" si="15"/>
        <v>120</v>
      </c>
    </row>
    <row r="152" spans="1:13" ht="25.5">
      <c r="A152" s="10">
        <v>148</v>
      </c>
      <c r="B152" s="21" t="s">
        <v>164</v>
      </c>
      <c r="C152" s="12">
        <f>+'8'!G152</f>
        <v>3</v>
      </c>
      <c r="D152" s="13">
        <v>0</v>
      </c>
      <c r="E152" s="12">
        <f t="shared" si="13"/>
        <v>3</v>
      </c>
      <c r="F152" s="13">
        <v>0</v>
      </c>
      <c r="G152" s="14">
        <f t="shared" si="16"/>
        <v>3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+'8'!G153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+'8'!G154</f>
        <v>1</v>
      </c>
      <c r="D154" s="13">
        <v>0</v>
      </c>
      <c r="E154" s="12">
        <f t="shared" si="13"/>
        <v>1</v>
      </c>
      <c r="F154" s="13">
        <v>0</v>
      </c>
      <c r="G154" s="14">
        <f t="shared" si="16"/>
        <v>1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+'8'!G155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+'8'!G156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+'8'!G157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+'8'!G159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+'8'!G160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+'8'!G161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+'8'!G162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+'8'!G163</f>
        <v>6</v>
      </c>
      <c r="D163" s="13">
        <v>0</v>
      </c>
      <c r="E163" s="12">
        <f t="shared" si="17"/>
        <v>6</v>
      </c>
      <c r="F163" s="13">
        <v>2</v>
      </c>
      <c r="G163" s="14">
        <f t="shared" si="16"/>
        <v>4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+'8'!G164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+'8'!G165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+'8'!G166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+'8'!G167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+'8'!G168</f>
        <v>38</v>
      </c>
      <c r="D168" s="13">
        <v>0</v>
      </c>
      <c r="E168" s="12">
        <f t="shared" si="17"/>
        <v>38</v>
      </c>
      <c r="F168" s="13">
        <v>0</v>
      </c>
      <c r="G168" s="14">
        <f t="shared" si="16"/>
        <v>38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+'8'!G169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+'8'!G170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+'8'!G171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+'8'!G172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+'8'!G173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+'8'!G174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+'8'!G175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+'8'!G176</f>
        <v>3</v>
      </c>
      <c r="D176" s="13">
        <v>0</v>
      </c>
      <c r="E176" s="12">
        <f t="shared" si="17"/>
        <v>3</v>
      </c>
      <c r="F176" s="13">
        <v>0</v>
      </c>
      <c r="G176" s="14">
        <f t="shared" si="16"/>
        <v>3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+'8'!G177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+'8'!G178</f>
        <v>2</v>
      </c>
      <c r="D178" s="13">
        <v>0</v>
      </c>
      <c r="E178" s="12">
        <f t="shared" si="17"/>
        <v>2</v>
      </c>
      <c r="F178" s="13">
        <v>0</v>
      </c>
      <c r="G178" s="14">
        <f t="shared" si="16"/>
        <v>1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2">
        <f>+'8'!G179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+'8'!G180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+'8'!G181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+'8'!G182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+'8'!G183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+'8'!G184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+'8'!G185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+'8'!G186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+'8'!G187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+'8'!G188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+'8'!G189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+'8'!G190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+'8'!G191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+'8'!G192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+'8'!G193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+'8'!G194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+'8'!G195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+'8'!G196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+'8'!G197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+'8'!G198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+'8'!G199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+'8'!G200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+'8'!G201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+'8'!G202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+'8'!G203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+'8'!G204</f>
        <v>4</v>
      </c>
      <c r="D204" s="13">
        <v>0</v>
      </c>
      <c r="E204" s="12">
        <f t="shared" si="17"/>
        <v>4</v>
      </c>
      <c r="F204" s="13">
        <v>0</v>
      </c>
      <c r="G204" s="14">
        <f t="shared" si="16"/>
        <v>2</v>
      </c>
      <c r="H204" s="15">
        <v>2</v>
      </c>
      <c r="I204" s="16">
        <v>50</v>
      </c>
      <c r="J204" s="43">
        <f t="shared" si="18"/>
        <v>100</v>
      </c>
      <c r="K204" s="18" t="s">
        <v>16</v>
      </c>
      <c r="L204" s="19">
        <v>0</v>
      </c>
      <c r="M204" s="24">
        <f t="shared" si="19"/>
        <v>100</v>
      </c>
    </row>
    <row r="205" spans="1:13" ht="25.5">
      <c r="A205" s="10">
        <v>201</v>
      </c>
      <c r="B205" s="21" t="s">
        <v>257</v>
      </c>
      <c r="C205" s="12">
        <f>+'8'!G205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+'8'!G206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+'8'!G207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7" ht="25.5">
      <c r="A209" s="10">
        <v>205</v>
      </c>
      <c r="B209" s="21" t="s">
        <v>261</v>
      </c>
      <c r="C209" s="12">
        <f>+'8'!G209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7" ht="25.5">
      <c r="A210" s="10">
        <v>206</v>
      </c>
      <c r="B210" s="21" t="s">
        <v>262</v>
      </c>
      <c r="C210" s="12">
        <f>+'8'!G210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7" ht="25.5">
      <c r="A211" s="10">
        <v>207</v>
      </c>
      <c r="B211" s="21" t="s">
        <v>263</v>
      </c>
      <c r="C211" s="12">
        <f>+'8'!G211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7" ht="25.5">
      <c r="A212" s="10">
        <v>208</v>
      </c>
      <c r="B212" s="11" t="s">
        <v>264</v>
      </c>
      <c r="C212" s="12">
        <f>+'8'!G212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si="20"/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7" ht="25.5">
      <c r="A213" s="10">
        <v>209</v>
      </c>
      <c r="B213" s="21" t="s">
        <v>265</v>
      </c>
      <c r="C213" s="12">
        <f>+'8'!G213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16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7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7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17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3150</v>
      </c>
    </row>
    <row r="217" spans="1:17" ht="25.5">
      <c r="A217" s="1"/>
      <c r="C217" s="32"/>
      <c r="E217" s="32"/>
      <c r="G217" s="32"/>
      <c r="I217" s="134" t="s">
        <v>209</v>
      </c>
      <c r="J217" s="135"/>
      <c r="K217" s="37">
        <v>15</v>
      </c>
    </row>
    <row r="218" spans="1:17" ht="25.5">
      <c r="A218" s="1"/>
      <c r="C218" s="32"/>
      <c r="E218" s="32"/>
      <c r="G218" s="32"/>
      <c r="I218" s="35" t="s">
        <v>210</v>
      </c>
      <c r="J218" s="36"/>
      <c r="K218" s="37">
        <f>SUM(L218:BO218)</f>
        <v>1070</v>
      </c>
      <c r="L218" s="2">
        <v>250</v>
      </c>
      <c r="M218" s="2">
        <v>120</v>
      </c>
      <c r="N218" s="2">
        <v>300</v>
      </c>
      <c r="O218" s="2">
        <v>150</v>
      </c>
      <c r="P218" s="2">
        <v>50</v>
      </c>
      <c r="Q218" s="2">
        <v>200</v>
      </c>
    </row>
    <row r="219" spans="1:17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7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7" ht="25.5">
      <c r="A221" s="1"/>
      <c r="C221" s="32"/>
      <c r="E221" s="32"/>
      <c r="G221" s="32"/>
      <c r="I221" s="134" t="s">
        <v>213</v>
      </c>
      <c r="J221" s="135"/>
      <c r="K221" s="38">
        <f>SUM(L5:L214)</f>
        <v>150</v>
      </c>
    </row>
    <row r="222" spans="1:17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1915</v>
      </c>
    </row>
    <row r="223" spans="1:17" ht="25.5">
      <c r="A223" s="1"/>
      <c r="C223" s="32"/>
      <c r="E223" s="32"/>
      <c r="G223" s="32"/>
      <c r="I223" s="134" t="s">
        <v>215</v>
      </c>
      <c r="J223" s="135"/>
      <c r="K223" s="38">
        <v>1915</v>
      </c>
    </row>
    <row r="224" spans="1:17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270</v>
      </c>
      <c r="K227" s="24">
        <f>+K216-K221+K224</f>
        <v>3000</v>
      </c>
    </row>
    <row r="228" spans="7:11">
      <c r="G228" s="2"/>
      <c r="I228" s="2"/>
      <c r="J228" s="2" t="s">
        <v>271</v>
      </c>
      <c r="K228" s="24">
        <f>SUM(K217:K218)</f>
        <v>1085</v>
      </c>
    </row>
    <row r="229" spans="7:11">
      <c r="G229" s="2"/>
      <c r="I229" s="2"/>
      <c r="J229" s="2" t="s">
        <v>272</v>
      </c>
      <c r="K229" s="24">
        <f>+K223</f>
        <v>1915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F830-DF7B-4907-85F6-BECFCE0B183E}">
  <sheetPr>
    <tabColor theme="5" tint="0.79998168889431442"/>
  </sheetPr>
  <dimension ref="A1:Z300"/>
  <sheetViews>
    <sheetView topLeftCell="B1" zoomScale="90" zoomScaleNormal="90" workbookViewId="0">
      <pane ySplit="4" topLeftCell="A218" activePane="bottomLeft" state="frozen"/>
      <selection pane="bottomLeft" activeCell="K212" sqref="K212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+'9'!G5</f>
        <v>24</v>
      </c>
      <c r="D5" s="13">
        <v>0</v>
      </c>
      <c r="E5" s="12">
        <f t="shared" ref="E5:E94" si="0">C5+D5</f>
        <v>24</v>
      </c>
      <c r="F5" s="13">
        <v>10</v>
      </c>
      <c r="G5" s="14">
        <f t="shared" ref="G5:G81" si="1">E5-F5-H5</f>
        <v>11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+'9'!G6</f>
        <v>24</v>
      </c>
      <c r="D6" s="13">
        <v>0</v>
      </c>
      <c r="E6" s="12">
        <f t="shared" si="0"/>
        <v>24</v>
      </c>
      <c r="F6" s="13">
        <v>5</v>
      </c>
      <c r="G6" s="14">
        <f t="shared" si="1"/>
        <v>11</v>
      </c>
      <c r="H6" s="15">
        <v>8</v>
      </c>
      <c r="I6" s="16">
        <v>100</v>
      </c>
      <c r="J6" s="43">
        <f t="shared" ref="J6:J69" si="5">+I6*H6</f>
        <v>800</v>
      </c>
      <c r="K6" s="18" t="s">
        <v>16</v>
      </c>
      <c r="L6" s="19">
        <v>0</v>
      </c>
      <c r="M6" s="24">
        <f t="shared" ref="M6:M69" si="6">SUM(J6-L6)</f>
        <v>800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+'9'!G7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+'9'!G12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+'9'!G15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+'9'!G17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+'9'!G18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2</v>
      </c>
      <c r="H18" s="15">
        <v>1</v>
      </c>
      <c r="I18" s="22">
        <v>50</v>
      </c>
      <c r="J18" s="43">
        <f t="shared" si="5"/>
        <v>50</v>
      </c>
      <c r="K18" s="18" t="s">
        <v>16</v>
      </c>
      <c r="L18" s="19">
        <v>0</v>
      </c>
      <c r="M18" s="24">
        <f t="shared" si="6"/>
        <v>50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+'9'!G19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+'9'!G20</f>
        <v>2</v>
      </c>
      <c r="D20" s="13">
        <v>0</v>
      </c>
      <c r="E20" s="12">
        <f t="shared" si="0"/>
        <v>2</v>
      </c>
      <c r="F20" s="13">
        <v>0</v>
      </c>
      <c r="G20" s="14">
        <f t="shared" si="1"/>
        <v>1</v>
      </c>
      <c r="H20" s="15">
        <v>1</v>
      </c>
      <c r="I20" s="16">
        <v>50</v>
      </c>
      <c r="J20" s="43">
        <f t="shared" si="5"/>
        <v>50</v>
      </c>
      <c r="K20" s="18" t="s">
        <v>16</v>
      </c>
      <c r="L20" s="19">
        <v>0</v>
      </c>
      <c r="M20" s="24">
        <f t="shared" si="6"/>
        <v>50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+'9'!G23</f>
        <v>16</v>
      </c>
      <c r="D23" s="13">
        <v>0</v>
      </c>
      <c r="E23" s="12">
        <f t="shared" si="0"/>
        <v>16</v>
      </c>
      <c r="F23" s="13">
        <v>5</v>
      </c>
      <c r="G23" s="14">
        <f t="shared" si="1"/>
        <v>9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+'9'!G24</f>
        <v>4</v>
      </c>
      <c r="D24" s="13">
        <v>0</v>
      </c>
      <c r="E24" s="12">
        <f t="shared" si="0"/>
        <v>4</v>
      </c>
      <c r="F24" s="13">
        <v>2</v>
      </c>
      <c r="G24" s="14">
        <f t="shared" si="1"/>
        <v>2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+'9'!G26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+'9'!G27</f>
        <v>3</v>
      </c>
      <c r="D27" s="13">
        <v>0</v>
      </c>
      <c r="E27" s="12">
        <f t="shared" si="0"/>
        <v>3</v>
      </c>
      <c r="F27" s="13">
        <v>2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+'9'!G29</f>
        <v>8</v>
      </c>
      <c r="D29" s="13">
        <v>0</v>
      </c>
      <c r="E29" s="12">
        <f t="shared" si="0"/>
        <v>8</v>
      </c>
      <c r="F29" s="13">
        <v>3</v>
      </c>
      <c r="G29" s="14">
        <f t="shared" si="1"/>
        <v>5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+'9'!G30</f>
        <v>0</v>
      </c>
      <c r="D30" s="13">
        <v>0</v>
      </c>
      <c r="E30" s="12">
        <f t="shared" si="0"/>
        <v>0</v>
      </c>
      <c r="F30" s="13">
        <v>2</v>
      </c>
      <c r="G30" s="14">
        <f t="shared" si="1"/>
        <v>-2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+'9'!G31</f>
        <v>4</v>
      </c>
      <c r="D31" s="13">
        <v>0</v>
      </c>
      <c r="E31" s="12">
        <f t="shared" si="0"/>
        <v>4</v>
      </c>
      <c r="F31" s="13">
        <v>2</v>
      </c>
      <c r="G31" s="14">
        <f t="shared" si="1"/>
        <v>2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+'9'!G33</f>
        <v>7</v>
      </c>
      <c r="D33" s="13">
        <v>0</v>
      </c>
      <c r="E33" s="12">
        <f t="shared" si="0"/>
        <v>7</v>
      </c>
      <c r="F33" s="13">
        <v>0</v>
      </c>
      <c r="G33" s="14">
        <f t="shared" si="1"/>
        <v>3</v>
      </c>
      <c r="H33" s="15">
        <v>4</v>
      </c>
      <c r="I33" s="16">
        <v>130</v>
      </c>
      <c r="J33" s="43">
        <f t="shared" si="5"/>
        <v>520</v>
      </c>
      <c r="K33" s="18" t="s">
        <v>16</v>
      </c>
      <c r="L33" s="19">
        <v>0</v>
      </c>
      <c r="M33" s="24">
        <f t="shared" si="6"/>
        <v>520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+'9'!G34</f>
        <v>4</v>
      </c>
      <c r="D34" s="13">
        <v>0</v>
      </c>
      <c r="E34" s="12">
        <f t="shared" si="0"/>
        <v>4</v>
      </c>
      <c r="F34" s="13">
        <v>0</v>
      </c>
      <c r="G34" s="14">
        <f t="shared" si="1"/>
        <v>4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+'9'!G35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+'9'!G37</f>
        <v>9</v>
      </c>
      <c r="D37" s="13">
        <v>0</v>
      </c>
      <c r="E37" s="12">
        <f t="shared" si="0"/>
        <v>9</v>
      </c>
      <c r="F37" s="13">
        <v>5</v>
      </c>
      <c r="G37" s="14">
        <f t="shared" si="1"/>
        <v>4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+'9'!G38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6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+'9'!G39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4</v>
      </c>
      <c r="H39" s="15">
        <v>2</v>
      </c>
      <c r="I39" s="16">
        <v>50</v>
      </c>
      <c r="J39" s="43">
        <f t="shared" si="5"/>
        <v>100</v>
      </c>
      <c r="K39" s="18" t="s">
        <v>16</v>
      </c>
      <c r="L39" s="19">
        <v>0</v>
      </c>
      <c r="M39" s="24">
        <f t="shared" si="6"/>
        <v>100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+'9'!G40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+'9'!G43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+'9'!G44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+'9'!G48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2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+'9'!G49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+'9'!G50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+'9'!G51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+'9'!G52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2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+'9'!G53</f>
        <v>3</v>
      </c>
      <c r="D53" s="13">
        <v>0</v>
      </c>
      <c r="E53" s="12">
        <f t="shared" si="0"/>
        <v>3</v>
      </c>
      <c r="F53" s="13">
        <v>0</v>
      </c>
      <c r="G53" s="14">
        <f t="shared" si="1"/>
        <v>3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+'9'!G55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+'9'!G57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+'9'!G62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+'9'!G63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+'9'!G66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6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+'9'!G67</f>
        <v>1</v>
      </c>
      <c r="D67" s="13">
        <v>0</v>
      </c>
      <c r="E67" s="12">
        <f t="shared" si="0"/>
        <v>1</v>
      </c>
      <c r="F67" s="13">
        <v>0</v>
      </c>
      <c r="G67" s="14">
        <f t="shared" si="1"/>
        <v>0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+'9'!G70</f>
        <v>4</v>
      </c>
      <c r="D70" s="13">
        <v>0</v>
      </c>
      <c r="E70" s="12">
        <f t="shared" si="0"/>
        <v>4</v>
      </c>
      <c r="F70" s="13">
        <v>0</v>
      </c>
      <c r="G70" s="14">
        <f t="shared" si="1"/>
        <v>2</v>
      </c>
      <c r="H70" s="15">
        <v>2</v>
      </c>
      <c r="I70" s="22">
        <v>50</v>
      </c>
      <c r="J70" s="43">
        <f t="shared" ref="J70:J133" si="10">+I70*H70</f>
        <v>100</v>
      </c>
      <c r="K70" s="18" t="s">
        <v>16</v>
      </c>
      <c r="L70" s="19">
        <v>0</v>
      </c>
      <c r="M70" s="24">
        <f t="shared" ref="M70:M133" si="11">SUM(J70-L70)</f>
        <v>100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+'9'!G71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3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+'9'!G73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+'9'!G74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+'9'!G77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+'9'!G79</f>
        <v>3</v>
      </c>
      <c r="D79" s="13">
        <v>0</v>
      </c>
      <c r="E79" s="12">
        <f t="shared" si="0"/>
        <v>3</v>
      </c>
      <c r="F79" s="13">
        <v>0</v>
      </c>
      <c r="G79" s="14">
        <f t="shared" si="1"/>
        <v>2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+'9'!G81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+'9'!G82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+'9'!G85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+'9'!G86</f>
        <v>9</v>
      </c>
      <c r="D86" s="13">
        <v>0</v>
      </c>
      <c r="E86" s="12">
        <f t="shared" si="0"/>
        <v>9</v>
      </c>
      <c r="F86" s="13">
        <v>0</v>
      </c>
      <c r="G86" s="14">
        <f t="shared" si="12"/>
        <v>8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+'9'!G87</f>
        <v>4</v>
      </c>
      <c r="D87" s="13">
        <v>0</v>
      </c>
      <c r="E87" s="12">
        <f t="shared" si="0"/>
        <v>4</v>
      </c>
      <c r="F87" s="13">
        <v>0</v>
      </c>
      <c r="G87" s="14">
        <f t="shared" si="12"/>
        <v>4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+'9'!G88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8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+'9'!G89</f>
        <v>8</v>
      </c>
      <c r="D89" s="13">
        <v>0</v>
      </c>
      <c r="E89" s="12">
        <f t="shared" si="0"/>
        <v>8</v>
      </c>
      <c r="F89" s="13">
        <v>0</v>
      </c>
      <c r="G89" s="14">
        <f t="shared" si="12"/>
        <v>7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+'9'!G95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+'9'!G96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+'9'!G97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+'9'!G98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+'9'!G101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+'9'!G102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+'9'!G103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+'9'!G104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+'9'!G106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+'9'!G114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+'9'!G147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+'9'!G150</f>
        <v>2</v>
      </c>
      <c r="D150" s="13">
        <v>0</v>
      </c>
      <c r="E150" s="12">
        <f t="shared" si="13"/>
        <v>2</v>
      </c>
      <c r="F150" s="13">
        <v>2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+'9'!G151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+'9'!G152</f>
        <v>3</v>
      </c>
      <c r="D152" s="13">
        <v>0</v>
      </c>
      <c r="E152" s="12">
        <f t="shared" si="13"/>
        <v>3</v>
      </c>
      <c r="F152" s="13">
        <v>2</v>
      </c>
      <c r="G152" s="14">
        <f t="shared" si="16"/>
        <v>0</v>
      </c>
      <c r="H152" s="15">
        <v>1</v>
      </c>
      <c r="I152" s="22">
        <v>120</v>
      </c>
      <c r="J152" s="43">
        <f t="shared" si="14"/>
        <v>120</v>
      </c>
      <c r="K152" s="18" t="s">
        <v>16</v>
      </c>
      <c r="L152" s="19">
        <v>0</v>
      </c>
      <c r="M152" s="24">
        <f t="shared" si="15"/>
        <v>120</v>
      </c>
    </row>
    <row r="153" spans="1:13" ht="25.5">
      <c r="A153" s="10">
        <v>149</v>
      </c>
      <c r="B153" s="21" t="s">
        <v>165</v>
      </c>
      <c r="C153" s="12">
        <f>+'9'!G153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+'9'!G154</f>
        <v>1</v>
      </c>
      <c r="D154" s="13">
        <v>0</v>
      </c>
      <c r="E154" s="12">
        <f t="shared" si="13"/>
        <v>1</v>
      </c>
      <c r="F154" s="13">
        <v>0</v>
      </c>
      <c r="G154" s="14">
        <f t="shared" si="16"/>
        <v>1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+'9'!G155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+'9'!G156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+'9'!G157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+'9'!G159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+'9'!G160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+'9'!G161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+'9'!G162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+'9'!G163</f>
        <v>4</v>
      </c>
      <c r="D163" s="13">
        <v>0</v>
      </c>
      <c r="E163" s="12">
        <f t="shared" si="17"/>
        <v>4</v>
      </c>
      <c r="F163" s="13">
        <v>0</v>
      </c>
      <c r="G163" s="14">
        <f t="shared" si="16"/>
        <v>3</v>
      </c>
      <c r="H163" s="15">
        <v>1</v>
      </c>
      <c r="I163" s="22">
        <v>25</v>
      </c>
      <c r="J163" s="43">
        <f t="shared" si="14"/>
        <v>25</v>
      </c>
      <c r="K163" s="18" t="s">
        <v>16</v>
      </c>
      <c r="L163" s="19">
        <v>0</v>
      </c>
      <c r="M163" s="24">
        <f t="shared" si="15"/>
        <v>25</v>
      </c>
    </row>
    <row r="164" spans="1:13" ht="25.5">
      <c r="A164" s="10">
        <v>160</v>
      </c>
      <c r="B164" s="21" t="s">
        <v>176</v>
      </c>
      <c r="C164" s="12">
        <f>+'9'!G164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+'9'!G165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+'9'!G166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+'9'!G167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+'9'!G168</f>
        <v>38</v>
      </c>
      <c r="D168" s="13">
        <v>0</v>
      </c>
      <c r="E168" s="12">
        <f t="shared" si="17"/>
        <v>38</v>
      </c>
      <c r="F168" s="13">
        <v>0</v>
      </c>
      <c r="G168" s="14">
        <f t="shared" si="16"/>
        <v>37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+'9'!G169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+'9'!G170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+'9'!G171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+'9'!G172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+'9'!G173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+'9'!G174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+'9'!G175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+'9'!G176</f>
        <v>3</v>
      </c>
      <c r="D176" s="13">
        <v>0</v>
      </c>
      <c r="E176" s="12">
        <f t="shared" si="17"/>
        <v>3</v>
      </c>
      <c r="F176" s="13">
        <v>0</v>
      </c>
      <c r="G176" s="14">
        <f t="shared" si="16"/>
        <v>1</v>
      </c>
      <c r="H176" s="15">
        <v>2</v>
      </c>
      <c r="I176" s="22">
        <v>50</v>
      </c>
      <c r="J176" s="43">
        <f t="shared" si="14"/>
        <v>100</v>
      </c>
      <c r="K176" s="18" t="s">
        <v>16</v>
      </c>
      <c r="L176" s="19">
        <v>0</v>
      </c>
      <c r="M176" s="24">
        <f t="shared" si="15"/>
        <v>100</v>
      </c>
    </row>
    <row r="177" spans="1:13" ht="25.5">
      <c r="A177" s="10">
        <v>173</v>
      </c>
      <c r="B177" s="21" t="s">
        <v>189</v>
      </c>
      <c r="C177" s="12">
        <f>+'9'!G177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+'9'!G178</f>
        <v>1</v>
      </c>
      <c r="D178" s="13">
        <v>0</v>
      </c>
      <c r="E178" s="12">
        <f t="shared" si="17"/>
        <v>1</v>
      </c>
      <c r="F178" s="13">
        <v>0</v>
      </c>
      <c r="G178" s="14">
        <f t="shared" si="16"/>
        <v>0</v>
      </c>
      <c r="H178" s="15">
        <v>1</v>
      </c>
      <c r="I178" s="22">
        <v>120</v>
      </c>
      <c r="J178" s="43">
        <f t="shared" si="14"/>
        <v>120</v>
      </c>
      <c r="K178" s="18" t="s">
        <v>16</v>
      </c>
      <c r="L178" s="19">
        <v>0</v>
      </c>
      <c r="M178" s="24">
        <f t="shared" si="15"/>
        <v>120</v>
      </c>
    </row>
    <row r="179" spans="1:13" ht="25.5">
      <c r="A179" s="10">
        <v>175</v>
      </c>
      <c r="B179" s="21" t="s">
        <v>191</v>
      </c>
      <c r="C179" s="12">
        <f>+'9'!G179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+'9'!G180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+'9'!G181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+'9'!G182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+'9'!G183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+'9'!G184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+'9'!G185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+'9'!G186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+'9'!G187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+'9'!G188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+'9'!G189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+'9'!G190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+'9'!G191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+'9'!G192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+'9'!G193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+'9'!G194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+'9'!G195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+'9'!G196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+'9'!G197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+'9'!G198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+'9'!G199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+'9'!G200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+'9'!G201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+'9'!G202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+'9'!G203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+'9'!G204</f>
        <v>2</v>
      </c>
      <c r="D204" s="13">
        <v>0</v>
      </c>
      <c r="E204" s="12">
        <f t="shared" si="17"/>
        <v>2</v>
      </c>
      <c r="F204" s="13">
        <v>0</v>
      </c>
      <c r="G204" s="14">
        <f t="shared" si="16"/>
        <v>1</v>
      </c>
      <c r="H204" s="15">
        <v>1</v>
      </c>
      <c r="I204" s="16">
        <v>50</v>
      </c>
      <c r="J204" s="43">
        <f t="shared" si="18"/>
        <v>50</v>
      </c>
      <c r="K204" s="18" t="s">
        <v>16</v>
      </c>
      <c r="L204" s="19">
        <v>0</v>
      </c>
      <c r="M204" s="24">
        <f t="shared" si="19"/>
        <v>50</v>
      </c>
    </row>
    <row r="205" spans="1:13" ht="25.5">
      <c r="A205" s="10">
        <v>201</v>
      </c>
      <c r="B205" s="21" t="s">
        <v>257</v>
      </c>
      <c r="C205" s="12">
        <f>+'9'!G205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+'9'!G206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+'9'!G207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>
      <c r="A209" s="10">
        <v>205</v>
      </c>
      <c r="B209" s="21" t="s">
        <v>261</v>
      </c>
      <c r="C209" s="12">
        <f>+'9'!G209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>
      <c r="A210" s="10">
        <v>206</v>
      </c>
      <c r="B210" s="21" t="s">
        <v>262</v>
      </c>
      <c r="C210" s="12">
        <f>+'9'!G210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>
      <c r="A211" s="10">
        <v>207</v>
      </c>
      <c r="B211" s="21" t="s">
        <v>263</v>
      </c>
      <c r="C211" s="12">
        <f>+'9'!G211</f>
        <v>0</v>
      </c>
      <c r="D211" s="13">
        <v>0</v>
      </c>
      <c r="E211" s="12">
        <f t="shared" si="17"/>
        <v>0</v>
      </c>
      <c r="F211" s="13">
        <v>0</v>
      </c>
      <c r="G211" s="14">
        <f>E211-F211-H211</f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>
      <c r="A212" s="10">
        <v>208</v>
      </c>
      <c r="B212" s="11" t="s">
        <v>264</v>
      </c>
      <c r="C212" s="12">
        <f>+'9'!G212</f>
        <v>2</v>
      </c>
      <c r="D212" s="13">
        <v>0</v>
      </c>
      <c r="E212" s="12">
        <f t="shared" si="17"/>
        <v>2</v>
      </c>
      <c r="F212" s="13">
        <v>0</v>
      </c>
      <c r="G212" s="14">
        <f t="shared" ref="G212:G213" si="21">E212-F212-H212</f>
        <v>2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>
      <c r="A213" s="10">
        <v>209</v>
      </c>
      <c r="B213" s="21" t="s">
        <v>265</v>
      </c>
      <c r="C213" s="12">
        <f>+'9'!G213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1"/>
        <v>0</v>
      </c>
      <c r="H213" s="15">
        <v>0</v>
      </c>
      <c r="I213" s="16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5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15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2760</v>
      </c>
    </row>
    <row r="217" spans="1:15" ht="25.5">
      <c r="A217" s="1"/>
      <c r="C217" s="32"/>
      <c r="E217" s="32"/>
      <c r="G217" s="32"/>
      <c r="I217" s="134" t="s">
        <v>209</v>
      </c>
      <c r="J217" s="135"/>
      <c r="K217" s="37">
        <v>15</v>
      </c>
    </row>
    <row r="218" spans="1:15" ht="25.5">
      <c r="A218" s="1"/>
      <c r="C218" s="32"/>
      <c r="E218" s="32"/>
      <c r="G218" s="32"/>
      <c r="I218" s="35" t="s">
        <v>210</v>
      </c>
      <c r="J218" s="36"/>
      <c r="K218" s="37">
        <f>SUM(L218:BO218)</f>
        <v>390</v>
      </c>
      <c r="L218" s="2">
        <v>85</v>
      </c>
      <c r="M218" s="2">
        <v>150</v>
      </c>
      <c r="N218" s="2">
        <v>55</v>
      </c>
      <c r="O218" s="2">
        <v>100</v>
      </c>
    </row>
    <row r="219" spans="1:15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5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5" ht="25.5">
      <c r="A221" s="1"/>
      <c r="C221" s="32"/>
      <c r="E221" s="32"/>
      <c r="G221" s="32"/>
      <c r="I221" s="134" t="s">
        <v>213</v>
      </c>
      <c r="J221" s="135"/>
      <c r="K221" s="38">
        <f>SUM(L5:L214)</f>
        <v>0</v>
      </c>
    </row>
    <row r="222" spans="1:15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2355</v>
      </c>
    </row>
    <row r="223" spans="1:15" ht="25.5">
      <c r="A223" s="1"/>
      <c r="C223" s="32"/>
      <c r="E223" s="32"/>
      <c r="G223" s="32"/>
      <c r="I223" s="134" t="s">
        <v>215</v>
      </c>
      <c r="J223" s="135"/>
      <c r="K223" s="38">
        <v>2355</v>
      </c>
    </row>
    <row r="224" spans="1:15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270</v>
      </c>
      <c r="K227" s="24">
        <f>+K216-K221+K224</f>
        <v>2760</v>
      </c>
    </row>
    <row r="228" spans="7:11">
      <c r="G228" s="2"/>
      <c r="I228" s="2"/>
      <c r="J228" s="2" t="s">
        <v>271</v>
      </c>
      <c r="K228" s="24">
        <f>SUM(K217:K218)</f>
        <v>405</v>
      </c>
    </row>
    <row r="229" spans="7:11">
      <c r="G229" s="2"/>
      <c r="I229" s="2"/>
      <c r="J229" s="2" t="s">
        <v>272</v>
      </c>
      <c r="K229" s="24">
        <f>+K223</f>
        <v>2355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96BE-09E0-4E83-B016-348AE6371E6E}">
  <sheetPr>
    <tabColor theme="5" tint="0.79998168889431442"/>
  </sheetPr>
  <dimension ref="A1:Z300"/>
  <sheetViews>
    <sheetView zoomScale="90" zoomScaleNormal="90" workbookViewId="0">
      <pane ySplit="4" topLeftCell="A212" activePane="bottomLeft" state="frozen"/>
      <selection pane="bottomLeft" activeCell="J227" sqref="J227:K22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+'10'!G5</f>
        <v>11</v>
      </c>
      <c r="D5" s="13">
        <v>0</v>
      </c>
      <c r="E5" s="12">
        <f t="shared" ref="E5:E94" si="0">C5+D5</f>
        <v>11</v>
      </c>
      <c r="F5" s="13">
        <v>0</v>
      </c>
      <c r="G5" s="14">
        <f t="shared" ref="G5:G81" si="1">E5-F5-H5</f>
        <v>10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+'10'!G6</f>
        <v>11</v>
      </c>
      <c r="D6" s="13">
        <v>0</v>
      </c>
      <c r="E6" s="12">
        <f t="shared" si="0"/>
        <v>11</v>
      </c>
      <c r="F6" s="13">
        <v>0</v>
      </c>
      <c r="G6" s="14">
        <f t="shared" si="1"/>
        <v>5</v>
      </c>
      <c r="H6" s="15">
        <v>6</v>
      </c>
      <c r="I6" s="16">
        <v>100</v>
      </c>
      <c r="J6" s="43">
        <f t="shared" ref="J6:J69" si="5">+I6*H6</f>
        <v>600</v>
      </c>
      <c r="K6" s="18" t="s">
        <v>16</v>
      </c>
      <c r="L6" s="19">
        <v>0</v>
      </c>
      <c r="M6" s="24">
        <f t="shared" ref="M6:M69" si="6">SUM(J6-L6)</f>
        <v>600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+'10'!G7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+'10'!G12</f>
        <v>0</v>
      </c>
      <c r="D12" s="13">
        <v>0</v>
      </c>
      <c r="E12" s="12">
        <f t="shared" si="0"/>
        <v>0</v>
      </c>
      <c r="F12" s="13">
        <v>0</v>
      </c>
      <c r="G12" s="14">
        <f t="shared" si="1"/>
        <v>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+'10'!G15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+'10'!G17</f>
        <v>0</v>
      </c>
      <c r="D17" s="13">
        <v>0</v>
      </c>
      <c r="E17" s="12">
        <f t="shared" si="0"/>
        <v>0</v>
      </c>
      <c r="F17" s="13">
        <v>0</v>
      </c>
      <c r="G17" s="14">
        <f t="shared" si="1"/>
        <v>0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+'10'!G18</f>
        <v>2</v>
      </c>
      <c r="D18" s="13">
        <v>0</v>
      </c>
      <c r="E18" s="12">
        <f t="shared" si="0"/>
        <v>2</v>
      </c>
      <c r="F18" s="13">
        <v>0</v>
      </c>
      <c r="G18" s="14">
        <f t="shared" si="1"/>
        <v>1</v>
      </c>
      <c r="H18" s="15">
        <v>1</v>
      </c>
      <c r="I18" s="22">
        <v>50</v>
      </c>
      <c r="J18" s="43">
        <f t="shared" si="5"/>
        <v>50</v>
      </c>
      <c r="K18" s="18" t="s">
        <v>16</v>
      </c>
      <c r="L18" s="19">
        <v>0</v>
      </c>
      <c r="M18" s="24">
        <f t="shared" si="6"/>
        <v>50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+'10'!G19</f>
        <v>0</v>
      </c>
      <c r="D19" s="13">
        <v>0</v>
      </c>
      <c r="E19" s="12">
        <f t="shared" si="0"/>
        <v>0</v>
      </c>
      <c r="F19" s="13">
        <v>0</v>
      </c>
      <c r="G19" s="14">
        <f t="shared" si="1"/>
        <v>0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+'10'!G20</f>
        <v>1</v>
      </c>
      <c r="D20" s="13">
        <v>0</v>
      </c>
      <c r="E20" s="12">
        <f t="shared" si="0"/>
        <v>1</v>
      </c>
      <c r="F20" s="13">
        <v>0</v>
      </c>
      <c r="G20" s="14">
        <f t="shared" si="1"/>
        <v>1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+'10'!G23</f>
        <v>9</v>
      </c>
      <c r="D23" s="13">
        <v>0</v>
      </c>
      <c r="E23" s="12">
        <f t="shared" si="0"/>
        <v>9</v>
      </c>
      <c r="F23" s="13">
        <v>0</v>
      </c>
      <c r="G23" s="14">
        <f t="shared" si="1"/>
        <v>2</v>
      </c>
      <c r="H23" s="15">
        <v>7</v>
      </c>
      <c r="I23" s="16">
        <v>100</v>
      </c>
      <c r="J23" s="43">
        <f t="shared" si="5"/>
        <v>700</v>
      </c>
      <c r="K23" s="18" t="s">
        <v>16</v>
      </c>
      <c r="L23" s="19">
        <v>0</v>
      </c>
      <c r="M23" s="24">
        <f t="shared" si="6"/>
        <v>700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+'10'!G24</f>
        <v>2</v>
      </c>
      <c r="D24" s="13">
        <v>0</v>
      </c>
      <c r="E24" s="12">
        <f t="shared" si="0"/>
        <v>2</v>
      </c>
      <c r="F24" s="13">
        <v>0</v>
      </c>
      <c r="G24" s="14">
        <f t="shared" si="1"/>
        <v>1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+'10'!G26</f>
        <v>4</v>
      </c>
      <c r="D26" s="13">
        <v>0</v>
      </c>
      <c r="E26" s="12">
        <f t="shared" si="0"/>
        <v>4</v>
      </c>
      <c r="F26" s="13">
        <v>0</v>
      </c>
      <c r="G26" s="14">
        <f t="shared" si="1"/>
        <v>4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+'10'!G27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0</v>
      </c>
      <c r="H27" s="15">
        <v>1</v>
      </c>
      <c r="I27" s="22">
        <v>100</v>
      </c>
      <c r="J27" s="43">
        <f t="shared" si="5"/>
        <v>100</v>
      </c>
      <c r="K27" s="18" t="s">
        <v>16</v>
      </c>
      <c r="L27" s="19">
        <v>0</v>
      </c>
      <c r="M27" s="24">
        <f t="shared" si="6"/>
        <v>100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+'10'!G29</f>
        <v>5</v>
      </c>
      <c r="D29" s="13">
        <v>0</v>
      </c>
      <c r="E29" s="12">
        <f t="shared" si="0"/>
        <v>5</v>
      </c>
      <c r="F29" s="13">
        <v>0</v>
      </c>
      <c r="G29" s="14">
        <f t="shared" si="1"/>
        <v>5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+'10'!G30</f>
        <v>-2</v>
      </c>
      <c r="D30" s="13">
        <v>0</v>
      </c>
      <c r="E30" s="12">
        <f t="shared" si="0"/>
        <v>-2</v>
      </c>
      <c r="F30" s="13">
        <v>0</v>
      </c>
      <c r="G30" s="14">
        <f t="shared" si="1"/>
        <v>-2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+'10'!G31</f>
        <v>2</v>
      </c>
      <c r="D31" s="13">
        <v>0</v>
      </c>
      <c r="E31" s="12">
        <f t="shared" si="0"/>
        <v>2</v>
      </c>
      <c r="F31" s="13">
        <v>0</v>
      </c>
      <c r="G31" s="14">
        <f t="shared" si="1"/>
        <v>1</v>
      </c>
      <c r="H31" s="15">
        <v>1</v>
      </c>
      <c r="I31" s="16">
        <v>100</v>
      </c>
      <c r="J31" s="43">
        <f t="shared" si="5"/>
        <v>100</v>
      </c>
      <c r="K31" s="18" t="s">
        <v>275</v>
      </c>
      <c r="L31" s="19">
        <v>100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+'10'!G33</f>
        <v>3</v>
      </c>
      <c r="D33" s="13">
        <v>0</v>
      </c>
      <c r="E33" s="12">
        <f t="shared" si="0"/>
        <v>3</v>
      </c>
      <c r="F33" s="13">
        <v>0</v>
      </c>
      <c r="G33" s="14">
        <f t="shared" si="1"/>
        <v>2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+'10'!G34</f>
        <v>4</v>
      </c>
      <c r="D34" s="13">
        <v>0</v>
      </c>
      <c r="E34" s="12">
        <f t="shared" si="0"/>
        <v>4</v>
      </c>
      <c r="F34" s="13">
        <v>3</v>
      </c>
      <c r="G34" s="14">
        <f t="shared" si="1"/>
        <v>-1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+'10'!G37</f>
        <v>4</v>
      </c>
      <c r="D37" s="13">
        <v>0</v>
      </c>
      <c r="E37" s="12">
        <f t="shared" si="0"/>
        <v>4</v>
      </c>
      <c r="F37" s="13">
        <v>0</v>
      </c>
      <c r="G37" s="14">
        <f t="shared" si="1"/>
        <v>1</v>
      </c>
      <c r="H37" s="15">
        <v>3</v>
      </c>
      <c r="I37" s="16">
        <v>100</v>
      </c>
      <c r="J37" s="43">
        <f t="shared" si="5"/>
        <v>300</v>
      </c>
      <c r="K37" s="18" t="s">
        <v>16</v>
      </c>
      <c r="L37" s="19">
        <v>0</v>
      </c>
      <c r="M37" s="24">
        <f t="shared" si="6"/>
        <v>300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+'10'!G38</f>
        <v>6</v>
      </c>
      <c r="D38" s="13">
        <v>0</v>
      </c>
      <c r="E38" s="12">
        <f t="shared" si="0"/>
        <v>6</v>
      </c>
      <c r="F38" s="13">
        <v>0</v>
      </c>
      <c r="G38" s="14">
        <f t="shared" si="1"/>
        <v>3</v>
      </c>
      <c r="H38" s="15">
        <v>3</v>
      </c>
      <c r="I38" s="16">
        <v>50</v>
      </c>
      <c r="J38" s="43">
        <f t="shared" si="5"/>
        <v>150</v>
      </c>
      <c r="K38" s="18" t="s">
        <v>16</v>
      </c>
      <c r="L38" s="19">
        <v>0</v>
      </c>
      <c r="M38" s="24">
        <f t="shared" si="6"/>
        <v>150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+'10'!G39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1</v>
      </c>
      <c r="H39" s="15">
        <v>3</v>
      </c>
      <c r="I39" s="16">
        <v>50</v>
      </c>
      <c r="J39" s="43">
        <f t="shared" si="5"/>
        <v>150</v>
      </c>
      <c r="K39" s="18" t="s">
        <v>16</v>
      </c>
      <c r="L39" s="19">
        <v>0</v>
      </c>
      <c r="M39" s="24">
        <f t="shared" si="6"/>
        <v>150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+'10'!G40</f>
        <v>8</v>
      </c>
      <c r="D40" s="13">
        <v>0</v>
      </c>
      <c r="E40" s="12">
        <f t="shared" si="0"/>
        <v>8</v>
      </c>
      <c r="F40" s="13">
        <v>0</v>
      </c>
      <c r="G40" s="14">
        <f t="shared" si="1"/>
        <v>8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+'10'!G43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+'10'!G44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+'10'!G48</f>
        <v>2</v>
      </c>
      <c r="D48" s="13">
        <v>0</v>
      </c>
      <c r="E48" s="12">
        <f t="shared" si="0"/>
        <v>2</v>
      </c>
      <c r="F48" s="13">
        <v>0</v>
      </c>
      <c r="G48" s="14">
        <f t="shared" si="1"/>
        <v>1</v>
      </c>
      <c r="H48" s="15">
        <v>1</v>
      </c>
      <c r="I48" s="16">
        <v>50</v>
      </c>
      <c r="J48" s="43">
        <f t="shared" si="5"/>
        <v>50</v>
      </c>
      <c r="K48" s="18" t="s">
        <v>278</v>
      </c>
      <c r="L48" s="19">
        <v>25</v>
      </c>
      <c r="M48" s="24">
        <f t="shared" si="6"/>
        <v>25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+'10'!G49</f>
        <v>5</v>
      </c>
      <c r="D49" s="13">
        <v>0</v>
      </c>
      <c r="E49" s="12">
        <f t="shared" si="0"/>
        <v>5</v>
      </c>
      <c r="F49" s="13">
        <v>0</v>
      </c>
      <c r="G49" s="14">
        <f t="shared" si="1"/>
        <v>5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+'10'!G50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+'10'!G51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+'10'!G52</f>
        <v>2</v>
      </c>
      <c r="D52" s="13">
        <v>0</v>
      </c>
      <c r="E52" s="12">
        <f t="shared" si="0"/>
        <v>2</v>
      </c>
      <c r="F52" s="13">
        <v>0</v>
      </c>
      <c r="G52" s="14">
        <f t="shared" si="1"/>
        <v>1</v>
      </c>
      <c r="H52" s="15">
        <v>1</v>
      </c>
      <c r="I52" s="20">
        <v>120</v>
      </c>
      <c r="J52" s="43">
        <f t="shared" si="5"/>
        <v>120</v>
      </c>
      <c r="K52" s="18" t="s">
        <v>16</v>
      </c>
      <c r="L52" s="19">
        <v>0</v>
      </c>
      <c r="M52" s="24">
        <f t="shared" si="6"/>
        <v>120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+'10'!G53</f>
        <v>3</v>
      </c>
      <c r="D53" s="13">
        <v>0</v>
      </c>
      <c r="E53" s="12">
        <f t="shared" si="0"/>
        <v>3</v>
      </c>
      <c r="F53" s="13">
        <v>0</v>
      </c>
      <c r="G53" s="14">
        <f t="shared" si="1"/>
        <v>3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+'10'!G55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+'10'!G57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+'10'!G62</f>
        <v>0</v>
      </c>
      <c r="D62" s="13">
        <v>0</v>
      </c>
      <c r="E62" s="12">
        <f t="shared" si="0"/>
        <v>0</v>
      </c>
      <c r="F62" s="13">
        <v>0</v>
      </c>
      <c r="G62" s="14">
        <f t="shared" si="1"/>
        <v>0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+'10'!G63</f>
        <v>0</v>
      </c>
      <c r="D63" s="13">
        <v>0</v>
      </c>
      <c r="E63" s="12">
        <f t="shared" si="0"/>
        <v>0</v>
      </c>
      <c r="F63" s="13">
        <v>0</v>
      </c>
      <c r="G63" s="14">
        <f t="shared" si="1"/>
        <v>0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+'10'!G66</f>
        <v>6</v>
      </c>
      <c r="D66" s="13">
        <v>0</v>
      </c>
      <c r="E66" s="12">
        <f t="shared" si="0"/>
        <v>6</v>
      </c>
      <c r="F66" s="13">
        <v>0</v>
      </c>
      <c r="G66" s="14">
        <f t="shared" si="1"/>
        <v>1</v>
      </c>
      <c r="H66" s="15">
        <v>5</v>
      </c>
      <c r="I66" s="16">
        <v>50</v>
      </c>
      <c r="J66" s="43">
        <f t="shared" si="5"/>
        <v>250</v>
      </c>
      <c r="K66" s="18" t="s">
        <v>16</v>
      </c>
      <c r="L66" s="19">
        <v>0</v>
      </c>
      <c r="M66" s="24">
        <f t="shared" si="6"/>
        <v>250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+'10'!G67</f>
        <v>0</v>
      </c>
      <c r="D67" s="13">
        <v>0</v>
      </c>
      <c r="E67" s="12">
        <f t="shared" si="0"/>
        <v>0</v>
      </c>
      <c r="F67" s="13">
        <v>0</v>
      </c>
      <c r="G67" s="14">
        <f t="shared" si="1"/>
        <v>0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+'10'!G70</f>
        <v>2</v>
      </c>
      <c r="D70" s="13">
        <v>0</v>
      </c>
      <c r="E70" s="12">
        <f t="shared" si="0"/>
        <v>2</v>
      </c>
      <c r="F70" s="13">
        <v>0</v>
      </c>
      <c r="G70" s="14">
        <f t="shared" si="1"/>
        <v>1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+'10'!G71</f>
        <v>3</v>
      </c>
      <c r="D71" s="13">
        <v>0</v>
      </c>
      <c r="E71" s="12">
        <f t="shared" si="0"/>
        <v>3</v>
      </c>
      <c r="F71" s="13">
        <v>0</v>
      </c>
      <c r="G71" s="14">
        <f t="shared" si="1"/>
        <v>3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+'10'!G73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+'10'!G74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+'10'!G77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+'10'!G79</f>
        <v>2</v>
      </c>
      <c r="D79" s="13">
        <v>0</v>
      </c>
      <c r="E79" s="12">
        <f t="shared" si="0"/>
        <v>2</v>
      </c>
      <c r="F79" s="13">
        <v>0</v>
      </c>
      <c r="G79" s="14">
        <f t="shared" si="1"/>
        <v>0</v>
      </c>
      <c r="H79" s="15">
        <v>2</v>
      </c>
      <c r="I79" s="23">
        <v>50</v>
      </c>
      <c r="J79" s="43">
        <f t="shared" si="10"/>
        <v>100</v>
      </c>
      <c r="K79" s="18" t="s">
        <v>16</v>
      </c>
      <c r="L79" s="19">
        <v>0</v>
      </c>
      <c r="M79" s="24">
        <f t="shared" si="11"/>
        <v>100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+'10'!G81</f>
        <v>0</v>
      </c>
      <c r="D81" s="13">
        <v>0</v>
      </c>
      <c r="E81" s="12">
        <f t="shared" si="0"/>
        <v>0</v>
      </c>
      <c r="F81" s="13">
        <v>0</v>
      </c>
      <c r="G81" s="14">
        <f t="shared" si="1"/>
        <v>0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+'10'!G82</f>
        <v>0</v>
      </c>
      <c r="D82" s="13">
        <v>0</v>
      </c>
      <c r="E82" s="12">
        <f t="shared" si="0"/>
        <v>0</v>
      </c>
      <c r="F82" s="13">
        <v>0</v>
      </c>
      <c r="G82" s="14">
        <f t="shared" ref="G82:G145" si="12">E82-F82-H82</f>
        <v>0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+'10'!G85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+'10'!G86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8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+'10'!G87</f>
        <v>4</v>
      </c>
      <c r="D87" s="13">
        <v>0</v>
      </c>
      <c r="E87" s="12">
        <f t="shared" si="0"/>
        <v>4</v>
      </c>
      <c r="F87" s="13">
        <v>0</v>
      </c>
      <c r="G87" s="14">
        <f t="shared" si="12"/>
        <v>3</v>
      </c>
      <c r="H87" s="15">
        <v>1</v>
      </c>
      <c r="I87" s="22">
        <v>60</v>
      </c>
      <c r="J87" s="43">
        <f t="shared" si="10"/>
        <v>60</v>
      </c>
      <c r="K87" s="18" t="s">
        <v>16</v>
      </c>
      <c r="L87" s="19">
        <v>0</v>
      </c>
      <c r="M87" s="24">
        <f t="shared" si="11"/>
        <v>60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+'10'!G88</f>
        <v>8</v>
      </c>
      <c r="D88" s="13">
        <v>0</v>
      </c>
      <c r="E88" s="12">
        <f t="shared" si="0"/>
        <v>8</v>
      </c>
      <c r="F88" s="13">
        <v>0</v>
      </c>
      <c r="G88" s="14">
        <f t="shared" si="12"/>
        <v>5</v>
      </c>
      <c r="H88" s="15">
        <v>3</v>
      </c>
      <c r="I88" s="22">
        <v>100</v>
      </c>
      <c r="J88" s="43">
        <f t="shared" si="10"/>
        <v>300</v>
      </c>
      <c r="K88" s="18" t="s">
        <v>16</v>
      </c>
      <c r="L88" s="19">
        <v>0</v>
      </c>
      <c r="M88" s="24">
        <f t="shared" si="11"/>
        <v>300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+'10'!G89</f>
        <v>7</v>
      </c>
      <c r="D89" s="13">
        <v>0</v>
      </c>
      <c r="E89" s="12">
        <f t="shared" si="0"/>
        <v>7</v>
      </c>
      <c r="F89" s="13">
        <v>0</v>
      </c>
      <c r="G89" s="14">
        <f t="shared" si="12"/>
        <v>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4">
        <f t="shared" si="12"/>
        <v>0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+'10'!G95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+'10'!G97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0</v>
      </c>
      <c r="H97" s="15">
        <v>1</v>
      </c>
      <c r="I97" s="22">
        <v>120</v>
      </c>
      <c r="J97" s="43">
        <f t="shared" si="10"/>
        <v>120</v>
      </c>
      <c r="K97" s="18" t="s">
        <v>278</v>
      </c>
      <c r="L97" s="19">
        <v>60</v>
      </c>
      <c r="M97" s="24">
        <f t="shared" si="11"/>
        <v>60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+'10'!G101</f>
        <v>0</v>
      </c>
      <c r="D101" s="13">
        <v>0</v>
      </c>
      <c r="E101" s="12">
        <f t="shared" si="13"/>
        <v>0</v>
      </c>
      <c r="F101" s="13">
        <v>0</v>
      </c>
      <c r="G101" s="14">
        <f t="shared" si="12"/>
        <v>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+'10'!G150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+'10'!G151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+'10'!G154</f>
        <v>1</v>
      </c>
      <c r="D154" s="13">
        <v>0</v>
      </c>
      <c r="E154" s="12">
        <f t="shared" si="13"/>
        <v>1</v>
      </c>
      <c r="F154" s="13">
        <v>0</v>
      </c>
      <c r="G154" s="14">
        <f t="shared" si="16"/>
        <v>0</v>
      </c>
      <c r="H154" s="15">
        <v>1</v>
      </c>
      <c r="I154" s="22">
        <v>185</v>
      </c>
      <c r="J154" s="43">
        <f t="shared" si="14"/>
        <v>185</v>
      </c>
      <c r="K154" s="18" t="s">
        <v>16</v>
      </c>
      <c r="L154" s="19">
        <v>0</v>
      </c>
      <c r="M154" s="24">
        <f t="shared" si="15"/>
        <v>185</v>
      </c>
    </row>
    <row r="155" spans="1:13" ht="25.5">
      <c r="A155" s="10">
        <v>151</v>
      </c>
      <c r="B155" s="21" t="s">
        <v>167</v>
      </c>
      <c r="C155" s="12">
        <f>+'10'!G155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+'10'!G159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+'10'!G163</f>
        <v>3</v>
      </c>
      <c r="D163" s="13">
        <v>0</v>
      </c>
      <c r="E163" s="12">
        <f t="shared" si="17"/>
        <v>3</v>
      </c>
      <c r="F163" s="13">
        <v>0</v>
      </c>
      <c r="G163" s="14">
        <f t="shared" si="16"/>
        <v>2</v>
      </c>
      <c r="H163" s="15">
        <v>1</v>
      </c>
      <c r="I163" s="22">
        <v>25</v>
      </c>
      <c r="J163" s="43">
        <f t="shared" si="14"/>
        <v>25</v>
      </c>
      <c r="K163" s="18" t="s">
        <v>16</v>
      </c>
      <c r="L163" s="19">
        <v>0</v>
      </c>
      <c r="M163" s="24">
        <f t="shared" si="15"/>
        <v>25</v>
      </c>
    </row>
    <row r="164" spans="1:13" ht="25.5">
      <c r="A164" s="10">
        <v>160</v>
      </c>
      <c r="B164" s="21" t="s">
        <v>176</v>
      </c>
      <c r="C164" s="12">
        <f>+'10'!G164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+'10'!G167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+'10'!G168</f>
        <v>37</v>
      </c>
      <c r="D168" s="13">
        <v>0</v>
      </c>
      <c r="E168" s="12">
        <f t="shared" si="17"/>
        <v>37</v>
      </c>
      <c r="F168" s="13">
        <v>0</v>
      </c>
      <c r="G168" s="14">
        <f t="shared" si="16"/>
        <v>36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+'10'!G169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+'10'!G170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+'10'!G176</f>
        <v>1</v>
      </c>
      <c r="D176" s="13">
        <v>0</v>
      </c>
      <c r="E176" s="12">
        <f t="shared" si="17"/>
        <v>1</v>
      </c>
      <c r="F176" s="13">
        <v>0</v>
      </c>
      <c r="G176" s="14">
        <f t="shared" si="16"/>
        <v>1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+'10'!G178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+'10'!G183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+'10'!G192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+'10'!G193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+'10'!G197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08" si="19">SUM(J198-L198)</f>
        <v>0</v>
      </c>
    </row>
    <row r="199" spans="1:13" ht="25.5">
      <c r="A199" s="10">
        <v>195</v>
      </c>
      <c r="B199" s="21" t="s">
        <v>251</v>
      </c>
      <c r="C199" s="12">
        <f>+'10'!G199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+'10'!G204</f>
        <v>1</v>
      </c>
      <c r="D204" s="13">
        <v>0</v>
      </c>
      <c r="E204" s="12">
        <f t="shared" si="17"/>
        <v>1</v>
      </c>
      <c r="F204" s="13">
        <v>0</v>
      </c>
      <c r="G204" s="14">
        <f t="shared" si="16"/>
        <v>1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+'10'!G205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22" ht="25.5">
      <c r="A209" s="10">
        <v>205</v>
      </c>
      <c r="B209" s="21" t="s">
        <v>261</v>
      </c>
      <c r="C209" s="12">
        <f>+'10'!G209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/>
    </row>
    <row r="210" spans="1:22" ht="25.5">
      <c r="A210" s="10">
        <v>206</v>
      </c>
      <c r="B210" s="21" t="s">
        <v>262</v>
      </c>
      <c r="C210" s="12">
        <f>+'10'!G210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/>
    </row>
    <row r="211" spans="1:22" ht="25.5">
      <c r="A211" s="10">
        <v>207</v>
      </c>
      <c r="B211" s="21" t="s">
        <v>263</v>
      </c>
      <c r="C211" s="12">
        <f>+'10'!G211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/>
    </row>
    <row r="212" spans="1:22" ht="25.5">
      <c r="A212" s="10">
        <v>208</v>
      </c>
      <c r="B212" s="11" t="s">
        <v>264</v>
      </c>
      <c r="C212" s="12">
        <f>+'10'!G214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ref="M212" si="21">SUM(J212-L212)</f>
        <v>0</v>
      </c>
    </row>
    <row r="213" spans="1:22" ht="25.5">
      <c r="A213" s="10">
        <v>209</v>
      </c>
      <c r="B213" s="21" t="s">
        <v>265</v>
      </c>
      <c r="C213" s="12">
        <f>+'10'!G215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/>
    </row>
    <row r="214" spans="1:22" ht="25.5">
      <c r="A214" s="1"/>
      <c r="C214" s="25"/>
      <c r="D214" s="26"/>
      <c r="E214" s="25"/>
      <c r="F214" s="26"/>
      <c r="G214" s="25"/>
      <c r="H214" s="25">
        <f>SUM(H5:H213)</f>
        <v>48</v>
      </c>
      <c r="I214" s="27"/>
      <c r="J214" s="29"/>
      <c r="K214" s="28"/>
      <c r="L214" s="19">
        <v>0</v>
      </c>
      <c r="M214" s="136" t="s">
        <v>220</v>
      </c>
      <c r="N214" s="136"/>
    </row>
    <row r="215" spans="1:22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22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4005</v>
      </c>
    </row>
    <row r="217" spans="1:22" ht="25.5">
      <c r="A217" s="1"/>
      <c r="C217" s="32"/>
      <c r="E217" s="32"/>
      <c r="G217" s="32"/>
      <c r="I217" s="134" t="s">
        <v>209</v>
      </c>
      <c r="J217" s="135"/>
      <c r="K217" s="37">
        <v>15</v>
      </c>
    </row>
    <row r="218" spans="1:22" ht="25.5">
      <c r="A218" s="1"/>
      <c r="C218" s="32"/>
      <c r="E218" s="32"/>
      <c r="G218" s="32"/>
      <c r="I218" s="35" t="s">
        <v>210</v>
      </c>
      <c r="J218" s="36"/>
      <c r="K218" s="37">
        <f>SUM(L218:BO218)</f>
        <v>1335</v>
      </c>
      <c r="L218" s="2">
        <v>100</v>
      </c>
      <c r="M218" s="2">
        <v>200</v>
      </c>
      <c r="N218" s="2">
        <v>200</v>
      </c>
      <c r="O218" s="2">
        <v>100</v>
      </c>
      <c r="P218" s="2">
        <v>260</v>
      </c>
      <c r="Q218" s="2">
        <v>50</v>
      </c>
      <c r="R218" s="2">
        <v>100</v>
      </c>
      <c r="S218" s="2">
        <v>100</v>
      </c>
      <c r="T218" s="2">
        <v>100</v>
      </c>
      <c r="U218" s="2">
        <v>50</v>
      </c>
      <c r="V218" s="2">
        <v>75</v>
      </c>
    </row>
    <row r="219" spans="1:22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22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22" ht="25.5">
      <c r="A221" s="1"/>
      <c r="C221" s="32"/>
      <c r="E221" s="32"/>
      <c r="G221" s="32"/>
      <c r="I221" s="134" t="s">
        <v>213</v>
      </c>
      <c r="J221" s="135"/>
      <c r="K221" s="38">
        <f>SUM(L5:L214)</f>
        <v>185</v>
      </c>
    </row>
    <row r="222" spans="1:22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2470</v>
      </c>
    </row>
    <row r="223" spans="1:22" ht="25.5">
      <c r="A223" s="1"/>
      <c r="C223" s="32"/>
      <c r="E223" s="32"/>
      <c r="G223" s="32"/>
      <c r="I223" s="134" t="s">
        <v>215</v>
      </c>
      <c r="J223" s="135"/>
      <c r="K223" s="38">
        <v>2470</v>
      </c>
    </row>
    <row r="224" spans="1:22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270</v>
      </c>
      <c r="K227" s="24">
        <f>+K216-K221+K224</f>
        <v>3820</v>
      </c>
    </row>
    <row r="228" spans="7:11">
      <c r="G228" s="2"/>
      <c r="I228" s="2"/>
      <c r="J228" s="2" t="s">
        <v>271</v>
      </c>
      <c r="K228" s="24">
        <f>SUM(K217:K218)</f>
        <v>1350</v>
      </c>
    </row>
    <row r="229" spans="7:11">
      <c r="G229" s="2"/>
      <c r="I229" s="2"/>
      <c r="J229" s="2" t="s">
        <v>272</v>
      </c>
      <c r="K229" s="24">
        <f>+K223</f>
        <v>2470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73A1-C696-4A28-A4D3-43E70DCB17A2}">
  <sheetPr>
    <tabColor theme="5" tint="0.79998168889431442"/>
  </sheetPr>
  <dimension ref="A1:Z302"/>
  <sheetViews>
    <sheetView zoomScale="90" zoomScaleNormal="90" workbookViewId="0">
      <pane ySplit="4" topLeftCell="A217" activePane="bottomLeft" state="frozen"/>
      <selection activeCell="B1" sqref="B1"/>
      <selection pane="bottomLeft" activeCell="J229" sqref="J229:K231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+'11'!G5</f>
        <v>10</v>
      </c>
      <c r="D5" s="13">
        <v>20</v>
      </c>
      <c r="E5" s="12">
        <f t="shared" ref="E5:E94" si="0">C5+D5</f>
        <v>30</v>
      </c>
      <c r="F5" s="13">
        <v>0</v>
      </c>
      <c r="G5" s="14">
        <f t="shared" ref="G5:G81" si="1">E5-F5-H5</f>
        <v>28</v>
      </c>
      <c r="H5" s="15">
        <v>2</v>
      </c>
      <c r="I5" s="16">
        <v>50</v>
      </c>
      <c r="J5" s="43">
        <f>+I5*H5</f>
        <v>100</v>
      </c>
      <c r="K5" s="18" t="s">
        <v>16</v>
      </c>
      <c r="L5" s="19">
        <v>0</v>
      </c>
      <c r="M5" s="24">
        <f>SUM(J5-L5)</f>
        <v>100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+'11'!G6</f>
        <v>5</v>
      </c>
      <c r="D6" s="13">
        <v>20</v>
      </c>
      <c r="E6" s="12">
        <f t="shared" si="0"/>
        <v>25</v>
      </c>
      <c r="F6" s="13">
        <v>0</v>
      </c>
      <c r="G6" s="14">
        <f t="shared" si="1"/>
        <v>25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+'11'!G7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+'11'!G12</f>
        <v>0</v>
      </c>
      <c r="D12" s="13">
        <v>10</v>
      </c>
      <c r="E12" s="12">
        <f t="shared" si="0"/>
        <v>10</v>
      </c>
      <c r="F12" s="13">
        <v>0</v>
      </c>
      <c r="G12" s="14">
        <f t="shared" si="1"/>
        <v>10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+'11'!G15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2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+'11'!G17</f>
        <v>0</v>
      </c>
      <c r="D17" s="13">
        <v>2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+'11'!G18</f>
        <v>1</v>
      </c>
      <c r="D18" s="13">
        <v>2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+'11'!G19</f>
        <v>0</v>
      </c>
      <c r="D19" s="13">
        <v>2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+'11'!G20</f>
        <v>1</v>
      </c>
      <c r="D20" s="13">
        <v>2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+'11'!G22</f>
        <v>0</v>
      </c>
      <c r="D22" s="13">
        <v>5</v>
      </c>
      <c r="E22" s="12">
        <f t="shared" si="0"/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+'11'!G23</f>
        <v>2</v>
      </c>
      <c r="D23" s="13">
        <v>15</v>
      </c>
      <c r="E23" s="12">
        <f t="shared" si="0"/>
        <v>17</v>
      </c>
      <c r="F23" s="13">
        <v>0</v>
      </c>
      <c r="G23" s="14">
        <f t="shared" si="1"/>
        <v>16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+'11'!G24</f>
        <v>1</v>
      </c>
      <c r="D24" s="13">
        <v>5</v>
      </c>
      <c r="E24" s="12">
        <f t="shared" si="0"/>
        <v>6</v>
      </c>
      <c r="F24" s="13">
        <v>0</v>
      </c>
      <c r="G24" s="14">
        <f t="shared" si="1"/>
        <v>6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+'11'!G26</f>
        <v>4</v>
      </c>
      <c r="D26" s="13">
        <v>5</v>
      </c>
      <c r="E26" s="12">
        <f t="shared" si="0"/>
        <v>9</v>
      </c>
      <c r="F26" s="13">
        <v>0</v>
      </c>
      <c r="G26" s="14">
        <f t="shared" si="1"/>
        <v>9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+'11'!G27</f>
        <v>0</v>
      </c>
      <c r="D27" s="13">
        <v>5</v>
      </c>
      <c r="E27" s="12">
        <f t="shared" si="0"/>
        <v>5</v>
      </c>
      <c r="F27" s="13">
        <v>0</v>
      </c>
      <c r="G27" s="14">
        <f t="shared" si="1"/>
        <v>5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+'11'!G29</f>
        <v>5</v>
      </c>
      <c r="D29" s="13">
        <v>5</v>
      </c>
      <c r="E29" s="12">
        <f t="shared" si="0"/>
        <v>10</v>
      </c>
      <c r="F29" s="13">
        <v>0</v>
      </c>
      <c r="G29" s="14">
        <f t="shared" si="1"/>
        <v>10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+'11'!G30</f>
        <v>-2</v>
      </c>
      <c r="D30" s="13">
        <v>0</v>
      </c>
      <c r="E30" s="12">
        <f t="shared" si="0"/>
        <v>-2</v>
      </c>
      <c r="F30" s="13">
        <v>0</v>
      </c>
      <c r="G30" s="14">
        <f t="shared" si="1"/>
        <v>-2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+'11'!G31</f>
        <v>1</v>
      </c>
      <c r="D31" s="13">
        <v>5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+'11'!G33</f>
        <v>2</v>
      </c>
      <c r="D33" s="13">
        <v>6</v>
      </c>
      <c r="E33" s="12">
        <f t="shared" si="0"/>
        <v>8</v>
      </c>
      <c r="F33" s="13">
        <v>0</v>
      </c>
      <c r="G33" s="14">
        <f t="shared" si="1"/>
        <v>7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+'11'!G34</f>
        <v>-1</v>
      </c>
      <c r="D34" s="13">
        <v>6</v>
      </c>
      <c r="E34" s="12">
        <f t="shared" si="0"/>
        <v>5</v>
      </c>
      <c r="F34" s="13">
        <v>0</v>
      </c>
      <c r="G34" s="14">
        <f t="shared" si="1"/>
        <v>5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+'11'!G35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+'11'!G37</f>
        <v>1</v>
      </c>
      <c r="D37" s="13">
        <v>10</v>
      </c>
      <c r="E37" s="12">
        <f t="shared" si="0"/>
        <v>11</v>
      </c>
      <c r="F37" s="13">
        <v>0</v>
      </c>
      <c r="G37" s="14">
        <f t="shared" si="1"/>
        <v>11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+'11'!G38</f>
        <v>3</v>
      </c>
      <c r="D38" s="13">
        <v>5</v>
      </c>
      <c r="E38" s="12">
        <f t="shared" si="0"/>
        <v>8</v>
      </c>
      <c r="F38" s="13">
        <v>0</v>
      </c>
      <c r="G38" s="14">
        <f t="shared" si="1"/>
        <v>7</v>
      </c>
      <c r="H38" s="15">
        <v>1</v>
      </c>
      <c r="I38" s="16">
        <v>50</v>
      </c>
      <c r="J38" s="43">
        <f t="shared" si="5"/>
        <v>50</v>
      </c>
      <c r="K38" s="18" t="s">
        <v>16</v>
      </c>
      <c r="L38" s="19">
        <v>0</v>
      </c>
      <c r="M38" s="24">
        <f t="shared" si="6"/>
        <v>50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+'11'!G39</f>
        <v>1</v>
      </c>
      <c r="D39" s="13">
        <v>5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+'11'!G40</f>
        <v>8</v>
      </c>
      <c r="D40" s="13">
        <v>5</v>
      </c>
      <c r="E40" s="12">
        <f t="shared" si="0"/>
        <v>13</v>
      </c>
      <c r="F40" s="13">
        <v>0</v>
      </c>
      <c r="G40" s="14">
        <f t="shared" si="1"/>
        <v>13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+'11'!G42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+'11'!G43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+'11'!G44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+'11'!G46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+'11'!G47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+'11'!G48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+'11'!G49</f>
        <v>5</v>
      </c>
      <c r="D49" s="13">
        <v>0</v>
      </c>
      <c r="E49" s="12">
        <f t="shared" si="0"/>
        <v>5</v>
      </c>
      <c r="F49" s="13">
        <v>5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+'11'!G50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+'11'!G51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2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+'11'!G52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+'11'!G53</f>
        <v>3</v>
      </c>
      <c r="D53" s="13">
        <v>0</v>
      </c>
      <c r="E53" s="12">
        <f t="shared" si="0"/>
        <v>3</v>
      </c>
      <c r="F53" s="13">
        <v>0</v>
      </c>
      <c r="G53" s="14">
        <f t="shared" si="1"/>
        <v>3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+'11'!G55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+'11'!G57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+'11'!G62</f>
        <v>0</v>
      </c>
      <c r="D62" s="13">
        <v>2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+'11'!G63</f>
        <v>0</v>
      </c>
      <c r="D63" s="13">
        <v>2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+'11'!G66</f>
        <v>1</v>
      </c>
      <c r="D66" s="13">
        <v>0</v>
      </c>
      <c r="E66" s="12">
        <f t="shared" si="0"/>
        <v>1</v>
      </c>
      <c r="F66" s="13">
        <v>0</v>
      </c>
      <c r="G66" s="14">
        <f t="shared" si="1"/>
        <v>1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+'11'!G67</f>
        <v>0</v>
      </c>
      <c r="D67" s="13">
        <v>5</v>
      </c>
      <c r="E67" s="12">
        <f t="shared" si="0"/>
        <v>5</v>
      </c>
      <c r="F67" s="13">
        <v>0</v>
      </c>
      <c r="G67" s="14">
        <f t="shared" si="1"/>
        <v>4</v>
      </c>
      <c r="H67" s="15">
        <v>1</v>
      </c>
      <c r="I67" s="16">
        <v>50</v>
      </c>
      <c r="J67" s="43">
        <f t="shared" si="5"/>
        <v>50</v>
      </c>
      <c r="K67" s="18" t="s">
        <v>16</v>
      </c>
      <c r="L67" s="19">
        <v>0</v>
      </c>
      <c r="M67" s="24">
        <f t="shared" si="6"/>
        <v>50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+'11'!G70</f>
        <v>1</v>
      </c>
      <c r="D70" s="13">
        <v>5</v>
      </c>
      <c r="E70" s="12">
        <f t="shared" si="0"/>
        <v>6</v>
      </c>
      <c r="F70" s="13">
        <v>0</v>
      </c>
      <c r="G70" s="14">
        <f t="shared" si="1"/>
        <v>6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+'11'!G71</f>
        <v>3</v>
      </c>
      <c r="D71" s="13">
        <v>4</v>
      </c>
      <c r="E71" s="12">
        <f t="shared" si="0"/>
        <v>7</v>
      </c>
      <c r="F71" s="13">
        <v>0</v>
      </c>
      <c r="G71" s="14">
        <f t="shared" si="1"/>
        <v>7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+'11'!G73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+'11'!G74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+'11'!G77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+'11'!G79</f>
        <v>0</v>
      </c>
      <c r="D79" s="13">
        <v>10</v>
      </c>
      <c r="E79" s="12">
        <f t="shared" si="0"/>
        <v>10</v>
      </c>
      <c r="F79" s="13">
        <v>0</v>
      </c>
      <c r="G79" s="14">
        <f t="shared" si="1"/>
        <v>10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+'11'!G81</f>
        <v>0</v>
      </c>
      <c r="D81" s="13">
        <v>2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+'11'!G82</f>
        <v>0</v>
      </c>
      <c r="D82" s="13">
        <v>2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+'11'!G85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5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+'11'!G86</f>
        <v>8</v>
      </c>
      <c r="D86" s="13">
        <v>0</v>
      </c>
      <c r="E86" s="12">
        <f t="shared" si="0"/>
        <v>8</v>
      </c>
      <c r="F86" s="13">
        <v>0</v>
      </c>
      <c r="G86" s="14">
        <f t="shared" si="12"/>
        <v>7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+'11'!G87</f>
        <v>3</v>
      </c>
      <c r="D87" s="13">
        <v>0</v>
      </c>
      <c r="E87" s="12">
        <f t="shared" si="0"/>
        <v>3</v>
      </c>
      <c r="F87" s="13">
        <v>0</v>
      </c>
      <c r="G87" s="14">
        <f t="shared" si="12"/>
        <v>3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+'11'!G88</f>
        <v>5</v>
      </c>
      <c r="D88" s="13">
        <v>0</v>
      </c>
      <c r="E88" s="12">
        <f t="shared" si="0"/>
        <v>5</v>
      </c>
      <c r="F88" s="13">
        <v>0</v>
      </c>
      <c r="G88" s="14">
        <f t="shared" si="12"/>
        <v>4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+'11'!G89</f>
        <v>7</v>
      </c>
      <c r="D89" s="13">
        <v>0</v>
      </c>
      <c r="E89" s="12">
        <f t="shared" si="0"/>
        <v>7</v>
      </c>
      <c r="F89" s="13">
        <v>0</v>
      </c>
      <c r="G89" s="14">
        <f t="shared" si="12"/>
        <v>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+'11'!G92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+'11'!G94</f>
        <v>0</v>
      </c>
      <c r="D94" s="13">
        <v>1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+'11'!G95</f>
        <v>1</v>
      </c>
      <c r="D95" s="13">
        <v>1</v>
      </c>
      <c r="E95" s="12">
        <f t="shared" ref="E95:E158" si="13">C95+D95</f>
        <v>2</v>
      </c>
      <c r="F95" s="13">
        <v>1</v>
      </c>
      <c r="G95" s="14">
        <f t="shared" si="12"/>
        <v>1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+'11'!G96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+'11'!G97</f>
        <v>0</v>
      </c>
      <c r="D97" s="13">
        <v>1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+'11'!G98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+'11'!G101</f>
        <v>0</v>
      </c>
      <c r="D101" s="13">
        <v>10</v>
      </c>
      <c r="E101" s="12">
        <f t="shared" si="13"/>
        <v>10</v>
      </c>
      <c r="F101" s="13">
        <v>0</v>
      </c>
      <c r="G101" s="14">
        <f t="shared" si="12"/>
        <v>10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+'11'!G102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+'11'!G103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+'11'!G104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+'11'!G106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+'11'!G114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+'11'!G115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+'11'!G116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+'11'!G118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+'11'!G119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+'11'!G147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+'11'!G150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+'11'!G151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2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+'11'!G152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+'11'!G153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+'11'!G154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+'11'!G155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+'11'!G156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+'11'!G157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+'11'!G159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+'11'!G160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+'11'!G161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+'11'!G162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+'11'!G163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+'11'!G164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+'11'!G165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+'11'!G166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+'11'!G167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+'11'!G168</f>
        <v>36</v>
      </c>
      <c r="D168" s="13">
        <v>0</v>
      </c>
      <c r="E168" s="12">
        <f t="shared" si="17"/>
        <v>36</v>
      </c>
      <c r="F168" s="13">
        <v>0</v>
      </c>
      <c r="G168" s="14">
        <f t="shared" si="16"/>
        <v>36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+'11'!G169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+'11'!G170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+'11'!G171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+'11'!G172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+'11'!G173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+'11'!G174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+'11'!G175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+'11'!G176</f>
        <v>1</v>
      </c>
      <c r="D176" s="13">
        <v>0</v>
      </c>
      <c r="E176" s="12">
        <f t="shared" si="17"/>
        <v>1</v>
      </c>
      <c r="F176" s="13">
        <v>0</v>
      </c>
      <c r="G176" s="14">
        <f t="shared" si="16"/>
        <v>0</v>
      </c>
      <c r="H176" s="15">
        <v>1</v>
      </c>
      <c r="I176" s="22">
        <v>50</v>
      </c>
      <c r="J176" s="43">
        <f t="shared" si="14"/>
        <v>50</v>
      </c>
      <c r="K176" s="18" t="s">
        <v>16</v>
      </c>
      <c r="L176" s="19">
        <v>0</v>
      </c>
      <c r="M176" s="24">
        <f t="shared" si="15"/>
        <v>50</v>
      </c>
    </row>
    <row r="177" spans="1:13" ht="25.5">
      <c r="A177" s="10">
        <v>173</v>
      </c>
      <c r="B177" s="21" t="s">
        <v>189</v>
      </c>
      <c r="C177" s="12">
        <f>+'11'!G177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+'11'!G178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+'11'!G179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+'11'!G180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+'11'!G181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+'11'!G182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+'11'!G183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+'11'!G184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+'11'!G185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+'11'!G186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+'11'!G187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+'11'!G188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+'11'!G189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+'11'!G190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+'11'!G191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+'11'!G192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+'11'!G193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+'11'!G194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+'11'!G195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+'11'!G196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+'11'!G197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+'11'!G198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251</v>
      </c>
      <c r="C199" s="12">
        <f>+'11'!G199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+'11'!G200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+'11'!G201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+'11'!G202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+'11'!G203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+'11'!G204</f>
        <v>1</v>
      </c>
      <c r="D204" s="13">
        <v>0</v>
      </c>
      <c r="E204" s="12">
        <f t="shared" si="17"/>
        <v>1</v>
      </c>
      <c r="F204" s="13">
        <v>0</v>
      </c>
      <c r="G204" s="14">
        <f t="shared" si="16"/>
        <v>0</v>
      </c>
      <c r="H204" s="15">
        <v>1</v>
      </c>
      <c r="I204" s="16">
        <v>50</v>
      </c>
      <c r="J204" s="43">
        <f t="shared" si="18"/>
        <v>50</v>
      </c>
      <c r="K204" s="18" t="s">
        <v>16</v>
      </c>
      <c r="L204" s="19">
        <v>0</v>
      </c>
      <c r="M204" s="24">
        <f t="shared" si="19"/>
        <v>50</v>
      </c>
    </row>
    <row r="205" spans="1:13" ht="25.5">
      <c r="A205" s="10">
        <v>201</v>
      </c>
      <c r="B205" s="21" t="s">
        <v>257</v>
      </c>
      <c r="C205" s="12">
        <f>+'11'!G205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+'11'!G206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+'11'!G207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6" ht="25.5">
      <c r="A209" s="10">
        <v>205</v>
      </c>
      <c r="B209" s="21" t="s">
        <v>261</v>
      </c>
      <c r="C209" s="12">
        <f>+'11'!G209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6" ht="25.5">
      <c r="A210" s="10">
        <v>206</v>
      </c>
      <c r="B210" s="21" t="s">
        <v>262</v>
      </c>
      <c r="C210" s="12">
        <f>+'11'!G210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6" ht="25.5">
      <c r="A211" s="10">
        <v>207</v>
      </c>
      <c r="B211" s="21" t="s">
        <v>263</v>
      </c>
      <c r="C211" s="12">
        <f>+'11'!G211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6" ht="25.5">
      <c r="A212" s="10">
        <v>208</v>
      </c>
      <c r="B212" s="11" t="s">
        <v>264</v>
      </c>
      <c r="C212" s="12">
        <f>+'11'!G212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6" ht="25.5">
      <c r="A213" s="10">
        <v>209</v>
      </c>
      <c r="B213" s="21" t="s">
        <v>265</v>
      </c>
      <c r="C213" s="12">
        <f>+'11'!G213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6" ht="25.5">
      <c r="A214" s="10">
        <v>210</v>
      </c>
      <c r="B214" s="21" t="s">
        <v>279</v>
      </c>
      <c r="C214" s="12">
        <v>0</v>
      </c>
      <c r="D214" s="13">
        <v>5</v>
      </c>
      <c r="E214" s="12">
        <f t="shared" si="17"/>
        <v>5</v>
      </c>
      <c r="F214" s="13">
        <v>0</v>
      </c>
      <c r="G214" s="14">
        <f t="shared" si="20"/>
        <v>5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6" ht="25.5">
      <c r="A215" s="10">
        <v>211</v>
      </c>
      <c r="B215" s="21" t="s">
        <v>280</v>
      </c>
      <c r="C215" s="12">
        <v>0</v>
      </c>
      <c r="D215" s="13">
        <v>10</v>
      </c>
      <c r="E215" s="12">
        <f t="shared" si="17"/>
        <v>10</v>
      </c>
      <c r="F215" s="13">
        <v>0</v>
      </c>
      <c r="G215" s="14">
        <f t="shared" si="20"/>
        <v>10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6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36" t="s">
        <v>220</v>
      </c>
      <c r="N216" s="136"/>
    </row>
    <row r="217" spans="1:16" ht="25.5" customHeight="1">
      <c r="A217" s="1"/>
      <c r="C217" s="25"/>
      <c r="D217" s="26"/>
      <c r="E217" s="25"/>
      <c r="F217" s="26"/>
      <c r="G217" s="25"/>
      <c r="H217" s="137" t="s">
        <v>219</v>
      </c>
      <c r="I217" s="138"/>
      <c r="J217" s="31">
        <f>+X107</f>
        <v>0</v>
      </c>
      <c r="K217" s="28"/>
      <c r="L217" s="30"/>
    </row>
    <row r="218" spans="1:16" ht="25.5">
      <c r="A218" s="1"/>
      <c r="C218" s="32"/>
      <c r="E218" s="32"/>
      <c r="G218" s="32"/>
      <c r="H218" s="33"/>
      <c r="I218" s="139" t="s">
        <v>208</v>
      </c>
      <c r="J218" s="139"/>
      <c r="K218" s="34">
        <f>SUM(J5:J217)</f>
        <v>685</v>
      </c>
    </row>
    <row r="219" spans="1:16" ht="25.5">
      <c r="A219" s="1"/>
      <c r="C219" s="32"/>
      <c r="E219" s="32"/>
      <c r="G219" s="32"/>
      <c r="I219" s="134" t="s">
        <v>209</v>
      </c>
      <c r="J219" s="135"/>
      <c r="K219" s="37">
        <v>15</v>
      </c>
    </row>
    <row r="220" spans="1:16" ht="25.5">
      <c r="A220" s="1"/>
      <c r="C220" s="32"/>
      <c r="E220" s="32"/>
      <c r="G220" s="32"/>
      <c r="I220" s="35" t="s">
        <v>210</v>
      </c>
      <c r="J220" s="36"/>
      <c r="K220" s="37">
        <f>SUM(L220:BO220)</f>
        <v>350</v>
      </c>
      <c r="L220" s="2">
        <v>50</v>
      </c>
      <c r="M220" s="2">
        <v>100</v>
      </c>
      <c r="N220" s="2">
        <v>100</v>
      </c>
      <c r="O220" s="2">
        <v>50</v>
      </c>
      <c r="P220" s="2">
        <v>50</v>
      </c>
    </row>
    <row r="221" spans="1:16" ht="25.5">
      <c r="A221" s="1"/>
      <c r="C221" s="32"/>
      <c r="E221" s="32"/>
      <c r="G221" s="32"/>
      <c r="I221" s="134" t="s">
        <v>211</v>
      </c>
      <c r="J221" s="135"/>
      <c r="K221" s="37">
        <v>0</v>
      </c>
    </row>
    <row r="222" spans="1:16" ht="25.5">
      <c r="A222" s="1"/>
      <c r="C222" s="32"/>
      <c r="E222" s="32"/>
      <c r="G222" s="32"/>
      <c r="I222" s="134" t="s">
        <v>212</v>
      </c>
      <c r="J222" s="135"/>
      <c r="K222" s="37">
        <v>0</v>
      </c>
    </row>
    <row r="223" spans="1:16" ht="25.5">
      <c r="A223" s="1"/>
      <c r="C223" s="32"/>
      <c r="E223" s="32"/>
      <c r="G223" s="32"/>
      <c r="I223" s="134" t="s">
        <v>213</v>
      </c>
      <c r="J223" s="135"/>
      <c r="K223" s="38">
        <f>SUM(L5:L216)</f>
        <v>0</v>
      </c>
    </row>
    <row r="224" spans="1:16" ht="25.5">
      <c r="A224" s="1"/>
      <c r="C224" s="32"/>
      <c r="E224" s="32"/>
      <c r="G224" s="32"/>
      <c r="I224" s="134" t="s">
        <v>214</v>
      </c>
      <c r="J224" s="135"/>
      <c r="K224" s="34">
        <f>K218-K219-K220-K222-K223</f>
        <v>320</v>
      </c>
    </row>
    <row r="225" spans="1:11" ht="25.5">
      <c r="A225" s="1"/>
      <c r="C225" s="32"/>
      <c r="E225" s="32"/>
      <c r="G225" s="32"/>
      <c r="I225" s="134" t="s">
        <v>215</v>
      </c>
      <c r="J225" s="135"/>
      <c r="K225" s="38">
        <v>320</v>
      </c>
    </row>
    <row r="226" spans="1:11" ht="25.5">
      <c r="A226" s="1"/>
      <c r="C226" s="32"/>
      <c r="E226" s="32"/>
      <c r="G226" s="32"/>
      <c r="I226" s="134" t="s">
        <v>216</v>
      </c>
      <c r="J226" s="135"/>
      <c r="K226" s="34">
        <f>+K225-K224</f>
        <v>0</v>
      </c>
    </row>
    <row r="227" spans="1:11" ht="25.5">
      <c r="G227" s="2"/>
      <c r="I227" s="134" t="s">
        <v>217</v>
      </c>
      <c r="J227" s="135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270</v>
      </c>
      <c r="K229" s="24">
        <f>+K218-K223+K226</f>
        <v>685</v>
      </c>
    </row>
    <row r="230" spans="1:11">
      <c r="G230" s="2"/>
      <c r="I230" s="2"/>
      <c r="J230" s="2" t="s">
        <v>271</v>
      </c>
      <c r="K230" s="24">
        <f>SUM(K219:K220)</f>
        <v>365</v>
      </c>
    </row>
    <row r="231" spans="1:11">
      <c r="G231" s="2"/>
      <c r="I231" s="2"/>
      <c r="J231" s="2" t="s">
        <v>272</v>
      </c>
      <c r="K231" s="24">
        <f>+K225</f>
        <v>320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2E4E-D213-4B6C-AAFE-23BD751DC11E}">
  <sheetPr>
    <tabColor theme="5" tint="0.79998168889431442"/>
  </sheetPr>
  <dimension ref="A1:Z302"/>
  <sheetViews>
    <sheetView zoomScale="90" zoomScaleNormal="90" workbookViewId="0">
      <pane ySplit="4" topLeftCell="A205" activePane="bottomLeft" state="frozen"/>
      <selection pane="bottomLeft" activeCell="A214" sqref="A214:B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+'12'!G5</f>
        <v>28</v>
      </c>
      <c r="D5" s="13">
        <v>0</v>
      </c>
      <c r="E5" s="12">
        <f t="shared" ref="E5:E94" si="0">C5+D5</f>
        <v>28</v>
      </c>
      <c r="F5" s="13">
        <v>0</v>
      </c>
      <c r="G5" s="14">
        <f t="shared" ref="G5:G81" si="1">E5-F5-H5</f>
        <v>25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+'12'!G6</f>
        <v>25</v>
      </c>
      <c r="D6" s="13">
        <v>0</v>
      </c>
      <c r="E6" s="12">
        <f t="shared" si="0"/>
        <v>25</v>
      </c>
      <c r="F6" s="13">
        <v>0</v>
      </c>
      <c r="G6" s="14">
        <f t="shared" si="1"/>
        <v>24</v>
      </c>
      <c r="H6" s="15">
        <v>1</v>
      </c>
      <c r="I6" s="16">
        <v>100</v>
      </c>
      <c r="J6" s="43">
        <f t="shared" ref="J6:J69" si="5">+I6*H6</f>
        <v>100</v>
      </c>
      <c r="K6" s="18" t="s">
        <v>16</v>
      </c>
      <c r="L6" s="19">
        <v>0</v>
      </c>
      <c r="M6" s="24">
        <f t="shared" ref="M6:M69" si="6">SUM(J6-L6)</f>
        <v>100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+'12'!G7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+'12'!G12</f>
        <v>10</v>
      </c>
      <c r="D12" s="13">
        <v>0</v>
      </c>
      <c r="E12" s="12">
        <f t="shared" si="0"/>
        <v>10</v>
      </c>
      <c r="F12" s="13">
        <v>0</v>
      </c>
      <c r="G12" s="14">
        <f t="shared" si="1"/>
        <v>10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+'12'!G14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+'12'!G15</f>
        <v>2</v>
      </c>
      <c r="D15" s="13">
        <v>0</v>
      </c>
      <c r="E15" s="12">
        <f t="shared" si="0"/>
        <v>2</v>
      </c>
      <c r="F15" s="13">
        <v>0</v>
      </c>
      <c r="G15" s="14">
        <f t="shared" si="1"/>
        <v>1</v>
      </c>
      <c r="H15" s="15">
        <v>1</v>
      </c>
      <c r="I15" s="22">
        <v>50</v>
      </c>
      <c r="J15" s="43">
        <f t="shared" si="5"/>
        <v>50</v>
      </c>
      <c r="K15" s="18" t="s">
        <v>277</v>
      </c>
      <c r="L15" s="19">
        <v>50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+'12'!G17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+'12'!G18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+'12'!G19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+'12'!G20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+'12'!G22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+'12'!G23</f>
        <v>16</v>
      </c>
      <c r="D23" s="13">
        <v>0</v>
      </c>
      <c r="E23" s="12">
        <f t="shared" si="0"/>
        <v>16</v>
      </c>
      <c r="F23" s="13">
        <v>0</v>
      </c>
      <c r="G23" s="14">
        <f t="shared" si="1"/>
        <v>15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+'12'!G24</f>
        <v>6</v>
      </c>
      <c r="D24" s="13">
        <v>0</v>
      </c>
      <c r="E24" s="12">
        <f t="shared" si="0"/>
        <v>6</v>
      </c>
      <c r="F24" s="13">
        <v>0</v>
      </c>
      <c r="G24" s="14">
        <f t="shared" si="1"/>
        <v>5</v>
      </c>
      <c r="H24" s="15">
        <v>1</v>
      </c>
      <c r="I24" s="20">
        <v>100</v>
      </c>
      <c r="J24" s="43">
        <f t="shared" si="5"/>
        <v>100</v>
      </c>
      <c r="K24" s="18" t="s">
        <v>16</v>
      </c>
      <c r="L24" s="19">
        <v>0</v>
      </c>
      <c r="M24" s="24">
        <f t="shared" si="6"/>
        <v>100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+'12'!G26</f>
        <v>9</v>
      </c>
      <c r="D26" s="13">
        <v>0</v>
      </c>
      <c r="E26" s="12">
        <f t="shared" si="0"/>
        <v>9</v>
      </c>
      <c r="F26" s="13">
        <v>0</v>
      </c>
      <c r="G26" s="14">
        <f t="shared" si="1"/>
        <v>9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+'12'!G27</f>
        <v>5</v>
      </c>
      <c r="D27" s="13">
        <v>0</v>
      </c>
      <c r="E27" s="12">
        <f t="shared" si="0"/>
        <v>5</v>
      </c>
      <c r="F27" s="13">
        <v>0</v>
      </c>
      <c r="G27" s="14">
        <f t="shared" si="1"/>
        <v>3</v>
      </c>
      <c r="H27" s="15">
        <v>2</v>
      </c>
      <c r="I27" s="22">
        <v>100</v>
      </c>
      <c r="J27" s="43">
        <f t="shared" si="5"/>
        <v>200</v>
      </c>
      <c r="K27" s="18" t="s">
        <v>16</v>
      </c>
      <c r="L27" s="19">
        <v>0</v>
      </c>
      <c r="M27" s="24">
        <f t="shared" si="6"/>
        <v>200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+'12'!G29</f>
        <v>10</v>
      </c>
      <c r="D29" s="13">
        <v>0</v>
      </c>
      <c r="E29" s="12">
        <f t="shared" si="0"/>
        <v>10</v>
      </c>
      <c r="F29" s="13">
        <v>0</v>
      </c>
      <c r="G29" s="14">
        <f t="shared" si="1"/>
        <v>9</v>
      </c>
      <c r="H29" s="15">
        <v>1</v>
      </c>
      <c r="I29" s="16">
        <v>100</v>
      </c>
      <c r="J29" s="43">
        <f t="shared" si="5"/>
        <v>100</v>
      </c>
      <c r="K29" s="18" t="s">
        <v>16</v>
      </c>
      <c r="L29" s="19">
        <v>0</v>
      </c>
      <c r="M29" s="24">
        <f t="shared" si="6"/>
        <v>100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+'12'!G30</f>
        <v>-2</v>
      </c>
      <c r="D30" s="13">
        <v>0</v>
      </c>
      <c r="E30" s="12">
        <f t="shared" si="0"/>
        <v>-2</v>
      </c>
      <c r="F30" s="13">
        <v>0</v>
      </c>
      <c r="G30" s="14">
        <f t="shared" si="1"/>
        <v>-2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+'12'!G31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+'12'!G33</f>
        <v>7</v>
      </c>
      <c r="D33" s="13">
        <v>0</v>
      </c>
      <c r="E33" s="12">
        <f t="shared" si="0"/>
        <v>7</v>
      </c>
      <c r="F33" s="13">
        <v>0</v>
      </c>
      <c r="G33" s="14">
        <f t="shared" si="1"/>
        <v>7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+'12'!G34</f>
        <v>5</v>
      </c>
      <c r="D34" s="13">
        <v>0</v>
      </c>
      <c r="E34" s="12">
        <f t="shared" si="0"/>
        <v>5</v>
      </c>
      <c r="F34" s="13">
        <v>0</v>
      </c>
      <c r="G34" s="14">
        <f t="shared" si="1"/>
        <v>3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+'12'!G35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+'12'!G37</f>
        <v>11</v>
      </c>
      <c r="D37" s="13">
        <v>0</v>
      </c>
      <c r="E37" s="12">
        <f t="shared" si="0"/>
        <v>11</v>
      </c>
      <c r="F37" s="13">
        <v>0</v>
      </c>
      <c r="G37" s="14">
        <f t="shared" si="1"/>
        <v>10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+'12'!G38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7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+'12'!G39</f>
        <v>6</v>
      </c>
      <c r="D39" s="13">
        <v>0</v>
      </c>
      <c r="E39" s="12">
        <f t="shared" si="0"/>
        <v>6</v>
      </c>
      <c r="F39" s="13">
        <v>0</v>
      </c>
      <c r="G39" s="14">
        <f t="shared" si="1"/>
        <v>6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+'12'!G40</f>
        <v>13</v>
      </c>
      <c r="D40" s="13">
        <v>0</v>
      </c>
      <c r="E40" s="12">
        <f t="shared" si="0"/>
        <v>13</v>
      </c>
      <c r="F40" s="13">
        <v>0</v>
      </c>
      <c r="G40" s="14">
        <f t="shared" si="1"/>
        <v>13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+'12'!G43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+'12'!G44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+'12'!G46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+'12'!G47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+'12'!G48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+'12'!G50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1</v>
      </c>
      <c r="H50" s="15">
        <v>1</v>
      </c>
      <c r="I50" s="16">
        <v>120</v>
      </c>
      <c r="J50" s="43">
        <f t="shared" si="5"/>
        <v>120</v>
      </c>
      <c r="K50" s="18" t="s">
        <v>281</v>
      </c>
      <c r="L50" s="19">
        <v>35</v>
      </c>
      <c r="M50" s="24">
        <f t="shared" si="6"/>
        <v>85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+'12'!G51</f>
        <v>2</v>
      </c>
      <c r="D51" s="13">
        <v>0</v>
      </c>
      <c r="E51" s="12">
        <f t="shared" si="0"/>
        <v>2</v>
      </c>
      <c r="F51" s="13">
        <v>0</v>
      </c>
      <c r="G51" s="14">
        <f t="shared" si="1"/>
        <v>1</v>
      </c>
      <c r="H51" s="15">
        <v>1</v>
      </c>
      <c r="I51" s="16">
        <v>120</v>
      </c>
      <c r="J51" s="43">
        <f t="shared" si="5"/>
        <v>120</v>
      </c>
      <c r="K51" s="18" t="s">
        <v>281</v>
      </c>
      <c r="L51" s="19">
        <v>35</v>
      </c>
      <c r="M51" s="24">
        <f t="shared" si="6"/>
        <v>85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+'12'!G52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+'12'!G53</f>
        <v>3</v>
      </c>
      <c r="D53" s="13">
        <v>0</v>
      </c>
      <c r="E53" s="12">
        <f t="shared" si="0"/>
        <v>3</v>
      </c>
      <c r="F53" s="13">
        <v>0</v>
      </c>
      <c r="G53" s="14">
        <f t="shared" si="1"/>
        <v>1</v>
      </c>
      <c r="H53" s="15">
        <v>2</v>
      </c>
      <c r="I53" s="16">
        <v>120</v>
      </c>
      <c r="J53" s="43">
        <f t="shared" si="5"/>
        <v>240</v>
      </c>
      <c r="K53" s="18" t="s">
        <v>281</v>
      </c>
      <c r="L53" s="19">
        <v>70</v>
      </c>
      <c r="M53" s="24">
        <f t="shared" si="6"/>
        <v>170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+'12'!G55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+'12'!G57</f>
        <v>1</v>
      </c>
      <c r="D57" s="13">
        <v>0</v>
      </c>
      <c r="E57" s="12">
        <f t="shared" si="0"/>
        <v>1</v>
      </c>
      <c r="F57" s="13">
        <v>0</v>
      </c>
      <c r="G57" s="14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+'12'!G62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+'12'!G63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+'12'!G66</f>
        <v>1</v>
      </c>
      <c r="D66" s="13">
        <v>0</v>
      </c>
      <c r="E66" s="12">
        <f t="shared" si="0"/>
        <v>1</v>
      </c>
      <c r="F66" s="13">
        <v>0</v>
      </c>
      <c r="G66" s="14">
        <f t="shared" si="1"/>
        <v>1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+'12'!G67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+'12'!G70</f>
        <v>6</v>
      </c>
      <c r="D70" s="13">
        <v>0</v>
      </c>
      <c r="E70" s="12">
        <f t="shared" si="0"/>
        <v>6</v>
      </c>
      <c r="F70" s="13">
        <v>0</v>
      </c>
      <c r="G70" s="14">
        <f t="shared" si="1"/>
        <v>6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+'12'!G71</f>
        <v>7</v>
      </c>
      <c r="D71" s="13">
        <v>0</v>
      </c>
      <c r="E71" s="12">
        <f t="shared" si="0"/>
        <v>7</v>
      </c>
      <c r="F71" s="13">
        <v>0</v>
      </c>
      <c r="G71" s="14">
        <f t="shared" si="1"/>
        <v>6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+'12'!G73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+'12'!G74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+'12'!G77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+'12'!G79</f>
        <v>10</v>
      </c>
      <c r="D79" s="13">
        <v>0</v>
      </c>
      <c r="E79" s="12">
        <f t="shared" si="0"/>
        <v>10</v>
      </c>
      <c r="F79" s="13">
        <v>0</v>
      </c>
      <c r="G79" s="14">
        <f t="shared" si="1"/>
        <v>7</v>
      </c>
      <c r="H79" s="15">
        <v>3</v>
      </c>
      <c r="I79" s="23">
        <v>50</v>
      </c>
      <c r="J79" s="43">
        <f t="shared" si="10"/>
        <v>150</v>
      </c>
      <c r="K79" s="18" t="s">
        <v>16</v>
      </c>
      <c r="L79" s="19">
        <v>0</v>
      </c>
      <c r="M79" s="24">
        <f t="shared" si="11"/>
        <v>150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+'12'!G81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2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+'12'!G82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+'12'!G85</f>
        <v>5</v>
      </c>
      <c r="D85" s="13">
        <v>0</v>
      </c>
      <c r="E85" s="12">
        <f t="shared" si="0"/>
        <v>5</v>
      </c>
      <c r="F85" s="13">
        <v>0</v>
      </c>
      <c r="G85" s="14">
        <f t="shared" si="12"/>
        <v>4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+'12'!G86</f>
        <v>7</v>
      </c>
      <c r="D86" s="13">
        <v>0</v>
      </c>
      <c r="E86" s="12">
        <f t="shared" si="0"/>
        <v>7</v>
      </c>
      <c r="F86" s="13">
        <v>0</v>
      </c>
      <c r="G86" s="14">
        <f t="shared" si="12"/>
        <v>7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+'12'!G87</f>
        <v>3</v>
      </c>
      <c r="D87" s="13">
        <v>0</v>
      </c>
      <c r="E87" s="12">
        <f t="shared" si="0"/>
        <v>3</v>
      </c>
      <c r="F87" s="13">
        <v>0</v>
      </c>
      <c r="G87" s="14">
        <f t="shared" si="12"/>
        <v>3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+'12'!G88</f>
        <v>4</v>
      </c>
      <c r="D88" s="13">
        <v>0</v>
      </c>
      <c r="E88" s="12">
        <f t="shared" si="0"/>
        <v>4</v>
      </c>
      <c r="F88" s="13">
        <v>0</v>
      </c>
      <c r="G88" s="14">
        <f t="shared" si="12"/>
        <v>4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+'12'!G89</f>
        <v>7</v>
      </c>
      <c r="D89" s="13">
        <v>0</v>
      </c>
      <c r="E89" s="12">
        <f t="shared" si="0"/>
        <v>7</v>
      </c>
      <c r="F89" s="13">
        <v>0</v>
      </c>
      <c r="G89" s="14">
        <f t="shared" si="12"/>
        <v>7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+'12'!G92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+'12'!G94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+'12'!G95</f>
        <v>1</v>
      </c>
      <c r="D95" s="13">
        <v>0</v>
      </c>
      <c r="E95" s="12">
        <f t="shared" ref="E95:E158" si="13">C95+D95</f>
        <v>1</v>
      </c>
      <c r="F95" s="13">
        <v>0</v>
      </c>
      <c r="G95" s="14">
        <f t="shared" si="12"/>
        <v>0</v>
      </c>
      <c r="H95" s="15">
        <v>1</v>
      </c>
      <c r="I95" s="22">
        <v>120</v>
      </c>
      <c r="J95" s="43">
        <f t="shared" si="10"/>
        <v>120</v>
      </c>
      <c r="K95" s="18" t="s">
        <v>16</v>
      </c>
      <c r="L95" s="19">
        <v>0</v>
      </c>
      <c r="M95" s="24">
        <f t="shared" si="11"/>
        <v>120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+'12'!G96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+'12'!G97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1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+'12'!G98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+'12'!G101</f>
        <v>10</v>
      </c>
      <c r="D101" s="13">
        <v>0</v>
      </c>
      <c r="E101" s="12">
        <f t="shared" si="13"/>
        <v>10</v>
      </c>
      <c r="F101" s="13">
        <v>0</v>
      </c>
      <c r="G101" s="14">
        <f t="shared" si="12"/>
        <v>10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+'12'!G102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+'12'!G103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+'12'!G104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+'12'!G106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+'12'!G114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+'12'!G150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+'12'!G151</f>
        <v>2</v>
      </c>
      <c r="D151" s="13">
        <v>0</v>
      </c>
      <c r="E151" s="12">
        <f t="shared" si="13"/>
        <v>2</v>
      </c>
      <c r="F151" s="13">
        <v>0</v>
      </c>
      <c r="G151" s="14">
        <f t="shared" si="16"/>
        <v>0</v>
      </c>
      <c r="H151" s="15">
        <v>2</v>
      </c>
      <c r="I151" s="22">
        <v>120</v>
      </c>
      <c r="J151" s="43">
        <f t="shared" si="14"/>
        <v>240</v>
      </c>
      <c r="K151" s="18" t="s">
        <v>16</v>
      </c>
      <c r="L151" s="19">
        <v>0</v>
      </c>
      <c r="M151" s="24">
        <f t="shared" si="15"/>
        <v>240</v>
      </c>
    </row>
    <row r="152" spans="1:13" ht="25.5">
      <c r="A152" s="10">
        <v>148</v>
      </c>
      <c r="B152" s="21" t="s">
        <v>164</v>
      </c>
      <c r="C152" s="12">
        <f>+'12'!G152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+'12'!G153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+'12'!G154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+'12'!G155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+'12'!G156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+'12'!G157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+'12'!G159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+'12'!G160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+'12'!G161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+'12'!G162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+'12'!G163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+'12'!G164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+'12'!G165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+'12'!G166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+'12'!G167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+'12'!G168</f>
        <v>36</v>
      </c>
      <c r="D168" s="13">
        <v>0</v>
      </c>
      <c r="E168" s="12">
        <f t="shared" si="17"/>
        <v>36</v>
      </c>
      <c r="F168" s="13">
        <v>0</v>
      </c>
      <c r="G168" s="14">
        <f t="shared" si="16"/>
        <v>34</v>
      </c>
      <c r="H168" s="15">
        <v>2</v>
      </c>
      <c r="I168" s="22">
        <v>55</v>
      </c>
      <c r="J168" s="43">
        <f t="shared" si="14"/>
        <v>110</v>
      </c>
      <c r="K168" s="18" t="s">
        <v>16</v>
      </c>
      <c r="L168" s="19">
        <v>0</v>
      </c>
      <c r="M168" s="24">
        <f t="shared" si="15"/>
        <v>110</v>
      </c>
    </row>
    <row r="169" spans="1:13" ht="25.5">
      <c r="A169" s="10">
        <v>165</v>
      </c>
      <c r="B169" s="21" t="s">
        <v>181</v>
      </c>
      <c r="C169" s="12">
        <f>+'12'!G169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+'12'!G170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+'12'!G171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+'12'!G172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+'12'!G173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+'12'!G174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+'12'!G175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+'12'!G176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+'12'!G177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+'12'!G178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+'12'!G179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+'12'!G180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+'12'!G181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+'12'!G182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+'12'!G183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+'12'!G184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+'12'!G185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+'12'!G186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+'12'!G187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+'12'!G188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+'12'!G189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+'12'!G190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+'12'!G191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+'12'!G192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+'12'!G193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+'12'!G194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+'12'!G195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+'12'!G196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+'12'!G197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+'12'!G198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+'12'!G199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+'12'!G200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+'12'!G201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+'12'!G202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+'12'!G203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+'12'!G204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+'12'!G205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+'12'!G206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+'12'!G207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+'12'!G209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+'12'!G210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+'12'!G211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+'12'!G212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+'12'!G213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0">
        <v>210</v>
      </c>
      <c r="B214" s="21" t="s">
        <v>279</v>
      </c>
      <c r="C214" s="12">
        <f>+'12'!G214</f>
        <v>5</v>
      </c>
      <c r="D214" s="13">
        <v>0</v>
      </c>
      <c r="E214" s="12">
        <f t="shared" ref="E214:E215" si="21">C214+D214</f>
        <v>5</v>
      </c>
      <c r="F214" s="13">
        <v>0</v>
      </c>
      <c r="G214" s="14">
        <f t="shared" ref="G214:G215" si="22">E214-F214-H214</f>
        <v>5</v>
      </c>
      <c r="H214" s="15">
        <v>0</v>
      </c>
      <c r="I214" s="22">
        <v>50</v>
      </c>
      <c r="J214" s="43">
        <f t="shared" ref="J214:J215" si="23">+I214*H214</f>
        <v>0</v>
      </c>
      <c r="K214" s="18" t="s">
        <v>16</v>
      </c>
      <c r="L214" s="19">
        <v>0</v>
      </c>
      <c r="M214" s="24">
        <f t="shared" ref="M214:M215" si="24">SUM(J214-L214)</f>
        <v>0</v>
      </c>
    </row>
    <row r="215" spans="1:14" ht="25.5">
      <c r="A215" s="10">
        <v>211</v>
      </c>
      <c r="B215" s="21" t="s">
        <v>280</v>
      </c>
      <c r="C215" s="12">
        <f>+'12'!G215</f>
        <v>10</v>
      </c>
      <c r="D215" s="13">
        <v>0</v>
      </c>
      <c r="E215" s="12">
        <f t="shared" si="21"/>
        <v>10</v>
      </c>
      <c r="F215" s="13">
        <v>0</v>
      </c>
      <c r="G215" s="14">
        <f t="shared" si="22"/>
        <v>10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24"/>
        <v>0</v>
      </c>
    </row>
    <row r="216" spans="1:14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36" t="s">
        <v>220</v>
      </c>
      <c r="N216" s="136"/>
    </row>
    <row r="217" spans="1:14" ht="25.5" customHeight="1">
      <c r="A217" s="1"/>
      <c r="C217" s="25"/>
      <c r="D217" s="26"/>
      <c r="E217" s="25"/>
      <c r="F217" s="26"/>
      <c r="G217" s="25"/>
      <c r="H217" s="137" t="s">
        <v>219</v>
      </c>
      <c r="I217" s="138"/>
      <c r="J217" s="31">
        <f>+X107</f>
        <v>0</v>
      </c>
      <c r="K217" s="28"/>
      <c r="L217" s="30"/>
    </row>
    <row r="218" spans="1:14" ht="25.5">
      <c r="A218" s="1"/>
      <c r="C218" s="32"/>
      <c r="E218" s="32"/>
      <c r="G218" s="32"/>
      <c r="H218" s="33"/>
      <c r="I218" s="139" t="s">
        <v>208</v>
      </c>
      <c r="J218" s="139"/>
      <c r="K218" s="34">
        <f>SUM(J5:J217)</f>
        <v>2420</v>
      </c>
    </row>
    <row r="219" spans="1:14" ht="25.5">
      <c r="A219" s="1"/>
      <c r="C219" s="32"/>
      <c r="E219" s="32"/>
      <c r="G219" s="32"/>
      <c r="I219" s="134" t="s">
        <v>209</v>
      </c>
      <c r="J219" s="135"/>
      <c r="K219" s="37">
        <v>15</v>
      </c>
    </row>
    <row r="220" spans="1:14" ht="25.5">
      <c r="A220" s="1"/>
      <c r="C220" s="32"/>
      <c r="E220" s="32"/>
      <c r="G220" s="32"/>
      <c r="I220" s="35" t="s">
        <v>210</v>
      </c>
      <c r="J220" s="36"/>
      <c r="K220" s="37">
        <f>SUM(L220:BO220)</f>
        <v>580</v>
      </c>
      <c r="L220" s="2">
        <v>120</v>
      </c>
      <c r="M220" s="2">
        <v>160</v>
      </c>
      <c r="N220" s="2">
        <v>300</v>
      </c>
    </row>
    <row r="221" spans="1:14" ht="25.5">
      <c r="A221" s="1"/>
      <c r="C221" s="32"/>
      <c r="E221" s="32"/>
      <c r="G221" s="32"/>
      <c r="I221" s="134" t="s">
        <v>211</v>
      </c>
      <c r="J221" s="135"/>
      <c r="K221" s="37">
        <v>0</v>
      </c>
    </row>
    <row r="222" spans="1:14" ht="25.5">
      <c r="A222" s="1"/>
      <c r="C222" s="32"/>
      <c r="E222" s="32"/>
      <c r="G222" s="32"/>
      <c r="I222" s="134" t="s">
        <v>212</v>
      </c>
      <c r="J222" s="135"/>
      <c r="K222" s="37">
        <v>0</v>
      </c>
    </row>
    <row r="223" spans="1:14" ht="25.5">
      <c r="A223" s="1"/>
      <c r="C223" s="32"/>
      <c r="E223" s="32"/>
      <c r="G223" s="32"/>
      <c r="I223" s="134" t="s">
        <v>213</v>
      </c>
      <c r="J223" s="135"/>
      <c r="K223" s="38">
        <f>SUM(L5:L216)</f>
        <v>190</v>
      </c>
    </row>
    <row r="224" spans="1:14" ht="25.5">
      <c r="A224" s="1"/>
      <c r="C224" s="32"/>
      <c r="E224" s="32"/>
      <c r="G224" s="32"/>
      <c r="I224" s="134" t="s">
        <v>214</v>
      </c>
      <c r="J224" s="135"/>
      <c r="K224" s="34">
        <f>K218-K219-K220-K222-K223</f>
        <v>1635</v>
      </c>
    </row>
    <row r="225" spans="1:11" ht="25.5">
      <c r="A225" s="1"/>
      <c r="C225" s="32"/>
      <c r="E225" s="32"/>
      <c r="G225" s="32"/>
      <c r="I225" s="134" t="s">
        <v>215</v>
      </c>
      <c r="J225" s="135"/>
      <c r="K225" s="38">
        <v>1635</v>
      </c>
    </row>
    <row r="226" spans="1:11" ht="25.5">
      <c r="A226" s="1"/>
      <c r="C226" s="32"/>
      <c r="E226" s="32"/>
      <c r="G226" s="32"/>
      <c r="I226" s="134" t="s">
        <v>216</v>
      </c>
      <c r="J226" s="135"/>
      <c r="K226" s="34">
        <f>+K225-K224</f>
        <v>0</v>
      </c>
    </row>
    <row r="227" spans="1:11" ht="25.5">
      <c r="G227" s="2"/>
      <c r="I227" s="134" t="s">
        <v>217</v>
      </c>
      <c r="J227" s="135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270</v>
      </c>
      <c r="K229" s="24">
        <f>+K218-K223+K226</f>
        <v>2230</v>
      </c>
    </row>
    <row r="230" spans="1:11">
      <c r="G230" s="2"/>
      <c r="I230" s="2"/>
      <c r="J230" s="2" t="s">
        <v>271</v>
      </c>
      <c r="K230" s="24">
        <f>SUM(K219:K220)</f>
        <v>595</v>
      </c>
    </row>
    <row r="231" spans="1:11">
      <c r="G231" s="2"/>
      <c r="I231" s="2"/>
      <c r="J231" s="2" t="s">
        <v>272</v>
      </c>
      <c r="K231" s="24">
        <f>+K225</f>
        <v>1635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E02B9-3F82-40B7-B5A1-73B6DDA8FF91}">
  <sheetPr>
    <tabColor theme="5" tint="0.79998168889431442"/>
  </sheetPr>
  <dimension ref="A1:Z302"/>
  <sheetViews>
    <sheetView zoomScale="90" zoomScaleNormal="90" workbookViewId="0">
      <pane ySplit="4" topLeftCell="A23" activePane="bottomLeft" state="frozen"/>
      <selection pane="bottomLeft" activeCell="B214" sqref="B214:B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+'13'!G5</f>
        <v>25</v>
      </c>
      <c r="D5" s="13">
        <v>0</v>
      </c>
      <c r="E5" s="12">
        <f t="shared" ref="E5:E94" si="0">C5+D5</f>
        <v>25</v>
      </c>
      <c r="F5" s="13">
        <v>0</v>
      </c>
      <c r="G5" s="14">
        <f t="shared" ref="G5:G81" si="1">E5-F5-H5</f>
        <v>22</v>
      </c>
      <c r="H5" s="15">
        <v>3</v>
      </c>
      <c r="I5" s="16">
        <v>50</v>
      </c>
      <c r="J5" s="43">
        <f>+I5*H5</f>
        <v>150</v>
      </c>
      <c r="K5" s="18" t="s">
        <v>16</v>
      </c>
      <c r="L5" s="19">
        <v>0</v>
      </c>
      <c r="M5" s="24">
        <f>SUM(J5-L5)</f>
        <v>150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+'13'!G6</f>
        <v>24</v>
      </c>
      <c r="D6" s="13">
        <v>0</v>
      </c>
      <c r="E6" s="12">
        <f t="shared" si="0"/>
        <v>24</v>
      </c>
      <c r="F6" s="13">
        <v>0</v>
      </c>
      <c r="G6" s="14">
        <f t="shared" si="1"/>
        <v>23</v>
      </c>
      <c r="H6" s="15">
        <v>1</v>
      </c>
      <c r="I6" s="16">
        <v>100</v>
      </c>
      <c r="J6" s="43">
        <f t="shared" ref="J6:J69" si="5">+I6*H6</f>
        <v>100</v>
      </c>
      <c r="K6" s="18" t="s">
        <v>16</v>
      </c>
      <c r="L6" s="19">
        <v>0</v>
      </c>
      <c r="M6" s="24">
        <f t="shared" ref="M6:M69" si="6">SUM(J6-L6)</f>
        <v>100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+'13'!G7</f>
        <v>5</v>
      </c>
      <c r="D7" s="13">
        <v>0</v>
      </c>
      <c r="E7" s="12">
        <f t="shared" si="0"/>
        <v>5</v>
      </c>
      <c r="F7" s="13">
        <v>0</v>
      </c>
      <c r="G7" s="86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+'13'!G12</f>
        <v>10</v>
      </c>
      <c r="D12" s="13">
        <v>0</v>
      </c>
      <c r="E12" s="12">
        <f t="shared" si="0"/>
        <v>10</v>
      </c>
      <c r="F12" s="13">
        <v>0</v>
      </c>
      <c r="G12" s="14">
        <f t="shared" si="1"/>
        <v>9</v>
      </c>
      <c r="H12" s="15">
        <v>1</v>
      </c>
      <c r="I12" s="22">
        <v>50</v>
      </c>
      <c r="J12" s="43">
        <f t="shared" si="5"/>
        <v>50</v>
      </c>
      <c r="K12" s="18" t="s">
        <v>16</v>
      </c>
      <c r="L12" s="19">
        <v>0</v>
      </c>
      <c r="M12" s="24">
        <f t="shared" si="6"/>
        <v>50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+'13'!G14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+'13'!G15</f>
        <v>1</v>
      </c>
      <c r="D15" s="13">
        <v>0</v>
      </c>
      <c r="E15" s="12">
        <f t="shared" si="0"/>
        <v>1</v>
      </c>
      <c r="F15" s="13">
        <v>0</v>
      </c>
      <c r="G15" s="14">
        <f t="shared" si="1"/>
        <v>1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+'13'!G17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+'13'!G18</f>
        <v>3</v>
      </c>
      <c r="D18" s="13">
        <v>0</v>
      </c>
      <c r="E18" s="12">
        <f t="shared" si="0"/>
        <v>3</v>
      </c>
      <c r="F18" s="13">
        <v>0</v>
      </c>
      <c r="G18" s="86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+'13'!G19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+'13'!G20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+'13'!G22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5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+'13'!G23</f>
        <v>15</v>
      </c>
      <c r="D23" s="13">
        <v>0</v>
      </c>
      <c r="E23" s="12">
        <f t="shared" si="0"/>
        <v>15</v>
      </c>
      <c r="F23" s="13">
        <v>0</v>
      </c>
      <c r="G23" s="86">
        <f t="shared" si="1"/>
        <v>15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+'13'!G24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+'13'!G26</f>
        <v>9</v>
      </c>
      <c r="D26" s="13">
        <v>0</v>
      </c>
      <c r="E26" s="12">
        <f t="shared" si="0"/>
        <v>9</v>
      </c>
      <c r="F26" s="13">
        <v>0</v>
      </c>
      <c r="G26" s="86">
        <f t="shared" si="1"/>
        <v>9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+'13'!G27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+'13'!G29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+'13'!G30</f>
        <v>-2</v>
      </c>
      <c r="D30" s="13">
        <v>0</v>
      </c>
      <c r="E30" s="12">
        <f t="shared" si="0"/>
        <v>-2</v>
      </c>
      <c r="F30" s="13">
        <v>0</v>
      </c>
      <c r="G30" s="86">
        <f t="shared" si="1"/>
        <v>-2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+'13'!G31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+'13'!G33</f>
        <v>7</v>
      </c>
      <c r="D33" s="13">
        <v>0</v>
      </c>
      <c r="E33" s="12">
        <f t="shared" si="0"/>
        <v>7</v>
      </c>
      <c r="F33" s="13">
        <v>0</v>
      </c>
      <c r="G33" s="86">
        <f t="shared" si="1"/>
        <v>6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+'13'!G34</f>
        <v>3</v>
      </c>
      <c r="D34" s="13">
        <v>0</v>
      </c>
      <c r="E34" s="12">
        <f t="shared" si="0"/>
        <v>3</v>
      </c>
      <c r="F34" s="13">
        <v>0</v>
      </c>
      <c r="G34" s="86">
        <f t="shared" si="1"/>
        <v>1</v>
      </c>
      <c r="H34" s="15">
        <v>2</v>
      </c>
      <c r="I34" s="16">
        <v>130</v>
      </c>
      <c r="J34" s="43">
        <f t="shared" si="5"/>
        <v>260</v>
      </c>
      <c r="K34" s="18" t="s">
        <v>16</v>
      </c>
      <c r="L34" s="19">
        <v>0</v>
      </c>
      <c r="M34" s="24">
        <f t="shared" si="6"/>
        <v>260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+'13'!G35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86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+'13'!G37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10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+'13'!G38</f>
        <v>7</v>
      </c>
      <c r="D38" s="13">
        <v>0</v>
      </c>
      <c r="E38" s="12">
        <f t="shared" si="0"/>
        <v>7</v>
      </c>
      <c r="F38" s="13">
        <v>0</v>
      </c>
      <c r="G38" s="14">
        <f t="shared" si="1"/>
        <v>5</v>
      </c>
      <c r="H38" s="15">
        <v>2</v>
      </c>
      <c r="I38" s="16">
        <v>50</v>
      </c>
      <c r="J38" s="43">
        <f t="shared" si="5"/>
        <v>100</v>
      </c>
      <c r="K38" s="18" t="s">
        <v>282</v>
      </c>
      <c r="L38" s="19">
        <v>25</v>
      </c>
      <c r="M38" s="24">
        <f t="shared" si="6"/>
        <v>75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+'13'!G39</f>
        <v>6</v>
      </c>
      <c r="D39" s="13">
        <v>0</v>
      </c>
      <c r="E39" s="12">
        <f t="shared" si="0"/>
        <v>6</v>
      </c>
      <c r="F39" s="13">
        <v>0</v>
      </c>
      <c r="G39" s="86">
        <f t="shared" si="1"/>
        <v>5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+'13'!G40</f>
        <v>13</v>
      </c>
      <c r="D40" s="13">
        <v>0</v>
      </c>
      <c r="E40" s="12">
        <f t="shared" si="0"/>
        <v>13</v>
      </c>
      <c r="F40" s="13">
        <v>0</v>
      </c>
      <c r="G40" s="14">
        <f t="shared" si="1"/>
        <v>11</v>
      </c>
      <c r="H40" s="15">
        <v>2</v>
      </c>
      <c r="I40" s="16">
        <v>50</v>
      </c>
      <c r="J40" s="43">
        <f t="shared" si="5"/>
        <v>100</v>
      </c>
      <c r="K40" s="18" t="s">
        <v>282</v>
      </c>
      <c r="L40" s="19">
        <v>25</v>
      </c>
      <c r="M40" s="24">
        <f t="shared" si="6"/>
        <v>75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+'13'!G43</f>
        <v>3</v>
      </c>
      <c r="D43" s="13">
        <v>0</v>
      </c>
      <c r="E43" s="12">
        <f t="shared" si="0"/>
        <v>3</v>
      </c>
      <c r="F43" s="13">
        <v>0</v>
      </c>
      <c r="G43" s="14">
        <f>E43-F43-H43</f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+'13'!G44</f>
        <v>2</v>
      </c>
      <c r="D44" s="13">
        <v>0</v>
      </c>
      <c r="E44" s="12">
        <f t="shared" si="0"/>
        <v>2</v>
      </c>
      <c r="F44" s="13">
        <v>0</v>
      </c>
      <c r="G44" s="86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+'13'!G46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+'13'!G47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+'13'!G48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+'13'!G50</f>
        <v>1</v>
      </c>
      <c r="D50" s="13">
        <v>0</v>
      </c>
      <c r="E50" s="12">
        <f t="shared" si="0"/>
        <v>1</v>
      </c>
      <c r="F50" s="13">
        <v>0</v>
      </c>
      <c r="G50" s="86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+'13'!G51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+'13'!G52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+'13'!G53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+'13'!G55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+'13'!G57</f>
        <v>1</v>
      </c>
      <c r="D57" s="13">
        <v>0</v>
      </c>
      <c r="E57" s="12">
        <f t="shared" si="0"/>
        <v>1</v>
      </c>
      <c r="F57" s="13">
        <v>0</v>
      </c>
      <c r="G57" s="86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+'13'!G62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2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+'13'!G63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+'13'!G66</f>
        <v>1</v>
      </c>
      <c r="D66" s="13">
        <v>0</v>
      </c>
      <c r="E66" s="12">
        <f t="shared" si="0"/>
        <v>1</v>
      </c>
      <c r="F66" s="13">
        <v>0</v>
      </c>
      <c r="G66" s="14">
        <f t="shared" si="1"/>
        <v>0</v>
      </c>
      <c r="H66" s="15">
        <v>1</v>
      </c>
      <c r="I66" s="16">
        <v>50</v>
      </c>
      <c r="J66" s="43">
        <f t="shared" si="5"/>
        <v>50</v>
      </c>
      <c r="K66" s="18" t="s">
        <v>16</v>
      </c>
      <c r="L66" s="19">
        <v>0</v>
      </c>
      <c r="M66" s="24">
        <f t="shared" si="6"/>
        <v>50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+'13'!G67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+'13'!G70</f>
        <v>6</v>
      </c>
      <c r="D70" s="13">
        <v>0</v>
      </c>
      <c r="E70" s="12">
        <f t="shared" si="0"/>
        <v>6</v>
      </c>
      <c r="F70" s="13">
        <v>0</v>
      </c>
      <c r="G70" s="14">
        <f t="shared" si="1"/>
        <v>6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+'13'!G71</f>
        <v>6</v>
      </c>
      <c r="D71" s="13">
        <v>0</v>
      </c>
      <c r="E71" s="12">
        <f t="shared" si="0"/>
        <v>6</v>
      </c>
      <c r="F71" s="13">
        <v>0</v>
      </c>
      <c r="G71" s="14">
        <f t="shared" si="1"/>
        <v>6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+'13'!G73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+'13'!G74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+'13'!G77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+'13'!G79</f>
        <v>7</v>
      </c>
      <c r="D79" s="13">
        <v>0</v>
      </c>
      <c r="E79" s="12">
        <f t="shared" si="0"/>
        <v>7</v>
      </c>
      <c r="F79" s="13">
        <v>0</v>
      </c>
      <c r="G79" s="14">
        <f t="shared" si="1"/>
        <v>6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+'13'!G81</f>
        <v>2</v>
      </c>
      <c r="D81" s="13">
        <v>0</v>
      </c>
      <c r="E81" s="12">
        <f t="shared" si="0"/>
        <v>2</v>
      </c>
      <c r="F81" s="13">
        <v>0</v>
      </c>
      <c r="G81" s="14">
        <f t="shared" si="1"/>
        <v>1</v>
      </c>
      <c r="H81" s="15">
        <v>1</v>
      </c>
      <c r="I81" s="22">
        <v>55</v>
      </c>
      <c r="J81" s="43">
        <f t="shared" si="10"/>
        <v>55</v>
      </c>
      <c r="K81" s="18" t="s">
        <v>16</v>
      </c>
      <c r="L81" s="19">
        <v>0</v>
      </c>
      <c r="M81" s="24">
        <f t="shared" si="11"/>
        <v>55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+'13'!G82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+'13'!G85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4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+'13'!G86</f>
        <v>7</v>
      </c>
      <c r="D86" s="13">
        <v>0</v>
      </c>
      <c r="E86" s="12">
        <f t="shared" si="0"/>
        <v>7</v>
      </c>
      <c r="F86" s="13">
        <v>0</v>
      </c>
      <c r="G86" s="14">
        <f t="shared" si="12"/>
        <v>7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+'13'!G87</f>
        <v>3</v>
      </c>
      <c r="D87" s="13">
        <v>0</v>
      </c>
      <c r="E87" s="12">
        <f t="shared" si="0"/>
        <v>3</v>
      </c>
      <c r="F87" s="13">
        <v>0</v>
      </c>
      <c r="G87" s="14">
        <f t="shared" si="12"/>
        <v>3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+'13'!G88</f>
        <v>4</v>
      </c>
      <c r="D88" s="13">
        <v>0</v>
      </c>
      <c r="E88" s="12">
        <f t="shared" si="0"/>
        <v>4</v>
      </c>
      <c r="F88" s="13">
        <v>0</v>
      </c>
      <c r="G88" s="14">
        <f t="shared" si="12"/>
        <v>4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+'13'!G89</f>
        <v>7</v>
      </c>
      <c r="D89" s="13">
        <v>0</v>
      </c>
      <c r="E89" s="12">
        <f t="shared" si="0"/>
        <v>7</v>
      </c>
      <c r="F89" s="13">
        <v>0</v>
      </c>
      <c r="G89" s="14">
        <f t="shared" si="12"/>
        <v>6</v>
      </c>
      <c r="H89" s="15">
        <v>1</v>
      </c>
      <c r="I89" s="22">
        <v>55</v>
      </c>
      <c r="J89" s="43">
        <f t="shared" si="10"/>
        <v>55</v>
      </c>
      <c r="K89" s="18" t="s">
        <v>16</v>
      </c>
      <c r="L89" s="19">
        <v>0</v>
      </c>
      <c r="M89" s="24">
        <f t="shared" si="11"/>
        <v>55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+'13'!G92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+'13'!G94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+'13'!G95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+'13'!G96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+'13'!G97</f>
        <v>1</v>
      </c>
      <c r="D97" s="13">
        <v>0</v>
      </c>
      <c r="E97" s="12">
        <f t="shared" si="13"/>
        <v>1</v>
      </c>
      <c r="F97" s="13">
        <v>0</v>
      </c>
      <c r="G97" s="14">
        <f t="shared" si="12"/>
        <v>0</v>
      </c>
      <c r="H97" s="15">
        <v>1</v>
      </c>
      <c r="I97" s="22">
        <v>120</v>
      </c>
      <c r="J97" s="43">
        <f t="shared" si="10"/>
        <v>120</v>
      </c>
      <c r="K97" s="18" t="s">
        <v>16</v>
      </c>
      <c r="L97" s="19">
        <v>0</v>
      </c>
      <c r="M97" s="24">
        <f t="shared" si="11"/>
        <v>120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+'13'!G98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+'13'!G101</f>
        <v>10</v>
      </c>
      <c r="D101" s="13">
        <v>0</v>
      </c>
      <c r="E101" s="12">
        <f t="shared" si="13"/>
        <v>10</v>
      </c>
      <c r="F101" s="13">
        <v>0</v>
      </c>
      <c r="G101" s="14">
        <f t="shared" si="12"/>
        <v>9</v>
      </c>
      <c r="H101" s="15">
        <v>1</v>
      </c>
      <c r="I101" s="22">
        <v>55</v>
      </c>
      <c r="J101" s="43">
        <f t="shared" si="10"/>
        <v>55</v>
      </c>
      <c r="K101" s="18" t="s">
        <v>16</v>
      </c>
      <c r="L101" s="19">
        <v>0</v>
      </c>
      <c r="M101" s="24">
        <f t="shared" si="11"/>
        <v>55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+'13'!G102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+'13'!G103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+'13'!G104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+'13'!G106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+'13'!G114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+'13'!G150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+'13'!G151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+'13'!G152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+'13'!G153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+'13'!G154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+'13'!G155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+'13'!G156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+'13'!G157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+'13'!G159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+'13'!G160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+'13'!G161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+'13'!G162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+'13'!G163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+'13'!G164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+'13'!G165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+'13'!G166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+'13'!G167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+'13'!G168</f>
        <v>34</v>
      </c>
      <c r="D168" s="13">
        <v>0</v>
      </c>
      <c r="E168" s="12">
        <f t="shared" si="17"/>
        <v>34</v>
      </c>
      <c r="F168" s="13">
        <v>0</v>
      </c>
      <c r="G168" s="14">
        <f t="shared" si="16"/>
        <v>34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+'13'!G169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+'13'!G170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+'13'!G171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+'13'!G172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+'13'!G173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+'13'!G174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+'13'!G175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+'13'!G176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+'13'!G177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+'13'!G178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+'13'!G179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+'13'!G180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+'13'!G181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+'13'!G182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+'13'!G183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+'13'!G184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+'13'!G185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+'13'!G186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+'13'!G187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+'13'!G188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+'13'!G189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+'13'!G190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+'13'!G191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+'13'!G192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+'13'!G193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+'13'!G194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+'13'!G195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+'13'!G196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+'13'!G197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+'13'!G198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251</v>
      </c>
      <c r="C199" s="12">
        <f>+'13'!G199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+'13'!G200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+'13'!G201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+'13'!G202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+'13'!G203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+'13'!G204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+'13'!G205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+'13'!G206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+'13'!G207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5" ht="25.5">
      <c r="A209" s="10">
        <v>205</v>
      </c>
      <c r="B209" s="21" t="s">
        <v>261</v>
      </c>
      <c r="C209" s="12">
        <f>+'13'!G209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5" ht="25.5">
      <c r="A210" s="10">
        <v>206</v>
      </c>
      <c r="B210" s="21" t="s">
        <v>262</v>
      </c>
      <c r="C210" s="12">
        <f>+'13'!G210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5" ht="25.5">
      <c r="A211" s="10">
        <v>207</v>
      </c>
      <c r="B211" s="21" t="s">
        <v>263</v>
      </c>
      <c r="C211" s="12">
        <f>+'13'!G211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5" ht="25.5">
      <c r="A212" s="10">
        <v>208</v>
      </c>
      <c r="B212" s="11" t="s">
        <v>264</v>
      </c>
      <c r="C212" s="12">
        <f>+'13'!G212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5" ht="25.5">
      <c r="A213" s="10">
        <v>209</v>
      </c>
      <c r="B213" s="21" t="s">
        <v>265</v>
      </c>
      <c r="C213" s="12">
        <f>+'13'!G213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5" ht="25.5">
      <c r="A214" s="10">
        <v>210</v>
      </c>
      <c r="B214" s="21" t="s">
        <v>279</v>
      </c>
      <c r="C214" s="12">
        <f>+'13'!G214</f>
        <v>5</v>
      </c>
      <c r="D214" s="13">
        <v>5</v>
      </c>
      <c r="E214" s="12">
        <f t="shared" ref="E214:E215" si="21">C214+D214</f>
        <v>10</v>
      </c>
      <c r="F214" s="13">
        <v>0</v>
      </c>
      <c r="G214" s="14">
        <f t="shared" ref="G214:G215" si="22">E214-F214-H214</f>
        <v>10</v>
      </c>
      <c r="H214" s="15">
        <v>0</v>
      </c>
      <c r="I214" s="22">
        <v>50</v>
      </c>
      <c r="J214" s="43">
        <f t="shared" ref="J214:J215" si="23">+I214*H214</f>
        <v>0</v>
      </c>
      <c r="K214" s="18" t="s">
        <v>16</v>
      </c>
      <c r="L214" s="19">
        <v>0</v>
      </c>
      <c r="M214" s="24">
        <f t="shared" si="19"/>
        <v>0</v>
      </c>
    </row>
    <row r="215" spans="1:15" ht="25.5">
      <c r="A215" s="10">
        <v>211</v>
      </c>
      <c r="B215" s="21" t="s">
        <v>280</v>
      </c>
      <c r="C215" s="12">
        <f>+'13'!G215</f>
        <v>10</v>
      </c>
      <c r="D215" s="13">
        <v>0</v>
      </c>
      <c r="E215" s="12">
        <f t="shared" si="21"/>
        <v>10</v>
      </c>
      <c r="F215" s="13">
        <v>0</v>
      </c>
      <c r="G215" s="14">
        <f t="shared" si="22"/>
        <v>10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19"/>
        <v>0</v>
      </c>
    </row>
    <row r="216" spans="1:15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36" t="s">
        <v>220</v>
      </c>
      <c r="N216" s="136"/>
    </row>
    <row r="217" spans="1:15" ht="25.5" customHeight="1">
      <c r="A217" s="1"/>
      <c r="C217" s="25"/>
      <c r="D217" s="26"/>
      <c r="E217" s="25"/>
      <c r="F217" s="26"/>
      <c r="G217" s="25"/>
      <c r="H217" s="137" t="s">
        <v>219</v>
      </c>
      <c r="I217" s="138"/>
      <c r="J217" s="31">
        <f>+X107</f>
        <v>0</v>
      </c>
      <c r="K217" s="28"/>
      <c r="L217" s="30"/>
    </row>
    <row r="218" spans="1:15" ht="25.5">
      <c r="A218" s="1"/>
      <c r="C218" s="32"/>
      <c r="E218" s="32"/>
      <c r="G218" s="32"/>
      <c r="H218" s="33"/>
      <c r="I218" s="139" t="s">
        <v>208</v>
      </c>
      <c r="J218" s="139"/>
      <c r="K218" s="34">
        <f>SUM(J5:J217)</f>
        <v>1325</v>
      </c>
    </row>
    <row r="219" spans="1:15" ht="25.5">
      <c r="A219" s="1"/>
      <c r="C219" s="32"/>
      <c r="E219" s="32"/>
      <c r="G219" s="32"/>
      <c r="I219" s="134" t="s">
        <v>209</v>
      </c>
      <c r="J219" s="135"/>
      <c r="K219" s="37">
        <v>15</v>
      </c>
    </row>
    <row r="220" spans="1:15" ht="25.5">
      <c r="A220" s="1"/>
      <c r="C220" s="32"/>
      <c r="E220" s="32"/>
      <c r="G220" s="32"/>
      <c r="I220" s="35" t="s">
        <v>210</v>
      </c>
      <c r="J220" s="36"/>
      <c r="K220" s="37">
        <f>SUM(L220:BO220)</f>
        <v>460</v>
      </c>
      <c r="L220" s="2">
        <v>130</v>
      </c>
      <c r="M220" s="2">
        <v>50</v>
      </c>
      <c r="N220" s="2">
        <v>180</v>
      </c>
      <c r="O220" s="2">
        <v>100</v>
      </c>
    </row>
    <row r="221" spans="1:15" ht="25.5">
      <c r="A221" s="1"/>
      <c r="C221" s="32"/>
      <c r="E221" s="32"/>
      <c r="G221" s="32"/>
      <c r="I221" s="134" t="s">
        <v>211</v>
      </c>
      <c r="J221" s="135"/>
      <c r="K221" s="37">
        <v>0</v>
      </c>
    </row>
    <row r="222" spans="1:15" ht="25.5">
      <c r="A222" s="1"/>
      <c r="C222" s="32"/>
      <c r="E222" s="32"/>
      <c r="G222" s="32"/>
      <c r="I222" s="134" t="s">
        <v>212</v>
      </c>
      <c r="J222" s="135"/>
      <c r="K222" s="37">
        <v>0</v>
      </c>
    </row>
    <row r="223" spans="1:15" ht="25.5">
      <c r="A223" s="1"/>
      <c r="C223" s="32"/>
      <c r="E223" s="32"/>
      <c r="G223" s="32"/>
      <c r="I223" s="134" t="s">
        <v>213</v>
      </c>
      <c r="J223" s="135"/>
      <c r="K223" s="38">
        <f>SUM(L5:L216)</f>
        <v>50</v>
      </c>
    </row>
    <row r="224" spans="1:15" ht="25.5">
      <c r="A224" s="1"/>
      <c r="C224" s="32"/>
      <c r="E224" s="32"/>
      <c r="G224" s="32"/>
      <c r="I224" s="134" t="s">
        <v>214</v>
      </c>
      <c r="J224" s="135"/>
      <c r="K224" s="34">
        <f>K218-K219-K220-K222-K223</f>
        <v>800</v>
      </c>
    </row>
    <row r="225" spans="1:11" ht="25.5">
      <c r="A225" s="1"/>
      <c r="C225" s="32"/>
      <c r="E225" s="32"/>
      <c r="G225" s="32"/>
      <c r="I225" s="134" t="s">
        <v>215</v>
      </c>
      <c r="J225" s="135"/>
      <c r="K225" s="38">
        <v>800</v>
      </c>
    </row>
    <row r="226" spans="1:11" ht="25.5">
      <c r="A226" s="1"/>
      <c r="C226" s="32"/>
      <c r="E226" s="32"/>
      <c r="G226" s="32"/>
      <c r="I226" s="134" t="s">
        <v>216</v>
      </c>
      <c r="J226" s="135"/>
      <c r="K226" s="34">
        <f>+K225-K224</f>
        <v>0</v>
      </c>
    </row>
    <row r="227" spans="1:11" ht="25.5">
      <c r="G227" s="2"/>
      <c r="I227" s="134" t="s">
        <v>217</v>
      </c>
      <c r="J227" s="135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270</v>
      </c>
      <c r="K229" s="24">
        <f>+K218-K223+K226</f>
        <v>1275</v>
      </c>
    </row>
    <row r="230" spans="1:11">
      <c r="G230" s="2"/>
      <c r="I230" s="2"/>
      <c r="J230" s="2" t="s">
        <v>271</v>
      </c>
      <c r="K230" s="24">
        <f>SUM(K219:K220)</f>
        <v>475</v>
      </c>
    </row>
    <row r="231" spans="1:11">
      <c r="G231" s="2"/>
      <c r="I231" s="2"/>
      <c r="J231" s="2" t="s">
        <v>272</v>
      </c>
      <c r="K231" s="24">
        <f>+K225</f>
        <v>800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DB378-1DA3-4C80-B437-D4B4D592AD8E}">
  <sheetPr>
    <tabColor theme="5" tint="0.79998168889431442"/>
  </sheetPr>
  <dimension ref="A1:Z302"/>
  <sheetViews>
    <sheetView topLeftCell="A4" zoomScale="90" zoomScaleNormal="90" workbookViewId="0">
      <pane ySplit="1" topLeftCell="A200" activePane="bottomLeft" state="frozen"/>
      <selection activeCell="A4" sqref="A4"/>
      <selection pane="bottomLeft" activeCell="A214" sqref="A214:M215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+'14'!G5</f>
        <v>22</v>
      </c>
      <c r="D5" s="13">
        <v>0</v>
      </c>
      <c r="E5" s="12">
        <f t="shared" ref="E5:E94" si="0">C5+D5</f>
        <v>22</v>
      </c>
      <c r="F5" s="13">
        <v>0</v>
      </c>
      <c r="G5" s="14">
        <f t="shared" ref="G5:G81" si="1">E5-F5-H5</f>
        <v>21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+'14'!G6</f>
        <v>23</v>
      </c>
      <c r="D6" s="13">
        <v>0</v>
      </c>
      <c r="E6" s="12">
        <f t="shared" si="0"/>
        <v>23</v>
      </c>
      <c r="F6" s="13">
        <v>0</v>
      </c>
      <c r="G6" s="14">
        <f t="shared" si="1"/>
        <v>20</v>
      </c>
      <c r="H6" s="15">
        <v>3</v>
      </c>
      <c r="I6" s="16">
        <v>100</v>
      </c>
      <c r="J6" s="43">
        <f t="shared" ref="J6:J69" si="5">+I6*H6</f>
        <v>300</v>
      </c>
      <c r="K6" s="18" t="s">
        <v>16</v>
      </c>
      <c r="L6" s="19">
        <v>0</v>
      </c>
      <c r="M6" s="24">
        <f t="shared" ref="M6:M69" si="6">SUM(J6-L6)</f>
        <v>300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+'14'!G7</f>
        <v>5</v>
      </c>
      <c r="D7" s="13">
        <v>0</v>
      </c>
      <c r="E7" s="12">
        <f t="shared" si="0"/>
        <v>5</v>
      </c>
      <c r="F7" s="13">
        <v>0</v>
      </c>
      <c r="G7" s="86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+'14'!G12</f>
        <v>9</v>
      </c>
      <c r="D12" s="13">
        <v>0</v>
      </c>
      <c r="E12" s="12">
        <f t="shared" si="0"/>
        <v>9</v>
      </c>
      <c r="F12" s="13">
        <v>0</v>
      </c>
      <c r="G12" s="14">
        <f t="shared" si="1"/>
        <v>8</v>
      </c>
      <c r="H12" s="15">
        <v>1</v>
      </c>
      <c r="I12" s="22">
        <v>50</v>
      </c>
      <c r="J12" s="43">
        <f t="shared" si="5"/>
        <v>50</v>
      </c>
      <c r="K12" s="18" t="s">
        <v>16</v>
      </c>
      <c r="L12" s="19">
        <v>0</v>
      </c>
      <c r="M12" s="24">
        <f t="shared" si="6"/>
        <v>50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+'14'!G15</f>
        <v>1</v>
      </c>
      <c r="D15" s="13">
        <v>0</v>
      </c>
      <c r="E15" s="12">
        <f t="shared" si="0"/>
        <v>1</v>
      </c>
      <c r="F15" s="13">
        <v>0</v>
      </c>
      <c r="G15" s="14">
        <f t="shared" si="1"/>
        <v>1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+'14'!G17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+'14'!G18</f>
        <v>3</v>
      </c>
      <c r="D18" s="13">
        <v>0</v>
      </c>
      <c r="E18" s="12">
        <f t="shared" si="0"/>
        <v>3</v>
      </c>
      <c r="F18" s="13">
        <v>0</v>
      </c>
      <c r="G18" s="86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+'14'!G19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+'14'!G20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+'14'!G22</f>
        <v>5</v>
      </c>
      <c r="D22" s="13">
        <v>0</v>
      </c>
      <c r="E22" s="12">
        <f t="shared" si="0"/>
        <v>5</v>
      </c>
      <c r="F22" s="13">
        <v>0</v>
      </c>
      <c r="G22" s="14">
        <f t="shared" si="1"/>
        <v>0</v>
      </c>
      <c r="H22" s="15">
        <v>5</v>
      </c>
      <c r="I22" s="16">
        <v>85</v>
      </c>
      <c r="J22" s="43">
        <f t="shared" si="5"/>
        <v>425</v>
      </c>
      <c r="K22" s="18" t="s">
        <v>16</v>
      </c>
      <c r="L22" s="19">
        <v>0</v>
      </c>
      <c r="M22" s="24">
        <f t="shared" si="6"/>
        <v>425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+'14'!G23</f>
        <v>15</v>
      </c>
      <c r="D23" s="13">
        <v>0</v>
      </c>
      <c r="E23" s="12">
        <f t="shared" si="0"/>
        <v>15</v>
      </c>
      <c r="F23" s="13">
        <v>0</v>
      </c>
      <c r="G23" s="86">
        <f t="shared" si="1"/>
        <v>13</v>
      </c>
      <c r="H23" s="15">
        <v>2</v>
      </c>
      <c r="I23" s="16">
        <v>100</v>
      </c>
      <c r="J23" s="43">
        <f t="shared" si="5"/>
        <v>200</v>
      </c>
      <c r="K23" s="18" t="s">
        <v>16</v>
      </c>
      <c r="L23" s="19">
        <v>0</v>
      </c>
      <c r="M23" s="24">
        <f t="shared" si="6"/>
        <v>200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+'14'!G24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+'14'!G27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3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+'14'!G29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+'14'!G31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6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+'14'!G33</f>
        <v>6</v>
      </c>
      <c r="D33" s="13">
        <v>0</v>
      </c>
      <c r="E33" s="12">
        <f t="shared" si="0"/>
        <v>6</v>
      </c>
      <c r="F33" s="13">
        <v>0</v>
      </c>
      <c r="G33" s="86">
        <f t="shared" si="1"/>
        <v>5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+'14'!G34</f>
        <v>1</v>
      </c>
      <c r="D34" s="13">
        <v>0</v>
      </c>
      <c r="E34" s="12">
        <f t="shared" si="0"/>
        <v>1</v>
      </c>
      <c r="F34" s="13">
        <v>0</v>
      </c>
      <c r="G34" s="86">
        <f t="shared" si="1"/>
        <v>0</v>
      </c>
      <c r="H34" s="15">
        <v>1</v>
      </c>
      <c r="I34" s="16">
        <v>130</v>
      </c>
      <c r="J34" s="43">
        <f t="shared" si="5"/>
        <v>130</v>
      </c>
      <c r="K34" s="18" t="s">
        <v>16</v>
      </c>
      <c r="L34" s="19">
        <v>0</v>
      </c>
      <c r="M34" s="24">
        <f t="shared" si="6"/>
        <v>130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+'14'!G35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86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+'14'!G37</f>
        <v>10</v>
      </c>
      <c r="D37" s="13">
        <v>0</v>
      </c>
      <c r="E37" s="12">
        <f t="shared" si="0"/>
        <v>10</v>
      </c>
      <c r="F37" s="13">
        <v>0</v>
      </c>
      <c r="G37" s="14">
        <f t="shared" si="1"/>
        <v>9</v>
      </c>
      <c r="H37" s="15">
        <v>1</v>
      </c>
      <c r="I37" s="16">
        <v>100</v>
      </c>
      <c r="J37" s="43">
        <f t="shared" si="5"/>
        <v>100</v>
      </c>
      <c r="K37" s="18" t="s">
        <v>16</v>
      </c>
      <c r="L37" s="19">
        <v>0</v>
      </c>
      <c r="M37" s="24">
        <f t="shared" si="6"/>
        <v>100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+'14'!G38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+'14'!G39</f>
        <v>5</v>
      </c>
      <c r="D39" s="13">
        <v>0</v>
      </c>
      <c r="E39" s="12">
        <f t="shared" si="0"/>
        <v>5</v>
      </c>
      <c r="F39" s="13">
        <v>0</v>
      </c>
      <c r="G39" s="14">
        <f t="shared" si="1"/>
        <v>4</v>
      </c>
      <c r="H39" s="15">
        <v>1</v>
      </c>
      <c r="I39" s="16">
        <v>50</v>
      </c>
      <c r="J39" s="43">
        <f t="shared" si="5"/>
        <v>50</v>
      </c>
      <c r="K39" s="18" t="s">
        <v>16</v>
      </c>
      <c r="L39" s="19">
        <v>0</v>
      </c>
      <c r="M39" s="24">
        <f t="shared" si="6"/>
        <v>50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+'14'!G40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+'14'!G43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+'14'!G44</f>
        <v>2</v>
      </c>
      <c r="D44" s="13">
        <v>0</v>
      </c>
      <c r="E44" s="12">
        <f t="shared" si="0"/>
        <v>2</v>
      </c>
      <c r="F44" s="13">
        <v>0</v>
      </c>
      <c r="G44" s="86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+'14'!G46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+'14'!G47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+'14'!G48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+'14'!G50</f>
        <v>1</v>
      </c>
      <c r="D50" s="13">
        <v>0</v>
      </c>
      <c r="E50" s="12">
        <f t="shared" si="0"/>
        <v>1</v>
      </c>
      <c r="F50" s="13">
        <v>0</v>
      </c>
      <c r="G50" s="86">
        <f t="shared" si="1"/>
        <v>1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+'14'!G51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+'14'!G52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+'14'!G53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+'14'!G55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+'14'!G57</f>
        <v>1</v>
      </c>
      <c r="D57" s="13">
        <v>0</v>
      </c>
      <c r="E57" s="12">
        <f t="shared" si="0"/>
        <v>1</v>
      </c>
      <c r="F57" s="13">
        <v>0</v>
      </c>
      <c r="G57" s="86">
        <f t="shared" si="1"/>
        <v>1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+'14'!G62</f>
        <v>2</v>
      </c>
      <c r="D62" s="13">
        <v>0</v>
      </c>
      <c r="E62" s="12">
        <f t="shared" si="0"/>
        <v>2</v>
      </c>
      <c r="F62" s="13">
        <v>0</v>
      </c>
      <c r="G62" s="14">
        <f t="shared" si="1"/>
        <v>1</v>
      </c>
      <c r="H62" s="15">
        <v>1</v>
      </c>
      <c r="I62" s="22">
        <v>50</v>
      </c>
      <c r="J62" s="43">
        <f t="shared" si="5"/>
        <v>50</v>
      </c>
      <c r="K62" s="18" t="s">
        <v>16</v>
      </c>
      <c r="L62" s="19">
        <v>0</v>
      </c>
      <c r="M62" s="24">
        <f t="shared" si="6"/>
        <v>50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+'14'!G63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+'14'!G66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+'14'!G67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4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+'14'!G70</f>
        <v>6</v>
      </c>
      <c r="D70" s="13">
        <v>0</v>
      </c>
      <c r="E70" s="12">
        <f t="shared" si="0"/>
        <v>6</v>
      </c>
      <c r="F70" s="13">
        <v>0</v>
      </c>
      <c r="G70" s="14">
        <f t="shared" si="1"/>
        <v>6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+'14'!G71</f>
        <v>6</v>
      </c>
      <c r="D71" s="13">
        <v>0</v>
      </c>
      <c r="E71" s="12">
        <f t="shared" si="0"/>
        <v>6</v>
      </c>
      <c r="F71" s="13">
        <v>0</v>
      </c>
      <c r="G71" s="14">
        <f t="shared" si="1"/>
        <v>5</v>
      </c>
      <c r="H71" s="15">
        <v>1</v>
      </c>
      <c r="I71" s="22">
        <v>60</v>
      </c>
      <c r="J71" s="43">
        <f t="shared" si="10"/>
        <v>60</v>
      </c>
      <c r="K71" s="18" t="s">
        <v>16</v>
      </c>
      <c r="L71" s="19">
        <v>0</v>
      </c>
      <c r="M71" s="24">
        <f t="shared" si="11"/>
        <v>60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+'14'!G73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+'14'!G74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+'14'!G77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+'14'!G79</f>
        <v>6</v>
      </c>
      <c r="D79" s="13">
        <v>0</v>
      </c>
      <c r="E79" s="12">
        <f t="shared" si="0"/>
        <v>6</v>
      </c>
      <c r="F79" s="13">
        <v>0</v>
      </c>
      <c r="G79" s="14">
        <f t="shared" si="1"/>
        <v>5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 t="shared" si="11"/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+'14'!G81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+'14'!G82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+'14'!G85</f>
        <v>4</v>
      </c>
      <c r="D85" s="13">
        <v>0</v>
      </c>
      <c r="E85" s="12">
        <f t="shared" si="0"/>
        <v>4</v>
      </c>
      <c r="F85" s="13">
        <v>0</v>
      </c>
      <c r="G85" s="14">
        <f t="shared" si="12"/>
        <v>3</v>
      </c>
      <c r="H85" s="15">
        <v>1</v>
      </c>
      <c r="I85" s="23">
        <v>100</v>
      </c>
      <c r="J85" s="43">
        <f t="shared" si="10"/>
        <v>100</v>
      </c>
      <c r="K85" s="18" t="s">
        <v>16</v>
      </c>
      <c r="L85" s="19">
        <v>0</v>
      </c>
      <c r="M85" s="24">
        <f t="shared" si="11"/>
        <v>100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+'14'!G86</f>
        <v>7</v>
      </c>
      <c r="D86" s="13">
        <v>0</v>
      </c>
      <c r="E86" s="12">
        <f t="shared" si="0"/>
        <v>7</v>
      </c>
      <c r="F86" s="13">
        <v>0</v>
      </c>
      <c r="G86" s="14">
        <f t="shared" si="12"/>
        <v>6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+'14'!G87</f>
        <v>3</v>
      </c>
      <c r="D87" s="13">
        <v>0</v>
      </c>
      <c r="E87" s="12">
        <f t="shared" si="0"/>
        <v>3</v>
      </c>
      <c r="F87" s="13">
        <v>0</v>
      </c>
      <c r="G87" s="14">
        <f t="shared" si="12"/>
        <v>0</v>
      </c>
      <c r="H87" s="15">
        <v>3</v>
      </c>
      <c r="I87" s="22">
        <v>60</v>
      </c>
      <c r="J87" s="43">
        <f t="shared" si="10"/>
        <v>180</v>
      </c>
      <c r="K87" s="18" t="s">
        <v>16</v>
      </c>
      <c r="L87" s="19">
        <v>0</v>
      </c>
      <c r="M87" s="24">
        <f t="shared" si="11"/>
        <v>180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+'14'!G88</f>
        <v>4</v>
      </c>
      <c r="D88" s="13">
        <v>0</v>
      </c>
      <c r="E88" s="12">
        <f t="shared" si="0"/>
        <v>4</v>
      </c>
      <c r="F88" s="13">
        <v>0</v>
      </c>
      <c r="G88" s="14">
        <f t="shared" si="12"/>
        <v>3</v>
      </c>
      <c r="H88" s="15">
        <v>1</v>
      </c>
      <c r="I88" s="22">
        <v>100</v>
      </c>
      <c r="J88" s="43">
        <f t="shared" si="10"/>
        <v>100</v>
      </c>
      <c r="K88" s="18" t="s">
        <v>16</v>
      </c>
      <c r="L88" s="19">
        <v>0</v>
      </c>
      <c r="M88" s="24">
        <f t="shared" si="11"/>
        <v>100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+'14'!G89</f>
        <v>6</v>
      </c>
      <c r="D89" s="13">
        <v>0</v>
      </c>
      <c r="E89" s="12">
        <f t="shared" si="0"/>
        <v>6</v>
      </c>
      <c r="F89" s="13">
        <v>0</v>
      </c>
      <c r="G89" s="14">
        <f t="shared" si="12"/>
        <v>6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+'14'!G92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+'14'!G94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+'14'!G95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+'14'!G96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+'14'!G97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+'14'!G98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+'14'!G101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9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+'14'!G102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+'14'!G103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+'14'!G104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+'14'!G106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+'14'!G110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+'14'!G114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50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50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50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50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50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50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+'14'!G150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+'14'!G151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+'14'!G152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+'14'!G153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+'14'!G154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+'14'!G155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+'14'!G156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+'14'!G157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+'14'!G159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+'14'!G160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+'14'!G161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+'14'!G162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+'14'!G163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+'14'!G164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+'14'!G165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+'14'!G166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+'14'!G167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+'14'!G168</f>
        <v>34</v>
      </c>
      <c r="D168" s="13">
        <v>0</v>
      </c>
      <c r="E168" s="12">
        <f t="shared" si="17"/>
        <v>34</v>
      </c>
      <c r="F168" s="13">
        <v>0</v>
      </c>
      <c r="G168" s="14">
        <f t="shared" si="16"/>
        <v>34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+'14'!G169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+'14'!G170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+'14'!G171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+'14'!G172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+'14'!G173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+'14'!G174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+'14'!G175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+'14'!G176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+'14'!G177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+'14'!G178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+'14'!G179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+'14'!G180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+'14'!G181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+'14'!G182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+'14'!G183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+'14'!G184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+'14'!G185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+'14'!G186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+'14'!G187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+'14'!G188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+'14'!G189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+'14'!G190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+'14'!G191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+'14'!G192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+'14'!G193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+'14'!G194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+'14'!G195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+'14'!G196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+'14'!G197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+'14'!G198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+'14'!G199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+'14'!G200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+'14'!G201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+'14'!G202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+'14'!G203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+'14'!G204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+'14'!G205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+'14'!G206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+'14'!G207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7" ht="25.5">
      <c r="A209" s="10">
        <v>205</v>
      </c>
      <c r="B209" s="21" t="s">
        <v>261</v>
      </c>
      <c r="C209" s="12">
        <f>+'14'!G209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7" ht="25.5">
      <c r="A210" s="10">
        <v>206</v>
      </c>
      <c r="B210" s="21" t="s">
        <v>262</v>
      </c>
      <c r="C210" s="12">
        <f>+'14'!G210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7" ht="25.5">
      <c r="A211" s="10">
        <v>207</v>
      </c>
      <c r="B211" s="21" t="s">
        <v>263</v>
      </c>
      <c r="C211" s="12">
        <f>+'14'!G211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7" ht="25.5">
      <c r="A212" s="10">
        <v>208</v>
      </c>
      <c r="B212" s="11" t="s">
        <v>264</v>
      </c>
      <c r="C212" s="12">
        <f>+'14'!G212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7" ht="25.5">
      <c r="A213" s="10">
        <v>209</v>
      </c>
      <c r="B213" s="21" t="s">
        <v>265</v>
      </c>
      <c r="C213" s="12">
        <f>+'14'!G213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7" ht="25.5">
      <c r="A214" s="10">
        <v>210</v>
      </c>
      <c r="B214" s="21" t="s">
        <v>279</v>
      </c>
      <c r="C214" s="12">
        <f>+'14'!G214</f>
        <v>10</v>
      </c>
      <c r="D214" s="13">
        <v>0</v>
      </c>
      <c r="E214" s="12">
        <f t="shared" ref="E214:E215" si="21">C214+D214</f>
        <v>10</v>
      </c>
      <c r="F214" s="13">
        <v>0</v>
      </c>
      <c r="G214" s="14">
        <f t="shared" ref="G214:G215" si="22">E214-F214-H214</f>
        <v>10</v>
      </c>
      <c r="H214" s="15">
        <v>0</v>
      </c>
      <c r="I214" s="22">
        <v>50</v>
      </c>
      <c r="J214" s="43">
        <f t="shared" ref="J214:J215" si="23">+I214*H214</f>
        <v>0</v>
      </c>
      <c r="K214" s="18" t="s">
        <v>16</v>
      </c>
      <c r="L214" s="19">
        <v>0</v>
      </c>
      <c r="M214" s="24">
        <f t="shared" ref="M214:M215" si="24">SUM(J214-L214)</f>
        <v>0</v>
      </c>
    </row>
    <row r="215" spans="1:17" ht="25.5">
      <c r="A215" s="10">
        <v>211</v>
      </c>
      <c r="B215" s="21" t="s">
        <v>280</v>
      </c>
      <c r="C215" s="12">
        <f>+'14'!G215</f>
        <v>10</v>
      </c>
      <c r="D215" s="13">
        <v>0</v>
      </c>
      <c r="E215" s="12">
        <f t="shared" si="21"/>
        <v>10</v>
      </c>
      <c r="F215" s="13">
        <v>0</v>
      </c>
      <c r="G215" s="14">
        <f t="shared" si="22"/>
        <v>10</v>
      </c>
      <c r="H215" s="15">
        <v>0</v>
      </c>
      <c r="I215" s="22">
        <v>50</v>
      </c>
      <c r="J215" s="43">
        <f t="shared" si="23"/>
        <v>0</v>
      </c>
      <c r="K215" s="18" t="s">
        <v>16</v>
      </c>
      <c r="L215" s="19">
        <v>0</v>
      </c>
      <c r="M215" s="24">
        <f t="shared" si="24"/>
        <v>0</v>
      </c>
    </row>
    <row r="216" spans="1:17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36" t="s">
        <v>220</v>
      </c>
      <c r="N216" s="136"/>
    </row>
    <row r="217" spans="1:17" ht="25.5" customHeight="1">
      <c r="A217" s="1"/>
      <c r="C217" s="25"/>
      <c r="D217" s="26"/>
      <c r="E217" s="25"/>
      <c r="F217" s="26"/>
      <c r="G217" s="25"/>
      <c r="H217" s="137" t="s">
        <v>219</v>
      </c>
      <c r="I217" s="138"/>
      <c r="J217" s="31">
        <f>+X107</f>
        <v>0</v>
      </c>
      <c r="K217" s="28"/>
      <c r="L217" s="30"/>
    </row>
    <row r="218" spans="1:17" ht="25.5">
      <c r="A218" s="1"/>
      <c r="C218" s="32"/>
      <c r="E218" s="32"/>
      <c r="G218" s="32"/>
      <c r="H218" s="33"/>
      <c r="I218" s="139" t="s">
        <v>208</v>
      </c>
      <c r="J218" s="139"/>
      <c r="K218" s="34">
        <f>SUM(J5:J217)</f>
        <v>2030</v>
      </c>
    </row>
    <row r="219" spans="1:17" ht="25.5">
      <c r="A219" s="1"/>
      <c r="C219" s="32"/>
      <c r="E219" s="32"/>
      <c r="G219" s="32"/>
      <c r="I219" s="134" t="s">
        <v>209</v>
      </c>
      <c r="J219" s="135"/>
      <c r="K219" s="37">
        <v>15</v>
      </c>
    </row>
    <row r="220" spans="1:17" ht="25.5">
      <c r="A220" s="1"/>
      <c r="C220" s="32"/>
      <c r="E220" s="32"/>
      <c r="G220" s="32"/>
      <c r="I220" s="35" t="s">
        <v>210</v>
      </c>
      <c r="J220" s="36"/>
      <c r="K220" s="37">
        <f>SUM(L220:BO220)</f>
        <v>775</v>
      </c>
      <c r="L220" s="2">
        <v>60</v>
      </c>
      <c r="M220" s="2">
        <v>100</v>
      </c>
      <c r="N220" s="2">
        <v>180</v>
      </c>
      <c r="O220" s="2">
        <v>200</v>
      </c>
      <c r="P220" s="2">
        <v>100</v>
      </c>
      <c r="Q220" s="2">
        <v>135</v>
      </c>
    </row>
    <row r="221" spans="1:17" ht="25.5">
      <c r="A221" s="1"/>
      <c r="C221" s="32"/>
      <c r="E221" s="32"/>
      <c r="G221" s="32"/>
      <c r="I221" s="134" t="s">
        <v>211</v>
      </c>
      <c r="J221" s="135"/>
      <c r="K221" s="37">
        <v>0</v>
      </c>
    </row>
    <row r="222" spans="1:17" ht="25.5">
      <c r="A222" s="1"/>
      <c r="C222" s="32"/>
      <c r="E222" s="32"/>
      <c r="G222" s="32"/>
      <c r="I222" s="134" t="s">
        <v>212</v>
      </c>
      <c r="J222" s="135"/>
      <c r="K222" s="37">
        <v>0</v>
      </c>
    </row>
    <row r="223" spans="1:17" ht="25.5">
      <c r="A223" s="1"/>
      <c r="C223" s="32"/>
      <c r="E223" s="32"/>
      <c r="G223" s="32"/>
      <c r="I223" s="134" t="s">
        <v>213</v>
      </c>
      <c r="J223" s="135"/>
      <c r="K223" s="38">
        <f>SUM(L5:L216)</f>
        <v>0</v>
      </c>
    </row>
    <row r="224" spans="1:17" ht="25.5">
      <c r="A224" s="1"/>
      <c r="C224" s="32"/>
      <c r="E224" s="32"/>
      <c r="G224" s="32"/>
      <c r="I224" s="134" t="s">
        <v>214</v>
      </c>
      <c r="J224" s="135"/>
      <c r="K224" s="34">
        <f>K218-K219-K220-K222-K223</f>
        <v>1240</v>
      </c>
    </row>
    <row r="225" spans="1:11" ht="25.5">
      <c r="A225" s="1"/>
      <c r="C225" s="32"/>
      <c r="E225" s="32"/>
      <c r="G225" s="32"/>
      <c r="I225" s="134" t="s">
        <v>215</v>
      </c>
      <c r="J225" s="135"/>
      <c r="K225" s="38">
        <v>1240</v>
      </c>
    </row>
    <row r="226" spans="1:11" ht="25.5">
      <c r="A226" s="1"/>
      <c r="C226" s="32"/>
      <c r="E226" s="32"/>
      <c r="G226" s="32"/>
      <c r="I226" s="134" t="s">
        <v>216</v>
      </c>
      <c r="J226" s="135"/>
      <c r="K226" s="34">
        <f>+K225-K224</f>
        <v>0</v>
      </c>
    </row>
    <row r="227" spans="1:11" ht="25.5">
      <c r="G227" s="2"/>
      <c r="I227" s="134" t="s">
        <v>217</v>
      </c>
      <c r="J227" s="135"/>
      <c r="K227" s="34">
        <f>+K225-K224</f>
        <v>0</v>
      </c>
    </row>
    <row r="228" spans="1:11">
      <c r="G228" s="2"/>
      <c r="I228" s="2"/>
    </row>
    <row r="229" spans="1:11">
      <c r="G229" s="2"/>
      <c r="I229" s="2"/>
      <c r="J229" s="84" t="s">
        <v>270</v>
      </c>
      <c r="K229" s="24">
        <f>+K218-K223+K226</f>
        <v>2030</v>
      </c>
    </row>
    <row r="230" spans="1:11">
      <c r="G230" s="2"/>
      <c r="I230" s="2"/>
      <c r="J230" s="2" t="s">
        <v>271</v>
      </c>
      <c r="K230" s="24">
        <f>SUM(K219:K220)</f>
        <v>790</v>
      </c>
    </row>
    <row r="231" spans="1:11">
      <c r="G231" s="2"/>
      <c r="I231" s="2"/>
      <c r="J231" s="2" t="s">
        <v>272</v>
      </c>
      <c r="K231" s="24">
        <f>+K225</f>
        <v>1240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0B37-B6A8-4D58-9517-46600CBBA472}">
  <sheetPr>
    <tabColor theme="4" tint="0.79998168889431442"/>
  </sheetPr>
  <dimension ref="A1:Z302"/>
  <sheetViews>
    <sheetView topLeftCell="A207" zoomScale="90" zoomScaleNormal="90" workbookViewId="0">
      <selection activeCell="B213" sqref="B213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+'15'!G5</f>
        <v>21</v>
      </c>
      <c r="D5" s="13">
        <v>0</v>
      </c>
      <c r="E5" s="12">
        <f t="shared" ref="E5:E94" si="0">C5+D5</f>
        <v>21</v>
      </c>
      <c r="F5" s="13">
        <v>0</v>
      </c>
      <c r="G5" s="14">
        <f t="shared" ref="G5:G81" si="1">E5-F5-H5</f>
        <v>20</v>
      </c>
      <c r="H5" s="15">
        <v>1</v>
      </c>
      <c r="I5" s="16">
        <v>50</v>
      </c>
      <c r="J5" s="43">
        <f>+I5*H5</f>
        <v>50</v>
      </c>
      <c r="K5" s="18" t="s">
        <v>16</v>
      </c>
      <c r="L5" s="19">
        <v>0</v>
      </c>
      <c r="M5" s="24">
        <f>SUM(J5-L5)</f>
        <v>50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+'15'!G6</f>
        <v>20</v>
      </c>
      <c r="D6" s="13">
        <v>0</v>
      </c>
      <c r="E6" s="12">
        <f t="shared" si="0"/>
        <v>20</v>
      </c>
      <c r="F6" s="13">
        <v>0</v>
      </c>
      <c r="G6" s="14">
        <f t="shared" si="1"/>
        <v>17</v>
      </c>
      <c r="H6" s="15">
        <v>3</v>
      </c>
      <c r="I6" s="16">
        <v>100</v>
      </c>
      <c r="J6" s="43">
        <f t="shared" ref="J6:J69" si="5">+I6*H6</f>
        <v>300</v>
      </c>
      <c r="K6" s="18" t="s">
        <v>16</v>
      </c>
      <c r="L6" s="19">
        <v>0</v>
      </c>
      <c r="M6" s="24">
        <f t="shared" ref="M6:M69" si="6">SUM(J6-L6)</f>
        <v>300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+'15'!G7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+'15'!G12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+'15'!G15</f>
        <v>1</v>
      </c>
      <c r="D15" s="13">
        <v>0</v>
      </c>
      <c r="E15" s="12">
        <f t="shared" si="0"/>
        <v>1</v>
      </c>
      <c r="F15" s="13">
        <v>0</v>
      </c>
      <c r="G15" s="14">
        <f t="shared" si="1"/>
        <v>0</v>
      </c>
      <c r="H15" s="15">
        <v>1</v>
      </c>
      <c r="I15" s="22">
        <v>50</v>
      </c>
      <c r="J15" s="43">
        <f t="shared" si="5"/>
        <v>50</v>
      </c>
      <c r="K15" s="18" t="s">
        <v>16</v>
      </c>
      <c r="L15" s="19">
        <v>0</v>
      </c>
      <c r="M15" s="24">
        <f t="shared" si="6"/>
        <v>50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+'15'!G17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86">
        <f>+'15'!G18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+'15'!G19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+'15'!G20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86">
        <f>+'15'!G23</f>
        <v>13</v>
      </c>
      <c r="D23" s="13">
        <v>0</v>
      </c>
      <c r="E23" s="12">
        <f t="shared" si="0"/>
        <v>13</v>
      </c>
      <c r="F23" s="13">
        <v>0</v>
      </c>
      <c r="G23" s="14">
        <f t="shared" si="1"/>
        <v>12</v>
      </c>
      <c r="H23" s="15">
        <v>1</v>
      </c>
      <c r="I23" s="16">
        <v>100</v>
      </c>
      <c r="J23" s="43">
        <f t="shared" si="5"/>
        <v>100</v>
      </c>
      <c r="K23" s="18" t="s">
        <v>16</v>
      </c>
      <c r="L23" s="19">
        <v>0</v>
      </c>
      <c r="M23" s="24">
        <f t="shared" si="6"/>
        <v>100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+'15'!G24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+'15'!G26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+'15'!G27</f>
        <v>3</v>
      </c>
      <c r="D27" s="13">
        <v>0</v>
      </c>
      <c r="E27" s="12">
        <f t="shared" si="0"/>
        <v>3</v>
      </c>
      <c r="F27" s="13">
        <v>0</v>
      </c>
      <c r="G27" s="14">
        <f t="shared" si="1"/>
        <v>1</v>
      </c>
      <c r="H27" s="15">
        <v>2</v>
      </c>
      <c r="I27" s="22">
        <v>100</v>
      </c>
      <c r="J27" s="43">
        <f t="shared" si="5"/>
        <v>200</v>
      </c>
      <c r="K27" s="18" t="s">
        <v>16</v>
      </c>
      <c r="L27" s="19">
        <v>0</v>
      </c>
      <c r="M27" s="24">
        <f t="shared" si="6"/>
        <v>200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+'15'!G29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+'15'!G31</f>
        <v>6</v>
      </c>
      <c r="D31" s="13">
        <v>0</v>
      </c>
      <c r="E31" s="12">
        <f t="shared" si="0"/>
        <v>6</v>
      </c>
      <c r="F31" s="13">
        <v>0</v>
      </c>
      <c r="G31" s="14">
        <f t="shared" si="1"/>
        <v>5</v>
      </c>
      <c r="H31" s="15">
        <v>1</v>
      </c>
      <c r="I31" s="16">
        <v>100</v>
      </c>
      <c r="J31" s="43">
        <f t="shared" si="5"/>
        <v>100</v>
      </c>
      <c r="K31" s="18" t="s">
        <v>16</v>
      </c>
      <c r="L31" s="19">
        <v>0</v>
      </c>
      <c r="M31" s="24">
        <f t="shared" si="6"/>
        <v>100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+'15'!G33</f>
        <v>5</v>
      </c>
      <c r="D33" s="13">
        <v>0</v>
      </c>
      <c r="E33" s="12">
        <f t="shared" si="0"/>
        <v>5</v>
      </c>
      <c r="F33" s="13">
        <v>0</v>
      </c>
      <c r="G33" s="14">
        <f t="shared" si="1"/>
        <v>4</v>
      </c>
      <c r="H33" s="15">
        <v>1</v>
      </c>
      <c r="I33" s="16">
        <v>130</v>
      </c>
      <c r="J33" s="43">
        <f t="shared" si="5"/>
        <v>130</v>
      </c>
      <c r="K33" s="18" t="s">
        <v>16</v>
      </c>
      <c r="L33" s="19">
        <v>0</v>
      </c>
      <c r="M33" s="24">
        <f t="shared" si="6"/>
        <v>130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+'15'!G34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+'15'!G35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+'15'!G37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+'15'!G38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+'15'!G39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+'15'!G40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+'15'!G43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+'15'!G44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+'15'!G47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+'15'!G48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+'15'!G51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+'15'!G52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+'15'!G53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+'15'!G55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+'15'!G62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+'15'!G63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+'15'!G66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+'15'!G67</f>
        <v>4</v>
      </c>
      <c r="D67" s="13">
        <v>0</v>
      </c>
      <c r="E67" s="12">
        <f t="shared" si="0"/>
        <v>4</v>
      </c>
      <c r="F67" s="13">
        <v>0</v>
      </c>
      <c r="G67" s="14">
        <f t="shared" si="1"/>
        <v>2</v>
      </c>
      <c r="H67" s="15">
        <v>2</v>
      </c>
      <c r="I67" s="16">
        <v>50</v>
      </c>
      <c r="J67" s="43">
        <f t="shared" si="5"/>
        <v>100</v>
      </c>
      <c r="K67" s="18" t="s">
        <v>16</v>
      </c>
      <c r="L67" s="19">
        <v>0</v>
      </c>
      <c r="M67" s="24">
        <f t="shared" si="6"/>
        <v>100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+'15'!G70</f>
        <v>6</v>
      </c>
      <c r="D70" s="13">
        <v>0</v>
      </c>
      <c r="E70" s="12">
        <f t="shared" si="0"/>
        <v>6</v>
      </c>
      <c r="F70" s="13">
        <v>0</v>
      </c>
      <c r="G70" s="14">
        <f t="shared" si="1"/>
        <v>5</v>
      </c>
      <c r="H70" s="15">
        <v>1</v>
      </c>
      <c r="I70" s="22">
        <v>50</v>
      </c>
      <c r="J70" s="43">
        <f t="shared" ref="J70:J133" si="10">+I70*H70</f>
        <v>50</v>
      </c>
      <c r="K70" s="18" t="s">
        <v>16</v>
      </c>
      <c r="L70" s="19">
        <v>0</v>
      </c>
      <c r="M70" s="24">
        <f t="shared" ref="M70:M133" si="11">SUM(J70-L70)</f>
        <v>50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+'15'!G71</f>
        <v>5</v>
      </c>
      <c r="D71" s="13">
        <v>0</v>
      </c>
      <c r="E71" s="12">
        <f t="shared" si="0"/>
        <v>5</v>
      </c>
      <c r="F71" s="13">
        <v>0</v>
      </c>
      <c r="G71" s="14">
        <f t="shared" si="1"/>
        <v>4</v>
      </c>
      <c r="H71" s="15">
        <v>1</v>
      </c>
      <c r="I71" s="22">
        <v>60</v>
      </c>
      <c r="J71" s="43">
        <f t="shared" si="10"/>
        <v>60</v>
      </c>
      <c r="K71" s="18" t="s">
        <v>278</v>
      </c>
      <c r="L71" s="19">
        <v>30</v>
      </c>
      <c r="M71" s="24">
        <f t="shared" si="11"/>
        <v>30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+'15'!G73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+'15'!G74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+'15'!G77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+'15'!G79</f>
        <v>5</v>
      </c>
      <c r="D79" s="13">
        <v>0</v>
      </c>
      <c r="E79" s="12">
        <f t="shared" si="0"/>
        <v>5</v>
      </c>
      <c r="F79" s="13">
        <v>0</v>
      </c>
      <c r="G79" s="14">
        <f t="shared" si="1"/>
        <v>4</v>
      </c>
      <c r="H79" s="15">
        <v>1</v>
      </c>
      <c r="I79" s="23">
        <v>50</v>
      </c>
      <c r="J79" s="43">
        <f t="shared" si="10"/>
        <v>50</v>
      </c>
      <c r="K79" s="18" t="s">
        <v>16</v>
      </c>
      <c r="L79" s="19">
        <v>0</v>
      </c>
      <c r="M79" s="24">
        <f>SUM(J79-L79)</f>
        <v>50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+'15'!G81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+'15'!G82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+'15'!G85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+'15'!G86</f>
        <v>6</v>
      </c>
      <c r="D86" s="13">
        <v>0</v>
      </c>
      <c r="E86" s="12">
        <f t="shared" si="0"/>
        <v>6</v>
      </c>
      <c r="F86" s="13">
        <v>0</v>
      </c>
      <c r="G86" s="14">
        <f t="shared" si="12"/>
        <v>5</v>
      </c>
      <c r="H86" s="15">
        <v>1</v>
      </c>
      <c r="I86" s="22">
        <v>55</v>
      </c>
      <c r="J86" s="43">
        <f t="shared" si="10"/>
        <v>55</v>
      </c>
      <c r="K86" s="18" t="s">
        <v>16</v>
      </c>
      <c r="L86" s="19">
        <v>0</v>
      </c>
      <c r="M86" s="24">
        <f t="shared" si="11"/>
        <v>55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+'15'!G87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+'15'!G88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+'15'!G89</f>
        <v>6</v>
      </c>
      <c r="D89" s="13">
        <v>0</v>
      </c>
      <c r="E89" s="12">
        <f t="shared" si="0"/>
        <v>6</v>
      </c>
      <c r="F89" s="13">
        <v>0</v>
      </c>
      <c r="G89" s="14">
        <f t="shared" si="12"/>
        <v>4</v>
      </c>
      <c r="H89" s="15">
        <v>2</v>
      </c>
      <c r="I89" s="22">
        <v>55</v>
      </c>
      <c r="J89" s="43">
        <f t="shared" si="10"/>
        <v>110</v>
      </c>
      <c r="K89" s="18" t="s">
        <v>16</v>
      </c>
      <c r="L89" s="19">
        <v>0</v>
      </c>
      <c r="M89" s="24">
        <f t="shared" si="11"/>
        <v>110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+'15'!G92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+'15'!G94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+'15'!G95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+'15'!G96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+'15'!G97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+'15'!G101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9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+'15'!G102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+'15'!G106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+'15'!G150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+'15'!G151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+'15'!G152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+'15'!G154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+'15'!G156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+'15'!G159</f>
        <v>0</v>
      </c>
      <c r="D159" s="13">
        <v>0</v>
      </c>
      <c r="E159" s="12">
        <f t="shared" ref="E159:E215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+'15'!G160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+'15'!G161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+'15'!G162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+'15'!G163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+'15'!G164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+'15'!G165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+'15'!G166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+'15'!G167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+'15'!G168</f>
        <v>34</v>
      </c>
      <c r="D168" s="13">
        <v>0</v>
      </c>
      <c r="E168" s="12">
        <f t="shared" si="17"/>
        <v>34</v>
      </c>
      <c r="F168" s="13">
        <v>0</v>
      </c>
      <c r="G168" s="14">
        <f t="shared" si="16"/>
        <v>33</v>
      </c>
      <c r="H168" s="15">
        <v>1</v>
      </c>
      <c r="I168" s="22">
        <v>55</v>
      </c>
      <c r="J168" s="43">
        <f t="shared" si="14"/>
        <v>55</v>
      </c>
      <c r="K168" s="18" t="s">
        <v>16</v>
      </c>
      <c r="L168" s="19">
        <v>0</v>
      </c>
      <c r="M168" s="24">
        <f t="shared" si="15"/>
        <v>55</v>
      </c>
    </row>
    <row r="169" spans="1:13" ht="25.5">
      <c r="A169" s="10">
        <v>165</v>
      </c>
      <c r="B169" s="21" t="s">
        <v>181</v>
      </c>
      <c r="C169" s="12">
        <f>+'15'!G169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+'15'!G170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+'15'!G171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+'15'!G172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+'15'!G173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+'15'!G174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+'15'!G175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+'15'!G176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+'15'!G177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+'15'!G178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+'15'!G179</f>
        <v>0</v>
      </c>
      <c r="D179" s="13">
        <v>0</v>
      </c>
      <c r="E179" s="12">
        <f t="shared" si="17"/>
        <v>0</v>
      </c>
      <c r="F179" s="13">
        <v>0</v>
      </c>
      <c r="G179" s="14">
        <f t="shared" si="16"/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+'15'!G180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+'15'!G181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+'15'!G182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+'15'!G183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+'15'!G184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+'15'!G185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+'15'!G186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+'15'!G187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+'15'!G188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+'15'!G189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+'15'!G190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+'15'!G191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+'15'!G192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+'15'!G193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+'15'!G194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+'15'!G195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+'15'!G196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+'15'!G197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+'15'!G198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5" si="18">+I198*H198</f>
        <v>0</v>
      </c>
      <c r="K198" s="18" t="s">
        <v>16</v>
      </c>
      <c r="L198" s="19">
        <v>0</v>
      </c>
      <c r="M198" s="24">
        <f t="shared" ref="M198:M215" si="19">SUM(J198-L198)</f>
        <v>0</v>
      </c>
    </row>
    <row r="199" spans="1:13" ht="25.5">
      <c r="A199" s="10">
        <v>195</v>
      </c>
      <c r="B199" s="21" t="s">
        <v>251</v>
      </c>
      <c r="C199" s="12">
        <f>+'15'!G199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+'15'!G200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+'15'!G201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+'15'!G202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+'15'!G203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+'15'!G204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+'15'!G205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+'15'!G206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+'15'!G207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+'15'!G209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+'15'!G210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5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+'15'!G211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+'15'!G212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+'15'!G213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0">
        <v>210</v>
      </c>
      <c r="B214" s="21" t="s">
        <v>279</v>
      </c>
      <c r="C214" s="12">
        <f>+'15'!G214</f>
        <v>10</v>
      </c>
      <c r="D214" s="13">
        <v>0</v>
      </c>
      <c r="E214" s="12">
        <f t="shared" si="17"/>
        <v>10</v>
      </c>
      <c r="F214" s="13">
        <v>0</v>
      </c>
      <c r="G214" s="14">
        <f t="shared" si="20"/>
        <v>10</v>
      </c>
      <c r="H214" s="15">
        <v>0</v>
      </c>
      <c r="I214" s="22">
        <v>50</v>
      </c>
      <c r="J214" s="43">
        <f t="shared" si="18"/>
        <v>0</v>
      </c>
      <c r="K214" s="18" t="s">
        <v>16</v>
      </c>
      <c r="L214" s="19">
        <v>0</v>
      </c>
      <c r="M214" s="24">
        <f t="shared" si="19"/>
        <v>0</v>
      </c>
    </row>
    <row r="215" spans="1:14" ht="25.5">
      <c r="A215" s="10">
        <v>211</v>
      </c>
      <c r="B215" s="21" t="s">
        <v>280</v>
      </c>
      <c r="C215" s="12">
        <f>+'15'!G215</f>
        <v>10</v>
      </c>
      <c r="D215" s="13">
        <v>0</v>
      </c>
      <c r="E215" s="12">
        <f t="shared" si="17"/>
        <v>10</v>
      </c>
      <c r="F215" s="13">
        <v>0</v>
      </c>
      <c r="G215" s="14">
        <f t="shared" si="20"/>
        <v>10</v>
      </c>
      <c r="H215" s="15">
        <v>0</v>
      </c>
      <c r="I215" s="22">
        <v>50</v>
      </c>
      <c r="J215" s="43">
        <f t="shared" si="18"/>
        <v>0</v>
      </c>
      <c r="K215" s="18" t="s">
        <v>16</v>
      </c>
      <c r="L215" s="19">
        <v>0</v>
      </c>
      <c r="M215" s="24">
        <f t="shared" si="19"/>
        <v>0</v>
      </c>
    </row>
    <row r="216" spans="1:14" ht="25.5">
      <c r="A216" s="1"/>
      <c r="C216" s="25"/>
      <c r="D216" s="26"/>
      <c r="E216" s="25"/>
      <c r="F216" s="26"/>
      <c r="G216" s="25"/>
      <c r="H216" s="25"/>
      <c r="I216" s="27"/>
      <c r="J216" s="29"/>
      <c r="K216" s="28"/>
      <c r="L216" s="19">
        <v>0</v>
      </c>
      <c r="M216" s="136" t="s">
        <v>220</v>
      </c>
      <c r="N216" s="136"/>
    </row>
    <row r="217" spans="1:14" ht="25.5" customHeight="1">
      <c r="A217" s="1"/>
      <c r="C217" s="25"/>
      <c r="D217" s="26"/>
      <c r="E217" s="25"/>
      <c r="F217" s="26"/>
      <c r="G217" s="25"/>
      <c r="H217" s="137" t="s">
        <v>219</v>
      </c>
      <c r="I217" s="138"/>
      <c r="J217" s="31">
        <f>+X107</f>
        <v>0</v>
      </c>
      <c r="K217" s="28"/>
      <c r="L217" s="30"/>
    </row>
    <row r="218" spans="1:14" ht="25.5">
      <c r="A218" s="1"/>
      <c r="C218" s="32"/>
      <c r="E218" s="32"/>
      <c r="G218" s="32"/>
      <c r="H218" s="33"/>
      <c r="I218" s="139" t="s">
        <v>208</v>
      </c>
      <c r="J218" s="139"/>
      <c r="K218" s="34">
        <f>SUM(J5:J217)</f>
        <v>1410</v>
      </c>
    </row>
    <row r="219" spans="1:14" ht="25.5">
      <c r="A219" s="1"/>
      <c r="C219" s="32"/>
      <c r="E219" s="32"/>
      <c r="G219" s="32"/>
      <c r="I219" s="134" t="s">
        <v>209</v>
      </c>
      <c r="J219" s="135"/>
      <c r="K219" s="37">
        <v>0</v>
      </c>
    </row>
    <row r="220" spans="1:14" ht="25.5">
      <c r="A220" s="1"/>
      <c r="C220" s="32"/>
      <c r="E220" s="32"/>
      <c r="G220" s="32"/>
      <c r="I220" s="35" t="s">
        <v>210</v>
      </c>
      <c r="J220" s="36"/>
      <c r="K220" s="37">
        <f>SUM(L220:BO220)</f>
        <v>330</v>
      </c>
      <c r="L220" s="2">
        <v>50</v>
      </c>
      <c r="M220" s="2">
        <v>150</v>
      </c>
      <c r="N220" s="2">
        <v>130</v>
      </c>
    </row>
    <row r="221" spans="1:14" ht="25.5">
      <c r="A221" s="1"/>
      <c r="C221" s="32"/>
      <c r="E221" s="32"/>
      <c r="G221" s="32"/>
      <c r="I221" s="134" t="s">
        <v>211</v>
      </c>
      <c r="J221" s="135"/>
      <c r="K221" s="37">
        <v>0</v>
      </c>
    </row>
    <row r="222" spans="1:14" ht="25.5">
      <c r="A222" s="1"/>
      <c r="C222" s="32"/>
      <c r="E222" s="32"/>
      <c r="G222" s="32"/>
      <c r="I222" s="134" t="s">
        <v>212</v>
      </c>
      <c r="J222" s="135"/>
      <c r="K222" s="37">
        <v>0</v>
      </c>
    </row>
    <row r="223" spans="1:14" ht="25.5">
      <c r="A223" s="1"/>
      <c r="C223" s="32"/>
      <c r="E223" s="32"/>
      <c r="G223" s="32"/>
      <c r="I223" s="134" t="s">
        <v>213</v>
      </c>
      <c r="J223" s="135"/>
      <c r="K223" s="38">
        <f>SUM(L5:L216)</f>
        <v>30</v>
      </c>
    </row>
    <row r="224" spans="1:14" ht="25.5">
      <c r="A224" s="1"/>
      <c r="C224" s="32"/>
      <c r="E224" s="32"/>
      <c r="G224" s="32"/>
      <c r="I224" s="134" t="s">
        <v>214</v>
      </c>
      <c r="J224" s="135"/>
      <c r="K224" s="34">
        <f>K218-K219-K220-K222-K223</f>
        <v>1050</v>
      </c>
    </row>
    <row r="225" spans="1:11" ht="25.5">
      <c r="A225" s="1"/>
      <c r="C225" s="32"/>
      <c r="E225" s="32"/>
      <c r="G225" s="32"/>
      <c r="I225" s="134" t="s">
        <v>215</v>
      </c>
      <c r="J225" s="135"/>
      <c r="K225" s="38">
        <v>0</v>
      </c>
    </row>
    <row r="226" spans="1:11" ht="25.5">
      <c r="A226" s="1"/>
      <c r="C226" s="32"/>
      <c r="E226" s="32"/>
      <c r="G226" s="32"/>
      <c r="I226" s="134" t="s">
        <v>216</v>
      </c>
      <c r="J226" s="135"/>
      <c r="K226" s="34">
        <f>+K225-K224</f>
        <v>-1050</v>
      </c>
    </row>
    <row r="227" spans="1:11" ht="25.5">
      <c r="G227" s="2"/>
      <c r="I227" s="134" t="s">
        <v>217</v>
      </c>
      <c r="J227" s="135"/>
      <c r="K227" s="34">
        <f>+K225-K224</f>
        <v>-1050</v>
      </c>
    </row>
    <row r="228" spans="1:11">
      <c r="G228" s="2"/>
      <c r="I228" s="2"/>
    </row>
    <row r="229" spans="1:11">
      <c r="G229" s="2"/>
      <c r="I229" s="2"/>
      <c r="J229" s="84" t="s">
        <v>270</v>
      </c>
      <c r="K229" s="24">
        <f>+K218-K223+K226</f>
        <v>330</v>
      </c>
    </row>
    <row r="230" spans="1:11">
      <c r="G230" s="2"/>
      <c r="I230" s="2"/>
      <c r="J230" s="2" t="s">
        <v>271</v>
      </c>
      <c r="K230" s="24">
        <f>SUM(K219:K220)</f>
        <v>330</v>
      </c>
    </row>
    <row r="231" spans="1:11">
      <c r="G231" s="2"/>
      <c r="I231" s="2"/>
      <c r="J231" s="2" t="s">
        <v>272</v>
      </c>
      <c r="K231" s="24">
        <f>+K225</f>
        <v>0</v>
      </c>
    </row>
    <row r="232" spans="1:11">
      <c r="G232" s="2"/>
      <c r="I232" s="2"/>
    </row>
    <row r="233" spans="1:11">
      <c r="G233" s="2"/>
      <c r="I233" s="2"/>
    </row>
    <row r="234" spans="1:11">
      <c r="G234" s="2"/>
      <c r="I234" s="2"/>
    </row>
    <row r="235" spans="1:11">
      <c r="G235" s="2"/>
      <c r="I235" s="2"/>
    </row>
    <row r="236" spans="1:11">
      <c r="G236" s="2"/>
      <c r="I236" s="2"/>
    </row>
    <row r="237" spans="1:11">
      <c r="G237" s="2"/>
      <c r="I237" s="2"/>
    </row>
    <row r="238" spans="1:11">
      <c r="G238" s="2"/>
      <c r="I238" s="2"/>
    </row>
    <row r="239" spans="1:11">
      <c r="G239" s="2"/>
      <c r="I239" s="2"/>
    </row>
    <row r="240" spans="1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  <row r="301" s="2" customFormat="1"/>
    <row r="302" s="2" customFormat="1"/>
  </sheetData>
  <autoFilter ref="A1:Y22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4:J224"/>
    <mergeCell ref="M216:N216"/>
    <mergeCell ref="L3:L4"/>
    <mergeCell ref="O3:O4"/>
    <mergeCell ref="P3:P4"/>
    <mergeCell ref="Q3:Q4"/>
    <mergeCell ref="I225:J225"/>
    <mergeCell ref="I226:J226"/>
    <mergeCell ref="I227:J227"/>
    <mergeCell ref="H217:I217"/>
    <mergeCell ref="I218:J218"/>
    <mergeCell ref="I219:J219"/>
    <mergeCell ref="I221:J221"/>
    <mergeCell ref="I222:J222"/>
    <mergeCell ref="I223:J223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84F2-F055-4C2F-A061-C2A420C32405}">
  <sheetPr>
    <tabColor theme="4" tint="0.79998168889431442"/>
  </sheetPr>
  <dimension ref="A1:Z300"/>
  <sheetViews>
    <sheetView topLeftCell="B210" zoomScaleNormal="100" workbookViewId="0">
      <selection activeCell="J227" sqref="J227:K22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+'16'!G5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+'16'!G6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+'16'!G7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+'16'!G12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+'16'!G14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+'16'!G17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+'16'!G18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+'16'!G19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+'16'!G20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+'16'!G23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+'16'!G24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+'16'!G26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+'16'!G27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+'16'!G29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+'16'!G31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+'16'!G33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4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+'16'!G34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+'16'!G35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+'16'!G37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+'16'!G38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+'16'!G39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+'16'!G40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+'16'!G43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+'16'!G44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+'16'!G46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+'16'!G47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+'16'!G48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+'16'!G50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+'16'!G51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+'16'!G52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+'16'!G53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+'16'!G55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+'16'!G62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+'16'!G63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+'16'!G66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+'16'!G67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+'16'!G70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+'16'!G71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+'16'!G73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+'16'!G74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+'16'!G77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+'16'!G79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+'16'!G81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+'16'!G82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+'16'!G85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+'16'!G86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5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+'16'!G87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+'16'!G88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+'16'!G89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+'16'!G92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+'16'!G94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+'16'!G95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+'16'!G96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+'16'!G97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+'16'!G98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+'16'!G101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9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+'16'!G102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+'16'!G103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+'16'!G104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+'16'!G106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+'16'!G110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+'16'!G114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+'16'!G150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+'16'!G151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+'16'!G152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+'16'!G154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+'16'!G155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+'16'!G156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+'16'!G157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+'16'!G159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+'16'!G160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+'16'!G161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+'16'!G162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+'16'!G163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+'16'!G164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+'16'!G165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+'16'!G166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+'16'!G167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+'16'!G168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+'16'!G169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+'16'!G170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+'16'!G171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+'16'!G172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+'16'!G173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+'16'!G174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+'16'!G175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+'16'!G176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+'16'!G177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+'16'!G178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+'16'!G179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+'16'!G180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+'16'!G181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+'16'!G182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+'16'!G183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+'16'!G184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+'16'!G185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+'16'!G186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+'16'!G187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+'16'!G188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+'16'!G189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+'16'!G190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+'16'!G191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+'16'!G192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+'16'!G193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+'16'!G194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+'16'!G195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+'16'!G196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+'16'!G197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+'16'!G198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+'16'!G199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+'16'!G200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+'16'!G201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+'16'!G202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+'16'!G203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+'16'!G204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+'16'!G205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+'16'!G206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+'16'!G207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+'16'!G209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+'16'!G210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+'16'!G211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+'16'!G212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+'16'!G213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0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0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SUM(L5:L214)</f>
        <v>0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0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0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270</v>
      </c>
      <c r="K227" s="24">
        <f>+K216-K221+K224</f>
        <v>0</v>
      </c>
    </row>
    <row r="228" spans="7:11">
      <c r="G228" s="2"/>
      <c r="I228" s="2"/>
      <c r="J228" s="2" t="s">
        <v>271</v>
      </c>
      <c r="K228" s="24">
        <f>SUM(K217:K218)</f>
        <v>0</v>
      </c>
    </row>
    <row r="229" spans="7:11">
      <c r="G229" s="2"/>
      <c r="I229" s="2"/>
      <c r="J229" s="2" t="s">
        <v>272</v>
      </c>
      <c r="K229" s="24">
        <f>+K223</f>
        <v>0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F89E-EBFF-4CF2-8296-EE8768A72589}">
  <sheetPr>
    <tabColor theme="4" tint="0.79998168889431442"/>
  </sheetPr>
  <dimension ref="A1:Z300"/>
  <sheetViews>
    <sheetView topLeftCell="A213" zoomScaleNormal="100" workbookViewId="0">
      <selection activeCell="J227" sqref="J227:K22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+'17'!G5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+'17'!G6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+'17'!G7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+'17'!G12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+'17'!G14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+'17'!G17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+'17'!G18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+'17'!G19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+'17'!G20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+'17'!G23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+'17'!G24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+'17'!G26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+'17'!G27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+'17'!G29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+'17'!G31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+'17'!G33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4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+'17'!G34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+'17'!G35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+'17'!G37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+'17'!G38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+'17'!G39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+'17'!G40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+'17'!G43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+'17'!G44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+'17'!G46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+'17'!G47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+'17'!G48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+'17'!G50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+'17'!G51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+'17'!G52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+'17'!G53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+'17'!G55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+'17'!G62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+'17'!G63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+'17'!G66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+'17'!G67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+'17'!G70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+'17'!G71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+'17'!G73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+'17'!G74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+'17'!G77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+'17'!G79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+'17'!G81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+'17'!G82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+'17'!G85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+'17'!G86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5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+'17'!G87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+'17'!G88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+'17'!G89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+'17'!G92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+'17'!G94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+'17'!G95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+'17'!G96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+'17'!G97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+'17'!G98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+'17'!G101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9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+'17'!G102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+'17'!G103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+'17'!G104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+'17'!G106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+'17'!G110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+'17'!G114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+'17'!G150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+'17'!G151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+'17'!G152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+'17'!G154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+'17'!G155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+'17'!G156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+'17'!G157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+'17'!G159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+'17'!G160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+'17'!G161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+'17'!G162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+'17'!G163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+'17'!G164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+'17'!G165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+'17'!G166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+'17'!G167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+'17'!G168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+'17'!G169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+'17'!G170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+'17'!G171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+'17'!G172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+'17'!G173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+'17'!G174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+'17'!G175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+'17'!G176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+'17'!G177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+'17'!G178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+'17'!G179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+'17'!G180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+'17'!G181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+'17'!G182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+'17'!G183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+'17'!G184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+'17'!G185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+'17'!G186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+'17'!G187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+'17'!G188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+'17'!G189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+'17'!G190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+'17'!G191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+'17'!G192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+'17'!G193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+'17'!G194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+'17'!G195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+'17'!G196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+'17'!G197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+'17'!G198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+'17'!G199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+'17'!G200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+'17'!G201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+'17'!G202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+'17'!G203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+'17'!G204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+'17'!G205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+'17'!G206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+'17'!G207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+'17'!G209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+'17'!G210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+'17'!G211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+'17'!G212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+'17'!G213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0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0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SUM(L5:L214)</f>
        <v>0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0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0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270</v>
      </c>
      <c r="K227" s="24">
        <f>+K216-K221+K224</f>
        <v>0</v>
      </c>
    </row>
    <row r="228" spans="7:11">
      <c r="G228" s="2"/>
      <c r="I228" s="2"/>
      <c r="J228" s="2" t="s">
        <v>271</v>
      </c>
      <c r="K228" s="24">
        <f>SUM(K217:K218)</f>
        <v>0</v>
      </c>
    </row>
    <row r="229" spans="7:11">
      <c r="G229" s="2"/>
      <c r="I229" s="2"/>
      <c r="J229" s="2" t="s">
        <v>272</v>
      </c>
      <c r="K229" s="24">
        <f>+K223</f>
        <v>0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8AAE8-9533-4B2E-9875-82A2938E4AAB}">
  <sheetPr>
    <tabColor theme="4" tint="0.79998168889431442"/>
  </sheetPr>
  <dimension ref="A1:Z300"/>
  <sheetViews>
    <sheetView topLeftCell="A214" zoomScaleNormal="100" workbookViewId="0">
      <selection activeCell="J227" sqref="J227:K229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+'18'!G5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+'18'!G6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+'18'!G7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+'18'!G12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+'18'!G17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+'18'!G18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+'18'!G19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+'18'!G20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+'18'!G23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+'18'!G24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+'18'!G26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+'18'!G27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+'18'!G29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+'18'!G31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+'18'!G33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4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+'18'!G34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+'18'!G35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+'18'!G37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+'18'!G38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+'18'!G39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+'18'!G40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+'18'!G43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+'18'!G44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+'18'!G46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+'18'!G47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+'18'!G48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+'18'!G50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+'18'!G51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+'18'!G52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+'18'!G53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+'18'!G55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+'18'!G57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+'18'!G62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+'18'!G63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+'18'!G66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+'18'!G67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+'18'!G70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+'18'!G71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+'18'!G73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+'18'!G74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+'18'!G77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+'18'!G79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+'18'!G81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+'18'!G82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+'18'!G85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+'18'!G86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5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+'18'!G87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+'18'!G88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+'18'!G89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+'18'!G92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+'18'!G93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+'18'!G94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+'18'!G95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+'18'!G96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+'18'!G97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+'18'!G98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+'18'!G101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9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+'18'!G102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+'18'!G103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+'18'!G106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+'18'!G110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+'18'!G114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+'18'!G150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+'18'!G151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+'18'!G152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+'18'!G154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+'18'!G155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+'18'!G156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+'18'!G159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+'18'!G160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+'18'!G161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+'18'!G162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+'18'!G163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+'18'!G164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+'18'!G165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+'18'!G166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+'18'!G167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+'18'!G168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+'18'!G169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+'18'!G170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+'18'!G171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+'18'!G172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+'18'!G173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+'18'!G174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+'18'!G175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+'18'!G176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+'18'!G177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+'18'!G178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+'18'!G179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+'18'!G180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+'18'!G181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+'18'!G182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+'18'!G183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+'18'!G184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+'18'!G185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+'18'!G186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+'18'!G187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+'18'!G188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+'18'!G189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+'18'!G190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+'18'!G191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+'18'!G192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+'18'!G193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+'18'!G194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+'18'!G195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+'18'!G196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+'18'!G197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+'18'!G198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+'18'!G199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+'18'!G200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+'18'!G201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+'18'!G202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+'18'!G203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+'18'!G204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+'18'!G205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+'18'!G206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+'18'!G207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+'18'!G209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+'18'!G210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+'18'!G211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+'18'!G212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+'18'!G213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0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0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SUM(L5:L214)</f>
        <v>0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0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0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  <c r="J227" s="84" t="s">
        <v>270</v>
      </c>
      <c r="K227" s="24">
        <f>+K216-K221+K224</f>
        <v>0</v>
      </c>
    </row>
    <row r="228" spans="7:11">
      <c r="G228" s="2"/>
      <c r="I228" s="2"/>
      <c r="J228" s="2" t="s">
        <v>271</v>
      </c>
      <c r="K228" s="24">
        <f>SUM(K217:K218)</f>
        <v>0</v>
      </c>
    </row>
    <row r="229" spans="7:11">
      <c r="G229" s="2"/>
      <c r="I229" s="2"/>
      <c r="J229" s="2" t="s">
        <v>272</v>
      </c>
      <c r="K229" s="24">
        <f>+K223</f>
        <v>0</v>
      </c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713A4-6E60-4A91-B1E6-886D25BD6990}">
  <sheetPr>
    <tabColor theme="4" tint="0.79998168889431442"/>
  </sheetPr>
  <dimension ref="A1:Z300"/>
  <sheetViews>
    <sheetView topLeftCell="A212" zoomScaleNormal="100" workbookViewId="0">
      <selection activeCell="L5" sqref="L5:L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+'19'!G5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+'19'!G6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+'19'!G7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+'19'!G8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+'19'!G9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+'19'!G12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+'19'!G13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+'19'!G14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+'19'!G15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+'19'!G17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+'19'!G18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+'19'!G19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+'19'!G20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+'19'!G22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+'19'!G23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+'19'!G24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+'19'!G26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+'19'!G27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+'19'!G29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+'19'!G31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+'19'!G33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4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+'19'!G34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+'19'!G35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+'19'!G37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+'19'!G38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+'19'!G39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+'19'!G40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+'19'!G41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+'19'!G42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+'19'!G43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+'19'!G44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+'19'!G46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+'19'!G47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+'19'!G48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+'19'!G50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+'19'!G51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+'19'!G52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+'19'!G53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+'19'!G54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+'19'!G55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+'19'!G56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+'19'!G57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+'19'!G61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+'19'!G62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+'19'!G63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+'19'!G66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+'19'!G67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+'19'!G68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+'19'!G70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+'19'!G71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+'19'!G73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+'19'!G74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+'19'!G77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+'19'!G79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+'19'!G81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+'19'!G82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+'19'!G85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+'19'!G86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5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+'19'!G87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+'19'!G88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+'19'!G89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+'19'!G90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+'19'!G92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+'19'!G93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+'19'!G94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+'19'!G95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+'19'!G96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+'19'!G97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+'19'!G98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+'19'!G101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9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+'19'!G102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+'19'!G103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+'19'!G106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+'19'!G110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+'19'!G114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+'19'!G141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+'19'!G150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+'19'!G151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+'19'!G152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+'19'!G154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+'19'!G155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+'19'!G156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+'19'!G159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+'19'!G160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+'19'!G161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+'19'!G162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+'19'!G163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+'19'!G164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+'19'!G165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+'19'!G166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+'19'!G167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+'19'!G168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+'19'!G169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+'19'!G170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+'19'!G171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+'19'!G172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+'19'!G173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+'19'!G174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+'19'!G175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+'19'!G176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+'19'!G177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+'19'!G178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+'19'!G179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+'19'!G180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+'19'!G181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+'19'!G182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+'19'!G183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+'19'!G184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+'19'!G185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+'19'!G186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+'19'!G187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+'19'!G188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+'19'!G189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+'19'!G190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+'19'!G191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+'19'!G192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+'19'!G193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+'19'!G194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+'19'!G195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+'19'!G196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+'19'!G197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+'19'!G198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+'19'!G199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+'19'!G200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+'19'!G201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+'19'!G202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+'19'!G203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+'19'!G204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+'19'!G205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+'19'!G206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+'19'!G207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+'19'!G208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+'19'!G209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+'19'!G210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+'19'!G211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+'19'!G212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+'19'!G213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0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0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SUM(L5:L214)</f>
        <v>0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0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0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784DC-C1EA-4324-8BA2-645B51E3AF76}">
  <sheetPr>
    <tabColor theme="4" tint="0.79998168889431442"/>
  </sheetPr>
  <dimension ref="A1:Z300"/>
  <sheetViews>
    <sheetView topLeftCell="A211" zoomScaleNormal="100" workbookViewId="0">
      <selection activeCell="L5" sqref="L5:L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+'20'!G5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+'20'!G6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+'20'!G7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+'20'!G12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+'20'!G17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+'20'!G18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+'20'!G19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+'20'!G20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+'20'!G23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+'20'!G24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+'20'!G26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+'20'!G27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+'20'!G29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+'20'!G31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+'20'!G33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4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+'20'!G34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+'20'!G37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+'20'!G38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+'20'!G39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+'20'!G40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+'20'!G43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+'20'!G44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+'20'!G48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+'20'!G50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+'20'!G51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+'20'!G52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+'20'!G53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+'20'!G55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+'20'!G62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+'20'!G63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+'20'!G66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+'20'!G67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+'20'!G70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+'20'!G71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+'20'!G73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+'20'!G74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+'20'!G77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+'20'!G79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+'20'!G81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+'20'!G82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+'20'!G85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+'20'!G86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5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+'20'!G87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+'20'!G88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+'20'!G89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+'20'!G92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+'20'!G94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+'20'!G95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+'20'!G97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+'20'!G101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9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+'20'!G150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+'20'!G151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+'20'!G154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+'20'!G159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+'20'!G163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+'20'!G167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+'20'!G168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+'20'!G170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+'20'!G176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+'20'!G178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+'20'!G183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+'20'!G192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+'20'!G193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+'20'!G197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+'20'!G204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+'20'!G205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+'20'!G209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+'20'!G210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+'20'!G211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+'20'!G212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+'20'!G213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0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0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SUM(L5:L214)</f>
        <v>0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0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0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FAC9-243D-46E8-B5DC-5884440ADBF6}">
  <sheetPr>
    <tabColor theme="4" tint="0.79998168889431442"/>
  </sheetPr>
  <dimension ref="A1:Z300"/>
  <sheetViews>
    <sheetView topLeftCell="A212" zoomScaleNormal="100" workbookViewId="0">
      <selection activeCell="L5" sqref="L5:L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+'21'!G5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+'21'!G6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+'21'!G7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+'21'!G8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+'21'!G9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+'21'!G12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+'21'!G13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+'21'!G14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+'21'!G15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+'21'!G17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+'21'!G18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+'21'!G19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+'21'!G20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+'21'!G22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+'21'!G23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+'21'!G24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+'21'!G26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+'21'!G27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+'21'!G29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+'21'!G31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+'21'!G33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4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+'21'!G34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+'21'!G35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+'21'!G37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+'21'!G38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+'21'!G39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+'21'!G40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+'21'!G41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+'21'!G42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+'21'!G43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+'21'!G44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+'21'!G46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+'21'!G47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+'21'!G48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+'21'!G50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+'21'!G51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+'21'!G52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+'21'!G53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+'21'!G54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+'21'!G55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+'21'!G56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+'21'!G57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+'21'!G61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+'21'!G62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+'21'!G63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+'21'!G66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+'21'!G67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+'21'!G68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+'21'!G70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+'21'!G71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+'21'!G73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+'21'!G74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+'21'!G77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+'21'!G79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+'21'!G81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+'21'!G82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+'21'!G85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+'21'!G86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5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+'21'!G87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+'21'!G88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+'21'!G89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+'21'!G90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+'21'!G92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+'21'!G94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+'21'!G95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+'21'!G96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+'21'!G97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+'21'!G98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+'21'!G101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9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+'21'!G102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+'21'!G103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+'21'!G106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+'21'!G110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+'21'!G114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+'21'!G141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+'21'!G150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+'21'!G151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+'21'!G152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+'21'!G154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+'21'!G155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+'21'!G156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+'21'!G159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+'21'!G160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+'21'!G161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+'21'!G162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+'21'!G163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+'21'!G164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+'21'!G165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+'21'!G166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+'21'!G167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+'21'!G168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+'21'!G169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+'21'!G170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+'21'!G171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+'21'!G172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+'21'!G173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+'21'!G174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+'21'!G175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+'21'!G176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+'21'!G177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+'21'!G178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+'21'!G179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+'21'!G180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+'21'!G181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+'21'!G182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+'21'!G183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+'21'!G184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+'21'!G185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+'21'!G186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+'21'!G187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+'21'!G188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+'21'!G189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+'21'!G190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+'21'!G191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+'21'!G192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+'21'!G193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+'21'!G194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+'21'!G195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+'21'!G196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+'21'!G197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+'21'!G198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+'21'!G199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+'21'!G200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+'21'!G201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+'21'!G202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+'21'!G203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+'21'!G204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+'21'!G205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+'21'!G206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+'21'!G207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+'21'!G208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+'21'!G209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+'21'!G210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+'21'!G211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+'21'!G212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+'21'!G213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0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0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SUM(L5:L214)</f>
        <v>0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0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0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E1983-0255-4675-B5D8-8BBC367A6848}">
  <sheetPr>
    <tabColor theme="4" tint="0.79998168889431442"/>
  </sheetPr>
  <dimension ref="A1:Z300"/>
  <sheetViews>
    <sheetView topLeftCell="A145" zoomScaleNormal="100" workbookViewId="0">
      <selection activeCell="L5" sqref="L5:L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+'22'!G5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+'22'!G6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+'22'!G7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+'22'!G8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+'22'!G9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+'22'!G12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+'22'!G13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+'22'!G14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+'22'!G15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+'22'!G17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+'22'!G18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+'22'!G19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+'22'!G20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+'22'!G22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+'22'!G23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+'22'!G24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+'22'!G26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+'22'!G27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+'22'!G29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+'22'!G31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+'22'!G33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4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+'22'!G34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+'22'!G35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+'22'!G37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+'22'!G38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+'22'!G39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+'22'!G40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+'22'!G41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+'22'!G42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+'22'!G43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+'22'!G44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+'22'!G46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+'22'!G47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+'22'!G48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+'22'!G50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+'22'!G51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+'22'!G52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+'22'!G53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+'22'!G54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+'22'!G55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+'22'!G56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+'22'!G57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+'22'!G61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+'22'!G62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+'22'!G63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+'22'!G66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+'22'!G67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+'22'!G68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+'22'!G70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+'22'!G71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+'22'!G73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+'22'!G74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+'22'!G77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+'22'!G78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+'22'!G79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+'22'!G81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+'22'!G82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+'22'!G85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+'22'!G86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5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+'22'!G87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+'22'!G88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+'22'!G89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+'22'!G90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+'22'!G92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+'22'!G94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+'22'!G95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+'22'!G96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+'22'!G97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+'22'!G98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+'22'!G101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9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+'22'!G102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+'22'!G103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+'22'!G106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+'22'!G110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+'22'!G114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+'22'!G141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+'22'!G150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+'22'!G151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+'22'!G152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+'22'!G153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+'22'!G154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+'22'!G155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+'22'!G156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+'22'!G157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+'22'!G159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+'22'!G160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+'22'!G161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+'22'!G162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+'22'!G163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+'22'!G164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+'22'!G165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+'22'!G166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+'22'!G167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+'22'!G168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+'22'!G169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+'22'!G170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+'22'!G171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+'22'!G172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+'22'!G173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+'22'!G174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+'22'!G175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+'22'!G176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+'22'!G177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+'22'!G178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+'22'!G179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+'22'!G180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+'22'!G181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+'22'!G182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+'22'!G183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+'22'!G184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+'22'!G185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+'22'!G186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+'22'!G187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+'22'!G188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+'22'!G189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+'22'!G190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+'22'!G191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+'22'!G192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+'22'!G193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+'22'!G194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+'22'!G195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+'22'!G196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+'22'!G197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+'22'!G198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+'22'!G199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+'22'!G200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+'22'!G201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+'22'!G202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+'22'!G203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+'22'!G204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+'22'!G205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+'22'!G206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+'22'!G207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+'22'!G208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+'22'!G209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+'22'!G210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+'22'!G211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+'22'!G212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+'22'!G213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0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0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SUM(L5:L214)</f>
        <v>0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0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0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609DC-84C3-474E-AE8C-9F0AAC33B43E}">
  <sheetPr>
    <tabColor theme="4" tint="0.79998168889431442"/>
  </sheetPr>
  <dimension ref="A1:Z300"/>
  <sheetViews>
    <sheetView topLeftCell="A209" zoomScaleNormal="100" workbookViewId="0">
      <selection activeCell="L5" sqref="L5:L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+'23'!G5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+'23'!G6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+'23'!G7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+'23'!G8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+'23'!G9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+'23'!G12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+'23'!G13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+'23'!G14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+'23'!G15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+'23'!G17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+'23'!G18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+'23'!G19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+'23'!G20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+'23'!G22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+'23'!G23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+'23'!G24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+'23'!G26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+'23'!G27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+'23'!G29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+'23'!G31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+'23'!G33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4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+'23'!G34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+'23'!G35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+'23'!G37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+'23'!G38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+'23'!G39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+'23'!G40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+'23'!G41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+'23'!G42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+'23'!G43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+'23'!G44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+'23'!G46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+'23'!G47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+'23'!G48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+'23'!G50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+'23'!G51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+'23'!G52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+'23'!G53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+'23'!G54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+'23'!G55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+'23'!G56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+'23'!G57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+'23'!G61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+'23'!G62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+'23'!G63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+'23'!G66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+'23'!G67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+'23'!G68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+'23'!G70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+'23'!G71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+'23'!G73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+'23'!G74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+'23'!G77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+'23'!G79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+'23'!G81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+'23'!G82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+'23'!G85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+'23'!G86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5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+'23'!G87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+'23'!G88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+'23'!G89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+'23'!G90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+'23'!G92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+'23'!G93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+'23'!G94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+'23'!G95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+'23'!G96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+'23'!G97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+'23'!G98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+'23'!G101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9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+'23'!G102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+'23'!G103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+'23'!G106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+'23'!G114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+'23'!G127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+'23'!G141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+'23'!G150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+'23'!G151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+'23'!G152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+'23'!G153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+'23'!G154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+'23'!G155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+'23'!G156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+'23'!G157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+'23'!G159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+'23'!G160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+'23'!G161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+'23'!G162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+'23'!G163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+'23'!G164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+'23'!G165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+'23'!G166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+'23'!G167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+'23'!G168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+'23'!G169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+'23'!G170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+'23'!G171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+'23'!G172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+'23'!G173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+'23'!G174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+'23'!G175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+'23'!G176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+'23'!G177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+'23'!G178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+'23'!G179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+'23'!G180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+'23'!G181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+'23'!G182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+'23'!G183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+'23'!G184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+'23'!G185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+'23'!G186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+'23'!G187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+'23'!G188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+'23'!G189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+'23'!G190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+'23'!G191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+'23'!G192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+'23'!G193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+'23'!G194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+'23'!G195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+'23'!G196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+'23'!G197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+'23'!G198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+'23'!G199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+'23'!G200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+'23'!G201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+'23'!G202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+'23'!G203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+'23'!G204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+'23'!G205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+'23'!G206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+'23'!G207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+'23'!G208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+'23'!G209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+'23'!G210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+'23'!G211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+'23'!G212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+'23'!G213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0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0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SUM(L5:L214)</f>
        <v>0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0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0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21FD-C6F3-4874-9D18-EC27B27A5F37}">
  <sheetPr>
    <tabColor theme="4" tint="0.79998168889431442"/>
  </sheetPr>
  <dimension ref="A1:Z300"/>
  <sheetViews>
    <sheetView topLeftCell="A210" zoomScaleNormal="100" workbookViewId="0">
      <selection activeCell="L5" sqref="L5:L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+'24'!G5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+'24'!G6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+'24'!G7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+'24'!G8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+'24'!G9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+'24'!G12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+'24'!G13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+'24'!G14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+'24'!G15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+'24'!G17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+'24'!G18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+'24'!G19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+'24'!G20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+'24'!G22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+'24'!G23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+'24'!G24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+'24'!G26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+'24'!G27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+'24'!G29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+'24'!G31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+'24'!G33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4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+'24'!G34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+'24'!G35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+'24'!G37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+'24'!G38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+'24'!G39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+'24'!G40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+'24'!G41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+'24'!G42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+'24'!G43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+'24'!G44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+'24'!G46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+'24'!G47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+'24'!G48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+'24'!G49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+'24'!G50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+'24'!G51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+'24'!G52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+'24'!G53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+'24'!G54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+'24'!G55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+'24'!G56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+'24'!G57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+'24'!G61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+'24'!G62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+'24'!G63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+'24'!G66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+'24'!G67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+'24'!G68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+'24'!G70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+'24'!G71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+'24'!G73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+'24'!G74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+'24'!G77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+'24'!G79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+'24'!G81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+'24'!G82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+'24'!G85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+'24'!G86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5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+'24'!G87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+'24'!G88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+'24'!G89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+'24'!G90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+'24'!G92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+'24'!G93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+'24'!G94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+'24'!G95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+'24'!G96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+'24'!G97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+'24'!G98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+'24'!G101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9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+'24'!G102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+'24'!G103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+'24'!G106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+'24'!G114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+'24'!G127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+'24'!G141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+'24'!G150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+'24'!G151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+'24'!G152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+'24'!G153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+'24'!G154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+'24'!G155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+'24'!G156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+'24'!G157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+'24'!G159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+'24'!G160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+'24'!G161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+'24'!G162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+'24'!G163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+'24'!G164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+'24'!G165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+'24'!G166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+'24'!G167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+'24'!G168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+'24'!G169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+'24'!G170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+'24'!G171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+'24'!G172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+'24'!G173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+'24'!G174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+'24'!G175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+'24'!G176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+'24'!G177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+'24'!G178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+'24'!G179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+'24'!G180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+'24'!G181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+'24'!G182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+'24'!G183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+'24'!G184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+'24'!G185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+'24'!G186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+'24'!G187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+'24'!G188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+'24'!G189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+'24'!G190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+'24'!G191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+'24'!G192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+'24'!G193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+'24'!G194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+'24'!G195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+'24'!G196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+'24'!G197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+'24'!G198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+'24'!G199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+'24'!G200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+'24'!G201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+'24'!G202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+'24'!G203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+'24'!G204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+'24'!G205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+'24'!G206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+'24'!G207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+'24'!G208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+'24'!G209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+'24'!G210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+'24'!G211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+'24'!G212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+'24'!G213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0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0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SUM(L5:L214)</f>
        <v>0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0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0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CC5C-4384-4338-981B-813E7C8C61D0}">
  <sheetPr>
    <tabColor theme="4" tint="0.79998168889431442"/>
  </sheetPr>
  <dimension ref="A1:Z300"/>
  <sheetViews>
    <sheetView topLeftCell="A210" zoomScaleNormal="100" workbookViewId="0">
      <selection activeCell="L5" sqref="L5:L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+'25'!G5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+'25'!G6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+'25'!G7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+'25'!G8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+'25'!G9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+'25'!G12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+'25'!G13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+'25'!G14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+'25'!G15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+'25'!G17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+'25'!G18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+'25'!G19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+'25'!G20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+'25'!G22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+'25'!G23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+'25'!G24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+'25'!G26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+'25'!G27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+'25'!G29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+'25'!G31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+'25'!G33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4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+'25'!G34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+'25'!G35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+'25'!G37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+'25'!G38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+'25'!G39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+'25'!G40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+'25'!G41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+'25'!G42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+'25'!G43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+'25'!G44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+'25'!G46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+'25'!G47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+'25'!G48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+'25'!G49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+'25'!G50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+'25'!G51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+'25'!G52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+'25'!G53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+'25'!G54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+'25'!G55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+'25'!G56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+'25'!G57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+'25'!G61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+'25'!G62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+'25'!G63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+'25'!G66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+'25'!G67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+'25'!G68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+'25'!G70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+'25'!G71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+'25'!G73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+'25'!G74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+'25'!G77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+'25'!G79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+'25'!G81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+'25'!G82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+'25'!G85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+'25'!G86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5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+'25'!G87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+'25'!G88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+'25'!G89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+'25'!G90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+'25'!G92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+'25'!G93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+'25'!G94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+'25'!G95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+'25'!G96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+'25'!G97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+'25'!G98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+'25'!G101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9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+'25'!G102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+'25'!G103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+'25'!G106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+'25'!G114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+'25'!G127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+'25'!G141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+'25'!G150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+'25'!G151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+'25'!G152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+'25'!G153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+'25'!G154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+'25'!G155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+'25'!G156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+'25'!G157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+'25'!G159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+'25'!G160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+'25'!G161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+'25'!G162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+'25'!G163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+'25'!G164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+'25'!G165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+'25'!G166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+'25'!G167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+'25'!G168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+'25'!G169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+'25'!G170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+'25'!G171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+'25'!G172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+'25'!G173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+'25'!G174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+'25'!G175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+'25'!G176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+'25'!G177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+'25'!G178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+'25'!G179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+'25'!G180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+'25'!G181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+'25'!G182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+'25'!G183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+'25'!G184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+'25'!G185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+'25'!G186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+'25'!G187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+'25'!G188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+'25'!G189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+'25'!G190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+'25'!G191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+'25'!G192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+'25'!G193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+'25'!G194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+'25'!G195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+'25'!G196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+'25'!G197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+'25'!G198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+'25'!G199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+'25'!G200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+'25'!G201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+'25'!G202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+'25'!G203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+'25'!G204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+'25'!G205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+'25'!G206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+'25'!G207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+'25'!G208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+'25'!G209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+'25'!G210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+'25'!G211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+'25'!G212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+'25'!G213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0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0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SUM(L5:L214)</f>
        <v>0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0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0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369D2-F297-470A-A6E8-F4CCAB69D224}">
  <sheetPr>
    <tabColor theme="4" tint="0.79998168889431442"/>
  </sheetPr>
  <dimension ref="A1:Z300"/>
  <sheetViews>
    <sheetView topLeftCell="A212" zoomScaleNormal="100" workbookViewId="0">
      <selection activeCell="L5" sqref="L5:L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+'26'!G5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+'26'!G6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+'26'!G7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+'26'!G8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+'26'!G9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+'26'!G12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+'26'!G13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+'26'!G14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+'26'!G15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+'26'!G17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+'26'!G18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+'26'!G19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+'26'!G20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+'26'!G22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+'26'!G23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+'26'!G24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+'26'!G26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+'26'!G27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+'26'!G29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+'26'!G31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+'26'!G33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4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+'26'!G34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+'26'!G35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+'26'!G37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+'26'!G38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+'26'!G39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+'26'!G40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+'26'!G41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+'26'!G42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+'26'!G43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+'26'!G44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+'26'!G46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+'26'!G47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+'26'!G48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+'26'!G49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+'26'!G50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+'26'!G51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+'26'!G52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+'26'!G53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+'26'!G54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+'26'!G55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+'26'!G56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+'26'!G57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+'26'!G61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+'26'!G62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+'26'!G63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+'26'!G66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+'26'!G67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+'26'!G68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+'26'!G70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+'26'!G71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+'26'!G73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+'26'!G74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+'26'!G77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+'26'!G79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+'26'!G81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+'26'!G82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+'26'!G85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+'26'!G86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5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+'26'!G87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+'26'!G88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+'26'!G89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+'26'!G90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+'26'!G92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+'26'!G94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+'26'!G95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+'26'!G96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+'26'!G97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+'26'!G101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9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+'26'!G102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+'26'!G106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+'26'!G114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+'26'!G150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+'26'!G151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+'26'!G152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+'26'!G153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+'26'!G154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+'26'!G156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+'26'!G159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+'26'!G160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+'26'!G161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+'26'!G162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+'26'!G163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+'26'!G164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+'26'!G165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+'26'!G166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+'26'!G167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+'26'!G168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+'26'!G169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+'26'!G170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+'26'!G171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+'26'!G172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+'26'!G173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+'26'!G174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+'26'!G175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+'26'!G176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+'26'!G177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+'26'!G178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+'26'!G179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+'26'!G180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+'26'!G181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+'26'!G182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+'26'!G183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+'26'!G184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+'26'!G185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+'26'!G186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+'26'!G187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+'26'!G188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+'26'!G189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+'26'!G190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+'26'!G191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+'26'!G192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+'26'!G193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+'26'!G194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+'26'!G195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+'26'!G196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+'26'!G197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+'26'!G198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+'26'!G199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+'26'!G200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+'26'!G201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+'26'!G202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+'26'!G203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+'26'!G204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+'26'!G205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+'26'!G206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+'26'!G207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+'26'!G208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+'26'!G209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+'26'!G210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+'26'!G211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+'26'!G212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+'26'!G213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0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0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SUM(L5:L214)</f>
        <v>0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0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0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A48C-6F9E-4C1C-A8DB-B190563258CE}">
  <sheetPr>
    <tabColor theme="4" tint="0.79998168889431442"/>
  </sheetPr>
  <dimension ref="A1:Z300"/>
  <sheetViews>
    <sheetView topLeftCell="A180" zoomScaleNormal="100" workbookViewId="0">
      <selection activeCell="L5" sqref="L5:L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+'27'!G5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+'27'!G6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+'27'!G7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+'27'!G8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+'27'!G9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+'27'!G12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+'27'!G13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+'27'!G14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+'27'!G15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+'27'!G17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+'27'!G18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+'27'!G19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+'27'!G20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+'27'!G22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+'27'!G23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+'27'!G24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+'27'!G26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+'27'!G27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+'27'!G29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+'27'!G31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+'27'!G33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4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+'27'!G34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+'27'!G35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+'27'!G37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+'27'!G38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+'27'!G39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+'27'!G40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+'27'!G41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+'27'!G42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+'27'!G43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+'27'!G44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+'27'!G46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+'27'!G47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+'27'!G48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+'27'!G50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+'27'!G51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+'27'!G52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+'27'!G53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+'27'!G54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+'27'!G55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+'27'!G56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+'27'!G57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+'27'!G61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+'27'!G62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+'27'!G63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+'27'!G66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+'27'!G67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+'27'!G68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+'27'!G70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+'27'!G71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+'27'!G73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+'27'!G74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+'27'!G77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+'27'!G79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+'27'!G81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+'27'!G82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+'27'!G85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+'27'!G86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5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+'27'!G87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+'27'!G88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+'27'!G89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+'27'!G90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+'27'!G92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+'27'!G94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+'27'!G95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+'27'!G96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+'27'!G97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+'27'!G101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9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+'27'!G102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+'27'!G106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+'27'!G114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+'27'!G150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+'27'!G151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+'27'!G152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+'27'!G153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+'27'!G154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+'27'!G156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+'27'!G159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+'27'!G160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+'27'!G161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+'27'!G162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+'27'!G163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+'27'!G164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+'27'!G165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+'27'!G166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+'27'!G167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+'27'!G168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+'27'!G169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+'27'!G170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+'27'!G171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+'27'!G172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+'27'!G173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+'27'!G174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+'27'!G175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+'27'!G176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+'27'!G177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+'27'!G178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+'27'!G179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+'27'!G180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+'27'!G181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+'27'!G182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+'27'!G183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+'27'!G184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+'27'!G185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+'27'!G186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+'27'!G187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+'27'!G188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+'27'!G189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+'27'!G190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+'27'!G191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+'27'!G192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+'27'!G193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+'27'!G194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+'27'!G195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+'27'!G196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+'27'!G197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+'27'!G198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+'27'!G199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+'27'!G200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+'27'!G201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+'27'!G202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+'27'!G203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+'27'!G204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+'27'!G205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+'27'!G206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+'27'!G207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+'27'!G208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+'27'!G209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+'27'!G210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+'27'!G211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+'27'!G212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+'27'!G213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0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0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SUM(L5:L214)</f>
        <v>0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0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0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CADD-4B23-4DAC-A379-AD553BD59959}">
  <sheetPr>
    <tabColor theme="4" tint="0.79998168889431442"/>
  </sheetPr>
  <dimension ref="A1:Z300"/>
  <sheetViews>
    <sheetView topLeftCell="B210" zoomScaleNormal="100" workbookViewId="0">
      <selection activeCell="L5" sqref="L5:L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+'28'!G5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+'28'!G6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+'28'!G7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+'28'!G8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+'28'!G9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+'28'!G12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+'28'!G13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+'28'!G14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+'28'!G15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+'28'!G17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+'28'!G18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+'28'!G19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+'28'!G20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+'28'!G22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+'28'!G23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+'28'!G24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+'28'!G26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+'28'!G27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+'28'!G29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+'28'!G31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+'28'!G33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4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+'28'!G34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+'28'!G35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+'28'!G37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+'28'!G38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+'28'!G39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+'28'!G40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+'28'!G41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+'28'!G42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+'28'!G43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+'28'!G44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+'28'!G46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+'28'!G47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+'28'!G48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+'28'!G50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+'28'!G51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+'28'!G52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+'28'!G53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+'28'!G54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+'28'!G55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+'28'!G56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+'28'!G57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+'28'!G61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+'28'!G62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+'28'!G63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+'28'!G66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+'28'!G67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+'28'!G68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+'28'!G70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+'28'!G71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+'28'!G73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+'28'!G74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+'28'!G77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+'28'!G79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+'28'!G81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+'28'!G82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+'28'!G85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+'28'!G86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5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+'28'!G87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+'28'!G88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+'28'!G89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+'28'!G90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+'28'!G92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+'28'!G94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+'28'!G95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+'28'!G96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+'28'!G97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+'28'!G101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9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+'28'!G102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+'28'!G106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+'28'!G150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+'28'!G151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+'28'!G152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+'28'!G153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+'28'!G154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+'28'!G156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+'28'!G159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+'28'!G160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+'28'!G161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+'28'!G162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+'28'!G163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+'28'!G164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+'28'!G165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+'28'!G166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+'28'!G167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+'28'!G168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+'28'!G169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+'28'!G170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+'28'!G171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+'28'!G172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+'28'!G173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+'28'!G174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+'28'!G175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+'28'!G176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+'28'!G177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+'28'!G178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+'28'!G179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+'28'!G180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+'28'!G181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+'28'!G182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+'28'!G183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+'28'!G184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+'28'!G185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+'28'!G186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+'28'!G187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+'28'!G188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+'28'!G189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+'28'!G190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+'28'!G191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+'28'!G192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+'28'!G193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+'28'!G194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+'28'!G195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+'28'!G196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+'28'!G197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+'28'!G198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+'28'!G199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+'28'!G200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+'28'!G201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+'28'!G202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+'28'!G203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+'28'!G204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+'28'!G205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+'28'!G206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+'28'!G207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+'28'!G208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+'28'!G209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+'28'!G210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+'28'!G211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+'28'!G212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+'28'!G213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0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0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SUM(L5:L214)</f>
        <v>0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0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0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91D83-1BD7-44D2-ADCC-9ABD35FA9A94}">
  <sheetPr>
    <tabColor theme="4" tint="0.79998168889431442"/>
  </sheetPr>
  <dimension ref="A1:Z300"/>
  <sheetViews>
    <sheetView topLeftCell="A205" zoomScaleNormal="100" workbookViewId="0">
      <selection activeCell="L5" sqref="L5:L214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+'29'!G5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+'29'!G6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+'29'!G7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+'29'!G8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+'29'!G9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+'29'!G12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+'29'!G13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+'29'!G14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+'29'!G15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+'29'!G17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+'29'!G18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+'29'!G19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+'29'!G20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+'29'!G22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+'29'!G23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+'29'!G24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+'29'!G26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+'29'!G27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+'29'!G29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+'29'!G31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+'29'!G33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4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+'29'!G34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+'29'!G35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+'29'!G37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+'29'!G38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+'29'!G39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+'29'!G40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+'29'!G41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+'29'!G42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+'29'!G43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+'29'!G44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+'29'!G46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+'29'!G47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+'29'!G48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+'29'!G49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+'29'!G50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+'29'!G51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+'29'!G52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+'29'!G53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+'29'!G54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+'29'!G55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+'29'!G56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+'29'!G57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+'29'!G61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+'29'!G62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+'29'!G63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+'29'!G66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+'29'!G67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+'29'!G68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+'29'!G70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+'29'!G71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+'29'!G73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+'29'!G74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+'29'!G77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+'29'!G79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+'29'!G81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+'29'!G82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+'29'!G85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+'29'!G86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5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+'29'!G87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+'29'!G88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+'29'!G89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+'29'!G90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+'29'!G94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+'29'!G95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+'29'!G96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+'29'!G97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+'29'!G101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9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+'29'!G102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+'29'!G106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+'29'!G150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+'29'!G151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+'29'!G152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+'29'!G153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+'29'!G154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+'29'!G156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+'29'!G159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+'29'!G160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+'29'!G161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+'29'!G162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+'29'!G163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+'29'!G164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+'29'!G165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+'29'!G166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+'29'!G167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+'29'!G168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+'29'!G169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+'29'!G170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+'29'!G171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+'29'!G172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+'29'!G173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+'29'!G174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+'29'!G175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+'29'!G176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+'29'!G177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+'29'!G178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+'29'!G179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+'29'!G180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+'29'!G181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+'29'!G182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+'29'!G183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+'29'!G184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+'29'!G185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+'29'!G186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+'29'!G187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+'29'!G188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+'29'!G189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+'29'!G190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+'29'!G191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+'29'!G192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+'29'!G193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+'29'!G194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+'29'!G195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+'29'!G196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+'29'!G197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+'29'!G198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+'29'!G199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+'29'!G200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+'29'!G201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+'29'!G202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+'29'!G203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+'29'!G204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+'29'!G205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+'29'!G206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+'29'!G207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+'29'!G208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+'29'!G209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+'29'!G210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+'29'!G211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+'29'!G212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+'29'!G213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0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0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SUM(L5:L214)</f>
        <v>0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0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0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FFDDF-4690-4F99-A834-CE9B57CD4DED}">
  <sheetPr>
    <tabColor theme="4" tint="0.79998168889431442"/>
  </sheetPr>
  <dimension ref="A1:Z300"/>
  <sheetViews>
    <sheetView topLeftCell="A34" zoomScaleNormal="100" workbookViewId="0">
      <selection activeCell="G7" sqref="G7"/>
    </sheetView>
  </sheetViews>
  <sheetFormatPr defaultColWidth="9" defaultRowHeight="24.75"/>
  <cols>
    <col min="1" max="1" width="6.5703125" style="2" customWidth="1"/>
    <col min="2" max="2" width="39.7109375" style="2" bestFit="1" customWidth="1"/>
    <col min="3" max="6" width="9.5703125" style="2" customWidth="1"/>
    <col min="7" max="7" width="10.140625" style="39" bestFit="1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2" width="9" style="2"/>
    <col min="13" max="13" width="10.42578125" style="2" bestFit="1" customWidth="1"/>
    <col min="14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18" t="s">
        <v>218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O2" s="119" t="s">
        <v>0</v>
      </c>
      <c r="P2" s="119"/>
      <c r="Q2" s="119"/>
      <c r="R2" s="119"/>
      <c r="S2" s="119"/>
      <c r="T2" s="119"/>
      <c r="U2" s="119"/>
      <c r="V2" s="119"/>
      <c r="W2" s="119"/>
      <c r="X2" s="119"/>
      <c r="Y2" s="119"/>
    </row>
    <row r="3" spans="1:26" s="5" customFormat="1" ht="26.25">
      <c r="A3" s="120" t="s">
        <v>1</v>
      </c>
      <c r="B3" s="120" t="s">
        <v>2</v>
      </c>
      <c r="C3" s="121" t="s">
        <v>3</v>
      </c>
      <c r="D3" s="121" t="s">
        <v>4</v>
      </c>
      <c r="E3" s="121" t="s">
        <v>5</v>
      </c>
      <c r="F3" s="4" t="s">
        <v>6</v>
      </c>
      <c r="G3" s="123" t="s">
        <v>7</v>
      </c>
      <c r="H3" s="125" t="s">
        <v>8</v>
      </c>
      <c r="I3" s="126"/>
      <c r="J3" s="127"/>
      <c r="K3" s="132" t="s">
        <v>9</v>
      </c>
      <c r="L3" s="128" t="s">
        <v>10</v>
      </c>
      <c r="O3" s="120" t="s">
        <v>1</v>
      </c>
      <c r="P3" s="120" t="s">
        <v>2</v>
      </c>
      <c r="Q3" s="121" t="s">
        <v>3</v>
      </c>
      <c r="R3" s="121" t="s">
        <v>4</v>
      </c>
      <c r="S3" s="121" t="s">
        <v>5</v>
      </c>
      <c r="T3" s="4" t="s">
        <v>6</v>
      </c>
      <c r="U3" s="123" t="s">
        <v>7</v>
      </c>
      <c r="V3" s="125" t="s">
        <v>8</v>
      </c>
      <c r="W3" s="126"/>
      <c r="X3" s="127"/>
      <c r="Y3" s="132" t="s">
        <v>9</v>
      </c>
      <c r="Z3" s="128" t="s">
        <v>10</v>
      </c>
    </row>
    <row r="4" spans="1:26" s="5" customFormat="1" ht="27" thickBot="1">
      <c r="A4" s="120"/>
      <c r="B4" s="120"/>
      <c r="C4" s="122"/>
      <c r="D4" s="122"/>
      <c r="E4" s="122"/>
      <c r="F4" s="6" t="s">
        <v>11</v>
      </c>
      <c r="G4" s="124"/>
      <c r="H4" s="7" t="s">
        <v>12</v>
      </c>
      <c r="I4" s="8" t="s">
        <v>13</v>
      </c>
      <c r="J4" s="9" t="s">
        <v>14</v>
      </c>
      <c r="K4" s="133"/>
      <c r="L4" s="128"/>
      <c r="O4" s="120"/>
      <c r="P4" s="120"/>
      <c r="Q4" s="122"/>
      <c r="R4" s="122"/>
      <c r="S4" s="122"/>
      <c r="T4" s="6" t="s">
        <v>11</v>
      </c>
      <c r="U4" s="124"/>
      <c r="V4" s="7" t="s">
        <v>12</v>
      </c>
      <c r="W4" s="8" t="s">
        <v>13</v>
      </c>
      <c r="X4" s="9" t="s">
        <v>14</v>
      </c>
      <c r="Y4" s="133"/>
      <c r="Z4" s="128"/>
    </row>
    <row r="5" spans="1:26" ht="25.5">
      <c r="A5" s="10">
        <v>1</v>
      </c>
      <c r="B5" s="11" t="s">
        <v>15</v>
      </c>
      <c r="C5" s="12">
        <f>+'30'!G5</f>
        <v>20</v>
      </c>
      <c r="D5" s="13">
        <v>0</v>
      </c>
      <c r="E5" s="12">
        <f t="shared" ref="E5:E94" si="0">C5+D5</f>
        <v>20</v>
      </c>
      <c r="F5" s="13">
        <v>0</v>
      </c>
      <c r="G5" s="14">
        <f t="shared" ref="G5:G81" si="1">E5-F5-H5</f>
        <v>20</v>
      </c>
      <c r="H5" s="15">
        <v>0</v>
      </c>
      <c r="I5" s="16">
        <v>50</v>
      </c>
      <c r="J5" s="43">
        <f>+I5*H5</f>
        <v>0</v>
      </c>
      <c r="K5" s="18" t="s">
        <v>16</v>
      </c>
      <c r="L5" s="19">
        <v>0</v>
      </c>
      <c r="M5" s="24">
        <f>SUM(J5-L5)</f>
        <v>0</v>
      </c>
      <c r="O5" s="10">
        <v>1</v>
      </c>
      <c r="P5" s="11"/>
      <c r="Q5" s="12">
        <f>+'[2]วันที่ 7'!U5</f>
        <v>0</v>
      </c>
      <c r="R5" s="13">
        <v>0</v>
      </c>
      <c r="S5" s="12">
        <f t="shared" ref="S5:S68" si="2">Q5+R5</f>
        <v>0</v>
      </c>
      <c r="T5" s="13">
        <v>0</v>
      </c>
      <c r="U5" s="12">
        <f t="shared" ref="U5:U68" si="3">S5-T5-V5</f>
        <v>0</v>
      </c>
      <c r="V5" s="15">
        <v>0</v>
      </c>
      <c r="W5" s="20"/>
      <c r="X5" s="17">
        <f t="shared" ref="X5:X68" si="4">V5*W5</f>
        <v>0</v>
      </c>
      <c r="Y5" s="18" t="s">
        <v>16</v>
      </c>
      <c r="Z5" s="19">
        <v>0</v>
      </c>
    </row>
    <row r="6" spans="1:26" ht="25.5">
      <c r="A6" s="10">
        <v>2</v>
      </c>
      <c r="B6" s="11" t="s">
        <v>17</v>
      </c>
      <c r="C6" s="12">
        <f>+'30'!G6</f>
        <v>17</v>
      </c>
      <c r="D6" s="13">
        <v>0</v>
      </c>
      <c r="E6" s="12">
        <f t="shared" si="0"/>
        <v>17</v>
      </c>
      <c r="F6" s="13">
        <v>0</v>
      </c>
      <c r="G6" s="14">
        <f t="shared" si="1"/>
        <v>17</v>
      </c>
      <c r="H6" s="15">
        <v>0</v>
      </c>
      <c r="I6" s="16">
        <v>100</v>
      </c>
      <c r="J6" s="43">
        <f t="shared" ref="J6:J69" si="5">+I6*H6</f>
        <v>0</v>
      </c>
      <c r="K6" s="18" t="s">
        <v>16</v>
      </c>
      <c r="L6" s="19">
        <v>0</v>
      </c>
      <c r="M6" s="24">
        <f t="shared" ref="M6:M69" si="6">SUM(J6-L6)</f>
        <v>0</v>
      </c>
      <c r="O6" s="10">
        <v>2</v>
      </c>
      <c r="P6" s="11"/>
      <c r="Q6" s="12">
        <f>+'[2]วันที่ 7'!U6</f>
        <v>0</v>
      </c>
      <c r="R6" s="13">
        <v>0</v>
      </c>
      <c r="S6" s="12">
        <f t="shared" si="2"/>
        <v>0</v>
      </c>
      <c r="T6" s="13">
        <v>0</v>
      </c>
      <c r="U6" s="12">
        <f t="shared" si="3"/>
        <v>0</v>
      </c>
      <c r="V6" s="15">
        <v>0</v>
      </c>
      <c r="W6" s="16"/>
      <c r="X6" s="17">
        <f t="shared" si="4"/>
        <v>0</v>
      </c>
      <c r="Y6" s="18" t="s">
        <v>16</v>
      </c>
      <c r="Z6" s="19">
        <v>0</v>
      </c>
    </row>
    <row r="7" spans="1:26" ht="25.5">
      <c r="A7" s="10">
        <v>3</v>
      </c>
      <c r="B7" s="11" t="s">
        <v>18</v>
      </c>
      <c r="C7" s="12">
        <f>+'30'!G7</f>
        <v>5</v>
      </c>
      <c r="D7" s="13">
        <v>0</v>
      </c>
      <c r="E7" s="12">
        <f t="shared" si="0"/>
        <v>5</v>
      </c>
      <c r="F7" s="13">
        <v>0</v>
      </c>
      <c r="G7" s="14">
        <f t="shared" si="1"/>
        <v>5</v>
      </c>
      <c r="H7" s="15">
        <v>0</v>
      </c>
      <c r="I7" s="16">
        <v>50</v>
      </c>
      <c r="J7" s="43">
        <f t="shared" si="5"/>
        <v>0</v>
      </c>
      <c r="K7" s="18" t="s">
        <v>16</v>
      </c>
      <c r="L7" s="19">
        <v>0</v>
      </c>
      <c r="M7" s="24">
        <f t="shared" si="6"/>
        <v>0</v>
      </c>
      <c r="O7" s="10">
        <v>3</v>
      </c>
      <c r="P7" s="21"/>
      <c r="Q7" s="12">
        <f>+'[2]วันที่ 7'!U7</f>
        <v>0</v>
      </c>
      <c r="R7" s="13">
        <v>0</v>
      </c>
      <c r="S7" s="12">
        <f>Q7+R7</f>
        <v>0</v>
      </c>
      <c r="T7" s="13">
        <v>0</v>
      </c>
      <c r="U7" s="12">
        <f>S7-T7-V7</f>
        <v>0</v>
      </c>
      <c r="V7" s="15">
        <v>0</v>
      </c>
      <c r="W7" s="22"/>
      <c r="X7" s="17">
        <f t="shared" si="4"/>
        <v>0</v>
      </c>
      <c r="Y7" s="18" t="s">
        <v>16</v>
      </c>
      <c r="Z7" s="19">
        <v>0</v>
      </c>
    </row>
    <row r="8" spans="1:26" ht="25.5">
      <c r="A8" s="10">
        <v>4</v>
      </c>
      <c r="B8" s="11" t="s">
        <v>19</v>
      </c>
      <c r="C8" s="12">
        <f>+'30'!G8</f>
        <v>0</v>
      </c>
      <c r="D8" s="13">
        <v>0</v>
      </c>
      <c r="E8" s="12">
        <f t="shared" si="0"/>
        <v>0</v>
      </c>
      <c r="F8" s="13">
        <v>0</v>
      </c>
      <c r="G8" s="14">
        <f t="shared" si="1"/>
        <v>0</v>
      </c>
      <c r="H8" s="15">
        <v>0</v>
      </c>
      <c r="I8" s="16">
        <v>100</v>
      </c>
      <c r="J8" s="43">
        <f t="shared" si="5"/>
        <v>0</v>
      </c>
      <c r="K8" s="18" t="s">
        <v>16</v>
      </c>
      <c r="L8" s="19">
        <v>0</v>
      </c>
      <c r="M8" s="24">
        <f t="shared" si="6"/>
        <v>0</v>
      </c>
      <c r="O8" s="10">
        <v>4</v>
      </c>
      <c r="P8" s="21"/>
      <c r="Q8" s="12">
        <f>+'[2]วันที่ 7'!U8</f>
        <v>0</v>
      </c>
      <c r="R8" s="13">
        <v>0</v>
      </c>
      <c r="S8" s="12">
        <f t="shared" si="2"/>
        <v>0</v>
      </c>
      <c r="T8" s="13">
        <v>0</v>
      </c>
      <c r="U8" s="12">
        <f t="shared" si="3"/>
        <v>0</v>
      </c>
      <c r="V8" s="15">
        <v>0</v>
      </c>
      <c r="W8" s="22"/>
      <c r="X8" s="17">
        <f t="shared" si="4"/>
        <v>0</v>
      </c>
      <c r="Y8" s="18" t="s">
        <v>16</v>
      </c>
      <c r="Z8" s="19">
        <v>0</v>
      </c>
    </row>
    <row r="9" spans="1:26" ht="25.5">
      <c r="A9" s="10">
        <v>5</v>
      </c>
      <c r="B9" s="11" t="s">
        <v>20</v>
      </c>
      <c r="C9" s="12">
        <f>+'30'!G9</f>
        <v>0</v>
      </c>
      <c r="D9" s="13">
        <v>0</v>
      </c>
      <c r="E9" s="12">
        <f t="shared" si="0"/>
        <v>0</v>
      </c>
      <c r="F9" s="13">
        <v>0</v>
      </c>
      <c r="G9" s="14">
        <f t="shared" si="1"/>
        <v>0</v>
      </c>
      <c r="H9" s="15">
        <v>0</v>
      </c>
      <c r="I9" s="16">
        <v>12</v>
      </c>
      <c r="J9" s="43">
        <f t="shared" si="5"/>
        <v>0</v>
      </c>
      <c r="K9" s="18" t="s">
        <v>16</v>
      </c>
      <c r="L9" s="19">
        <v>0</v>
      </c>
      <c r="M9" s="24">
        <f t="shared" si="6"/>
        <v>0</v>
      </c>
      <c r="O9" s="10">
        <v>5</v>
      </c>
      <c r="P9" s="21"/>
      <c r="Q9" s="12">
        <f>+'[2]วันที่ 7'!U9</f>
        <v>0</v>
      </c>
      <c r="R9" s="13">
        <v>0</v>
      </c>
      <c r="S9" s="12">
        <f t="shared" si="2"/>
        <v>0</v>
      </c>
      <c r="T9" s="13">
        <v>0</v>
      </c>
      <c r="U9" s="12">
        <f t="shared" si="3"/>
        <v>0</v>
      </c>
      <c r="V9" s="15">
        <v>0</v>
      </c>
      <c r="W9" s="23"/>
      <c r="X9" s="17">
        <f t="shared" si="4"/>
        <v>0</v>
      </c>
      <c r="Y9" s="18" t="s">
        <v>16</v>
      </c>
      <c r="Z9" s="19">
        <v>0</v>
      </c>
    </row>
    <row r="10" spans="1:26" ht="25.5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 t="shared" si="0"/>
        <v>0</v>
      </c>
      <c r="F10" s="13">
        <v>0</v>
      </c>
      <c r="G10" s="14">
        <f t="shared" si="1"/>
        <v>0</v>
      </c>
      <c r="H10" s="15">
        <v>0</v>
      </c>
      <c r="I10" s="16">
        <v>15</v>
      </c>
      <c r="J10" s="43">
        <f t="shared" si="5"/>
        <v>0</v>
      </c>
      <c r="K10" s="18" t="s">
        <v>16</v>
      </c>
      <c r="L10" s="19">
        <v>0</v>
      </c>
      <c r="M10" s="24">
        <f t="shared" si="6"/>
        <v>0</v>
      </c>
      <c r="O10" s="10">
        <v>6</v>
      </c>
      <c r="P10" s="21"/>
      <c r="Q10" s="12">
        <f>+'[2]วันที่ 7'!U10</f>
        <v>0</v>
      </c>
      <c r="R10" s="13">
        <v>0</v>
      </c>
      <c r="S10" s="12">
        <f t="shared" si="2"/>
        <v>0</v>
      </c>
      <c r="T10" s="13">
        <v>0</v>
      </c>
      <c r="U10" s="12">
        <f t="shared" si="3"/>
        <v>0</v>
      </c>
      <c r="V10" s="15">
        <v>0</v>
      </c>
      <c r="W10" s="23"/>
      <c r="X10" s="17">
        <f t="shared" si="4"/>
        <v>0</v>
      </c>
      <c r="Y10" s="18" t="s">
        <v>16</v>
      </c>
      <c r="Z10" s="19">
        <v>0</v>
      </c>
    </row>
    <row r="11" spans="1:26" ht="25.5">
      <c r="A11" s="10">
        <v>7</v>
      </c>
      <c r="B11" s="21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4">
        <f t="shared" si="1"/>
        <v>0</v>
      </c>
      <c r="H11" s="15">
        <v>0</v>
      </c>
      <c r="I11" s="16">
        <v>40</v>
      </c>
      <c r="J11" s="43">
        <f t="shared" si="5"/>
        <v>0</v>
      </c>
      <c r="K11" s="18" t="s">
        <v>16</v>
      </c>
      <c r="L11" s="19">
        <v>0</v>
      </c>
      <c r="M11" s="24">
        <f t="shared" si="6"/>
        <v>0</v>
      </c>
      <c r="O11" s="10">
        <v>7</v>
      </c>
      <c r="P11" s="21"/>
      <c r="Q11" s="12">
        <f>+'[2]วันที่ 7'!U11</f>
        <v>0</v>
      </c>
      <c r="R11" s="13">
        <v>0</v>
      </c>
      <c r="S11" s="12">
        <f t="shared" si="2"/>
        <v>0</v>
      </c>
      <c r="T11" s="13">
        <v>0</v>
      </c>
      <c r="U11" s="12">
        <f t="shared" si="3"/>
        <v>0</v>
      </c>
      <c r="V11" s="15">
        <v>0</v>
      </c>
      <c r="W11" s="23"/>
      <c r="X11" s="17">
        <f t="shared" si="4"/>
        <v>0</v>
      </c>
      <c r="Y11" s="18" t="s">
        <v>16</v>
      </c>
      <c r="Z11" s="19">
        <v>0</v>
      </c>
    </row>
    <row r="12" spans="1:26" ht="25.5">
      <c r="A12" s="10">
        <v>8</v>
      </c>
      <c r="B12" s="21" t="s">
        <v>23</v>
      </c>
      <c r="C12" s="12">
        <f>+'30'!G12</f>
        <v>8</v>
      </c>
      <c r="D12" s="13">
        <v>0</v>
      </c>
      <c r="E12" s="12">
        <f t="shared" si="0"/>
        <v>8</v>
      </c>
      <c r="F12" s="13">
        <v>0</v>
      </c>
      <c r="G12" s="14">
        <f t="shared" si="1"/>
        <v>8</v>
      </c>
      <c r="H12" s="15">
        <v>0</v>
      </c>
      <c r="I12" s="22">
        <v>50</v>
      </c>
      <c r="J12" s="43">
        <f t="shared" si="5"/>
        <v>0</v>
      </c>
      <c r="K12" s="18" t="s">
        <v>16</v>
      </c>
      <c r="L12" s="19">
        <v>0</v>
      </c>
      <c r="M12" s="24">
        <f t="shared" si="6"/>
        <v>0</v>
      </c>
      <c r="O12" s="10">
        <v>8</v>
      </c>
      <c r="P12" s="21"/>
      <c r="Q12" s="12">
        <f>+'[2]วันที่ 7'!U12</f>
        <v>0</v>
      </c>
      <c r="R12" s="13">
        <v>0</v>
      </c>
      <c r="S12" s="12">
        <f t="shared" si="2"/>
        <v>0</v>
      </c>
      <c r="T12" s="13">
        <v>0</v>
      </c>
      <c r="U12" s="12">
        <f t="shared" si="3"/>
        <v>0</v>
      </c>
      <c r="V12" s="15">
        <v>0</v>
      </c>
      <c r="W12" s="23"/>
      <c r="X12" s="17">
        <f t="shared" si="4"/>
        <v>0</v>
      </c>
      <c r="Y12" s="18" t="s">
        <v>16</v>
      </c>
      <c r="Z12" s="19">
        <v>0</v>
      </c>
    </row>
    <row r="13" spans="1:26" ht="25.5">
      <c r="A13" s="10">
        <v>9</v>
      </c>
      <c r="B13" s="21" t="s">
        <v>24</v>
      </c>
      <c r="C13" s="12">
        <f>+'30'!G13</f>
        <v>0</v>
      </c>
      <c r="D13" s="13">
        <v>0</v>
      </c>
      <c r="E13" s="12">
        <f t="shared" si="0"/>
        <v>0</v>
      </c>
      <c r="F13" s="13">
        <v>0</v>
      </c>
      <c r="G13" s="14">
        <f t="shared" si="1"/>
        <v>0</v>
      </c>
      <c r="H13" s="15">
        <v>0</v>
      </c>
      <c r="I13" s="22">
        <v>55</v>
      </c>
      <c r="J13" s="43">
        <f t="shared" si="5"/>
        <v>0</v>
      </c>
      <c r="K13" s="18" t="s">
        <v>16</v>
      </c>
      <c r="L13" s="19">
        <v>0</v>
      </c>
      <c r="M13" s="24">
        <f t="shared" si="6"/>
        <v>0</v>
      </c>
      <c r="O13" s="10">
        <v>9</v>
      </c>
      <c r="P13" s="21"/>
      <c r="Q13" s="12">
        <f>+'[2]วันที่ 7'!U13</f>
        <v>0</v>
      </c>
      <c r="R13" s="13">
        <v>0</v>
      </c>
      <c r="S13" s="12">
        <f t="shared" si="2"/>
        <v>0</v>
      </c>
      <c r="T13" s="13">
        <v>0</v>
      </c>
      <c r="U13" s="12">
        <f t="shared" si="3"/>
        <v>0</v>
      </c>
      <c r="V13" s="15">
        <v>0</v>
      </c>
      <c r="W13" s="23"/>
      <c r="X13" s="17">
        <f t="shared" si="4"/>
        <v>0</v>
      </c>
      <c r="Y13" s="18" t="s">
        <v>16</v>
      </c>
      <c r="Z13" s="19">
        <v>0</v>
      </c>
    </row>
    <row r="14" spans="1:26" ht="25.5">
      <c r="A14" s="10">
        <v>10</v>
      </c>
      <c r="B14" s="21" t="s">
        <v>25</v>
      </c>
      <c r="C14" s="12">
        <f>+'30'!G14</f>
        <v>0</v>
      </c>
      <c r="D14" s="13">
        <v>0</v>
      </c>
      <c r="E14" s="12">
        <f t="shared" si="0"/>
        <v>0</v>
      </c>
      <c r="F14" s="13">
        <v>0</v>
      </c>
      <c r="G14" s="14">
        <f t="shared" si="1"/>
        <v>0</v>
      </c>
      <c r="H14" s="15">
        <v>0</v>
      </c>
      <c r="I14" s="22">
        <v>65</v>
      </c>
      <c r="J14" s="43">
        <f t="shared" si="5"/>
        <v>0</v>
      </c>
      <c r="K14" s="18" t="s">
        <v>16</v>
      </c>
      <c r="L14" s="19">
        <v>0</v>
      </c>
      <c r="M14" s="24">
        <f t="shared" si="6"/>
        <v>0</v>
      </c>
      <c r="O14" s="10">
        <v>10</v>
      </c>
      <c r="P14" s="21"/>
      <c r="Q14" s="12">
        <f>+'[2]วันที่ 7'!U14</f>
        <v>0</v>
      </c>
      <c r="R14" s="13">
        <v>0</v>
      </c>
      <c r="S14" s="12">
        <f t="shared" si="2"/>
        <v>0</v>
      </c>
      <c r="T14" s="13">
        <v>0</v>
      </c>
      <c r="U14" s="12">
        <f t="shared" si="3"/>
        <v>0</v>
      </c>
      <c r="V14" s="15">
        <v>0</v>
      </c>
      <c r="W14" s="22"/>
      <c r="X14" s="17">
        <f t="shared" si="4"/>
        <v>0</v>
      </c>
      <c r="Y14" s="18" t="s">
        <v>16</v>
      </c>
      <c r="Z14" s="19">
        <v>0</v>
      </c>
    </row>
    <row r="15" spans="1:26" ht="25.5">
      <c r="A15" s="10">
        <v>11</v>
      </c>
      <c r="B15" s="11" t="s">
        <v>26</v>
      </c>
      <c r="C15" s="12">
        <f>+'30'!G15</f>
        <v>0</v>
      </c>
      <c r="D15" s="13">
        <v>0</v>
      </c>
      <c r="E15" s="12">
        <f t="shared" si="0"/>
        <v>0</v>
      </c>
      <c r="F15" s="13">
        <v>0</v>
      </c>
      <c r="G15" s="14">
        <f t="shared" si="1"/>
        <v>0</v>
      </c>
      <c r="H15" s="15">
        <v>0</v>
      </c>
      <c r="I15" s="22">
        <v>50</v>
      </c>
      <c r="J15" s="43">
        <f t="shared" si="5"/>
        <v>0</v>
      </c>
      <c r="K15" s="18" t="s">
        <v>16</v>
      </c>
      <c r="L15" s="19">
        <v>0</v>
      </c>
      <c r="M15" s="24">
        <f t="shared" si="6"/>
        <v>0</v>
      </c>
      <c r="O15" s="10">
        <v>11</v>
      </c>
      <c r="P15" s="21"/>
      <c r="Q15" s="12">
        <f>+'[2]วันที่ 7'!U15</f>
        <v>0</v>
      </c>
      <c r="R15" s="13">
        <v>0</v>
      </c>
      <c r="S15" s="12">
        <f t="shared" si="2"/>
        <v>0</v>
      </c>
      <c r="T15" s="13">
        <v>0</v>
      </c>
      <c r="U15" s="12">
        <f t="shared" si="3"/>
        <v>0</v>
      </c>
      <c r="V15" s="15">
        <v>0</v>
      </c>
      <c r="W15" s="23"/>
      <c r="X15" s="17">
        <f t="shared" si="4"/>
        <v>0</v>
      </c>
      <c r="Y15" s="18" t="s">
        <v>16</v>
      </c>
      <c r="Z15" s="19">
        <v>0</v>
      </c>
    </row>
    <row r="16" spans="1:26" ht="25.5">
      <c r="A16" s="10">
        <v>12</v>
      </c>
      <c r="B16" s="11" t="s">
        <v>27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14">
        <f t="shared" si="1"/>
        <v>0</v>
      </c>
      <c r="H16" s="15">
        <v>0</v>
      </c>
      <c r="I16" s="16">
        <v>50</v>
      </c>
      <c r="J16" s="43">
        <f t="shared" si="5"/>
        <v>0</v>
      </c>
      <c r="K16" s="18" t="s">
        <v>16</v>
      </c>
      <c r="L16" s="19">
        <v>0</v>
      </c>
      <c r="M16" s="24">
        <f t="shared" si="6"/>
        <v>0</v>
      </c>
      <c r="O16" s="10">
        <v>12</v>
      </c>
      <c r="P16" s="21"/>
      <c r="Q16" s="12">
        <f>+'[2]วันที่ 7'!U16</f>
        <v>0</v>
      </c>
      <c r="R16" s="13">
        <v>0</v>
      </c>
      <c r="S16" s="12">
        <f t="shared" si="2"/>
        <v>0</v>
      </c>
      <c r="T16" s="13">
        <v>0</v>
      </c>
      <c r="U16" s="12">
        <f t="shared" si="3"/>
        <v>0</v>
      </c>
      <c r="V16" s="15">
        <v>0</v>
      </c>
      <c r="W16" s="22"/>
      <c r="X16" s="17">
        <f t="shared" si="4"/>
        <v>0</v>
      </c>
      <c r="Y16" s="18" t="s">
        <v>16</v>
      </c>
      <c r="Z16" s="19">
        <v>0</v>
      </c>
    </row>
    <row r="17" spans="1:26" ht="25.5">
      <c r="A17" s="10">
        <v>13</v>
      </c>
      <c r="B17" s="11" t="s">
        <v>28</v>
      </c>
      <c r="C17" s="12">
        <f>+'30'!G17</f>
        <v>2</v>
      </c>
      <c r="D17" s="13">
        <v>0</v>
      </c>
      <c r="E17" s="12">
        <f t="shared" si="0"/>
        <v>2</v>
      </c>
      <c r="F17" s="13">
        <v>0</v>
      </c>
      <c r="G17" s="14">
        <f t="shared" si="1"/>
        <v>2</v>
      </c>
      <c r="H17" s="15">
        <v>0</v>
      </c>
      <c r="I17" s="16">
        <v>50</v>
      </c>
      <c r="J17" s="43">
        <f t="shared" si="5"/>
        <v>0</v>
      </c>
      <c r="K17" s="18" t="s">
        <v>16</v>
      </c>
      <c r="L17" s="19">
        <v>0</v>
      </c>
      <c r="M17" s="24">
        <f t="shared" si="6"/>
        <v>0</v>
      </c>
      <c r="O17" s="10">
        <v>13</v>
      </c>
      <c r="P17" s="21"/>
      <c r="Q17" s="12">
        <f>+'[2]วันที่ 7'!U17</f>
        <v>0</v>
      </c>
      <c r="R17" s="13">
        <v>0</v>
      </c>
      <c r="S17" s="12">
        <f t="shared" si="2"/>
        <v>0</v>
      </c>
      <c r="T17" s="13">
        <v>0</v>
      </c>
      <c r="U17" s="12">
        <f t="shared" si="3"/>
        <v>0</v>
      </c>
      <c r="V17" s="15">
        <v>0</v>
      </c>
      <c r="W17" s="23"/>
      <c r="X17" s="17">
        <f t="shared" si="4"/>
        <v>0</v>
      </c>
      <c r="Y17" s="18" t="s">
        <v>16</v>
      </c>
      <c r="Z17" s="19">
        <v>0</v>
      </c>
    </row>
    <row r="18" spans="1:26" ht="25.5">
      <c r="A18" s="10">
        <v>14</v>
      </c>
      <c r="B18" s="21" t="s">
        <v>29</v>
      </c>
      <c r="C18" s="12">
        <f>+'30'!G18</f>
        <v>3</v>
      </c>
      <c r="D18" s="13">
        <v>0</v>
      </c>
      <c r="E18" s="12">
        <f t="shared" si="0"/>
        <v>3</v>
      </c>
      <c r="F18" s="13">
        <v>0</v>
      </c>
      <c r="G18" s="14">
        <f t="shared" si="1"/>
        <v>3</v>
      </c>
      <c r="H18" s="15">
        <v>0</v>
      </c>
      <c r="I18" s="22">
        <v>50</v>
      </c>
      <c r="J18" s="43">
        <f t="shared" si="5"/>
        <v>0</v>
      </c>
      <c r="K18" s="18" t="s">
        <v>16</v>
      </c>
      <c r="L18" s="19">
        <v>0</v>
      </c>
      <c r="M18" s="24">
        <f t="shared" si="6"/>
        <v>0</v>
      </c>
      <c r="O18" s="10">
        <v>14</v>
      </c>
      <c r="P18" s="21"/>
      <c r="Q18" s="12">
        <f>+'[2]วันที่ 7'!U18</f>
        <v>0</v>
      </c>
      <c r="R18" s="13">
        <v>0</v>
      </c>
      <c r="S18" s="12">
        <f t="shared" si="2"/>
        <v>0</v>
      </c>
      <c r="T18" s="13">
        <v>0</v>
      </c>
      <c r="U18" s="12">
        <f t="shared" si="3"/>
        <v>0</v>
      </c>
      <c r="V18" s="15">
        <v>0</v>
      </c>
      <c r="W18" s="23"/>
      <c r="X18" s="17">
        <f t="shared" si="4"/>
        <v>0</v>
      </c>
      <c r="Y18" s="18" t="s">
        <v>16</v>
      </c>
      <c r="Z18" s="19">
        <v>0</v>
      </c>
    </row>
    <row r="19" spans="1:26" ht="25.5">
      <c r="A19" s="10">
        <v>15</v>
      </c>
      <c r="B19" s="11" t="s">
        <v>30</v>
      </c>
      <c r="C19" s="12">
        <f>+'30'!G19</f>
        <v>2</v>
      </c>
      <c r="D19" s="13">
        <v>0</v>
      </c>
      <c r="E19" s="12">
        <f t="shared" si="0"/>
        <v>2</v>
      </c>
      <c r="F19" s="13">
        <v>0</v>
      </c>
      <c r="G19" s="14">
        <f t="shared" si="1"/>
        <v>2</v>
      </c>
      <c r="H19" s="15">
        <v>0</v>
      </c>
      <c r="I19" s="16">
        <v>50</v>
      </c>
      <c r="J19" s="43">
        <f t="shared" si="5"/>
        <v>0</v>
      </c>
      <c r="K19" s="18" t="s">
        <v>16</v>
      </c>
      <c r="L19" s="19">
        <v>0</v>
      </c>
      <c r="M19" s="24">
        <f t="shared" si="6"/>
        <v>0</v>
      </c>
      <c r="O19" s="10">
        <v>15</v>
      </c>
      <c r="P19" s="21"/>
      <c r="Q19" s="12">
        <f>+'[2]วันที่ 7'!U19</f>
        <v>0</v>
      </c>
      <c r="R19" s="13">
        <v>0</v>
      </c>
      <c r="S19" s="12">
        <f t="shared" si="2"/>
        <v>0</v>
      </c>
      <c r="T19" s="13">
        <v>0</v>
      </c>
      <c r="U19" s="12">
        <f t="shared" si="3"/>
        <v>0</v>
      </c>
      <c r="V19" s="15">
        <v>0</v>
      </c>
      <c r="W19" s="23"/>
      <c r="X19" s="17">
        <f t="shared" si="4"/>
        <v>0</v>
      </c>
      <c r="Y19" s="18" t="s">
        <v>16</v>
      </c>
      <c r="Z19" s="19">
        <v>0</v>
      </c>
    </row>
    <row r="20" spans="1:26" ht="25.5">
      <c r="A20" s="10">
        <v>16</v>
      </c>
      <c r="B20" s="11" t="s">
        <v>31</v>
      </c>
      <c r="C20" s="12">
        <f>+'30'!G20</f>
        <v>3</v>
      </c>
      <c r="D20" s="13">
        <v>0</v>
      </c>
      <c r="E20" s="12">
        <f t="shared" si="0"/>
        <v>3</v>
      </c>
      <c r="F20" s="13">
        <v>0</v>
      </c>
      <c r="G20" s="14">
        <f t="shared" si="1"/>
        <v>3</v>
      </c>
      <c r="H20" s="15">
        <v>0</v>
      </c>
      <c r="I20" s="16">
        <v>50</v>
      </c>
      <c r="J20" s="43">
        <f t="shared" si="5"/>
        <v>0</v>
      </c>
      <c r="K20" s="18" t="s">
        <v>16</v>
      </c>
      <c r="L20" s="19">
        <v>0</v>
      </c>
      <c r="M20" s="24">
        <f t="shared" si="6"/>
        <v>0</v>
      </c>
      <c r="O20" s="10">
        <v>16</v>
      </c>
      <c r="P20" s="21"/>
      <c r="Q20" s="12">
        <f>+'[2]วันที่ 7'!U20</f>
        <v>0</v>
      </c>
      <c r="R20" s="13">
        <v>0</v>
      </c>
      <c r="S20" s="12">
        <f>Q20+R20</f>
        <v>0</v>
      </c>
      <c r="T20" s="13">
        <v>0</v>
      </c>
      <c r="U20" s="12">
        <f>S20-T20-V20</f>
        <v>0</v>
      </c>
      <c r="V20" s="15">
        <v>0</v>
      </c>
      <c r="W20" s="22"/>
      <c r="X20" s="17">
        <f t="shared" si="4"/>
        <v>0</v>
      </c>
      <c r="Y20" s="18" t="s">
        <v>16</v>
      </c>
      <c r="Z20" s="19">
        <v>0</v>
      </c>
    </row>
    <row r="21" spans="1:26" ht="25.5">
      <c r="A21" s="10">
        <v>17</v>
      </c>
      <c r="B21" s="11" t="s">
        <v>32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4">
        <f t="shared" si="1"/>
        <v>0</v>
      </c>
      <c r="H21" s="15">
        <v>0</v>
      </c>
      <c r="I21" s="16">
        <v>50</v>
      </c>
      <c r="J21" s="43">
        <f t="shared" si="5"/>
        <v>0</v>
      </c>
      <c r="K21" s="18" t="s">
        <v>16</v>
      </c>
      <c r="L21" s="19">
        <v>0</v>
      </c>
      <c r="M21" s="24">
        <f t="shared" si="6"/>
        <v>0</v>
      </c>
      <c r="O21" s="10">
        <v>17</v>
      </c>
      <c r="P21" s="21"/>
      <c r="Q21" s="12">
        <f>+'[2]วันที่ 7'!U21</f>
        <v>0</v>
      </c>
      <c r="R21" s="13">
        <v>0</v>
      </c>
      <c r="S21" s="12">
        <f>Q21+R21</f>
        <v>0</v>
      </c>
      <c r="T21" s="13">
        <v>0</v>
      </c>
      <c r="U21" s="12">
        <f>S21-T21-V21</f>
        <v>0</v>
      </c>
      <c r="V21" s="15">
        <v>0</v>
      </c>
      <c r="W21" s="22"/>
      <c r="X21" s="17">
        <f t="shared" si="4"/>
        <v>0</v>
      </c>
      <c r="Y21" s="18" t="s">
        <v>16</v>
      </c>
      <c r="Z21" s="19">
        <v>0</v>
      </c>
    </row>
    <row r="22" spans="1:26" ht="25.5">
      <c r="A22" s="10">
        <v>18</v>
      </c>
      <c r="B22" s="11" t="s">
        <v>33</v>
      </c>
      <c r="C22" s="12">
        <f>+'30'!G22</f>
        <v>0</v>
      </c>
      <c r="D22" s="13">
        <v>0</v>
      </c>
      <c r="E22" s="12">
        <f t="shared" si="0"/>
        <v>0</v>
      </c>
      <c r="F22" s="13">
        <v>0</v>
      </c>
      <c r="G22" s="14">
        <f t="shared" si="1"/>
        <v>0</v>
      </c>
      <c r="H22" s="15">
        <v>0</v>
      </c>
      <c r="I22" s="16">
        <v>85</v>
      </c>
      <c r="J22" s="43">
        <f t="shared" si="5"/>
        <v>0</v>
      </c>
      <c r="K22" s="18" t="s">
        <v>16</v>
      </c>
      <c r="L22" s="19">
        <v>0</v>
      </c>
      <c r="M22" s="24">
        <f t="shared" si="6"/>
        <v>0</v>
      </c>
      <c r="O22" s="10">
        <v>18</v>
      </c>
      <c r="P22" s="21"/>
      <c r="Q22" s="12">
        <f>+'[2]วันที่ 7'!U22</f>
        <v>0</v>
      </c>
      <c r="R22" s="13">
        <v>0</v>
      </c>
      <c r="S22" s="12">
        <f t="shared" si="2"/>
        <v>0</v>
      </c>
      <c r="T22" s="13">
        <v>0</v>
      </c>
      <c r="U22" s="12">
        <f t="shared" si="3"/>
        <v>0</v>
      </c>
      <c r="V22" s="15">
        <v>0</v>
      </c>
      <c r="W22" s="22"/>
      <c r="X22" s="17">
        <f t="shared" si="4"/>
        <v>0</v>
      </c>
      <c r="Y22" s="18" t="s">
        <v>16</v>
      </c>
      <c r="Z22" s="19">
        <v>0</v>
      </c>
    </row>
    <row r="23" spans="1:26" ht="25.5">
      <c r="A23" s="10">
        <v>19</v>
      </c>
      <c r="B23" s="11" t="s">
        <v>34</v>
      </c>
      <c r="C23" s="12">
        <f>+'30'!G23</f>
        <v>12</v>
      </c>
      <c r="D23" s="13">
        <v>0</v>
      </c>
      <c r="E23" s="12">
        <f t="shared" si="0"/>
        <v>12</v>
      </c>
      <c r="F23" s="13">
        <v>0</v>
      </c>
      <c r="G23" s="14">
        <f t="shared" si="1"/>
        <v>12</v>
      </c>
      <c r="H23" s="15">
        <v>0</v>
      </c>
      <c r="I23" s="16">
        <v>100</v>
      </c>
      <c r="J23" s="43">
        <f t="shared" si="5"/>
        <v>0</v>
      </c>
      <c r="K23" s="18" t="s">
        <v>16</v>
      </c>
      <c r="L23" s="19">
        <v>0</v>
      </c>
      <c r="M23" s="24">
        <f t="shared" si="6"/>
        <v>0</v>
      </c>
      <c r="O23" s="10">
        <v>19</v>
      </c>
      <c r="P23" s="21"/>
      <c r="Q23" s="12">
        <f>+'[2]วันที่ 7'!U23</f>
        <v>0</v>
      </c>
      <c r="R23" s="13">
        <v>0</v>
      </c>
      <c r="S23" s="12">
        <f t="shared" si="2"/>
        <v>0</v>
      </c>
      <c r="T23" s="13">
        <v>0</v>
      </c>
      <c r="U23" s="12">
        <f t="shared" si="3"/>
        <v>0</v>
      </c>
      <c r="V23" s="15">
        <v>0</v>
      </c>
      <c r="W23" s="22"/>
      <c r="X23" s="17">
        <f t="shared" si="4"/>
        <v>0</v>
      </c>
      <c r="Y23" s="18" t="s">
        <v>16</v>
      </c>
      <c r="Z23" s="19">
        <v>0</v>
      </c>
    </row>
    <row r="24" spans="1:26" ht="25.5">
      <c r="A24" s="10">
        <v>20</v>
      </c>
      <c r="B24" s="11" t="s">
        <v>35</v>
      </c>
      <c r="C24" s="12">
        <f>+'30'!G24</f>
        <v>5</v>
      </c>
      <c r="D24" s="13">
        <v>0</v>
      </c>
      <c r="E24" s="12">
        <f t="shared" si="0"/>
        <v>5</v>
      </c>
      <c r="F24" s="13">
        <v>0</v>
      </c>
      <c r="G24" s="14">
        <f t="shared" si="1"/>
        <v>5</v>
      </c>
      <c r="H24" s="15">
        <v>0</v>
      </c>
      <c r="I24" s="20">
        <v>100</v>
      </c>
      <c r="J24" s="43">
        <f t="shared" si="5"/>
        <v>0</v>
      </c>
      <c r="K24" s="18" t="s">
        <v>16</v>
      </c>
      <c r="L24" s="19">
        <v>0</v>
      </c>
      <c r="M24" s="24">
        <f t="shared" si="6"/>
        <v>0</v>
      </c>
      <c r="O24" s="10">
        <v>20</v>
      </c>
      <c r="P24" s="21"/>
      <c r="Q24" s="12">
        <f>+'[2]วันที่ 7'!U24</f>
        <v>0</v>
      </c>
      <c r="R24" s="13">
        <v>0</v>
      </c>
      <c r="S24" s="12">
        <f t="shared" si="2"/>
        <v>0</v>
      </c>
      <c r="T24" s="13">
        <v>0</v>
      </c>
      <c r="U24" s="12">
        <f t="shared" si="3"/>
        <v>0</v>
      </c>
      <c r="V24" s="15">
        <v>0</v>
      </c>
      <c r="W24" s="23"/>
      <c r="X24" s="17">
        <f t="shared" si="4"/>
        <v>0</v>
      </c>
      <c r="Y24" s="18" t="s">
        <v>16</v>
      </c>
      <c r="Z24" s="19">
        <v>0</v>
      </c>
    </row>
    <row r="25" spans="1:26" ht="25.5">
      <c r="A25" s="10">
        <v>21</v>
      </c>
      <c r="B25" s="11" t="s">
        <v>36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4">
        <f t="shared" si="1"/>
        <v>0</v>
      </c>
      <c r="H25" s="15">
        <v>0</v>
      </c>
      <c r="I25" s="20">
        <v>100</v>
      </c>
      <c r="J25" s="43">
        <f t="shared" si="5"/>
        <v>0</v>
      </c>
      <c r="K25" s="18" t="s">
        <v>16</v>
      </c>
      <c r="L25" s="19">
        <v>0</v>
      </c>
      <c r="M25" s="24">
        <f t="shared" si="6"/>
        <v>0</v>
      </c>
      <c r="O25" s="10">
        <v>21</v>
      </c>
      <c r="P25" s="21"/>
      <c r="Q25" s="12">
        <f>+'[2]วันที่ 7'!U25</f>
        <v>0</v>
      </c>
      <c r="R25" s="13">
        <v>0</v>
      </c>
      <c r="S25" s="12">
        <f t="shared" si="2"/>
        <v>0</v>
      </c>
      <c r="T25" s="13">
        <v>0</v>
      </c>
      <c r="U25" s="12">
        <f t="shared" si="3"/>
        <v>0</v>
      </c>
      <c r="V25" s="15">
        <v>0</v>
      </c>
      <c r="W25" s="23"/>
      <c r="X25" s="17">
        <f t="shared" si="4"/>
        <v>0</v>
      </c>
      <c r="Y25" s="18" t="s">
        <v>16</v>
      </c>
      <c r="Z25" s="19">
        <v>0</v>
      </c>
    </row>
    <row r="26" spans="1:26" ht="25.5">
      <c r="A26" s="10">
        <v>22</v>
      </c>
      <c r="B26" s="11" t="s">
        <v>37</v>
      </c>
      <c r="C26" s="12">
        <f>+'30'!G26</f>
        <v>7</v>
      </c>
      <c r="D26" s="13">
        <v>0</v>
      </c>
      <c r="E26" s="12">
        <f t="shared" si="0"/>
        <v>7</v>
      </c>
      <c r="F26" s="13">
        <v>0</v>
      </c>
      <c r="G26" s="14">
        <f t="shared" si="1"/>
        <v>7</v>
      </c>
      <c r="H26" s="15">
        <v>0</v>
      </c>
      <c r="I26" s="20">
        <v>100</v>
      </c>
      <c r="J26" s="43">
        <f t="shared" si="5"/>
        <v>0</v>
      </c>
      <c r="K26" s="18" t="s">
        <v>16</v>
      </c>
      <c r="L26" s="19">
        <v>0</v>
      </c>
      <c r="M26" s="24">
        <f t="shared" si="6"/>
        <v>0</v>
      </c>
      <c r="O26" s="10">
        <v>22</v>
      </c>
      <c r="P26" s="21"/>
      <c r="Q26" s="12">
        <f>+'[2]วันที่ 7'!U26</f>
        <v>0</v>
      </c>
      <c r="R26" s="13">
        <v>0</v>
      </c>
      <c r="S26" s="12">
        <f t="shared" si="2"/>
        <v>0</v>
      </c>
      <c r="T26" s="13">
        <v>0</v>
      </c>
      <c r="U26" s="12">
        <f t="shared" si="3"/>
        <v>0</v>
      </c>
      <c r="V26" s="15">
        <v>0</v>
      </c>
      <c r="W26" s="23"/>
      <c r="X26" s="17">
        <f t="shared" si="4"/>
        <v>0</v>
      </c>
      <c r="Y26" s="18" t="s">
        <v>16</v>
      </c>
      <c r="Z26" s="19">
        <v>0</v>
      </c>
    </row>
    <row r="27" spans="1:26" ht="25.5">
      <c r="A27" s="10">
        <v>23</v>
      </c>
      <c r="B27" s="21" t="s">
        <v>38</v>
      </c>
      <c r="C27" s="12">
        <f>+'30'!G27</f>
        <v>1</v>
      </c>
      <c r="D27" s="13">
        <v>0</v>
      </c>
      <c r="E27" s="12">
        <f t="shared" si="0"/>
        <v>1</v>
      </c>
      <c r="F27" s="13">
        <v>0</v>
      </c>
      <c r="G27" s="14">
        <f t="shared" si="1"/>
        <v>1</v>
      </c>
      <c r="H27" s="15">
        <v>0</v>
      </c>
      <c r="I27" s="22">
        <v>100</v>
      </c>
      <c r="J27" s="43">
        <f t="shared" si="5"/>
        <v>0</v>
      </c>
      <c r="K27" s="18" t="s">
        <v>16</v>
      </c>
      <c r="L27" s="19">
        <v>0</v>
      </c>
      <c r="M27" s="24">
        <f t="shared" si="6"/>
        <v>0</v>
      </c>
      <c r="O27" s="10">
        <v>23</v>
      </c>
      <c r="P27" s="21"/>
      <c r="Q27" s="12">
        <f>+'[2]วันที่ 7'!U27</f>
        <v>0</v>
      </c>
      <c r="R27" s="13">
        <v>0</v>
      </c>
      <c r="S27" s="12">
        <f t="shared" si="2"/>
        <v>0</v>
      </c>
      <c r="T27" s="13">
        <v>0</v>
      </c>
      <c r="U27" s="12">
        <f t="shared" si="3"/>
        <v>0</v>
      </c>
      <c r="V27" s="15">
        <v>0</v>
      </c>
      <c r="W27" s="23"/>
      <c r="X27" s="17">
        <f t="shared" si="4"/>
        <v>0</v>
      </c>
      <c r="Y27" s="18" t="s">
        <v>16</v>
      </c>
      <c r="Z27" s="19">
        <v>0</v>
      </c>
    </row>
    <row r="28" spans="1:26" ht="25.5">
      <c r="A28" s="10">
        <v>24</v>
      </c>
      <c r="B28" s="21" t="s">
        <v>39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4">
        <f t="shared" si="1"/>
        <v>0</v>
      </c>
      <c r="H28" s="15">
        <v>0</v>
      </c>
      <c r="I28" s="22">
        <v>100</v>
      </c>
      <c r="J28" s="43">
        <f t="shared" si="5"/>
        <v>0</v>
      </c>
      <c r="K28" s="18" t="s">
        <v>16</v>
      </c>
      <c r="L28" s="19">
        <v>0</v>
      </c>
      <c r="M28" s="24">
        <f t="shared" si="6"/>
        <v>0</v>
      </c>
      <c r="O28" s="10">
        <v>24</v>
      </c>
      <c r="P28" s="21"/>
      <c r="Q28" s="12">
        <f>+'[2]วันที่ 7'!U28</f>
        <v>0</v>
      </c>
      <c r="R28" s="13">
        <v>0</v>
      </c>
      <c r="S28" s="12">
        <f t="shared" si="2"/>
        <v>0</v>
      </c>
      <c r="T28" s="13">
        <v>0</v>
      </c>
      <c r="U28" s="12">
        <f t="shared" si="3"/>
        <v>0</v>
      </c>
      <c r="V28" s="15">
        <v>0</v>
      </c>
      <c r="W28" s="23"/>
      <c r="X28" s="17">
        <f t="shared" si="4"/>
        <v>0</v>
      </c>
      <c r="Y28" s="18" t="s">
        <v>16</v>
      </c>
      <c r="Z28" s="19">
        <v>0</v>
      </c>
    </row>
    <row r="29" spans="1:26" ht="25.5">
      <c r="A29" s="10">
        <v>25</v>
      </c>
      <c r="B29" s="11" t="s">
        <v>40</v>
      </c>
      <c r="C29" s="12">
        <f>+'30'!G29</f>
        <v>9</v>
      </c>
      <c r="D29" s="13">
        <v>0</v>
      </c>
      <c r="E29" s="12">
        <f t="shared" si="0"/>
        <v>9</v>
      </c>
      <c r="F29" s="13">
        <v>0</v>
      </c>
      <c r="G29" s="14">
        <f t="shared" si="1"/>
        <v>9</v>
      </c>
      <c r="H29" s="15">
        <v>0</v>
      </c>
      <c r="I29" s="16">
        <v>100</v>
      </c>
      <c r="J29" s="43">
        <f t="shared" si="5"/>
        <v>0</v>
      </c>
      <c r="K29" s="18" t="s">
        <v>16</v>
      </c>
      <c r="L29" s="19">
        <v>0</v>
      </c>
      <c r="M29" s="24">
        <f t="shared" si="6"/>
        <v>0</v>
      </c>
      <c r="O29" s="10">
        <v>25</v>
      </c>
      <c r="P29" s="21"/>
      <c r="Q29" s="12">
        <f>+'[2]วันที่ 7'!U29</f>
        <v>0</v>
      </c>
      <c r="R29" s="13">
        <v>0</v>
      </c>
      <c r="S29" s="12">
        <f t="shared" si="2"/>
        <v>0</v>
      </c>
      <c r="T29" s="13">
        <v>0</v>
      </c>
      <c r="U29" s="12">
        <f t="shared" si="3"/>
        <v>0</v>
      </c>
      <c r="V29" s="15">
        <v>0</v>
      </c>
      <c r="W29" s="23"/>
      <c r="X29" s="17">
        <f t="shared" si="4"/>
        <v>0</v>
      </c>
      <c r="Y29" s="18" t="s">
        <v>16</v>
      </c>
      <c r="Z29" s="19">
        <v>0</v>
      </c>
    </row>
    <row r="30" spans="1:26" ht="25.5">
      <c r="A30" s="10">
        <v>26</v>
      </c>
      <c r="B30" s="11" t="s">
        <v>41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4">
        <f t="shared" si="1"/>
        <v>0</v>
      </c>
      <c r="H30" s="15">
        <v>0</v>
      </c>
      <c r="I30" s="16">
        <v>100</v>
      </c>
      <c r="J30" s="43">
        <f t="shared" si="5"/>
        <v>0</v>
      </c>
      <c r="K30" s="18" t="s">
        <v>16</v>
      </c>
      <c r="L30" s="19">
        <v>0</v>
      </c>
      <c r="M30" s="24">
        <f t="shared" si="6"/>
        <v>0</v>
      </c>
      <c r="O30" s="10">
        <v>26</v>
      </c>
      <c r="P30" s="21"/>
      <c r="Q30" s="12">
        <f>+'[2]วันที่ 7'!U30</f>
        <v>0</v>
      </c>
      <c r="R30" s="13">
        <v>0</v>
      </c>
      <c r="S30" s="12">
        <f t="shared" si="2"/>
        <v>0</v>
      </c>
      <c r="T30" s="13">
        <v>0</v>
      </c>
      <c r="U30" s="12">
        <f t="shared" si="3"/>
        <v>0</v>
      </c>
      <c r="V30" s="15">
        <v>0</v>
      </c>
      <c r="W30" s="23"/>
      <c r="X30" s="17">
        <f t="shared" si="4"/>
        <v>0</v>
      </c>
      <c r="Y30" s="18" t="s">
        <v>16</v>
      </c>
      <c r="Z30" s="19">
        <v>0</v>
      </c>
    </row>
    <row r="31" spans="1:26" ht="25.5">
      <c r="A31" s="10">
        <v>27</v>
      </c>
      <c r="B31" s="11" t="s">
        <v>42</v>
      </c>
      <c r="C31" s="12">
        <f>+'30'!G31</f>
        <v>5</v>
      </c>
      <c r="D31" s="13">
        <v>0</v>
      </c>
      <c r="E31" s="12">
        <f t="shared" si="0"/>
        <v>5</v>
      </c>
      <c r="F31" s="13">
        <v>0</v>
      </c>
      <c r="G31" s="14">
        <f t="shared" si="1"/>
        <v>5</v>
      </c>
      <c r="H31" s="15">
        <v>0</v>
      </c>
      <c r="I31" s="16">
        <v>100</v>
      </c>
      <c r="J31" s="43">
        <f t="shared" si="5"/>
        <v>0</v>
      </c>
      <c r="K31" s="18" t="s">
        <v>16</v>
      </c>
      <c r="L31" s="19">
        <v>0</v>
      </c>
      <c r="M31" s="24">
        <f t="shared" si="6"/>
        <v>0</v>
      </c>
      <c r="O31" s="10">
        <v>27</v>
      </c>
      <c r="P31" s="21"/>
      <c r="Q31" s="12">
        <f>+'[2]วันที่ 7'!U31</f>
        <v>0</v>
      </c>
      <c r="R31" s="13">
        <v>0</v>
      </c>
      <c r="S31" s="12">
        <f t="shared" si="2"/>
        <v>0</v>
      </c>
      <c r="T31" s="13">
        <v>0</v>
      </c>
      <c r="U31" s="12">
        <f t="shared" si="3"/>
        <v>0</v>
      </c>
      <c r="V31" s="15">
        <v>0</v>
      </c>
      <c r="W31" s="22"/>
      <c r="X31" s="17">
        <f t="shared" si="4"/>
        <v>0</v>
      </c>
      <c r="Y31" s="18" t="s">
        <v>16</v>
      </c>
      <c r="Z31" s="19">
        <v>0</v>
      </c>
    </row>
    <row r="32" spans="1:26" ht="25.5">
      <c r="A32" s="10">
        <v>28</v>
      </c>
      <c r="B32" s="11" t="s">
        <v>43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4">
        <f t="shared" si="1"/>
        <v>0</v>
      </c>
      <c r="H32" s="15">
        <v>0</v>
      </c>
      <c r="I32" s="16">
        <v>130</v>
      </c>
      <c r="J32" s="43">
        <f t="shared" si="5"/>
        <v>0</v>
      </c>
      <c r="K32" s="18" t="s">
        <v>16</v>
      </c>
      <c r="L32" s="19">
        <v>0</v>
      </c>
      <c r="M32" s="24">
        <f t="shared" si="6"/>
        <v>0</v>
      </c>
      <c r="O32" s="10">
        <v>28</v>
      </c>
      <c r="P32" s="21"/>
      <c r="Q32" s="12">
        <f>+'[2]วันที่ 7'!U32</f>
        <v>0</v>
      </c>
      <c r="R32" s="13">
        <v>0</v>
      </c>
      <c r="S32" s="12">
        <f t="shared" si="2"/>
        <v>0</v>
      </c>
      <c r="T32" s="13">
        <v>0</v>
      </c>
      <c r="U32" s="12">
        <f t="shared" si="3"/>
        <v>0</v>
      </c>
      <c r="V32" s="15">
        <v>0</v>
      </c>
      <c r="W32" s="22"/>
      <c r="X32" s="17">
        <f t="shared" si="4"/>
        <v>0</v>
      </c>
      <c r="Y32" s="18" t="s">
        <v>16</v>
      </c>
      <c r="Z32" s="19">
        <v>0</v>
      </c>
    </row>
    <row r="33" spans="1:26" ht="25.5">
      <c r="A33" s="10">
        <v>29</v>
      </c>
      <c r="B33" s="11" t="s">
        <v>44</v>
      </c>
      <c r="C33" s="12">
        <f>+'30'!G33</f>
        <v>4</v>
      </c>
      <c r="D33" s="13">
        <v>0</v>
      </c>
      <c r="E33" s="12">
        <f t="shared" si="0"/>
        <v>4</v>
      </c>
      <c r="F33" s="13">
        <v>0</v>
      </c>
      <c r="G33" s="14">
        <f t="shared" si="1"/>
        <v>4</v>
      </c>
      <c r="H33" s="15">
        <v>0</v>
      </c>
      <c r="I33" s="16">
        <v>130</v>
      </c>
      <c r="J33" s="43">
        <f t="shared" si="5"/>
        <v>0</v>
      </c>
      <c r="K33" s="18" t="s">
        <v>16</v>
      </c>
      <c r="L33" s="19">
        <v>0</v>
      </c>
      <c r="M33" s="24">
        <f t="shared" si="6"/>
        <v>0</v>
      </c>
      <c r="O33" s="10">
        <v>29</v>
      </c>
      <c r="P33" s="21"/>
      <c r="Q33" s="12">
        <f>+'[2]วันที่ 7'!U33</f>
        <v>0</v>
      </c>
      <c r="R33" s="13">
        <v>0</v>
      </c>
      <c r="S33" s="12">
        <f t="shared" si="2"/>
        <v>0</v>
      </c>
      <c r="T33" s="13">
        <v>0</v>
      </c>
      <c r="U33" s="12">
        <f t="shared" si="3"/>
        <v>0</v>
      </c>
      <c r="V33" s="15">
        <v>0</v>
      </c>
      <c r="W33" s="22"/>
      <c r="X33" s="17">
        <f t="shared" si="4"/>
        <v>0</v>
      </c>
      <c r="Y33" s="18" t="s">
        <v>16</v>
      </c>
      <c r="Z33" s="19">
        <v>0</v>
      </c>
    </row>
    <row r="34" spans="1:26" ht="24.75" customHeight="1">
      <c r="A34" s="10">
        <v>30</v>
      </c>
      <c r="B34" s="11" t="s">
        <v>45</v>
      </c>
      <c r="C34" s="12">
        <f>+'30'!G34</f>
        <v>0</v>
      </c>
      <c r="D34" s="13">
        <v>0</v>
      </c>
      <c r="E34" s="12">
        <f t="shared" si="0"/>
        <v>0</v>
      </c>
      <c r="F34" s="13">
        <v>0</v>
      </c>
      <c r="G34" s="14">
        <f t="shared" si="1"/>
        <v>0</v>
      </c>
      <c r="H34" s="15">
        <v>0</v>
      </c>
      <c r="I34" s="16">
        <v>130</v>
      </c>
      <c r="J34" s="43">
        <f t="shared" si="5"/>
        <v>0</v>
      </c>
      <c r="K34" s="18" t="s">
        <v>16</v>
      </c>
      <c r="L34" s="19">
        <v>0</v>
      </c>
      <c r="M34" s="24">
        <f t="shared" si="6"/>
        <v>0</v>
      </c>
      <c r="O34" s="10">
        <v>30</v>
      </c>
      <c r="P34" s="21"/>
      <c r="Q34" s="12">
        <f>+'[2]วันที่ 7'!U34</f>
        <v>0</v>
      </c>
      <c r="R34" s="13">
        <v>0</v>
      </c>
      <c r="S34" s="12">
        <f t="shared" si="2"/>
        <v>0</v>
      </c>
      <c r="T34" s="13">
        <v>0</v>
      </c>
      <c r="U34" s="12">
        <f t="shared" si="3"/>
        <v>0</v>
      </c>
      <c r="V34" s="15">
        <v>0</v>
      </c>
      <c r="W34" s="22"/>
      <c r="X34" s="17">
        <f t="shared" si="4"/>
        <v>0</v>
      </c>
      <c r="Y34" s="18" t="s">
        <v>16</v>
      </c>
      <c r="Z34" s="19">
        <v>0</v>
      </c>
    </row>
    <row r="35" spans="1:26" ht="25.5">
      <c r="A35" s="10">
        <v>31</v>
      </c>
      <c r="B35" s="11" t="s">
        <v>46</v>
      </c>
      <c r="C35" s="12">
        <f>+'30'!G35</f>
        <v>0</v>
      </c>
      <c r="D35" s="13">
        <v>0</v>
      </c>
      <c r="E35" s="12">
        <f t="shared" si="0"/>
        <v>0</v>
      </c>
      <c r="F35" s="13">
        <v>0</v>
      </c>
      <c r="G35" s="14">
        <f t="shared" si="1"/>
        <v>0</v>
      </c>
      <c r="H35" s="15">
        <v>0</v>
      </c>
      <c r="I35" s="16">
        <v>130</v>
      </c>
      <c r="J35" s="43">
        <f t="shared" si="5"/>
        <v>0</v>
      </c>
      <c r="K35" s="18" t="s">
        <v>16</v>
      </c>
      <c r="L35" s="19">
        <v>0</v>
      </c>
      <c r="M35" s="24">
        <f t="shared" si="6"/>
        <v>0</v>
      </c>
      <c r="O35" s="10">
        <v>31</v>
      </c>
      <c r="P35" s="21"/>
      <c r="Q35" s="12">
        <f>+'[2]วันที่ 7'!U35</f>
        <v>0</v>
      </c>
      <c r="R35" s="13">
        <v>0</v>
      </c>
      <c r="S35" s="12">
        <f t="shared" si="2"/>
        <v>0</v>
      </c>
      <c r="T35" s="13">
        <v>0</v>
      </c>
      <c r="U35" s="12">
        <f t="shared" si="3"/>
        <v>0</v>
      </c>
      <c r="V35" s="15">
        <v>0</v>
      </c>
      <c r="W35" s="22"/>
      <c r="X35" s="17">
        <f t="shared" si="4"/>
        <v>0</v>
      </c>
      <c r="Y35" s="18" t="s">
        <v>16</v>
      </c>
      <c r="Z35" s="19">
        <v>0</v>
      </c>
    </row>
    <row r="36" spans="1:26" ht="25.5">
      <c r="A36" s="10">
        <v>32</v>
      </c>
      <c r="B36" s="11" t="s">
        <v>47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4">
        <f t="shared" si="1"/>
        <v>0</v>
      </c>
      <c r="H36" s="15">
        <v>0</v>
      </c>
      <c r="I36" s="16">
        <v>100</v>
      </c>
      <c r="J36" s="43">
        <f t="shared" si="5"/>
        <v>0</v>
      </c>
      <c r="K36" s="18" t="s">
        <v>16</v>
      </c>
      <c r="L36" s="19">
        <v>0</v>
      </c>
      <c r="M36" s="24">
        <f t="shared" si="6"/>
        <v>0</v>
      </c>
      <c r="O36" s="10">
        <v>32</v>
      </c>
      <c r="P36" s="21"/>
      <c r="Q36" s="12">
        <f>+'[2]วันที่ 7'!U36</f>
        <v>0</v>
      </c>
      <c r="R36" s="13">
        <v>0</v>
      </c>
      <c r="S36" s="12">
        <f t="shared" si="2"/>
        <v>0</v>
      </c>
      <c r="T36" s="13">
        <v>0</v>
      </c>
      <c r="U36" s="12">
        <f t="shared" si="3"/>
        <v>0</v>
      </c>
      <c r="V36" s="15">
        <v>0</v>
      </c>
      <c r="W36" s="22"/>
      <c r="X36" s="17">
        <f t="shared" si="4"/>
        <v>0</v>
      </c>
      <c r="Y36" s="18" t="s">
        <v>16</v>
      </c>
      <c r="Z36" s="19">
        <v>0</v>
      </c>
    </row>
    <row r="37" spans="1:26" ht="25.5">
      <c r="A37" s="10">
        <v>33</v>
      </c>
      <c r="B37" s="11" t="s">
        <v>48</v>
      </c>
      <c r="C37" s="12">
        <f>+'30'!G37</f>
        <v>9</v>
      </c>
      <c r="D37" s="13">
        <v>0</v>
      </c>
      <c r="E37" s="12">
        <f t="shared" si="0"/>
        <v>9</v>
      </c>
      <c r="F37" s="13">
        <v>0</v>
      </c>
      <c r="G37" s="14">
        <f t="shared" si="1"/>
        <v>9</v>
      </c>
      <c r="H37" s="15">
        <v>0</v>
      </c>
      <c r="I37" s="16">
        <v>100</v>
      </c>
      <c r="J37" s="43">
        <f t="shared" si="5"/>
        <v>0</v>
      </c>
      <c r="K37" s="18" t="s">
        <v>16</v>
      </c>
      <c r="L37" s="19">
        <v>0</v>
      </c>
      <c r="M37" s="24">
        <f t="shared" si="6"/>
        <v>0</v>
      </c>
      <c r="O37" s="10">
        <v>33</v>
      </c>
      <c r="P37" s="21"/>
      <c r="Q37" s="12">
        <f>+'[2]วันที่ 7'!U37</f>
        <v>0</v>
      </c>
      <c r="R37" s="13">
        <v>0</v>
      </c>
      <c r="S37" s="12">
        <f t="shared" si="2"/>
        <v>0</v>
      </c>
      <c r="T37" s="13">
        <v>0</v>
      </c>
      <c r="U37" s="12">
        <f t="shared" si="3"/>
        <v>0</v>
      </c>
      <c r="V37" s="15">
        <v>0</v>
      </c>
      <c r="W37" s="22"/>
      <c r="X37" s="17">
        <f t="shared" si="4"/>
        <v>0</v>
      </c>
      <c r="Y37" s="18" t="s">
        <v>16</v>
      </c>
      <c r="Z37" s="19">
        <v>0</v>
      </c>
    </row>
    <row r="38" spans="1:26" ht="25.5">
      <c r="A38" s="10">
        <v>34</v>
      </c>
      <c r="B38" s="11" t="s">
        <v>49</v>
      </c>
      <c r="C38" s="12">
        <f>+'30'!G38</f>
        <v>5</v>
      </c>
      <c r="D38" s="13">
        <v>0</v>
      </c>
      <c r="E38" s="12">
        <f t="shared" si="0"/>
        <v>5</v>
      </c>
      <c r="F38" s="13">
        <v>0</v>
      </c>
      <c r="G38" s="14">
        <f t="shared" si="1"/>
        <v>5</v>
      </c>
      <c r="H38" s="15">
        <v>0</v>
      </c>
      <c r="I38" s="16">
        <v>50</v>
      </c>
      <c r="J38" s="43">
        <f t="shared" si="5"/>
        <v>0</v>
      </c>
      <c r="K38" s="18" t="s">
        <v>16</v>
      </c>
      <c r="L38" s="19">
        <v>0</v>
      </c>
      <c r="M38" s="24">
        <f t="shared" si="6"/>
        <v>0</v>
      </c>
      <c r="O38" s="10">
        <v>34</v>
      </c>
      <c r="P38" s="21"/>
      <c r="Q38" s="12">
        <f>+'[2]วันที่ 7'!U38</f>
        <v>0</v>
      </c>
      <c r="R38" s="13">
        <v>0</v>
      </c>
      <c r="S38" s="12">
        <f t="shared" si="2"/>
        <v>0</v>
      </c>
      <c r="T38" s="13">
        <v>0</v>
      </c>
      <c r="U38" s="12">
        <f t="shared" si="3"/>
        <v>0</v>
      </c>
      <c r="V38" s="15">
        <v>0</v>
      </c>
      <c r="W38" s="22"/>
      <c r="X38" s="17">
        <f t="shared" si="4"/>
        <v>0</v>
      </c>
      <c r="Y38" s="18" t="s">
        <v>16</v>
      </c>
      <c r="Z38" s="19">
        <v>0</v>
      </c>
    </row>
    <row r="39" spans="1:26" ht="25.5">
      <c r="A39" s="10">
        <v>35</v>
      </c>
      <c r="B39" s="11" t="s">
        <v>50</v>
      </c>
      <c r="C39" s="12">
        <f>+'30'!G39</f>
        <v>4</v>
      </c>
      <c r="D39" s="13">
        <v>0</v>
      </c>
      <c r="E39" s="12">
        <f t="shared" si="0"/>
        <v>4</v>
      </c>
      <c r="F39" s="13">
        <v>0</v>
      </c>
      <c r="G39" s="14">
        <f t="shared" si="1"/>
        <v>4</v>
      </c>
      <c r="H39" s="15">
        <v>0</v>
      </c>
      <c r="I39" s="16">
        <v>50</v>
      </c>
      <c r="J39" s="43">
        <f t="shared" si="5"/>
        <v>0</v>
      </c>
      <c r="K39" s="18" t="s">
        <v>16</v>
      </c>
      <c r="L39" s="19">
        <v>0</v>
      </c>
      <c r="M39" s="24">
        <f t="shared" si="6"/>
        <v>0</v>
      </c>
      <c r="O39" s="10">
        <v>35</v>
      </c>
      <c r="P39" s="21"/>
      <c r="Q39" s="12">
        <f>+'[2]วันที่ 7'!U39</f>
        <v>0</v>
      </c>
      <c r="R39" s="13">
        <v>0</v>
      </c>
      <c r="S39" s="12">
        <f t="shared" si="2"/>
        <v>0</v>
      </c>
      <c r="T39" s="13">
        <v>0</v>
      </c>
      <c r="U39" s="12">
        <f t="shared" si="3"/>
        <v>0</v>
      </c>
      <c r="V39" s="15">
        <v>0</v>
      </c>
      <c r="W39" s="22"/>
      <c r="X39" s="17">
        <f t="shared" si="4"/>
        <v>0</v>
      </c>
      <c r="Y39" s="18" t="s">
        <v>16</v>
      </c>
      <c r="Z39" s="19">
        <v>0</v>
      </c>
    </row>
    <row r="40" spans="1:26" ht="25.5">
      <c r="A40" s="10">
        <v>36</v>
      </c>
      <c r="B40" s="11" t="s">
        <v>51</v>
      </c>
      <c r="C40" s="12">
        <f>+'30'!G40</f>
        <v>11</v>
      </c>
      <c r="D40" s="13">
        <v>0</v>
      </c>
      <c r="E40" s="12">
        <f t="shared" si="0"/>
        <v>11</v>
      </c>
      <c r="F40" s="13">
        <v>0</v>
      </c>
      <c r="G40" s="14">
        <f t="shared" si="1"/>
        <v>11</v>
      </c>
      <c r="H40" s="15">
        <v>0</v>
      </c>
      <c r="I40" s="16">
        <v>50</v>
      </c>
      <c r="J40" s="43">
        <f t="shared" si="5"/>
        <v>0</v>
      </c>
      <c r="K40" s="18" t="s">
        <v>16</v>
      </c>
      <c r="L40" s="19">
        <v>0</v>
      </c>
      <c r="M40" s="24">
        <f t="shared" si="6"/>
        <v>0</v>
      </c>
      <c r="O40" s="10">
        <v>36</v>
      </c>
      <c r="P40" s="21"/>
      <c r="Q40" s="12">
        <f>+'[2]วันที่ 7'!U40</f>
        <v>0</v>
      </c>
      <c r="R40" s="13">
        <v>0</v>
      </c>
      <c r="S40" s="12">
        <f t="shared" si="2"/>
        <v>0</v>
      </c>
      <c r="T40" s="13">
        <v>0</v>
      </c>
      <c r="U40" s="12">
        <f t="shared" si="3"/>
        <v>0</v>
      </c>
      <c r="V40" s="15">
        <v>0</v>
      </c>
      <c r="W40" s="22"/>
      <c r="X40" s="17">
        <f t="shared" si="4"/>
        <v>0</v>
      </c>
      <c r="Y40" s="18" t="s">
        <v>16</v>
      </c>
      <c r="Z40" s="19">
        <v>0</v>
      </c>
    </row>
    <row r="41" spans="1:26" ht="25.5">
      <c r="A41" s="10">
        <v>37</v>
      </c>
      <c r="B41" s="11" t="s">
        <v>52</v>
      </c>
      <c r="C41" s="12">
        <f>+'30'!G41</f>
        <v>0</v>
      </c>
      <c r="D41" s="13">
        <v>0</v>
      </c>
      <c r="E41" s="12">
        <f t="shared" si="0"/>
        <v>0</v>
      </c>
      <c r="F41" s="13">
        <v>0</v>
      </c>
      <c r="G41" s="14">
        <f t="shared" si="1"/>
        <v>0</v>
      </c>
      <c r="H41" s="15">
        <v>0</v>
      </c>
      <c r="I41" s="16">
        <v>50</v>
      </c>
      <c r="J41" s="43">
        <f t="shared" si="5"/>
        <v>0</v>
      </c>
      <c r="K41" s="18" t="s">
        <v>16</v>
      </c>
      <c r="L41" s="19">
        <v>0</v>
      </c>
      <c r="M41" s="24">
        <f t="shared" si="6"/>
        <v>0</v>
      </c>
      <c r="O41" s="10">
        <v>37</v>
      </c>
      <c r="P41" s="21"/>
      <c r="Q41" s="12">
        <f>+'[2]วันที่ 7'!U41</f>
        <v>0</v>
      </c>
      <c r="R41" s="13">
        <v>0</v>
      </c>
      <c r="S41" s="12">
        <f t="shared" si="2"/>
        <v>0</v>
      </c>
      <c r="T41" s="13">
        <v>0</v>
      </c>
      <c r="U41" s="12">
        <f t="shared" si="3"/>
        <v>0</v>
      </c>
      <c r="V41" s="15">
        <v>0</v>
      </c>
      <c r="W41" s="22"/>
      <c r="X41" s="17">
        <f t="shared" si="4"/>
        <v>0</v>
      </c>
      <c r="Y41" s="18" t="s">
        <v>16</v>
      </c>
      <c r="Z41" s="19">
        <v>0</v>
      </c>
    </row>
    <row r="42" spans="1:26" ht="25.5">
      <c r="A42" s="10">
        <v>38</v>
      </c>
      <c r="B42" s="11" t="s">
        <v>53</v>
      </c>
      <c r="C42" s="12">
        <f>+'30'!G42</f>
        <v>0</v>
      </c>
      <c r="D42" s="13">
        <v>0</v>
      </c>
      <c r="E42" s="12">
        <f t="shared" si="0"/>
        <v>0</v>
      </c>
      <c r="F42" s="13">
        <v>0</v>
      </c>
      <c r="G42" s="14">
        <f t="shared" si="1"/>
        <v>0</v>
      </c>
      <c r="H42" s="15">
        <v>0</v>
      </c>
      <c r="I42" s="16">
        <v>50</v>
      </c>
      <c r="J42" s="43">
        <f t="shared" si="5"/>
        <v>0</v>
      </c>
      <c r="K42" s="18" t="s">
        <v>16</v>
      </c>
      <c r="L42" s="19">
        <v>0</v>
      </c>
      <c r="M42" s="24">
        <f t="shared" si="6"/>
        <v>0</v>
      </c>
      <c r="O42" s="10">
        <v>38</v>
      </c>
      <c r="P42" s="21"/>
      <c r="Q42" s="12">
        <f>+'[2]วันที่ 7'!U42</f>
        <v>0</v>
      </c>
      <c r="R42" s="13">
        <v>0</v>
      </c>
      <c r="S42" s="12">
        <f t="shared" si="2"/>
        <v>0</v>
      </c>
      <c r="T42" s="13">
        <v>0</v>
      </c>
      <c r="U42" s="12">
        <f t="shared" si="3"/>
        <v>0</v>
      </c>
      <c r="V42" s="15">
        <v>0</v>
      </c>
      <c r="W42" s="22"/>
      <c r="X42" s="17">
        <f t="shared" si="4"/>
        <v>0</v>
      </c>
      <c r="Y42" s="18" t="s">
        <v>16</v>
      </c>
      <c r="Z42" s="19">
        <v>0</v>
      </c>
    </row>
    <row r="43" spans="1:26" ht="25.5">
      <c r="A43" s="10">
        <v>39</v>
      </c>
      <c r="B43" s="11" t="s">
        <v>54</v>
      </c>
      <c r="C43" s="12">
        <f>+'30'!G43</f>
        <v>3</v>
      </c>
      <c r="D43" s="13">
        <v>0</v>
      </c>
      <c r="E43" s="12">
        <f t="shared" si="0"/>
        <v>3</v>
      </c>
      <c r="F43" s="13">
        <v>0</v>
      </c>
      <c r="G43" s="14">
        <f t="shared" si="1"/>
        <v>3</v>
      </c>
      <c r="H43" s="15">
        <v>0</v>
      </c>
      <c r="I43" s="16">
        <v>50</v>
      </c>
      <c r="J43" s="43">
        <f t="shared" si="5"/>
        <v>0</v>
      </c>
      <c r="K43" s="18" t="s">
        <v>16</v>
      </c>
      <c r="L43" s="19">
        <v>0</v>
      </c>
      <c r="M43" s="24">
        <f t="shared" si="6"/>
        <v>0</v>
      </c>
      <c r="O43" s="10">
        <v>39</v>
      </c>
      <c r="P43" s="21"/>
      <c r="Q43" s="12">
        <f>+'[2]วันที่ 7'!U43</f>
        <v>0</v>
      </c>
      <c r="R43" s="13">
        <v>0</v>
      </c>
      <c r="S43" s="12">
        <f t="shared" si="2"/>
        <v>0</v>
      </c>
      <c r="T43" s="13">
        <v>0</v>
      </c>
      <c r="U43" s="12">
        <f t="shared" si="3"/>
        <v>0</v>
      </c>
      <c r="V43" s="15">
        <v>0</v>
      </c>
      <c r="W43" s="22"/>
      <c r="X43" s="17">
        <f t="shared" si="4"/>
        <v>0</v>
      </c>
      <c r="Y43" s="18" t="s">
        <v>16</v>
      </c>
      <c r="Z43" s="19">
        <v>0</v>
      </c>
    </row>
    <row r="44" spans="1:26" ht="25.5">
      <c r="A44" s="10">
        <v>40</v>
      </c>
      <c r="B44" s="11" t="s">
        <v>55</v>
      </c>
      <c r="C44" s="12">
        <f>+'30'!G44</f>
        <v>2</v>
      </c>
      <c r="D44" s="13">
        <v>0</v>
      </c>
      <c r="E44" s="12">
        <f t="shared" si="0"/>
        <v>2</v>
      </c>
      <c r="F44" s="13">
        <v>0</v>
      </c>
      <c r="G44" s="14">
        <f t="shared" si="1"/>
        <v>2</v>
      </c>
      <c r="H44" s="15">
        <v>0</v>
      </c>
      <c r="I44" s="16">
        <v>50</v>
      </c>
      <c r="J44" s="43">
        <f t="shared" si="5"/>
        <v>0</v>
      </c>
      <c r="K44" s="18" t="s">
        <v>16</v>
      </c>
      <c r="L44" s="19">
        <v>0</v>
      </c>
      <c r="M44" s="24">
        <f t="shared" si="6"/>
        <v>0</v>
      </c>
      <c r="O44" s="10">
        <v>40</v>
      </c>
      <c r="P44" s="21"/>
      <c r="Q44" s="12">
        <f>+'[2]วันที่ 7'!U44</f>
        <v>0</v>
      </c>
      <c r="R44" s="13">
        <v>0</v>
      </c>
      <c r="S44" s="12">
        <f t="shared" si="2"/>
        <v>0</v>
      </c>
      <c r="T44" s="13">
        <v>0</v>
      </c>
      <c r="U44" s="12">
        <f t="shared" si="3"/>
        <v>0</v>
      </c>
      <c r="V44" s="15">
        <v>0</v>
      </c>
      <c r="W44" s="22"/>
      <c r="X44" s="17">
        <f t="shared" si="4"/>
        <v>0</v>
      </c>
      <c r="Y44" s="18" t="s">
        <v>16</v>
      </c>
      <c r="Z44" s="19">
        <v>0</v>
      </c>
    </row>
    <row r="45" spans="1:26" ht="25.5">
      <c r="A45" s="10">
        <v>41</v>
      </c>
      <c r="B45" s="11" t="s">
        <v>56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4">
        <f t="shared" si="1"/>
        <v>0</v>
      </c>
      <c r="H45" s="15">
        <v>0</v>
      </c>
      <c r="I45" s="16">
        <v>50</v>
      </c>
      <c r="J45" s="43">
        <f t="shared" si="5"/>
        <v>0</v>
      </c>
      <c r="K45" s="18" t="s">
        <v>16</v>
      </c>
      <c r="L45" s="19">
        <v>0</v>
      </c>
      <c r="M45" s="24">
        <f t="shared" si="6"/>
        <v>0</v>
      </c>
      <c r="O45" s="10">
        <v>41</v>
      </c>
      <c r="P45" s="21"/>
      <c r="Q45" s="12">
        <f>+'[2]วันที่ 7'!U45</f>
        <v>0</v>
      </c>
      <c r="R45" s="13">
        <v>0</v>
      </c>
      <c r="S45" s="12">
        <f t="shared" si="2"/>
        <v>0</v>
      </c>
      <c r="T45" s="13">
        <v>0</v>
      </c>
      <c r="U45" s="12">
        <f t="shared" si="3"/>
        <v>0</v>
      </c>
      <c r="V45" s="15">
        <v>0</v>
      </c>
      <c r="W45" s="22"/>
      <c r="X45" s="17">
        <f t="shared" si="4"/>
        <v>0</v>
      </c>
      <c r="Y45" s="18" t="s">
        <v>16</v>
      </c>
      <c r="Z45" s="19">
        <v>0</v>
      </c>
    </row>
    <row r="46" spans="1:26" ht="25.5">
      <c r="A46" s="10">
        <v>42</v>
      </c>
      <c r="B46" s="11" t="s">
        <v>57</v>
      </c>
      <c r="C46" s="12">
        <f>+'30'!G46</f>
        <v>0</v>
      </c>
      <c r="D46" s="13">
        <v>0</v>
      </c>
      <c r="E46" s="12">
        <f t="shared" si="0"/>
        <v>0</v>
      </c>
      <c r="F46" s="13">
        <v>0</v>
      </c>
      <c r="G46" s="14">
        <f t="shared" si="1"/>
        <v>0</v>
      </c>
      <c r="H46" s="15">
        <v>0</v>
      </c>
      <c r="I46" s="16">
        <v>50</v>
      </c>
      <c r="J46" s="43">
        <f t="shared" si="5"/>
        <v>0</v>
      </c>
      <c r="K46" s="18" t="s">
        <v>16</v>
      </c>
      <c r="L46" s="19">
        <v>0</v>
      </c>
      <c r="M46" s="24">
        <f t="shared" si="6"/>
        <v>0</v>
      </c>
      <c r="O46" s="10">
        <v>42</v>
      </c>
      <c r="P46" s="21"/>
      <c r="Q46" s="12">
        <f>+'[2]วันที่ 7'!U46</f>
        <v>0</v>
      </c>
      <c r="R46" s="13">
        <v>0</v>
      </c>
      <c r="S46" s="12">
        <f t="shared" si="2"/>
        <v>0</v>
      </c>
      <c r="T46" s="13">
        <v>0</v>
      </c>
      <c r="U46" s="12">
        <f t="shared" si="3"/>
        <v>0</v>
      </c>
      <c r="V46" s="15">
        <v>0</v>
      </c>
      <c r="W46" s="22"/>
      <c r="X46" s="17">
        <f t="shared" si="4"/>
        <v>0</v>
      </c>
      <c r="Y46" s="18" t="s">
        <v>16</v>
      </c>
      <c r="Z46" s="19">
        <v>0</v>
      </c>
    </row>
    <row r="47" spans="1:26" ht="25.5">
      <c r="A47" s="10">
        <v>43</v>
      </c>
      <c r="B47" s="11" t="s">
        <v>58</v>
      </c>
      <c r="C47" s="12">
        <f>+'30'!G47</f>
        <v>0</v>
      </c>
      <c r="D47" s="13">
        <v>0</v>
      </c>
      <c r="E47" s="12">
        <f t="shared" si="0"/>
        <v>0</v>
      </c>
      <c r="F47" s="13">
        <v>0</v>
      </c>
      <c r="G47" s="14">
        <f t="shared" si="1"/>
        <v>0</v>
      </c>
      <c r="H47" s="15">
        <v>0</v>
      </c>
      <c r="I47" s="16">
        <v>50</v>
      </c>
      <c r="J47" s="43">
        <f t="shared" si="5"/>
        <v>0</v>
      </c>
      <c r="K47" s="18" t="s">
        <v>16</v>
      </c>
      <c r="L47" s="19">
        <v>0</v>
      </c>
      <c r="M47" s="24">
        <f t="shared" si="6"/>
        <v>0</v>
      </c>
      <c r="O47" s="10">
        <v>43</v>
      </c>
      <c r="P47" s="21"/>
      <c r="Q47" s="12">
        <f>+'[2]วันที่ 7'!U47</f>
        <v>0</v>
      </c>
      <c r="R47" s="13">
        <v>0</v>
      </c>
      <c r="S47" s="12">
        <f t="shared" si="2"/>
        <v>0</v>
      </c>
      <c r="T47" s="13">
        <v>0</v>
      </c>
      <c r="U47" s="12">
        <f t="shared" si="3"/>
        <v>0</v>
      </c>
      <c r="V47" s="15">
        <v>0</v>
      </c>
      <c r="W47" s="22"/>
      <c r="X47" s="17">
        <f t="shared" si="4"/>
        <v>0</v>
      </c>
      <c r="Y47" s="18" t="s">
        <v>16</v>
      </c>
      <c r="Z47" s="19">
        <v>0</v>
      </c>
    </row>
    <row r="48" spans="1:26" ht="25.5">
      <c r="A48" s="10">
        <v>44</v>
      </c>
      <c r="B48" s="11" t="s">
        <v>59</v>
      </c>
      <c r="C48" s="12">
        <f>+'30'!G48</f>
        <v>1</v>
      </c>
      <c r="D48" s="13">
        <v>0</v>
      </c>
      <c r="E48" s="12">
        <f t="shared" si="0"/>
        <v>1</v>
      </c>
      <c r="F48" s="13">
        <v>0</v>
      </c>
      <c r="G48" s="14">
        <f t="shared" si="1"/>
        <v>1</v>
      </c>
      <c r="H48" s="15">
        <v>0</v>
      </c>
      <c r="I48" s="16">
        <v>50</v>
      </c>
      <c r="J48" s="43">
        <f t="shared" si="5"/>
        <v>0</v>
      </c>
      <c r="K48" s="18" t="s">
        <v>16</v>
      </c>
      <c r="L48" s="19">
        <v>0</v>
      </c>
      <c r="M48" s="24">
        <f t="shared" si="6"/>
        <v>0</v>
      </c>
      <c r="O48" s="10">
        <v>44</v>
      </c>
      <c r="P48" s="21"/>
      <c r="Q48" s="12">
        <f>+'[2]วันที่ 7'!U48</f>
        <v>0</v>
      </c>
      <c r="R48" s="13">
        <v>0</v>
      </c>
      <c r="S48" s="12">
        <f t="shared" si="2"/>
        <v>0</v>
      </c>
      <c r="T48" s="13">
        <v>0</v>
      </c>
      <c r="U48" s="12">
        <f t="shared" si="3"/>
        <v>0</v>
      </c>
      <c r="V48" s="15">
        <v>0</v>
      </c>
      <c r="W48" s="22"/>
      <c r="X48" s="17">
        <f t="shared" si="4"/>
        <v>0</v>
      </c>
      <c r="Y48" s="18" t="s">
        <v>16</v>
      </c>
      <c r="Z48" s="19">
        <v>0</v>
      </c>
    </row>
    <row r="49" spans="1:26" ht="25.5">
      <c r="A49" s="10">
        <v>45</v>
      </c>
      <c r="B49" s="11" t="s">
        <v>60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14">
        <f t="shared" si="1"/>
        <v>0</v>
      </c>
      <c r="H49" s="15">
        <v>0</v>
      </c>
      <c r="I49" s="16">
        <v>50</v>
      </c>
      <c r="J49" s="43">
        <f t="shared" si="5"/>
        <v>0</v>
      </c>
      <c r="K49" s="18" t="s">
        <v>16</v>
      </c>
      <c r="L49" s="19">
        <v>0</v>
      </c>
      <c r="M49" s="24">
        <f t="shared" si="6"/>
        <v>0</v>
      </c>
      <c r="O49" s="10">
        <v>45</v>
      </c>
      <c r="P49" s="21"/>
      <c r="Q49" s="12">
        <f>+'[2]วันที่ 7'!U49</f>
        <v>0</v>
      </c>
      <c r="R49" s="13">
        <v>0</v>
      </c>
      <c r="S49" s="12">
        <f t="shared" si="2"/>
        <v>0</v>
      </c>
      <c r="T49" s="13">
        <v>0</v>
      </c>
      <c r="U49" s="12">
        <f t="shared" si="3"/>
        <v>0</v>
      </c>
      <c r="V49" s="15">
        <v>0</v>
      </c>
      <c r="W49" s="22"/>
      <c r="X49" s="17">
        <f t="shared" si="4"/>
        <v>0</v>
      </c>
      <c r="Y49" s="18" t="s">
        <v>16</v>
      </c>
      <c r="Z49" s="19">
        <v>0</v>
      </c>
    </row>
    <row r="50" spans="1:26" ht="25.5">
      <c r="A50" s="10">
        <v>46</v>
      </c>
      <c r="B50" s="11" t="s">
        <v>61</v>
      </c>
      <c r="C50" s="12">
        <f>+'30'!G50</f>
        <v>2</v>
      </c>
      <c r="D50" s="13">
        <v>0</v>
      </c>
      <c r="E50" s="12">
        <f t="shared" si="0"/>
        <v>2</v>
      </c>
      <c r="F50" s="13">
        <v>0</v>
      </c>
      <c r="G50" s="14">
        <f t="shared" si="1"/>
        <v>2</v>
      </c>
      <c r="H50" s="15">
        <v>0</v>
      </c>
      <c r="I50" s="16">
        <v>120</v>
      </c>
      <c r="J50" s="43">
        <f t="shared" si="5"/>
        <v>0</v>
      </c>
      <c r="K50" s="18" t="s">
        <v>16</v>
      </c>
      <c r="L50" s="19">
        <v>0</v>
      </c>
      <c r="M50" s="24">
        <f t="shared" si="6"/>
        <v>0</v>
      </c>
      <c r="O50" s="10">
        <v>46</v>
      </c>
      <c r="P50" s="21"/>
      <c r="Q50" s="12">
        <f>+'[2]วันที่ 7'!U50</f>
        <v>0</v>
      </c>
      <c r="R50" s="13">
        <v>0</v>
      </c>
      <c r="S50" s="12">
        <f t="shared" si="2"/>
        <v>0</v>
      </c>
      <c r="T50" s="13">
        <v>0</v>
      </c>
      <c r="U50" s="12">
        <f t="shared" si="3"/>
        <v>0</v>
      </c>
      <c r="V50" s="15">
        <v>0</v>
      </c>
      <c r="W50" s="22"/>
      <c r="X50" s="17">
        <f t="shared" si="4"/>
        <v>0</v>
      </c>
      <c r="Y50" s="18" t="s">
        <v>16</v>
      </c>
      <c r="Z50" s="19">
        <v>0</v>
      </c>
    </row>
    <row r="51" spans="1:26" ht="25.5">
      <c r="A51" s="10">
        <v>47</v>
      </c>
      <c r="B51" s="11" t="s">
        <v>62</v>
      </c>
      <c r="C51" s="12">
        <f>+'30'!G51</f>
        <v>1</v>
      </c>
      <c r="D51" s="13">
        <v>0</v>
      </c>
      <c r="E51" s="12">
        <f t="shared" si="0"/>
        <v>1</v>
      </c>
      <c r="F51" s="13">
        <v>0</v>
      </c>
      <c r="G51" s="14">
        <f t="shared" si="1"/>
        <v>1</v>
      </c>
      <c r="H51" s="15">
        <v>0</v>
      </c>
      <c r="I51" s="16">
        <v>120</v>
      </c>
      <c r="J51" s="43">
        <f t="shared" si="5"/>
        <v>0</v>
      </c>
      <c r="K51" s="18" t="s">
        <v>16</v>
      </c>
      <c r="L51" s="19">
        <v>0</v>
      </c>
      <c r="M51" s="24">
        <f t="shared" si="6"/>
        <v>0</v>
      </c>
      <c r="O51" s="10">
        <v>47</v>
      </c>
      <c r="P51" s="21"/>
      <c r="Q51" s="12">
        <f>+'[2]วันที่ 7'!U51</f>
        <v>0</v>
      </c>
      <c r="R51" s="13">
        <v>0</v>
      </c>
      <c r="S51" s="12">
        <f t="shared" si="2"/>
        <v>0</v>
      </c>
      <c r="T51" s="13">
        <v>0</v>
      </c>
      <c r="U51" s="12">
        <f t="shared" si="3"/>
        <v>0</v>
      </c>
      <c r="V51" s="15">
        <v>0</v>
      </c>
      <c r="W51" s="22"/>
      <c r="X51" s="17">
        <f t="shared" si="4"/>
        <v>0</v>
      </c>
      <c r="Y51" s="18" t="s">
        <v>16</v>
      </c>
      <c r="Z51" s="19">
        <v>0</v>
      </c>
    </row>
    <row r="52" spans="1:26" ht="25.5">
      <c r="A52" s="10">
        <v>48</v>
      </c>
      <c r="B52" s="11" t="s">
        <v>63</v>
      </c>
      <c r="C52" s="12">
        <f>+'30'!G52</f>
        <v>1</v>
      </c>
      <c r="D52" s="13">
        <v>0</v>
      </c>
      <c r="E52" s="12">
        <f t="shared" si="0"/>
        <v>1</v>
      </c>
      <c r="F52" s="13">
        <v>0</v>
      </c>
      <c r="G52" s="14">
        <f t="shared" si="1"/>
        <v>1</v>
      </c>
      <c r="H52" s="15">
        <v>0</v>
      </c>
      <c r="I52" s="20">
        <v>120</v>
      </c>
      <c r="J52" s="43">
        <f t="shared" si="5"/>
        <v>0</v>
      </c>
      <c r="K52" s="18" t="s">
        <v>16</v>
      </c>
      <c r="L52" s="19">
        <v>0</v>
      </c>
      <c r="M52" s="24">
        <f t="shared" si="6"/>
        <v>0</v>
      </c>
      <c r="O52" s="10">
        <v>48</v>
      </c>
      <c r="P52" s="21"/>
      <c r="Q52" s="12">
        <f>+'[2]วันที่ 7'!U52</f>
        <v>0</v>
      </c>
      <c r="R52" s="13">
        <v>0</v>
      </c>
      <c r="S52" s="12">
        <f t="shared" si="2"/>
        <v>0</v>
      </c>
      <c r="T52" s="13">
        <v>0</v>
      </c>
      <c r="U52" s="12">
        <f t="shared" si="3"/>
        <v>0</v>
      </c>
      <c r="V52" s="15">
        <v>0</v>
      </c>
      <c r="W52" s="22"/>
      <c r="X52" s="17">
        <f t="shared" si="4"/>
        <v>0</v>
      </c>
      <c r="Y52" s="18" t="s">
        <v>16</v>
      </c>
      <c r="Z52" s="19">
        <v>0</v>
      </c>
    </row>
    <row r="53" spans="1:26" ht="25.5">
      <c r="A53" s="10">
        <v>49</v>
      </c>
      <c r="B53" s="11" t="s">
        <v>64</v>
      </c>
      <c r="C53" s="12">
        <f>+'30'!G53</f>
        <v>1</v>
      </c>
      <c r="D53" s="13">
        <v>0</v>
      </c>
      <c r="E53" s="12">
        <f t="shared" si="0"/>
        <v>1</v>
      </c>
      <c r="F53" s="13">
        <v>0</v>
      </c>
      <c r="G53" s="14">
        <f t="shared" si="1"/>
        <v>1</v>
      </c>
      <c r="H53" s="15">
        <v>0</v>
      </c>
      <c r="I53" s="16">
        <v>120</v>
      </c>
      <c r="J53" s="43">
        <f t="shared" si="5"/>
        <v>0</v>
      </c>
      <c r="K53" s="18" t="s">
        <v>16</v>
      </c>
      <c r="L53" s="19">
        <v>0</v>
      </c>
      <c r="M53" s="24">
        <f t="shared" si="6"/>
        <v>0</v>
      </c>
      <c r="O53" s="10">
        <v>49</v>
      </c>
      <c r="P53" s="21"/>
      <c r="Q53" s="12">
        <f>+'[2]วันที่ 7'!U53</f>
        <v>0</v>
      </c>
      <c r="R53" s="13">
        <v>0</v>
      </c>
      <c r="S53" s="12">
        <f t="shared" si="2"/>
        <v>0</v>
      </c>
      <c r="T53" s="13">
        <v>0</v>
      </c>
      <c r="U53" s="12">
        <f t="shared" si="3"/>
        <v>0</v>
      </c>
      <c r="V53" s="15">
        <v>0</v>
      </c>
      <c r="W53" s="22"/>
      <c r="X53" s="17">
        <f t="shared" si="4"/>
        <v>0</v>
      </c>
      <c r="Y53" s="18" t="s">
        <v>16</v>
      </c>
      <c r="Z53" s="19">
        <v>0</v>
      </c>
    </row>
    <row r="54" spans="1:26" ht="25.5">
      <c r="A54" s="10">
        <v>50</v>
      </c>
      <c r="B54" s="11" t="s">
        <v>65</v>
      </c>
      <c r="C54" s="12">
        <f>+'30'!G54</f>
        <v>0</v>
      </c>
      <c r="D54" s="13">
        <v>0</v>
      </c>
      <c r="E54" s="12">
        <f t="shared" si="0"/>
        <v>0</v>
      </c>
      <c r="F54" s="13">
        <v>0</v>
      </c>
      <c r="G54" s="14">
        <f t="shared" si="1"/>
        <v>0</v>
      </c>
      <c r="H54" s="15">
        <v>0</v>
      </c>
      <c r="I54" s="16">
        <v>120</v>
      </c>
      <c r="J54" s="43">
        <f t="shared" si="5"/>
        <v>0</v>
      </c>
      <c r="K54" s="18" t="s">
        <v>16</v>
      </c>
      <c r="L54" s="19">
        <v>0</v>
      </c>
      <c r="M54" s="24">
        <f t="shared" si="6"/>
        <v>0</v>
      </c>
      <c r="O54" s="10">
        <v>50</v>
      </c>
      <c r="P54" s="21"/>
      <c r="Q54" s="12">
        <f>+'[2]วันที่ 7'!U54</f>
        <v>0</v>
      </c>
      <c r="R54" s="13">
        <v>0</v>
      </c>
      <c r="S54" s="12">
        <f t="shared" si="2"/>
        <v>0</v>
      </c>
      <c r="T54" s="13">
        <v>0</v>
      </c>
      <c r="U54" s="12">
        <f t="shared" si="3"/>
        <v>0</v>
      </c>
      <c r="V54" s="15">
        <v>0</v>
      </c>
      <c r="W54" s="22"/>
      <c r="X54" s="17">
        <f t="shared" si="4"/>
        <v>0</v>
      </c>
      <c r="Y54" s="18" t="s">
        <v>16</v>
      </c>
      <c r="Z54" s="19">
        <v>0</v>
      </c>
    </row>
    <row r="55" spans="1:26" ht="25.5">
      <c r="A55" s="10">
        <v>51</v>
      </c>
      <c r="B55" s="11" t="s">
        <v>66</v>
      </c>
      <c r="C55" s="12">
        <f>+'30'!G55</f>
        <v>1</v>
      </c>
      <c r="D55" s="13">
        <v>0</v>
      </c>
      <c r="E55" s="12">
        <f t="shared" si="0"/>
        <v>1</v>
      </c>
      <c r="F55" s="13">
        <v>0</v>
      </c>
      <c r="G55" s="14">
        <f t="shared" si="1"/>
        <v>1</v>
      </c>
      <c r="H55" s="15">
        <v>0</v>
      </c>
      <c r="I55" s="20">
        <v>120</v>
      </c>
      <c r="J55" s="43">
        <f t="shared" si="5"/>
        <v>0</v>
      </c>
      <c r="K55" s="18" t="s">
        <v>16</v>
      </c>
      <c r="L55" s="19">
        <v>0</v>
      </c>
      <c r="M55" s="24">
        <f t="shared" si="6"/>
        <v>0</v>
      </c>
      <c r="O55" s="10">
        <v>51</v>
      </c>
      <c r="P55" s="21"/>
      <c r="Q55" s="12">
        <f>+'[2]วันที่ 7'!U55</f>
        <v>0</v>
      </c>
      <c r="R55" s="13">
        <v>0</v>
      </c>
      <c r="S55" s="12">
        <f t="shared" si="2"/>
        <v>0</v>
      </c>
      <c r="T55" s="13">
        <v>0</v>
      </c>
      <c r="U55" s="12">
        <f t="shared" si="3"/>
        <v>0</v>
      </c>
      <c r="V55" s="15">
        <v>0</v>
      </c>
      <c r="W55" s="22"/>
      <c r="X55" s="17">
        <f t="shared" si="4"/>
        <v>0</v>
      </c>
      <c r="Y55" s="18" t="s">
        <v>16</v>
      </c>
      <c r="Z55" s="19">
        <v>0</v>
      </c>
    </row>
    <row r="56" spans="1:26" ht="25.5">
      <c r="A56" s="10">
        <v>52</v>
      </c>
      <c r="B56" s="11" t="s">
        <v>67</v>
      </c>
      <c r="C56" s="12">
        <f>+'30'!G56</f>
        <v>0</v>
      </c>
      <c r="D56" s="13">
        <v>0</v>
      </c>
      <c r="E56" s="12">
        <f t="shared" si="0"/>
        <v>0</v>
      </c>
      <c r="F56" s="13">
        <v>0</v>
      </c>
      <c r="G56" s="14">
        <f t="shared" si="1"/>
        <v>0</v>
      </c>
      <c r="H56" s="15">
        <v>0</v>
      </c>
      <c r="I56" s="20">
        <v>120</v>
      </c>
      <c r="J56" s="43">
        <f t="shared" si="5"/>
        <v>0</v>
      </c>
      <c r="K56" s="18" t="s">
        <v>16</v>
      </c>
      <c r="L56" s="19">
        <v>0</v>
      </c>
      <c r="M56" s="24">
        <f t="shared" si="6"/>
        <v>0</v>
      </c>
      <c r="O56" s="10">
        <v>52</v>
      </c>
      <c r="P56" s="21"/>
      <c r="Q56" s="12">
        <f>+'[2]วันที่ 7'!U56</f>
        <v>0</v>
      </c>
      <c r="R56" s="13">
        <v>0</v>
      </c>
      <c r="S56" s="12">
        <f t="shared" si="2"/>
        <v>0</v>
      </c>
      <c r="T56" s="13">
        <v>0</v>
      </c>
      <c r="U56" s="12">
        <f t="shared" si="3"/>
        <v>0</v>
      </c>
      <c r="V56" s="15">
        <v>0</v>
      </c>
      <c r="W56" s="22"/>
      <c r="X56" s="17">
        <f t="shared" si="4"/>
        <v>0</v>
      </c>
      <c r="Y56" s="18" t="s">
        <v>16</v>
      </c>
      <c r="Z56" s="19">
        <v>0</v>
      </c>
    </row>
    <row r="57" spans="1:26" ht="25.5">
      <c r="A57" s="10">
        <v>53</v>
      </c>
      <c r="B57" s="11" t="s">
        <v>68</v>
      </c>
      <c r="C57" s="12">
        <f>+'30'!G57</f>
        <v>0</v>
      </c>
      <c r="D57" s="13">
        <v>0</v>
      </c>
      <c r="E57" s="12">
        <f t="shared" si="0"/>
        <v>0</v>
      </c>
      <c r="F57" s="13">
        <v>0</v>
      </c>
      <c r="G57" s="14">
        <f t="shared" si="1"/>
        <v>0</v>
      </c>
      <c r="H57" s="15">
        <v>0</v>
      </c>
      <c r="I57" s="20">
        <v>120</v>
      </c>
      <c r="J57" s="43">
        <f t="shared" si="5"/>
        <v>0</v>
      </c>
      <c r="K57" s="18" t="s">
        <v>16</v>
      </c>
      <c r="L57" s="19">
        <v>0</v>
      </c>
      <c r="M57" s="24">
        <f t="shared" si="6"/>
        <v>0</v>
      </c>
      <c r="O57" s="10">
        <v>53</v>
      </c>
      <c r="P57" s="21"/>
      <c r="Q57" s="12">
        <f>+'[2]วันที่ 7'!U57</f>
        <v>0</v>
      </c>
      <c r="R57" s="13">
        <v>0</v>
      </c>
      <c r="S57" s="12">
        <f t="shared" si="2"/>
        <v>0</v>
      </c>
      <c r="T57" s="13">
        <v>0</v>
      </c>
      <c r="U57" s="12">
        <f t="shared" si="3"/>
        <v>0</v>
      </c>
      <c r="V57" s="15">
        <v>0</v>
      </c>
      <c r="W57" s="22"/>
      <c r="X57" s="17">
        <f t="shared" si="4"/>
        <v>0</v>
      </c>
      <c r="Y57" s="18" t="s">
        <v>16</v>
      </c>
      <c r="Z57" s="19">
        <v>0</v>
      </c>
    </row>
    <row r="58" spans="1:26" ht="25.5">
      <c r="A58" s="10">
        <v>54</v>
      </c>
      <c r="B58" s="11" t="s">
        <v>69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4">
        <f t="shared" si="1"/>
        <v>0</v>
      </c>
      <c r="H58" s="15">
        <v>0</v>
      </c>
      <c r="I58" s="20">
        <v>120</v>
      </c>
      <c r="J58" s="43">
        <f t="shared" si="5"/>
        <v>0</v>
      </c>
      <c r="K58" s="18" t="s">
        <v>16</v>
      </c>
      <c r="L58" s="19">
        <v>0</v>
      </c>
      <c r="M58" s="24">
        <f t="shared" si="6"/>
        <v>0</v>
      </c>
      <c r="O58" s="10">
        <v>54</v>
      </c>
      <c r="P58" s="21"/>
      <c r="Q58" s="12">
        <f>+'[2]วันที่ 7'!U58</f>
        <v>0</v>
      </c>
      <c r="R58" s="13">
        <v>0</v>
      </c>
      <c r="S58" s="12">
        <f t="shared" si="2"/>
        <v>0</v>
      </c>
      <c r="T58" s="13">
        <v>0</v>
      </c>
      <c r="U58" s="12">
        <f t="shared" si="3"/>
        <v>0</v>
      </c>
      <c r="V58" s="15">
        <v>0</v>
      </c>
      <c r="W58" s="22"/>
      <c r="X58" s="17">
        <f t="shared" si="4"/>
        <v>0</v>
      </c>
      <c r="Y58" s="18" t="s">
        <v>16</v>
      </c>
      <c r="Z58" s="19">
        <v>0</v>
      </c>
    </row>
    <row r="59" spans="1:26" ht="25.5">
      <c r="A59" s="10">
        <v>55</v>
      </c>
      <c r="B59" s="11" t="s">
        <v>70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4">
        <f t="shared" si="1"/>
        <v>0</v>
      </c>
      <c r="H59" s="15">
        <v>0</v>
      </c>
      <c r="I59" s="16">
        <v>70</v>
      </c>
      <c r="J59" s="43">
        <f t="shared" si="5"/>
        <v>0</v>
      </c>
      <c r="K59" s="18" t="s">
        <v>16</v>
      </c>
      <c r="L59" s="19">
        <v>0</v>
      </c>
      <c r="M59" s="24">
        <f t="shared" si="6"/>
        <v>0</v>
      </c>
      <c r="O59" s="10">
        <v>55</v>
      </c>
      <c r="P59" s="21"/>
      <c r="Q59" s="12">
        <f>+'[2]วันที่ 7'!U59</f>
        <v>0</v>
      </c>
      <c r="R59" s="13">
        <v>0</v>
      </c>
      <c r="S59" s="12">
        <f t="shared" si="2"/>
        <v>0</v>
      </c>
      <c r="T59" s="13">
        <v>0</v>
      </c>
      <c r="U59" s="12">
        <f t="shared" si="3"/>
        <v>0</v>
      </c>
      <c r="V59" s="15">
        <v>0</v>
      </c>
      <c r="W59" s="22"/>
      <c r="X59" s="17">
        <f t="shared" si="4"/>
        <v>0</v>
      </c>
      <c r="Y59" s="18" t="s">
        <v>16</v>
      </c>
      <c r="Z59" s="19">
        <v>0</v>
      </c>
    </row>
    <row r="60" spans="1:26" ht="25.5">
      <c r="A60" s="10">
        <v>56</v>
      </c>
      <c r="B60" s="11" t="s">
        <v>71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4">
        <f t="shared" si="1"/>
        <v>0</v>
      </c>
      <c r="H60" s="15">
        <v>0</v>
      </c>
      <c r="I60" s="20">
        <v>80</v>
      </c>
      <c r="J60" s="43">
        <f t="shared" si="5"/>
        <v>0</v>
      </c>
      <c r="K60" s="18" t="s">
        <v>16</v>
      </c>
      <c r="L60" s="19">
        <v>0</v>
      </c>
      <c r="M60" s="24">
        <f t="shared" si="6"/>
        <v>0</v>
      </c>
      <c r="O60" s="10">
        <v>56</v>
      </c>
      <c r="P60" s="21"/>
      <c r="Q60" s="12">
        <f>+'[2]วันที่ 7'!U60</f>
        <v>0</v>
      </c>
      <c r="R60" s="13">
        <v>0</v>
      </c>
      <c r="S60" s="12">
        <f t="shared" si="2"/>
        <v>0</v>
      </c>
      <c r="T60" s="13">
        <v>0</v>
      </c>
      <c r="U60" s="12">
        <f t="shared" si="3"/>
        <v>0</v>
      </c>
      <c r="V60" s="15">
        <v>0</v>
      </c>
      <c r="W60" s="22"/>
      <c r="X60" s="17">
        <f t="shared" si="4"/>
        <v>0</v>
      </c>
      <c r="Y60" s="18" t="s">
        <v>16</v>
      </c>
      <c r="Z60" s="19">
        <v>0</v>
      </c>
    </row>
    <row r="61" spans="1:26" ht="25.5">
      <c r="A61" s="10">
        <v>57</v>
      </c>
      <c r="B61" s="11" t="s">
        <v>72</v>
      </c>
      <c r="C61" s="12">
        <f>+'30'!G61</f>
        <v>0</v>
      </c>
      <c r="D61" s="13">
        <v>0</v>
      </c>
      <c r="E61" s="12">
        <f t="shared" si="0"/>
        <v>0</v>
      </c>
      <c r="F61" s="13">
        <v>0</v>
      </c>
      <c r="G61" s="14">
        <f t="shared" si="1"/>
        <v>0</v>
      </c>
      <c r="H61" s="15">
        <v>0</v>
      </c>
      <c r="I61" s="16">
        <v>50</v>
      </c>
      <c r="J61" s="43">
        <f t="shared" si="5"/>
        <v>0</v>
      </c>
      <c r="K61" s="18" t="s">
        <v>16</v>
      </c>
      <c r="L61" s="19">
        <v>0</v>
      </c>
      <c r="M61" s="24">
        <f t="shared" si="6"/>
        <v>0</v>
      </c>
      <c r="O61" s="10">
        <v>57</v>
      </c>
      <c r="P61" s="21"/>
      <c r="Q61" s="12">
        <f>+'[2]วันที่ 7'!U61</f>
        <v>0</v>
      </c>
      <c r="R61" s="13">
        <v>0</v>
      </c>
      <c r="S61" s="12">
        <f t="shared" si="2"/>
        <v>0</v>
      </c>
      <c r="T61" s="13">
        <v>0</v>
      </c>
      <c r="U61" s="12">
        <f t="shared" si="3"/>
        <v>0</v>
      </c>
      <c r="V61" s="15">
        <v>0</v>
      </c>
      <c r="W61" s="22"/>
      <c r="X61" s="17">
        <f t="shared" si="4"/>
        <v>0</v>
      </c>
      <c r="Y61" s="18" t="s">
        <v>16</v>
      </c>
      <c r="Z61" s="19">
        <v>0</v>
      </c>
    </row>
    <row r="62" spans="1:26" ht="25.5">
      <c r="A62" s="10">
        <v>58</v>
      </c>
      <c r="B62" s="21" t="s">
        <v>73</v>
      </c>
      <c r="C62" s="12">
        <f>+'30'!G62</f>
        <v>1</v>
      </c>
      <c r="D62" s="13">
        <v>0</v>
      </c>
      <c r="E62" s="12">
        <f t="shared" si="0"/>
        <v>1</v>
      </c>
      <c r="F62" s="13">
        <v>0</v>
      </c>
      <c r="G62" s="14">
        <f t="shared" si="1"/>
        <v>1</v>
      </c>
      <c r="H62" s="15">
        <v>0</v>
      </c>
      <c r="I62" s="22">
        <v>50</v>
      </c>
      <c r="J62" s="43">
        <f t="shared" si="5"/>
        <v>0</v>
      </c>
      <c r="K62" s="18" t="s">
        <v>16</v>
      </c>
      <c r="L62" s="19">
        <v>0</v>
      </c>
      <c r="M62" s="24">
        <f t="shared" si="6"/>
        <v>0</v>
      </c>
      <c r="O62" s="10">
        <v>58</v>
      </c>
      <c r="P62" s="21"/>
      <c r="Q62" s="12">
        <f>+'[2]วันที่ 7'!U62</f>
        <v>0</v>
      </c>
      <c r="R62" s="13">
        <v>0</v>
      </c>
      <c r="S62" s="12">
        <f t="shared" si="2"/>
        <v>0</v>
      </c>
      <c r="T62" s="13">
        <v>0</v>
      </c>
      <c r="U62" s="12">
        <f t="shared" si="3"/>
        <v>0</v>
      </c>
      <c r="V62" s="15">
        <v>0</v>
      </c>
      <c r="W62" s="22"/>
      <c r="X62" s="17">
        <f t="shared" si="4"/>
        <v>0</v>
      </c>
      <c r="Y62" s="18" t="s">
        <v>16</v>
      </c>
      <c r="Z62" s="19">
        <v>0</v>
      </c>
    </row>
    <row r="63" spans="1:26" ht="25.5">
      <c r="A63" s="10">
        <v>59</v>
      </c>
      <c r="B63" s="21" t="s">
        <v>74</v>
      </c>
      <c r="C63" s="12">
        <f>+'30'!G63</f>
        <v>2</v>
      </c>
      <c r="D63" s="13">
        <v>0</v>
      </c>
      <c r="E63" s="12">
        <f t="shared" si="0"/>
        <v>2</v>
      </c>
      <c r="F63" s="13">
        <v>0</v>
      </c>
      <c r="G63" s="14">
        <f t="shared" si="1"/>
        <v>2</v>
      </c>
      <c r="H63" s="15">
        <v>0</v>
      </c>
      <c r="I63" s="22">
        <v>50</v>
      </c>
      <c r="J63" s="43">
        <f t="shared" si="5"/>
        <v>0</v>
      </c>
      <c r="K63" s="18" t="s">
        <v>16</v>
      </c>
      <c r="L63" s="19">
        <v>0</v>
      </c>
      <c r="M63" s="24">
        <f t="shared" si="6"/>
        <v>0</v>
      </c>
      <c r="O63" s="10">
        <v>59</v>
      </c>
      <c r="P63" s="21"/>
      <c r="Q63" s="12">
        <f>+'[2]วันที่ 7'!U63</f>
        <v>0</v>
      </c>
      <c r="R63" s="13">
        <v>0</v>
      </c>
      <c r="S63" s="12">
        <f t="shared" si="2"/>
        <v>0</v>
      </c>
      <c r="T63" s="13">
        <v>0</v>
      </c>
      <c r="U63" s="12">
        <f t="shared" si="3"/>
        <v>0</v>
      </c>
      <c r="V63" s="15">
        <v>0</v>
      </c>
      <c r="W63" s="22"/>
      <c r="X63" s="17">
        <f t="shared" si="4"/>
        <v>0</v>
      </c>
      <c r="Y63" s="18" t="s">
        <v>16</v>
      </c>
      <c r="Z63" s="19">
        <v>0</v>
      </c>
    </row>
    <row r="64" spans="1:26" ht="25.5">
      <c r="A64" s="10">
        <v>60</v>
      </c>
      <c r="B64" s="11" t="s">
        <v>75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4">
        <f t="shared" si="1"/>
        <v>0</v>
      </c>
      <c r="H64" s="15">
        <v>0</v>
      </c>
      <c r="I64" s="20">
        <v>30</v>
      </c>
      <c r="J64" s="43">
        <f t="shared" si="5"/>
        <v>0</v>
      </c>
      <c r="K64" s="18" t="s">
        <v>16</v>
      </c>
      <c r="L64" s="19">
        <v>0</v>
      </c>
      <c r="M64" s="24">
        <f t="shared" si="6"/>
        <v>0</v>
      </c>
      <c r="O64" s="10">
        <v>60</v>
      </c>
      <c r="P64" s="21"/>
      <c r="Q64" s="12">
        <f>+'[2]วันที่ 7'!U64</f>
        <v>0</v>
      </c>
      <c r="R64" s="13">
        <v>0</v>
      </c>
      <c r="S64" s="12">
        <f t="shared" si="2"/>
        <v>0</v>
      </c>
      <c r="T64" s="13">
        <v>0</v>
      </c>
      <c r="U64" s="12">
        <f t="shared" si="3"/>
        <v>0</v>
      </c>
      <c r="V64" s="15">
        <v>0</v>
      </c>
      <c r="W64" s="22"/>
      <c r="X64" s="17">
        <f t="shared" si="4"/>
        <v>0</v>
      </c>
      <c r="Y64" s="18" t="s">
        <v>16</v>
      </c>
      <c r="Z64" s="19">
        <v>0</v>
      </c>
    </row>
    <row r="65" spans="1:26" ht="25.5">
      <c r="A65" s="10">
        <v>61</v>
      </c>
      <c r="B65" s="11" t="s">
        <v>76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4">
        <f t="shared" si="1"/>
        <v>0</v>
      </c>
      <c r="H65" s="15">
        <v>0</v>
      </c>
      <c r="I65" s="20">
        <v>30</v>
      </c>
      <c r="J65" s="43">
        <f t="shared" si="5"/>
        <v>0</v>
      </c>
      <c r="K65" s="18" t="s">
        <v>16</v>
      </c>
      <c r="L65" s="19">
        <v>0</v>
      </c>
      <c r="M65" s="24">
        <f t="shared" si="6"/>
        <v>0</v>
      </c>
      <c r="O65" s="10">
        <v>61</v>
      </c>
      <c r="P65" s="21"/>
      <c r="Q65" s="12">
        <f>+'[2]วันที่ 7'!U65</f>
        <v>0</v>
      </c>
      <c r="R65" s="13">
        <v>0</v>
      </c>
      <c r="S65" s="12">
        <f t="shared" si="2"/>
        <v>0</v>
      </c>
      <c r="T65" s="13">
        <v>0</v>
      </c>
      <c r="U65" s="12">
        <f t="shared" si="3"/>
        <v>0</v>
      </c>
      <c r="V65" s="15">
        <v>0</v>
      </c>
      <c r="W65" s="22"/>
      <c r="X65" s="17">
        <f t="shared" si="4"/>
        <v>0</v>
      </c>
      <c r="Y65" s="18" t="s">
        <v>16</v>
      </c>
      <c r="Z65" s="19">
        <v>0</v>
      </c>
    </row>
    <row r="66" spans="1:26" ht="25.5">
      <c r="A66" s="10">
        <v>62</v>
      </c>
      <c r="B66" s="11" t="s">
        <v>77</v>
      </c>
      <c r="C66" s="12">
        <f>+'30'!G66</f>
        <v>0</v>
      </c>
      <c r="D66" s="13">
        <v>0</v>
      </c>
      <c r="E66" s="12">
        <f t="shared" si="0"/>
        <v>0</v>
      </c>
      <c r="F66" s="13">
        <v>0</v>
      </c>
      <c r="G66" s="14">
        <f t="shared" si="1"/>
        <v>0</v>
      </c>
      <c r="H66" s="15">
        <v>0</v>
      </c>
      <c r="I66" s="16">
        <v>50</v>
      </c>
      <c r="J66" s="43">
        <f t="shared" si="5"/>
        <v>0</v>
      </c>
      <c r="K66" s="18" t="s">
        <v>16</v>
      </c>
      <c r="L66" s="19">
        <v>0</v>
      </c>
      <c r="M66" s="24">
        <f t="shared" si="6"/>
        <v>0</v>
      </c>
      <c r="O66" s="10">
        <v>62</v>
      </c>
      <c r="P66" s="21"/>
      <c r="Q66" s="12">
        <f>+'[2]วันที่ 7'!U66</f>
        <v>0</v>
      </c>
      <c r="R66" s="13">
        <v>0</v>
      </c>
      <c r="S66" s="12">
        <f t="shared" si="2"/>
        <v>0</v>
      </c>
      <c r="T66" s="13">
        <v>0</v>
      </c>
      <c r="U66" s="12">
        <f t="shared" si="3"/>
        <v>0</v>
      </c>
      <c r="V66" s="15">
        <v>0</v>
      </c>
      <c r="W66" s="22"/>
      <c r="X66" s="17">
        <f t="shared" si="4"/>
        <v>0</v>
      </c>
      <c r="Y66" s="18" t="s">
        <v>16</v>
      </c>
      <c r="Z66" s="19">
        <v>0</v>
      </c>
    </row>
    <row r="67" spans="1:26" ht="25.5">
      <c r="A67" s="10">
        <v>63</v>
      </c>
      <c r="B67" s="11" t="s">
        <v>78</v>
      </c>
      <c r="C67" s="12">
        <f>+'30'!G67</f>
        <v>2</v>
      </c>
      <c r="D67" s="13">
        <v>0</v>
      </c>
      <c r="E67" s="12">
        <f t="shared" si="0"/>
        <v>2</v>
      </c>
      <c r="F67" s="13">
        <v>0</v>
      </c>
      <c r="G67" s="14">
        <f t="shared" si="1"/>
        <v>2</v>
      </c>
      <c r="H67" s="15">
        <v>0</v>
      </c>
      <c r="I67" s="16">
        <v>50</v>
      </c>
      <c r="J67" s="43">
        <f t="shared" si="5"/>
        <v>0</v>
      </c>
      <c r="K67" s="18" t="s">
        <v>16</v>
      </c>
      <c r="L67" s="19">
        <v>0</v>
      </c>
      <c r="M67" s="24">
        <f t="shared" si="6"/>
        <v>0</v>
      </c>
      <c r="O67" s="10">
        <v>63</v>
      </c>
      <c r="P67" s="21"/>
      <c r="Q67" s="12">
        <f>+'[2]วันที่ 7'!U67</f>
        <v>0</v>
      </c>
      <c r="R67" s="13">
        <v>0</v>
      </c>
      <c r="S67" s="12">
        <f t="shared" si="2"/>
        <v>0</v>
      </c>
      <c r="T67" s="13">
        <v>0</v>
      </c>
      <c r="U67" s="12">
        <f t="shared" si="3"/>
        <v>0</v>
      </c>
      <c r="V67" s="15">
        <v>0</v>
      </c>
      <c r="W67" s="22"/>
      <c r="X67" s="17">
        <f t="shared" si="4"/>
        <v>0</v>
      </c>
      <c r="Y67" s="18" t="s">
        <v>16</v>
      </c>
      <c r="Z67" s="19">
        <v>0</v>
      </c>
    </row>
    <row r="68" spans="1:26" ht="25.5">
      <c r="A68" s="10">
        <v>64</v>
      </c>
      <c r="B68" s="21" t="s">
        <v>79</v>
      </c>
      <c r="C68" s="12">
        <f>+'30'!G68</f>
        <v>0</v>
      </c>
      <c r="D68" s="13">
        <v>0</v>
      </c>
      <c r="E68" s="12">
        <f t="shared" si="0"/>
        <v>0</v>
      </c>
      <c r="F68" s="13">
        <v>0</v>
      </c>
      <c r="G68" s="14">
        <f t="shared" si="1"/>
        <v>0</v>
      </c>
      <c r="H68" s="15">
        <v>0</v>
      </c>
      <c r="I68" s="22">
        <v>35</v>
      </c>
      <c r="J68" s="43">
        <f t="shared" si="5"/>
        <v>0</v>
      </c>
      <c r="K68" s="18" t="s">
        <v>16</v>
      </c>
      <c r="L68" s="19">
        <v>0</v>
      </c>
      <c r="M68" s="24">
        <f t="shared" si="6"/>
        <v>0</v>
      </c>
      <c r="O68" s="10">
        <v>64</v>
      </c>
      <c r="P68" s="21"/>
      <c r="Q68" s="12">
        <f>+'[2]วันที่ 7'!U68</f>
        <v>0</v>
      </c>
      <c r="R68" s="13">
        <v>0</v>
      </c>
      <c r="S68" s="12">
        <f t="shared" si="2"/>
        <v>0</v>
      </c>
      <c r="T68" s="13">
        <v>0</v>
      </c>
      <c r="U68" s="12">
        <f t="shared" si="3"/>
        <v>0</v>
      </c>
      <c r="V68" s="15">
        <v>0</v>
      </c>
      <c r="W68" s="22"/>
      <c r="X68" s="17">
        <f t="shared" si="4"/>
        <v>0</v>
      </c>
      <c r="Y68" s="18" t="s">
        <v>16</v>
      </c>
      <c r="Z68" s="19">
        <v>0</v>
      </c>
    </row>
    <row r="69" spans="1:26" ht="25.5">
      <c r="A69" s="10">
        <v>65</v>
      </c>
      <c r="B69" s="21" t="s">
        <v>80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4">
        <f t="shared" si="1"/>
        <v>0</v>
      </c>
      <c r="H69" s="15">
        <v>0</v>
      </c>
      <c r="I69" s="22">
        <v>25</v>
      </c>
      <c r="J69" s="43">
        <f t="shared" si="5"/>
        <v>0</v>
      </c>
      <c r="K69" s="18" t="s">
        <v>16</v>
      </c>
      <c r="L69" s="19">
        <v>0</v>
      </c>
      <c r="M69" s="24">
        <f t="shared" si="6"/>
        <v>0</v>
      </c>
      <c r="O69" s="10">
        <v>65</v>
      </c>
      <c r="P69" s="21"/>
      <c r="Q69" s="12">
        <f>+'[2]วันที่ 7'!U69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5">
        <v>0</v>
      </c>
      <c r="W69" s="22"/>
      <c r="X69" s="17">
        <f t="shared" ref="X69:X104" si="9">V69*W69</f>
        <v>0</v>
      </c>
      <c r="Y69" s="18" t="s">
        <v>16</v>
      </c>
      <c r="Z69" s="19">
        <v>0</v>
      </c>
    </row>
    <row r="70" spans="1:26" ht="25.5">
      <c r="A70" s="10">
        <v>66</v>
      </c>
      <c r="B70" s="21" t="s">
        <v>81</v>
      </c>
      <c r="C70" s="12">
        <f>+'30'!G70</f>
        <v>5</v>
      </c>
      <c r="D70" s="13">
        <v>0</v>
      </c>
      <c r="E70" s="12">
        <f t="shared" si="0"/>
        <v>5</v>
      </c>
      <c r="F70" s="13">
        <v>0</v>
      </c>
      <c r="G70" s="14">
        <f t="shared" si="1"/>
        <v>5</v>
      </c>
      <c r="H70" s="15">
        <v>0</v>
      </c>
      <c r="I70" s="22">
        <v>50</v>
      </c>
      <c r="J70" s="43">
        <f t="shared" ref="J70:J133" si="10">+I70*H70</f>
        <v>0</v>
      </c>
      <c r="K70" s="18" t="s">
        <v>16</v>
      </c>
      <c r="L70" s="19">
        <v>0</v>
      </c>
      <c r="M70" s="24">
        <f t="shared" ref="M70:M133" si="11">SUM(J70-L70)</f>
        <v>0</v>
      </c>
      <c r="O70" s="10">
        <v>66</v>
      </c>
      <c r="P70" s="21"/>
      <c r="Q70" s="12">
        <f>+'[2]วันที่ 7'!U70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5">
        <v>0</v>
      </c>
      <c r="W70" s="22"/>
      <c r="X70" s="17">
        <f t="shared" si="9"/>
        <v>0</v>
      </c>
      <c r="Y70" s="18" t="s">
        <v>16</v>
      </c>
      <c r="Z70" s="19">
        <v>0</v>
      </c>
    </row>
    <row r="71" spans="1:26" ht="25.5">
      <c r="A71" s="10">
        <v>67</v>
      </c>
      <c r="B71" s="21" t="s">
        <v>82</v>
      </c>
      <c r="C71" s="12">
        <f>+'30'!G71</f>
        <v>4</v>
      </c>
      <c r="D71" s="13">
        <v>0</v>
      </c>
      <c r="E71" s="12">
        <f t="shared" si="0"/>
        <v>4</v>
      </c>
      <c r="F71" s="13">
        <v>0</v>
      </c>
      <c r="G71" s="14">
        <f t="shared" si="1"/>
        <v>4</v>
      </c>
      <c r="H71" s="15">
        <v>0</v>
      </c>
      <c r="I71" s="22">
        <v>60</v>
      </c>
      <c r="J71" s="43">
        <f t="shared" si="10"/>
        <v>0</v>
      </c>
      <c r="K71" s="18" t="s">
        <v>16</v>
      </c>
      <c r="L71" s="19">
        <v>0</v>
      </c>
      <c r="M71" s="24">
        <f t="shared" si="11"/>
        <v>0</v>
      </c>
      <c r="O71" s="10">
        <v>67</v>
      </c>
      <c r="P71" s="21"/>
      <c r="Q71" s="12">
        <f>+'[2]วันที่ 7'!U71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5">
        <v>0</v>
      </c>
      <c r="W71" s="22"/>
      <c r="X71" s="17">
        <f t="shared" si="9"/>
        <v>0</v>
      </c>
      <c r="Y71" s="18" t="s">
        <v>16</v>
      </c>
      <c r="Z71" s="19">
        <v>0</v>
      </c>
    </row>
    <row r="72" spans="1:26" ht="25.5">
      <c r="A72" s="10">
        <v>68</v>
      </c>
      <c r="B72" s="21" t="s">
        <v>83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4">
        <f t="shared" si="1"/>
        <v>0</v>
      </c>
      <c r="H72" s="15">
        <v>0</v>
      </c>
      <c r="I72" s="23">
        <v>50</v>
      </c>
      <c r="J72" s="43">
        <f t="shared" si="10"/>
        <v>0</v>
      </c>
      <c r="K72" s="18" t="s">
        <v>16</v>
      </c>
      <c r="L72" s="19">
        <v>0</v>
      </c>
      <c r="M72" s="24">
        <f t="shared" si="11"/>
        <v>0</v>
      </c>
      <c r="O72" s="10">
        <v>68</v>
      </c>
      <c r="P72" s="21"/>
      <c r="Q72" s="12">
        <f>+'[2]วันที่ 7'!U72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5">
        <v>0</v>
      </c>
      <c r="W72" s="22"/>
      <c r="X72" s="17">
        <f t="shared" si="9"/>
        <v>0</v>
      </c>
      <c r="Y72" s="18" t="s">
        <v>16</v>
      </c>
      <c r="Z72" s="19">
        <v>0</v>
      </c>
    </row>
    <row r="73" spans="1:26" ht="25.5">
      <c r="A73" s="10">
        <v>69</v>
      </c>
      <c r="B73" s="21" t="s">
        <v>84</v>
      </c>
      <c r="C73" s="12">
        <f>+'30'!G73</f>
        <v>1</v>
      </c>
      <c r="D73" s="13">
        <v>0</v>
      </c>
      <c r="E73" s="12">
        <f t="shared" si="0"/>
        <v>1</v>
      </c>
      <c r="F73" s="13">
        <v>0</v>
      </c>
      <c r="G73" s="14">
        <f t="shared" si="1"/>
        <v>1</v>
      </c>
      <c r="H73" s="15">
        <v>0</v>
      </c>
      <c r="I73" s="22">
        <v>60</v>
      </c>
      <c r="J73" s="43">
        <f t="shared" si="10"/>
        <v>0</v>
      </c>
      <c r="K73" s="18" t="s">
        <v>16</v>
      </c>
      <c r="L73" s="19">
        <v>0</v>
      </c>
      <c r="M73" s="24">
        <f t="shared" si="11"/>
        <v>0</v>
      </c>
      <c r="O73" s="10">
        <v>69</v>
      </c>
      <c r="P73" s="21"/>
      <c r="Q73" s="12">
        <f>+'[2]วันที่ 7'!U73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5">
        <v>0</v>
      </c>
      <c r="W73" s="22"/>
      <c r="X73" s="17">
        <f t="shared" si="9"/>
        <v>0</v>
      </c>
      <c r="Y73" s="18" t="s">
        <v>16</v>
      </c>
      <c r="Z73" s="19">
        <v>0</v>
      </c>
    </row>
    <row r="74" spans="1:26" ht="25.5">
      <c r="A74" s="10">
        <v>70</v>
      </c>
      <c r="B74" s="21" t="s">
        <v>85</v>
      </c>
      <c r="C74" s="12">
        <f>+'30'!G74</f>
        <v>0</v>
      </c>
      <c r="D74" s="13">
        <v>0</v>
      </c>
      <c r="E74" s="12">
        <f t="shared" si="0"/>
        <v>0</v>
      </c>
      <c r="F74" s="13">
        <v>0</v>
      </c>
      <c r="G74" s="14">
        <f t="shared" si="1"/>
        <v>0</v>
      </c>
      <c r="H74" s="15">
        <v>0</v>
      </c>
      <c r="I74" s="23">
        <v>120</v>
      </c>
      <c r="J74" s="43">
        <f t="shared" si="10"/>
        <v>0</v>
      </c>
      <c r="K74" s="18" t="s">
        <v>16</v>
      </c>
      <c r="L74" s="19">
        <v>0</v>
      </c>
      <c r="M74" s="24">
        <f t="shared" si="11"/>
        <v>0</v>
      </c>
      <c r="O74" s="10">
        <v>70</v>
      </c>
      <c r="P74" s="21"/>
      <c r="Q74" s="12">
        <f>+'[2]วันที่ 7'!U74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5">
        <v>0</v>
      </c>
      <c r="W74" s="22"/>
      <c r="X74" s="17">
        <f t="shared" si="9"/>
        <v>0</v>
      </c>
      <c r="Y74" s="18" t="s">
        <v>16</v>
      </c>
      <c r="Z74" s="19">
        <v>0</v>
      </c>
    </row>
    <row r="75" spans="1:26" ht="25.5">
      <c r="A75" s="10">
        <v>71</v>
      </c>
      <c r="B75" s="21" t="s">
        <v>86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4">
        <f t="shared" si="1"/>
        <v>0</v>
      </c>
      <c r="H75" s="15">
        <v>0</v>
      </c>
      <c r="I75" s="23">
        <v>60</v>
      </c>
      <c r="J75" s="43">
        <f t="shared" si="10"/>
        <v>0</v>
      </c>
      <c r="K75" s="18" t="s">
        <v>16</v>
      </c>
      <c r="L75" s="19">
        <v>0</v>
      </c>
      <c r="M75" s="24">
        <f t="shared" si="11"/>
        <v>0</v>
      </c>
      <c r="O75" s="10">
        <v>71</v>
      </c>
      <c r="P75" s="21"/>
      <c r="Q75" s="12">
        <f>+'[2]วันที่ 7'!U75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5">
        <v>0</v>
      </c>
      <c r="W75" s="22"/>
      <c r="X75" s="17">
        <f t="shared" si="9"/>
        <v>0</v>
      </c>
      <c r="Y75" s="18" t="s">
        <v>16</v>
      </c>
      <c r="Z75" s="19">
        <v>0</v>
      </c>
    </row>
    <row r="76" spans="1:26" ht="25.5">
      <c r="A76" s="10">
        <v>72</v>
      </c>
      <c r="B76" s="21" t="s">
        <v>87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4">
        <f t="shared" si="1"/>
        <v>0</v>
      </c>
      <c r="H76" s="15">
        <v>0</v>
      </c>
      <c r="I76" s="23">
        <v>120</v>
      </c>
      <c r="J76" s="43">
        <f t="shared" si="10"/>
        <v>0</v>
      </c>
      <c r="K76" s="18" t="s">
        <v>16</v>
      </c>
      <c r="L76" s="19">
        <v>0</v>
      </c>
      <c r="M76" s="24">
        <f t="shared" si="11"/>
        <v>0</v>
      </c>
      <c r="O76" s="10">
        <v>72</v>
      </c>
      <c r="P76" s="21"/>
      <c r="Q76" s="12">
        <f>+'[2]วันที่ 7'!U76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5">
        <v>0</v>
      </c>
      <c r="W76" s="22"/>
      <c r="X76" s="17">
        <f t="shared" si="9"/>
        <v>0</v>
      </c>
      <c r="Y76" s="18" t="s">
        <v>16</v>
      </c>
      <c r="Z76" s="19">
        <v>0</v>
      </c>
    </row>
    <row r="77" spans="1:26" ht="25.5">
      <c r="A77" s="10">
        <v>73</v>
      </c>
      <c r="B77" s="21" t="s">
        <v>88</v>
      </c>
      <c r="C77" s="12">
        <f>+'30'!G77</f>
        <v>2</v>
      </c>
      <c r="D77" s="13">
        <v>0</v>
      </c>
      <c r="E77" s="12">
        <f t="shared" si="0"/>
        <v>2</v>
      </c>
      <c r="F77" s="13">
        <v>0</v>
      </c>
      <c r="G77" s="14">
        <f t="shared" si="1"/>
        <v>2</v>
      </c>
      <c r="H77" s="15">
        <v>0</v>
      </c>
      <c r="I77" s="22">
        <v>50</v>
      </c>
      <c r="J77" s="43">
        <f t="shared" si="10"/>
        <v>0</v>
      </c>
      <c r="K77" s="18" t="s">
        <v>16</v>
      </c>
      <c r="L77" s="19">
        <v>0</v>
      </c>
      <c r="M77" s="24">
        <f t="shared" si="11"/>
        <v>0</v>
      </c>
      <c r="O77" s="10">
        <v>73</v>
      </c>
      <c r="P77" s="21"/>
      <c r="Q77" s="12">
        <f>+'[2]วันที่ 7'!U77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5">
        <v>0</v>
      </c>
      <c r="W77" s="22"/>
      <c r="X77" s="17">
        <f t="shared" si="9"/>
        <v>0</v>
      </c>
      <c r="Y77" s="18" t="s">
        <v>16</v>
      </c>
      <c r="Z77" s="19">
        <v>0</v>
      </c>
    </row>
    <row r="78" spans="1:26" ht="25.5">
      <c r="A78" s="10">
        <v>74</v>
      </c>
      <c r="B78" s="21" t="s">
        <v>89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4">
        <f t="shared" si="1"/>
        <v>0</v>
      </c>
      <c r="H78" s="15">
        <v>0</v>
      </c>
      <c r="I78" s="23">
        <v>120</v>
      </c>
      <c r="J78" s="43">
        <f t="shared" si="10"/>
        <v>0</v>
      </c>
      <c r="K78" s="18" t="s">
        <v>16</v>
      </c>
      <c r="L78" s="19">
        <v>0</v>
      </c>
      <c r="M78" s="24">
        <f t="shared" si="11"/>
        <v>0</v>
      </c>
      <c r="O78" s="10">
        <v>74</v>
      </c>
      <c r="P78" s="21"/>
      <c r="Q78" s="12">
        <f>+'[2]วันที่ 7'!U78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5">
        <v>0</v>
      </c>
      <c r="W78" s="22"/>
      <c r="X78" s="17">
        <f t="shared" si="9"/>
        <v>0</v>
      </c>
      <c r="Y78" s="18" t="s">
        <v>16</v>
      </c>
      <c r="Z78" s="19">
        <v>0</v>
      </c>
    </row>
    <row r="79" spans="1:26" ht="25.5">
      <c r="A79" s="10">
        <v>75</v>
      </c>
      <c r="B79" s="21" t="s">
        <v>90</v>
      </c>
      <c r="C79" s="12">
        <f>+'30'!G79</f>
        <v>4</v>
      </c>
      <c r="D79" s="13">
        <v>0</v>
      </c>
      <c r="E79" s="12">
        <f t="shared" si="0"/>
        <v>4</v>
      </c>
      <c r="F79" s="13">
        <v>0</v>
      </c>
      <c r="G79" s="14">
        <f t="shared" si="1"/>
        <v>4</v>
      </c>
      <c r="H79" s="15">
        <v>0</v>
      </c>
      <c r="I79" s="23">
        <v>50</v>
      </c>
      <c r="J79" s="43">
        <f t="shared" si="10"/>
        <v>0</v>
      </c>
      <c r="K79" s="18" t="s">
        <v>16</v>
      </c>
      <c r="L79" s="19">
        <v>0</v>
      </c>
      <c r="M79" s="24">
        <f t="shared" si="11"/>
        <v>0</v>
      </c>
      <c r="O79" s="10">
        <v>75</v>
      </c>
      <c r="P79" s="21"/>
      <c r="Q79" s="12">
        <f>+'[2]วันที่ 7'!U79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5">
        <v>0</v>
      </c>
      <c r="W79" s="22"/>
      <c r="X79" s="17">
        <f t="shared" si="9"/>
        <v>0</v>
      </c>
      <c r="Y79" s="18" t="s">
        <v>16</v>
      </c>
      <c r="Z79" s="19">
        <v>0</v>
      </c>
    </row>
    <row r="80" spans="1:26" ht="25.5">
      <c r="A80" s="10">
        <v>76</v>
      </c>
      <c r="B80" s="21" t="s">
        <v>91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4">
        <f t="shared" si="1"/>
        <v>0</v>
      </c>
      <c r="H80" s="15">
        <v>0</v>
      </c>
      <c r="I80" s="23">
        <v>50</v>
      </c>
      <c r="J80" s="43">
        <f t="shared" si="10"/>
        <v>0</v>
      </c>
      <c r="K80" s="18" t="s">
        <v>16</v>
      </c>
      <c r="L80" s="19">
        <v>0</v>
      </c>
      <c r="M80" s="24">
        <f t="shared" si="11"/>
        <v>0</v>
      </c>
      <c r="O80" s="10">
        <v>76</v>
      </c>
      <c r="P80" s="21"/>
      <c r="Q80" s="12">
        <f>+'[2]วันที่ 7'!U80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5">
        <v>0</v>
      </c>
      <c r="W80" s="22"/>
      <c r="X80" s="17">
        <f t="shared" si="9"/>
        <v>0</v>
      </c>
      <c r="Y80" s="18" t="s">
        <v>16</v>
      </c>
      <c r="Z80" s="19">
        <v>0</v>
      </c>
    </row>
    <row r="81" spans="1:26" ht="25.5">
      <c r="A81" s="10">
        <v>77</v>
      </c>
      <c r="B81" s="21" t="s">
        <v>92</v>
      </c>
      <c r="C81" s="12">
        <f>+'30'!G81</f>
        <v>1</v>
      </c>
      <c r="D81" s="13">
        <v>0</v>
      </c>
      <c r="E81" s="12">
        <f t="shared" si="0"/>
        <v>1</v>
      </c>
      <c r="F81" s="13">
        <v>0</v>
      </c>
      <c r="G81" s="14">
        <f t="shared" si="1"/>
        <v>1</v>
      </c>
      <c r="H81" s="15">
        <v>0</v>
      </c>
      <c r="I81" s="22">
        <v>55</v>
      </c>
      <c r="J81" s="43">
        <f t="shared" si="10"/>
        <v>0</v>
      </c>
      <c r="K81" s="18" t="s">
        <v>16</v>
      </c>
      <c r="L81" s="19">
        <v>0</v>
      </c>
      <c r="M81" s="24">
        <f t="shared" si="11"/>
        <v>0</v>
      </c>
      <c r="O81" s="10">
        <v>77</v>
      </c>
      <c r="P81" s="21"/>
      <c r="Q81" s="12">
        <f>+'[2]วันที่ 7'!U81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5">
        <v>0</v>
      </c>
      <c r="W81" s="22"/>
      <c r="X81" s="17">
        <f t="shared" si="9"/>
        <v>0</v>
      </c>
      <c r="Y81" s="18" t="s">
        <v>16</v>
      </c>
      <c r="Z81" s="19">
        <v>0</v>
      </c>
    </row>
    <row r="82" spans="1:26" ht="25.5">
      <c r="A82" s="10">
        <v>78</v>
      </c>
      <c r="B82" s="21" t="s">
        <v>93</v>
      </c>
      <c r="C82" s="12">
        <f>+'30'!G82</f>
        <v>2</v>
      </c>
      <c r="D82" s="13">
        <v>0</v>
      </c>
      <c r="E82" s="12">
        <f t="shared" si="0"/>
        <v>2</v>
      </c>
      <c r="F82" s="13">
        <v>0</v>
      </c>
      <c r="G82" s="14">
        <f t="shared" ref="G82:G145" si="12">E82-F82-H82</f>
        <v>2</v>
      </c>
      <c r="H82" s="15">
        <v>0</v>
      </c>
      <c r="I82" s="23">
        <v>55</v>
      </c>
      <c r="J82" s="43">
        <f t="shared" si="10"/>
        <v>0</v>
      </c>
      <c r="K82" s="18" t="s">
        <v>16</v>
      </c>
      <c r="L82" s="19">
        <v>0</v>
      </c>
      <c r="M82" s="24">
        <f t="shared" si="11"/>
        <v>0</v>
      </c>
      <c r="O82" s="10">
        <v>78</v>
      </c>
      <c r="P82" s="21"/>
      <c r="Q82" s="12">
        <f>+'[2]วันที่ 7'!U82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5">
        <v>0</v>
      </c>
      <c r="W82" s="22"/>
      <c r="X82" s="17">
        <f t="shared" si="9"/>
        <v>0</v>
      </c>
      <c r="Y82" s="18" t="s">
        <v>16</v>
      </c>
      <c r="Z82" s="19">
        <v>0</v>
      </c>
    </row>
    <row r="83" spans="1:26" ht="25.5">
      <c r="A83" s="10">
        <v>79</v>
      </c>
      <c r="B83" s="21" t="s">
        <v>94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4">
        <f t="shared" si="12"/>
        <v>0</v>
      </c>
      <c r="H83" s="15">
        <v>0</v>
      </c>
      <c r="I83" s="23">
        <v>55</v>
      </c>
      <c r="J83" s="43">
        <f t="shared" si="10"/>
        <v>0</v>
      </c>
      <c r="K83" s="18" t="s">
        <v>16</v>
      </c>
      <c r="L83" s="19">
        <v>0</v>
      </c>
      <c r="M83" s="24">
        <f t="shared" si="11"/>
        <v>0</v>
      </c>
      <c r="O83" s="10">
        <v>79</v>
      </c>
      <c r="P83" s="21"/>
      <c r="Q83" s="12">
        <f>+'[2]วันที่ 7'!U83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5">
        <v>0</v>
      </c>
      <c r="W83" s="22"/>
      <c r="X83" s="17">
        <f t="shared" si="9"/>
        <v>0</v>
      </c>
      <c r="Y83" s="18" t="s">
        <v>16</v>
      </c>
      <c r="Z83" s="19">
        <v>0</v>
      </c>
    </row>
    <row r="84" spans="1:26" ht="25.5">
      <c r="A84" s="10">
        <v>80</v>
      </c>
      <c r="B84" s="21" t="s">
        <v>95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4">
        <f t="shared" si="12"/>
        <v>0</v>
      </c>
      <c r="H84" s="15">
        <v>0</v>
      </c>
      <c r="I84" s="23">
        <v>55</v>
      </c>
      <c r="J84" s="43">
        <f t="shared" si="10"/>
        <v>0</v>
      </c>
      <c r="K84" s="18" t="s">
        <v>16</v>
      </c>
      <c r="L84" s="19">
        <v>0</v>
      </c>
      <c r="M84" s="24">
        <f t="shared" si="11"/>
        <v>0</v>
      </c>
      <c r="O84" s="10">
        <v>80</v>
      </c>
      <c r="P84" s="21"/>
      <c r="Q84" s="12">
        <f>+'[2]วันที่ 7'!U84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5">
        <v>0</v>
      </c>
      <c r="W84" s="22"/>
      <c r="X84" s="17">
        <f t="shared" si="9"/>
        <v>0</v>
      </c>
      <c r="Y84" s="18" t="s">
        <v>16</v>
      </c>
      <c r="Z84" s="19">
        <v>0</v>
      </c>
    </row>
    <row r="85" spans="1:26" ht="25.5">
      <c r="A85" s="10">
        <v>81</v>
      </c>
      <c r="B85" s="21" t="s">
        <v>96</v>
      </c>
      <c r="C85" s="12">
        <f>+'30'!G85</f>
        <v>3</v>
      </c>
      <c r="D85" s="13">
        <v>0</v>
      </c>
      <c r="E85" s="12">
        <f t="shared" si="0"/>
        <v>3</v>
      </c>
      <c r="F85" s="13">
        <v>0</v>
      </c>
      <c r="G85" s="14">
        <f t="shared" si="12"/>
        <v>3</v>
      </c>
      <c r="H85" s="15">
        <v>0</v>
      </c>
      <c r="I85" s="23">
        <v>100</v>
      </c>
      <c r="J85" s="43">
        <f t="shared" si="10"/>
        <v>0</v>
      </c>
      <c r="K85" s="18" t="s">
        <v>16</v>
      </c>
      <c r="L85" s="19">
        <v>0</v>
      </c>
      <c r="M85" s="24">
        <f t="shared" si="11"/>
        <v>0</v>
      </c>
      <c r="O85" s="10">
        <v>81</v>
      </c>
      <c r="P85" s="21"/>
      <c r="Q85" s="12">
        <f>+'[2]วันที่ 7'!U85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5">
        <v>0</v>
      </c>
      <c r="W85" s="22"/>
      <c r="X85" s="17">
        <f t="shared" si="9"/>
        <v>0</v>
      </c>
      <c r="Y85" s="18" t="s">
        <v>16</v>
      </c>
      <c r="Z85" s="19">
        <v>0</v>
      </c>
    </row>
    <row r="86" spans="1:26" ht="25.5">
      <c r="A86" s="10">
        <v>82</v>
      </c>
      <c r="B86" s="21" t="s">
        <v>97</v>
      </c>
      <c r="C86" s="12">
        <f>+'30'!G86</f>
        <v>5</v>
      </c>
      <c r="D86" s="13">
        <v>0</v>
      </c>
      <c r="E86" s="12">
        <f t="shared" si="0"/>
        <v>5</v>
      </c>
      <c r="F86" s="13">
        <v>0</v>
      </c>
      <c r="G86" s="14">
        <f t="shared" si="12"/>
        <v>5</v>
      </c>
      <c r="H86" s="15">
        <v>0</v>
      </c>
      <c r="I86" s="22">
        <v>55</v>
      </c>
      <c r="J86" s="43">
        <f t="shared" si="10"/>
        <v>0</v>
      </c>
      <c r="K86" s="18" t="s">
        <v>16</v>
      </c>
      <c r="L86" s="19">
        <v>0</v>
      </c>
      <c r="M86" s="24">
        <f t="shared" si="11"/>
        <v>0</v>
      </c>
      <c r="O86" s="10">
        <v>82</v>
      </c>
      <c r="P86" s="21"/>
      <c r="Q86" s="12">
        <f>+'[2]วันที่ 7'!U86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5">
        <v>0</v>
      </c>
      <c r="W86" s="22"/>
      <c r="X86" s="17">
        <f t="shared" si="9"/>
        <v>0</v>
      </c>
      <c r="Y86" s="18" t="s">
        <v>16</v>
      </c>
      <c r="Z86" s="19">
        <v>0</v>
      </c>
    </row>
    <row r="87" spans="1:26" ht="25.5">
      <c r="A87" s="10">
        <v>83</v>
      </c>
      <c r="B87" s="21" t="s">
        <v>98</v>
      </c>
      <c r="C87" s="12">
        <f>+'30'!G87</f>
        <v>0</v>
      </c>
      <c r="D87" s="13">
        <v>0</v>
      </c>
      <c r="E87" s="12">
        <f t="shared" si="0"/>
        <v>0</v>
      </c>
      <c r="F87" s="13">
        <v>0</v>
      </c>
      <c r="G87" s="14">
        <f t="shared" si="12"/>
        <v>0</v>
      </c>
      <c r="H87" s="15">
        <v>0</v>
      </c>
      <c r="I87" s="22">
        <v>60</v>
      </c>
      <c r="J87" s="43">
        <f t="shared" si="10"/>
        <v>0</v>
      </c>
      <c r="K87" s="18" t="s">
        <v>16</v>
      </c>
      <c r="L87" s="19">
        <v>0</v>
      </c>
      <c r="M87" s="24">
        <f t="shared" si="11"/>
        <v>0</v>
      </c>
      <c r="O87" s="10">
        <v>83</v>
      </c>
      <c r="P87" s="21"/>
      <c r="Q87" s="12">
        <f>+'[2]วันที่ 7'!U87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5">
        <v>0</v>
      </c>
      <c r="W87" s="22"/>
      <c r="X87" s="17">
        <f t="shared" si="9"/>
        <v>0</v>
      </c>
      <c r="Y87" s="18" t="s">
        <v>16</v>
      </c>
      <c r="Z87" s="19">
        <v>0</v>
      </c>
    </row>
    <row r="88" spans="1:26" ht="25.5">
      <c r="A88" s="10">
        <v>84</v>
      </c>
      <c r="B88" s="21" t="s">
        <v>99</v>
      </c>
      <c r="C88" s="12">
        <f>+'30'!G88</f>
        <v>3</v>
      </c>
      <c r="D88" s="13">
        <v>0</v>
      </c>
      <c r="E88" s="12">
        <f t="shared" si="0"/>
        <v>3</v>
      </c>
      <c r="F88" s="13">
        <v>0</v>
      </c>
      <c r="G88" s="14">
        <f t="shared" si="12"/>
        <v>3</v>
      </c>
      <c r="H88" s="15">
        <v>0</v>
      </c>
      <c r="I88" s="22">
        <v>100</v>
      </c>
      <c r="J88" s="43">
        <f t="shared" si="10"/>
        <v>0</v>
      </c>
      <c r="K88" s="18" t="s">
        <v>16</v>
      </c>
      <c r="L88" s="19">
        <v>0</v>
      </c>
      <c r="M88" s="24">
        <f t="shared" si="11"/>
        <v>0</v>
      </c>
      <c r="O88" s="10">
        <v>84</v>
      </c>
      <c r="P88" s="21"/>
      <c r="Q88" s="12">
        <f>+'[2]วันที่ 7'!U88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5">
        <v>0</v>
      </c>
      <c r="W88" s="22"/>
      <c r="X88" s="17">
        <f t="shared" si="9"/>
        <v>0</v>
      </c>
      <c r="Y88" s="18" t="s">
        <v>16</v>
      </c>
      <c r="Z88" s="19">
        <v>0</v>
      </c>
    </row>
    <row r="89" spans="1:26" ht="25.5">
      <c r="A89" s="10">
        <v>85</v>
      </c>
      <c r="B89" s="21" t="s">
        <v>100</v>
      </c>
      <c r="C89" s="12">
        <f>+'30'!G89</f>
        <v>4</v>
      </c>
      <c r="D89" s="13">
        <v>0</v>
      </c>
      <c r="E89" s="12">
        <f t="shared" si="0"/>
        <v>4</v>
      </c>
      <c r="F89" s="13">
        <v>0</v>
      </c>
      <c r="G89" s="14">
        <f t="shared" si="12"/>
        <v>4</v>
      </c>
      <c r="H89" s="15">
        <v>0</v>
      </c>
      <c r="I89" s="22">
        <v>55</v>
      </c>
      <c r="J89" s="43">
        <f t="shared" si="10"/>
        <v>0</v>
      </c>
      <c r="K89" s="18" t="s">
        <v>16</v>
      </c>
      <c r="L89" s="19">
        <v>0</v>
      </c>
      <c r="M89" s="24">
        <f t="shared" si="11"/>
        <v>0</v>
      </c>
      <c r="O89" s="10">
        <v>85</v>
      </c>
      <c r="P89" s="21"/>
      <c r="Q89" s="12">
        <f>+'[2]วันที่ 7'!U89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5">
        <v>0</v>
      </c>
      <c r="W89" s="22"/>
      <c r="X89" s="17">
        <f t="shared" si="9"/>
        <v>0</v>
      </c>
      <c r="Y89" s="18" t="s">
        <v>16</v>
      </c>
      <c r="Z89" s="19">
        <v>0</v>
      </c>
    </row>
    <row r="90" spans="1:26" ht="25.5">
      <c r="A90" s="10">
        <v>86</v>
      </c>
      <c r="B90" s="21" t="s">
        <v>101</v>
      </c>
      <c r="C90" s="12">
        <f>+'30'!G90</f>
        <v>0</v>
      </c>
      <c r="D90" s="13">
        <v>0</v>
      </c>
      <c r="E90" s="12">
        <f t="shared" si="0"/>
        <v>0</v>
      </c>
      <c r="F90" s="13">
        <v>0</v>
      </c>
      <c r="G90" s="14">
        <f t="shared" si="12"/>
        <v>0</v>
      </c>
      <c r="H90" s="15">
        <v>0</v>
      </c>
      <c r="I90" s="22">
        <v>50</v>
      </c>
      <c r="J90" s="43">
        <f t="shared" si="10"/>
        <v>0</v>
      </c>
      <c r="K90" s="18" t="s">
        <v>16</v>
      </c>
      <c r="L90" s="19">
        <v>0</v>
      </c>
      <c r="M90" s="24">
        <f t="shared" si="11"/>
        <v>0</v>
      </c>
      <c r="O90" s="10">
        <v>86</v>
      </c>
      <c r="P90" s="21"/>
      <c r="Q90" s="12">
        <f>+'[2]วันที่ 7'!U90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5">
        <v>0</v>
      </c>
      <c r="W90" s="22"/>
      <c r="X90" s="17">
        <f t="shared" si="9"/>
        <v>0</v>
      </c>
      <c r="Y90" s="18" t="s">
        <v>16</v>
      </c>
      <c r="Z90" s="19">
        <v>0</v>
      </c>
    </row>
    <row r="91" spans="1:26" ht="25.5">
      <c r="A91" s="10">
        <v>87</v>
      </c>
      <c r="B91" s="21" t="s">
        <v>102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4">
        <f t="shared" si="12"/>
        <v>0</v>
      </c>
      <c r="H91" s="15">
        <v>0</v>
      </c>
      <c r="I91" s="23">
        <v>50</v>
      </c>
      <c r="J91" s="43">
        <f t="shared" si="10"/>
        <v>0</v>
      </c>
      <c r="K91" s="18" t="s">
        <v>16</v>
      </c>
      <c r="L91" s="19">
        <v>0</v>
      </c>
      <c r="M91" s="24">
        <f t="shared" si="11"/>
        <v>0</v>
      </c>
      <c r="O91" s="10">
        <v>87</v>
      </c>
      <c r="P91" s="21"/>
      <c r="Q91" s="12">
        <f>+'[2]วันที่ 7'!U91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5">
        <v>0</v>
      </c>
      <c r="W91" s="22"/>
      <c r="X91" s="17">
        <f t="shared" si="9"/>
        <v>0</v>
      </c>
      <c r="Y91" s="18" t="s">
        <v>16</v>
      </c>
      <c r="Z91" s="19">
        <v>0</v>
      </c>
    </row>
    <row r="92" spans="1:26" ht="25.5">
      <c r="A92" s="10">
        <v>88</v>
      </c>
      <c r="B92" s="21" t="s">
        <v>103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4">
        <f t="shared" si="12"/>
        <v>0</v>
      </c>
      <c r="H92" s="15">
        <v>0</v>
      </c>
      <c r="I92" s="23">
        <v>120</v>
      </c>
      <c r="J92" s="43">
        <f t="shared" si="10"/>
        <v>0</v>
      </c>
      <c r="K92" s="18" t="s">
        <v>16</v>
      </c>
      <c r="L92" s="19">
        <v>0</v>
      </c>
      <c r="M92" s="24">
        <f t="shared" si="11"/>
        <v>0</v>
      </c>
      <c r="O92" s="10">
        <v>88</v>
      </c>
      <c r="P92" s="21"/>
      <c r="Q92" s="12">
        <f>+'[2]วันที่ 7'!U92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5">
        <v>0</v>
      </c>
      <c r="W92" s="22"/>
      <c r="X92" s="17">
        <f t="shared" si="9"/>
        <v>0</v>
      </c>
      <c r="Y92" s="18" t="s">
        <v>16</v>
      </c>
      <c r="Z92" s="19">
        <v>0</v>
      </c>
    </row>
    <row r="93" spans="1:26" ht="25.5">
      <c r="A93" s="10">
        <v>89</v>
      </c>
      <c r="B93" s="21" t="s">
        <v>104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4">
        <f t="shared" si="12"/>
        <v>0</v>
      </c>
      <c r="H93" s="15">
        <v>0</v>
      </c>
      <c r="I93" s="22">
        <v>250</v>
      </c>
      <c r="J93" s="43">
        <f t="shared" si="10"/>
        <v>0</v>
      </c>
      <c r="K93" s="18" t="s">
        <v>16</v>
      </c>
      <c r="L93" s="19">
        <v>0</v>
      </c>
      <c r="M93" s="24">
        <f t="shared" si="11"/>
        <v>0</v>
      </c>
      <c r="O93" s="10">
        <v>89</v>
      </c>
      <c r="P93" s="21"/>
      <c r="Q93" s="12">
        <f>+'[2]วันที่ 7'!U93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5">
        <v>0</v>
      </c>
      <c r="W93" s="22"/>
      <c r="X93" s="17">
        <f t="shared" si="9"/>
        <v>0</v>
      </c>
      <c r="Y93" s="18" t="s">
        <v>16</v>
      </c>
      <c r="Z93" s="19">
        <v>0</v>
      </c>
    </row>
    <row r="94" spans="1:26" ht="25.5">
      <c r="A94" s="10">
        <v>90</v>
      </c>
      <c r="B94" s="21" t="s">
        <v>105</v>
      </c>
      <c r="C94" s="12">
        <f>+'30'!G94</f>
        <v>1</v>
      </c>
      <c r="D94" s="13">
        <v>0</v>
      </c>
      <c r="E94" s="12">
        <f t="shared" si="0"/>
        <v>1</v>
      </c>
      <c r="F94" s="13">
        <v>0</v>
      </c>
      <c r="G94" s="14">
        <f t="shared" si="12"/>
        <v>1</v>
      </c>
      <c r="H94" s="15">
        <v>0</v>
      </c>
      <c r="I94" s="22">
        <v>120</v>
      </c>
      <c r="J94" s="43">
        <f t="shared" si="10"/>
        <v>0</v>
      </c>
      <c r="K94" s="18" t="s">
        <v>16</v>
      </c>
      <c r="L94" s="19">
        <v>0</v>
      </c>
      <c r="M94" s="24">
        <f t="shared" si="11"/>
        <v>0</v>
      </c>
      <c r="O94" s="10">
        <v>90</v>
      </c>
      <c r="P94" s="21"/>
      <c r="Q94" s="12">
        <f>+'[2]วันที่ 7'!U94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5">
        <v>0</v>
      </c>
      <c r="W94" s="22"/>
      <c r="X94" s="17">
        <f t="shared" si="9"/>
        <v>0</v>
      </c>
      <c r="Y94" s="18" t="s">
        <v>16</v>
      </c>
      <c r="Z94" s="19">
        <v>0</v>
      </c>
    </row>
    <row r="95" spans="1:26" ht="24" customHeight="1">
      <c r="A95" s="10">
        <v>91</v>
      </c>
      <c r="B95" s="21" t="s">
        <v>106</v>
      </c>
      <c r="C95" s="12">
        <f>+'30'!G95</f>
        <v>0</v>
      </c>
      <c r="D95" s="13">
        <v>0</v>
      </c>
      <c r="E95" s="12">
        <f t="shared" ref="E95:E158" si="13">C95+D95</f>
        <v>0</v>
      </c>
      <c r="F95" s="13">
        <v>0</v>
      </c>
      <c r="G95" s="14">
        <f t="shared" si="12"/>
        <v>0</v>
      </c>
      <c r="H95" s="15">
        <v>0</v>
      </c>
      <c r="I95" s="22">
        <v>120</v>
      </c>
      <c r="J95" s="43">
        <f t="shared" si="10"/>
        <v>0</v>
      </c>
      <c r="K95" s="18" t="s">
        <v>16</v>
      </c>
      <c r="L95" s="19">
        <v>0</v>
      </c>
      <c r="M95" s="24">
        <f t="shared" si="11"/>
        <v>0</v>
      </c>
      <c r="O95" s="10">
        <v>91</v>
      </c>
      <c r="P95" s="21"/>
      <c r="Q95" s="12">
        <f>+'[2]วันที่ 7'!U95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5">
        <v>0</v>
      </c>
      <c r="W95" s="22"/>
      <c r="X95" s="17">
        <f t="shared" si="9"/>
        <v>0</v>
      </c>
      <c r="Y95" s="18" t="s">
        <v>16</v>
      </c>
      <c r="Z95" s="19">
        <v>0</v>
      </c>
    </row>
    <row r="96" spans="1:26" ht="25.5">
      <c r="A96" s="10">
        <v>92</v>
      </c>
      <c r="B96" s="21" t="s">
        <v>107</v>
      </c>
      <c r="C96" s="12">
        <f>+'30'!G96</f>
        <v>0</v>
      </c>
      <c r="D96" s="13">
        <v>0</v>
      </c>
      <c r="E96" s="12">
        <f t="shared" si="13"/>
        <v>0</v>
      </c>
      <c r="F96" s="13">
        <v>0</v>
      </c>
      <c r="G96" s="14">
        <f t="shared" si="12"/>
        <v>0</v>
      </c>
      <c r="H96" s="15">
        <v>0</v>
      </c>
      <c r="I96" s="22">
        <v>120</v>
      </c>
      <c r="J96" s="43">
        <f t="shared" si="10"/>
        <v>0</v>
      </c>
      <c r="K96" s="18" t="s">
        <v>16</v>
      </c>
      <c r="L96" s="19">
        <v>0</v>
      </c>
      <c r="M96" s="24">
        <f t="shared" si="11"/>
        <v>0</v>
      </c>
      <c r="O96" s="10">
        <v>92</v>
      </c>
      <c r="P96" s="21"/>
      <c r="Q96" s="12">
        <f>+'[2]วันที่ 7'!U96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5">
        <v>0</v>
      </c>
      <c r="W96" s="22"/>
      <c r="X96" s="17">
        <f t="shared" si="9"/>
        <v>0</v>
      </c>
      <c r="Y96" s="18" t="s">
        <v>16</v>
      </c>
      <c r="Z96" s="19">
        <v>0</v>
      </c>
    </row>
    <row r="97" spans="1:26" ht="25.5">
      <c r="A97" s="10">
        <v>93</v>
      </c>
      <c r="B97" s="21" t="s">
        <v>108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4">
        <f t="shared" si="12"/>
        <v>0</v>
      </c>
      <c r="H97" s="15">
        <v>0</v>
      </c>
      <c r="I97" s="22">
        <v>120</v>
      </c>
      <c r="J97" s="43">
        <f t="shared" si="10"/>
        <v>0</v>
      </c>
      <c r="K97" s="18" t="s">
        <v>16</v>
      </c>
      <c r="L97" s="19">
        <v>0</v>
      </c>
      <c r="M97" s="24">
        <f t="shared" si="11"/>
        <v>0</v>
      </c>
      <c r="O97" s="10">
        <v>93</v>
      </c>
      <c r="P97" s="21"/>
      <c r="Q97" s="12">
        <f>+'[2]วันที่ 7'!U97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5">
        <v>0</v>
      </c>
      <c r="W97" s="22"/>
      <c r="X97" s="17">
        <f t="shared" si="9"/>
        <v>0</v>
      </c>
      <c r="Y97" s="18" t="s">
        <v>16</v>
      </c>
      <c r="Z97" s="19">
        <v>0</v>
      </c>
    </row>
    <row r="98" spans="1:26" ht="25.5">
      <c r="A98" s="10">
        <v>94</v>
      </c>
      <c r="B98" s="21" t="s">
        <v>109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4">
        <f t="shared" si="12"/>
        <v>0</v>
      </c>
      <c r="H98" s="15">
        <v>0</v>
      </c>
      <c r="I98" s="22">
        <v>50</v>
      </c>
      <c r="J98" s="43">
        <f t="shared" si="10"/>
        <v>0</v>
      </c>
      <c r="K98" s="18" t="s">
        <v>16</v>
      </c>
      <c r="L98" s="19">
        <v>0</v>
      </c>
      <c r="M98" s="24">
        <f t="shared" si="11"/>
        <v>0</v>
      </c>
      <c r="O98" s="10">
        <v>94</v>
      </c>
      <c r="P98" s="21"/>
      <c r="Q98" s="12">
        <f>+'[2]วันที่ 7'!U98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5">
        <v>0</v>
      </c>
      <c r="W98" s="22"/>
      <c r="X98" s="17">
        <f t="shared" si="9"/>
        <v>0</v>
      </c>
      <c r="Y98" s="18" t="s">
        <v>16</v>
      </c>
      <c r="Z98" s="19">
        <v>0</v>
      </c>
    </row>
    <row r="99" spans="1:26" ht="25.5">
      <c r="A99" s="10">
        <v>95</v>
      </c>
      <c r="B99" s="21" t="s">
        <v>110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4">
        <f t="shared" si="12"/>
        <v>0</v>
      </c>
      <c r="H99" s="15">
        <v>0</v>
      </c>
      <c r="I99" s="22">
        <v>50</v>
      </c>
      <c r="J99" s="43">
        <f t="shared" si="10"/>
        <v>0</v>
      </c>
      <c r="K99" s="18" t="s">
        <v>16</v>
      </c>
      <c r="L99" s="19">
        <v>0</v>
      </c>
      <c r="M99" s="24">
        <f t="shared" si="11"/>
        <v>0</v>
      </c>
      <c r="O99" s="10">
        <v>95</v>
      </c>
      <c r="P99" s="21"/>
      <c r="Q99" s="12">
        <f>+'[2]วันที่ 7'!U99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5">
        <v>0</v>
      </c>
      <c r="W99" s="22"/>
      <c r="X99" s="17">
        <f t="shared" si="9"/>
        <v>0</v>
      </c>
      <c r="Y99" s="18" t="s">
        <v>16</v>
      </c>
      <c r="Z99" s="19">
        <v>0</v>
      </c>
    </row>
    <row r="100" spans="1:26" ht="25.5">
      <c r="A100" s="10">
        <v>96</v>
      </c>
      <c r="B100" s="21" t="s">
        <v>111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4">
        <f t="shared" si="12"/>
        <v>0</v>
      </c>
      <c r="H100" s="15">
        <v>0</v>
      </c>
      <c r="I100" s="22">
        <v>60</v>
      </c>
      <c r="J100" s="43">
        <f t="shared" si="10"/>
        <v>0</v>
      </c>
      <c r="K100" s="18" t="s">
        <v>16</v>
      </c>
      <c r="L100" s="19">
        <v>0</v>
      </c>
      <c r="M100" s="24">
        <f t="shared" si="11"/>
        <v>0</v>
      </c>
      <c r="O100" s="10">
        <v>96</v>
      </c>
      <c r="P100" s="21"/>
      <c r="Q100" s="12">
        <f>+'[2]วันที่ 7'!U100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5">
        <v>0</v>
      </c>
      <c r="W100" s="22"/>
      <c r="X100" s="17">
        <f t="shared" si="9"/>
        <v>0</v>
      </c>
      <c r="Y100" s="18" t="s">
        <v>16</v>
      </c>
      <c r="Z100" s="19">
        <v>0</v>
      </c>
    </row>
    <row r="101" spans="1:26" ht="25.5">
      <c r="A101" s="10">
        <v>97</v>
      </c>
      <c r="B101" s="21" t="s">
        <v>112</v>
      </c>
      <c r="C101" s="12">
        <f>+'30'!G101</f>
        <v>9</v>
      </c>
      <c r="D101" s="13">
        <v>0</v>
      </c>
      <c r="E101" s="12">
        <f t="shared" si="13"/>
        <v>9</v>
      </c>
      <c r="F101" s="13">
        <v>0</v>
      </c>
      <c r="G101" s="14">
        <f t="shared" si="12"/>
        <v>9</v>
      </c>
      <c r="H101" s="15">
        <v>0</v>
      </c>
      <c r="I101" s="22">
        <v>55</v>
      </c>
      <c r="J101" s="43">
        <f t="shared" si="10"/>
        <v>0</v>
      </c>
      <c r="K101" s="18" t="s">
        <v>16</v>
      </c>
      <c r="L101" s="19">
        <v>0</v>
      </c>
      <c r="M101" s="24">
        <f t="shared" si="11"/>
        <v>0</v>
      </c>
      <c r="O101" s="10">
        <v>97</v>
      </c>
      <c r="P101" s="21"/>
      <c r="Q101" s="12">
        <f>+'[2]วันที่ 7'!U101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5">
        <v>0</v>
      </c>
      <c r="W101" s="22"/>
      <c r="X101" s="17">
        <f t="shared" si="9"/>
        <v>0</v>
      </c>
      <c r="Y101" s="18" t="s">
        <v>16</v>
      </c>
      <c r="Z101" s="19">
        <v>0</v>
      </c>
    </row>
    <row r="102" spans="1:26" ht="25.5">
      <c r="A102" s="10">
        <v>98</v>
      </c>
      <c r="B102" s="21" t="s">
        <v>113</v>
      </c>
      <c r="C102" s="12">
        <f>+'30'!G102</f>
        <v>0</v>
      </c>
      <c r="D102" s="13">
        <v>0</v>
      </c>
      <c r="E102" s="12">
        <f t="shared" si="13"/>
        <v>0</v>
      </c>
      <c r="F102" s="13">
        <v>0</v>
      </c>
      <c r="G102" s="14">
        <f t="shared" si="12"/>
        <v>0</v>
      </c>
      <c r="H102" s="15">
        <v>0</v>
      </c>
      <c r="I102" s="22">
        <v>50</v>
      </c>
      <c r="J102" s="43">
        <f t="shared" si="10"/>
        <v>0</v>
      </c>
      <c r="K102" s="18" t="s">
        <v>16</v>
      </c>
      <c r="L102" s="19">
        <v>0</v>
      </c>
      <c r="M102" s="24">
        <f t="shared" si="11"/>
        <v>0</v>
      </c>
      <c r="O102" s="10">
        <v>98</v>
      </c>
      <c r="P102" s="21"/>
      <c r="Q102" s="12">
        <f>+'[2]วันที่ 7'!U102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5">
        <v>0</v>
      </c>
      <c r="W102" s="22"/>
      <c r="X102" s="17">
        <f t="shared" si="9"/>
        <v>0</v>
      </c>
      <c r="Y102" s="18" t="s">
        <v>16</v>
      </c>
      <c r="Z102" s="19">
        <v>0</v>
      </c>
    </row>
    <row r="103" spans="1:26" ht="25.5">
      <c r="A103" s="10">
        <v>99</v>
      </c>
      <c r="B103" s="21" t="s">
        <v>114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4">
        <f t="shared" si="12"/>
        <v>0</v>
      </c>
      <c r="H103" s="15">
        <v>0</v>
      </c>
      <c r="I103" s="22">
        <v>100</v>
      </c>
      <c r="J103" s="43">
        <f t="shared" si="10"/>
        <v>0</v>
      </c>
      <c r="K103" s="18" t="s">
        <v>16</v>
      </c>
      <c r="L103" s="19">
        <v>0</v>
      </c>
      <c r="M103" s="24">
        <f t="shared" si="11"/>
        <v>0</v>
      </c>
      <c r="O103" s="10">
        <v>99</v>
      </c>
      <c r="P103" s="21"/>
      <c r="Q103" s="12">
        <f>+'[2]วันที่ 7'!U103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5">
        <v>0</v>
      </c>
      <c r="W103" s="22"/>
      <c r="X103" s="17">
        <f t="shared" si="9"/>
        <v>0</v>
      </c>
      <c r="Y103" s="18" t="s">
        <v>16</v>
      </c>
      <c r="Z103" s="19">
        <v>0</v>
      </c>
    </row>
    <row r="104" spans="1:26" ht="25.5">
      <c r="A104" s="10">
        <v>100</v>
      </c>
      <c r="B104" s="21" t="s">
        <v>115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4">
        <f t="shared" si="12"/>
        <v>0</v>
      </c>
      <c r="H104" s="15">
        <v>0</v>
      </c>
      <c r="I104" s="22">
        <v>100</v>
      </c>
      <c r="J104" s="43">
        <f t="shared" si="10"/>
        <v>0</v>
      </c>
      <c r="K104" s="18" t="s">
        <v>16</v>
      </c>
      <c r="L104" s="19">
        <v>0</v>
      </c>
      <c r="M104" s="24">
        <f t="shared" si="11"/>
        <v>0</v>
      </c>
      <c r="O104" s="10">
        <v>100</v>
      </c>
      <c r="P104" s="21"/>
      <c r="Q104" s="12">
        <f>+'[2]วันที่ 7'!U104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5">
        <v>0</v>
      </c>
      <c r="W104" s="22"/>
      <c r="X104" s="17">
        <f t="shared" si="9"/>
        <v>0</v>
      </c>
      <c r="Y104" s="18"/>
      <c r="Z104" s="19">
        <v>0</v>
      </c>
    </row>
    <row r="105" spans="1:26" ht="25.5">
      <c r="A105" s="10">
        <v>101</v>
      </c>
      <c r="B105" s="21" t="s">
        <v>116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4">
        <f t="shared" si="12"/>
        <v>0</v>
      </c>
      <c r="H105" s="15">
        <v>0</v>
      </c>
      <c r="I105" s="23">
        <v>30</v>
      </c>
      <c r="J105" s="43">
        <f t="shared" si="10"/>
        <v>0</v>
      </c>
      <c r="K105" s="18" t="s">
        <v>16</v>
      </c>
      <c r="L105" s="19">
        <v>0</v>
      </c>
      <c r="M105" s="24">
        <f t="shared" si="11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1" t="s">
        <v>117</v>
      </c>
      <c r="C106" s="12">
        <f>+'30'!G106</f>
        <v>0</v>
      </c>
      <c r="D106" s="13">
        <v>0</v>
      </c>
      <c r="E106" s="12">
        <f t="shared" si="13"/>
        <v>0</v>
      </c>
      <c r="F106" s="13">
        <v>0</v>
      </c>
      <c r="G106" s="14">
        <f t="shared" si="12"/>
        <v>0</v>
      </c>
      <c r="H106" s="15">
        <v>0</v>
      </c>
      <c r="I106" s="23">
        <v>20</v>
      </c>
      <c r="J106" s="43">
        <f t="shared" si="10"/>
        <v>0</v>
      </c>
      <c r="K106" s="18" t="s">
        <v>16</v>
      </c>
      <c r="L106" s="19">
        <v>0</v>
      </c>
      <c r="M106" s="24">
        <f t="shared" si="11"/>
        <v>0</v>
      </c>
      <c r="Z106" s="30"/>
    </row>
    <row r="107" spans="1:26" ht="25.5">
      <c r="A107" s="10">
        <v>103</v>
      </c>
      <c r="B107" s="21" t="s">
        <v>118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4">
        <f t="shared" si="12"/>
        <v>0</v>
      </c>
      <c r="H107" s="15">
        <v>0</v>
      </c>
      <c r="I107" s="22">
        <v>100</v>
      </c>
      <c r="J107" s="43">
        <f t="shared" si="10"/>
        <v>0</v>
      </c>
      <c r="K107" s="18" t="s">
        <v>16</v>
      </c>
      <c r="L107" s="19">
        <v>0</v>
      </c>
      <c r="M107" s="24">
        <f t="shared" si="11"/>
        <v>0</v>
      </c>
      <c r="P107" s="129" t="s">
        <v>119</v>
      </c>
      <c r="Q107" s="130"/>
      <c r="R107" s="130"/>
      <c r="S107" s="130"/>
      <c r="T107" s="130"/>
      <c r="U107" s="130"/>
      <c r="V107" s="130"/>
      <c r="W107" s="131"/>
      <c r="X107" s="42">
        <f>SUM(X5:X104)</f>
        <v>0</v>
      </c>
    </row>
    <row r="108" spans="1:26" ht="25.5">
      <c r="A108" s="10">
        <v>104</v>
      </c>
      <c r="B108" s="21" t="s">
        <v>120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4">
        <f t="shared" si="12"/>
        <v>0</v>
      </c>
      <c r="H108" s="15">
        <v>0</v>
      </c>
      <c r="I108" s="22">
        <v>80</v>
      </c>
      <c r="J108" s="43">
        <f t="shared" si="10"/>
        <v>0</v>
      </c>
      <c r="K108" s="18" t="s">
        <v>16</v>
      </c>
      <c r="L108" s="19">
        <v>0</v>
      </c>
      <c r="M108" s="24">
        <f t="shared" si="11"/>
        <v>0</v>
      </c>
    </row>
    <row r="109" spans="1:26" ht="25.5">
      <c r="A109" s="10">
        <v>105</v>
      </c>
      <c r="B109" s="21" t="s">
        <v>121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4">
        <f t="shared" si="12"/>
        <v>0</v>
      </c>
      <c r="H109" s="15">
        <v>0</v>
      </c>
      <c r="I109" s="22">
        <v>60</v>
      </c>
      <c r="J109" s="43">
        <f t="shared" si="10"/>
        <v>0</v>
      </c>
      <c r="K109" s="18" t="s">
        <v>16</v>
      </c>
      <c r="L109" s="19">
        <v>0</v>
      </c>
      <c r="M109" s="24">
        <f t="shared" si="11"/>
        <v>0</v>
      </c>
    </row>
    <row r="110" spans="1:26" ht="25.5">
      <c r="A110" s="10">
        <v>106</v>
      </c>
      <c r="B110" s="21" t="s">
        <v>122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4">
        <f t="shared" si="12"/>
        <v>0</v>
      </c>
      <c r="H110" s="15">
        <v>0</v>
      </c>
      <c r="I110" s="22">
        <v>35</v>
      </c>
      <c r="J110" s="43">
        <f t="shared" si="10"/>
        <v>0</v>
      </c>
      <c r="K110" s="18" t="s">
        <v>16</v>
      </c>
      <c r="L110" s="19">
        <v>0</v>
      </c>
      <c r="M110" s="24">
        <f t="shared" si="11"/>
        <v>0</v>
      </c>
    </row>
    <row r="111" spans="1:26" ht="25.5">
      <c r="A111" s="10">
        <v>107</v>
      </c>
      <c r="B111" s="21" t="s">
        <v>123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4">
        <f t="shared" si="12"/>
        <v>0</v>
      </c>
      <c r="H111" s="15">
        <v>0</v>
      </c>
      <c r="I111" s="22">
        <v>35</v>
      </c>
      <c r="J111" s="43">
        <f t="shared" si="10"/>
        <v>0</v>
      </c>
      <c r="K111" s="18" t="s">
        <v>16</v>
      </c>
      <c r="L111" s="19">
        <v>0</v>
      </c>
      <c r="M111" s="24">
        <f t="shared" si="11"/>
        <v>0</v>
      </c>
    </row>
    <row r="112" spans="1:26" ht="25.5">
      <c r="A112" s="10">
        <v>108</v>
      </c>
      <c r="B112" s="21" t="s">
        <v>124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4">
        <f t="shared" si="12"/>
        <v>0</v>
      </c>
      <c r="H112" s="15">
        <v>0</v>
      </c>
      <c r="I112" s="22">
        <v>35</v>
      </c>
      <c r="J112" s="43">
        <f t="shared" si="10"/>
        <v>0</v>
      </c>
      <c r="K112" s="18" t="s">
        <v>16</v>
      </c>
      <c r="L112" s="19">
        <v>0</v>
      </c>
      <c r="M112" s="24">
        <f t="shared" si="11"/>
        <v>0</v>
      </c>
    </row>
    <row r="113" spans="1:13" ht="25.5">
      <c r="A113" s="10">
        <v>109</v>
      </c>
      <c r="B113" s="21" t="s">
        <v>125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4">
        <f t="shared" si="12"/>
        <v>0</v>
      </c>
      <c r="H113" s="15">
        <v>0</v>
      </c>
      <c r="I113" s="22">
        <v>35</v>
      </c>
      <c r="J113" s="43">
        <f t="shared" si="10"/>
        <v>0</v>
      </c>
      <c r="K113" s="18" t="s">
        <v>16</v>
      </c>
      <c r="L113" s="19">
        <v>0</v>
      </c>
      <c r="M113" s="24">
        <f t="shared" si="11"/>
        <v>0</v>
      </c>
    </row>
    <row r="114" spans="1:13" ht="25.5">
      <c r="A114" s="10">
        <v>110</v>
      </c>
      <c r="B114" s="21" t="s">
        <v>126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4">
        <f t="shared" si="12"/>
        <v>0</v>
      </c>
      <c r="H114" s="15">
        <v>0</v>
      </c>
      <c r="I114" s="22">
        <v>35</v>
      </c>
      <c r="J114" s="43">
        <f t="shared" si="10"/>
        <v>0</v>
      </c>
      <c r="K114" s="18" t="s">
        <v>16</v>
      </c>
      <c r="L114" s="19">
        <v>0</v>
      </c>
      <c r="M114" s="24">
        <f t="shared" si="11"/>
        <v>0</v>
      </c>
    </row>
    <row r="115" spans="1:13" ht="25.5">
      <c r="A115" s="10">
        <v>111</v>
      </c>
      <c r="B115" s="21" t="s">
        <v>127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4">
        <f t="shared" si="12"/>
        <v>0</v>
      </c>
      <c r="H115" s="15">
        <v>0</v>
      </c>
      <c r="I115" s="22">
        <v>30</v>
      </c>
      <c r="J115" s="43">
        <f t="shared" si="10"/>
        <v>0</v>
      </c>
      <c r="K115" s="18" t="s">
        <v>16</v>
      </c>
      <c r="L115" s="19">
        <v>0</v>
      </c>
      <c r="M115" s="24">
        <f t="shared" si="11"/>
        <v>0</v>
      </c>
    </row>
    <row r="116" spans="1:13" ht="25.5">
      <c r="A116" s="10">
        <v>112</v>
      </c>
      <c r="B116" s="21" t="s">
        <v>128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4">
        <f t="shared" si="12"/>
        <v>0</v>
      </c>
      <c r="H116" s="15">
        <v>0</v>
      </c>
      <c r="I116" s="22">
        <v>30</v>
      </c>
      <c r="J116" s="43">
        <f t="shared" si="10"/>
        <v>0</v>
      </c>
      <c r="K116" s="18" t="s">
        <v>16</v>
      </c>
      <c r="L116" s="19">
        <v>0</v>
      </c>
      <c r="M116" s="24">
        <f t="shared" si="11"/>
        <v>0</v>
      </c>
    </row>
    <row r="117" spans="1:13" ht="25.5">
      <c r="A117" s="10">
        <v>113</v>
      </c>
      <c r="B117" s="21" t="s">
        <v>129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4">
        <f t="shared" si="12"/>
        <v>0</v>
      </c>
      <c r="H117" s="15">
        <v>0</v>
      </c>
      <c r="I117" s="22">
        <v>30</v>
      </c>
      <c r="J117" s="43">
        <f t="shared" si="10"/>
        <v>0</v>
      </c>
      <c r="K117" s="18" t="s">
        <v>16</v>
      </c>
      <c r="L117" s="19">
        <v>0</v>
      </c>
      <c r="M117" s="24">
        <f t="shared" si="11"/>
        <v>0</v>
      </c>
    </row>
    <row r="118" spans="1:13" ht="25.5">
      <c r="A118" s="10">
        <v>114</v>
      </c>
      <c r="B118" s="21" t="s">
        <v>130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4">
        <f t="shared" si="12"/>
        <v>0</v>
      </c>
      <c r="H118" s="15">
        <v>0</v>
      </c>
      <c r="I118" s="22">
        <v>30</v>
      </c>
      <c r="J118" s="43">
        <f t="shared" si="10"/>
        <v>0</v>
      </c>
      <c r="K118" s="18" t="s">
        <v>16</v>
      </c>
      <c r="L118" s="19">
        <v>0</v>
      </c>
      <c r="M118" s="24">
        <f t="shared" si="11"/>
        <v>0</v>
      </c>
    </row>
    <row r="119" spans="1:13" ht="25.5">
      <c r="A119" s="10">
        <v>115</v>
      </c>
      <c r="B119" s="21" t="s">
        <v>131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4">
        <f t="shared" si="12"/>
        <v>0</v>
      </c>
      <c r="H119" s="15">
        <v>0</v>
      </c>
      <c r="I119" s="22">
        <v>30</v>
      </c>
      <c r="J119" s="43">
        <f t="shared" si="10"/>
        <v>0</v>
      </c>
      <c r="K119" s="18" t="s">
        <v>16</v>
      </c>
      <c r="L119" s="19">
        <v>0</v>
      </c>
      <c r="M119" s="24">
        <f t="shared" si="11"/>
        <v>0</v>
      </c>
    </row>
    <row r="120" spans="1:13" ht="25.5">
      <c r="A120" s="10">
        <v>116</v>
      </c>
      <c r="B120" s="21" t="s">
        <v>132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4">
        <f t="shared" si="12"/>
        <v>0</v>
      </c>
      <c r="H120" s="15">
        <v>0</v>
      </c>
      <c r="I120" s="22">
        <v>30</v>
      </c>
      <c r="J120" s="43">
        <f t="shared" si="10"/>
        <v>0</v>
      </c>
      <c r="K120" s="18" t="s">
        <v>16</v>
      </c>
      <c r="L120" s="19">
        <v>0</v>
      </c>
      <c r="M120" s="24">
        <f t="shared" si="11"/>
        <v>0</v>
      </c>
    </row>
    <row r="121" spans="1:13" ht="25.5">
      <c r="A121" s="10">
        <v>117</v>
      </c>
      <c r="B121" s="21" t="s">
        <v>133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4">
        <f t="shared" si="12"/>
        <v>0</v>
      </c>
      <c r="H121" s="15">
        <v>0</v>
      </c>
      <c r="I121" s="22">
        <v>40</v>
      </c>
      <c r="J121" s="43">
        <f t="shared" si="10"/>
        <v>0</v>
      </c>
      <c r="K121" s="18" t="s">
        <v>16</v>
      </c>
      <c r="L121" s="19">
        <v>0</v>
      </c>
      <c r="M121" s="24">
        <f t="shared" si="11"/>
        <v>0</v>
      </c>
    </row>
    <row r="122" spans="1:13" ht="25.5">
      <c r="A122" s="10">
        <v>118</v>
      </c>
      <c r="B122" s="21" t="s">
        <v>134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4">
        <f t="shared" si="12"/>
        <v>0</v>
      </c>
      <c r="H122" s="15">
        <v>0</v>
      </c>
      <c r="I122" s="22">
        <v>35</v>
      </c>
      <c r="J122" s="43">
        <f t="shared" si="10"/>
        <v>0</v>
      </c>
      <c r="K122" s="18" t="s">
        <v>16</v>
      </c>
      <c r="L122" s="19">
        <v>0</v>
      </c>
      <c r="M122" s="24">
        <f t="shared" si="11"/>
        <v>0</v>
      </c>
    </row>
    <row r="123" spans="1:13" ht="25.5">
      <c r="A123" s="10">
        <v>119</v>
      </c>
      <c r="B123" s="21" t="s">
        <v>135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4">
        <f t="shared" si="12"/>
        <v>0</v>
      </c>
      <c r="H123" s="15">
        <v>0</v>
      </c>
      <c r="I123" s="22">
        <v>40</v>
      </c>
      <c r="J123" s="43">
        <f t="shared" si="10"/>
        <v>0</v>
      </c>
      <c r="K123" s="18" t="s">
        <v>16</v>
      </c>
      <c r="L123" s="19">
        <v>0</v>
      </c>
      <c r="M123" s="24">
        <f t="shared" si="11"/>
        <v>0</v>
      </c>
    </row>
    <row r="124" spans="1:13" ht="25.5">
      <c r="A124" s="10">
        <v>120</v>
      </c>
      <c r="B124" s="21" t="s">
        <v>136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4">
        <f t="shared" si="12"/>
        <v>0</v>
      </c>
      <c r="H124" s="15">
        <v>0</v>
      </c>
      <c r="I124" s="22">
        <v>40</v>
      </c>
      <c r="J124" s="43">
        <f t="shared" si="10"/>
        <v>0</v>
      </c>
      <c r="K124" s="18" t="s">
        <v>16</v>
      </c>
      <c r="L124" s="19">
        <v>0</v>
      </c>
      <c r="M124" s="24">
        <f t="shared" si="11"/>
        <v>0</v>
      </c>
    </row>
    <row r="125" spans="1:13" ht="25.5">
      <c r="A125" s="10">
        <v>121</v>
      </c>
      <c r="B125" s="21" t="s">
        <v>137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4">
        <f t="shared" si="12"/>
        <v>0</v>
      </c>
      <c r="H125" s="15">
        <v>0</v>
      </c>
      <c r="I125" s="22">
        <v>30</v>
      </c>
      <c r="J125" s="43">
        <f t="shared" si="10"/>
        <v>0</v>
      </c>
      <c r="K125" s="18" t="s">
        <v>16</v>
      </c>
      <c r="L125" s="19">
        <v>0</v>
      </c>
      <c r="M125" s="24">
        <f t="shared" si="11"/>
        <v>0</v>
      </c>
    </row>
    <row r="126" spans="1:13" ht="25.5">
      <c r="A126" s="10">
        <v>122</v>
      </c>
      <c r="B126" s="21" t="s">
        <v>138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4">
        <f t="shared" si="12"/>
        <v>0</v>
      </c>
      <c r="H126" s="15">
        <v>0</v>
      </c>
      <c r="I126" s="22">
        <v>40</v>
      </c>
      <c r="J126" s="43">
        <f t="shared" si="10"/>
        <v>0</v>
      </c>
      <c r="K126" s="18" t="s">
        <v>16</v>
      </c>
      <c r="L126" s="19">
        <v>0</v>
      </c>
      <c r="M126" s="24">
        <f t="shared" si="11"/>
        <v>0</v>
      </c>
    </row>
    <row r="127" spans="1:13" ht="25.5">
      <c r="A127" s="10">
        <v>123</v>
      </c>
      <c r="B127" s="21" t="s">
        <v>139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4">
        <f t="shared" si="12"/>
        <v>0</v>
      </c>
      <c r="H127" s="15">
        <v>0</v>
      </c>
      <c r="I127" s="22">
        <v>20</v>
      </c>
      <c r="J127" s="43">
        <f t="shared" si="10"/>
        <v>0</v>
      </c>
      <c r="K127" s="18" t="s">
        <v>16</v>
      </c>
      <c r="L127" s="19">
        <v>0</v>
      </c>
      <c r="M127" s="24">
        <f t="shared" si="11"/>
        <v>0</v>
      </c>
    </row>
    <row r="128" spans="1:13" ht="25.5">
      <c r="A128" s="10">
        <v>124</v>
      </c>
      <c r="B128" s="21" t="s">
        <v>140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4">
        <f t="shared" si="12"/>
        <v>0</v>
      </c>
      <c r="H128" s="15">
        <v>0</v>
      </c>
      <c r="I128" s="22">
        <v>35</v>
      </c>
      <c r="J128" s="43">
        <f t="shared" si="10"/>
        <v>0</v>
      </c>
      <c r="K128" s="18" t="s">
        <v>16</v>
      </c>
      <c r="L128" s="19">
        <v>0</v>
      </c>
      <c r="M128" s="24">
        <f t="shared" si="11"/>
        <v>0</v>
      </c>
    </row>
    <row r="129" spans="1:13" ht="25.5">
      <c r="A129" s="10">
        <v>125</v>
      </c>
      <c r="B129" s="21" t="s">
        <v>141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4">
        <f t="shared" si="12"/>
        <v>0</v>
      </c>
      <c r="H129" s="15">
        <v>0</v>
      </c>
      <c r="I129" s="22">
        <v>40</v>
      </c>
      <c r="J129" s="43">
        <f t="shared" si="10"/>
        <v>0</v>
      </c>
      <c r="K129" s="18" t="s">
        <v>16</v>
      </c>
      <c r="L129" s="19">
        <v>0</v>
      </c>
      <c r="M129" s="24">
        <f t="shared" si="11"/>
        <v>0</v>
      </c>
    </row>
    <row r="130" spans="1:13" ht="25.5">
      <c r="A130" s="10">
        <v>126</v>
      </c>
      <c r="B130" s="21" t="s">
        <v>142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4">
        <f t="shared" si="12"/>
        <v>0</v>
      </c>
      <c r="H130" s="15">
        <v>0</v>
      </c>
      <c r="I130" s="22">
        <v>50</v>
      </c>
      <c r="J130" s="43">
        <f t="shared" si="10"/>
        <v>0</v>
      </c>
      <c r="K130" s="18" t="s">
        <v>16</v>
      </c>
      <c r="L130" s="19">
        <v>0</v>
      </c>
      <c r="M130" s="24">
        <f t="shared" si="11"/>
        <v>0</v>
      </c>
    </row>
    <row r="131" spans="1:13" ht="25.5">
      <c r="A131" s="10">
        <v>127</v>
      </c>
      <c r="B131" s="21" t="s">
        <v>143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4">
        <f t="shared" si="12"/>
        <v>0</v>
      </c>
      <c r="H131" s="15">
        <v>0</v>
      </c>
      <c r="I131" s="22">
        <v>55</v>
      </c>
      <c r="J131" s="43">
        <f t="shared" si="10"/>
        <v>0</v>
      </c>
      <c r="K131" s="18" t="s">
        <v>16</v>
      </c>
      <c r="L131" s="19">
        <v>0</v>
      </c>
      <c r="M131" s="24">
        <f t="shared" si="11"/>
        <v>0</v>
      </c>
    </row>
    <row r="132" spans="1:13" ht="25.5">
      <c r="A132" s="10">
        <v>128</v>
      </c>
      <c r="B132" s="21" t="s">
        <v>144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4">
        <f t="shared" si="12"/>
        <v>0</v>
      </c>
      <c r="H132" s="15">
        <v>0</v>
      </c>
      <c r="I132" s="22">
        <v>55</v>
      </c>
      <c r="J132" s="43">
        <f t="shared" si="10"/>
        <v>0</v>
      </c>
      <c r="K132" s="18" t="s">
        <v>16</v>
      </c>
      <c r="L132" s="19">
        <v>0</v>
      </c>
      <c r="M132" s="24">
        <f t="shared" si="11"/>
        <v>0</v>
      </c>
    </row>
    <row r="133" spans="1:13" ht="25.5">
      <c r="A133" s="10">
        <v>129</v>
      </c>
      <c r="B133" s="21" t="s">
        <v>145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4">
        <f t="shared" si="12"/>
        <v>0</v>
      </c>
      <c r="H133" s="15">
        <v>0</v>
      </c>
      <c r="I133" s="22">
        <v>45</v>
      </c>
      <c r="J133" s="43">
        <f t="shared" si="10"/>
        <v>0</v>
      </c>
      <c r="K133" s="18" t="s">
        <v>16</v>
      </c>
      <c r="L133" s="19">
        <v>0</v>
      </c>
      <c r="M133" s="24">
        <f t="shared" si="11"/>
        <v>0</v>
      </c>
    </row>
    <row r="134" spans="1:13" ht="25.5">
      <c r="A134" s="10">
        <v>130</v>
      </c>
      <c r="B134" s="21" t="s">
        <v>146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4">
        <f t="shared" si="12"/>
        <v>0</v>
      </c>
      <c r="H134" s="15">
        <v>0</v>
      </c>
      <c r="I134" s="22">
        <v>45</v>
      </c>
      <c r="J134" s="43">
        <f t="shared" ref="J134:J197" si="14">+I134*H134</f>
        <v>0</v>
      </c>
      <c r="K134" s="18" t="s">
        <v>16</v>
      </c>
      <c r="L134" s="19">
        <v>0</v>
      </c>
      <c r="M134" s="24">
        <f t="shared" ref="M134:M197" si="15">SUM(J134-L134)</f>
        <v>0</v>
      </c>
    </row>
    <row r="135" spans="1:13" ht="25.5">
      <c r="A135" s="10">
        <v>131</v>
      </c>
      <c r="B135" s="21" t="s">
        <v>147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4">
        <f t="shared" si="12"/>
        <v>0</v>
      </c>
      <c r="H135" s="15">
        <v>0</v>
      </c>
      <c r="I135" s="22">
        <v>55</v>
      </c>
      <c r="J135" s="43">
        <f t="shared" si="14"/>
        <v>0</v>
      </c>
      <c r="K135" s="18" t="s">
        <v>16</v>
      </c>
      <c r="L135" s="19">
        <v>0</v>
      </c>
      <c r="M135" s="24">
        <f t="shared" si="15"/>
        <v>0</v>
      </c>
    </row>
    <row r="136" spans="1:13" ht="25.5">
      <c r="A136" s="10">
        <v>132</v>
      </c>
      <c r="B136" s="21" t="s">
        <v>148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4">
        <f t="shared" si="12"/>
        <v>0</v>
      </c>
      <c r="H136" s="15">
        <v>0</v>
      </c>
      <c r="I136" s="22">
        <v>45</v>
      </c>
      <c r="J136" s="43">
        <f t="shared" si="14"/>
        <v>0</v>
      </c>
      <c r="K136" s="18" t="s">
        <v>16</v>
      </c>
      <c r="L136" s="19">
        <v>0</v>
      </c>
      <c r="M136" s="24">
        <f t="shared" si="15"/>
        <v>0</v>
      </c>
    </row>
    <row r="137" spans="1:13" ht="25.5">
      <c r="A137" s="10">
        <v>133</v>
      </c>
      <c r="B137" s="21" t="s">
        <v>149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4">
        <f t="shared" si="12"/>
        <v>0</v>
      </c>
      <c r="H137" s="15">
        <v>0</v>
      </c>
      <c r="I137" s="22">
        <v>45</v>
      </c>
      <c r="J137" s="43">
        <f t="shared" si="14"/>
        <v>0</v>
      </c>
      <c r="K137" s="18" t="s">
        <v>16</v>
      </c>
      <c r="L137" s="19">
        <v>0</v>
      </c>
      <c r="M137" s="24">
        <f t="shared" si="15"/>
        <v>0</v>
      </c>
    </row>
    <row r="138" spans="1:13" ht="25.5">
      <c r="A138" s="10">
        <v>134</v>
      </c>
      <c r="B138" s="21" t="s">
        <v>150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4">
        <f t="shared" si="12"/>
        <v>0</v>
      </c>
      <c r="H138" s="15">
        <v>0</v>
      </c>
      <c r="I138" s="22">
        <v>45</v>
      </c>
      <c r="J138" s="43">
        <f t="shared" si="14"/>
        <v>0</v>
      </c>
      <c r="K138" s="18" t="s">
        <v>16</v>
      </c>
      <c r="L138" s="19">
        <v>0</v>
      </c>
      <c r="M138" s="24">
        <f t="shared" si="15"/>
        <v>0</v>
      </c>
    </row>
    <row r="139" spans="1:13" ht="25.5">
      <c r="A139" s="10">
        <v>135</v>
      </c>
      <c r="B139" s="21" t="s">
        <v>151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4">
        <f t="shared" si="12"/>
        <v>0</v>
      </c>
      <c r="H139" s="15">
        <v>0</v>
      </c>
      <c r="I139" s="22">
        <v>45</v>
      </c>
      <c r="J139" s="43">
        <f t="shared" si="14"/>
        <v>0</v>
      </c>
      <c r="K139" s="18" t="s">
        <v>16</v>
      </c>
      <c r="L139" s="19">
        <v>0</v>
      </c>
      <c r="M139" s="24">
        <f t="shared" si="15"/>
        <v>0</v>
      </c>
    </row>
    <row r="140" spans="1:13" ht="25.5">
      <c r="A140" s="10">
        <v>136</v>
      </c>
      <c r="B140" s="21" t="s">
        <v>152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4">
        <f t="shared" si="12"/>
        <v>0</v>
      </c>
      <c r="H140" s="15">
        <v>0</v>
      </c>
      <c r="I140" s="22">
        <v>45</v>
      </c>
      <c r="J140" s="43">
        <f t="shared" si="14"/>
        <v>0</v>
      </c>
      <c r="K140" s="18" t="s">
        <v>16</v>
      </c>
      <c r="L140" s="19">
        <v>0</v>
      </c>
      <c r="M140" s="24">
        <f t="shared" si="15"/>
        <v>0</v>
      </c>
    </row>
    <row r="141" spans="1:13" ht="25.5">
      <c r="A141" s="10">
        <v>137</v>
      </c>
      <c r="B141" s="21" t="s">
        <v>153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4">
        <f t="shared" si="12"/>
        <v>0</v>
      </c>
      <c r="H141" s="15">
        <v>0</v>
      </c>
      <c r="I141" s="22">
        <v>45</v>
      </c>
      <c r="J141" s="43">
        <f t="shared" si="14"/>
        <v>0</v>
      </c>
      <c r="K141" s="18" t="s">
        <v>16</v>
      </c>
      <c r="L141" s="19">
        <v>0</v>
      </c>
      <c r="M141" s="24">
        <f t="shared" si="15"/>
        <v>0</v>
      </c>
    </row>
    <row r="142" spans="1:13" ht="25.5">
      <c r="A142" s="10">
        <v>138</v>
      </c>
      <c r="B142" s="21" t="s">
        <v>154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4">
        <f t="shared" si="12"/>
        <v>0</v>
      </c>
      <c r="H142" s="15">
        <v>0</v>
      </c>
      <c r="I142" s="22">
        <v>120</v>
      </c>
      <c r="J142" s="43">
        <f t="shared" si="14"/>
        <v>0</v>
      </c>
      <c r="K142" s="18" t="s">
        <v>16</v>
      </c>
      <c r="L142" s="19">
        <v>0</v>
      </c>
      <c r="M142" s="24">
        <f t="shared" si="15"/>
        <v>0</v>
      </c>
    </row>
    <row r="143" spans="1:13" ht="25.5">
      <c r="A143" s="10">
        <v>139</v>
      </c>
      <c r="B143" s="21" t="s">
        <v>155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4">
        <f t="shared" si="12"/>
        <v>0</v>
      </c>
      <c r="H143" s="15">
        <v>0</v>
      </c>
      <c r="I143" s="22">
        <v>120</v>
      </c>
      <c r="J143" s="43">
        <f t="shared" si="14"/>
        <v>0</v>
      </c>
      <c r="K143" s="18" t="s">
        <v>16</v>
      </c>
      <c r="L143" s="19">
        <v>0</v>
      </c>
      <c r="M143" s="24">
        <f t="shared" si="15"/>
        <v>0</v>
      </c>
    </row>
    <row r="144" spans="1:13" ht="25.5">
      <c r="A144" s="10">
        <v>140</v>
      </c>
      <c r="B144" s="21" t="s">
        <v>156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4">
        <f t="shared" si="12"/>
        <v>0</v>
      </c>
      <c r="H144" s="15">
        <v>0</v>
      </c>
      <c r="I144" s="22">
        <v>120</v>
      </c>
      <c r="J144" s="43">
        <f t="shared" si="14"/>
        <v>0</v>
      </c>
      <c r="K144" s="18" t="s">
        <v>16</v>
      </c>
      <c r="L144" s="19">
        <v>0</v>
      </c>
      <c r="M144" s="24">
        <f t="shared" si="15"/>
        <v>0</v>
      </c>
    </row>
    <row r="145" spans="1:13" ht="25.5">
      <c r="A145" s="10">
        <v>141</v>
      </c>
      <c r="B145" s="21" t="s">
        <v>157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4">
        <f t="shared" si="12"/>
        <v>0</v>
      </c>
      <c r="H145" s="15">
        <v>0</v>
      </c>
      <c r="I145" s="22">
        <v>120</v>
      </c>
      <c r="J145" s="43">
        <f t="shared" si="14"/>
        <v>0</v>
      </c>
      <c r="K145" s="18" t="s">
        <v>16</v>
      </c>
      <c r="L145" s="19">
        <v>0</v>
      </c>
      <c r="M145" s="24">
        <f t="shared" si="15"/>
        <v>0</v>
      </c>
    </row>
    <row r="146" spans="1:13" ht="25.5">
      <c r="A146" s="10">
        <v>142</v>
      </c>
      <c r="B146" s="21" t="s">
        <v>158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4">
        <f t="shared" ref="G146:G209" si="16">E146-F146-H146</f>
        <v>0</v>
      </c>
      <c r="H146" s="15">
        <v>0</v>
      </c>
      <c r="I146" s="22">
        <v>185</v>
      </c>
      <c r="J146" s="43">
        <f t="shared" si="14"/>
        <v>0</v>
      </c>
      <c r="K146" s="18" t="s">
        <v>16</v>
      </c>
      <c r="L146" s="19">
        <v>0</v>
      </c>
      <c r="M146" s="24">
        <f t="shared" si="15"/>
        <v>0</v>
      </c>
    </row>
    <row r="147" spans="1:13" ht="25.5">
      <c r="A147" s="10">
        <v>143</v>
      </c>
      <c r="B147" s="21" t="s">
        <v>159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4">
        <f t="shared" si="16"/>
        <v>0</v>
      </c>
      <c r="H147" s="15">
        <v>0</v>
      </c>
      <c r="I147" s="22">
        <v>185</v>
      </c>
      <c r="J147" s="43">
        <f t="shared" si="14"/>
        <v>0</v>
      </c>
      <c r="K147" s="18" t="s">
        <v>16</v>
      </c>
      <c r="L147" s="19">
        <v>0</v>
      </c>
      <c r="M147" s="24">
        <f t="shared" si="15"/>
        <v>0</v>
      </c>
    </row>
    <row r="148" spans="1:13" ht="25.5">
      <c r="A148" s="10">
        <v>144</v>
      </c>
      <c r="B148" s="21" t="s">
        <v>160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4">
        <f t="shared" si="16"/>
        <v>0</v>
      </c>
      <c r="H148" s="15">
        <v>0</v>
      </c>
      <c r="I148" s="22">
        <v>185</v>
      </c>
      <c r="J148" s="43">
        <f t="shared" si="14"/>
        <v>0</v>
      </c>
      <c r="K148" s="18" t="s">
        <v>16</v>
      </c>
      <c r="L148" s="19">
        <v>0</v>
      </c>
      <c r="M148" s="24">
        <f t="shared" si="15"/>
        <v>0</v>
      </c>
    </row>
    <row r="149" spans="1:13" ht="25.5">
      <c r="A149" s="10">
        <v>145</v>
      </c>
      <c r="B149" s="21" t="s">
        <v>161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4">
        <f t="shared" si="16"/>
        <v>0</v>
      </c>
      <c r="H149" s="15">
        <v>0</v>
      </c>
      <c r="I149" s="22">
        <v>185</v>
      </c>
      <c r="J149" s="43">
        <f t="shared" si="14"/>
        <v>0</v>
      </c>
      <c r="K149" s="18" t="s">
        <v>16</v>
      </c>
      <c r="L149" s="19">
        <v>0</v>
      </c>
      <c r="M149" s="24">
        <f t="shared" si="15"/>
        <v>0</v>
      </c>
    </row>
    <row r="150" spans="1:13" ht="25.5">
      <c r="A150" s="10">
        <v>146</v>
      </c>
      <c r="B150" s="21" t="s">
        <v>162</v>
      </c>
      <c r="C150" s="12">
        <f>+'30'!G150</f>
        <v>0</v>
      </c>
      <c r="D150" s="13">
        <v>0</v>
      </c>
      <c r="E150" s="12">
        <f t="shared" si="13"/>
        <v>0</v>
      </c>
      <c r="F150" s="13">
        <v>0</v>
      </c>
      <c r="G150" s="14">
        <f t="shared" si="16"/>
        <v>0</v>
      </c>
      <c r="H150" s="15">
        <v>0</v>
      </c>
      <c r="I150" s="22">
        <v>120</v>
      </c>
      <c r="J150" s="43">
        <f t="shared" si="14"/>
        <v>0</v>
      </c>
      <c r="K150" s="18" t="s">
        <v>16</v>
      </c>
      <c r="L150" s="19">
        <v>0</v>
      </c>
      <c r="M150" s="24">
        <f t="shared" si="15"/>
        <v>0</v>
      </c>
    </row>
    <row r="151" spans="1:13" ht="25.5">
      <c r="A151" s="10">
        <v>147</v>
      </c>
      <c r="B151" s="21" t="s">
        <v>163</v>
      </c>
      <c r="C151" s="12">
        <f>+'30'!G151</f>
        <v>0</v>
      </c>
      <c r="D151" s="13">
        <v>0</v>
      </c>
      <c r="E151" s="12">
        <f t="shared" si="13"/>
        <v>0</v>
      </c>
      <c r="F151" s="13">
        <v>0</v>
      </c>
      <c r="G151" s="14">
        <f t="shared" si="16"/>
        <v>0</v>
      </c>
      <c r="H151" s="15">
        <v>0</v>
      </c>
      <c r="I151" s="22">
        <v>120</v>
      </c>
      <c r="J151" s="43">
        <f t="shared" si="14"/>
        <v>0</v>
      </c>
      <c r="K151" s="18" t="s">
        <v>16</v>
      </c>
      <c r="L151" s="19">
        <v>0</v>
      </c>
      <c r="M151" s="24">
        <f t="shared" si="15"/>
        <v>0</v>
      </c>
    </row>
    <row r="152" spans="1:13" ht="25.5">
      <c r="A152" s="10">
        <v>148</v>
      </c>
      <c r="B152" s="21" t="s">
        <v>164</v>
      </c>
      <c r="C152" s="12">
        <f>+'30'!G152</f>
        <v>0</v>
      </c>
      <c r="D152" s="13">
        <v>0</v>
      </c>
      <c r="E152" s="12">
        <f t="shared" si="13"/>
        <v>0</v>
      </c>
      <c r="F152" s="13">
        <v>0</v>
      </c>
      <c r="G152" s="14">
        <f t="shared" si="16"/>
        <v>0</v>
      </c>
      <c r="H152" s="15">
        <v>0</v>
      </c>
      <c r="I152" s="22">
        <v>120</v>
      </c>
      <c r="J152" s="43">
        <f t="shared" si="14"/>
        <v>0</v>
      </c>
      <c r="K152" s="18" t="s">
        <v>16</v>
      </c>
      <c r="L152" s="19">
        <v>0</v>
      </c>
      <c r="M152" s="24">
        <f t="shared" si="15"/>
        <v>0</v>
      </c>
    </row>
    <row r="153" spans="1:13" ht="25.5">
      <c r="A153" s="10">
        <v>149</v>
      </c>
      <c r="B153" s="21" t="s">
        <v>165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4">
        <f t="shared" si="16"/>
        <v>0</v>
      </c>
      <c r="H153" s="15">
        <v>0</v>
      </c>
      <c r="I153" s="22">
        <v>120</v>
      </c>
      <c r="J153" s="43">
        <f t="shared" si="14"/>
        <v>0</v>
      </c>
      <c r="K153" s="18" t="s">
        <v>16</v>
      </c>
      <c r="L153" s="19">
        <v>0</v>
      </c>
      <c r="M153" s="24">
        <f t="shared" si="15"/>
        <v>0</v>
      </c>
    </row>
    <row r="154" spans="1:13" ht="25.5">
      <c r="A154" s="10">
        <v>150</v>
      </c>
      <c r="B154" s="21" t="s">
        <v>166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4">
        <f t="shared" si="16"/>
        <v>0</v>
      </c>
      <c r="H154" s="15">
        <v>0</v>
      </c>
      <c r="I154" s="22">
        <v>185</v>
      </c>
      <c r="J154" s="43">
        <f t="shared" si="14"/>
        <v>0</v>
      </c>
      <c r="K154" s="18" t="s">
        <v>16</v>
      </c>
      <c r="L154" s="19">
        <v>0</v>
      </c>
      <c r="M154" s="24">
        <f t="shared" si="15"/>
        <v>0</v>
      </c>
    </row>
    <row r="155" spans="1:13" ht="25.5">
      <c r="A155" s="10">
        <v>151</v>
      </c>
      <c r="B155" s="21" t="s">
        <v>167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4">
        <f t="shared" si="16"/>
        <v>0</v>
      </c>
      <c r="H155" s="15">
        <v>0</v>
      </c>
      <c r="I155" s="22">
        <v>185</v>
      </c>
      <c r="J155" s="43">
        <f t="shared" si="14"/>
        <v>0</v>
      </c>
      <c r="K155" s="18" t="s">
        <v>16</v>
      </c>
      <c r="L155" s="19">
        <v>0</v>
      </c>
      <c r="M155" s="24">
        <f t="shared" si="15"/>
        <v>0</v>
      </c>
    </row>
    <row r="156" spans="1:13" ht="25.5">
      <c r="A156" s="10">
        <v>152</v>
      </c>
      <c r="B156" s="21" t="s">
        <v>168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4">
        <f t="shared" si="16"/>
        <v>0</v>
      </c>
      <c r="H156" s="15">
        <v>0</v>
      </c>
      <c r="I156" s="22">
        <v>185</v>
      </c>
      <c r="J156" s="43">
        <f t="shared" si="14"/>
        <v>0</v>
      </c>
      <c r="K156" s="18" t="s">
        <v>16</v>
      </c>
      <c r="L156" s="19">
        <v>0</v>
      </c>
      <c r="M156" s="24">
        <f t="shared" si="15"/>
        <v>0</v>
      </c>
    </row>
    <row r="157" spans="1:13" ht="25.5">
      <c r="A157" s="10">
        <v>153</v>
      </c>
      <c r="B157" s="21" t="s">
        <v>169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4">
        <f t="shared" si="16"/>
        <v>0</v>
      </c>
      <c r="H157" s="15">
        <v>0</v>
      </c>
      <c r="I157" s="22">
        <v>185</v>
      </c>
      <c r="J157" s="43">
        <f t="shared" si="14"/>
        <v>0</v>
      </c>
      <c r="K157" s="18" t="s">
        <v>16</v>
      </c>
      <c r="L157" s="19">
        <v>0</v>
      </c>
      <c r="M157" s="24">
        <f t="shared" si="15"/>
        <v>0</v>
      </c>
    </row>
    <row r="158" spans="1:13" ht="25.5">
      <c r="A158" s="10">
        <v>154</v>
      </c>
      <c r="B158" s="21" t="s">
        <v>170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4">
        <f t="shared" si="16"/>
        <v>0</v>
      </c>
      <c r="H158" s="15">
        <v>0</v>
      </c>
      <c r="I158" s="22">
        <v>135</v>
      </c>
      <c r="J158" s="43">
        <f t="shared" si="14"/>
        <v>0</v>
      </c>
      <c r="K158" s="18" t="s">
        <v>16</v>
      </c>
      <c r="L158" s="19">
        <v>0</v>
      </c>
      <c r="M158" s="24">
        <f t="shared" si="15"/>
        <v>0</v>
      </c>
    </row>
    <row r="159" spans="1:13" ht="25.5">
      <c r="A159" s="10">
        <v>155</v>
      </c>
      <c r="B159" s="21" t="s">
        <v>171</v>
      </c>
      <c r="C159" s="12">
        <f>+'30'!G159</f>
        <v>0</v>
      </c>
      <c r="D159" s="13">
        <v>0</v>
      </c>
      <c r="E159" s="12">
        <f t="shared" ref="E159:E213" si="17">C159+D159</f>
        <v>0</v>
      </c>
      <c r="F159" s="13">
        <v>0</v>
      </c>
      <c r="G159" s="14">
        <f t="shared" si="16"/>
        <v>0</v>
      </c>
      <c r="H159" s="15">
        <v>0</v>
      </c>
      <c r="I159" s="22">
        <v>90</v>
      </c>
      <c r="J159" s="43">
        <f t="shared" si="14"/>
        <v>0</v>
      </c>
      <c r="K159" s="18" t="s">
        <v>16</v>
      </c>
      <c r="L159" s="19">
        <v>0</v>
      </c>
      <c r="M159" s="24">
        <f t="shared" si="15"/>
        <v>0</v>
      </c>
    </row>
    <row r="160" spans="1:13" ht="25.5">
      <c r="A160" s="10">
        <v>156</v>
      </c>
      <c r="B160" s="21" t="s">
        <v>172</v>
      </c>
      <c r="C160" s="12">
        <f>+'30'!G160</f>
        <v>0</v>
      </c>
      <c r="D160" s="13">
        <v>0</v>
      </c>
      <c r="E160" s="12">
        <f t="shared" si="17"/>
        <v>0</v>
      </c>
      <c r="F160" s="13">
        <v>0</v>
      </c>
      <c r="G160" s="14">
        <f t="shared" si="16"/>
        <v>0</v>
      </c>
      <c r="H160" s="15">
        <v>0</v>
      </c>
      <c r="I160" s="22">
        <v>90</v>
      </c>
      <c r="J160" s="43">
        <f t="shared" si="14"/>
        <v>0</v>
      </c>
      <c r="K160" s="18" t="s">
        <v>16</v>
      </c>
      <c r="L160" s="19">
        <v>0</v>
      </c>
      <c r="M160" s="24">
        <f t="shared" si="15"/>
        <v>0</v>
      </c>
    </row>
    <row r="161" spans="1:13" ht="25.5">
      <c r="A161" s="10">
        <v>157</v>
      </c>
      <c r="B161" s="21" t="s">
        <v>173</v>
      </c>
      <c r="C161" s="12">
        <f>+'30'!G161</f>
        <v>0</v>
      </c>
      <c r="D161" s="13">
        <v>0</v>
      </c>
      <c r="E161" s="12">
        <f t="shared" si="17"/>
        <v>0</v>
      </c>
      <c r="F161" s="13">
        <v>0</v>
      </c>
      <c r="G161" s="14">
        <f t="shared" si="16"/>
        <v>0</v>
      </c>
      <c r="H161" s="15">
        <v>0</v>
      </c>
      <c r="I161" s="22">
        <v>90</v>
      </c>
      <c r="J161" s="43">
        <f t="shared" si="14"/>
        <v>0</v>
      </c>
      <c r="K161" s="18" t="s">
        <v>16</v>
      </c>
      <c r="L161" s="19">
        <v>0</v>
      </c>
      <c r="M161" s="24">
        <f t="shared" si="15"/>
        <v>0</v>
      </c>
    </row>
    <row r="162" spans="1:13" ht="25.5">
      <c r="A162" s="10">
        <v>158</v>
      </c>
      <c r="B162" s="21" t="s">
        <v>174</v>
      </c>
      <c r="C162" s="12">
        <f>+'30'!G162</f>
        <v>0</v>
      </c>
      <c r="D162" s="13">
        <v>0</v>
      </c>
      <c r="E162" s="12">
        <f t="shared" si="17"/>
        <v>0</v>
      </c>
      <c r="F162" s="13">
        <v>0</v>
      </c>
      <c r="G162" s="14">
        <f t="shared" si="16"/>
        <v>0</v>
      </c>
      <c r="H162" s="15">
        <v>0</v>
      </c>
      <c r="I162" s="22">
        <v>90</v>
      </c>
      <c r="J162" s="43">
        <f t="shared" si="14"/>
        <v>0</v>
      </c>
      <c r="K162" s="18" t="s">
        <v>16</v>
      </c>
      <c r="L162" s="19">
        <v>0</v>
      </c>
      <c r="M162" s="24">
        <f t="shared" si="15"/>
        <v>0</v>
      </c>
    </row>
    <row r="163" spans="1:13" ht="25.5">
      <c r="A163" s="10">
        <v>159</v>
      </c>
      <c r="B163" s="21" t="s">
        <v>175</v>
      </c>
      <c r="C163" s="12">
        <f>+'30'!G163</f>
        <v>2</v>
      </c>
      <c r="D163" s="13">
        <v>0</v>
      </c>
      <c r="E163" s="12">
        <f t="shared" si="17"/>
        <v>2</v>
      </c>
      <c r="F163" s="13">
        <v>0</v>
      </c>
      <c r="G163" s="14">
        <f t="shared" si="16"/>
        <v>2</v>
      </c>
      <c r="H163" s="15">
        <v>0</v>
      </c>
      <c r="I163" s="22">
        <v>25</v>
      </c>
      <c r="J163" s="43">
        <f t="shared" si="14"/>
        <v>0</v>
      </c>
      <c r="K163" s="18" t="s">
        <v>16</v>
      </c>
      <c r="L163" s="19">
        <v>0</v>
      </c>
      <c r="M163" s="24">
        <f t="shared" si="15"/>
        <v>0</v>
      </c>
    </row>
    <row r="164" spans="1:13" ht="25.5">
      <c r="A164" s="10">
        <v>160</v>
      </c>
      <c r="B164" s="21" t="s">
        <v>176</v>
      </c>
      <c r="C164" s="12">
        <f>+'30'!G164</f>
        <v>0</v>
      </c>
      <c r="D164" s="13">
        <v>0</v>
      </c>
      <c r="E164" s="12">
        <f t="shared" si="17"/>
        <v>0</v>
      </c>
      <c r="F164" s="13">
        <v>0</v>
      </c>
      <c r="G164" s="14">
        <f t="shared" si="16"/>
        <v>0</v>
      </c>
      <c r="H164" s="15">
        <v>0</v>
      </c>
      <c r="I164" s="22">
        <v>50</v>
      </c>
      <c r="J164" s="43">
        <f t="shared" si="14"/>
        <v>0</v>
      </c>
      <c r="K164" s="18" t="s">
        <v>16</v>
      </c>
      <c r="L164" s="19">
        <v>0</v>
      </c>
      <c r="M164" s="24">
        <f t="shared" si="15"/>
        <v>0</v>
      </c>
    </row>
    <row r="165" spans="1:13" ht="25.5">
      <c r="A165" s="10">
        <v>161</v>
      </c>
      <c r="B165" s="21" t="s">
        <v>177</v>
      </c>
      <c r="C165" s="12">
        <f>+'30'!G165</f>
        <v>0</v>
      </c>
      <c r="D165" s="13">
        <v>0</v>
      </c>
      <c r="E165" s="12">
        <f t="shared" si="17"/>
        <v>0</v>
      </c>
      <c r="F165" s="13">
        <v>0</v>
      </c>
      <c r="G165" s="14">
        <f t="shared" si="16"/>
        <v>0</v>
      </c>
      <c r="H165" s="15">
        <v>0</v>
      </c>
      <c r="I165" s="22">
        <v>50</v>
      </c>
      <c r="J165" s="43">
        <f t="shared" si="14"/>
        <v>0</v>
      </c>
      <c r="K165" s="18" t="s">
        <v>16</v>
      </c>
      <c r="L165" s="19">
        <v>0</v>
      </c>
      <c r="M165" s="24">
        <f t="shared" si="15"/>
        <v>0</v>
      </c>
    </row>
    <row r="166" spans="1:13" ht="25.5">
      <c r="A166" s="10">
        <v>162</v>
      </c>
      <c r="B166" s="21" t="s">
        <v>178</v>
      </c>
      <c r="C166" s="12">
        <f>+'30'!G166</f>
        <v>0</v>
      </c>
      <c r="D166" s="13">
        <v>0</v>
      </c>
      <c r="E166" s="12">
        <f t="shared" si="17"/>
        <v>0</v>
      </c>
      <c r="F166" s="13">
        <v>0</v>
      </c>
      <c r="G166" s="14">
        <f t="shared" si="16"/>
        <v>0</v>
      </c>
      <c r="H166" s="15">
        <v>0</v>
      </c>
      <c r="I166" s="22">
        <v>50</v>
      </c>
      <c r="J166" s="43">
        <f t="shared" si="14"/>
        <v>0</v>
      </c>
      <c r="K166" s="18" t="s">
        <v>16</v>
      </c>
      <c r="L166" s="19">
        <v>0</v>
      </c>
      <c r="M166" s="24">
        <f t="shared" si="15"/>
        <v>0</v>
      </c>
    </row>
    <row r="167" spans="1:13" ht="25.5">
      <c r="A167" s="10">
        <v>163</v>
      </c>
      <c r="B167" s="21" t="s">
        <v>179</v>
      </c>
      <c r="C167" s="12">
        <f>+'30'!G167</f>
        <v>0</v>
      </c>
      <c r="D167" s="13">
        <v>0</v>
      </c>
      <c r="E167" s="12">
        <f t="shared" si="17"/>
        <v>0</v>
      </c>
      <c r="F167" s="13">
        <v>0</v>
      </c>
      <c r="G167" s="14">
        <f t="shared" si="16"/>
        <v>0</v>
      </c>
      <c r="H167" s="15">
        <v>0</v>
      </c>
      <c r="I167" s="22">
        <v>50</v>
      </c>
      <c r="J167" s="43">
        <f t="shared" si="14"/>
        <v>0</v>
      </c>
      <c r="K167" s="18" t="s">
        <v>16</v>
      </c>
      <c r="L167" s="19">
        <v>0</v>
      </c>
      <c r="M167" s="24">
        <f t="shared" si="15"/>
        <v>0</v>
      </c>
    </row>
    <row r="168" spans="1:13" ht="25.5">
      <c r="A168" s="10">
        <v>164</v>
      </c>
      <c r="B168" s="21" t="s">
        <v>180</v>
      </c>
      <c r="C168" s="12">
        <f>+'30'!G168</f>
        <v>33</v>
      </c>
      <c r="D168" s="13">
        <v>0</v>
      </c>
      <c r="E168" s="12">
        <f t="shared" si="17"/>
        <v>33</v>
      </c>
      <c r="F168" s="13">
        <v>0</v>
      </c>
      <c r="G168" s="14">
        <f t="shared" si="16"/>
        <v>33</v>
      </c>
      <c r="H168" s="15">
        <v>0</v>
      </c>
      <c r="I168" s="22">
        <v>55</v>
      </c>
      <c r="J168" s="43">
        <f t="shared" si="14"/>
        <v>0</v>
      </c>
      <c r="K168" s="18" t="s">
        <v>16</v>
      </c>
      <c r="L168" s="19">
        <v>0</v>
      </c>
      <c r="M168" s="24">
        <f t="shared" si="15"/>
        <v>0</v>
      </c>
    </row>
    <row r="169" spans="1:13" ht="25.5">
      <c r="A169" s="10">
        <v>165</v>
      </c>
      <c r="B169" s="21" t="s">
        <v>181</v>
      </c>
      <c r="C169" s="12">
        <f>+'30'!G169</f>
        <v>0</v>
      </c>
      <c r="D169" s="13">
        <v>0</v>
      </c>
      <c r="E169" s="12">
        <f t="shared" si="17"/>
        <v>0</v>
      </c>
      <c r="F169" s="13">
        <v>0</v>
      </c>
      <c r="G169" s="14">
        <f t="shared" si="16"/>
        <v>0</v>
      </c>
      <c r="H169" s="15">
        <v>0</v>
      </c>
      <c r="I169" s="22">
        <v>85</v>
      </c>
      <c r="J169" s="43">
        <f t="shared" si="14"/>
        <v>0</v>
      </c>
      <c r="K169" s="18" t="s">
        <v>16</v>
      </c>
      <c r="L169" s="19">
        <v>0</v>
      </c>
      <c r="M169" s="24">
        <f t="shared" si="15"/>
        <v>0</v>
      </c>
    </row>
    <row r="170" spans="1:13" ht="25.5">
      <c r="A170" s="10">
        <v>166</v>
      </c>
      <c r="B170" s="21" t="s">
        <v>182</v>
      </c>
      <c r="C170" s="12">
        <f>+'30'!G170</f>
        <v>0</v>
      </c>
      <c r="D170" s="13">
        <v>0</v>
      </c>
      <c r="E170" s="12">
        <f t="shared" si="17"/>
        <v>0</v>
      </c>
      <c r="F170" s="13">
        <v>0</v>
      </c>
      <c r="G170" s="14">
        <f t="shared" si="16"/>
        <v>0</v>
      </c>
      <c r="H170" s="15">
        <v>0</v>
      </c>
      <c r="I170" s="22">
        <v>80</v>
      </c>
      <c r="J170" s="43">
        <f t="shared" si="14"/>
        <v>0</v>
      </c>
      <c r="K170" s="18" t="s">
        <v>16</v>
      </c>
      <c r="L170" s="19">
        <v>0</v>
      </c>
      <c r="M170" s="24">
        <f t="shared" si="15"/>
        <v>0</v>
      </c>
    </row>
    <row r="171" spans="1:13" ht="25.5">
      <c r="A171" s="10">
        <v>167</v>
      </c>
      <c r="B171" s="21" t="s">
        <v>183</v>
      </c>
      <c r="C171" s="12">
        <f>+'30'!G171</f>
        <v>0</v>
      </c>
      <c r="D171" s="13">
        <v>0</v>
      </c>
      <c r="E171" s="12">
        <f t="shared" si="17"/>
        <v>0</v>
      </c>
      <c r="F171" s="13">
        <v>0</v>
      </c>
      <c r="G171" s="14">
        <f t="shared" si="16"/>
        <v>0</v>
      </c>
      <c r="H171" s="15">
        <v>0</v>
      </c>
      <c r="I171" s="22">
        <v>40</v>
      </c>
      <c r="J171" s="43">
        <f t="shared" si="14"/>
        <v>0</v>
      </c>
      <c r="K171" s="18" t="s">
        <v>16</v>
      </c>
      <c r="L171" s="19">
        <v>0</v>
      </c>
      <c r="M171" s="24">
        <f t="shared" si="15"/>
        <v>0</v>
      </c>
    </row>
    <row r="172" spans="1:13" ht="25.5">
      <c r="A172" s="10">
        <v>168</v>
      </c>
      <c r="B172" s="21" t="s">
        <v>184</v>
      </c>
      <c r="C172" s="12">
        <f>+'30'!G172</f>
        <v>0</v>
      </c>
      <c r="D172" s="13">
        <v>0</v>
      </c>
      <c r="E172" s="12">
        <f t="shared" si="17"/>
        <v>0</v>
      </c>
      <c r="F172" s="13">
        <v>0</v>
      </c>
      <c r="G172" s="14">
        <f t="shared" si="16"/>
        <v>0</v>
      </c>
      <c r="H172" s="15">
        <v>0</v>
      </c>
      <c r="I172" s="22">
        <v>120</v>
      </c>
      <c r="J172" s="43">
        <f t="shared" si="14"/>
        <v>0</v>
      </c>
      <c r="K172" s="18" t="s">
        <v>16</v>
      </c>
      <c r="L172" s="19">
        <v>0</v>
      </c>
      <c r="M172" s="24">
        <f t="shared" si="15"/>
        <v>0</v>
      </c>
    </row>
    <row r="173" spans="1:13" ht="25.5">
      <c r="A173" s="10">
        <v>169</v>
      </c>
      <c r="B173" s="21" t="s">
        <v>185</v>
      </c>
      <c r="C173" s="12">
        <f>+'30'!G173</f>
        <v>0</v>
      </c>
      <c r="D173" s="13">
        <v>0</v>
      </c>
      <c r="E173" s="12">
        <f t="shared" si="17"/>
        <v>0</v>
      </c>
      <c r="F173" s="13">
        <v>0</v>
      </c>
      <c r="G173" s="14">
        <f t="shared" si="16"/>
        <v>0</v>
      </c>
      <c r="H173" s="15">
        <v>0</v>
      </c>
      <c r="I173" s="22">
        <v>120</v>
      </c>
      <c r="J173" s="43">
        <f t="shared" si="14"/>
        <v>0</v>
      </c>
      <c r="K173" s="18" t="s">
        <v>16</v>
      </c>
      <c r="L173" s="19">
        <v>0</v>
      </c>
      <c r="M173" s="24">
        <f t="shared" si="15"/>
        <v>0</v>
      </c>
    </row>
    <row r="174" spans="1:13" ht="25.5">
      <c r="A174" s="10">
        <v>170</v>
      </c>
      <c r="B174" s="21" t="s">
        <v>186</v>
      </c>
      <c r="C174" s="12">
        <f>+'30'!G174</f>
        <v>0</v>
      </c>
      <c r="D174" s="13">
        <v>0</v>
      </c>
      <c r="E174" s="12">
        <f t="shared" si="17"/>
        <v>0</v>
      </c>
      <c r="F174" s="13">
        <v>0</v>
      </c>
      <c r="G174" s="14">
        <f t="shared" si="16"/>
        <v>0</v>
      </c>
      <c r="H174" s="15">
        <v>0</v>
      </c>
      <c r="I174" s="22">
        <v>55</v>
      </c>
      <c r="J174" s="43">
        <f t="shared" si="14"/>
        <v>0</v>
      </c>
      <c r="K174" s="18" t="s">
        <v>16</v>
      </c>
      <c r="L174" s="19">
        <v>0</v>
      </c>
      <c r="M174" s="24">
        <f t="shared" si="15"/>
        <v>0</v>
      </c>
    </row>
    <row r="175" spans="1:13" ht="25.5">
      <c r="A175" s="10">
        <v>171</v>
      </c>
      <c r="B175" s="21" t="s">
        <v>187</v>
      </c>
      <c r="C175" s="12">
        <f>+'30'!G175</f>
        <v>0</v>
      </c>
      <c r="D175" s="13">
        <v>0</v>
      </c>
      <c r="E175" s="12">
        <f t="shared" si="17"/>
        <v>0</v>
      </c>
      <c r="F175" s="13">
        <v>0</v>
      </c>
      <c r="G175" s="14">
        <f t="shared" si="16"/>
        <v>0</v>
      </c>
      <c r="H175" s="15">
        <v>0</v>
      </c>
      <c r="I175" s="22">
        <v>50</v>
      </c>
      <c r="J175" s="43">
        <f t="shared" si="14"/>
        <v>0</v>
      </c>
      <c r="K175" s="18" t="s">
        <v>16</v>
      </c>
      <c r="L175" s="19">
        <v>0</v>
      </c>
      <c r="M175" s="24">
        <f t="shared" si="15"/>
        <v>0</v>
      </c>
    </row>
    <row r="176" spans="1:13" ht="25.5">
      <c r="A176" s="10">
        <v>172</v>
      </c>
      <c r="B176" s="21" t="s">
        <v>188</v>
      </c>
      <c r="C176" s="12">
        <f>+'30'!G176</f>
        <v>0</v>
      </c>
      <c r="D176" s="13">
        <v>0</v>
      </c>
      <c r="E176" s="12">
        <f t="shared" si="17"/>
        <v>0</v>
      </c>
      <c r="F176" s="13">
        <v>0</v>
      </c>
      <c r="G176" s="14">
        <f t="shared" si="16"/>
        <v>0</v>
      </c>
      <c r="H176" s="15">
        <v>0</v>
      </c>
      <c r="I176" s="22">
        <v>50</v>
      </c>
      <c r="J176" s="43">
        <f t="shared" si="14"/>
        <v>0</v>
      </c>
      <c r="K176" s="18" t="s">
        <v>16</v>
      </c>
      <c r="L176" s="19">
        <v>0</v>
      </c>
      <c r="M176" s="24">
        <f t="shared" si="15"/>
        <v>0</v>
      </c>
    </row>
    <row r="177" spans="1:13" ht="25.5">
      <c r="A177" s="10">
        <v>173</v>
      </c>
      <c r="B177" s="21" t="s">
        <v>189</v>
      </c>
      <c r="C177" s="12">
        <f>+'30'!G177</f>
        <v>0</v>
      </c>
      <c r="D177" s="13">
        <v>0</v>
      </c>
      <c r="E177" s="12">
        <f t="shared" si="17"/>
        <v>0</v>
      </c>
      <c r="F177" s="13">
        <v>0</v>
      </c>
      <c r="G177" s="14">
        <f t="shared" si="16"/>
        <v>0</v>
      </c>
      <c r="H177" s="15">
        <v>0</v>
      </c>
      <c r="I177" s="22">
        <v>120</v>
      </c>
      <c r="J177" s="43">
        <f t="shared" si="14"/>
        <v>0</v>
      </c>
      <c r="K177" s="18" t="s">
        <v>16</v>
      </c>
      <c r="L177" s="19">
        <v>0</v>
      </c>
      <c r="M177" s="24">
        <f t="shared" si="15"/>
        <v>0</v>
      </c>
    </row>
    <row r="178" spans="1:13" ht="25.5">
      <c r="A178" s="10">
        <v>174</v>
      </c>
      <c r="B178" s="21" t="s">
        <v>190</v>
      </c>
      <c r="C178" s="12">
        <f>+'30'!G178</f>
        <v>0</v>
      </c>
      <c r="D178" s="13">
        <v>0</v>
      </c>
      <c r="E178" s="12">
        <f t="shared" si="17"/>
        <v>0</v>
      </c>
      <c r="F178" s="13">
        <v>0</v>
      </c>
      <c r="G178" s="14">
        <f t="shared" si="16"/>
        <v>0</v>
      </c>
      <c r="H178" s="15">
        <v>0</v>
      </c>
      <c r="I178" s="22">
        <v>120</v>
      </c>
      <c r="J178" s="43">
        <f t="shared" si="14"/>
        <v>0</v>
      </c>
      <c r="K178" s="18" t="s">
        <v>16</v>
      </c>
      <c r="L178" s="19">
        <v>0</v>
      </c>
      <c r="M178" s="24">
        <f t="shared" si="15"/>
        <v>0</v>
      </c>
    </row>
    <row r="179" spans="1:13" ht="25.5">
      <c r="A179" s="10">
        <v>175</v>
      </c>
      <c r="B179" s="21" t="s">
        <v>191</v>
      </c>
      <c r="C179" s="12">
        <f>+'30'!G179</f>
        <v>0</v>
      </c>
      <c r="D179" s="13">
        <v>0</v>
      </c>
      <c r="E179" s="12">
        <f t="shared" si="17"/>
        <v>0</v>
      </c>
      <c r="F179" s="13">
        <v>0</v>
      </c>
      <c r="G179" s="14">
        <f>E179-F179-H179</f>
        <v>0</v>
      </c>
      <c r="H179" s="15">
        <v>0</v>
      </c>
      <c r="I179" s="22">
        <v>10</v>
      </c>
      <c r="J179" s="43">
        <f t="shared" si="14"/>
        <v>0</v>
      </c>
      <c r="K179" s="18" t="s">
        <v>16</v>
      </c>
      <c r="L179" s="19">
        <v>0</v>
      </c>
      <c r="M179" s="24">
        <f t="shared" si="15"/>
        <v>0</v>
      </c>
    </row>
    <row r="180" spans="1:13" ht="25.5">
      <c r="A180" s="10">
        <v>176</v>
      </c>
      <c r="B180" s="21" t="s">
        <v>192</v>
      </c>
      <c r="C180" s="12">
        <f>+'30'!G180</f>
        <v>0</v>
      </c>
      <c r="D180" s="13">
        <v>0</v>
      </c>
      <c r="E180" s="12">
        <f t="shared" si="17"/>
        <v>0</v>
      </c>
      <c r="F180" s="13">
        <v>0</v>
      </c>
      <c r="G180" s="14">
        <f t="shared" si="16"/>
        <v>0</v>
      </c>
      <c r="H180" s="15">
        <v>0</v>
      </c>
      <c r="I180" s="22">
        <v>35</v>
      </c>
      <c r="J180" s="43">
        <f t="shared" si="14"/>
        <v>0</v>
      </c>
      <c r="K180" s="18" t="s">
        <v>16</v>
      </c>
      <c r="L180" s="19">
        <v>0</v>
      </c>
      <c r="M180" s="24">
        <f t="shared" si="15"/>
        <v>0</v>
      </c>
    </row>
    <row r="181" spans="1:13" ht="25.5">
      <c r="A181" s="10">
        <v>177</v>
      </c>
      <c r="B181" s="21" t="s">
        <v>193</v>
      </c>
      <c r="C181" s="12">
        <f>+'30'!G181</f>
        <v>0</v>
      </c>
      <c r="D181" s="13">
        <v>0</v>
      </c>
      <c r="E181" s="12">
        <f t="shared" si="17"/>
        <v>0</v>
      </c>
      <c r="F181" s="13">
        <v>0</v>
      </c>
      <c r="G181" s="14">
        <f t="shared" si="16"/>
        <v>0</v>
      </c>
      <c r="H181" s="15">
        <v>0</v>
      </c>
      <c r="I181" s="22">
        <v>10</v>
      </c>
      <c r="J181" s="43">
        <f t="shared" si="14"/>
        <v>0</v>
      </c>
      <c r="K181" s="18" t="s">
        <v>16</v>
      </c>
      <c r="L181" s="19">
        <v>0</v>
      </c>
      <c r="M181" s="24">
        <f t="shared" si="15"/>
        <v>0</v>
      </c>
    </row>
    <row r="182" spans="1:13" ht="25.5">
      <c r="A182" s="10">
        <v>178</v>
      </c>
      <c r="B182" s="21" t="s">
        <v>194</v>
      </c>
      <c r="C182" s="12">
        <f>+'30'!G182</f>
        <v>0</v>
      </c>
      <c r="D182" s="13">
        <v>0</v>
      </c>
      <c r="E182" s="12">
        <f t="shared" si="17"/>
        <v>0</v>
      </c>
      <c r="F182" s="13">
        <v>0</v>
      </c>
      <c r="G182" s="14">
        <f t="shared" si="16"/>
        <v>0</v>
      </c>
      <c r="H182" s="15">
        <v>0</v>
      </c>
      <c r="I182" s="22">
        <v>10</v>
      </c>
      <c r="J182" s="43">
        <f t="shared" si="14"/>
        <v>0</v>
      </c>
      <c r="K182" s="18" t="s">
        <v>16</v>
      </c>
      <c r="L182" s="19">
        <v>0</v>
      </c>
      <c r="M182" s="24">
        <f t="shared" si="15"/>
        <v>0</v>
      </c>
    </row>
    <row r="183" spans="1:13" ht="25.5">
      <c r="A183" s="10">
        <v>179</v>
      </c>
      <c r="B183" s="21" t="s">
        <v>195</v>
      </c>
      <c r="C183" s="12">
        <f>+'30'!G183</f>
        <v>0</v>
      </c>
      <c r="D183" s="13">
        <v>0</v>
      </c>
      <c r="E183" s="12">
        <f t="shared" si="17"/>
        <v>0</v>
      </c>
      <c r="F183" s="13">
        <v>0</v>
      </c>
      <c r="G183" s="14">
        <f t="shared" si="16"/>
        <v>0</v>
      </c>
      <c r="H183" s="15">
        <v>0</v>
      </c>
      <c r="I183" s="22">
        <v>10</v>
      </c>
      <c r="J183" s="43">
        <f t="shared" si="14"/>
        <v>0</v>
      </c>
      <c r="K183" s="18" t="s">
        <v>16</v>
      </c>
      <c r="L183" s="19">
        <v>0</v>
      </c>
      <c r="M183" s="24">
        <f t="shared" si="15"/>
        <v>0</v>
      </c>
    </row>
    <row r="184" spans="1:13" ht="25.5">
      <c r="A184" s="10">
        <v>180</v>
      </c>
      <c r="B184" s="21" t="s">
        <v>196</v>
      </c>
      <c r="C184" s="12">
        <f>+'30'!G184</f>
        <v>0</v>
      </c>
      <c r="D184" s="13">
        <v>0</v>
      </c>
      <c r="E184" s="12">
        <f t="shared" si="17"/>
        <v>0</v>
      </c>
      <c r="F184" s="13">
        <v>0</v>
      </c>
      <c r="G184" s="14">
        <f t="shared" si="16"/>
        <v>0</v>
      </c>
      <c r="H184" s="15">
        <v>0</v>
      </c>
      <c r="I184" s="22">
        <v>10</v>
      </c>
      <c r="J184" s="43">
        <f t="shared" si="14"/>
        <v>0</v>
      </c>
      <c r="K184" s="18" t="s">
        <v>16</v>
      </c>
      <c r="L184" s="19">
        <v>0</v>
      </c>
      <c r="M184" s="24">
        <f t="shared" si="15"/>
        <v>0</v>
      </c>
    </row>
    <row r="185" spans="1:13" ht="25.5">
      <c r="A185" s="10">
        <v>181</v>
      </c>
      <c r="B185" s="21" t="s">
        <v>197</v>
      </c>
      <c r="C185" s="12">
        <f>+'30'!G185</f>
        <v>0</v>
      </c>
      <c r="D185" s="13">
        <v>0</v>
      </c>
      <c r="E185" s="12">
        <f t="shared" si="17"/>
        <v>0</v>
      </c>
      <c r="F185" s="13">
        <v>0</v>
      </c>
      <c r="G185" s="14">
        <f t="shared" si="16"/>
        <v>0</v>
      </c>
      <c r="H185" s="15">
        <v>0</v>
      </c>
      <c r="I185" s="22">
        <v>10</v>
      </c>
      <c r="J185" s="43">
        <f t="shared" si="14"/>
        <v>0</v>
      </c>
      <c r="K185" s="18" t="s">
        <v>16</v>
      </c>
      <c r="L185" s="19">
        <v>0</v>
      </c>
      <c r="M185" s="24">
        <f t="shared" si="15"/>
        <v>0</v>
      </c>
    </row>
    <row r="186" spans="1:13" ht="25.5">
      <c r="A186" s="10">
        <v>182</v>
      </c>
      <c r="B186" s="21" t="s">
        <v>198</v>
      </c>
      <c r="C186" s="12">
        <f>+'30'!G186</f>
        <v>0</v>
      </c>
      <c r="D186" s="13">
        <v>0</v>
      </c>
      <c r="E186" s="12">
        <f t="shared" si="17"/>
        <v>0</v>
      </c>
      <c r="F186" s="13">
        <v>0</v>
      </c>
      <c r="G186" s="14">
        <f t="shared" si="16"/>
        <v>0</v>
      </c>
      <c r="H186" s="15">
        <v>0</v>
      </c>
      <c r="I186" s="22">
        <v>25</v>
      </c>
      <c r="J186" s="43">
        <f t="shared" si="14"/>
        <v>0</v>
      </c>
      <c r="K186" s="18" t="s">
        <v>16</v>
      </c>
      <c r="L186" s="19">
        <v>0</v>
      </c>
      <c r="M186" s="24">
        <f t="shared" si="15"/>
        <v>0</v>
      </c>
    </row>
    <row r="187" spans="1:13" ht="25.5">
      <c r="A187" s="10">
        <v>183</v>
      </c>
      <c r="B187" s="21" t="s">
        <v>199</v>
      </c>
      <c r="C187" s="12">
        <f>+'30'!G187</f>
        <v>0</v>
      </c>
      <c r="D187" s="13">
        <v>0</v>
      </c>
      <c r="E187" s="12">
        <f t="shared" si="17"/>
        <v>0</v>
      </c>
      <c r="F187" s="13">
        <v>0</v>
      </c>
      <c r="G187" s="14">
        <f t="shared" si="16"/>
        <v>0</v>
      </c>
      <c r="H187" s="15">
        <v>0</v>
      </c>
      <c r="I187" s="16">
        <v>50</v>
      </c>
      <c r="J187" s="43">
        <f t="shared" si="14"/>
        <v>0</v>
      </c>
      <c r="K187" s="18" t="s">
        <v>16</v>
      </c>
      <c r="L187" s="19">
        <v>0</v>
      </c>
      <c r="M187" s="24">
        <f t="shared" si="15"/>
        <v>0</v>
      </c>
    </row>
    <row r="188" spans="1:13" ht="25.5">
      <c r="A188" s="10">
        <v>184</v>
      </c>
      <c r="B188" s="21" t="s">
        <v>200</v>
      </c>
      <c r="C188" s="12">
        <f>+'30'!G188</f>
        <v>0</v>
      </c>
      <c r="D188" s="13">
        <v>0</v>
      </c>
      <c r="E188" s="12">
        <f t="shared" si="17"/>
        <v>0</v>
      </c>
      <c r="F188" s="13">
        <v>0</v>
      </c>
      <c r="G188" s="14">
        <f t="shared" si="16"/>
        <v>0</v>
      </c>
      <c r="H188" s="15">
        <v>0</v>
      </c>
      <c r="I188" s="16">
        <v>10</v>
      </c>
      <c r="J188" s="43">
        <f t="shared" si="14"/>
        <v>0</v>
      </c>
      <c r="K188" s="18" t="s">
        <v>16</v>
      </c>
      <c r="L188" s="19">
        <v>0</v>
      </c>
      <c r="M188" s="24">
        <f t="shared" si="15"/>
        <v>0</v>
      </c>
    </row>
    <row r="189" spans="1:13" ht="25.5">
      <c r="A189" s="10">
        <v>185</v>
      </c>
      <c r="B189" s="21" t="s">
        <v>201</v>
      </c>
      <c r="C189" s="12">
        <f>+'30'!G189</f>
        <v>0</v>
      </c>
      <c r="D189" s="13">
        <v>0</v>
      </c>
      <c r="E189" s="12">
        <f t="shared" si="17"/>
        <v>0</v>
      </c>
      <c r="F189" s="13">
        <v>0</v>
      </c>
      <c r="G189" s="14">
        <f t="shared" si="16"/>
        <v>0</v>
      </c>
      <c r="H189" s="15">
        <v>0</v>
      </c>
      <c r="I189" s="16">
        <v>15</v>
      </c>
      <c r="J189" s="43">
        <f t="shared" si="14"/>
        <v>0</v>
      </c>
      <c r="K189" s="18" t="s">
        <v>16</v>
      </c>
      <c r="L189" s="19">
        <v>0</v>
      </c>
      <c r="M189" s="24">
        <f t="shared" si="15"/>
        <v>0</v>
      </c>
    </row>
    <row r="190" spans="1:13" ht="25.5">
      <c r="A190" s="10">
        <v>186</v>
      </c>
      <c r="B190" s="21" t="s">
        <v>202</v>
      </c>
      <c r="C190" s="12">
        <f>+'30'!G190</f>
        <v>0</v>
      </c>
      <c r="D190" s="13">
        <v>0</v>
      </c>
      <c r="E190" s="12">
        <f t="shared" si="17"/>
        <v>0</v>
      </c>
      <c r="F190" s="13">
        <v>0</v>
      </c>
      <c r="G190" s="14">
        <f t="shared" si="16"/>
        <v>0</v>
      </c>
      <c r="H190" s="15">
        <v>0</v>
      </c>
      <c r="I190" s="16">
        <v>25</v>
      </c>
      <c r="J190" s="43">
        <f t="shared" si="14"/>
        <v>0</v>
      </c>
      <c r="K190" s="18" t="s">
        <v>16</v>
      </c>
      <c r="L190" s="19">
        <v>0</v>
      </c>
      <c r="M190" s="24">
        <f t="shared" si="15"/>
        <v>0</v>
      </c>
    </row>
    <row r="191" spans="1:13" ht="25.5">
      <c r="A191" s="10">
        <v>187</v>
      </c>
      <c r="B191" s="21" t="s">
        <v>203</v>
      </c>
      <c r="C191" s="12">
        <f>+'30'!G191</f>
        <v>0</v>
      </c>
      <c r="D191" s="13">
        <v>0</v>
      </c>
      <c r="E191" s="12">
        <f t="shared" si="17"/>
        <v>0</v>
      </c>
      <c r="F191" s="13">
        <v>0</v>
      </c>
      <c r="G191" s="14">
        <f t="shared" si="16"/>
        <v>0</v>
      </c>
      <c r="H191" s="15">
        <v>0</v>
      </c>
      <c r="I191" s="16">
        <v>50</v>
      </c>
      <c r="J191" s="43">
        <f t="shared" si="14"/>
        <v>0</v>
      </c>
      <c r="K191" s="18" t="s">
        <v>16</v>
      </c>
      <c r="L191" s="19">
        <v>0</v>
      </c>
      <c r="M191" s="24">
        <f t="shared" si="15"/>
        <v>0</v>
      </c>
    </row>
    <row r="192" spans="1:13" ht="25.5">
      <c r="A192" s="10">
        <v>188</v>
      </c>
      <c r="B192" s="21" t="s">
        <v>204</v>
      </c>
      <c r="C192" s="12">
        <f>+'30'!G192</f>
        <v>4</v>
      </c>
      <c r="D192" s="13">
        <v>0</v>
      </c>
      <c r="E192" s="12">
        <f t="shared" si="17"/>
        <v>4</v>
      </c>
      <c r="F192" s="13">
        <v>0</v>
      </c>
      <c r="G192" s="14">
        <f t="shared" si="16"/>
        <v>4</v>
      </c>
      <c r="H192" s="15">
        <v>0</v>
      </c>
      <c r="I192" s="16">
        <v>45</v>
      </c>
      <c r="J192" s="43">
        <f t="shared" si="14"/>
        <v>0</v>
      </c>
      <c r="K192" s="18" t="s">
        <v>16</v>
      </c>
      <c r="L192" s="19">
        <v>0</v>
      </c>
      <c r="M192" s="24">
        <f t="shared" si="15"/>
        <v>0</v>
      </c>
    </row>
    <row r="193" spans="1:13" ht="25.5">
      <c r="A193" s="10">
        <v>189</v>
      </c>
      <c r="B193" s="21" t="s">
        <v>249</v>
      </c>
      <c r="C193" s="12">
        <f>+'30'!G193</f>
        <v>3</v>
      </c>
      <c r="D193" s="13">
        <v>0</v>
      </c>
      <c r="E193" s="12">
        <f t="shared" si="17"/>
        <v>3</v>
      </c>
      <c r="F193" s="13">
        <v>0</v>
      </c>
      <c r="G193" s="14">
        <f t="shared" si="16"/>
        <v>3</v>
      </c>
      <c r="H193" s="15">
        <v>0</v>
      </c>
      <c r="I193" s="16">
        <v>50</v>
      </c>
      <c r="J193" s="43">
        <f t="shared" si="14"/>
        <v>0</v>
      </c>
      <c r="K193" s="18" t="s">
        <v>16</v>
      </c>
      <c r="L193" s="19">
        <v>0</v>
      </c>
      <c r="M193" s="24">
        <f t="shared" si="15"/>
        <v>0</v>
      </c>
    </row>
    <row r="194" spans="1:13" ht="25.5">
      <c r="A194" s="10">
        <v>190</v>
      </c>
      <c r="B194" s="21" t="s">
        <v>205</v>
      </c>
      <c r="C194" s="12">
        <f>+'30'!G194</f>
        <v>0</v>
      </c>
      <c r="D194" s="13">
        <v>0</v>
      </c>
      <c r="E194" s="12">
        <f t="shared" si="17"/>
        <v>0</v>
      </c>
      <c r="F194" s="13">
        <v>0</v>
      </c>
      <c r="G194" s="14">
        <f t="shared" si="16"/>
        <v>0</v>
      </c>
      <c r="H194" s="15">
        <v>0</v>
      </c>
      <c r="I194" s="16">
        <v>150</v>
      </c>
      <c r="J194" s="43">
        <f t="shared" si="14"/>
        <v>0</v>
      </c>
      <c r="K194" s="18" t="s">
        <v>16</v>
      </c>
      <c r="L194" s="19">
        <v>0</v>
      </c>
      <c r="M194" s="24">
        <f t="shared" si="15"/>
        <v>0</v>
      </c>
    </row>
    <row r="195" spans="1:13" ht="25.5">
      <c r="A195" s="10">
        <v>191</v>
      </c>
      <c r="B195" s="21" t="s">
        <v>206</v>
      </c>
      <c r="C195" s="12">
        <f>+'30'!G195</f>
        <v>0</v>
      </c>
      <c r="D195" s="13">
        <v>0</v>
      </c>
      <c r="E195" s="12">
        <f t="shared" si="17"/>
        <v>0</v>
      </c>
      <c r="F195" s="13">
        <v>0</v>
      </c>
      <c r="G195" s="14">
        <f t="shared" si="16"/>
        <v>0</v>
      </c>
      <c r="H195" s="15">
        <v>0</v>
      </c>
      <c r="I195" s="16">
        <v>150</v>
      </c>
      <c r="J195" s="43">
        <f t="shared" si="14"/>
        <v>0</v>
      </c>
      <c r="K195" s="18" t="s">
        <v>16</v>
      </c>
      <c r="L195" s="19">
        <v>0</v>
      </c>
      <c r="M195" s="24">
        <f t="shared" si="15"/>
        <v>0</v>
      </c>
    </row>
    <row r="196" spans="1:13" ht="25.5">
      <c r="A196" s="10">
        <v>192</v>
      </c>
      <c r="B196" s="21" t="s">
        <v>207</v>
      </c>
      <c r="C196" s="12">
        <f>+'30'!G196</f>
        <v>0</v>
      </c>
      <c r="D196" s="13">
        <v>0</v>
      </c>
      <c r="E196" s="12">
        <f t="shared" si="17"/>
        <v>0</v>
      </c>
      <c r="F196" s="13">
        <v>0</v>
      </c>
      <c r="G196" s="14">
        <f t="shared" si="16"/>
        <v>0</v>
      </c>
      <c r="H196" s="15">
        <v>0</v>
      </c>
      <c r="I196" s="16">
        <v>150</v>
      </c>
      <c r="J196" s="43">
        <f t="shared" si="14"/>
        <v>0</v>
      </c>
      <c r="K196" s="18" t="s">
        <v>16</v>
      </c>
      <c r="L196" s="19">
        <v>0</v>
      </c>
      <c r="M196" s="24">
        <f t="shared" si="15"/>
        <v>0</v>
      </c>
    </row>
    <row r="197" spans="1:13" ht="25.5">
      <c r="A197" s="10">
        <v>193</v>
      </c>
      <c r="B197" s="21" t="s">
        <v>221</v>
      </c>
      <c r="C197" s="12">
        <f>+'30'!G197</f>
        <v>1</v>
      </c>
      <c r="D197" s="13">
        <v>0</v>
      </c>
      <c r="E197" s="12">
        <f t="shared" si="17"/>
        <v>1</v>
      </c>
      <c r="F197" s="13">
        <v>0</v>
      </c>
      <c r="G197" s="14">
        <f t="shared" si="16"/>
        <v>1</v>
      </c>
      <c r="H197" s="15">
        <v>0</v>
      </c>
      <c r="I197" s="16">
        <v>55</v>
      </c>
      <c r="J197" s="43">
        <f t="shared" si="14"/>
        <v>0</v>
      </c>
      <c r="K197" s="18" t="s">
        <v>16</v>
      </c>
      <c r="L197" s="19">
        <v>0</v>
      </c>
      <c r="M197" s="24">
        <f t="shared" si="15"/>
        <v>0</v>
      </c>
    </row>
    <row r="198" spans="1:13" ht="25.5">
      <c r="A198" s="10">
        <v>194</v>
      </c>
      <c r="B198" s="21" t="s">
        <v>250</v>
      </c>
      <c r="C198" s="12">
        <f>+'30'!G198</f>
        <v>0</v>
      </c>
      <c r="D198" s="13">
        <v>0</v>
      </c>
      <c r="E198" s="12">
        <f t="shared" si="17"/>
        <v>0</v>
      </c>
      <c r="F198" s="13">
        <v>0</v>
      </c>
      <c r="G198" s="14">
        <f t="shared" si="16"/>
        <v>0</v>
      </c>
      <c r="H198" s="15">
        <v>0</v>
      </c>
      <c r="I198" s="16">
        <v>30</v>
      </c>
      <c r="J198" s="43">
        <f t="shared" ref="J198:J213" si="18">+I198*H198</f>
        <v>0</v>
      </c>
      <c r="K198" s="18" t="s">
        <v>16</v>
      </c>
      <c r="L198" s="19">
        <v>0</v>
      </c>
      <c r="M198" s="24">
        <f t="shared" ref="M198:M213" si="19">SUM(J198-L198)</f>
        <v>0</v>
      </c>
    </row>
    <row r="199" spans="1:13" ht="25.5">
      <c r="A199" s="10">
        <v>195</v>
      </c>
      <c r="B199" s="21" t="s">
        <v>251</v>
      </c>
      <c r="C199" s="12">
        <f>+'30'!G199</f>
        <v>0</v>
      </c>
      <c r="D199" s="13">
        <v>0</v>
      </c>
      <c r="E199" s="12">
        <f t="shared" si="17"/>
        <v>0</v>
      </c>
      <c r="F199" s="13">
        <v>0</v>
      </c>
      <c r="G199" s="14">
        <f t="shared" si="16"/>
        <v>0</v>
      </c>
      <c r="H199" s="15">
        <v>0</v>
      </c>
      <c r="I199" s="16">
        <v>30</v>
      </c>
      <c r="J199" s="43">
        <f t="shared" si="18"/>
        <v>0</v>
      </c>
      <c r="K199" s="18" t="s">
        <v>16</v>
      </c>
      <c r="L199" s="19">
        <v>0</v>
      </c>
      <c r="M199" s="24">
        <f t="shared" si="19"/>
        <v>0</v>
      </c>
    </row>
    <row r="200" spans="1:13" ht="25.5">
      <c r="A200" s="10">
        <v>196</v>
      </c>
      <c r="B200" s="21" t="s">
        <v>252</v>
      </c>
      <c r="C200" s="12">
        <f>+'30'!G200</f>
        <v>0</v>
      </c>
      <c r="D200" s="13">
        <v>0</v>
      </c>
      <c r="E200" s="12">
        <f t="shared" si="17"/>
        <v>0</v>
      </c>
      <c r="F200" s="13">
        <v>0</v>
      </c>
      <c r="G200" s="14">
        <f t="shared" si="16"/>
        <v>0</v>
      </c>
      <c r="H200" s="15">
        <v>0</v>
      </c>
      <c r="I200" s="16">
        <v>30</v>
      </c>
      <c r="J200" s="43">
        <f t="shared" si="18"/>
        <v>0</v>
      </c>
      <c r="K200" s="18" t="s">
        <v>16</v>
      </c>
      <c r="L200" s="19">
        <v>0</v>
      </c>
      <c r="M200" s="24">
        <f t="shared" si="19"/>
        <v>0</v>
      </c>
    </row>
    <row r="201" spans="1:13" ht="25.5">
      <c r="A201" s="10">
        <v>197</v>
      </c>
      <c r="B201" s="21" t="s">
        <v>253</v>
      </c>
      <c r="C201" s="12">
        <f>+'30'!G201</f>
        <v>0</v>
      </c>
      <c r="D201" s="13">
        <v>0</v>
      </c>
      <c r="E201" s="12">
        <f t="shared" si="17"/>
        <v>0</v>
      </c>
      <c r="F201" s="13">
        <v>0</v>
      </c>
      <c r="G201" s="14">
        <f t="shared" si="16"/>
        <v>0</v>
      </c>
      <c r="H201" s="15">
        <v>0</v>
      </c>
      <c r="I201" s="16">
        <v>30</v>
      </c>
      <c r="J201" s="43">
        <f t="shared" si="18"/>
        <v>0</v>
      </c>
      <c r="K201" s="18" t="s">
        <v>16</v>
      </c>
      <c r="L201" s="19">
        <v>0</v>
      </c>
      <c r="M201" s="24">
        <f t="shared" si="19"/>
        <v>0</v>
      </c>
    </row>
    <row r="202" spans="1:13" ht="25.5">
      <c r="A202" s="10">
        <v>198</v>
      </c>
      <c r="B202" s="21" t="s">
        <v>254</v>
      </c>
      <c r="C202" s="12">
        <f>+'30'!G202</f>
        <v>0</v>
      </c>
      <c r="D202" s="13">
        <v>0</v>
      </c>
      <c r="E202" s="12">
        <f t="shared" si="17"/>
        <v>0</v>
      </c>
      <c r="F202" s="13">
        <v>0</v>
      </c>
      <c r="G202" s="14">
        <f t="shared" si="16"/>
        <v>0</v>
      </c>
      <c r="H202" s="15">
        <v>0</v>
      </c>
      <c r="I202" s="16">
        <v>30</v>
      </c>
      <c r="J202" s="43">
        <f t="shared" si="18"/>
        <v>0</v>
      </c>
      <c r="K202" s="18" t="s">
        <v>16</v>
      </c>
      <c r="L202" s="19">
        <v>0</v>
      </c>
      <c r="M202" s="24">
        <f t="shared" si="19"/>
        <v>0</v>
      </c>
    </row>
    <row r="203" spans="1:13" ht="25.5">
      <c r="A203" s="10">
        <v>199</v>
      </c>
      <c r="B203" s="21" t="s">
        <v>255</v>
      </c>
      <c r="C203" s="12">
        <f>+'30'!G203</f>
        <v>0</v>
      </c>
      <c r="D203" s="13">
        <v>0</v>
      </c>
      <c r="E203" s="12">
        <f t="shared" si="17"/>
        <v>0</v>
      </c>
      <c r="F203" s="13">
        <v>0</v>
      </c>
      <c r="G203" s="14">
        <f t="shared" si="16"/>
        <v>0</v>
      </c>
      <c r="H203" s="15">
        <v>0</v>
      </c>
      <c r="I203" s="16">
        <v>30</v>
      </c>
      <c r="J203" s="43">
        <f t="shared" si="18"/>
        <v>0</v>
      </c>
      <c r="K203" s="18" t="s">
        <v>16</v>
      </c>
      <c r="L203" s="19">
        <v>0</v>
      </c>
      <c r="M203" s="24">
        <f t="shared" si="19"/>
        <v>0</v>
      </c>
    </row>
    <row r="204" spans="1:13" ht="25.5">
      <c r="A204" s="10">
        <v>200</v>
      </c>
      <c r="B204" s="21" t="s">
        <v>256</v>
      </c>
      <c r="C204" s="12">
        <f>+'30'!G204</f>
        <v>0</v>
      </c>
      <c r="D204" s="13">
        <v>0</v>
      </c>
      <c r="E204" s="12">
        <f t="shared" si="17"/>
        <v>0</v>
      </c>
      <c r="F204" s="13">
        <v>0</v>
      </c>
      <c r="G204" s="14">
        <f t="shared" si="16"/>
        <v>0</v>
      </c>
      <c r="H204" s="15">
        <v>0</v>
      </c>
      <c r="I204" s="16">
        <v>50</v>
      </c>
      <c r="J204" s="43">
        <f t="shared" si="18"/>
        <v>0</v>
      </c>
      <c r="K204" s="18" t="s">
        <v>16</v>
      </c>
      <c r="L204" s="19">
        <v>0</v>
      </c>
      <c r="M204" s="24">
        <f t="shared" si="19"/>
        <v>0</v>
      </c>
    </row>
    <row r="205" spans="1:13" ht="25.5">
      <c r="A205" s="10">
        <v>201</v>
      </c>
      <c r="B205" s="21" t="s">
        <v>257</v>
      </c>
      <c r="C205" s="12">
        <f>+'30'!G205</f>
        <v>0</v>
      </c>
      <c r="D205" s="13">
        <v>0</v>
      </c>
      <c r="E205" s="12">
        <f t="shared" si="17"/>
        <v>0</v>
      </c>
      <c r="F205" s="13">
        <v>0</v>
      </c>
      <c r="G205" s="14">
        <f t="shared" si="16"/>
        <v>0</v>
      </c>
      <c r="H205" s="15">
        <v>0</v>
      </c>
      <c r="I205" s="16">
        <v>100</v>
      </c>
      <c r="J205" s="43">
        <f t="shared" si="18"/>
        <v>0</v>
      </c>
      <c r="K205" s="18" t="s">
        <v>16</v>
      </c>
      <c r="L205" s="19">
        <v>0</v>
      </c>
      <c r="M205" s="24">
        <f t="shared" si="19"/>
        <v>0</v>
      </c>
    </row>
    <row r="206" spans="1:13" ht="25.5">
      <c r="A206" s="10">
        <v>202</v>
      </c>
      <c r="B206" s="21" t="s">
        <v>258</v>
      </c>
      <c r="C206" s="12">
        <f>+'30'!G206</f>
        <v>0</v>
      </c>
      <c r="D206" s="13">
        <v>0</v>
      </c>
      <c r="E206" s="12">
        <f t="shared" si="17"/>
        <v>0</v>
      </c>
      <c r="F206" s="13">
        <v>0</v>
      </c>
      <c r="G206" s="14">
        <f t="shared" si="16"/>
        <v>0</v>
      </c>
      <c r="H206" s="15">
        <v>0</v>
      </c>
      <c r="I206" s="16">
        <v>100</v>
      </c>
      <c r="J206" s="43">
        <f t="shared" si="18"/>
        <v>0</v>
      </c>
      <c r="K206" s="18" t="s">
        <v>16</v>
      </c>
      <c r="L206" s="19">
        <v>0</v>
      </c>
      <c r="M206" s="24">
        <f t="shared" si="19"/>
        <v>0</v>
      </c>
    </row>
    <row r="207" spans="1:13" ht="25.5">
      <c r="A207" s="10">
        <v>203</v>
      </c>
      <c r="B207" s="21" t="s">
        <v>259</v>
      </c>
      <c r="C207" s="12">
        <f>+'30'!G207</f>
        <v>0</v>
      </c>
      <c r="D207" s="13">
        <v>0</v>
      </c>
      <c r="E207" s="12">
        <f t="shared" si="17"/>
        <v>0</v>
      </c>
      <c r="F207" s="13">
        <v>0</v>
      </c>
      <c r="G207" s="14">
        <f t="shared" si="16"/>
        <v>0</v>
      </c>
      <c r="H207" s="15">
        <v>0</v>
      </c>
      <c r="I207" s="16">
        <v>100</v>
      </c>
      <c r="J207" s="43">
        <f t="shared" si="18"/>
        <v>0</v>
      </c>
      <c r="K207" s="18" t="s">
        <v>16</v>
      </c>
      <c r="L207" s="19">
        <v>0</v>
      </c>
      <c r="M207" s="24">
        <f t="shared" si="19"/>
        <v>0</v>
      </c>
    </row>
    <row r="208" spans="1:13" ht="25.5">
      <c r="A208" s="10">
        <v>204</v>
      </c>
      <c r="B208" s="21" t="s">
        <v>260</v>
      </c>
      <c r="C208" s="12">
        <f>+'30'!G208</f>
        <v>0</v>
      </c>
      <c r="D208" s="13">
        <v>0</v>
      </c>
      <c r="E208" s="12">
        <f t="shared" si="17"/>
        <v>0</v>
      </c>
      <c r="F208" s="13">
        <v>0</v>
      </c>
      <c r="G208" s="14">
        <f t="shared" si="16"/>
        <v>0</v>
      </c>
      <c r="H208" s="15">
        <v>0</v>
      </c>
      <c r="I208" s="16">
        <v>100</v>
      </c>
      <c r="J208" s="43">
        <f t="shared" si="18"/>
        <v>0</v>
      </c>
      <c r="K208" s="18" t="s">
        <v>16</v>
      </c>
      <c r="L208" s="19">
        <v>0</v>
      </c>
      <c r="M208" s="24">
        <f t="shared" si="19"/>
        <v>0</v>
      </c>
    </row>
    <row r="209" spans="1:14" ht="25.5">
      <c r="A209" s="10">
        <v>205</v>
      </c>
      <c r="B209" s="21" t="s">
        <v>261</v>
      </c>
      <c r="C209" s="12">
        <f>+'30'!G209</f>
        <v>0</v>
      </c>
      <c r="D209" s="13">
        <v>0</v>
      </c>
      <c r="E209" s="12">
        <f t="shared" si="17"/>
        <v>0</v>
      </c>
      <c r="F209" s="13">
        <v>0</v>
      </c>
      <c r="G209" s="14">
        <f t="shared" si="16"/>
        <v>0</v>
      </c>
      <c r="H209" s="15">
        <v>0</v>
      </c>
      <c r="I209" s="16">
        <v>250</v>
      </c>
      <c r="J209" s="43">
        <f t="shared" si="18"/>
        <v>0</v>
      </c>
      <c r="K209" s="18" t="s">
        <v>16</v>
      </c>
      <c r="L209" s="19">
        <v>0</v>
      </c>
      <c r="M209" s="24">
        <f t="shared" si="19"/>
        <v>0</v>
      </c>
    </row>
    <row r="210" spans="1:14" ht="25.5">
      <c r="A210" s="10">
        <v>206</v>
      </c>
      <c r="B210" s="21" t="s">
        <v>262</v>
      </c>
      <c r="C210" s="12">
        <f>+'30'!G210</f>
        <v>0</v>
      </c>
      <c r="D210" s="13">
        <v>0</v>
      </c>
      <c r="E210" s="12">
        <f t="shared" si="17"/>
        <v>0</v>
      </c>
      <c r="F210" s="13">
        <v>0</v>
      </c>
      <c r="G210" s="14">
        <f t="shared" ref="G210:G213" si="20">E210-F210-H210</f>
        <v>0</v>
      </c>
      <c r="H210" s="15">
        <v>0</v>
      </c>
      <c r="I210" s="16">
        <v>250</v>
      </c>
      <c r="J210" s="43">
        <f t="shared" si="18"/>
        <v>0</v>
      </c>
      <c r="K210" s="18" t="s">
        <v>16</v>
      </c>
      <c r="L210" s="19">
        <v>0</v>
      </c>
      <c r="M210" s="24">
        <f t="shared" si="19"/>
        <v>0</v>
      </c>
    </row>
    <row r="211" spans="1:14" ht="25.5">
      <c r="A211" s="10">
        <v>207</v>
      </c>
      <c r="B211" s="21" t="s">
        <v>263</v>
      </c>
      <c r="C211" s="12">
        <f>+'30'!G211</f>
        <v>0</v>
      </c>
      <c r="D211" s="13">
        <v>0</v>
      </c>
      <c r="E211" s="12">
        <f t="shared" si="17"/>
        <v>0</v>
      </c>
      <c r="F211" s="13">
        <v>0</v>
      </c>
      <c r="G211" s="14">
        <f t="shared" si="20"/>
        <v>0</v>
      </c>
      <c r="H211" s="15">
        <v>0</v>
      </c>
      <c r="I211" s="16">
        <v>250</v>
      </c>
      <c r="J211" s="43">
        <f t="shared" si="18"/>
        <v>0</v>
      </c>
      <c r="K211" s="18" t="s">
        <v>16</v>
      </c>
      <c r="L211" s="19">
        <v>0</v>
      </c>
      <c r="M211" s="24">
        <f t="shared" si="19"/>
        <v>0</v>
      </c>
    </row>
    <row r="212" spans="1:14" ht="25.5">
      <c r="A212" s="10">
        <v>208</v>
      </c>
      <c r="B212" s="11" t="s">
        <v>264</v>
      </c>
      <c r="C212" s="12">
        <f>+'30'!G212</f>
        <v>0</v>
      </c>
      <c r="D212" s="13">
        <v>0</v>
      </c>
      <c r="E212" s="12">
        <f t="shared" si="17"/>
        <v>0</v>
      </c>
      <c r="F212" s="13">
        <v>0</v>
      </c>
      <c r="G212" s="14">
        <f t="shared" si="20"/>
        <v>0</v>
      </c>
      <c r="H212" s="15">
        <v>0</v>
      </c>
      <c r="I212" s="16">
        <v>50</v>
      </c>
      <c r="J212" s="43">
        <f t="shared" si="18"/>
        <v>0</v>
      </c>
      <c r="K212" s="18" t="s">
        <v>16</v>
      </c>
      <c r="L212" s="19">
        <v>0</v>
      </c>
      <c r="M212" s="24">
        <f t="shared" si="19"/>
        <v>0</v>
      </c>
    </row>
    <row r="213" spans="1:14" ht="25.5">
      <c r="A213" s="10">
        <v>209</v>
      </c>
      <c r="B213" s="21" t="s">
        <v>265</v>
      </c>
      <c r="C213" s="12">
        <f>+'30'!G213</f>
        <v>0</v>
      </c>
      <c r="D213" s="13">
        <v>0</v>
      </c>
      <c r="E213" s="12">
        <f t="shared" si="17"/>
        <v>0</v>
      </c>
      <c r="F213" s="13">
        <v>0</v>
      </c>
      <c r="G213" s="14">
        <f t="shared" si="20"/>
        <v>0</v>
      </c>
      <c r="H213" s="15">
        <v>0</v>
      </c>
      <c r="I213" s="22">
        <v>50</v>
      </c>
      <c r="J213" s="43">
        <f t="shared" si="18"/>
        <v>0</v>
      </c>
      <c r="K213" s="18" t="s">
        <v>16</v>
      </c>
      <c r="L213" s="19">
        <v>0</v>
      </c>
      <c r="M213" s="24">
        <f t="shared" si="19"/>
        <v>0</v>
      </c>
    </row>
    <row r="214" spans="1:14" ht="25.5">
      <c r="A214" s="1"/>
      <c r="C214" s="25"/>
      <c r="D214" s="26"/>
      <c r="E214" s="25"/>
      <c r="F214" s="26"/>
      <c r="G214" s="25"/>
      <c r="H214" s="25"/>
      <c r="I214" s="27"/>
      <c r="J214" s="29"/>
      <c r="K214" s="28"/>
      <c r="L214" s="19">
        <v>0</v>
      </c>
      <c r="M214" s="136" t="s">
        <v>220</v>
      </c>
      <c r="N214" s="136"/>
    </row>
    <row r="215" spans="1:14" ht="25.5" customHeight="1">
      <c r="A215" s="1"/>
      <c r="C215" s="25"/>
      <c r="D215" s="26"/>
      <c r="E215" s="25"/>
      <c r="F215" s="26"/>
      <c r="G215" s="25"/>
      <c r="H215" s="137" t="s">
        <v>219</v>
      </c>
      <c r="I215" s="138"/>
      <c r="J215" s="31">
        <f>+X107</f>
        <v>0</v>
      </c>
      <c r="K215" s="28"/>
      <c r="L215" s="30"/>
    </row>
    <row r="216" spans="1:14" ht="25.5">
      <c r="A216" s="1"/>
      <c r="C216" s="32"/>
      <c r="E216" s="32"/>
      <c r="G216" s="32"/>
      <c r="H216" s="33"/>
      <c r="I216" s="139" t="s">
        <v>208</v>
      </c>
      <c r="J216" s="139"/>
      <c r="K216" s="34">
        <f>SUM(J5:J215)</f>
        <v>0</v>
      </c>
    </row>
    <row r="217" spans="1:14" ht="25.5">
      <c r="A217" s="1"/>
      <c r="C217" s="32"/>
      <c r="E217" s="32"/>
      <c r="G217" s="32"/>
      <c r="I217" s="134" t="s">
        <v>209</v>
      </c>
      <c r="J217" s="135"/>
      <c r="K217" s="37">
        <v>0</v>
      </c>
    </row>
    <row r="218" spans="1:14" ht="25.5">
      <c r="A218" s="1"/>
      <c r="C218" s="32"/>
      <c r="E218" s="32"/>
      <c r="G218" s="32"/>
      <c r="I218" s="35" t="s">
        <v>210</v>
      </c>
      <c r="J218" s="36"/>
      <c r="K218" s="37">
        <f>SUM(L218:BO218)</f>
        <v>0</v>
      </c>
    </row>
    <row r="219" spans="1:14" ht="25.5">
      <c r="A219" s="1"/>
      <c r="C219" s="32"/>
      <c r="E219" s="32"/>
      <c r="G219" s="32"/>
      <c r="I219" s="134" t="s">
        <v>211</v>
      </c>
      <c r="J219" s="135"/>
      <c r="K219" s="37">
        <v>0</v>
      </c>
    </row>
    <row r="220" spans="1:14" ht="25.5">
      <c r="A220" s="1"/>
      <c r="C220" s="32"/>
      <c r="E220" s="32"/>
      <c r="G220" s="32"/>
      <c r="I220" s="134" t="s">
        <v>212</v>
      </c>
      <c r="J220" s="135"/>
      <c r="K220" s="37">
        <v>0</v>
      </c>
    </row>
    <row r="221" spans="1:14" ht="25.5">
      <c r="A221" s="1"/>
      <c r="C221" s="32"/>
      <c r="E221" s="32"/>
      <c r="G221" s="32"/>
      <c r="I221" s="134" t="s">
        <v>213</v>
      </c>
      <c r="J221" s="135"/>
      <c r="K221" s="38">
        <f>SUM(L5:L214)</f>
        <v>0</v>
      </c>
    </row>
    <row r="222" spans="1:14" ht="25.5">
      <c r="A222" s="1"/>
      <c r="C222" s="32"/>
      <c r="E222" s="32"/>
      <c r="G222" s="32"/>
      <c r="I222" s="134" t="s">
        <v>214</v>
      </c>
      <c r="J222" s="135"/>
      <c r="K222" s="34">
        <f>K216-K217-K218-K220-K221</f>
        <v>0</v>
      </c>
    </row>
    <row r="223" spans="1:14" ht="25.5">
      <c r="A223" s="1"/>
      <c r="C223" s="32"/>
      <c r="E223" s="32"/>
      <c r="G223" s="32"/>
      <c r="I223" s="134" t="s">
        <v>215</v>
      </c>
      <c r="J223" s="135"/>
      <c r="K223" s="38">
        <v>0</v>
      </c>
    </row>
    <row r="224" spans="1:14" ht="25.5">
      <c r="A224" s="1"/>
      <c r="C224" s="32"/>
      <c r="E224" s="32"/>
      <c r="G224" s="32"/>
      <c r="I224" s="134" t="s">
        <v>216</v>
      </c>
      <c r="J224" s="135"/>
      <c r="K224" s="34">
        <f>+K223-K222</f>
        <v>0</v>
      </c>
    </row>
    <row r="225" spans="7:11" ht="25.5">
      <c r="G225" s="2"/>
      <c r="I225" s="134" t="s">
        <v>217</v>
      </c>
      <c r="J225" s="135"/>
      <c r="K225" s="34">
        <f>+K223-K222</f>
        <v>0</v>
      </c>
    </row>
    <row r="226" spans="7:11">
      <c r="G226" s="2"/>
      <c r="I226" s="2"/>
    </row>
    <row r="227" spans="7:11">
      <c r="G227" s="2"/>
      <c r="I227" s="2"/>
    </row>
    <row r="228" spans="7:11">
      <c r="G228" s="2"/>
      <c r="I228" s="2"/>
    </row>
    <row r="229" spans="7:11">
      <c r="G229" s="2"/>
      <c r="I229" s="2"/>
    </row>
    <row r="230" spans="7:11">
      <c r="G230" s="2"/>
      <c r="I230" s="2"/>
    </row>
    <row r="231" spans="7:11">
      <c r="G231" s="2"/>
      <c r="I231" s="2"/>
    </row>
    <row r="232" spans="7:11">
      <c r="G232" s="2"/>
      <c r="I232" s="2"/>
    </row>
    <row r="233" spans="7:11">
      <c r="G233" s="2"/>
      <c r="I233" s="2"/>
    </row>
    <row r="234" spans="7:11">
      <c r="G234" s="2"/>
      <c r="I234" s="2"/>
    </row>
    <row r="235" spans="7:11">
      <c r="G235" s="2"/>
      <c r="I235" s="2"/>
    </row>
    <row r="236" spans="7:11">
      <c r="G236" s="2"/>
      <c r="I236" s="2"/>
    </row>
    <row r="237" spans="7:11">
      <c r="G237" s="2"/>
      <c r="I237" s="2"/>
    </row>
    <row r="238" spans="7:11">
      <c r="G238" s="2"/>
      <c r="I238" s="2"/>
    </row>
    <row r="239" spans="7:11">
      <c r="G239" s="2"/>
      <c r="I239" s="2"/>
    </row>
    <row r="240" spans="7:11">
      <c r="G240" s="2"/>
      <c r="I240" s="2"/>
    </row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  <row r="295" s="2" customFormat="1"/>
    <row r="296" s="2" customFormat="1"/>
    <row r="297" s="2" customFormat="1"/>
    <row r="298" s="2" customFormat="1"/>
    <row r="299" s="2" customFormat="1"/>
    <row r="300" s="2" customFormat="1"/>
  </sheetData>
  <autoFilter ref="A1:Y225" xr:uid="{A8659A1D-7742-48A0-A8EC-0F2280F9B025}"/>
  <mergeCells count="32">
    <mergeCell ref="I223:J223"/>
    <mergeCell ref="I224:J224"/>
    <mergeCell ref="I225:J225"/>
    <mergeCell ref="H215:I215"/>
    <mergeCell ref="I216:J216"/>
    <mergeCell ref="I217:J217"/>
    <mergeCell ref="I219:J219"/>
    <mergeCell ref="I220:J220"/>
    <mergeCell ref="I221:J221"/>
    <mergeCell ref="Z3:Z4"/>
    <mergeCell ref="P107:W107"/>
    <mergeCell ref="R3:R4"/>
    <mergeCell ref="S3:S4"/>
    <mergeCell ref="I222:J222"/>
    <mergeCell ref="M214:N214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2024-02-18T09:00:28Z</cp:lastPrinted>
  <dcterms:created xsi:type="dcterms:W3CDTF">2023-12-01T06:44:07Z</dcterms:created>
  <dcterms:modified xsi:type="dcterms:W3CDTF">2024-02-18T09:12:19Z</dcterms:modified>
</cp:coreProperties>
</file>