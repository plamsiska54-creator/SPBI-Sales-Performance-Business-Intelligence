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1C6DD60D-76BE-4CF2-90B8-8CFDECD635DF}" xr6:coauthVersionLast="47" xr6:coauthVersionMax="47" xr10:uidLastSave="{00000000-0000-0000-0000-000000000000}"/>
  <bookViews>
    <workbookView xWindow="-120" yWindow="-120" windowWidth="29040" windowHeight="15720" tabRatio="889" xr2:uid="{2D4C2C2A-422B-40D7-A1EE-1CF1277348C3}"/>
  </bookViews>
  <sheets>
    <sheet name="สรุป" sheetId="8" r:id="rId1"/>
    <sheet name="ยกมา" sheetId="34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2" r:id="rId19"/>
    <sheet name="18" sheetId="53" r:id="rId20"/>
    <sheet name="19" sheetId="54" r:id="rId21"/>
    <sheet name="20" sheetId="55" r:id="rId22"/>
    <sheet name="21" sheetId="57" r:id="rId23"/>
    <sheet name="22" sheetId="58" r:id="rId24"/>
    <sheet name="23" sheetId="59" r:id="rId25"/>
    <sheet name="24" sheetId="60" r:id="rId26"/>
    <sheet name="25" sheetId="61" r:id="rId27"/>
    <sheet name="26" sheetId="62" r:id="rId28"/>
    <sheet name="27" sheetId="63" r:id="rId29"/>
    <sheet name="28" sheetId="64" r:id="rId30"/>
    <sheet name="29" sheetId="65" r:id="rId31"/>
    <sheet name="30" sheetId="66" r:id="rId32"/>
    <sheet name="31" sheetId="67" r:id="rId33"/>
  </sheets>
  <externalReferences>
    <externalReference r:id="rId34"/>
    <externalReference r:id="rId35"/>
  </externalReferences>
  <definedNames>
    <definedName name="_xlnm._FilterDatabase" localSheetId="2" hidden="1">'1'!$A$1:$Y$224</definedName>
    <definedName name="_xlnm._FilterDatabase" localSheetId="11" hidden="1">'10'!$A$1:$Y$224</definedName>
    <definedName name="_xlnm._FilterDatabase" localSheetId="12" hidden="1">'11'!$A$1:$Y$226</definedName>
    <definedName name="_xlnm._FilterDatabase" localSheetId="13" hidden="1">'12'!$A$1:$Y$228</definedName>
    <definedName name="_xlnm._FilterDatabase" localSheetId="14" hidden="1">'13'!$A$1:$Y$228</definedName>
    <definedName name="_xlnm._FilterDatabase" localSheetId="15" hidden="1">'14'!$A$1:$Y$228</definedName>
    <definedName name="_xlnm._FilterDatabase" localSheetId="16" hidden="1">'15'!$A$1:$Y$228</definedName>
    <definedName name="_xlnm._FilterDatabase" localSheetId="3" hidden="1">'2'!$A$1:$Y$225</definedName>
    <definedName name="_xlnm._FilterDatabase" localSheetId="4" hidden="1">'3'!$A$1:$Y$225</definedName>
    <definedName name="_xlnm._FilterDatabase" localSheetId="5" hidden="1">'4'!$A$1:$Y$225</definedName>
    <definedName name="_xlnm._FilterDatabase" localSheetId="6" hidden="1">'5'!$A$1:$Y$225</definedName>
    <definedName name="_xlnm._FilterDatabase" localSheetId="7" hidden="1">'6'!$A$1:$Y$225</definedName>
    <definedName name="_xlnm._FilterDatabase" localSheetId="8" hidden="1">'7'!$A$1:$Y$225</definedName>
    <definedName name="_xlnm._FilterDatabase" localSheetId="9" hidden="1">'8'!$A$1:$Y$224</definedName>
    <definedName name="_xlnm._FilterDatabase" localSheetId="10" hidden="1">'9'!$A$1:$Y$224</definedName>
    <definedName name="_xlnm._FilterDatabase" localSheetId="1" hidden="1">ยกมา!$A$1:$Y$224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4" i="50" l="1"/>
  <c r="J215" i="50"/>
  <c r="M215" i="50" s="1"/>
  <c r="J216" i="50"/>
  <c r="M216" i="50" s="1"/>
  <c r="J217" i="50"/>
  <c r="G215" i="50"/>
  <c r="M215" i="49"/>
  <c r="J215" i="49"/>
  <c r="J216" i="49"/>
  <c r="M216" i="49" s="1"/>
  <c r="M216" i="48"/>
  <c r="J215" i="48"/>
  <c r="M215" i="48" s="1"/>
  <c r="J216" i="48"/>
  <c r="J215" i="47"/>
  <c r="M215" i="47" s="1"/>
  <c r="J216" i="47"/>
  <c r="M216" i="47" s="1"/>
  <c r="H217" i="46"/>
  <c r="H215" i="8" s="1"/>
  <c r="C215" i="46"/>
  <c r="E215" i="46" s="1"/>
  <c r="G215" i="46" s="1"/>
  <c r="C215" i="47" s="1"/>
  <c r="E215" i="47" s="1"/>
  <c r="G215" i="47" s="1"/>
  <c r="C215" i="48" s="1"/>
  <c r="E215" i="48" s="1"/>
  <c r="G215" i="48" s="1"/>
  <c r="C215" i="49" s="1"/>
  <c r="E215" i="49" s="1"/>
  <c r="G215" i="49" s="1"/>
  <c r="C215" i="50" s="1"/>
  <c r="E215" i="50" s="1"/>
  <c r="J215" i="46"/>
  <c r="M215" i="46" s="1"/>
  <c r="C216" i="46"/>
  <c r="E216" i="46" s="1"/>
  <c r="G216" i="46" s="1"/>
  <c r="C216" i="47" s="1"/>
  <c r="E216" i="47" s="1"/>
  <c r="G216" i="47" s="1"/>
  <c r="C216" i="48" s="1"/>
  <c r="E216" i="48" s="1"/>
  <c r="G216" i="48" s="1"/>
  <c r="C216" i="49" s="1"/>
  <c r="E216" i="49" s="1"/>
  <c r="G216" i="49" s="1"/>
  <c r="C216" i="50" s="1"/>
  <c r="E216" i="50" s="1"/>
  <c r="G216" i="50" s="1"/>
  <c r="J216" i="46"/>
  <c r="M216" i="46" s="1"/>
  <c r="K218" i="39"/>
  <c r="J230" i="34"/>
  <c r="K222" i="34"/>
  <c r="K219" i="34"/>
  <c r="J229" i="34" s="1"/>
  <c r="J215" i="34"/>
  <c r="J214" i="34"/>
  <c r="E214" i="34"/>
  <c r="G214" i="34" s="1"/>
  <c r="C214" i="34"/>
  <c r="J213" i="34"/>
  <c r="C213" i="34"/>
  <c r="E213" i="34" s="1"/>
  <c r="G213" i="34" s="1"/>
  <c r="J212" i="34"/>
  <c r="M212" i="34" s="1"/>
  <c r="C212" i="34"/>
  <c r="E212" i="34" s="1"/>
  <c r="G212" i="34" s="1"/>
  <c r="M211" i="34"/>
  <c r="J211" i="34"/>
  <c r="C211" i="34"/>
  <c r="E211" i="34" s="1"/>
  <c r="G211" i="34" s="1"/>
  <c r="J210" i="34"/>
  <c r="M210" i="34" s="1"/>
  <c r="C210" i="34"/>
  <c r="E210" i="34" s="1"/>
  <c r="G210" i="34" s="1"/>
  <c r="J209" i="34"/>
  <c r="M209" i="34" s="1"/>
  <c r="C209" i="34"/>
  <c r="E209" i="34" s="1"/>
  <c r="G209" i="34" s="1"/>
  <c r="J208" i="34"/>
  <c r="M208" i="34" s="1"/>
  <c r="C208" i="34"/>
  <c r="E208" i="34" s="1"/>
  <c r="G208" i="34" s="1"/>
  <c r="M207" i="34"/>
  <c r="J207" i="34"/>
  <c r="C207" i="34"/>
  <c r="E207" i="34" s="1"/>
  <c r="G207" i="34" s="1"/>
  <c r="J206" i="34"/>
  <c r="M206" i="34" s="1"/>
  <c r="C206" i="34"/>
  <c r="E206" i="34" s="1"/>
  <c r="G206" i="34" s="1"/>
  <c r="J205" i="34"/>
  <c r="M205" i="34" s="1"/>
  <c r="C205" i="34"/>
  <c r="E205" i="34" s="1"/>
  <c r="G205" i="34" s="1"/>
  <c r="M204" i="34"/>
  <c r="C204" i="34"/>
  <c r="E204" i="34" s="1"/>
  <c r="G204" i="34" s="1"/>
  <c r="M203" i="34"/>
  <c r="J203" i="34"/>
  <c r="C203" i="34"/>
  <c r="E203" i="34" s="1"/>
  <c r="G203" i="34" s="1"/>
  <c r="J202" i="34"/>
  <c r="M202" i="34" s="1"/>
  <c r="E202" i="34"/>
  <c r="G202" i="34" s="1"/>
  <c r="C202" i="34"/>
  <c r="J201" i="34"/>
  <c r="M201" i="34" s="1"/>
  <c r="C201" i="34"/>
  <c r="E201" i="34" s="1"/>
  <c r="G201" i="34" s="1"/>
  <c r="J200" i="34"/>
  <c r="M200" i="34" s="1"/>
  <c r="C200" i="34"/>
  <c r="E200" i="34" s="1"/>
  <c r="G200" i="34" s="1"/>
  <c r="M199" i="34"/>
  <c r="J199" i="34"/>
  <c r="C199" i="34"/>
  <c r="E199" i="34" s="1"/>
  <c r="G199" i="34" s="1"/>
  <c r="J198" i="34"/>
  <c r="M198" i="34" s="1"/>
  <c r="C198" i="34"/>
  <c r="E198" i="34" s="1"/>
  <c r="G198" i="34" s="1"/>
  <c r="J197" i="34"/>
  <c r="M197" i="34" s="1"/>
  <c r="C197" i="34"/>
  <c r="E197" i="34" s="1"/>
  <c r="G197" i="34" s="1"/>
  <c r="J196" i="34"/>
  <c r="M196" i="34" s="1"/>
  <c r="C196" i="34"/>
  <c r="E196" i="34" s="1"/>
  <c r="G196" i="34" s="1"/>
  <c r="M195" i="34"/>
  <c r="J195" i="34"/>
  <c r="C195" i="34"/>
  <c r="E195" i="34" s="1"/>
  <c r="G195" i="34" s="1"/>
  <c r="J194" i="34"/>
  <c r="M194" i="34" s="1"/>
  <c r="C194" i="34"/>
  <c r="E194" i="34" s="1"/>
  <c r="G194" i="34" s="1"/>
  <c r="M193" i="34"/>
  <c r="J193" i="34"/>
  <c r="C193" i="34"/>
  <c r="E193" i="34" s="1"/>
  <c r="G193" i="34" s="1"/>
  <c r="J192" i="34"/>
  <c r="M192" i="34" s="1"/>
  <c r="C192" i="34"/>
  <c r="E192" i="34" s="1"/>
  <c r="G192" i="34" s="1"/>
  <c r="J191" i="34"/>
  <c r="M191" i="34" s="1"/>
  <c r="E191" i="34"/>
  <c r="G191" i="34" s="1"/>
  <c r="C191" i="34"/>
  <c r="J190" i="34"/>
  <c r="M190" i="34" s="1"/>
  <c r="C190" i="34"/>
  <c r="E190" i="34" s="1"/>
  <c r="G190" i="34" s="1"/>
  <c r="J189" i="34"/>
  <c r="M189" i="34" s="1"/>
  <c r="C189" i="34"/>
  <c r="E189" i="34" s="1"/>
  <c r="G189" i="34" s="1"/>
  <c r="J188" i="34"/>
  <c r="M188" i="34" s="1"/>
  <c r="C188" i="34"/>
  <c r="E188" i="34" s="1"/>
  <c r="G188" i="34" s="1"/>
  <c r="J187" i="34"/>
  <c r="M187" i="34" s="1"/>
  <c r="C187" i="34"/>
  <c r="E187" i="34" s="1"/>
  <c r="G187" i="34" s="1"/>
  <c r="M186" i="34"/>
  <c r="J186" i="34"/>
  <c r="C186" i="34"/>
  <c r="E186" i="34" s="1"/>
  <c r="G186" i="34" s="1"/>
  <c r="M185" i="34"/>
  <c r="J185" i="34"/>
  <c r="C185" i="34"/>
  <c r="E185" i="34" s="1"/>
  <c r="G185" i="34" s="1"/>
  <c r="J184" i="34"/>
  <c r="M184" i="34" s="1"/>
  <c r="C184" i="34"/>
  <c r="E184" i="34" s="1"/>
  <c r="G184" i="34" s="1"/>
  <c r="M183" i="34"/>
  <c r="J183" i="34"/>
  <c r="C183" i="34"/>
  <c r="E183" i="34" s="1"/>
  <c r="G183" i="34" s="1"/>
  <c r="M182" i="34"/>
  <c r="J182" i="34"/>
  <c r="C182" i="34"/>
  <c r="E182" i="34" s="1"/>
  <c r="G182" i="34" s="1"/>
  <c r="J181" i="34"/>
  <c r="M181" i="34" s="1"/>
  <c r="C181" i="34"/>
  <c r="E181" i="34" s="1"/>
  <c r="G181" i="34" s="1"/>
  <c r="J180" i="34"/>
  <c r="M180" i="34" s="1"/>
  <c r="C180" i="34"/>
  <c r="E180" i="34" s="1"/>
  <c r="G180" i="34" s="1"/>
  <c r="M179" i="34"/>
  <c r="J179" i="34"/>
  <c r="C179" i="34"/>
  <c r="E179" i="34" s="1"/>
  <c r="G179" i="34" s="1"/>
  <c r="J178" i="34"/>
  <c r="M178" i="34" s="1"/>
  <c r="C178" i="34"/>
  <c r="E178" i="34" s="1"/>
  <c r="G178" i="34" s="1"/>
  <c r="M177" i="34"/>
  <c r="J177" i="34"/>
  <c r="C177" i="34"/>
  <c r="E177" i="34" s="1"/>
  <c r="G177" i="34" s="1"/>
  <c r="J176" i="34"/>
  <c r="M176" i="34" s="1"/>
  <c r="C176" i="34"/>
  <c r="E176" i="34" s="1"/>
  <c r="G176" i="34" s="1"/>
  <c r="J175" i="34"/>
  <c r="M175" i="34" s="1"/>
  <c r="C175" i="34"/>
  <c r="E175" i="34" s="1"/>
  <c r="G175" i="34" s="1"/>
  <c r="M174" i="34"/>
  <c r="J174" i="34"/>
  <c r="E174" i="34"/>
  <c r="G174" i="34" s="1"/>
  <c r="C174" i="34"/>
  <c r="J173" i="34"/>
  <c r="M173" i="34" s="1"/>
  <c r="C173" i="34"/>
  <c r="E173" i="34" s="1"/>
  <c r="G173" i="34" s="1"/>
  <c r="J172" i="34"/>
  <c r="M172" i="34" s="1"/>
  <c r="C172" i="34"/>
  <c r="E172" i="34" s="1"/>
  <c r="G172" i="34" s="1"/>
  <c r="M171" i="34"/>
  <c r="J171" i="34"/>
  <c r="C171" i="34"/>
  <c r="E171" i="34" s="1"/>
  <c r="G171" i="34" s="1"/>
  <c r="M170" i="34"/>
  <c r="J170" i="34"/>
  <c r="C170" i="34"/>
  <c r="E170" i="34" s="1"/>
  <c r="G170" i="34" s="1"/>
  <c r="J169" i="34"/>
  <c r="M169" i="34" s="1"/>
  <c r="C169" i="34"/>
  <c r="E169" i="34" s="1"/>
  <c r="G169" i="34" s="1"/>
  <c r="J168" i="34"/>
  <c r="M168" i="34" s="1"/>
  <c r="C168" i="34"/>
  <c r="E168" i="34" s="1"/>
  <c r="G168" i="34" s="1"/>
  <c r="M167" i="34"/>
  <c r="J167" i="34"/>
  <c r="C167" i="34"/>
  <c r="E167" i="34" s="1"/>
  <c r="G167" i="34" s="1"/>
  <c r="J166" i="34"/>
  <c r="M166" i="34" s="1"/>
  <c r="E166" i="34"/>
  <c r="G166" i="34" s="1"/>
  <c r="C166" i="34"/>
  <c r="J165" i="34"/>
  <c r="M165" i="34" s="1"/>
  <c r="C165" i="34"/>
  <c r="E165" i="34" s="1"/>
  <c r="G165" i="34" s="1"/>
  <c r="J164" i="34"/>
  <c r="M164" i="34" s="1"/>
  <c r="C164" i="34"/>
  <c r="E164" i="34" s="1"/>
  <c r="G164" i="34" s="1"/>
  <c r="J163" i="34"/>
  <c r="M163" i="34" s="1"/>
  <c r="C163" i="34"/>
  <c r="E163" i="34" s="1"/>
  <c r="G163" i="34" s="1"/>
  <c r="J162" i="34"/>
  <c r="M162" i="34" s="1"/>
  <c r="C162" i="34"/>
  <c r="E162" i="34" s="1"/>
  <c r="G162" i="34" s="1"/>
  <c r="M161" i="34"/>
  <c r="J161" i="34"/>
  <c r="C161" i="34"/>
  <c r="E161" i="34" s="1"/>
  <c r="G161" i="34" s="1"/>
  <c r="J160" i="34"/>
  <c r="M160" i="34" s="1"/>
  <c r="C160" i="34"/>
  <c r="E160" i="34" s="1"/>
  <c r="G160" i="34" s="1"/>
  <c r="J159" i="34"/>
  <c r="M159" i="34" s="1"/>
  <c r="C159" i="34"/>
  <c r="E159" i="34" s="1"/>
  <c r="G159" i="34" s="1"/>
  <c r="M158" i="34"/>
  <c r="J158" i="34"/>
  <c r="E158" i="34"/>
  <c r="G158" i="34" s="1"/>
  <c r="C158" i="34"/>
  <c r="J157" i="34"/>
  <c r="M157" i="34" s="1"/>
  <c r="C157" i="34"/>
  <c r="E157" i="34" s="1"/>
  <c r="G157" i="34" s="1"/>
  <c r="J156" i="34"/>
  <c r="M156" i="34" s="1"/>
  <c r="C156" i="34"/>
  <c r="E156" i="34" s="1"/>
  <c r="G156" i="34" s="1"/>
  <c r="M155" i="34"/>
  <c r="J155" i="34"/>
  <c r="C155" i="34"/>
  <c r="E155" i="34" s="1"/>
  <c r="G155" i="34" s="1"/>
  <c r="J154" i="34"/>
  <c r="M154" i="34" s="1"/>
  <c r="C154" i="34"/>
  <c r="E154" i="34" s="1"/>
  <c r="G154" i="34" s="1"/>
  <c r="M153" i="34"/>
  <c r="J153" i="34"/>
  <c r="C153" i="34"/>
  <c r="E153" i="34" s="1"/>
  <c r="G153" i="34" s="1"/>
  <c r="J152" i="34"/>
  <c r="M152" i="34" s="1"/>
  <c r="C152" i="34"/>
  <c r="E152" i="34" s="1"/>
  <c r="G152" i="34" s="1"/>
  <c r="J151" i="34"/>
  <c r="M151" i="34" s="1"/>
  <c r="C151" i="34"/>
  <c r="E151" i="34" s="1"/>
  <c r="G151" i="34" s="1"/>
  <c r="M150" i="34"/>
  <c r="J150" i="34"/>
  <c r="C150" i="34"/>
  <c r="E150" i="34" s="1"/>
  <c r="G150" i="34" s="1"/>
  <c r="J149" i="34"/>
  <c r="M149" i="34" s="1"/>
  <c r="C149" i="34"/>
  <c r="E149" i="34" s="1"/>
  <c r="G149" i="34" s="1"/>
  <c r="J148" i="34"/>
  <c r="M148" i="34" s="1"/>
  <c r="C148" i="34"/>
  <c r="E148" i="34" s="1"/>
  <c r="G148" i="34" s="1"/>
  <c r="J147" i="34"/>
  <c r="M147" i="34" s="1"/>
  <c r="C147" i="34"/>
  <c r="E147" i="34" s="1"/>
  <c r="G147" i="34" s="1"/>
  <c r="M146" i="34"/>
  <c r="J146" i="34"/>
  <c r="C146" i="34"/>
  <c r="E146" i="34" s="1"/>
  <c r="G146" i="34" s="1"/>
  <c r="J145" i="34"/>
  <c r="M145" i="34" s="1"/>
  <c r="C145" i="34"/>
  <c r="E145" i="34" s="1"/>
  <c r="G145" i="34" s="1"/>
  <c r="J144" i="34"/>
  <c r="M144" i="34" s="1"/>
  <c r="C144" i="34"/>
  <c r="E144" i="34" s="1"/>
  <c r="G144" i="34" s="1"/>
  <c r="M143" i="34"/>
  <c r="J143" i="34"/>
  <c r="C143" i="34"/>
  <c r="E143" i="34" s="1"/>
  <c r="G143" i="34" s="1"/>
  <c r="J142" i="34"/>
  <c r="M142" i="34" s="1"/>
  <c r="C142" i="34"/>
  <c r="E142" i="34" s="1"/>
  <c r="G142" i="34" s="1"/>
  <c r="J141" i="34"/>
  <c r="M141" i="34" s="1"/>
  <c r="C141" i="34"/>
  <c r="E141" i="34" s="1"/>
  <c r="G141" i="34" s="1"/>
  <c r="J140" i="34"/>
  <c r="M140" i="34" s="1"/>
  <c r="C140" i="34"/>
  <c r="E140" i="34" s="1"/>
  <c r="G140" i="34" s="1"/>
  <c r="M139" i="34"/>
  <c r="J139" i="34"/>
  <c r="C139" i="34"/>
  <c r="E139" i="34" s="1"/>
  <c r="G139" i="34" s="1"/>
  <c r="J138" i="34"/>
  <c r="M138" i="34" s="1"/>
  <c r="C138" i="34"/>
  <c r="E138" i="34" s="1"/>
  <c r="G138" i="34" s="1"/>
  <c r="M137" i="34"/>
  <c r="J137" i="34"/>
  <c r="C137" i="34"/>
  <c r="E137" i="34" s="1"/>
  <c r="G137" i="34" s="1"/>
  <c r="J136" i="34"/>
  <c r="M136" i="34" s="1"/>
  <c r="C136" i="34"/>
  <c r="E136" i="34" s="1"/>
  <c r="G136" i="34" s="1"/>
  <c r="J135" i="34"/>
  <c r="M135" i="34" s="1"/>
  <c r="C135" i="34"/>
  <c r="E135" i="34" s="1"/>
  <c r="G135" i="34" s="1"/>
  <c r="M134" i="34"/>
  <c r="J134" i="34"/>
  <c r="C134" i="34"/>
  <c r="E134" i="34" s="1"/>
  <c r="G134" i="34" s="1"/>
  <c r="J133" i="34"/>
  <c r="M133" i="34" s="1"/>
  <c r="E133" i="34"/>
  <c r="G133" i="34" s="1"/>
  <c r="C133" i="34"/>
  <c r="J132" i="34"/>
  <c r="M132" i="34" s="1"/>
  <c r="C132" i="34"/>
  <c r="E132" i="34" s="1"/>
  <c r="G132" i="34" s="1"/>
  <c r="M131" i="34"/>
  <c r="J131" i="34"/>
  <c r="C131" i="34"/>
  <c r="E131" i="34" s="1"/>
  <c r="G131" i="34" s="1"/>
  <c r="J130" i="34"/>
  <c r="M130" i="34" s="1"/>
  <c r="C130" i="34"/>
  <c r="E130" i="34" s="1"/>
  <c r="G130" i="34" s="1"/>
  <c r="M129" i="34"/>
  <c r="J129" i="34"/>
  <c r="C129" i="34"/>
  <c r="E129" i="34" s="1"/>
  <c r="G129" i="34" s="1"/>
  <c r="J128" i="34"/>
  <c r="M128" i="34" s="1"/>
  <c r="E128" i="34"/>
  <c r="G128" i="34" s="1"/>
  <c r="C128" i="34"/>
  <c r="M127" i="34"/>
  <c r="J127" i="34"/>
  <c r="C127" i="34"/>
  <c r="E127" i="34" s="1"/>
  <c r="G127" i="34" s="1"/>
  <c r="M126" i="34"/>
  <c r="J126" i="34"/>
  <c r="C126" i="34"/>
  <c r="E126" i="34" s="1"/>
  <c r="G126" i="34" s="1"/>
  <c r="J125" i="34"/>
  <c r="M125" i="34" s="1"/>
  <c r="C125" i="34"/>
  <c r="E125" i="34" s="1"/>
  <c r="G125" i="34" s="1"/>
  <c r="J124" i="34"/>
  <c r="M124" i="34" s="1"/>
  <c r="C124" i="34"/>
  <c r="E124" i="34" s="1"/>
  <c r="G124" i="34" s="1"/>
  <c r="M123" i="34"/>
  <c r="J123" i="34"/>
  <c r="C123" i="34"/>
  <c r="E123" i="34" s="1"/>
  <c r="G123" i="34" s="1"/>
  <c r="J122" i="34"/>
  <c r="M122" i="34" s="1"/>
  <c r="C122" i="34"/>
  <c r="E122" i="34" s="1"/>
  <c r="G122" i="34" s="1"/>
  <c r="J121" i="34"/>
  <c r="M121" i="34" s="1"/>
  <c r="C121" i="34"/>
  <c r="E121" i="34" s="1"/>
  <c r="G121" i="34" s="1"/>
  <c r="J120" i="34"/>
  <c r="M120" i="34" s="1"/>
  <c r="C120" i="34"/>
  <c r="E120" i="34" s="1"/>
  <c r="G120" i="34" s="1"/>
  <c r="J119" i="34"/>
  <c r="M119" i="34" s="1"/>
  <c r="C119" i="34"/>
  <c r="E119" i="34" s="1"/>
  <c r="G119" i="34" s="1"/>
  <c r="J118" i="34"/>
  <c r="M118" i="34" s="1"/>
  <c r="C118" i="34"/>
  <c r="E118" i="34" s="1"/>
  <c r="G118" i="34" s="1"/>
  <c r="J117" i="34"/>
  <c r="M117" i="34" s="1"/>
  <c r="C117" i="34"/>
  <c r="E117" i="34" s="1"/>
  <c r="G117" i="34" s="1"/>
  <c r="J116" i="34"/>
  <c r="M116" i="34" s="1"/>
  <c r="C116" i="34"/>
  <c r="E116" i="34" s="1"/>
  <c r="G116" i="34" s="1"/>
  <c r="M115" i="34"/>
  <c r="J115" i="34"/>
  <c r="C115" i="34"/>
  <c r="E115" i="34" s="1"/>
  <c r="G115" i="34" s="1"/>
  <c r="M114" i="34"/>
  <c r="J114" i="34"/>
  <c r="E114" i="34"/>
  <c r="G114" i="34" s="1"/>
  <c r="C114" i="34"/>
  <c r="J113" i="34"/>
  <c r="M113" i="34" s="1"/>
  <c r="C113" i="34"/>
  <c r="E113" i="34" s="1"/>
  <c r="G113" i="34" s="1"/>
  <c r="J112" i="34"/>
  <c r="M112" i="34" s="1"/>
  <c r="C112" i="34"/>
  <c r="E112" i="34" s="1"/>
  <c r="G112" i="34" s="1"/>
  <c r="M111" i="34"/>
  <c r="J111" i="34"/>
  <c r="C111" i="34"/>
  <c r="E111" i="34" s="1"/>
  <c r="G111" i="34" s="1"/>
  <c r="J110" i="34"/>
  <c r="M110" i="34" s="1"/>
  <c r="C110" i="34"/>
  <c r="E110" i="34" s="1"/>
  <c r="G110" i="34" s="1"/>
  <c r="J109" i="34"/>
  <c r="M109" i="34" s="1"/>
  <c r="C109" i="34"/>
  <c r="E109" i="34" s="1"/>
  <c r="G109" i="34" s="1"/>
  <c r="J108" i="34"/>
  <c r="M108" i="34" s="1"/>
  <c r="C108" i="34"/>
  <c r="E108" i="34" s="1"/>
  <c r="G108" i="34" s="1"/>
  <c r="M107" i="34"/>
  <c r="J107" i="34"/>
  <c r="C107" i="34"/>
  <c r="E107" i="34" s="1"/>
  <c r="G107" i="34" s="1"/>
  <c r="J106" i="34"/>
  <c r="M106" i="34" s="1"/>
  <c r="C106" i="34"/>
  <c r="E106" i="34" s="1"/>
  <c r="G106" i="34" s="1"/>
  <c r="Z105" i="34"/>
  <c r="M105" i="34"/>
  <c r="J105" i="34"/>
  <c r="C105" i="34"/>
  <c r="E105" i="34" s="1"/>
  <c r="G105" i="34" s="1"/>
  <c r="X104" i="34"/>
  <c r="Q104" i="34"/>
  <c r="S104" i="34" s="1"/>
  <c r="U104" i="34" s="1"/>
  <c r="J104" i="34"/>
  <c r="M104" i="34" s="1"/>
  <c r="C104" i="34"/>
  <c r="E104" i="34" s="1"/>
  <c r="G104" i="34" s="1"/>
  <c r="X103" i="34"/>
  <c r="Q103" i="34"/>
  <c r="S103" i="34" s="1"/>
  <c r="U103" i="34" s="1"/>
  <c r="J103" i="34"/>
  <c r="M103" i="34" s="1"/>
  <c r="E103" i="34"/>
  <c r="G103" i="34" s="1"/>
  <c r="C103" i="34"/>
  <c r="X102" i="34"/>
  <c r="U102" i="34"/>
  <c r="S102" i="34"/>
  <c r="Q102" i="34"/>
  <c r="M102" i="34"/>
  <c r="J102" i="34"/>
  <c r="C102" i="34"/>
  <c r="E102" i="34" s="1"/>
  <c r="G102" i="34" s="1"/>
  <c r="X101" i="34"/>
  <c r="Q101" i="34"/>
  <c r="S101" i="34" s="1"/>
  <c r="U101" i="34" s="1"/>
  <c r="M101" i="34"/>
  <c r="J101" i="34"/>
  <c r="C101" i="34"/>
  <c r="E101" i="34" s="1"/>
  <c r="G101" i="34" s="1"/>
  <c r="X100" i="34"/>
  <c r="Q100" i="34"/>
  <c r="S100" i="34" s="1"/>
  <c r="U100" i="34" s="1"/>
  <c r="J100" i="34"/>
  <c r="M100" i="34" s="1"/>
  <c r="C100" i="34"/>
  <c r="E100" i="34" s="1"/>
  <c r="G100" i="34" s="1"/>
  <c r="X99" i="34"/>
  <c r="U99" i="34"/>
  <c r="S99" i="34"/>
  <c r="Q99" i="34"/>
  <c r="M99" i="34"/>
  <c r="J99" i="34"/>
  <c r="C99" i="34"/>
  <c r="E99" i="34" s="1"/>
  <c r="G99" i="34" s="1"/>
  <c r="X98" i="34"/>
  <c r="U98" i="34"/>
  <c r="S98" i="34"/>
  <c r="Q98" i="34"/>
  <c r="J98" i="34"/>
  <c r="M98" i="34" s="1"/>
  <c r="C98" i="34"/>
  <c r="E98" i="34" s="1"/>
  <c r="G98" i="34" s="1"/>
  <c r="X97" i="34"/>
  <c r="U97" i="34"/>
  <c r="S97" i="34"/>
  <c r="Q97" i="34"/>
  <c r="M97" i="34"/>
  <c r="J97" i="34"/>
  <c r="C97" i="34"/>
  <c r="E97" i="34" s="1"/>
  <c r="G97" i="34" s="1"/>
  <c r="X96" i="34"/>
  <c r="Q96" i="34"/>
  <c r="S96" i="34" s="1"/>
  <c r="U96" i="34" s="1"/>
  <c r="M96" i="34"/>
  <c r="J96" i="34"/>
  <c r="C96" i="34"/>
  <c r="E96" i="34" s="1"/>
  <c r="G96" i="34" s="1"/>
  <c r="X95" i="34"/>
  <c r="S95" i="34"/>
  <c r="U95" i="34" s="1"/>
  <c r="Q95" i="34"/>
  <c r="J95" i="34"/>
  <c r="M95" i="34" s="1"/>
  <c r="C95" i="34"/>
  <c r="E95" i="34" s="1"/>
  <c r="G95" i="34" s="1"/>
  <c r="X94" i="34"/>
  <c r="U94" i="34"/>
  <c r="S94" i="34"/>
  <c r="Q94" i="34"/>
  <c r="J94" i="34"/>
  <c r="M94" i="34" s="1"/>
  <c r="C94" i="34"/>
  <c r="E94" i="34" s="1"/>
  <c r="G94" i="34" s="1"/>
  <c r="X93" i="34"/>
  <c r="Q93" i="34"/>
  <c r="S93" i="34" s="1"/>
  <c r="U93" i="34" s="1"/>
  <c r="M93" i="34"/>
  <c r="J93" i="34"/>
  <c r="C93" i="34"/>
  <c r="E93" i="34" s="1"/>
  <c r="G93" i="34" s="1"/>
  <c r="X92" i="34"/>
  <c r="Q92" i="34"/>
  <c r="S92" i="34" s="1"/>
  <c r="U92" i="34" s="1"/>
  <c r="J92" i="34"/>
  <c r="M92" i="34" s="1"/>
  <c r="C92" i="34"/>
  <c r="E92" i="34" s="1"/>
  <c r="G92" i="34" s="1"/>
  <c r="X91" i="34"/>
  <c r="U91" i="34"/>
  <c r="S91" i="34"/>
  <c r="Q91" i="34"/>
  <c r="M91" i="34"/>
  <c r="J91" i="34"/>
  <c r="C91" i="34"/>
  <c r="E91" i="34" s="1"/>
  <c r="G91" i="34" s="1"/>
  <c r="X90" i="34"/>
  <c r="Q90" i="34"/>
  <c r="S90" i="34" s="1"/>
  <c r="U90" i="34" s="1"/>
  <c r="J90" i="34"/>
  <c r="M90" i="34" s="1"/>
  <c r="C90" i="34"/>
  <c r="E90" i="34" s="1"/>
  <c r="G90" i="34" s="1"/>
  <c r="X89" i="34"/>
  <c r="Q89" i="34"/>
  <c r="S89" i="34" s="1"/>
  <c r="U89" i="34" s="1"/>
  <c r="J89" i="34"/>
  <c r="M89" i="34" s="1"/>
  <c r="C89" i="34"/>
  <c r="E89" i="34" s="1"/>
  <c r="G89" i="34" s="1"/>
  <c r="X88" i="34"/>
  <c r="Q88" i="34"/>
  <c r="S88" i="34" s="1"/>
  <c r="U88" i="34" s="1"/>
  <c r="M88" i="34"/>
  <c r="J88" i="34"/>
  <c r="C88" i="34"/>
  <c r="E88" i="34" s="1"/>
  <c r="G88" i="34" s="1"/>
  <c r="X87" i="34"/>
  <c r="Q87" i="34"/>
  <c r="S87" i="34" s="1"/>
  <c r="U87" i="34" s="1"/>
  <c r="J87" i="34"/>
  <c r="M87" i="34" s="1"/>
  <c r="C87" i="34"/>
  <c r="E87" i="34" s="1"/>
  <c r="G87" i="34" s="1"/>
  <c r="X86" i="34"/>
  <c r="Q86" i="34"/>
  <c r="S86" i="34" s="1"/>
  <c r="U86" i="34" s="1"/>
  <c r="J86" i="34"/>
  <c r="M86" i="34" s="1"/>
  <c r="C86" i="34"/>
  <c r="E86" i="34" s="1"/>
  <c r="G86" i="34" s="1"/>
  <c r="X85" i="34"/>
  <c r="Q85" i="34"/>
  <c r="S85" i="34" s="1"/>
  <c r="U85" i="34" s="1"/>
  <c r="M85" i="34"/>
  <c r="J85" i="34"/>
  <c r="C85" i="34"/>
  <c r="E85" i="34" s="1"/>
  <c r="G85" i="34" s="1"/>
  <c r="X84" i="34"/>
  <c r="S84" i="34"/>
  <c r="U84" i="34" s="1"/>
  <c r="Q84" i="34"/>
  <c r="M84" i="34"/>
  <c r="J84" i="34"/>
  <c r="C84" i="34"/>
  <c r="E84" i="34" s="1"/>
  <c r="G84" i="34" s="1"/>
  <c r="X83" i="34"/>
  <c r="Q83" i="34"/>
  <c r="S83" i="34" s="1"/>
  <c r="U83" i="34" s="1"/>
  <c r="J83" i="34"/>
  <c r="M83" i="34" s="1"/>
  <c r="C83" i="34"/>
  <c r="E83" i="34" s="1"/>
  <c r="G83" i="34" s="1"/>
  <c r="X82" i="34"/>
  <c r="Q82" i="34"/>
  <c r="S82" i="34" s="1"/>
  <c r="U82" i="34" s="1"/>
  <c r="J82" i="34"/>
  <c r="M82" i="34" s="1"/>
  <c r="C82" i="34"/>
  <c r="E82" i="34" s="1"/>
  <c r="G82" i="34" s="1"/>
  <c r="X81" i="34"/>
  <c r="S81" i="34"/>
  <c r="U81" i="34" s="1"/>
  <c r="Q81" i="34"/>
  <c r="M81" i="34"/>
  <c r="J81" i="34"/>
  <c r="C81" i="34"/>
  <c r="E81" i="34" s="1"/>
  <c r="G81" i="34" s="1"/>
  <c r="X80" i="34"/>
  <c r="U80" i="34"/>
  <c r="Q80" i="34"/>
  <c r="S80" i="34" s="1"/>
  <c r="M80" i="34"/>
  <c r="J80" i="34"/>
  <c r="C80" i="34"/>
  <c r="E80" i="34" s="1"/>
  <c r="G80" i="34" s="1"/>
  <c r="X79" i="34"/>
  <c r="Q79" i="34"/>
  <c r="S79" i="34" s="1"/>
  <c r="U79" i="34" s="1"/>
  <c r="J79" i="34"/>
  <c r="M79" i="34" s="1"/>
  <c r="C79" i="34"/>
  <c r="E79" i="34" s="1"/>
  <c r="G79" i="34" s="1"/>
  <c r="X78" i="34"/>
  <c r="S78" i="34"/>
  <c r="U78" i="34" s="1"/>
  <c r="Q78" i="34"/>
  <c r="J78" i="34"/>
  <c r="M78" i="34" s="1"/>
  <c r="C78" i="34"/>
  <c r="E78" i="34" s="1"/>
  <c r="G78" i="34" s="1"/>
  <c r="X77" i="34"/>
  <c r="U77" i="34"/>
  <c r="Q77" i="34"/>
  <c r="S77" i="34" s="1"/>
  <c r="J77" i="34"/>
  <c r="M77" i="34" s="1"/>
  <c r="C77" i="34"/>
  <c r="E77" i="34" s="1"/>
  <c r="G77" i="34" s="1"/>
  <c r="X76" i="34"/>
  <c r="Q76" i="34"/>
  <c r="S76" i="34" s="1"/>
  <c r="U76" i="34" s="1"/>
  <c r="J76" i="34"/>
  <c r="M76" i="34" s="1"/>
  <c r="E76" i="34"/>
  <c r="G76" i="34" s="1"/>
  <c r="C76" i="34"/>
  <c r="X75" i="34"/>
  <c r="Q75" i="34"/>
  <c r="S75" i="34" s="1"/>
  <c r="U75" i="34" s="1"/>
  <c r="M75" i="34"/>
  <c r="J75" i="34"/>
  <c r="C75" i="34"/>
  <c r="E75" i="34" s="1"/>
  <c r="G75" i="34" s="1"/>
  <c r="X74" i="34"/>
  <c r="S74" i="34"/>
  <c r="U74" i="34" s="1"/>
  <c r="Q74" i="34"/>
  <c r="J74" i="34"/>
  <c r="M74" i="34" s="1"/>
  <c r="C74" i="34"/>
  <c r="E74" i="34" s="1"/>
  <c r="G74" i="34" s="1"/>
  <c r="X73" i="34"/>
  <c r="S73" i="34"/>
  <c r="U73" i="34" s="1"/>
  <c r="Q73" i="34"/>
  <c r="J73" i="34"/>
  <c r="M73" i="34" s="1"/>
  <c r="C73" i="34"/>
  <c r="E73" i="34" s="1"/>
  <c r="G73" i="34" s="1"/>
  <c r="X72" i="34"/>
  <c r="Q72" i="34"/>
  <c r="S72" i="34" s="1"/>
  <c r="U72" i="34" s="1"/>
  <c r="M72" i="34"/>
  <c r="J72" i="34"/>
  <c r="C72" i="34"/>
  <c r="E72" i="34" s="1"/>
  <c r="G72" i="34" s="1"/>
  <c r="X71" i="34"/>
  <c r="Q71" i="34"/>
  <c r="S71" i="34" s="1"/>
  <c r="U71" i="34" s="1"/>
  <c r="J71" i="34"/>
  <c r="M71" i="34" s="1"/>
  <c r="C71" i="34"/>
  <c r="E71" i="34" s="1"/>
  <c r="G71" i="34" s="1"/>
  <c r="X70" i="34"/>
  <c r="S70" i="34"/>
  <c r="U70" i="34" s="1"/>
  <c r="Q70" i="34"/>
  <c r="M70" i="34"/>
  <c r="J70" i="34"/>
  <c r="C70" i="34"/>
  <c r="E70" i="34" s="1"/>
  <c r="G70" i="34" s="1"/>
  <c r="X69" i="34"/>
  <c r="Q69" i="34"/>
  <c r="S69" i="34" s="1"/>
  <c r="U69" i="34" s="1"/>
  <c r="M69" i="34"/>
  <c r="J69" i="34"/>
  <c r="C69" i="34"/>
  <c r="E69" i="34" s="1"/>
  <c r="G69" i="34" s="1"/>
  <c r="X68" i="34"/>
  <c r="Q68" i="34"/>
  <c r="S68" i="34" s="1"/>
  <c r="U68" i="34" s="1"/>
  <c r="J68" i="34"/>
  <c r="M68" i="34" s="1"/>
  <c r="C68" i="34"/>
  <c r="E68" i="34" s="1"/>
  <c r="G68" i="34" s="1"/>
  <c r="X67" i="34"/>
  <c r="Q67" i="34"/>
  <c r="S67" i="34" s="1"/>
  <c r="U67" i="34" s="1"/>
  <c r="M67" i="34"/>
  <c r="J67" i="34"/>
  <c r="C67" i="34"/>
  <c r="E67" i="34" s="1"/>
  <c r="G67" i="34" s="1"/>
  <c r="X66" i="34"/>
  <c r="Q66" i="34"/>
  <c r="S66" i="34" s="1"/>
  <c r="U66" i="34" s="1"/>
  <c r="J66" i="34"/>
  <c r="M66" i="34" s="1"/>
  <c r="C66" i="34"/>
  <c r="E66" i="34" s="1"/>
  <c r="G66" i="34" s="1"/>
  <c r="X65" i="34"/>
  <c r="Q65" i="34"/>
  <c r="S65" i="34" s="1"/>
  <c r="U65" i="34" s="1"/>
  <c r="J65" i="34"/>
  <c r="M65" i="34" s="1"/>
  <c r="C65" i="34"/>
  <c r="E65" i="34" s="1"/>
  <c r="G65" i="34" s="1"/>
  <c r="X64" i="34"/>
  <c r="U64" i="34"/>
  <c r="Q64" i="34"/>
  <c r="S64" i="34" s="1"/>
  <c r="J64" i="34"/>
  <c r="M64" i="34" s="1"/>
  <c r="C64" i="34"/>
  <c r="E64" i="34" s="1"/>
  <c r="G64" i="34" s="1"/>
  <c r="X63" i="34"/>
  <c r="Q63" i="34"/>
  <c r="S63" i="34" s="1"/>
  <c r="U63" i="34" s="1"/>
  <c r="J63" i="34"/>
  <c r="M63" i="34" s="1"/>
  <c r="C63" i="34"/>
  <c r="E63" i="34" s="1"/>
  <c r="G63" i="34" s="1"/>
  <c r="X62" i="34"/>
  <c r="Q62" i="34"/>
  <c r="S62" i="34" s="1"/>
  <c r="U62" i="34" s="1"/>
  <c r="J62" i="34"/>
  <c r="M62" i="34" s="1"/>
  <c r="C62" i="34"/>
  <c r="E62" i="34" s="1"/>
  <c r="G62" i="34" s="1"/>
  <c r="X61" i="34"/>
  <c r="U61" i="34"/>
  <c r="Q61" i="34"/>
  <c r="S61" i="34" s="1"/>
  <c r="J61" i="34"/>
  <c r="M61" i="34" s="1"/>
  <c r="C61" i="34"/>
  <c r="E61" i="34" s="1"/>
  <c r="G61" i="34" s="1"/>
  <c r="X60" i="34"/>
  <c r="S60" i="34"/>
  <c r="U60" i="34" s="1"/>
  <c r="Q60" i="34"/>
  <c r="J60" i="34"/>
  <c r="M60" i="34" s="1"/>
  <c r="C60" i="34"/>
  <c r="E60" i="34" s="1"/>
  <c r="G60" i="34" s="1"/>
  <c r="X59" i="34"/>
  <c r="Q59" i="34"/>
  <c r="S59" i="34" s="1"/>
  <c r="U59" i="34" s="1"/>
  <c r="J59" i="34"/>
  <c r="M59" i="34" s="1"/>
  <c r="C59" i="34"/>
  <c r="E59" i="34" s="1"/>
  <c r="G59" i="34" s="1"/>
  <c r="X58" i="34"/>
  <c r="Q58" i="34"/>
  <c r="S58" i="34" s="1"/>
  <c r="U58" i="34" s="1"/>
  <c r="J58" i="34"/>
  <c r="M58" i="34" s="1"/>
  <c r="C58" i="34"/>
  <c r="E58" i="34" s="1"/>
  <c r="G58" i="34" s="1"/>
  <c r="X57" i="34"/>
  <c r="S57" i="34"/>
  <c r="U57" i="34" s="1"/>
  <c r="Q57" i="34"/>
  <c r="J57" i="34"/>
  <c r="M57" i="34" s="1"/>
  <c r="C57" i="34"/>
  <c r="E57" i="34" s="1"/>
  <c r="G57" i="34" s="1"/>
  <c r="X56" i="34"/>
  <c r="Q56" i="34"/>
  <c r="S56" i="34" s="1"/>
  <c r="U56" i="34" s="1"/>
  <c r="J56" i="34"/>
  <c r="M56" i="34" s="1"/>
  <c r="C56" i="34"/>
  <c r="E56" i="34" s="1"/>
  <c r="G56" i="34" s="1"/>
  <c r="X55" i="34"/>
  <c r="Q55" i="34"/>
  <c r="S55" i="34" s="1"/>
  <c r="U55" i="34" s="1"/>
  <c r="J55" i="34"/>
  <c r="M55" i="34" s="1"/>
  <c r="C55" i="34"/>
  <c r="E55" i="34" s="1"/>
  <c r="G55" i="34" s="1"/>
  <c r="X54" i="34"/>
  <c r="S54" i="34"/>
  <c r="U54" i="34" s="1"/>
  <c r="Q54" i="34"/>
  <c r="M54" i="34"/>
  <c r="J54" i="34"/>
  <c r="C54" i="34"/>
  <c r="E54" i="34" s="1"/>
  <c r="G54" i="34" s="1"/>
  <c r="X53" i="34"/>
  <c r="Q53" i="34"/>
  <c r="S53" i="34" s="1"/>
  <c r="U53" i="34" s="1"/>
  <c r="J53" i="34"/>
  <c r="M53" i="34" s="1"/>
  <c r="C53" i="34"/>
  <c r="E53" i="34" s="1"/>
  <c r="G53" i="34" s="1"/>
  <c r="X52" i="34"/>
  <c r="Q52" i="34"/>
  <c r="S52" i="34" s="1"/>
  <c r="U52" i="34" s="1"/>
  <c r="J52" i="34"/>
  <c r="M52" i="34" s="1"/>
  <c r="C52" i="34"/>
  <c r="E52" i="34" s="1"/>
  <c r="G52" i="34" s="1"/>
  <c r="X51" i="34"/>
  <c r="U51" i="34"/>
  <c r="S51" i="34"/>
  <c r="Q51" i="34"/>
  <c r="J51" i="34"/>
  <c r="M51" i="34" s="1"/>
  <c r="C51" i="34"/>
  <c r="E51" i="34" s="1"/>
  <c r="G51" i="34" s="1"/>
  <c r="X50" i="34"/>
  <c r="Q50" i="34"/>
  <c r="S50" i="34" s="1"/>
  <c r="U50" i="34" s="1"/>
  <c r="J50" i="34"/>
  <c r="M50" i="34" s="1"/>
  <c r="C50" i="34"/>
  <c r="E50" i="34" s="1"/>
  <c r="G50" i="34" s="1"/>
  <c r="X49" i="34"/>
  <c r="Q49" i="34"/>
  <c r="S49" i="34" s="1"/>
  <c r="U49" i="34" s="1"/>
  <c r="J49" i="34"/>
  <c r="M49" i="34" s="1"/>
  <c r="C49" i="34"/>
  <c r="E49" i="34" s="1"/>
  <c r="G49" i="34" s="1"/>
  <c r="X48" i="34"/>
  <c r="U48" i="34"/>
  <c r="Q48" i="34"/>
  <c r="S48" i="34" s="1"/>
  <c r="J48" i="34"/>
  <c r="M48" i="34" s="1"/>
  <c r="C48" i="34"/>
  <c r="E48" i="34" s="1"/>
  <c r="G48" i="34" s="1"/>
  <c r="X47" i="34"/>
  <c r="S47" i="34"/>
  <c r="U47" i="34" s="1"/>
  <c r="Q47" i="34"/>
  <c r="J47" i="34"/>
  <c r="M47" i="34" s="1"/>
  <c r="C47" i="34"/>
  <c r="E47" i="34" s="1"/>
  <c r="G47" i="34" s="1"/>
  <c r="X46" i="34"/>
  <c r="S46" i="34"/>
  <c r="U46" i="34" s="1"/>
  <c r="Q46" i="34"/>
  <c r="J46" i="34"/>
  <c r="M46" i="34" s="1"/>
  <c r="C46" i="34"/>
  <c r="E46" i="34" s="1"/>
  <c r="G46" i="34" s="1"/>
  <c r="X45" i="34"/>
  <c r="U45" i="34"/>
  <c r="Q45" i="34"/>
  <c r="S45" i="34" s="1"/>
  <c r="J45" i="34"/>
  <c r="M45" i="34" s="1"/>
  <c r="C45" i="34"/>
  <c r="E45" i="34" s="1"/>
  <c r="G45" i="34" s="1"/>
  <c r="X44" i="34"/>
  <c r="Q44" i="34"/>
  <c r="S44" i="34" s="1"/>
  <c r="U44" i="34" s="1"/>
  <c r="M44" i="34"/>
  <c r="J44" i="34"/>
  <c r="C44" i="34"/>
  <c r="E44" i="34" s="1"/>
  <c r="G44" i="34" s="1"/>
  <c r="X43" i="34"/>
  <c r="Q43" i="34"/>
  <c r="S43" i="34" s="1"/>
  <c r="U43" i="34" s="1"/>
  <c r="M43" i="34"/>
  <c r="J43" i="34"/>
  <c r="C43" i="34"/>
  <c r="E43" i="34" s="1"/>
  <c r="G43" i="34" s="1"/>
  <c r="X42" i="34"/>
  <c r="S42" i="34"/>
  <c r="U42" i="34" s="1"/>
  <c r="Q42" i="34"/>
  <c r="J42" i="34"/>
  <c r="M42" i="34" s="1"/>
  <c r="C42" i="34"/>
  <c r="E42" i="34" s="1"/>
  <c r="G42" i="34" s="1"/>
  <c r="X41" i="34"/>
  <c r="Q41" i="34"/>
  <c r="S41" i="34" s="1"/>
  <c r="U41" i="34" s="1"/>
  <c r="M41" i="34"/>
  <c r="J41" i="34"/>
  <c r="C41" i="34"/>
  <c r="E41" i="34" s="1"/>
  <c r="G41" i="34" s="1"/>
  <c r="X40" i="34"/>
  <c r="Q40" i="34"/>
  <c r="S40" i="34" s="1"/>
  <c r="U40" i="34" s="1"/>
  <c r="M40" i="34"/>
  <c r="J40" i="34"/>
  <c r="C40" i="34"/>
  <c r="E40" i="34" s="1"/>
  <c r="G40" i="34" s="1"/>
  <c r="X39" i="34"/>
  <c r="Q39" i="34"/>
  <c r="S39" i="34" s="1"/>
  <c r="U39" i="34" s="1"/>
  <c r="M39" i="34"/>
  <c r="J39" i="34"/>
  <c r="C39" i="34"/>
  <c r="E39" i="34" s="1"/>
  <c r="G39" i="34" s="1"/>
  <c r="X38" i="34"/>
  <c r="Q38" i="34"/>
  <c r="S38" i="34" s="1"/>
  <c r="U38" i="34" s="1"/>
  <c r="J38" i="34"/>
  <c r="M38" i="34" s="1"/>
  <c r="C38" i="34"/>
  <c r="E38" i="34" s="1"/>
  <c r="G38" i="34" s="1"/>
  <c r="X37" i="34"/>
  <c r="Q37" i="34"/>
  <c r="S37" i="34" s="1"/>
  <c r="U37" i="34" s="1"/>
  <c r="J37" i="34"/>
  <c r="M37" i="34" s="1"/>
  <c r="C37" i="34"/>
  <c r="E37" i="34" s="1"/>
  <c r="G37" i="34" s="1"/>
  <c r="X36" i="34"/>
  <c r="Q36" i="34"/>
  <c r="S36" i="34" s="1"/>
  <c r="U36" i="34" s="1"/>
  <c r="M36" i="34"/>
  <c r="J36" i="34"/>
  <c r="C36" i="34"/>
  <c r="E36" i="34" s="1"/>
  <c r="G36" i="34" s="1"/>
  <c r="X35" i="34"/>
  <c r="Q35" i="34"/>
  <c r="S35" i="34" s="1"/>
  <c r="U35" i="34" s="1"/>
  <c r="J35" i="34"/>
  <c r="M35" i="34" s="1"/>
  <c r="C35" i="34"/>
  <c r="E35" i="34" s="1"/>
  <c r="G35" i="34" s="1"/>
  <c r="X34" i="34"/>
  <c r="S34" i="34"/>
  <c r="U34" i="34" s="1"/>
  <c r="Q34" i="34"/>
  <c r="M34" i="34"/>
  <c r="J34" i="34"/>
  <c r="C34" i="34"/>
  <c r="E34" i="34" s="1"/>
  <c r="G34" i="34" s="1"/>
  <c r="X33" i="34"/>
  <c r="Q33" i="34"/>
  <c r="S33" i="34" s="1"/>
  <c r="U33" i="34" s="1"/>
  <c r="J33" i="34"/>
  <c r="M33" i="34" s="1"/>
  <c r="C33" i="34"/>
  <c r="E33" i="34" s="1"/>
  <c r="G33" i="34" s="1"/>
  <c r="X32" i="34"/>
  <c r="S32" i="34"/>
  <c r="U32" i="34" s="1"/>
  <c r="Q32" i="34"/>
  <c r="J32" i="34"/>
  <c r="M32" i="34" s="1"/>
  <c r="C32" i="34"/>
  <c r="E32" i="34" s="1"/>
  <c r="G32" i="34" s="1"/>
  <c r="X31" i="34"/>
  <c r="Q31" i="34"/>
  <c r="S31" i="34" s="1"/>
  <c r="U31" i="34" s="1"/>
  <c r="M31" i="34"/>
  <c r="J31" i="34"/>
  <c r="E31" i="34"/>
  <c r="G31" i="34" s="1"/>
  <c r="C31" i="34"/>
  <c r="X30" i="34"/>
  <c r="Q30" i="34"/>
  <c r="S30" i="34" s="1"/>
  <c r="U30" i="34" s="1"/>
  <c r="J30" i="34"/>
  <c r="M30" i="34" s="1"/>
  <c r="C30" i="34"/>
  <c r="E30" i="34" s="1"/>
  <c r="G30" i="34" s="1"/>
  <c r="X29" i="34"/>
  <c r="S29" i="34"/>
  <c r="U29" i="34" s="1"/>
  <c r="Q29" i="34"/>
  <c r="J29" i="34"/>
  <c r="M29" i="34" s="1"/>
  <c r="C29" i="34"/>
  <c r="E29" i="34" s="1"/>
  <c r="G29" i="34" s="1"/>
  <c r="X28" i="34"/>
  <c r="S28" i="34"/>
  <c r="U28" i="34" s="1"/>
  <c r="Q28" i="34"/>
  <c r="M28" i="34"/>
  <c r="J28" i="34"/>
  <c r="C28" i="34"/>
  <c r="E28" i="34" s="1"/>
  <c r="G28" i="34" s="1"/>
  <c r="X27" i="34"/>
  <c r="Q27" i="34"/>
  <c r="S27" i="34" s="1"/>
  <c r="U27" i="34" s="1"/>
  <c r="J27" i="34"/>
  <c r="M27" i="34" s="1"/>
  <c r="C27" i="34"/>
  <c r="E27" i="34" s="1"/>
  <c r="G27" i="34" s="1"/>
  <c r="X26" i="34"/>
  <c r="S26" i="34"/>
  <c r="U26" i="34" s="1"/>
  <c r="Q26" i="34"/>
  <c r="M26" i="34"/>
  <c r="J26" i="34"/>
  <c r="C26" i="34"/>
  <c r="E26" i="34" s="1"/>
  <c r="G26" i="34" s="1"/>
  <c r="X25" i="34"/>
  <c r="Q25" i="34"/>
  <c r="S25" i="34" s="1"/>
  <c r="U25" i="34" s="1"/>
  <c r="J25" i="34"/>
  <c r="M25" i="34" s="1"/>
  <c r="C25" i="34"/>
  <c r="E25" i="34" s="1"/>
  <c r="G25" i="34" s="1"/>
  <c r="X24" i="34"/>
  <c r="S24" i="34"/>
  <c r="U24" i="34" s="1"/>
  <c r="Q24" i="34"/>
  <c r="J24" i="34"/>
  <c r="M24" i="34" s="1"/>
  <c r="C24" i="34"/>
  <c r="E24" i="34" s="1"/>
  <c r="G24" i="34" s="1"/>
  <c r="X23" i="34"/>
  <c r="Q23" i="34"/>
  <c r="S23" i="34" s="1"/>
  <c r="U23" i="34" s="1"/>
  <c r="M23" i="34"/>
  <c r="J23" i="34"/>
  <c r="E23" i="34"/>
  <c r="G23" i="34" s="1"/>
  <c r="C23" i="34"/>
  <c r="X22" i="34"/>
  <c r="Q22" i="34"/>
  <c r="S22" i="34" s="1"/>
  <c r="U22" i="34" s="1"/>
  <c r="M22" i="34"/>
  <c r="J22" i="34"/>
  <c r="C22" i="34"/>
  <c r="E22" i="34" s="1"/>
  <c r="G22" i="34" s="1"/>
  <c r="X21" i="34"/>
  <c r="S21" i="34"/>
  <c r="U21" i="34" s="1"/>
  <c r="Q21" i="34"/>
  <c r="J21" i="34"/>
  <c r="M21" i="34" s="1"/>
  <c r="C21" i="34"/>
  <c r="E21" i="34" s="1"/>
  <c r="G21" i="34" s="1"/>
  <c r="X20" i="34"/>
  <c r="S20" i="34"/>
  <c r="U20" i="34" s="1"/>
  <c r="Q20" i="34"/>
  <c r="M20" i="34"/>
  <c r="J20" i="34"/>
  <c r="C20" i="34"/>
  <c r="E20" i="34" s="1"/>
  <c r="G20" i="34" s="1"/>
  <c r="X19" i="34"/>
  <c r="Q19" i="34"/>
  <c r="S19" i="34" s="1"/>
  <c r="U19" i="34" s="1"/>
  <c r="J19" i="34"/>
  <c r="M19" i="34" s="1"/>
  <c r="C19" i="34"/>
  <c r="E19" i="34" s="1"/>
  <c r="G19" i="34" s="1"/>
  <c r="X18" i="34"/>
  <c r="S18" i="34"/>
  <c r="U18" i="34" s="1"/>
  <c r="Q18" i="34"/>
  <c r="J18" i="34"/>
  <c r="M18" i="34" s="1"/>
  <c r="C18" i="34"/>
  <c r="E18" i="34" s="1"/>
  <c r="G18" i="34" s="1"/>
  <c r="X17" i="34"/>
  <c r="Q17" i="34"/>
  <c r="S17" i="34" s="1"/>
  <c r="U17" i="34" s="1"/>
  <c r="J17" i="34"/>
  <c r="M17" i="34" s="1"/>
  <c r="C17" i="34"/>
  <c r="E17" i="34" s="1"/>
  <c r="G17" i="34" s="1"/>
  <c r="X16" i="34"/>
  <c r="Q16" i="34"/>
  <c r="S16" i="34" s="1"/>
  <c r="U16" i="34" s="1"/>
  <c r="J16" i="34"/>
  <c r="M16" i="34" s="1"/>
  <c r="C16" i="34"/>
  <c r="E16" i="34" s="1"/>
  <c r="G16" i="34" s="1"/>
  <c r="X15" i="34"/>
  <c r="Q15" i="34"/>
  <c r="S15" i="34" s="1"/>
  <c r="U15" i="34" s="1"/>
  <c r="M15" i="34"/>
  <c r="J15" i="34"/>
  <c r="C15" i="34"/>
  <c r="E15" i="34" s="1"/>
  <c r="G15" i="34" s="1"/>
  <c r="X14" i="34"/>
  <c r="Q14" i="34"/>
  <c r="S14" i="34" s="1"/>
  <c r="U14" i="34" s="1"/>
  <c r="J14" i="34"/>
  <c r="M14" i="34" s="1"/>
  <c r="C14" i="34"/>
  <c r="E14" i="34" s="1"/>
  <c r="G14" i="34" s="1"/>
  <c r="X13" i="34"/>
  <c r="S13" i="34"/>
  <c r="U13" i="34" s="1"/>
  <c r="Q13" i="34"/>
  <c r="J13" i="34"/>
  <c r="M13" i="34" s="1"/>
  <c r="C13" i="34"/>
  <c r="E13" i="34" s="1"/>
  <c r="G13" i="34" s="1"/>
  <c r="X12" i="34"/>
  <c r="U12" i="34"/>
  <c r="S12" i="34"/>
  <c r="Q12" i="34"/>
  <c r="M12" i="34"/>
  <c r="J12" i="34"/>
  <c r="C12" i="34"/>
  <c r="E12" i="34" s="1"/>
  <c r="G12" i="34" s="1"/>
  <c r="X11" i="34"/>
  <c r="Q11" i="34"/>
  <c r="S11" i="34" s="1"/>
  <c r="U11" i="34" s="1"/>
  <c r="J11" i="34"/>
  <c r="M11" i="34" s="1"/>
  <c r="C11" i="34"/>
  <c r="E11" i="34" s="1"/>
  <c r="G11" i="34" s="1"/>
  <c r="X10" i="34"/>
  <c r="S10" i="34"/>
  <c r="U10" i="34" s="1"/>
  <c r="Q10" i="34"/>
  <c r="J10" i="34"/>
  <c r="M10" i="34" s="1"/>
  <c r="C10" i="34"/>
  <c r="E10" i="34" s="1"/>
  <c r="G10" i="34" s="1"/>
  <c r="X9" i="34"/>
  <c r="Q9" i="34"/>
  <c r="S9" i="34" s="1"/>
  <c r="U9" i="34" s="1"/>
  <c r="J9" i="34"/>
  <c r="M9" i="34" s="1"/>
  <c r="C9" i="34"/>
  <c r="E9" i="34" s="1"/>
  <c r="G9" i="34" s="1"/>
  <c r="X8" i="34"/>
  <c r="Q8" i="34"/>
  <c r="S8" i="34" s="1"/>
  <c r="U8" i="34" s="1"/>
  <c r="J8" i="34"/>
  <c r="M8" i="34" s="1"/>
  <c r="C8" i="34"/>
  <c r="E8" i="34" s="1"/>
  <c r="G8" i="34" s="1"/>
  <c r="X7" i="34"/>
  <c r="Q7" i="34"/>
  <c r="S7" i="34" s="1"/>
  <c r="U7" i="34" s="1"/>
  <c r="M7" i="34"/>
  <c r="J7" i="34"/>
  <c r="C7" i="34"/>
  <c r="E7" i="34" s="1"/>
  <c r="G7" i="34" s="1"/>
  <c r="X6" i="34"/>
  <c r="Q6" i="34"/>
  <c r="S6" i="34" s="1"/>
  <c r="U6" i="34" s="1"/>
  <c r="M6" i="34"/>
  <c r="J6" i="34"/>
  <c r="C6" i="34"/>
  <c r="E6" i="34" s="1"/>
  <c r="G6" i="34" s="1"/>
  <c r="X5" i="34"/>
  <c r="Q5" i="34"/>
  <c r="S5" i="34" s="1"/>
  <c r="U5" i="34" s="1"/>
  <c r="J5" i="34"/>
  <c r="M5" i="34" s="1"/>
  <c r="C5" i="34"/>
  <c r="E5" i="34" s="1"/>
  <c r="G5" i="34" s="1"/>
  <c r="J230" i="67"/>
  <c r="J230" i="65"/>
  <c r="J230" i="64"/>
  <c r="J230" i="63"/>
  <c r="J229" i="63"/>
  <c r="J230" i="62"/>
  <c r="J230" i="61"/>
  <c r="J230" i="60"/>
  <c r="J230" i="59"/>
  <c r="J230" i="58"/>
  <c r="J230" i="57"/>
  <c r="J230" i="55"/>
  <c r="J230" i="54"/>
  <c r="J230" i="53"/>
  <c r="J230" i="52"/>
  <c r="J232" i="50"/>
  <c r="J232" i="49"/>
  <c r="J232" i="48"/>
  <c r="J232" i="47"/>
  <c r="J232" i="46"/>
  <c r="J230" i="45"/>
  <c r="J228" i="44"/>
  <c r="J228" i="43"/>
  <c r="J228" i="42"/>
  <c r="J229" i="41"/>
  <c r="J229" i="40"/>
  <c r="J229" i="39"/>
  <c r="J229" i="38"/>
  <c r="J229" i="37"/>
  <c r="J229" i="36"/>
  <c r="J228" i="35"/>
  <c r="J230" i="66"/>
  <c r="J204" i="8"/>
  <c r="J217" i="8"/>
  <c r="J218" i="8"/>
  <c r="J219" i="8"/>
  <c r="J220" i="8"/>
  <c r="J221" i="8"/>
  <c r="J222" i="8"/>
  <c r="J223" i="8"/>
  <c r="J22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8" i="8"/>
  <c r="D39" i="8"/>
  <c r="D40" i="8"/>
  <c r="D41" i="8"/>
  <c r="D42" i="8"/>
  <c r="D43" i="8"/>
  <c r="D44" i="8"/>
  <c r="D45" i="8"/>
  <c r="D46" i="8"/>
  <c r="D47" i="8"/>
  <c r="D48" i="8"/>
  <c r="D49" i="8"/>
  <c r="D51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5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T35" i="8"/>
  <c r="R35" i="8"/>
  <c r="Q35" i="8"/>
  <c r="P35" i="8"/>
  <c r="O35" i="8"/>
  <c r="T34" i="8"/>
  <c r="Q34" i="8"/>
  <c r="P34" i="8"/>
  <c r="O34" i="8"/>
  <c r="T33" i="8"/>
  <c r="Q33" i="8"/>
  <c r="P33" i="8"/>
  <c r="O33" i="8"/>
  <c r="T32" i="8"/>
  <c r="Q32" i="8"/>
  <c r="P32" i="8"/>
  <c r="O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/>
  <c r="Q18" i="8"/>
  <c r="P18" i="8"/>
  <c r="O18" i="8"/>
  <c r="T17" i="8"/>
  <c r="Q17" i="8"/>
  <c r="P17" i="8"/>
  <c r="O17" i="8"/>
  <c r="T16" i="8"/>
  <c r="Q16" i="8"/>
  <c r="P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P10" i="8"/>
  <c r="O10" i="8"/>
  <c r="T9" i="8"/>
  <c r="Q9" i="8"/>
  <c r="P9" i="8"/>
  <c r="O9" i="8"/>
  <c r="T8" i="8"/>
  <c r="Q8" i="8"/>
  <c r="P8" i="8"/>
  <c r="O8" i="8"/>
  <c r="T7" i="8"/>
  <c r="Q7" i="8"/>
  <c r="P7" i="8"/>
  <c r="O7" i="8"/>
  <c r="T6" i="8"/>
  <c r="Q6" i="8"/>
  <c r="P6" i="8"/>
  <c r="O6" i="8"/>
  <c r="T5" i="8"/>
  <c r="Q5" i="8"/>
  <c r="P5" i="8"/>
  <c r="O5" i="8"/>
  <c r="K222" i="67"/>
  <c r="N35" i="8" s="1"/>
  <c r="K219" i="67"/>
  <c r="J229" i="67" s="1"/>
  <c r="J215" i="67"/>
  <c r="J214" i="67"/>
  <c r="J213" i="67"/>
  <c r="J212" i="67"/>
  <c r="M212" i="67" s="1"/>
  <c r="J211" i="67"/>
  <c r="M211" i="67" s="1"/>
  <c r="M210" i="67"/>
  <c r="J210" i="67"/>
  <c r="J209" i="67"/>
  <c r="M209" i="67" s="1"/>
  <c r="J208" i="67"/>
  <c r="M208" i="67" s="1"/>
  <c r="J207" i="67"/>
  <c r="M207" i="67" s="1"/>
  <c r="J206" i="67"/>
  <c r="M206" i="67" s="1"/>
  <c r="J205" i="67"/>
  <c r="M205" i="67" s="1"/>
  <c r="M204" i="67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M197" i="67"/>
  <c r="J197" i="67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M181" i="67"/>
  <c r="J181" i="67"/>
  <c r="M180" i="67"/>
  <c r="J180" i="67"/>
  <c r="J179" i="67"/>
  <c r="M179" i="67" s="1"/>
  <c r="J178" i="67"/>
  <c r="M178" i="67" s="1"/>
  <c r="J177" i="67"/>
  <c r="M177" i="67" s="1"/>
  <c r="M176" i="67"/>
  <c r="J176" i="67"/>
  <c r="J175" i="67"/>
  <c r="M175" i="67" s="1"/>
  <c r="J174" i="67"/>
  <c r="M174" i="67" s="1"/>
  <c r="M173" i="67"/>
  <c r="J173" i="67"/>
  <c r="J172" i="67"/>
  <c r="M172" i="67" s="1"/>
  <c r="J171" i="67"/>
  <c r="M171" i="67" s="1"/>
  <c r="J170" i="67"/>
  <c r="M170" i="67" s="1"/>
  <c r="M169" i="67"/>
  <c r="J169" i="67"/>
  <c r="M168" i="67"/>
  <c r="J168" i="67"/>
  <c r="J167" i="67"/>
  <c r="M167" i="67" s="1"/>
  <c r="J166" i="67"/>
  <c r="M166" i="67" s="1"/>
  <c r="M165" i="67"/>
  <c r="J165" i="67"/>
  <c r="J164" i="67"/>
  <c r="M164" i="67" s="1"/>
  <c r="J163" i="67"/>
  <c r="M163" i="67" s="1"/>
  <c r="J162" i="67"/>
  <c r="M162" i="67" s="1"/>
  <c r="J161" i="67"/>
  <c r="M161" i="67" s="1"/>
  <c r="M160" i="67"/>
  <c r="J160" i="67"/>
  <c r="J159" i="67"/>
  <c r="M159" i="67" s="1"/>
  <c r="M158" i="67"/>
  <c r="J158" i="67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M149" i="67"/>
  <c r="J149" i="67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M142" i="67"/>
  <c r="J142" i="67"/>
  <c r="J141" i="67"/>
  <c r="M141" i="67" s="1"/>
  <c r="J140" i="67"/>
  <c r="M140" i="67" s="1"/>
  <c r="J139" i="67"/>
  <c r="M139" i="67" s="1"/>
  <c r="J138" i="67"/>
  <c r="M138" i="67" s="1"/>
  <c r="M137" i="67"/>
  <c r="J137" i="67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M126" i="67"/>
  <c r="J126" i="67"/>
  <c r="M125" i="67"/>
  <c r="J125" i="67"/>
  <c r="J124" i="67"/>
  <c r="M124" i="67" s="1"/>
  <c r="J123" i="67"/>
  <c r="M123" i="67" s="1"/>
  <c r="J122" i="67"/>
  <c r="M122" i="67" s="1"/>
  <c r="M121" i="67"/>
  <c r="J121" i="67"/>
  <c r="J120" i="67"/>
  <c r="M120" i="67" s="1"/>
  <c r="J119" i="67"/>
  <c r="M119" i="67" s="1"/>
  <c r="J118" i="67"/>
  <c r="M118" i="67" s="1"/>
  <c r="J117" i="67"/>
  <c r="M117" i="67" s="1"/>
  <c r="M116" i="67"/>
  <c r="J116" i="67"/>
  <c r="J115" i="67"/>
  <c r="M115" i="67" s="1"/>
  <c r="J114" i="67"/>
  <c r="M114" i="67" s="1"/>
  <c r="J113" i="67"/>
  <c r="M113" i="67" s="1"/>
  <c r="J112" i="67"/>
  <c r="M112" i="67" s="1"/>
  <c r="J111" i="67"/>
  <c r="M111" i="67" s="1"/>
  <c r="M110" i="67"/>
  <c r="J110" i="67"/>
  <c r="J109" i="67"/>
  <c r="M109" i="67" s="1"/>
  <c r="J108" i="67"/>
  <c r="M108" i="67" s="1"/>
  <c r="J107" i="67"/>
  <c r="M107" i="67" s="1"/>
  <c r="M106" i="67"/>
  <c r="J106" i="67"/>
  <c r="Z105" i="67"/>
  <c r="J105" i="67"/>
  <c r="M105" i="67" s="1"/>
  <c r="X104" i="67"/>
  <c r="Q104" i="67"/>
  <c r="S104" i="67" s="1"/>
  <c r="U104" i="67" s="1"/>
  <c r="J104" i="67"/>
  <c r="M104" i="67" s="1"/>
  <c r="X103" i="67"/>
  <c r="Q103" i="67"/>
  <c r="S103" i="67" s="1"/>
  <c r="U103" i="67" s="1"/>
  <c r="M103" i="67"/>
  <c r="J103" i="67"/>
  <c r="X102" i="67"/>
  <c r="Q102" i="67"/>
  <c r="S102" i="67" s="1"/>
  <c r="U102" i="67" s="1"/>
  <c r="J102" i="67"/>
  <c r="M102" i="67" s="1"/>
  <c r="X101" i="67"/>
  <c r="Q101" i="67"/>
  <c r="S101" i="67" s="1"/>
  <c r="U101" i="67" s="1"/>
  <c r="J101" i="67"/>
  <c r="M101" i="67" s="1"/>
  <c r="X100" i="67"/>
  <c r="S100" i="67"/>
  <c r="U100" i="67" s="1"/>
  <c r="Q100" i="67"/>
  <c r="M100" i="67"/>
  <c r="J100" i="67"/>
  <c r="X99" i="67"/>
  <c r="Q99" i="67"/>
  <c r="S99" i="67" s="1"/>
  <c r="U99" i="67" s="1"/>
  <c r="J99" i="67"/>
  <c r="M99" i="67" s="1"/>
  <c r="X98" i="67"/>
  <c r="Q98" i="67"/>
  <c r="S98" i="67" s="1"/>
  <c r="U98" i="67" s="1"/>
  <c r="M98" i="67"/>
  <c r="J98" i="67"/>
  <c r="X97" i="67"/>
  <c r="Q97" i="67"/>
  <c r="S97" i="67" s="1"/>
  <c r="U97" i="67" s="1"/>
  <c r="J97" i="67"/>
  <c r="M97" i="67" s="1"/>
  <c r="X96" i="67"/>
  <c r="Q96" i="67"/>
  <c r="S96" i="67" s="1"/>
  <c r="U96" i="67" s="1"/>
  <c r="J96" i="67"/>
  <c r="M96" i="67" s="1"/>
  <c r="X95" i="67"/>
  <c r="Q95" i="67"/>
  <c r="S95" i="67" s="1"/>
  <c r="U95" i="67" s="1"/>
  <c r="M95" i="67"/>
  <c r="J95" i="67"/>
  <c r="X94" i="67"/>
  <c r="Q94" i="67"/>
  <c r="S94" i="67" s="1"/>
  <c r="U94" i="67" s="1"/>
  <c r="J94" i="67"/>
  <c r="M94" i="67" s="1"/>
  <c r="X93" i="67"/>
  <c r="Q93" i="67"/>
  <c r="S93" i="67" s="1"/>
  <c r="U93" i="67" s="1"/>
  <c r="J93" i="67"/>
  <c r="M93" i="67" s="1"/>
  <c r="X92" i="67"/>
  <c r="Q92" i="67"/>
  <c r="S92" i="67" s="1"/>
  <c r="U92" i="67" s="1"/>
  <c r="M92" i="67"/>
  <c r="J92" i="67"/>
  <c r="X91" i="67"/>
  <c r="Q91" i="67"/>
  <c r="S91" i="67" s="1"/>
  <c r="U91" i="67" s="1"/>
  <c r="J91" i="67"/>
  <c r="M91" i="67" s="1"/>
  <c r="X90" i="67"/>
  <c r="Q90" i="67"/>
  <c r="S90" i="67" s="1"/>
  <c r="U90" i="67" s="1"/>
  <c r="M90" i="67"/>
  <c r="J90" i="67"/>
  <c r="X89" i="67"/>
  <c r="Q89" i="67"/>
  <c r="S89" i="67" s="1"/>
  <c r="U89" i="67" s="1"/>
  <c r="J89" i="67"/>
  <c r="M89" i="67" s="1"/>
  <c r="X88" i="67"/>
  <c r="Q88" i="67"/>
  <c r="S88" i="67" s="1"/>
  <c r="U88" i="67" s="1"/>
  <c r="J88" i="67"/>
  <c r="M88" i="67" s="1"/>
  <c r="X87" i="67"/>
  <c r="Q87" i="67"/>
  <c r="S87" i="67" s="1"/>
  <c r="U87" i="67" s="1"/>
  <c r="M87" i="67"/>
  <c r="J87" i="67"/>
  <c r="X86" i="67"/>
  <c r="Q86" i="67"/>
  <c r="S86" i="67" s="1"/>
  <c r="U86" i="67" s="1"/>
  <c r="J86" i="67"/>
  <c r="M86" i="67" s="1"/>
  <c r="X85" i="67"/>
  <c r="Q85" i="67"/>
  <c r="S85" i="67" s="1"/>
  <c r="U85" i="67" s="1"/>
  <c r="J85" i="67"/>
  <c r="M85" i="67" s="1"/>
  <c r="X84" i="67"/>
  <c r="Q84" i="67"/>
  <c r="S84" i="67" s="1"/>
  <c r="U84" i="67" s="1"/>
  <c r="J84" i="67"/>
  <c r="M84" i="67" s="1"/>
  <c r="X83" i="67"/>
  <c r="Q83" i="67"/>
  <c r="S83" i="67" s="1"/>
  <c r="U83" i="67" s="1"/>
  <c r="M83" i="67"/>
  <c r="J83" i="67"/>
  <c r="X82" i="67"/>
  <c r="Q82" i="67"/>
  <c r="S82" i="67" s="1"/>
  <c r="U82" i="67" s="1"/>
  <c r="J82" i="67"/>
  <c r="M82" i="67" s="1"/>
  <c r="X81" i="67"/>
  <c r="S81" i="67"/>
  <c r="U81" i="67" s="1"/>
  <c r="Q81" i="67"/>
  <c r="J81" i="67"/>
  <c r="M81" i="67" s="1"/>
  <c r="X80" i="67"/>
  <c r="S80" i="67"/>
  <c r="U80" i="67" s="1"/>
  <c r="Q80" i="67"/>
  <c r="J80" i="67"/>
  <c r="M80" i="67" s="1"/>
  <c r="X79" i="67"/>
  <c r="Q79" i="67"/>
  <c r="S79" i="67" s="1"/>
  <c r="U79" i="67" s="1"/>
  <c r="M79" i="67"/>
  <c r="J79" i="67"/>
  <c r="X78" i="67"/>
  <c r="Q78" i="67"/>
  <c r="S78" i="67" s="1"/>
  <c r="U78" i="67" s="1"/>
  <c r="J78" i="67"/>
  <c r="M78" i="67" s="1"/>
  <c r="X77" i="67"/>
  <c r="S77" i="67"/>
  <c r="U77" i="67" s="1"/>
  <c r="Q77" i="67"/>
  <c r="J77" i="67"/>
  <c r="M77" i="67" s="1"/>
  <c r="X76" i="67"/>
  <c r="Q76" i="67"/>
  <c r="S76" i="67" s="1"/>
  <c r="U76" i="67" s="1"/>
  <c r="J76" i="67"/>
  <c r="M76" i="67" s="1"/>
  <c r="X75" i="67"/>
  <c r="Q75" i="67"/>
  <c r="S75" i="67" s="1"/>
  <c r="U75" i="67" s="1"/>
  <c r="M75" i="67"/>
  <c r="J75" i="67"/>
  <c r="X74" i="67"/>
  <c r="Q74" i="67"/>
  <c r="S74" i="67" s="1"/>
  <c r="U74" i="67" s="1"/>
  <c r="J74" i="67"/>
  <c r="M74" i="67" s="1"/>
  <c r="X73" i="67"/>
  <c r="U73" i="67"/>
  <c r="S73" i="67"/>
  <c r="Q73" i="67"/>
  <c r="J73" i="67"/>
  <c r="M73" i="67" s="1"/>
  <c r="X72" i="67"/>
  <c r="Q72" i="67"/>
  <c r="S72" i="67" s="1"/>
  <c r="U72" i="67" s="1"/>
  <c r="J72" i="67"/>
  <c r="M72" i="67" s="1"/>
  <c r="X71" i="67"/>
  <c r="Q71" i="67"/>
  <c r="S71" i="67" s="1"/>
  <c r="U71" i="67" s="1"/>
  <c r="J71" i="67"/>
  <c r="M71" i="67" s="1"/>
  <c r="X70" i="67"/>
  <c r="Q70" i="67"/>
  <c r="S70" i="67" s="1"/>
  <c r="U70" i="67" s="1"/>
  <c r="J70" i="67"/>
  <c r="M70" i="67" s="1"/>
  <c r="X69" i="67"/>
  <c r="S69" i="67"/>
  <c r="U69" i="67" s="1"/>
  <c r="Q69" i="67"/>
  <c r="J69" i="67"/>
  <c r="M69" i="67" s="1"/>
  <c r="X68" i="67"/>
  <c r="Q68" i="67"/>
  <c r="S68" i="67" s="1"/>
  <c r="U68" i="67" s="1"/>
  <c r="J68" i="67"/>
  <c r="M68" i="67" s="1"/>
  <c r="X67" i="67"/>
  <c r="Q67" i="67"/>
  <c r="S67" i="67" s="1"/>
  <c r="U67" i="67" s="1"/>
  <c r="M67" i="67"/>
  <c r="J67" i="67"/>
  <c r="X66" i="67"/>
  <c r="Q66" i="67"/>
  <c r="S66" i="67" s="1"/>
  <c r="U66" i="67" s="1"/>
  <c r="J66" i="67"/>
  <c r="M66" i="67" s="1"/>
  <c r="X65" i="67"/>
  <c r="U65" i="67"/>
  <c r="S65" i="67"/>
  <c r="Q65" i="67"/>
  <c r="J65" i="67"/>
  <c r="M65" i="67" s="1"/>
  <c r="X64" i="67"/>
  <c r="Q64" i="67"/>
  <c r="S64" i="67" s="1"/>
  <c r="U64" i="67" s="1"/>
  <c r="J64" i="67"/>
  <c r="M64" i="67" s="1"/>
  <c r="X63" i="67"/>
  <c r="Q63" i="67"/>
  <c r="S63" i="67" s="1"/>
  <c r="U63" i="67" s="1"/>
  <c r="J63" i="67"/>
  <c r="M63" i="67" s="1"/>
  <c r="X62" i="67"/>
  <c r="Q62" i="67"/>
  <c r="S62" i="67" s="1"/>
  <c r="U62" i="67" s="1"/>
  <c r="J62" i="67"/>
  <c r="M62" i="67" s="1"/>
  <c r="X61" i="67"/>
  <c r="S61" i="67"/>
  <c r="U61" i="67" s="1"/>
  <c r="Q61" i="67"/>
  <c r="J61" i="67"/>
  <c r="M61" i="67" s="1"/>
  <c r="X60" i="67"/>
  <c r="Q60" i="67"/>
  <c r="S60" i="67" s="1"/>
  <c r="U60" i="67" s="1"/>
  <c r="J60" i="67"/>
  <c r="M60" i="67" s="1"/>
  <c r="X59" i="67"/>
  <c r="Q59" i="67"/>
  <c r="S59" i="67" s="1"/>
  <c r="U59" i="67" s="1"/>
  <c r="M59" i="67"/>
  <c r="J59" i="67"/>
  <c r="X58" i="67"/>
  <c r="Q58" i="67"/>
  <c r="S58" i="67" s="1"/>
  <c r="U58" i="67" s="1"/>
  <c r="J58" i="67"/>
  <c r="M58" i="67" s="1"/>
  <c r="X57" i="67"/>
  <c r="Q57" i="67"/>
  <c r="S57" i="67" s="1"/>
  <c r="U57" i="67" s="1"/>
  <c r="J57" i="67"/>
  <c r="M57" i="67" s="1"/>
  <c r="X56" i="67"/>
  <c r="S56" i="67"/>
  <c r="U56" i="67" s="1"/>
  <c r="Q56" i="67"/>
  <c r="J56" i="67"/>
  <c r="M56" i="67" s="1"/>
  <c r="X55" i="67"/>
  <c r="Q55" i="67"/>
  <c r="S55" i="67" s="1"/>
  <c r="U55" i="67" s="1"/>
  <c r="J55" i="67"/>
  <c r="M55" i="67" s="1"/>
  <c r="X54" i="67"/>
  <c r="Q54" i="67"/>
  <c r="S54" i="67" s="1"/>
  <c r="U54" i="67" s="1"/>
  <c r="J54" i="67"/>
  <c r="M54" i="67" s="1"/>
  <c r="X53" i="67"/>
  <c r="Q53" i="67"/>
  <c r="S53" i="67" s="1"/>
  <c r="U53" i="67" s="1"/>
  <c r="J53" i="67"/>
  <c r="M53" i="67" s="1"/>
  <c r="X52" i="67"/>
  <c r="Q52" i="67"/>
  <c r="S52" i="67" s="1"/>
  <c r="U52" i="67" s="1"/>
  <c r="M52" i="67"/>
  <c r="J52" i="67"/>
  <c r="X51" i="67"/>
  <c r="Q51" i="67"/>
  <c r="S51" i="67" s="1"/>
  <c r="U51" i="67" s="1"/>
  <c r="J51" i="67"/>
  <c r="M51" i="67" s="1"/>
  <c r="X50" i="67"/>
  <c r="Q50" i="67"/>
  <c r="S50" i="67" s="1"/>
  <c r="U50" i="67" s="1"/>
  <c r="M50" i="67"/>
  <c r="J50" i="67"/>
  <c r="X49" i="67"/>
  <c r="Q49" i="67"/>
  <c r="S49" i="67" s="1"/>
  <c r="U49" i="67" s="1"/>
  <c r="J49" i="67"/>
  <c r="M49" i="67" s="1"/>
  <c r="X48" i="67"/>
  <c r="U48" i="67"/>
  <c r="S48" i="67"/>
  <c r="Q48" i="67"/>
  <c r="J48" i="67"/>
  <c r="M48" i="67" s="1"/>
  <c r="X47" i="67"/>
  <c r="Q47" i="67"/>
  <c r="S47" i="67" s="1"/>
  <c r="U47" i="67" s="1"/>
  <c r="J47" i="67"/>
  <c r="M47" i="67" s="1"/>
  <c r="X46" i="67"/>
  <c r="Q46" i="67"/>
  <c r="S46" i="67" s="1"/>
  <c r="U46" i="67" s="1"/>
  <c r="J46" i="67"/>
  <c r="M46" i="67" s="1"/>
  <c r="X45" i="67"/>
  <c r="Q45" i="67"/>
  <c r="S45" i="67" s="1"/>
  <c r="U45" i="67" s="1"/>
  <c r="J45" i="67"/>
  <c r="M45" i="67" s="1"/>
  <c r="X44" i="67"/>
  <c r="Q44" i="67"/>
  <c r="S44" i="67" s="1"/>
  <c r="U44" i="67" s="1"/>
  <c r="M44" i="67"/>
  <c r="J44" i="67"/>
  <c r="X43" i="67"/>
  <c r="Q43" i="67"/>
  <c r="S43" i="67" s="1"/>
  <c r="U43" i="67" s="1"/>
  <c r="M43" i="67"/>
  <c r="J43" i="67"/>
  <c r="X42" i="67"/>
  <c r="Q42" i="67"/>
  <c r="S42" i="67" s="1"/>
  <c r="U42" i="67" s="1"/>
  <c r="M42" i="67"/>
  <c r="J42" i="67"/>
  <c r="X41" i="67"/>
  <c r="S41" i="67"/>
  <c r="U41" i="67" s="1"/>
  <c r="Q41" i="67"/>
  <c r="J41" i="67"/>
  <c r="M41" i="67" s="1"/>
  <c r="X40" i="67"/>
  <c r="U40" i="67"/>
  <c r="S40" i="67"/>
  <c r="Q40" i="67"/>
  <c r="J40" i="67"/>
  <c r="M40" i="67" s="1"/>
  <c r="X39" i="67"/>
  <c r="Q39" i="67"/>
  <c r="S39" i="67" s="1"/>
  <c r="U39" i="67" s="1"/>
  <c r="J39" i="67"/>
  <c r="M39" i="67" s="1"/>
  <c r="X38" i="67"/>
  <c r="S38" i="67"/>
  <c r="U38" i="67" s="1"/>
  <c r="Q38" i="67"/>
  <c r="J38" i="67"/>
  <c r="M38" i="67" s="1"/>
  <c r="X37" i="67"/>
  <c r="Q37" i="67"/>
  <c r="S37" i="67" s="1"/>
  <c r="U37" i="67" s="1"/>
  <c r="M37" i="67"/>
  <c r="J37" i="67"/>
  <c r="X36" i="67"/>
  <c r="S36" i="67"/>
  <c r="U36" i="67" s="1"/>
  <c r="Q36" i="67"/>
  <c r="J36" i="67"/>
  <c r="M36" i="67" s="1"/>
  <c r="X35" i="67"/>
  <c r="S35" i="67"/>
  <c r="U35" i="67" s="1"/>
  <c r="Q35" i="67"/>
  <c r="M35" i="67"/>
  <c r="J35" i="67"/>
  <c r="X34" i="67"/>
  <c r="Q34" i="67"/>
  <c r="S34" i="67" s="1"/>
  <c r="U34" i="67" s="1"/>
  <c r="J34" i="67"/>
  <c r="M34" i="67" s="1"/>
  <c r="X33" i="67"/>
  <c r="S33" i="67"/>
  <c r="U33" i="67" s="1"/>
  <c r="Q33" i="67"/>
  <c r="M33" i="67"/>
  <c r="J33" i="67"/>
  <c r="X32" i="67"/>
  <c r="Q32" i="67"/>
  <c r="S32" i="67" s="1"/>
  <c r="U32" i="67" s="1"/>
  <c r="J32" i="67"/>
  <c r="M32" i="67" s="1"/>
  <c r="X31" i="67"/>
  <c r="S31" i="67"/>
  <c r="U31" i="67" s="1"/>
  <c r="Q31" i="67"/>
  <c r="J31" i="67"/>
  <c r="M31" i="67" s="1"/>
  <c r="X30" i="67"/>
  <c r="Q30" i="67"/>
  <c r="S30" i="67" s="1"/>
  <c r="U30" i="67" s="1"/>
  <c r="M30" i="67"/>
  <c r="J30" i="67"/>
  <c r="X29" i="67"/>
  <c r="Q29" i="67"/>
  <c r="S29" i="67" s="1"/>
  <c r="U29" i="67" s="1"/>
  <c r="J29" i="67"/>
  <c r="M29" i="67" s="1"/>
  <c r="X28" i="67"/>
  <c r="Q28" i="67"/>
  <c r="S28" i="67" s="1"/>
  <c r="U28" i="67" s="1"/>
  <c r="J28" i="67"/>
  <c r="M28" i="67" s="1"/>
  <c r="X27" i="67"/>
  <c r="Q27" i="67"/>
  <c r="S27" i="67" s="1"/>
  <c r="U27" i="67" s="1"/>
  <c r="J27" i="67"/>
  <c r="M27" i="67" s="1"/>
  <c r="X26" i="67"/>
  <c r="Q26" i="67"/>
  <c r="S26" i="67" s="1"/>
  <c r="U26" i="67" s="1"/>
  <c r="J26" i="67"/>
  <c r="M26" i="67" s="1"/>
  <c r="X25" i="67"/>
  <c r="Q25" i="67"/>
  <c r="S25" i="67" s="1"/>
  <c r="U25" i="67" s="1"/>
  <c r="J25" i="67"/>
  <c r="M25" i="67" s="1"/>
  <c r="X24" i="67"/>
  <c r="Q24" i="67"/>
  <c r="S24" i="67" s="1"/>
  <c r="U24" i="67" s="1"/>
  <c r="M24" i="67"/>
  <c r="J24" i="67"/>
  <c r="X23" i="67"/>
  <c r="S23" i="67"/>
  <c r="U23" i="67" s="1"/>
  <c r="Q23" i="67"/>
  <c r="J23" i="67"/>
  <c r="M23" i="67" s="1"/>
  <c r="X22" i="67"/>
  <c r="U22" i="67"/>
  <c r="S22" i="67"/>
  <c r="Q22" i="67"/>
  <c r="J22" i="67"/>
  <c r="M22" i="67" s="1"/>
  <c r="X21" i="67"/>
  <c r="Q21" i="67"/>
  <c r="S21" i="67" s="1"/>
  <c r="U21" i="67" s="1"/>
  <c r="M21" i="67"/>
  <c r="J21" i="67"/>
  <c r="X20" i="67"/>
  <c r="S20" i="67"/>
  <c r="U20" i="67" s="1"/>
  <c r="Q20" i="67"/>
  <c r="J20" i="67"/>
  <c r="M20" i="67" s="1"/>
  <c r="X19" i="67"/>
  <c r="S19" i="67"/>
  <c r="U19" i="67" s="1"/>
  <c r="Q19" i="67"/>
  <c r="M19" i="67"/>
  <c r="J19" i="67"/>
  <c r="X18" i="67"/>
  <c r="Q18" i="67"/>
  <c r="S18" i="67" s="1"/>
  <c r="U18" i="67" s="1"/>
  <c r="J18" i="67"/>
  <c r="M18" i="67" s="1"/>
  <c r="X17" i="67"/>
  <c r="S17" i="67"/>
  <c r="U17" i="67" s="1"/>
  <c r="Q17" i="67"/>
  <c r="M17" i="67"/>
  <c r="J17" i="67"/>
  <c r="X16" i="67"/>
  <c r="Q16" i="67"/>
  <c r="S16" i="67" s="1"/>
  <c r="U16" i="67" s="1"/>
  <c r="M16" i="67"/>
  <c r="J16" i="67"/>
  <c r="X15" i="67"/>
  <c r="Q15" i="67"/>
  <c r="S15" i="67" s="1"/>
  <c r="U15" i="67" s="1"/>
  <c r="J15" i="67"/>
  <c r="M15" i="67" s="1"/>
  <c r="X14" i="67"/>
  <c r="U14" i="67"/>
  <c r="S14" i="67"/>
  <c r="Q14" i="67"/>
  <c r="M14" i="67"/>
  <c r="J14" i="67"/>
  <c r="X13" i="67"/>
  <c r="Q13" i="67"/>
  <c r="S13" i="67" s="1"/>
  <c r="U13" i="67" s="1"/>
  <c r="J13" i="67"/>
  <c r="M13" i="67" s="1"/>
  <c r="X12" i="67"/>
  <c r="S12" i="67"/>
  <c r="U12" i="67" s="1"/>
  <c r="Q12" i="67"/>
  <c r="J12" i="67"/>
  <c r="M12" i="67" s="1"/>
  <c r="X11" i="67"/>
  <c r="Q11" i="67"/>
  <c r="S11" i="67" s="1"/>
  <c r="U11" i="67" s="1"/>
  <c r="M11" i="67"/>
  <c r="J11" i="67"/>
  <c r="X10" i="67"/>
  <c r="Q10" i="67"/>
  <c r="S10" i="67" s="1"/>
  <c r="U10" i="67" s="1"/>
  <c r="M10" i="67"/>
  <c r="J10" i="67"/>
  <c r="X9" i="67"/>
  <c r="S9" i="67"/>
  <c r="U9" i="67" s="1"/>
  <c r="Q9" i="67"/>
  <c r="M9" i="67"/>
  <c r="J9" i="67"/>
  <c r="X8" i="67"/>
  <c r="Q8" i="67"/>
  <c r="S8" i="67" s="1"/>
  <c r="U8" i="67" s="1"/>
  <c r="M8" i="67"/>
  <c r="J8" i="67"/>
  <c r="X7" i="67"/>
  <c r="Q7" i="67"/>
  <c r="S7" i="67" s="1"/>
  <c r="U7" i="67" s="1"/>
  <c r="J7" i="67"/>
  <c r="M7" i="67" s="1"/>
  <c r="X6" i="67"/>
  <c r="U6" i="67"/>
  <c r="S6" i="67"/>
  <c r="Q6" i="67"/>
  <c r="J6" i="67"/>
  <c r="M6" i="67" s="1"/>
  <c r="X5" i="67"/>
  <c r="Q5" i="67"/>
  <c r="S5" i="67" s="1"/>
  <c r="U5" i="67" s="1"/>
  <c r="J5" i="67"/>
  <c r="M5" i="67" s="1"/>
  <c r="K222" i="66"/>
  <c r="N34" i="8" s="1"/>
  <c r="K219" i="66"/>
  <c r="R34" i="8" s="1"/>
  <c r="J215" i="66"/>
  <c r="J214" i="66"/>
  <c r="J213" i="66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M204" i="66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M197" i="66"/>
  <c r="J197" i="66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M189" i="66"/>
  <c r="J189" i="66"/>
  <c r="J188" i="66"/>
  <c r="M188" i="66" s="1"/>
  <c r="J187" i="66"/>
  <c r="M187" i="66" s="1"/>
  <c r="J186" i="66"/>
  <c r="M186" i="66" s="1"/>
  <c r="J185" i="66"/>
  <c r="M185" i="66" s="1"/>
  <c r="J184" i="66"/>
  <c r="M184" i="66" s="1"/>
  <c r="M183" i="66"/>
  <c r="J183" i="66"/>
  <c r="J182" i="66"/>
  <c r="M182" i="66" s="1"/>
  <c r="M181" i="66"/>
  <c r="J181" i="66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M165" i="66"/>
  <c r="J165" i="66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M157" i="66"/>
  <c r="J157" i="66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M141" i="66"/>
  <c r="J141" i="66"/>
  <c r="J140" i="66"/>
  <c r="M140" i="66" s="1"/>
  <c r="J139" i="66"/>
  <c r="M139" i="66" s="1"/>
  <c r="J138" i="66"/>
  <c r="M138" i="66" s="1"/>
  <c r="M137" i="66"/>
  <c r="J137" i="66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M125" i="66"/>
  <c r="J125" i="66"/>
  <c r="J124" i="66"/>
  <c r="M124" i="66" s="1"/>
  <c r="J123" i="66"/>
  <c r="M123" i="66" s="1"/>
  <c r="J122" i="66"/>
  <c r="M122" i="66" s="1"/>
  <c r="M121" i="66"/>
  <c r="J121" i="66"/>
  <c r="J120" i="66"/>
  <c r="M120" i="66" s="1"/>
  <c r="J119" i="66"/>
  <c r="M119" i="66" s="1"/>
  <c r="J118" i="66"/>
  <c r="M118" i="66" s="1"/>
  <c r="M117" i="66"/>
  <c r="J117" i="66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Z105" i="66"/>
  <c r="J105" i="66"/>
  <c r="M105" i="66" s="1"/>
  <c r="X104" i="66"/>
  <c r="S104" i="66"/>
  <c r="U104" i="66" s="1"/>
  <c r="Q104" i="66"/>
  <c r="J104" i="66"/>
  <c r="M104" i="66" s="1"/>
  <c r="X103" i="66"/>
  <c r="U103" i="66"/>
  <c r="S103" i="66"/>
  <c r="Q103" i="66"/>
  <c r="J103" i="66"/>
  <c r="M103" i="66" s="1"/>
  <c r="X102" i="66"/>
  <c r="Q102" i="66"/>
  <c r="S102" i="66" s="1"/>
  <c r="U102" i="66" s="1"/>
  <c r="J102" i="66"/>
  <c r="M102" i="66" s="1"/>
  <c r="X101" i="66"/>
  <c r="S101" i="66"/>
  <c r="U101" i="66" s="1"/>
  <c r="Q101" i="66"/>
  <c r="J101" i="66"/>
  <c r="M101" i="66" s="1"/>
  <c r="X100" i="66"/>
  <c r="Q100" i="66"/>
  <c r="S100" i="66" s="1"/>
  <c r="U100" i="66" s="1"/>
  <c r="J100" i="66"/>
  <c r="M100" i="66" s="1"/>
  <c r="X99" i="66"/>
  <c r="S99" i="66"/>
  <c r="U99" i="66" s="1"/>
  <c r="Q99" i="66"/>
  <c r="M99" i="66"/>
  <c r="J99" i="66"/>
  <c r="X98" i="66"/>
  <c r="Q98" i="66"/>
  <c r="S98" i="66" s="1"/>
  <c r="U98" i="66" s="1"/>
  <c r="J98" i="66"/>
  <c r="M98" i="66" s="1"/>
  <c r="X97" i="66"/>
  <c r="S97" i="66"/>
  <c r="U97" i="66" s="1"/>
  <c r="Q97" i="66"/>
  <c r="M97" i="66"/>
  <c r="J97" i="66"/>
  <c r="X96" i="66"/>
  <c r="Q96" i="66"/>
  <c r="S96" i="66" s="1"/>
  <c r="U96" i="66" s="1"/>
  <c r="J96" i="66"/>
  <c r="M96" i="66" s="1"/>
  <c r="X95" i="66"/>
  <c r="S95" i="66"/>
  <c r="U95" i="66" s="1"/>
  <c r="Q95" i="66"/>
  <c r="J95" i="66"/>
  <c r="M95" i="66" s="1"/>
  <c r="X94" i="66"/>
  <c r="Q94" i="66"/>
  <c r="S94" i="66" s="1"/>
  <c r="U94" i="66" s="1"/>
  <c r="J94" i="66"/>
  <c r="M94" i="66" s="1"/>
  <c r="X93" i="66"/>
  <c r="S93" i="66"/>
  <c r="U93" i="66" s="1"/>
  <c r="Q93" i="66"/>
  <c r="J93" i="66"/>
  <c r="M93" i="66" s="1"/>
  <c r="X92" i="66"/>
  <c r="Q92" i="66"/>
  <c r="S92" i="66" s="1"/>
  <c r="U92" i="66" s="1"/>
  <c r="J92" i="66"/>
  <c r="M92" i="66" s="1"/>
  <c r="X91" i="66"/>
  <c r="S91" i="66"/>
  <c r="U91" i="66" s="1"/>
  <c r="Q91" i="66"/>
  <c r="J91" i="66"/>
  <c r="M91" i="66" s="1"/>
  <c r="X90" i="66"/>
  <c r="Q90" i="66"/>
  <c r="S90" i="66" s="1"/>
  <c r="U90" i="66" s="1"/>
  <c r="J90" i="66"/>
  <c r="M90" i="66" s="1"/>
  <c r="X89" i="66"/>
  <c r="S89" i="66"/>
  <c r="U89" i="66" s="1"/>
  <c r="Q89" i="66"/>
  <c r="J89" i="66"/>
  <c r="M89" i="66" s="1"/>
  <c r="X88" i="66"/>
  <c r="Q88" i="66"/>
  <c r="S88" i="66" s="1"/>
  <c r="U88" i="66" s="1"/>
  <c r="J88" i="66"/>
  <c r="M88" i="66" s="1"/>
  <c r="X87" i="66"/>
  <c r="Q87" i="66"/>
  <c r="S87" i="66" s="1"/>
  <c r="U87" i="66" s="1"/>
  <c r="M87" i="66"/>
  <c r="J87" i="66"/>
  <c r="X86" i="66"/>
  <c r="Q86" i="66"/>
  <c r="S86" i="66" s="1"/>
  <c r="U86" i="66" s="1"/>
  <c r="J86" i="66"/>
  <c r="M86" i="66" s="1"/>
  <c r="X85" i="66"/>
  <c r="Q85" i="66"/>
  <c r="S85" i="66" s="1"/>
  <c r="U85" i="66" s="1"/>
  <c r="M85" i="66"/>
  <c r="J85" i="66"/>
  <c r="X84" i="66"/>
  <c r="Q84" i="66"/>
  <c r="S84" i="66" s="1"/>
  <c r="U84" i="66" s="1"/>
  <c r="J84" i="66"/>
  <c r="M84" i="66" s="1"/>
  <c r="X83" i="66"/>
  <c r="Q83" i="66"/>
  <c r="S83" i="66" s="1"/>
  <c r="U83" i="66" s="1"/>
  <c r="M83" i="66"/>
  <c r="J83" i="66"/>
  <c r="X82" i="66"/>
  <c r="Q82" i="66"/>
  <c r="S82" i="66" s="1"/>
  <c r="U82" i="66" s="1"/>
  <c r="J82" i="66"/>
  <c r="M82" i="66" s="1"/>
  <c r="X81" i="66"/>
  <c r="Q81" i="66"/>
  <c r="S81" i="66" s="1"/>
  <c r="U81" i="66" s="1"/>
  <c r="J81" i="66"/>
  <c r="M81" i="66" s="1"/>
  <c r="X80" i="66"/>
  <c r="Q80" i="66"/>
  <c r="S80" i="66" s="1"/>
  <c r="U80" i="66" s="1"/>
  <c r="J80" i="66"/>
  <c r="M80" i="66" s="1"/>
  <c r="X79" i="66"/>
  <c r="Q79" i="66"/>
  <c r="S79" i="66" s="1"/>
  <c r="U79" i="66" s="1"/>
  <c r="J79" i="66"/>
  <c r="M79" i="66" s="1"/>
  <c r="X78" i="66"/>
  <c r="Q78" i="66"/>
  <c r="S78" i="66" s="1"/>
  <c r="U78" i="66" s="1"/>
  <c r="J78" i="66"/>
  <c r="M78" i="66" s="1"/>
  <c r="X77" i="66"/>
  <c r="Q77" i="66"/>
  <c r="S77" i="66" s="1"/>
  <c r="U77" i="66" s="1"/>
  <c r="J77" i="66"/>
  <c r="M77" i="66" s="1"/>
  <c r="X76" i="66"/>
  <c r="Q76" i="66"/>
  <c r="S76" i="66" s="1"/>
  <c r="U76" i="66" s="1"/>
  <c r="J76" i="66"/>
  <c r="M76" i="66" s="1"/>
  <c r="X75" i="66"/>
  <c r="Q75" i="66"/>
  <c r="S75" i="66" s="1"/>
  <c r="U75" i="66" s="1"/>
  <c r="J75" i="66"/>
  <c r="M75" i="66" s="1"/>
  <c r="X74" i="66"/>
  <c r="Q74" i="66"/>
  <c r="S74" i="66" s="1"/>
  <c r="U74" i="66" s="1"/>
  <c r="J74" i="66"/>
  <c r="M74" i="66" s="1"/>
  <c r="X73" i="66"/>
  <c r="Q73" i="66"/>
  <c r="S73" i="66" s="1"/>
  <c r="U73" i="66" s="1"/>
  <c r="J73" i="66"/>
  <c r="M73" i="66" s="1"/>
  <c r="X72" i="66"/>
  <c r="Q72" i="66"/>
  <c r="S72" i="66" s="1"/>
  <c r="U72" i="66" s="1"/>
  <c r="J72" i="66"/>
  <c r="M72" i="66" s="1"/>
  <c r="X71" i="66"/>
  <c r="Q71" i="66"/>
  <c r="S71" i="66" s="1"/>
  <c r="U71" i="66" s="1"/>
  <c r="J71" i="66"/>
  <c r="M71" i="66" s="1"/>
  <c r="X70" i="66"/>
  <c r="Q70" i="66"/>
  <c r="S70" i="66" s="1"/>
  <c r="U70" i="66" s="1"/>
  <c r="J70" i="66"/>
  <c r="M70" i="66" s="1"/>
  <c r="X69" i="66"/>
  <c r="Q69" i="66"/>
  <c r="S69" i="66" s="1"/>
  <c r="U69" i="66" s="1"/>
  <c r="J69" i="66"/>
  <c r="M69" i="66" s="1"/>
  <c r="X68" i="66"/>
  <c r="Q68" i="66"/>
  <c r="S68" i="66" s="1"/>
  <c r="U68" i="66" s="1"/>
  <c r="J68" i="66"/>
  <c r="M68" i="66" s="1"/>
  <c r="X67" i="66"/>
  <c r="Q67" i="66"/>
  <c r="S67" i="66" s="1"/>
  <c r="U67" i="66" s="1"/>
  <c r="J67" i="66"/>
  <c r="M67" i="66" s="1"/>
  <c r="X66" i="66"/>
  <c r="Q66" i="66"/>
  <c r="S66" i="66" s="1"/>
  <c r="U66" i="66" s="1"/>
  <c r="J66" i="66"/>
  <c r="M66" i="66" s="1"/>
  <c r="X65" i="66"/>
  <c r="Q65" i="66"/>
  <c r="S65" i="66" s="1"/>
  <c r="U65" i="66" s="1"/>
  <c r="J65" i="66"/>
  <c r="M65" i="66" s="1"/>
  <c r="X64" i="66"/>
  <c r="Q64" i="66"/>
  <c r="S64" i="66" s="1"/>
  <c r="U64" i="66" s="1"/>
  <c r="J64" i="66"/>
  <c r="M64" i="66" s="1"/>
  <c r="X63" i="66"/>
  <c r="Q63" i="66"/>
  <c r="S63" i="66" s="1"/>
  <c r="U63" i="66" s="1"/>
  <c r="J63" i="66"/>
  <c r="M63" i="66" s="1"/>
  <c r="X62" i="66"/>
  <c r="Q62" i="66"/>
  <c r="S62" i="66" s="1"/>
  <c r="U62" i="66" s="1"/>
  <c r="J62" i="66"/>
  <c r="M62" i="66" s="1"/>
  <c r="X61" i="66"/>
  <c r="S61" i="66"/>
  <c r="U61" i="66" s="1"/>
  <c r="Q61" i="66"/>
  <c r="J61" i="66"/>
  <c r="M61" i="66" s="1"/>
  <c r="X60" i="66"/>
  <c r="Q60" i="66"/>
  <c r="S60" i="66" s="1"/>
  <c r="U60" i="66" s="1"/>
  <c r="J60" i="66"/>
  <c r="M60" i="66" s="1"/>
  <c r="X59" i="66"/>
  <c r="S59" i="66"/>
  <c r="U59" i="66" s="1"/>
  <c r="Q59" i="66"/>
  <c r="J59" i="66"/>
  <c r="M59" i="66" s="1"/>
  <c r="X58" i="66"/>
  <c r="Q58" i="66"/>
  <c r="S58" i="66" s="1"/>
  <c r="U58" i="66" s="1"/>
  <c r="J58" i="66"/>
  <c r="M58" i="66" s="1"/>
  <c r="X57" i="66"/>
  <c r="Q57" i="66"/>
  <c r="S57" i="66" s="1"/>
  <c r="U57" i="66" s="1"/>
  <c r="J57" i="66"/>
  <c r="M57" i="66" s="1"/>
  <c r="X56" i="66"/>
  <c r="Q56" i="66"/>
  <c r="S56" i="66" s="1"/>
  <c r="U56" i="66" s="1"/>
  <c r="J56" i="66"/>
  <c r="M56" i="66" s="1"/>
  <c r="X55" i="66"/>
  <c r="Q55" i="66"/>
  <c r="S55" i="66" s="1"/>
  <c r="U55" i="66" s="1"/>
  <c r="J55" i="66"/>
  <c r="M55" i="66" s="1"/>
  <c r="X54" i="66"/>
  <c r="Q54" i="66"/>
  <c r="S54" i="66" s="1"/>
  <c r="U54" i="66" s="1"/>
  <c r="J54" i="66"/>
  <c r="M54" i="66" s="1"/>
  <c r="X53" i="66"/>
  <c r="Q53" i="66"/>
  <c r="S53" i="66" s="1"/>
  <c r="U53" i="66" s="1"/>
  <c r="J53" i="66"/>
  <c r="M53" i="66" s="1"/>
  <c r="X52" i="66"/>
  <c r="Q52" i="66"/>
  <c r="S52" i="66" s="1"/>
  <c r="U52" i="66" s="1"/>
  <c r="J52" i="66"/>
  <c r="M52" i="66" s="1"/>
  <c r="X51" i="66"/>
  <c r="Q51" i="66"/>
  <c r="S51" i="66" s="1"/>
  <c r="U51" i="66" s="1"/>
  <c r="J51" i="66"/>
  <c r="M51" i="66" s="1"/>
  <c r="X50" i="66"/>
  <c r="Q50" i="66"/>
  <c r="S50" i="66" s="1"/>
  <c r="U50" i="66" s="1"/>
  <c r="J50" i="66"/>
  <c r="M50" i="66" s="1"/>
  <c r="X49" i="66"/>
  <c r="Q49" i="66"/>
  <c r="S49" i="66" s="1"/>
  <c r="U49" i="66" s="1"/>
  <c r="J49" i="66"/>
  <c r="M49" i="66" s="1"/>
  <c r="X48" i="66"/>
  <c r="Q48" i="66"/>
  <c r="S48" i="66" s="1"/>
  <c r="U48" i="66" s="1"/>
  <c r="J48" i="66"/>
  <c r="M48" i="66" s="1"/>
  <c r="X47" i="66"/>
  <c r="Q47" i="66"/>
  <c r="S47" i="66" s="1"/>
  <c r="U47" i="66" s="1"/>
  <c r="J47" i="66"/>
  <c r="M47" i="66" s="1"/>
  <c r="X46" i="66"/>
  <c r="Q46" i="66"/>
  <c r="S46" i="66" s="1"/>
  <c r="U46" i="66" s="1"/>
  <c r="J46" i="66"/>
  <c r="M46" i="66" s="1"/>
  <c r="X45" i="66"/>
  <c r="S45" i="66"/>
  <c r="U45" i="66" s="1"/>
  <c r="Q45" i="66"/>
  <c r="M45" i="66"/>
  <c r="J45" i="66"/>
  <c r="X44" i="66"/>
  <c r="Q44" i="66"/>
  <c r="S44" i="66" s="1"/>
  <c r="U44" i="66" s="1"/>
  <c r="J44" i="66"/>
  <c r="M44" i="66" s="1"/>
  <c r="X43" i="66"/>
  <c r="S43" i="66"/>
  <c r="U43" i="66" s="1"/>
  <c r="Q43" i="66"/>
  <c r="J43" i="66"/>
  <c r="M43" i="66" s="1"/>
  <c r="X42" i="66"/>
  <c r="Q42" i="66"/>
  <c r="S42" i="66" s="1"/>
  <c r="U42" i="66" s="1"/>
  <c r="J42" i="66"/>
  <c r="M42" i="66" s="1"/>
  <c r="X41" i="66"/>
  <c r="S41" i="66"/>
  <c r="U41" i="66" s="1"/>
  <c r="Q41" i="66"/>
  <c r="J41" i="66"/>
  <c r="M41" i="66" s="1"/>
  <c r="X40" i="66"/>
  <c r="Q40" i="66"/>
  <c r="S40" i="66" s="1"/>
  <c r="U40" i="66" s="1"/>
  <c r="J40" i="66"/>
  <c r="X39" i="66"/>
  <c r="Q39" i="66"/>
  <c r="S39" i="66" s="1"/>
  <c r="U39" i="66" s="1"/>
  <c r="J39" i="66"/>
  <c r="M39" i="66" s="1"/>
  <c r="X38" i="66"/>
  <c r="S38" i="66"/>
  <c r="U38" i="66" s="1"/>
  <c r="Q38" i="66"/>
  <c r="J38" i="66"/>
  <c r="M38" i="66" s="1"/>
  <c r="X37" i="66"/>
  <c r="Q37" i="66"/>
  <c r="S37" i="66" s="1"/>
  <c r="U37" i="66" s="1"/>
  <c r="J37" i="66"/>
  <c r="M37" i="66" s="1"/>
  <c r="X36" i="66"/>
  <c r="Q36" i="66"/>
  <c r="S36" i="66" s="1"/>
  <c r="U36" i="66" s="1"/>
  <c r="J36" i="66"/>
  <c r="M36" i="66" s="1"/>
  <c r="X35" i="66"/>
  <c r="Q35" i="66"/>
  <c r="S35" i="66" s="1"/>
  <c r="U35" i="66" s="1"/>
  <c r="J35" i="66"/>
  <c r="M35" i="66" s="1"/>
  <c r="X34" i="66"/>
  <c r="Q34" i="66"/>
  <c r="S34" i="66" s="1"/>
  <c r="U34" i="66" s="1"/>
  <c r="J34" i="66"/>
  <c r="M34" i="66" s="1"/>
  <c r="X33" i="66"/>
  <c r="Q33" i="66"/>
  <c r="S33" i="66" s="1"/>
  <c r="U33" i="66" s="1"/>
  <c r="J33" i="66"/>
  <c r="M33" i="66" s="1"/>
  <c r="X32" i="66"/>
  <c r="Q32" i="66"/>
  <c r="S32" i="66" s="1"/>
  <c r="U32" i="66" s="1"/>
  <c r="J32" i="66"/>
  <c r="M32" i="66" s="1"/>
  <c r="X31" i="66"/>
  <c r="Q31" i="66"/>
  <c r="S31" i="66" s="1"/>
  <c r="U31" i="66" s="1"/>
  <c r="J31" i="66"/>
  <c r="M31" i="66" s="1"/>
  <c r="X30" i="66"/>
  <c r="Q30" i="66"/>
  <c r="S30" i="66" s="1"/>
  <c r="U30" i="66" s="1"/>
  <c r="J30" i="66"/>
  <c r="M30" i="66" s="1"/>
  <c r="X29" i="66"/>
  <c r="Q29" i="66"/>
  <c r="S29" i="66" s="1"/>
  <c r="U29" i="66" s="1"/>
  <c r="J29" i="66"/>
  <c r="M29" i="66" s="1"/>
  <c r="X28" i="66"/>
  <c r="Q28" i="66"/>
  <c r="S28" i="66" s="1"/>
  <c r="U28" i="66" s="1"/>
  <c r="J28" i="66"/>
  <c r="M28" i="66" s="1"/>
  <c r="X27" i="66"/>
  <c r="Q27" i="66"/>
  <c r="S27" i="66" s="1"/>
  <c r="U27" i="66" s="1"/>
  <c r="J27" i="66"/>
  <c r="M27" i="66" s="1"/>
  <c r="X26" i="66"/>
  <c r="Q26" i="66"/>
  <c r="S26" i="66" s="1"/>
  <c r="U26" i="66" s="1"/>
  <c r="J26" i="66"/>
  <c r="M26" i="66" s="1"/>
  <c r="X25" i="66"/>
  <c r="Q25" i="66"/>
  <c r="S25" i="66" s="1"/>
  <c r="U25" i="66" s="1"/>
  <c r="J25" i="66"/>
  <c r="M25" i="66" s="1"/>
  <c r="X24" i="66"/>
  <c r="Q24" i="66"/>
  <c r="S24" i="66" s="1"/>
  <c r="U24" i="66" s="1"/>
  <c r="J24" i="66"/>
  <c r="M24" i="66" s="1"/>
  <c r="X23" i="66"/>
  <c r="Q23" i="66"/>
  <c r="S23" i="66" s="1"/>
  <c r="U23" i="66" s="1"/>
  <c r="J23" i="66"/>
  <c r="M23" i="66" s="1"/>
  <c r="X22" i="66"/>
  <c r="S22" i="66"/>
  <c r="U22" i="66" s="1"/>
  <c r="Q22" i="66"/>
  <c r="J22" i="66"/>
  <c r="M22" i="66" s="1"/>
  <c r="X21" i="66"/>
  <c r="U21" i="66"/>
  <c r="S21" i="66"/>
  <c r="Q21" i="66"/>
  <c r="J21" i="66"/>
  <c r="M21" i="66" s="1"/>
  <c r="X20" i="66"/>
  <c r="Q20" i="66"/>
  <c r="S20" i="66" s="1"/>
  <c r="U20" i="66" s="1"/>
  <c r="J20" i="66"/>
  <c r="M20" i="66" s="1"/>
  <c r="X19" i="66"/>
  <c r="S19" i="66"/>
  <c r="U19" i="66" s="1"/>
  <c r="Q19" i="66"/>
  <c r="J19" i="66"/>
  <c r="M19" i="66" s="1"/>
  <c r="X18" i="66"/>
  <c r="Q18" i="66"/>
  <c r="S18" i="66" s="1"/>
  <c r="U18" i="66" s="1"/>
  <c r="J18" i="66"/>
  <c r="M18" i="66" s="1"/>
  <c r="X17" i="66"/>
  <c r="Q17" i="66"/>
  <c r="S17" i="66" s="1"/>
  <c r="U17" i="66" s="1"/>
  <c r="J17" i="66"/>
  <c r="M17" i="66" s="1"/>
  <c r="X16" i="66"/>
  <c r="Q16" i="66"/>
  <c r="S16" i="66" s="1"/>
  <c r="U16" i="66" s="1"/>
  <c r="J16" i="66"/>
  <c r="M16" i="66" s="1"/>
  <c r="X15" i="66"/>
  <c r="Q15" i="66"/>
  <c r="S15" i="66" s="1"/>
  <c r="U15" i="66" s="1"/>
  <c r="M15" i="66"/>
  <c r="J15" i="66"/>
  <c r="X14" i="66"/>
  <c r="Q14" i="66"/>
  <c r="S14" i="66" s="1"/>
  <c r="U14" i="66" s="1"/>
  <c r="J14" i="66"/>
  <c r="M14" i="66" s="1"/>
  <c r="X13" i="66"/>
  <c r="U13" i="66"/>
  <c r="S13" i="66"/>
  <c r="Q13" i="66"/>
  <c r="J13" i="66"/>
  <c r="M13" i="66" s="1"/>
  <c r="X12" i="66"/>
  <c r="Q12" i="66"/>
  <c r="S12" i="66" s="1"/>
  <c r="U12" i="66" s="1"/>
  <c r="J12" i="66"/>
  <c r="M12" i="66" s="1"/>
  <c r="X11" i="66"/>
  <c r="S11" i="66"/>
  <c r="U11" i="66" s="1"/>
  <c r="Q11" i="66"/>
  <c r="J11" i="66"/>
  <c r="M11" i="66" s="1"/>
  <c r="X10" i="66"/>
  <c r="Q10" i="66"/>
  <c r="S10" i="66" s="1"/>
  <c r="U10" i="66" s="1"/>
  <c r="J10" i="66"/>
  <c r="M10" i="66" s="1"/>
  <c r="X9" i="66"/>
  <c r="Q9" i="66"/>
  <c r="S9" i="66" s="1"/>
  <c r="U9" i="66" s="1"/>
  <c r="J9" i="66"/>
  <c r="M9" i="66" s="1"/>
  <c r="X8" i="66"/>
  <c r="Q8" i="66"/>
  <c r="S8" i="66" s="1"/>
  <c r="U8" i="66" s="1"/>
  <c r="J8" i="66"/>
  <c r="M8" i="66" s="1"/>
  <c r="X7" i="66"/>
  <c r="Q7" i="66"/>
  <c r="S7" i="66" s="1"/>
  <c r="U7" i="66" s="1"/>
  <c r="M7" i="66"/>
  <c r="J7" i="66"/>
  <c r="X6" i="66"/>
  <c r="Q6" i="66"/>
  <c r="S6" i="66" s="1"/>
  <c r="U6" i="66" s="1"/>
  <c r="J6" i="66"/>
  <c r="M6" i="66" s="1"/>
  <c r="X5" i="66"/>
  <c r="U5" i="66"/>
  <c r="S5" i="66"/>
  <c r="Q5" i="66"/>
  <c r="J5" i="66"/>
  <c r="M5" i="66" s="1"/>
  <c r="K222" i="65"/>
  <c r="N33" i="8" s="1"/>
  <c r="K219" i="65"/>
  <c r="J229" i="65" s="1"/>
  <c r="J215" i="65"/>
  <c r="J214" i="65"/>
  <c r="J213" i="65"/>
  <c r="J212" i="65"/>
  <c r="M212" i="65" s="1"/>
  <c r="J211" i="65"/>
  <c r="M211" i="65" s="1"/>
  <c r="J210" i="65"/>
  <c r="M210" i="65" s="1"/>
  <c r="M209" i="65"/>
  <c r="J209" i="65"/>
  <c r="J208" i="65"/>
  <c r="M208" i="65" s="1"/>
  <c r="J207" i="65"/>
  <c r="M207" i="65" s="1"/>
  <c r="M206" i="65"/>
  <c r="J206" i="65"/>
  <c r="J205" i="65"/>
  <c r="M205" i="65" s="1"/>
  <c r="M204" i="65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M197" i="65"/>
  <c r="J197" i="65"/>
  <c r="J196" i="65"/>
  <c r="M196" i="65" s="1"/>
  <c r="J195" i="65"/>
  <c r="M195" i="65" s="1"/>
  <c r="J194" i="65"/>
  <c r="M194" i="65" s="1"/>
  <c r="M193" i="65"/>
  <c r="J193" i="65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M179" i="65"/>
  <c r="J179" i="65"/>
  <c r="J178" i="65"/>
  <c r="M178" i="65" s="1"/>
  <c r="J177" i="65"/>
  <c r="M177" i="65" s="1"/>
  <c r="J176" i="65"/>
  <c r="M176" i="65" s="1"/>
  <c r="J175" i="65"/>
  <c r="M175" i="65" s="1"/>
  <c r="J174" i="65"/>
  <c r="M174" i="65" s="1"/>
  <c r="M173" i="65"/>
  <c r="J173" i="65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M152" i="65"/>
  <c r="J152" i="65"/>
  <c r="J151" i="65"/>
  <c r="M151" i="65" s="1"/>
  <c r="J150" i="65"/>
  <c r="M150" i="65" s="1"/>
  <c r="J149" i="65"/>
  <c r="M149" i="65" s="1"/>
  <c r="J148" i="65"/>
  <c r="M148" i="65" s="1"/>
  <c r="M147" i="65"/>
  <c r="J147" i="65"/>
  <c r="J146" i="65"/>
  <c r="M146" i="65" s="1"/>
  <c r="J145" i="65"/>
  <c r="M145" i="65" s="1"/>
  <c r="M144" i="65"/>
  <c r="J144" i="65"/>
  <c r="J143" i="65"/>
  <c r="M143" i="65" s="1"/>
  <c r="J142" i="65"/>
  <c r="M142" i="65" s="1"/>
  <c r="M141" i="65"/>
  <c r="J141" i="65"/>
  <c r="J140" i="65"/>
  <c r="M140" i="65" s="1"/>
  <c r="J139" i="65"/>
  <c r="M139" i="65" s="1"/>
  <c r="J138" i="65"/>
  <c r="M138" i="65" s="1"/>
  <c r="J137" i="65"/>
  <c r="M137" i="65" s="1"/>
  <c r="M136" i="65"/>
  <c r="J136" i="65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M129" i="65"/>
  <c r="J129" i="65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M117" i="65"/>
  <c r="J117" i="65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U104" i="65"/>
  <c r="S104" i="65"/>
  <c r="Q104" i="65"/>
  <c r="J104" i="65"/>
  <c r="M104" i="65" s="1"/>
  <c r="X103" i="65"/>
  <c r="Q103" i="65"/>
  <c r="S103" i="65" s="1"/>
  <c r="U103" i="65" s="1"/>
  <c r="M103" i="65"/>
  <c r="J103" i="65"/>
  <c r="X102" i="65"/>
  <c r="Q102" i="65"/>
  <c r="S102" i="65" s="1"/>
  <c r="U102" i="65" s="1"/>
  <c r="J102" i="65"/>
  <c r="M102" i="65" s="1"/>
  <c r="X101" i="65"/>
  <c r="Q101" i="65"/>
  <c r="S101" i="65" s="1"/>
  <c r="U101" i="65" s="1"/>
  <c r="M101" i="65"/>
  <c r="J101" i="65"/>
  <c r="X100" i="65"/>
  <c r="Q100" i="65"/>
  <c r="S100" i="65" s="1"/>
  <c r="U100" i="65" s="1"/>
  <c r="J100" i="65"/>
  <c r="M100" i="65" s="1"/>
  <c r="X99" i="65"/>
  <c r="U99" i="65"/>
  <c r="S99" i="65"/>
  <c r="Q99" i="65"/>
  <c r="J99" i="65"/>
  <c r="M99" i="65" s="1"/>
  <c r="X98" i="65"/>
  <c r="Q98" i="65"/>
  <c r="S98" i="65" s="1"/>
  <c r="U98" i="65" s="1"/>
  <c r="J98" i="65"/>
  <c r="M98" i="65" s="1"/>
  <c r="X97" i="65"/>
  <c r="S97" i="65"/>
  <c r="U97" i="65" s="1"/>
  <c r="Q97" i="65"/>
  <c r="M97" i="65"/>
  <c r="J97" i="65"/>
  <c r="X96" i="65"/>
  <c r="S96" i="65"/>
  <c r="U96" i="65" s="1"/>
  <c r="Q96" i="65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S91" i="65"/>
  <c r="U91" i="65" s="1"/>
  <c r="Q91" i="65"/>
  <c r="J91" i="65"/>
  <c r="M91" i="65" s="1"/>
  <c r="X90" i="65"/>
  <c r="Q90" i="65"/>
  <c r="S90" i="65" s="1"/>
  <c r="U90" i="65" s="1"/>
  <c r="J90" i="65"/>
  <c r="M90" i="65" s="1"/>
  <c r="X89" i="65"/>
  <c r="Q89" i="65"/>
  <c r="S89" i="65" s="1"/>
  <c r="U89" i="65" s="1"/>
  <c r="M89" i="65"/>
  <c r="J89" i="65"/>
  <c r="X88" i="65"/>
  <c r="S88" i="65"/>
  <c r="U88" i="65" s="1"/>
  <c r="Q88" i="65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S84" i="65"/>
  <c r="U84" i="65" s="1"/>
  <c r="Q84" i="65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S81" i="65"/>
  <c r="U81" i="65" s="1"/>
  <c r="Q81" i="65"/>
  <c r="M81" i="65"/>
  <c r="J81" i="65"/>
  <c r="X80" i="65"/>
  <c r="U80" i="65"/>
  <c r="S80" i="65"/>
  <c r="Q80" i="65"/>
  <c r="J80" i="65"/>
  <c r="M80" i="65" s="1"/>
  <c r="X79" i="65"/>
  <c r="S79" i="65"/>
  <c r="U79" i="65" s="1"/>
  <c r="Q79" i="65"/>
  <c r="J79" i="65"/>
  <c r="M79" i="65" s="1"/>
  <c r="X78" i="65"/>
  <c r="Q78" i="65"/>
  <c r="S78" i="65" s="1"/>
  <c r="U78" i="65" s="1"/>
  <c r="M78" i="65"/>
  <c r="J78" i="65"/>
  <c r="X77" i="65"/>
  <c r="Q77" i="65"/>
  <c r="S77" i="65" s="1"/>
  <c r="U77" i="65" s="1"/>
  <c r="J77" i="65"/>
  <c r="M77" i="65" s="1"/>
  <c r="X76" i="65"/>
  <c r="U76" i="65"/>
  <c r="S76" i="65"/>
  <c r="Q76" i="65"/>
  <c r="J76" i="65"/>
  <c r="M76" i="65" s="1"/>
  <c r="X75" i="65"/>
  <c r="U75" i="65"/>
  <c r="S75" i="65"/>
  <c r="Q75" i="65"/>
  <c r="M75" i="65"/>
  <c r="J75" i="65"/>
  <c r="X74" i="65"/>
  <c r="Q74" i="65"/>
  <c r="S74" i="65" s="1"/>
  <c r="U74" i="65" s="1"/>
  <c r="J74" i="65"/>
  <c r="M74" i="65" s="1"/>
  <c r="X73" i="65"/>
  <c r="S73" i="65"/>
  <c r="U73" i="65" s="1"/>
  <c r="Q73" i="65"/>
  <c r="M73" i="65"/>
  <c r="J73" i="65"/>
  <c r="X72" i="65"/>
  <c r="Q72" i="65"/>
  <c r="S72" i="65" s="1"/>
  <c r="U72" i="65" s="1"/>
  <c r="J72" i="65"/>
  <c r="M72" i="65" s="1"/>
  <c r="X71" i="65"/>
  <c r="S71" i="65"/>
  <c r="U71" i="65" s="1"/>
  <c r="Q71" i="65"/>
  <c r="M71" i="65"/>
  <c r="J71" i="65"/>
  <c r="X70" i="65"/>
  <c r="Q70" i="65"/>
  <c r="S70" i="65" s="1"/>
  <c r="U70" i="65" s="1"/>
  <c r="J70" i="65"/>
  <c r="M70" i="65" s="1"/>
  <c r="X69" i="65"/>
  <c r="S69" i="65"/>
  <c r="U69" i="65" s="1"/>
  <c r="Q69" i="65"/>
  <c r="J69" i="65"/>
  <c r="M69" i="65" s="1"/>
  <c r="X68" i="65"/>
  <c r="Q68" i="65"/>
  <c r="S68" i="65" s="1"/>
  <c r="U68" i="65" s="1"/>
  <c r="J68" i="65"/>
  <c r="M68" i="65" s="1"/>
  <c r="X67" i="65"/>
  <c r="U67" i="65"/>
  <c r="S67" i="65"/>
  <c r="Q67" i="65"/>
  <c r="M67" i="65"/>
  <c r="J67" i="65"/>
  <c r="X66" i="65"/>
  <c r="Q66" i="65"/>
  <c r="S66" i="65" s="1"/>
  <c r="U66" i="65" s="1"/>
  <c r="J66" i="65"/>
  <c r="M66" i="65" s="1"/>
  <c r="X65" i="65"/>
  <c r="S65" i="65"/>
  <c r="U65" i="65" s="1"/>
  <c r="Q65" i="65"/>
  <c r="M65" i="65"/>
  <c r="J65" i="65"/>
  <c r="X64" i="65"/>
  <c r="U64" i="65"/>
  <c r="Q64" i="65"/>
  <c r="S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S61" i="65"/>
  <c r="U61" i="65" s="1"/>
  <c r="Q61" i="65"/>
  <c r="J61" i="65"/>
  <c r="M61" i="65" s="1"/>
  <c r="X60" i="65"/>
  <c r="S60" i="65"/>
  <c r="U60" i="65" s="1"/>
  <c r="Q60" i="65"/>
  <c r="J60" i="65"/>
  <c r="M60" i="65" s="1"/>
  <c r="X59" i="65"/>
  <c r="S59" i="65"/>
  <c r="U59" i="65" s="1"/>
  <c r="Q59" i="65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U56" i="65"/>
  <c r="Q56" i="65"/>
  <c r="S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U52" i="65"/>
  <c r="S52" i="65"/>
  <c r="Q52" i="65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S49" i="65"/>
  <c r="U49" i="65" s="1"/>
  <c r="Q49" i="65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M46" i="65"/>
  <c r="J46" i="65"/>
  <c r="X45" i="65"/>
  <c r="Q45" i="65"/>
  <c r="S45" i="65" s="1"/>
  <c r="U45" i="65" s="1"/>
  <c r="J45" i="65"/>
  <c r="M45" i="65" s="1"/>
  <c r="X44" i="65"/>
  <c r="U44" i="65"/>
  <c r="S44" i="65"/>
  <c r="Q44" i="65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S38" i="65"/>
  <c r="U38" i="65" s="1"/>
  <c r="Q38" i="65"/>
  <c r="J38" i="65"/>
  <c r="M38" i="65" s="1"/>
  <c r="X37" i="65"/>
  <c r="Q37" i="65"/>
  <c r="S37" i="65" s="1"/>
  <c r="U37" i="65" s="1"/>
  <c r="J37" i="65"/>
  <c r="M37" i="65" s="1"/>
  <c r="X36" i="65"/>
  <c r="U36" i="65"/>
  <c r="S36" i="65"/>
  <c r="Q36" i="65"/>
  <c r="M36" i="65"/>
  <c r="J36" i="65"/>
  <c r="X35" i="65"/>
  <c r="Q35" i="65"/>
  <c r="S35" i="65" s="1"/>
  <c r="U35" i="65" s="1"/>
  <c r="J35" i="65"/>
  <c r="M35" i="65" s="1"/>
  <c r="X34" i="65"/>
  <c r="S34" i="65"/>
  <c r="U34" i="65" s="1"/>
  <c r="Q34" i="65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S29" i="65"/>
  <c r="U29" i="65" s="1"/>
  <c r="Q29" i="65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S26" i="65"/>
  <c r="U26" i="65" s="1"/>
  <c r="Q26" i="65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M22" i="65"/>
  <c r="J22" i="65"/>
  <c r="X21" i="65"/>
  <c r="Q21" i="65"/>
  <c r="S21" i="65" s="1"/>
  <c r="U21" i="65" s="1"/>
  <c r="J21" i="65"/>
  <c r="M21" i="65" s="1"/>
  <c r="X20" i="65"/>
  <c r="U20" i="65"/>
  <c r="S20" i="65"/>
  <c r="Q20" i="65"/>
  <c r="J20" i="65"/>
  <c r="M20" i="65" s="1"/>
  <c r="X19" i="65"/>
  <c r="Q19" i="65"/>
  <c r="S19" i="65" s="1"/>
  <c r="U19" i="65" s="1"/>
  <c r="J19" i="65"/>
  <c r="M19" i="65" s="1"/>
  <c r="X18" i="65"/>
  <c r="S18" i="65"/>
  <c r="U18" i="65" s="1"/>
  <c r="Q18" i="65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M15" i="65"/>
  <c r="J15" i="65"/>
  <c r="X14" i="65"/>
  <c r="Q14" i="65"/>
  <c r="S14" i="65" s="1"/>
  <c r="U14" i="65" s="1"/>
  <c r="J14" i="65"/>
  <c r="M14" i="65" s="1"/>
  <c r="X13" i="65"/>
  <c r="S13" i="65"/>
  <c r="U13" i="65" s="1"/>
  <c r="Q13" i="65"/>
  <c r="J13" i="65"/>
  <c r="M13" i="65" s="1"/>
  <c r="X12" i="65"/>
  <c r="S12" i="65"/>
  <c r="U12" i="65" s="1"/>
  <c r="Q12" i="65"/>
  <c r="M12" i="65"/>
  <c r="J12" i="65"/>
  <c r="X11" i="65"/>
  <c r="Q11" i="65"/>
  <c r="S11" i="65" s="1"/>
  <c r="U11" i="65" s="1"/>
  <c r="J11" i="65"/>
  <c r="M11" i="65" s="1"/>
  <c r="X10" i="65"/>
  <c r="S10" i="65"/>
  <c r="U10" i="65" s="1"/>
  <c r="Q10" i="65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S5" i="65"/>
  <c r="U5" i="65" s="1"/>
  <c r="Q5" i="65"/>
  <c r="J5" i="65"/>
  <c r="K222" i="64"/>
  <c r="N32" i="8" s="1"/>
  <c r="K219" i="64"/>
  <c r="R32" i="8" s="1"/>
  <c r="J215" i="64"/>
  <c r="J214" i="64"/>
  <c r="J213" i="64"/>
  <c r="J212" i="64"/>
  <c r="M212" i="64" s="1"/>
  <c r="J211" i="64"/>
  <c r="M211" i="64" s="1"/>
  <c r="M210" i="64"/>
  <c r="J210" i="64"/>
  <c r="J209" i="64"/>
  <c r="M209" i="64" s="1"/>
  <c r="M208" i="64"/>
  <c r="J208" i="64"/>
  <c r="J207" i="64"/>
  <c r="M207" i="64" s="1"/>
  <c r="J206" i="64"/>
  <c r="M206" i="64" s="1"/>
  <c r="J205" i="64"/>
  <c r="M205" i="64" s="1"/>
  <c r="M204" i="64"/>
  <c r="M203" i="64"/>
  <c r="J203" i="64"/>
  <c r="J202" i="64"/>
  <c r="M202" i="64" s="1"/>
  <c r="J201" i="64"/>
  <c r="M201" i="64" s="1"/>
  <c r="J200" i="64"/>
  <c r="M200" i="64" s="1"/>
  <c r="M199" i="64"/>
  <c r="J199" i="64"/>
  <c r="J198" i="64"/>
  <c r="M198" i="64" s="1"/>
  <c r="M197" i="64"/>
  <c r="J197" i="64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M183" i="64"/>
  <c r="J183" i="64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M175" i="64"/>
  <c r="J175" i="64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M165" i="64"/>
  <c r="J165" i="64"/>
  <c r="J164" i="64"/>
  <c r="M164" i="64" s="1"/>
  <c r="J163" i="64"/>
  <c r="M163" i="64" s="1"/>
  <c r="J162" i="64"/>
  <c r="M162" i="64" s="1"/>
  <c r="J161" i="64"/>
  <c r="M161" i="64" s="1"/>
  <c r="M160" i="64"/>
  <c r="J160" i="64"/>
  <c r="J159" i="64"/>
  <c r="M159" i="64" s="1"/>
  <c r="J158" i="64"/>
  <c r="M158" i="64" s="1"/>
  <c r="M157" i="64"/>
  <c r="J157" i="64"/>
  <c r="J156" i="64"/>
  <c r="M156" i="64" s="1"/>
  <c r="J155" i="64"/>
  <c r="M155" i="64" s="1"/>
  <c r="J154" i="64"/>
  <c r="M154" i="64" s="1"/>
  <c r="J153" i="64"/>
  <c r="M153" i="64" s="1"/>
  <c r="M152" i="64"/>
  <c r="J152" i="64"/>
  <c r="J151" i="64"/>
  <c r="M151" i="64" s="1"/>
  <c r="J150" i="64"/>
  <c r="M150" i="64" s="1"/>
  <c r="M149" i="64"/>
  <c r="J149" i="64"/>
  <c r="J148" i="64"/>
  <c r="M148" i="64" s="1"/>
  <c r="J147" i="64"/>
  <c r="M147" i="64" s="1"/>
  <c r="J146" i="64"/>
  <c r="M146" i="64" s="1"/>
  <c r="J145" i="64"/>
  <c r="M145" i="64" s="1"/>
  <c r="M144" i="64"/>
  <c r="J144" i="64"/>
  <c r="J143" i="64"/>
  <c r="M143" i="64" s="1"/>
  <c r="J142" i="64"/>
  <c r="M142" i="64" s="1"/>
  <c r="M141" i="64"/>
  <c r="J141" i="64"/>
  <c r="J140" i="64"/>
  <c r="M140" i="64" s="1"/>
  <c r="M139" i="64"/>
  <c r="J139" i="64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M129" i="64"/>
  <c r="J129" i="64"/>
  <c r="J128" i="64"/>
  <c r="M128" i="64" s="1"/>
  <c r="J127" i="64"/>
  <c r="M127" i="64" s="1"/>
  <c r="J126" i="64"/>
  <c r="M126" i="64" s="1"/>
  <c r="J125" i="64"/>
  <c r="M125" i="64" s="1"/>
  <c r="M124" i="64"/>
  <c r="J124" i="64"/>
  <c r="J123" i="64"/>
  <c r="M123" i="64" s="1"/>
  <c r="J122" i="64"/>
  <c r="M122" i="64" s="1"/>
  <c r="J121" i="64"/>
  <c r="M121" i="64" s="1"/>
  <c r="M120" i="64"/>
  <c r="J120" i="64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M112" i="64"/>
  <c r="J112" i="64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U104" i="64"/>
  <c r="Q104" i="64"/>
  <c r="S104" i="64" s="1"/>
  <c r="J104" i="64"/>
  <c r="M104" i="64" s="1"/>
  <c r="X103" i="64"/>
  <c r="S103" i="64"/>
  <c r="U103" i="64" s="1"/>
  <c r="Q103" i="64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S100" i="64"/>
  <c r="U100" i="64" s="1"/>
  <c r="Q100" i="64"/>
  <c r="J100" i="64"/>
  <c r="M100" i="64" s="1"/>
  <c r="X99" i="64"/>
  <c r="S99" i="64"/>
  <c r="U99" i="64" s="1"/>
  <c r="Q99" i="64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S92" i="64"/>
  <c r="U92" i="64" s="1"/>
  <c r="Q92" i="64"/>
  <c r="J92" i="64"/>
  <c r="M92" i="64" s="1"/>
  <c r="X91" i="64"/>
  <c r="S91" i="64"/>
  <c r="U91" i="64" s="1"/>
  <c r="Q91" i="64"/>
  <c r="J91" i="64"/>
  <c r="M91" i="64" s="1"/>
  <c r="X90" i="64"/>
  <c r="Q90" i="64"/>
  <c r="S90" i="64" s="1"/>
  <c r="U90" i="64" s="1"/>
  <c r="J90" i="64"/>
  <c r="M90" i="64" s="1"/>
  <c r="X89" i="64"/>
  <c r="S89" i="64"/>
  <c r="U89" i="64" s="1"/>
  <c r="Q89" i="64"/>
  <c r="J89" i="64"/>
  <c r="M89" i="64" s="1"/>
  <c r="X88" i="64"/>
  <c r="Q88" i="64"/>
  <c r="S88" i="64" s="1"/>
  <c r="U88" i="64" s="1"/>
  <c r="J88" i="64"/>
  <c r="M88" i="64" s="1"/>
  <c r="X87" i="64"/>
  <c r="S87" i="64"/>
  <c r="U87" i="64" s="1"/>
  <c r="Q87" i="64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S84" i="64"/>
  <c r="U84" i="64" s="1"/>
  <c r="Q84" i="64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M75" i="64"/>
  <c r="J75" i="64"/>
  <c r="X74" i="64"/>
  <c r="Q74" i="64"/>
  <c r="S74" i="64" s="1"/>
  <c r="U74" i="64" s="1"/>
  <c r="J74" i="64"/>
  <c r="M74" i="64" s="1"/>
  <c r="X73" i="64"/>
  <c r="Q73" i="64"/>
  <c r="S73" i="64" s="1"/>
  <c r="U73" i="64" s="1"/>
  <c r="M73" i="64"/>
  <c r="J73" i="64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S65" i="64"/>
  <c r="U65" i="64" s="1"/>
  <c r="Q65" i="64"/>
  <c r="J65" i="64"/>
  <c r="M65" i="64" s="1"/>
  <c r="X64" i="64"/>
  <c r="Q64" i="64"/>
  <c r="S64" i="64" s="1"/>
  <c r="U64" i="64" s="1"/>
  <c r="J64" i="64"/>
  <c r="M64" i="64" s="1"/>
  <c r="X63" i="64"/>
  <c r="S63" i="64"/>
  <c r="U63" i="64" s="1"/>
  <c r="Q63" i="64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M61" i="64"/>
  <c r="J61" i="64"/>
  <c r="X60" i="64"/>
  <c r="S60" i="64"/>
  <c r="U60" i="64" s="1"/>
  <c r="Q60" i="64"/>
  <c r="J60" i="64"/>
  <c r="M60" i="64" s="1"/>
  <c r="X59" i="64"/>
  <c r="U59" i="64"/>
  <c r="S59" i="64"/>
  <c r="Q59" i="64"/>
  <c r="J59" i="64"/>
  <c r="M59" i="64" s="1"/>
  <c r="X58" i="64"/>
  <c r="Q58" i="64"/>
  <c r="S58" i="64" s="1"/>
  <c r="U58" i="64" s="1"/>
  <c r="J58" i="64"/>
  <c r="M58" i="64" s="1"/>
  <c r="X57" i="64"/>
  <c r="S57" i="64"/>
  <c r="U57" i="64" s="1"/>
  <c r="Q57" i="64"/>
  <c r="J57" i="64"/>
  <c r="M57" i="64" s="1"/>
  <c r="X56" i="64"/>
  <c r="Q56" i="64"/>
  <c r="S56" i="64" s="1"/>
  <c r="U56" i="64" s="1"/>
  <c r="J56" i="64"/>
  <c r="M56" i="64" s="1"/>
  <c r="X55" i="64"/>
  <c r="S55" i="64"/>
  <c r="U55" i="64" s="1"/>
  <c r="Q55" i="64"/>
  <c r="J55" i="64"/>
  <c r="M55" i="64" s="1"/>
  <c r="X54" i="64"/>
  <c r="Q54" i="64"/>
  <c r="S54" i="64" s="1"/>
  <c r="U54" i="64" s="1"/>
  <c r="M54" i="64"/>
  <c r="J54" i="64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S43" i="64"/>
  <c r="U43" i="64" s="1"/>
  <c r="Q43" i="64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S38" i="64"/>
  <c r="U38" i="64" s="1"/>
  <c r="Q38" i="64"/>
  <c r="J38" i="64"/>
  <c r="M38" i="64" s="1"/>
  <c r="X37" i="64"/>
  <c r="Q37" i="64"/>
  <c r="S37" i="64" s="1"/>
  <c r="U37" i="64" s="1"/>
  <c r="J37" i="64"/>
  <c r="M37" i="64" s="1"/>
  <c r="X36" i="64"/>
  <c r="S36" i="64"/>
  <c r="U36" i="64" s="1"/>
  <c r="Q36" i="64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S29" i="64"/>
  <c r="U29" i="64" s="1"/>
  <c r="Q29" i="64"/>
  <c r="J29" i="64"/>
  <c r="M29" i="64" s="1"/>
  <c r="X28" i="64"/>
  <c r="U28" i="64"/>
  <c r="Q28" i="64"/>
  <c r="S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S21" i="64"/>
  <c r="U21" i="64" s="1"/>
  <c r="Q21" i="64"/>
  <c r="J21" i="64"/>
  <c r="M21" i="64" s="1"/>
  <c r="X20" i="64"/>
  <c r="S20" i="64"/>
  <c r="U20" i="64" s="1"/>
  <c r="Q20" i="64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S13" i="64"/>
  <c r="U13" i="64" s="1"/>
  <c r="Q13" i="64"/>
  <c r="J13" i="64"/>
  <c r="M13" i="64" s="1"/>
  <c r="X12" i="64"/>
  <c r="S12" i="64"/>
  <c r="U12" i="64" s="1"/>
  <c r="Q12" i="64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S9" i="64"/>
  <c r="U9" i="64" s="1"/>
  <c r="Q9" i="64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S5" i="64"/>
  <c r="U5" i="64" s="1"/>
  <c r="Q5" i="64"/>
  <c r="J5" i="64"/>
  <c r="K222" i="63"/>
  <c r="N31" i="8" s="1"/>
  <c r="K219" i="63"/>
  <c r="R31" i="8" s="1"/>
  <c r="J215" i="63"/>
  <c r="J214" i="63"/>
  <c r="J213" i="63"/>
  <c r="J212" i="63"/>
  <c r="M212" i="63" s="1"/>
  <c r="J211" i="63"/>
  <c r="M211" i="63" s="1"/>
  <c r="J210" i="63"/>
  <c r="M210" i="63" s="1"/>
  <c r="J209" i="63"/>
  <c r="M209" i="63" s="1"/>
  <c r="J208" i="63"/>
  <c r="M208" i="63" s="1"/>
  <c r="J207" i="63"/>
  <c r="M207" i="63" s="1"/>
  <c r="M206" i="63"/>
  <c r="J206" i="63"/>
  <c r="J205" i="63"/>
  <c r="M205" i="63" s="1"/>
  <c r="M204" i="63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M196" i="63"/>
  <c r="J196" i="63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M163" i="63"/>
  <c r="J163" i="63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M129" i="63"/>
  <c r="J129" i="63"/>
  <c r="J128" i="63"/>
  <c r="M128" i="63" s="1"/>
  <c r="M127" i="63"/>
  <c r="J127" i="63"/>
  <c r="J126" i="63"/>
  <c r="M126" i="63" s="1"/>
  <c r="J125" i="63"/>
  <c r="M125" i="63" s="1"/>
  <c r="J124" i="63"/>
  <c r="M124" i="63" s="1"/>
  <c r="M123" i="63"/>
  <c r="J123" i="63"/>
  <c r="J122" i="63"/>
  <c r="M122" i="63" s="1"/>
  <c r="M121" i="63"/>
  <c r="J121" i="63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M105" i="63"/>
  <c r="J105" i="63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S97" i="63"/>
  <c r="U97" i="63" s="1"/>
  <c r="Q97" i="63"/>
  <c r="J97" i="63"/>
  <c r="M97" i="63" s="1"/>
  <c r="X96" i="63"/>
  <c r="S96" i="63"/>
  <c r="U96" i="63" s="1"/>
  <c r="Q96" i="63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S91" i="63"/>
  <c r="U91" i="63" s="1"/>
  <c r="Q91" i="63"/>
  <c r="J91" i="63"/>
  <c r="M91" i="63" s="1"/>
  <c r="X90" i="63"/>
  <c r="Q90" i="63"/>
  <c r="S90" i="63" s="1"/>
  <c r="U90" i="63" s="1"/>
  <c r="J90" i="63"/>
  <c r="M90" i="63" s="1"/>
  <c r="X89" i="63"/>
  <c r="S89" i="63"/>
  <c r="U89" i="63" s="1"/>
  <c r="Q89" i="63"/>
  <c r="J89" i="63"/>
  <c r="M89" i="63" s="1"/>
  <c r="X88" i="63"/>
  <c r="S88" i="63"/>
  <c r="U88" i="63" s="1"/>
  <c r="Q88" i="63"/>
  <c r="J88" i="63"/>
  <c r="M88" i="63" s="1"/>
  <c r="X87" i="63"/>
  <c r="S87" i="63"/>
  <c r="U87" i="63" s="1"/>
  <c r="Q87" i="63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S83" i="63"/>
  <c r="U83" i="63" s="1"/>
  <c r="Q83" i="63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U74" i="63"/>
  <c r="Q74" i="63"/>
  <c r="S74" i="63" s="1"/>
  <c r="J74" i="63"/>
  <c r="M74" i="63" s="1"/>
  <c r="X73" i="63"/>
  <c r="Q73" i="63"/>
  <c r="S73" i="63" s="1"/>
  <c r="U73" i="63" s="1"/>
  <c r="J73" i="63"/>
  <c r="M73" i="63" s="1"/>
  <c r="X72" i="63"/>
  <c r="U72" i="63"/>
  <c r="S72" i="63"/>
  <c r="Q72" i="63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S67" i="63"/>
  <c r="U67" i="63" s="1"/>
  <c r="Q67" i="63"/>
  <c r="J67" i="63"/>
  <c r="M67" i="63" s="1"/>
  <c r="X66" i="63"/>
  <c r="Q66" i="63"/>
  <c r="S66" i="63" s="1"/>
  <c r="U66" i="63" s="1"/>
  <c r="J66" i="63"/>
  <c r="M66" i="63" s="1"/>
  <c r="X65" i="63"/>
  <c r="S65" i="63"/>
  <c r="U65" i="63" s="1"/>
  <c r="Q65" i="63"/>
  <c r="J65" i="63"/>
  <c r="M65" i="63" s="1"/>
  <c r="X64" i="63"/>
  <c r="S64" i="63"/>
  <c r="U64" i="63" s="1"/>
  <c r="Q64" i="63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S59" i="63"/>
  <c r="U59" i="63" s="1"/>
  <c r="Q59" i="63"/>
  <c r="J59" i="63"/>
  <c r="M59" i="63" s="1"/>
  <c r="X58" i="63"/>
  <c r="U58" i="63"/>
  <c r="Q58" i="63"/>
  <c r="S58" i="63" s="1"/>
  <c r="M58" i="63"/>
  <c r="J58" i="63"/>
  <c r="X57" i="63"/>
  <c r="S57" i="63"/>
  <c r="U57" i="63" s="1"/>
  <c r="Q57" i="63"/>
  <c r="J57" i="63"/>
  <c r="M57" i="63" s="1"/>
  <c r="X56" i="63"/>
  <c r="S56" i="63"/>
  <c r="U56" i="63" s="1"/>
  <c r="Q56" i="63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M54" i="63"/>
  <c r="J54" i="63"/>
  <c r="X53" i="63"/>
  <c r="Q53" i="63"/>
  <c r="S53" i="63" s="1"/>
  <c r="U53" i="63" s="1"/>
  <c r="J53" i="63"/>
  <c r="M53" i="63" s="1"/>
  <c r="X52" i="63"/>
  <c r="S52" i="63"/>
  <c r="U52" i="63" s="1"/>
  <c r="Q52" i="63"/>
  <c r="J52" i="63"/>
  <c r="M52" i="63" s="1"/>
  <c r="X51" i="63"/>
  <c r="S51" i="63"/>
  <c r="U51" i="63" s="1"/>
  <c r="Q51" i="63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S48" i="63"/>
  <c r="U48" i="63" s="1"/>
  <c r="Q48" i="63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M46" i="63"/>
  <c r="J46" i="63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S43" i="63"/>
  <c r="U43" i="63" s="1"/>
  <c r="Q43" i="63"/>
  <c r="J43" i="63"/>
  <c r="M43" i="63" s="1"/>
  <c r="X42" i="63"/>
  <c r="Q42" i="63"/>
  <c r="S42" i="63" s="1"/>
  <c r="U42" i="63" s="1"/>
  <c r="J42" i="63"/>
  <c r="M42" i="63" s="1"/>
  <c r="X41" i="63"/>
  <c r="S41" i="63"/>
  <c r="U41" i="63" s="1"/>
  <c r="Q41" i="63"/>
  <c r="J41" i="63"/>
  <c r="M41" i="63" s="1"/>
  <c r="X40" i="63"/>
  <c r="Q40" i="63"/>
  <c r="S40" i="63" s="1"/>
  <c r="U40" i="63" s="1"/>
  <c r="J40" i="63"/>
  <c r="M40" i="63" s="1"/>
  <c r="X39" i="63"/>
  <c r="U39" i="63"/>
  <c r="Q39" i="63"/>
  <c r="S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S36" i="63"/>
  <c r="U36" i="63" s="1"/>
  <c r="Q36" i="63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S32" i="63"/>
  <c r="U32" i="63" s="1"/>
  <c r="Q32" i="63"/>
  <c r="J32" i="63"/>
  <c r="M32" i="63" s="1"/>
  <c r="X31" i="63"/>
  <c r="Q31" i="63"/>
  <c r="S31" i="63" s="1"/>
  <c r="U31" i="63" s="1"/>
  <c r="J31" i="63"/>
  <c r="M31" i="63" s="1"/>
  <c r="X30" i="63"/>
  <c r="S30" i="63"/>
  <c r="U30" i="63" s="1"/>
  <c r="Q30" i="63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S26" i="63"/>
  <c r="U26" i="63" s="1"/>
  <c r="Q26" i="63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S20" i="63"/>
  <c r="U20" i="63" s="1"/>
  <c r="Q20" i="63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2" i="62"/>
  <c r="N30" i="8" s="1"/>
  <c r="K219" i="62"/>
  <c r="J229" i="62" s="1"/>
  <c r="J215" i="62"/>
  <c r="J214" i="62"/>
  <c r="J213" i="62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M151" i="62"/>
  <c r="J151" i="62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M141" i="62"/>
  <c r="J141" i="62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M127" i="62"/>
  <c r="J127" i="62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M97" i="62"/>
  <c r="J97" i="62"/>
  <c r="X96" i="62"/>
  <c r="Q96" i="62"/>
  <c r="S96" i="62" s="1"/>
  <c r="U96" i="62" s="1"/>
  <c r="J96" i="62"/>
  <c r="M96" i="62" s="1"/>
  <c r="X95" i="62"/>
  <c r="U95" i="62"/>
  <c r="Q95" i="62"/>
  <c r="S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S88" i="62"/>
  <c r="U88" i="62" s="1"/>
  <c r="Q88" i="62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M82" i="62"/>
  <c r="J82" i="62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U56" i="62"/>
  <c r="S56" i="62"/>
  <c r="Q56" i="62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U47" i="62"/>
  <c r="Q47" i="62"/>
  <c r="S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S40" i="62"/>
  <c r="U40" i="62" s="1"/>
  <c r="Q40" i="62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S32" i="62"/>
  <c r="U32" i="62" s="1"/>
  <c r="Q32" i="62"/>
  <c r="J32" i="62"/>
  <c r="M32" i="62" s="1"/>
  <c r="X31" i="62"/>
  <c r="Q31" i="62"/>
  <c r="S31" i="62" s="1"/>
  <c r="U31" i="62" s="1"/>
  <c r="J31" i="62"/>
  <c r="M31" i="62" s="1"/>
  <c r="X30" i="62"/>
  <c r="S30" i="62"/>
  <c r="U30" i="62" s="1"/>
  <c r="Q30" i="62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S22" i="62"/>
  <c r="U22" i="62" s="1"/>
  <c r="Q22" i="62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S14" i="62"/>
  <c r="U14" i="62" s="1"/>
  <c r="Q14" i="62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22" i="61"/>
  <c r="N29" i="8" s="1"/>
  <c r="K219" i="61"/>
  <c r="J229" i="61" s="1"/>
  <c r="J215" i="61"/>
  <c r="J214" i="61"/>
  <c r="J213" i="6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M204" i="61"/>
  <c r="J203" i="61"/>
  <c r="M203" i="61" s="1"/>
  <c r="J202" i="61"/>
  <c r="M202" i="61" s="1"/>
  <c r="J201" i="61"/>
  <c r="M201" i="61" s="1"/>
  <c r="J200" i="61"/>
  <c r="M200" i="61" s="1"/>
  <c r="M199" i="61"/>
  <c r="J199" i="6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M191" i="61"/>
  <c r="J191" i="61"/>
  <c r="J190" i="61"/>
  <c r="M190" i="61" s="1"/>
  <c r="J189" i="61"/>
  <c r="M189" i="61" s="1"/>
  <c r="J188" i="61"/>
  <c r="M188" i="61" s="1"/>
  <c r="J187" i="61"/>
  <c r="M187" i="61" s="1"/>
  <c r="J186" i="61"/>
  <c r="M186" i="61" s="1"/>
  <c r="M185" i="61"/>
  <c r="J185" i="61"/>
  <c r="J184" i="61"/>
  <c r="M184" i="61" s="1"/>
  <c r="M183" i="61"/>
  <c r="J183" i="6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M175" i="61"/>
  <c r="J175" i="6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M159" i="61"/>
  <c r="J159" i="6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M135" i="61"/>
  <c r="J135" i="6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M119" i="61"/>
  <c r="J119" i="6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M111" i="61"/>
  <c r="J111" i="6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S103" i="61"/>
  <c r="U103" i="61" s="1"/>
  <c r="Q103" i="6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S89" i="61"/>
  <c r="U89" i="61" s="1"/>
  <c r="Q89" i="6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S85" i="61"/>
  <c r="U85" i="61" s="1"/>
  <c r="Q85" i="6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S79" i="61"/>
  <c r="U79" i="61" s="1"/>
  <c r="Q79" i="6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S73" i="61"/>
  <c r="U73" i="61" s="1"/>
  <c r="Q73" i="61"/>
  <c r="J73" i="61"/>
  <c r="M73" i="61" s="1"/>
  <c r="X72" i="61"/>
  <c r="Q72" i="61"/>
  <c r="S72" i="61" s="1"/>
  <c r="U72" i="61" s="1"/>
  <c r="J72" i="61"/>
  <c r="M72" i="61" s="1"/>
  <c r="X71" i="61"/>
  <c r="S71" i="61"/>
  <c r="U71" i="61" s="1"/>
  <c r="Q71" i="6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S67" i="61"/>
  <c r="U67" i="61" s="1"/>
  <c r="Q67" i="6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S63" i="61"/>
  <c r="U63" i="61" s="1"/>
  <c r="Q63" i="6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S51" i="61"/>
  <c r="U51" i="61" s="1"/>
  <c r="Q51" i="6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U48" i="61"/>
  <c r="Q48" i="61"/>
  <c r="S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U44" i="61"/>
  <c r="Q44" i="61"/>
  <c r="S44" i="61" s="1"/>
  <c r="J44" i="61"/>
  <c r="M44" i="61" s="1"/>
  <c r="X43" i="61"/>
  <c r="S43" i="61"/>
  <c r="U43" i="61" s="1"/>
  <c r="Q43" i="6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S39" i="61"/>
  <c r="U39" i="61" s="1"/>
  <c r="Q39" i="61"/>
  <c r="J39" i="61"/>
  <c r="M39" i="61" s="1"/>
  <c r="X38" i="61"/>
  <c r="Q38" i="61"/>
  <c r="S38" i="61" s="1"/>
  <c r="U38" i="61" s="1"/>
  <c r="J38" i="61"/>
  <c r="M38" i="61" s="1"/>
  <c r="X37" i="61"/>
  <c r="S37" i="61"/>
  <c r="U37" i="61" s="1"/>
  <c r="Q37" i="6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S34" i="61"/>
  <c r="U34" i="61" s="1"/>
  <c r="Q34" i="6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M31" i="61"/>
  <c r="J31" i="6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S26" i="61"/>
  <c r="U26" i="61" s="1"/>
  <c r="Q26" i="6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S20" i="61"/>
  <c r="U20" i="61" s="1"/>
  <c r="Q20" i="6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S13" i="61"/>
  <c r="U13" i="61" s="1"/>
  <c r="Q13" i="61"/>
  <c r="J13" i="61"/>
  <c r="M13" i="61" s="1"/>
  <c r="X12" i="61"/>
  <c r="S12" i="61"/>
  <c r="U12" i="61" s="1"/>
  <c r="Q12" i="61"/>
  <c r="J12" i="61"/>
  <c r="M12" i="61" s="1"/>
  <c r="X11" i="61"/>
  <c r="Q11" i="61"/>
  <c r="S11" i="61" s="1"/>
  <c r="U11" i="61" s="1"/>
  <c r="J11" i="61"/>
  <c r="M11" i="61" s="1"/>
  <c r="X10" i="61"/>
  <c r="S10" i="61"/>
  <c r="U10" i="61" s="1"/>
  <c r="Q10" i="61"/>
  <c r="J10" i="61"/>
  <c r="M10" i="61" s="1"/>
  <c r="X9" i="61"/>
  <c r="Q9" i="61"/>
  <c r="S9" i="61" s="1"/>
  <c r="U9" i="61" s="1"/>
  <c r="J9" i="61"/>
  <c r="M9" i="61" s="1"/>
  <c r="X8" i="61"/>
  <c r="S8" i="61"/>
  <c r="U8" i="61" s="1"/>
  <c r="Q8" i="6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2" i="60"/>
  <c r="N28" i="8" s="1"/>
  <c r="K219" i="60"/>
  <c r="R28" i="8" s="1"/>
  <c r="J215" i="60"/>
  <c r="J214" i="60"/>
  <c r="J213" i="60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M204" i="60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M197" i="60"/>
  <c r="J197" i="60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9" i="60"/>
  <c r="J188" i="60"/>
  <c r="M188" i="60" s="1"/>
  <c r="J187" i="60"/>
  <c r="M187" i="60" s="1"/>
  <c r="J186" i="60"/>
  <c r="M186" i="60" s="1"/>
  <c r="M185" i="60"/>
  <c r="J185" i="60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M177" i="60"/>
  <c r="J177" i="60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M160" i="60"/>
  <c r="J160" i="60"/>
  <c r="J159" i="60"/>
  <c r="M159" i="60" s="1"/>
  <c r="J158" i="60"/>
  <c r="M158" i="60" s="1"/>
  <c r="J157" i="60"/>
  <c r="M157" i="60" s="1"/>
  <c r="M156" i="60"/>
  <c r="J156" i="60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M149" i="60"/>
  <c r="J149" i="60"/>
  <c r="J148" i="60"/>
  <c r="M148" i="60" s="1"/>
  <c r="J147" i="60"/>
  <c r="M147" i="60" s="1"/>
  <c r="J146" i="60"/>
  <c r="M146" i="60" s="1"/>
  <c r="M145" i="60"/>
  <c r="J145" i="60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M121" i="60"/>
  <c r="J121" i="60"/>
  <c r="J120" i="60"/>
  <c r="M120" i="60" s="1"/>
  <c r="J119" i="60"/>
  <c r="M119" i="60" s="1"/>
  <c r="J118" i="60"/>
  <c r="M118" i="60" s="1"/>
  <c r="M117" i="60"/>
  <c r="J117" i="60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S101" i="60"/>
  <c r="U101" i="60" s="1"/>
  <c r="Q101" i="60"/>
  <c r="J101" i="60"/>
  <c r="M101" i="60" s="1"/>
  <c r="X100" i="60"/>
  <c r="Q100" i="60"/>
  <c r="S100" i="60" s="1"/>
  <c r="U100" i="60" s="1"/>
  <c r="J100" i="60"/>
  <c r="M100" i="60" s="1"/>
  <c r="X99" i="60"/>
  <c r="S99" i="60"/>
  <c r="U99" i="60" s="1"/>
  <c r="Q99" i="60"/>
  <c r="J99" i="60"/>
  <c r="M99" i="60" s="1"/>
  <c r="X98" i="60"/>
  <c r="Q98" i="60"/>
  <c r="S98" i="60" s="1"/>
  <c r="U98" i="60" s="1"/>
  <c r="M98" i="60"/>
  <c r="J98" i="60"/>
  <c r="X97" i="60"/>
  <c r="Q97" i="60"/>
  <c r="S97" i="60" s="1"/>
  <c r="U97" i="60" s="1"/>
  <c r="M97" i="60"/>
  <c r="J97" i="60"/>
  <c r="X96" i="60"/>
  <c r="U96" i="60"/>
  <c r="S96" i="60"/>
  <c r="Q96" i="60"/>
  <c r="J96" i="60"/>
  <c r="M96" i="60" s="1"/>
  <c r="X95" i="60"/>
  <c r="U95" i="60"/>
  <c r="Q95" i="60"/>
  <c r="S95" i="60" s="1"/>
  <c r="M95" i="60"/>
  <c r="J95" i="60"/>
  <c r="X94" i="60"/>
  <c r="Q94" i="60"/>
  <c r="S94" i="60" s="1"/>
  <c r="U94" i="60" s="1"/>
  <c r="J94" i="60"/>
  <c r="M94" i="60" s="1"/>
  <c r="X93" i="60"/>
  <c r="Q93" i="60"/>
  <c r="S93" i="60" s="1"/>
  <c r="U93" i="60" s="1"/>
  <c r="M93" i="60"/>
  <c r="J93" i="60"/>
  <c r="X92" i="60"/>
  <c r="Q92" i="60"/>
  <c r="S92" i="60" s="1"/>
  <c r="U92" i="60" s="1"/>
  <c r="J92" i="60"/>
  <c r="M92" i="60" s="1"/>
  <c r="X91" i="60"/>
  <c r="Q91" i="60"/>
  <c r="S91" i="60" s="1"/>
  <c r="U91" i="60" s="1"/>
  <c r="M91" i="60"/>
  <c r="J91" i="60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U87" i="60"/>
  <c r="S87" i="60"/>
  <c r="Q87" i="60"/>
  <c r="J87" i="60"/>
  <c r="M87" i="60" s="1"/>
  <c r="X86" i="60"/>
  <c r="Q86" i="60"/>
  <c r="S86" i="60" s="1"/>
  <c r="U86" i="60" s="1"/>
  <c r="J86" i="60"/>
  <c r="M86" i="60" s="1"/>
  <c r="X85" i="60"/>
  <c r="S85" i="60"/>
  <c r="U85" i="60" s="1"/>
  <c r="Q85" i="60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S81" i="60"/>
  <c r="U81" i="60" s="1"/>
  <c r="Q81" i="60"/>
  <c r="J81" i="60"/>
  <c r="M81" i="60" s="1"/>
  <c r="X80" i="60"/>
  <c r="Q80" i="60"/>
  <c r="S80" i="60" s="1"/>
  <c r="U80" i="60" s="1"/>
  <c r="J80" i="60"/>
  <c r="M80" i="60" s="1"/>
  <c r="X79" i="60"/>
  <c r="U79" i="60"/>
  <c r="S79" i="60"/>
  <c r="Q79" i="60"/>
  <c r="J79" i="60"/>
  <c r="M79" i="60" s="1"/>
  <c r="X78" i="60"/>
  <c r="Q78" i="60"/>
  <c r="S78" i="60" s="1"/>
  <c r="U78" i="60" s="1"/>
  <c r="J78" i="60"/>
  <c r="M78" i="60" s="1"/>
  <c r="X77" i="60"/>
  <c r="S77" i="60"/>
  <c r="U77" i="60" s="1"/>
  <c r="Q77" i="60"/>
  <c r="J77" i="60"/>
  <c r="M77" i="60" s="1"/>
  <c r="X76" i="60"/>
  <c r="Q76" i="60"/>
  <c r="S76" i="60" s="1"/>
  <c r="U76" i="60" s="1"/>
  <c r="J76" i="60"/>
  <c r="M76" i="60" s="1"/>
  <c r="X75" i="60"/>
  <c r="S75" i="60"/>
  <c r="U75" i="60" s="1"/>
  <c r="Q75" i="60"/>
  <c r="J75" i="60"/>
  <c r="M75" i="60" s="1"/>
  <c r="X74" i="60"/>
  <c r="Q74" i="60"/>
  <c r="S74" i="60" s="1"/>
  <c r="U74" i="60" s="1"/>
  <c r="J74" i="60"/>
  <c r="M74" i="60" s="1"/>
  <c r="X73" i="60"/>
  <c r="S73" i="60"/>
  <c r="U73" i="60" s="1"/>
  <c r="Q73" i="60"/>
  <c r="J73" i="60"/>
  <c r="M73" i="60" s="1"/>
  <c r="X72" i="60"/>
  <c r="S72" i="60"/>
  <c r="U72" i="60" s="1"/>
  <c r="Q72" i="60"/>
  <c r="J72" i="60"/>
  <c r="M72" i="60" s="1"/>
  <c r="X71" i="60"/>
  <c r="U71" i="60"/>
  <c r="S71" i="60"/>
  <c r="Q71" i="60"/>
  <c r="J71" i="60"/>
  <c r="M71" i="60" s="1"/>
  <c r="X70" i="60"/>
  <c r="Q70" i="60"/>
  <c r="S70" i="60" s="1"/>
  <c r="U70" i="60" s="1"/>
  <c r="J70" i="60"/>
  <c r="M70" i="60" s="1"/>
  <c r="X69" i="60"/>
  <c r="S69" i="60"/>
  <c r="U69" i="60" s="1"/>
  <c r="Q69" i="60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S66" i="60"/>
  <c r="U66" i="60" s="1"/>
  <c r="Q66" i="60"/>
  <c r="M66" i="60"/>
  <c r="J66" i="60"/>
  <c r="X65" i="60"/>
  <c r="Q65" i="60"/>
  <c r="S65" i="60" s="1"/>
  <c r="U65" i="60" s="1"/>
  <c r="J65" i="60"/>
  <c r="M65" i="60" s="1"/>
  <c r="X64" i="60"/>
  <c r="S64" i="60"/>
  <c r="U64" i="60" s="1"/>
  <c r="Q64" i="60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S58" i="60"/>
  <c r="U58" i="60" s="1"/>
  <c r="Q58" i="60"/>
  <c r="M58" i="60"/>
  <c r="J58" i="60"/>
  <c r="X57" i="60"/>
  <c r="S57" i="60"/>
  <c r="U57" i="60" s="1"/>
  <c r="Q57" i="60"/>
  <c r="J57" i="60"/>
  <c r="M57" i="60" s="1"/>
  <c r="X56" i="60"/>
  <c r="Q56" i="60"/>
  <c r="S56" i="60" s="1"/>
  <c r="U56" i="60" s="1"/>
  <c r="J56" i="60"/>
  <c r="M56" i="60" s="1"/>
  <c r="X55" i="60"/>
  <c r="S55" i="60"/>
  <c r="U55" i="60" s="1"/>
  <c r="Q55" i="60"/>
  <c r="M55" i="60"/>
  <c r="J55" i="60"/>
  <c r="X54" i="60"/>
  <c r="Q54" i="60"/>
  <c r="S54" i="60" s="1"/>
  <c r="U54" i="60" s="1"/>
  <c r="J54" i="60"/>
  <c r="M54" i="60" s="1"/>
  <c r="X53" i="60"/>
  <c r="S53" i="60"/>
  <c r="U53" i="60" s="1"/>
  <c r="Q53" i="60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S50" i="60"/>
  <c r="U50" i="60" s="1"/>
  <c r="Q50" i="60"/>
  <c r="J50" i="60"/>
  <c r="M50" i="60" s="1"/>
  <c r="X49" i="60"/>
  <c r="S49" i="60"/>
  <c r="U49" i="60" s="1"/>
  <c r="Q49" i="60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M47" i="60"/>
  <c r="J47" i="60"/>
  <c r="X46" i="60"/>
  <c r="Q46" i="60"/>
  <c r="S46" i="60" s="1"/>
  <c r="U46" i="60" s="1"/>
  <c r="J46" i="60"/>
  <c r="M46" i="60" s="1"/>
  <c r="X45" i="60"/>
  <c r="S45" i="60"/>
  <c r="U45" i="60" s="1"/>
  <c r="Q45" i="60"/>
  <c r="J45" i="60"/>
  <c r="M45" i="60" s="1"/>
  <c r="X44" i="60"/>
  <c r="Q44" i="60"/>
  <c r="S44" i="60" s="1"/>
  <c r="U44" i="60" s="1"/>
  <c r="M44" i="60"/>
  <c r="J44" i="60"/>
  <c r="X43" i="60"/>
  <c r="Q43" i="60"/>
  <c r="S43" i="60" s="1"/>
  <c r="U43" i="60" s="1"/>
  <c r="J43" i="60"/>
  <c r="M43" i="60" s="1"/>
  <c r="X42" i="60"/>
  <c r="S42" i="60"/>
  <c r="U42" i="60" s="1"/>
  <c r="Q42" i="60"/>
  <c r="J42" i="60"/>
  <c r="M42" i="60" s="1"/>
  <c r="X41" i="60"/>
  <c r="Q41" i="60"/>
  <c r="S41" i="60" s="1"/>
  <c r="U41" i="60" s="1"/>
  <c r="J41" i="60"/>
  <c r="M41" i="60" s="1"/>
  <c r="X40" i="60"/>
  <c r="S40" i="60"/>
  <c r="U40" i="60" s="1"/>
  <c r="Q40" i="60"/>
  <c r="J40" i="60"/>
  <c r="M40" i="60" s="1"/>
  <c r="X39" i="60"/>
  <c r="Q39" i="60"/>
  <c r="S39" i="60" s="1"/>
  <c r="U39" i="60" s="1"/>
  <c r="M39" i="60"/>
  <c r="J39" i="60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S36" i="60"/>
  <c r="U36" i="60" s="1"/>
  <c r="Q36" i="60"/>
  <c r="J36" i="60"/>
  <c r="M36" i="60" s="1"/>
  <c r="X35" i="60"/>
  <c r="S35" i="60"/>
  <c r="U35" i="60" s="1"/>
  <c r="Q35" i="60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S32" i="60"/>
  <c r="U32" i="60" s="1"/>
  <c r="Q32" i="60"/>
  <c r="J32" i="60"/>
  <c r="M32" i="60" s="1"/>
  <c r="X31" i="60"/>
  <c r="Q31" i="60"/>
  <c r="S31" i="60" s="1"/>
  <c r="U31" i="60" s="1"/>
  <c r="J31" i="60"/>
  <c r="M31" i="60" s="1"/>
  <c r="X30" i="60"/>
  <c r="S30" i="60"/>
  <c r="U30" i="60" s="1"/>
  <c r="Q30" i="60"/>
  <c r="J30" i="60"/>
  <c r="M30" i="60" s="1"/>
  <c r="X29" i="60"/>
  <c r="Q29" i="60"/>
  <c r="S29" i="60" s="1"/>
  <c r="U29" i="60" s="1"/>
  <c r="J29" i="60"/>
  <c r="M29" i="60" s="1"/>
  <c r="X28" i="60"/>
  <c r="S28" i="60"/>
  <c r="U28" i="60" s="1"/>
  <c r="Q28" i="60"/>
  <c r="J28" i="60"/>
  <c r="M28" i="60" s="1"/>
  <c r="X27" i="60"/>
  <c r="U27" i="60"/>
  <c r="S27" i="60"/>
  <c r="Q27" i="60"/>
  <c r="J27" i="60"/>
  <c r="M27" i="60" s="1"/>
  <c r="X26" i="60"/>
  <c r="S26" i="60"/>
  <c r="U26" i="60" s="1"/>
  <c r="Q26" i="60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M22" i="60"/>
  <c r="J22" i="60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U19" i="60"/>
  <c r="S19" i="60"/>
  <c r="Q19" i="60"/>
  <c r="J19" i="60"/>
  <c r="M19" i="60" s="1"/>
  <c r="X18" i="60"/>
  <c r="S18" i="60"/>
  <c r="U18" i="60" s="1"/>
  <c r="Q18" i="60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M13" i="60"/>
  <c r="J13" i="60"/>
  <c r="X12" i="60"/>
  <c r="Q12" i="60"/>
  <c r="S12" i="60" s="1"/>
  <c r="U12" i="60" s="1"/>
  <c r="M12" i="60"/>
  <c r="J12" i="60"/>
  <c r="X11" i="60"/>
  <c r="Q11" i="60"/>
  <c r="S11" i="60" s="1"/>
  <c r="U11" i="60" s="1"/>
  <c r="J11" i="60"/>
  <c r="M11" i="60" s="1"/>
  <c r="X10" i="60"/>
  <c r="Q10" i="60"/>
  <c r="S10" i="60" s="1"/>
  <c r="U10" i="60" s="1"/>
  <c r="M10" i="60"/>
  <c r="J10" i="60"/>
  <c r="X9" i="60"/>
  <c r="Q9" i="60"/>
  <c r="S9" i="60" s="1"/>
  <c r="U9" i="60" s="1"/>
  <c r="J9" i="60"/>
  <c r="M9" i="60" s="1"/>
  <c r="X8" i="60"/>
  <c r="Q8" i="60"/>
  <c r="S8" i="60" s="1"/>
  <c r="U8" i="60" s="1"/>
  <c r="M8" i="60"/>
  <c r="J8" i="60"/>
  <c r="X7" i="60"/>
  <c r="Q7" i="60"/>
  <c r="S7" i="60" s="1"/>
  <c r="U7" i="60" s="1"/>
  <c r="J7" i="60"/>
  <c r="M7" i="60" s="1"/>
  <c r="X6" i="60"/>
  <c r="Q6" i="60"/>
  <c r="S6" i="60" s="1"/>
  <c r="U6" i="60" s="1"/>
  <c r="M6" i="60"/>
  <c r="J6" i="60"/>
  <c r="X5" i="60"/>
  <c r="Q5" i="60"/>
  <c r="S5" i="60" s="1"/>
  <c r="U5" i="60" s="1"/>
  <c r="J5" i="60"/>
  <c r="M5" i="60" s="1"/>
  <c r="K222" i="59"/>
  <c r="N27" i="8" s="1"/>
  <c r="K219" i="59"/>
  <c r="R27" i="8" s="1"/>
  <c r="J215" i="59"/>
  <c r="J214" i="59"/>
  <c r="J213" i="59"/>
  <c r="J212" i="59"/>
  <c r="M212" i="59" s="1"/>
  <c r="J211" i="59"/>
  <c r="M211" i="59" s="1"/>
  <c r="J210" i="59"/>
  <c r="M210" i="59" s="1"/>
  <c r="M209" i="59"/>
  <c r="J209" i="59"/>
  <c r="J208" i="59"/>
  <c r="M208" i="59" s="1"/>
  <c r="J207" i="59"/>
  <c r="M207" i="59" s="1"/>
  <c r="J206" i="59"/>
  <c r="M206" i="59" s="1"/>
  <c r="J205" i="59"/>
  <c r="M205" i="59" s="1"/>
  <c r="M204" i="59"/>
  <c r="J203" i="59"/>
  <c r="M203" i="59" s="1"/>
  <c r="J202" i="59"/>
  <c r="M202" i="59" s="1"/>
  <c r="J201" i="59"/>
  <c r="M201" i="59" s="1"/>
  <c r="J200" i="59"/>
  <c r="M200" i="59" s="1"/>
  <c r="J199" i="59"/>
  <c r="M199" i="59" s="1"/>
  <c r="M198" i="59"/>
  <c r="J198" i="59"/>
  <c r="J197" i="59"/>
  <c r="M197" i="59" s="1"/>
  <c r="J196" i="59"/>
  <c r="M196" i="59" s="1"/>
  <c r="J195" i="59"/>
  <c r="M195" i="59" s="1"/>
  <c r="J194" i="59"/>
  <c r="M194" i="59" s="1"/>
  <c r="M193" i="59"/>
  <c r="J193" i="59"/>
  <c r="J192" i="59"/>
  <c r="M192" i="59" s="1"/>
  <c r="J191" i="59"/>
  <c r="M191" i="59" s="1"/>
  <c r="J190" i="59"/>
  <c r="M190" i="59" s="1"/>
  <c r="J189" i="59"/>
  <c r="M189" i="59" s="1"/>
  <c r="M188" i="59"/>
  <c r="J188" i="59"/>
  <c r="J187" i="59"/>
  <c r="M187" i="59" s="1"/>
  <c r="J186" i="59"/>
  <c r="M186" i="59" s="1"/>
  <c r="J185" i="59"/>
  <c r="M185" i="59" s="1"/>
  <c r="J184" i="59"/>
  <c r="M184" i="59" s="1"/>
  <c r="J183" i="59"/>
  <c r="M183" i="59" s="1"/>
  <c r="M182" i="59"/>
  <c r="J182" i="59"/>
  <c r="J181" i="59"/>
  <c r="M181" i="59" s="1"/>
  <c r="M180" i="59"/>
  <c r="J180" i="59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M165" i="59"/>
  <c r="J165" i="59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M152" i="59"/>
  <c r="J152" i="59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M106" i="59"/>
  <c r="J106" i="59"/>
  <c r="Z105" i="59"/>
  <c r="J105" i="59"/>
  <c r="M105" i="59" s="1"/>
  <c r="X104" i="59"/>
  <c r="S104" i="59"/>
  <c r="U104" i="59" s="1"/>
  <c r="Q104" i="59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M102" i="59"/>
  <c r="J102" i="59"/>
  <c r="X101" i="59"/>
  <c r="S101" i="59"/>
  <c r="U101" i="59" s="1"/>
  <c r="Q101" i="59"/>
  <c r="J101" i="59"/>
  <c r="M101" i="59" s="1"/>
  <c r="X100" i="59"/>
  <c r="S100" i="59"/>
  <c r="U100" i="59" s="1"/>
  <c r="Q100" i="59"/>
  <c r="J100" i="59"/>
  <c r="M100" i="59" s="1"/>
  <c r="X99" i="59"/>
  <c r="Q99" i="59"/>
  <c r="S99" i="59" s="1"/>
  <c r="U99" i="59" s="1"/>
  <c r="M99" i="59"/>
  <c r="J99" i="59"/>
  <c r="X98" i="59"/>
  <c r="S98" i="59"/>
  <c r="U98" i="59" s="1"/>
  <c r="Q98" i="59"/>
  <c r="M98" i="59"/>
  <c r="J98" i="59"/>
  <c r="X97" i="59"/>
  <c r="Q97" i="59"/>
  <c r="S97" i="59" s="1"/>
  <c r="U97" i="59" s="1"/>
  <c r="M97" i="59"/>
  <c r="J97" i="59"/>
  <c r="X96" i="59"/>
  <c r="U96" i="59"/>
  <c r="Q96" i="59"/>
  <c r="S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S93" i="59"/>
  <c r="U93" i="59" s="1"/>
  <c r="Q93" i="59"/>
  <c r="J93" i="59"/>
  <c r="M93" i="59" s="1"/>
  <c r="X92" i="59"/>
  <c r="S92" i="59"/>
  <c r="U92" i="59" s="1"/>
  <c r="Q92" i="59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S87" i="59"/>
  <c r="U87" i="59" s="1"/>
  <c r="Q87" i="59"/>
  <c r="M87" i="59"/>
  <c r="J87" i="59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S82" i="59"/>
  <c r="U82" i="59" s="1"/>
  <c r="Q82" i="59"/>
  <c r="J82" i="59"/>
  <c r="M82" i="59" s="1"/>
  <c r="X81" i="59"/>
  <c r="S81" i="59"/>
  <c r="U81" i="59" s="1"/>
  <c r="Q81" i="59"/>
  <c r="J81" i="59"/>
  <c r="M81" i="59" s="1"/>
  <c r="X80" i="59"/>
  <c r="S80" i="59"/>
  <c r="U80" i="59" s="1"/>
  <c r="Q80" i="59"/>
  <c r="J80" i="59"/>
  <c r="M80" i="59" s="1"/>
  <c r="X79" i="59"/>
  <c r="S79" i="59"/>
  <c r="U79" i="59" s="1"/>
  <c r="Q79" i="59"/>
  <c r="J79" i="59"/>
  <c r="M79" i="59" s="1"/>
  <c r="X78" i="59"/>
  <c r="Q78" i="59"/>
  <c r="S78" i="59" s="1"/>
  <c r="U78" i="59" s="1"/>
  <c r="M78" i="59"/>
  <c r="J78" i="59"/>
  <c r="X77" i="59"/>
  <c r="Q77" i="59"/>
  <c r="S77" i="59" s="1"/>
  <c r="U77" i="59" s="1"/>
  <c r="J77" i="59"/>
  <c r="M77" i="59" s="1"/>
  <c r="X76" i="59"/>
  <c r="U76" i="59"/>
  <c r="S76" i="59"/>
  <c r="Q76" i="59"/>
  <c r="J76" i="59"/>
  <c r="M76" i="59" s="1"/>
  <c r="X75" i="59"/>
  <c r="Q75" i="59"/>
  <c r="S75" i="59" s="1"/>
  <c r="U75" i="59" s="1"/>
  <c r="M75" i="59"/>
  <c r="J75" i="59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U72" i="59"/>
  <c r="S72" i="59"/>
  <c r="Q72" i="59"/>
  <c r="J72" i="59"/>
  <c r="M72" i="59" s="1"/>
  <c r="X71" i="59"/>
  <c r="S71" i="59"/>
  <c r="U71" i="59" s="1"/>
  <c r="Q71" i="59"/>
  <c r="J71" i="59"/>
  <c r="M71" i="59" s="1"/>
  <c r="X70" i="59"/>
  <c r="Q70" i="59"/>
  <c r="S70" i="59" s="1"/>
  <c r="U70" i="59" s="1"/>
  <c r="M70" i="59"/>
  <c r="J70" i="59"/>
  <c r="X69" i="59"/>
  <c r="S69" i="59"/>
  <c r="U69" i="59" s="1"/>
  <c r="Q69" i="59"/>
  <c r="J69" i="59"/>
  <c r="M69" i="59" s="1"/>
  <c r="X68" i="59"/>
  <c r="S68" i="59"/>
  <c r="U68" i="59" s="1"/>
  <c r="Q68" i="59"/>
  <c r="J68" i="59"/>
  <c r="M68" i="59" s="1"/>
  <c r="X67" i="59"/>
  <c r="Q67" i="59"/>
  <c r="S67" i="59" s="1"/>
  <c r="U67" i="59" s="1"/>
  <c r="M67" i="59"/>
  <c r="J67" i="59"/>
  <c r="X66" i="59"/>
  <c r="S66" i="59"/>
  <c r="U66" i="59" s="1"/>
  <c r="Q66" i="59"/>
  <c r="J66" i="59"/>
  <c r="M66" i="59" s="1"/>
  <c r="X65" i="59"/>
  <c r="S65" i="59"/>
  <c r="U65" i="59" s="1"/>
  <c r="Q65" i="59"/>
  <c r="J65" i="59"/>
  <c r="M65" i="59" s="1"/>
  <c r="X64" i="59"/>
  <c r="U64" i="59"/>
  <c r="S64" i="59"/>
  <c r="Q64" i="59"/>
  <c r="J64" i="59"/>
  <c r="M64" i="59" s="1"/>
  <c r="X63" i="59"/>
  <c r="S63" i="59"/>
  <c r="U63" i="59" s="1"/>
  <c r="Q63" i="59"/>
  <c r="J63" i="59"/>
  <c r="M63" i="59" s="1"/>
  <c r="X62" i="59"/>
  <c r="Q62" i="59"/>
  <c r="S62" i="59" s="1"/>
  <c r="U62" i="59" s="1"/>
  <c r="M62" i="59"/>
  <c r="J62" i="59"/>
  <c r="X61" i="59"/>
  <c r="Q61" i="59"/>
  <c r="S61" i="59" s="1"/>
  <c r="U61" i="59" s="1"/>
  <c r="J61" i="59"/>
  <c r="M61" i="59" s="1"/>
  <c r="X60" i="59"/>
  <c r="U60" i="59"/>
  <c r="S60" i="59"/>
  <c r="Q60" i="59"/>
  <c r="J60" i="59"/>
  <c r="M60" i="59" s="1"/>
  <c r="X59" i="59"/>
  <c r="Q59" i="59"/>
  <c r="S59" i="59" s="1"/>
  <c r="U59" i="59" s="1"/>
  <c r="M59" i="59"/>
  <c r="J59" i="59"/>
  <c r="X58" i="59"/>
  <c r="S58" i="59"/>
  <c r="U58" i="59" s="1"/>
  <c r="Q58" i="59"/>
  <c r="J58" i="59"/>
  <c r="M58" i="59" s="1"/>
  <c r="X57" i="59"/>
  <c r="Q57" i="59"/>
  <c r="S57" i="59" s="1"/>
  <c r="U57" i="59" s="1"/>
  <c r="J57" i="59"/>
  <c r="M57" i="59" s="1"/>
  <c r="X56" i="59"/>
  <c r="S56" i="59"/>
  <c r="U56" i="59" s="1"/>
  <c r="Q56" i="59"/>
  <c r="J56" i="59"/>
  <c r="M56" i="59" s="1"/>
  <c r="X55" i="59"/>
  <c r="S55" i="59"/>
  <c r="U55" i="59" s="1"/>
  <c r="Q55" i="59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M51" i="59"/>
  <c r="J51" i="59"/>
  <c r="X50" i="59"/>
  <c r="Q50" i="59"/>
  <c r="S50" i="59" s="1"/>
  <c r="U50" i="59" s="1"/>
  <c r="M50" i="59"/>
  <c r="J50" i="59"/>
  <c r="X49" i="59"/>
  <c r="S49" i="59"/>
  <c r="U49" i="59" s="1"/>
  <c r="Q49" i="59"/>
  <c r="M49" i="59"/>
  <c r="J49" i="59"/>
  <c r="X48" i="59"/>
  <c r="U48" i="59"/>
  <c r="Q48" i="59"/>
  <c r="S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M46" i="59"/>
  <c r="J46" i="59"/>
  <c r="X45" i="59"/>
  <c r="Q45" i="59"/>
  <c r="S45" i="59" s="1"/>
  <c r="U45" i="59" s="1"/>
  <c r="J45" i="59"/>
  <c r="M45" i="59" s="1"/>
  <c r="X44" i="59"/>
  <c r="U44" i="59"/>
  <c r="S44" i="59"/>
  <c r="Q44" i="59"/>
  <c r="J44" i="59"/>
  <c r="M44" i="59" s="1"/>
  <c r="X43" i="59"/>
  <c r="Q43" i="59"/>
  <c r="S43" i="59" s="1"/>
  <c r="U43" i="59" s="1"/>
  <c r="J43" i="59"/>
  <c r="M43" i="59" s="1"/>
  <c r="X42" i="59"/>
  <c r="S42" i="59"/>
  <c r="U42" i="59" s="1"/>
  <c r="Q42" i="59"/>
  <c r="J42" i="59"/>
  <c r="M42" i="59" s="1"/>
  <c r="X41" i="59"/>
  <c r="S41" i="59"/>
  <c r="U41" i="59" s="1"/>
  <c r="Q41" i="59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U37" i="59"/>
  <c r="Q37" i="59"/>
  <c r="S37" i="59" s="1"/>
  <c r="M37" i="59"/>
  <c r="J37" i="59"/>
  <c r="X36" i="59"/>
  <c r="Q36" i="59"/>
  <c r="S36" i="59" s="1"/>
  <c r="U36" i="59" s="1"/>
  <c r="J36" i="59"/>
  <c r="M36" i="59" s="1"/>
  <c r="X35" i="59"/>
  <c r="Q35" i="59"/>
  <c r="S35" i="59" s="1"/>
  <c r="U35" i="59" s="1"/>
  <c r="M35" i="59"/>
  <c r="J35" i="59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S27" i="59"/>
  <c r="U27" i="59" s="1"/>
  <c r="Q27" i="59"/>
  <c r="M27" i="59"/>
  <c r="J27" i="59"/>
  <c r="X26" i="59"/>
  <c r="Q26" i="59"/>
  <c r="S26" i="59" s="1"/>
  <c r="U26" i="59" s="1"/>
  <c r="J26" i="59"/>
  <c r="M26" i="59" s="1"/>
  <c r="X25" i="59"/>
  <c r="S25" i="59"/>
  <c r="U25" i="59" s="1"/>
  <c r="Q25" i="59"/>
  <c r="J25" i="59"/>
  <c r="M25" i="59" s="1"/>
  <c r="X24" i="59"/>
  <c r="Q24" i="59"/>
  <c r="S24" i="59" s="1"/>
  <c r="U24" i="59" s="1"/>
  <c r="M24" i="59"/>
  <c r="J24" i="59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U21" i="59"/>
  <c r="S21" i="59"/>
  <c r="Q21" i="59"/>
  <c r="M21" i="59"/>
  <c r="J21" i="59"/>
  <c r="X20" i="59"/>
  <c r="Q20" i="59"/>
  <c r="S20" i="59" s="1"/>
  <c r="U20" i="59" s="1"/>
  <c r="J20" i="59"/>
  <c r="M20" i="59" s="1"/>
  <c r="X19" i="59"/>
  <c r="S19" i="59"/>
  <c r="U19" i="59" s="1"/>
  <c r="Q19" i="59"/>
  <c r="M19" i="59"/>
  <c r="J19" i="59"/>
  <c r="X18" i="59"/>
  <c r="Q18" i="59"/>
  <c r="S18" i="59" s="1"/>
  <c r="U18" i="59" s="1"/>
  <c r="J18" i="59"/>
  <c r="M18" i="59" s="1"/>
  <c r="X17" i="59"/>
  <c r="S17" i="59"/>
  <c r="U17" i="59" s="1"/>
  <c r="Q17" i="59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M15" i="59"/>
  <c r="J15" i="59"/>
  <c r="X14" i="59"/>
  <c r="Q14" i="59"/>
  <c r="S14" i="59" s="1"/>
  <c r="U14" i="59" s="1"/>
  <c r="J14" i="59"/>
  <c r="M14" i="59" s="1"/>
  <c r="X13" i="59"/>
  <c r="S13" i="59"/>
  <c r="U13" i="59" s="1"/>
  <c r="Q13" i="59"/>
  <c r="M13" i="59"/>
  <c r="J13" i="59"/>
  <c r="X12" i="59"/>
  <c r="Q12" i="59"/>
  <c r="S12" i="59" s="1"/>
  <c r="U12" i="59" s="1"/>
  <c r="J12" i="59"/>
  <c r="M12" i="59" s="1"/>
  <c r="X11" i="59"/>
  <c r="S11" i="59"/>
  <c r="U11" i="59" s="1"/>
  <c r="Q11" i="59"/>
  <c r="M11" i="59"/>
  <c r="J11" i="59"/>
  <c r="X10" i="59"/>
  <c r="Q10" i="59"/>
  <c r="S10" i="59" s="1"/>
  <c r="U10" i="59" s="1"/>
  <c r="J10" i="59"/>
  <c r="M10" i="59" s="1"/>
  <c r="X9" i="59"/>
  <c r="S9" i="59"/>
  <c r="U9" i="59" s="1"/>
  <c r="Q9" i="59"/>
  <c r="J9" i="59"/>
  <c r="M9" i="59" s="1"/>
  <c r="X8" i="59"/>
  <c r="Q8" i="59"/>
  <c r="S8" i="59" s="1"/>
  <c r="U8" i="59" s="1"/>
  <c r="M8" i="59"/>
  <c r="J8" i="59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2" i="58"/>
  <c r="N26" i="8" s="1"/>
  <c r="K219" i="58"/>
  <c r="J229" i="58" s="1"/>
  <c r="J215" i="58"/>
  <c r="J214" i="58"/>
  <c r="J213" i="58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M206" i="58"/>
  <c r="J206" i="58"/>
  <c r="J205" i="58"/>
  <c r="M205" i="58" s="1"/>
  <c r="M204" i="58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M187" i="58"/>
  <c r="J187" i="58"/>
  <c r="J186" i="58"/>
  <c r="M186" i="58" s="1"/>
  <c r="M185" i="58"/>
  <c r="J185" i="58"/>
  <c r="J184" i="58"/>
  <c r="M184" i="58" s="1"/>
  <c r="J183" i="58"/>
  <c r="M183" i="58" s="1"/>
  <c r="J182" i="58"/>
  <c r="M182" i="58" s="1"/>
  <c r="J181" i="58"/>
  <c r="M181" i="58" s="1"/>
  <c r="J180" i="58"/>
  <c r="M180" i="58" s="1"/>
  <c r="M179" i="58"/>
  <c r="J179" i="58"/>
  <c r="J178" i="58"/>
  <c r="M178" i="58" s="1"/>
  <c r="J177" i="58"/>
  <c r="M177" i="58" s="1"/>
  <c r="J176" i="58"/>
  <c r="M176" i="58" s="1"/>
  <c r="M175" i="58"/>
  <c r="J175" i="58"/>
  <c r="J174" i="58"/>
  <c r="M174" i="58" s="1"/>
  <c r="J173" i="58"/>
  <c r="M173" i="58" s="1"/>
  <c r="J172" i="58"/>
  <c r="M172" i="58" s="1"/>
  <c r="M171" i="58"/>
  <c r="J171" i="58"/>
  <c r="J170" i="58"/>
  <c r="M170" i="58" s="1"/>
  <c r="J169" i="58"/>
  <c r="M169" i="58" s="1"/>
  <c r="J168" i="58"/>
  <c r="M168" i="58" s="1"/>
  <c r="M167" i="58"/>
  <c r="J167" i="58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M143" i="58"/>
  <c r="J143" i="58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M127" i="58"/>
  <c r="J127" i="58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S101" i="58"/>
  <c r="U101" i="58" s="1"/>
  <c r="Q101" i="58"/>
  <c r="J101" i="58"/>
  <c r="M101" i="58" s="1"/>
  <c r="X100" i="58"/>
  <c r="S100" i="58"/>
  <c r="U100" i="58" s="1"/>
  <c r="Q100" i="58"/>
  <c r="J100" i="58"/>
  <c r="M100" i="58" s="1"/>
  <c r="X99" i="58"/>
  <c r="S99" i="58"/>
  <c r="U99" i="58" s="1"/>
  <c r="Q99" i="58"/>
  <c r="M99" i="58"/>
  <c r="J99" i="58"/>
  <c r="X98" i="58"/>
  <c r="Q98" i="58"/>
  <c r="S98" i="58" s="1"/>
  <c r="U98" i="58" s="1"/>
  <c r="M98" i="58"/>
  <c r="J98" i="58"/>
  <c r="X97" i="58"/>
  <c r="Q97" i="58"/>
  <c r="S97" i="58" s="1"/>
  <c r="U97" i="58" s="1"/>
  <c r="M97" i="58"/>
  <c r="J97" i="58"/>
  <c r="X96" i="58"/>
  <c r="Q96" i="58"/>
  <c r="S96" i="58" s="1"/>
  <c r="U96" i="58" s="1"/>
  <c r="J96" i="58"/>
  <c r="M96" i="58" s="1"/>
  <c r="X95" i="58"/>
  <c r="U95" i="58"/>
  <c r="Q95" i="58"/>
  <c r="S95" i="58" s="1"/>
  <c r="M95" i="58"/>
  <c r="J95" i="58"/>
  <c r="X94" i="58"/>
  <c r="Q94" i="58"/>
  <c r="S94" i="58" s="1"/>
  <c r="U94" i="58" s="1"/>
  <c r="M94" i="58"/>
  <c r="J94" i="58"/>
  <c r="X93" i="58"/>
  <c r="S93" i="58"/>
  <c r="U93" i="58" s="1"/>
  <c r="Q93" i="58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M90" i="58"/>
  <c r="J90" i="58"/>
  <c r="X89" i="58"/>
  <c r="S89" i="58"/>
  <c r="U89" i="58" s="1"/>
  <c r="Q89" i="58"/>
  <c r="M89" i="58"/>
  <c r="J89" i="58"/>
  <c r="X88" i="58"/>
  <c r="U88" i="58"/>
  <c r="S88" i="58"/>
  <c r="Q88" i="58"/>
  <c r="J88" i="58"/>
  <c r="M88" i="58" s="1"/>
  <c r="X87" i="58"/>
  <c r="U87" i="58"/>
  <c r="S87" i="58"/>
  <c r="Q87" i="58"/>
  <c r="M87" i="58"/>
  <c r="J87" i="58"/>
  <c r="X86" i="58"/>
  <c r="Q86" i="58"/>
  <c r="S86" i="58" s="1"/>
  <c r="U86" i="58" s="1"/>
  <c r="J86" i="58"/>
  <c r="M86" i="58" s="1"/>
  <c r="X85" i="58"/>
  <c r="Q85" i="58"/>
  <c r="S85" i="58" s="1"/>
  <c r="U85" i="58" s="1"/>
  <c r="M85" i="58"/>
  <c r="J85" i="58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M82" i="58"/>
  <c r="J82" i="58"/>
  <c r="X81" i="58"/>
  <c r="S81" i="58"/>
  <c r="U81" i="58" s="1"/>
  <c r="Q81" i="58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U76" i="58"/>
  <c r="Q76" i="58"/>
  <c r="S76" i="58" s="1"/>
  <c r="J76" i="58"/>
  <c r="M76" i="58" s="1"/>
  <c r="X75" i="58"/>
  <c r="U75" i="58"/>
  <c r="Q75" i="58"/>
  <c r="S75" i="58" s="1"/>
  <c r="J75" i="58"/>
  <c r="M75" i="58" s="1"/>
  <c r="X74" i="58"/>
  <c r="Q74" i="58"/>
  <c r="S74" i="58" s="1"/>
  <c r="U74" i="58" s="1"/>
  <c r="J74" i="58"/>
  <c r="M74" i="58" s="1"/>
  <c r="X73" i="58"/>
  <c r="S73" i="58"/>
  <c r="U73" i="58" s="1"/>
  <c r="Q73" i="58"/>
  <c r="J73" i="58"/>
  <c r="M73" i="58" s="1"/>
  <c r="X72" i="58"/>
  <c r="Q72" i="58"/>
  <c r="S72" i="58" s="1"/>
  <c r="U72" i="58" s="1"/>
  <c r="J72" i="58"/>
  <c r="M72" i="58" s="1"/>
  <c r="X71" i="58"/>
  <c r="S71" i="58"/>
  <c r="U71" i="58" s="1"/>
  <c r="Q71" i="58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S68" i="58"/>
  <c r="U68" i="58" s="1"/>
  <c r="Q68" i="58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M65" i="58"/>
  <c r="J65" i="58"/>
  <c r="X64" i="58"/>
  <c r="S64" i="58"/>
  <c r="U64" i="58" s="1"/>
  <c r="Q64" i="58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S61" i="58"/>
  <c r="U61" i="58" s="1"/>
  <c r="Q61" i="58"/>
  <c r="M61" i="58"/>
  <c r="J61" i="58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S57" i="58"/>
  <c r="U57" i="58" s="1"/>
  <c r="Q57" i="58"/>
  <c r="J57" i="58"/>
  <c r="M57" i="58" s="1"/>
  <c r="X56" i="58"/>
  <c r="Q56" i="58"/>
  <c r="S56" i="58" s="1"/>
  <c r="U56" i="58" s="1"/>
  <c r="J56" i="58"/>
  <c r="M56" i="58" s="1"/>
  <c r="X55" i="58"/>
  <c r="S55" i="58"/>
  <c r="U55" i="58" s="1"/>
  <c r="Q55" i="58"/>
  <c r="J55" i="58"/>
  <c r="M55" i="58" s="1"/>
  <c r="X54" i="58"/>
  <c r="Q54" i="58"/>
  <c r="S54" i="58" s="1"/>
  <c r="U54" i="58" s="1"/>
  <c r="M54" i="58"/>
  <c r="J54" i="58"/>
  <c r="X53" i="58"/>
  <c r="Q53" i="58"/>
  <c r="S53" i="58" s="1"/>
  <c r="U53" i="58" s="1"/>
  <c r="J53" i="58"/>
  <c r="M53" i="58" s="1"/>
  <c r="X52" i="58"/>
  <c r="S52" i="58"/>
  <c r="U52" i="58" s="1"/>
  <c r="Q52" i="58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M45" i="58"/>
  <c r="J45" i="58"/>
  <c r="X44" i="58"/>
  <c r="S44" i="58"/>
  <c r="U44" i="58" s="1"/>
  <c r="Q44" i="58"/>
  <c r="J44" i="58"/>
  <c r="M44" i="58" s="1"/>
  <c r="X43" i="58"/>
  <c r="U43" i="58"/>
  <c r="Q43" i="58"/>
  <c r="S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M41" i="58"/>
  <c r="J41" i="58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S30" i="58"/>
  <c r="U30" i="58" s="1"/>
  <c r="Q30" i="58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S23" i="58"/>
  <c r="U23" i="58" s="1"/>
  <c r="Q23" i="58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M13" i="58"/>
  <c r="J13" i="58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S7" i="58"/>
  <c r="U7" i="58" s="1"/>
  <c r="Q7" i="58"/>
  <c r="J7" i="58"/>
  <c r="M7" i="58" s="1"/>
  <c r="X6" i="58"/>
  <c r="U6" i="58"/>
  <c r="Q6" i="58"/>
  <c r="S6" i="58" s="1"/>
  <c r="J6" i="58"/>
  <c r="M6" i="58" s="1"/>
  <c r="X5" i="58"/>
  <c r="Q5" i="58"/>
  <c r="S5" i="58" s="1"/>
  <c r="U5" i="58" s="1"/>
  <c r="J5" i="58"/>
  <c r="M5" i="58" s="1"/>
  <c r="K222" i="57"/>
  <c r="N25" i="8" s="1"/>
  <c r="K219" i="57"/>
  <c r="R25" i="8" s="1"/>
  <c r="J215" i="57"/>
  <c r="J214" i="57"/>
  <c r="J213" i="57"/>
  <c r="M212" i="57"/>
  <c r="J212" i="57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M195" i="57"/>
  <c r="J195" i="57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M172" i="57"/>
  <c r="J172" i="57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M123" i="57"/>
  <c r="J123" i="57"/>
  <c r="J122" i="57"/>
  <c r="M122" i="57" s="1"/>
  <c r="J121" i="57"/>
  <c r="M121" i="57" s="1"/>
  <c r="J120" i="57"/>
  <c r="M120" i="57" s="1"/>
  <c r="J119" i="57"/>
  <c r="M119" i="57" s="1"/>
  <c r="J118" i="57"/>
  <c r="M118" i="57" s="1"/>
  <c r="M117" i="57"/>
  <c r="J117" i="57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S103" i="57"/>
  <c r="U103" i="57" s="1"/>
  <c r="Q103" i="57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U99" i="57"/>
  <c r="Q99" i="57"/>
  <c r="S99" i="57" s="1"/>
  <c r="J99" i="57"/>
  <c r="M99" i="57" s="1"/>
  <c r="X98" i="57"/>
  <c r="Q98" i="57"/>
  <c r="S98" i="57" s="1"/>
  <c r="U98" i="57" s="1"/>
  <c r="M98" i="57"/>
  <c r="J98" i="57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S93" i="57"/>
  <c r="U93" i="57" s="1"/>
  <c r="Q93" i="57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S88" i="57"/>
  <c r="U88" i="57" s="1"/>
  <c r="Q88" i="57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S76" i="57"/>
  <c r="U76" i="57" s="1"/>
  <c r="Q76" i="57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S72" i="57"/>
  <c r="U72" i="57" s="1"/>
  <c r="Q72" i="57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S69" i="57"/>
  <c r="U69" i="57" s="1"/>
  <c r="Q69" i="57"/>
  <c r="J69" i="57"/>
  <c r="M69" i="57" s="1"/>
  <c r="X68" i="57"/>
  <c r="U68" i="57"/>
  <c r="S68" i="57"/>
  <c r="Q68" i="57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M66" i="57"/>
  <c r="J66" i="57"/>
  <c r="X65" i="57"/>
  <c r="S65" i="57"/>
  <c r="U65" i="57" s="1"/>
  <c r="Q65" i="57"/>
  <c r="J65" i="57"/>
  <c r="M65" i="57" s="1"/>
  <c r="X64" i="57"/>
  <c r="U64" i="57"/>
  <c r="S64" i="57"/>
  <c r="Q64" i="57"/>
  <c r="J64" i="57"/>
  <c r="M64" i="57" s="1"/>
  <c r="X63" i="57"/>
  <c r="Q63" i="57"/>
  <c r="S63" i="57" s="1"/>
  <c r="U63" i="57" s="1"/>
  <c r="M63" i="57"/>
  <c r="J63" i="57"/>
  <c r="X62" i="57"/>
  <c r="Q62" i="57"/>
  <c r="S62" i="57" s="1"/>
  <c r="U62" i="57" s="1"/>
  <c r="J62" i="57"/>
  <c r="M62" i="57" s="1"/>
  <c r="X61" i="57"/>
  <c r="S61" i="57"/>
  <c r="U61" i="57" s="1"/>
  <c r="Q61" i="57"/>
  <c r="J61" i="57"/>
  <c r="M61" i="57" s="1"/>
  <c r="X60" i="57"/>
  <c r="U60" i="57"/>
  <c r="S60" i="57"/>
  <c r="Q60" i="57"/>
  <c r="J60" i="57"/>
  <c r="M60" i="57" s="1"/>
  <c r="X59" i="57"/>
  <c r="Q59" i="57"/>
  <c r="S59" i="57" s="1"/>
  <c r="U59" i="57" s="1"/>
  <c r="M59" i="57"/>
  <c r="J59" i="57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S53" i="57"/>
  <c r="U53" i="57" s="1"/>
  <c r="Q53" i="57"/>
  <c r="J53" i="57"/>
  <c r="M53" i="57" s="1"/>
  <c r="X52" i="57"/>
  <c r="U52" i="57"/>
  <c r="Q52" i="57"/>
  <c r="S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S48" i="57"/>
  <c r="U48" i="57" s="1"/>
  <c r="Q48" i="57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S45" i="57"/>
  <c r="U45" i="57" s="1"/>
  <c r="Q45" i="57"/>
  <c r="J45" i="57"/>
  <c r="M45" i="57" s="1"/>
  <c r="X44" i="57"/>
  <c r="U44" i="57"/>
  <c r="Q44" i="57"/>
  <c r="S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M42" i="57"/>
  <c r="J42" i="57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S37" i="57"/>
  <c r="U37" i="57" s="1"/>
  <c r="Q37" i="57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M35" i="57"/>
  <c r="J35" i="57"/>
  <c r="X34" i="57"/>
  <c r="Q34" i="57"/>
  <c r="S34" i="57" s="1"/>
  <c r="U34" i="57" s="1"/>
  <c r="J34" i="57"/>
  <c r="M34" i="57" s="1"/>
  <c r="X33" i="57"/>
  <c r="S33" i="57"/>
  <c r="U33" i="57" s="1"/>
  <c r="Q33" i="57"/>
  <c r="M33" i="57"/>
  <c r="J33" i="57"/>
  <c r="X32" i="57"/>
  <c r="Q32" i="57"/>
  <c r="S32" i="57" s="1"/>
  <c r="U32" i="57" s="1"/>
  <c r="M32" i="57"/>
  <c r="J32" i="57"/>
  <c r="X31" i="57"/>
  <c r="Q31" i="57"/>
  <c r="S31" i="57" s="1"/>
  <c r="U31" i="57" s="1"/>
  <c r="J31" i="57"/>
  <c r="M31" i="57" s="1"/>
  <c r="X30" i="57"/>
  <c r="U30" i="57"/>
  <c r="Q30" i="57"/>
  <c r="S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S22" i="57"/>
  <c r="U22" i="57" s="1"/>
  <c r="Q22" i="57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M15" i="57"/>
  <c r="J15" i="57"/>
  <c r="X14" i="57"/>
  <c r="S14" i="57"/>
  <c r="U14" i="57" s="1"/>
  <c r="Q14" i="57"/>
  <c r="J14" i="57"/>
  <c r="M14" i="57" s="1"/>
  <c r="X13" i="57"/>
  <c r="U13" i="57"/>
  <c r="Q13" i="57"/>
  <c r="S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S10" i="57"/>
  <c r="U10" i="57" s="1"/>
  <c r="Q10" i="57"/>
  <c r="J10" i="57"/>
  <c r="M10" i="57" s="1"/>
  <c r="X9" i="57"/>
  <c r="U9" i="57"/>
  <c r="Q9" i="57"/>
  <c r="S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2" i="55"/>
  <c r="N24" i="8" s="1"/>
  <c r="K219" i="55"/>
  <c r="R24" i="8" s="1"/>
  <c r="J215" i="55"/>
  <c r="J214" i="55"/>
  <c r="J213" i="55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M204" i="55"/>
  <c r="M203" i="55"/>
  <c r="J203" i="55"/>
  <c r="J202" i="55"/>
  <c r="M202" i="55" s="1"/>
  <c r="M201" i="55"/>
  <c r="J201" i="55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M193" i="55"/>
  <c r="J193" i="55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M185" i="55"/>
  <c r="J185" i="55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M171" i="55"/>
  <c r="J171" i="55"/>
  <c r="J170" i="55"/>
  <c r="M170" i="55" s="1"/>
  <c r="M169" i="55"/>
  <c r="J169" i="55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M161" i="55"/>
  <c r="J161" i="55"/>
  <c r="J160" i="55"/>
  <c r="M160" i="55" s="1"/>
  <c r="J159" i="55"/>
  <c r="M159" i="55" s="1"/>
  <c r="J158" i="55"/>
  <c r="M158" i="55" s="1"/>
  <c r="J157" i="55"/>
  <c r="M157" i="55" s="1"/>
  <c r="M156" i="55"/>
  <c r="J156" i="55"/>
  <c r="J155" i="55"/>
  <c r="M155" i="55" s="1"/>
  <c r="J154" i="55"/>
  <c r="M154" i="55" s="1"/>
  <c r="M153" i="55"/>
  <c r="J153" i="55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M140" i="55"/>
  <c r="J140" i="55"/>
  <c r="J139" i="55"/>
  <c r="M139" i="55" s="1"/>
  <c r="J138" i="55"/>
  <c r="M138" i="55" s="1"/>
  <c r="J137" i="55"/>
  <c r="M137" i="55" s="1"/>
  <c r="J136" i="55"/>
  <c r="M136" i="55" s="1"/>
  <c r="M135" i="55"/>
  <c r="J135" i="55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M125" i="55"/>
  <c r="J125" i="55"/>
  <c r="J124" i="55"/>
  <c r="M124" i="55" s="1"/>
  <c r="J123" i="55"/>
  <c r="M123" i="55" s="1"/>
  <c r="J122" i="55"/>
  <c r="M122" i="55" s="1"/>
  <c r="J121" i="55"/>
  <c r="M121" i="55" s="1"/>
  <c r="M120" i="55"/>
  <c r="J120" i="55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U103" i="55"/>
  <c r="Q103" i="55"/>
  <c r="S103" i="55" s="1"/>
  <c r="J103" i="55"/>
  <c r="M103" i="55" s="1"/>
  <c r="X102" i="55"/>
  <c r="S102" i="55"/>
  <c r="U102" i="55" s="1"/>
  <c r="Q102" i="55"/>
  <c r="J102" i="55"/>
  <c r="M102" i="55" s="1"/>
  <c r="X101" i="55"/>
  <c r="U101" i="55"/>
  <c r="S101" i="55"/>
  <c r="Q101" i="55"/>
  <c r="J101" i="55"/>
  <c r="M101" i="55" s="1"/>
  <c r="X100" i="55"/>
  <c r="S100" i="55"/>
  <c r="U100" i="55" s="1"/>
  <c r="Q100" i="55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M98" i="55"/>
  <c r="J98" i="55"/>
  <c r="X97" i="55"/>
  <c r="Q97" i="55"/>
  <c r="S97" i="55" s="1"/>
  <c r="U97" i="55" s="1"/>
  <c r="J97" i="55"/>
  <c r="M97" i="55" s="1"/>
  <c r="X96" i="55"/>
  <c r="S96" i="55"/>
  <c r="U96" i="55" s="1"/>
  <c r="Q96" i="55"/>
  <c r="J96" i="55"/>
  <c r="M96" i="55" s="1"/>
  <c r="X95" i="55"/>
  <c r="Q95" i="55"/>
  <c r="S95" i="55" s="1"/>
  <c r="U95" i="55" s="1"/>
  <c r="M95" i="55"/>
  <c r="J95" i="55"/>
  <c r="X94" i="55"/>
  <c r="S94" i="55"/>
  <c r="U94" i="55" s="1"/>
  <c r="Q94" i="55"/>
  <c r="J94" i="55"/>
  <c r="M94" i="55" s="1"/>
  <c r="X93" i="55"/>
  <c r="S93" i="55"/>
  <c r="U93" i="55" s="1"/>
  <c r="Q93" i="55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M91" i="55"/>
  <c r="J91" i="55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M86" i="55"/>
  <c r="J86" i="55"/>
  <c r="X85" i="55"/>
  <c r="S85" i="55"/>
  <c r="U85" i="55" s="1"/>
  <c r="Q85" i="55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S81" i="55"/>
  <c r="U81" i="55" s="1"/>
  <c r="Q81" i="55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S77" i="55"/>
  <c r="U77" i="55" s="1"/>
  <c r="Q77" i="55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S69" i="55"/>
  <c r="U69" i="55" s="1"/>
  <c r="Q69" i="55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S60" i="55"/>
  <c r="U60" i="55" s="1"/>
  <c r="Q60" i="55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M54" i="55"/>
  <c r="J54" i="55"/>
  <c r="X53" i="55"/>
  <c r="Q53" i="55"/>
  <c r="S53" i="55" s="1"/>
  <c r="U53" i="55" s="1"/>
  <c r="J53" i="55"/>
  <c r="M53" i="55" s="1"/>
  <c r="X52" i="55"/>
  <c r="S52" i="55"/>
  <c r="U52" i="55" s="1"/>
  <c r="Q52" i="55"/>
  <c r="J52" i="55"/>
  <c r="M52" i="55" s="1"/>
  <c r="X51" i="55"/>
  <c r="U51" i="55"/>
  <c r="S51" i="55"/>
  <c r="Q51" i="55"/>
  <c r="J51" i="55"/>
  <c r="M51" i="55" s="1"/>
  <c r="X50" i="55"/>
  <c r="Q50" i="55"/>
  <c r="S50" i="55" s="1"/>
  <c r="U50" i="55" s="1"/>
  <c r="J50" i="55"/>
  <c r="M50" i="55" s="1"/>
  <c r="X49" i="55"/>
  <c r="S49" i="55"/>
  <c r="U49" i="55" s="1"/>
  <c r="Q49" i="55"/>
  <c r="J49" i="55"/>
  <c r="M49" i="55" s="1"/>
  <c r="X48" i="55"/>
  <c r="U48" i="55"/>
  <c r="Q48" i="55"/>
  <c r="S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M46" i="55"/>
  <c r="J46" i="55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S33" i="55"/>
  <c r="U33" i="55" s="1"/>
  <c r="Q33" i="55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S25" i="55"/>
  <c r="U25" i="55" s="1"/>
  <c r="Q25" i="55"/>
  <c r="J25" i="55"/>
  <c r="M25" i="55" s="1"/>
  <c r="X24" i="55"/>
  <c r="U24" i="55"/>
  <c r="Q24" i="55"/>
  <c r="S24" i="55" s="1"/>
  <c r="J24" i="55"/>
  <c r="M24" i="55" s="1"/>
  <c r="X23" i="55"/>
  <c r="Q23" i="55"/>
  <c r="S23" i="55" s="1"/>
  <c r="U23" i="55" s="1"/>
  <c r="J23" i="55"/>
  <c r="M23" i="55" s="1"/>
  <c r="X22" i="55"/>
  <c r="S22" i="55"/>
  <c r="U22" i="55" s="1"/>
  <c r="Q22" i="55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M19" i="55"/>
  <c r="J19" i="55"/>
  <c r="X18" i="55"/>
  <c r="Q18" i="55"/>
  <c r="S18" i="55" s="1"/>
  <c r="U18" i="55" s="1"/>
  <c r="M18" i="55"/>
  <c r="J18" i="55"/>
  <c r="X17" i="55"/>
  <c r="Q17" i="55"/>
  <c r="S17" i="55" s="1"/>
  <c r="U17" i="55" s="1"/>
  <c r="J17" i="55"/>
  <c r="M17" i="55" s="1"/>
  <c r="X16" i="55"/>
  <c r="S16" i="55"/>
  <c r="U16" i="55" s="1"/>
  <c r="Q16" i="55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S9" i="55"/>
  <c r="U9" i="55" s="1"/>
  <c r="Q9" i="55"/>
  <c r="J9" i="55"/>
  <c r="M9" i="55" s="1"/>
  <c r="X8" i="55"/>
  <c r="U8" i="55"/>
  <c r="S8" i="55"/>
  <c r="Q8" i="55"/>
  <c r="J8" i="55"/>
  <c r="M8" i="55" s="1"/>
  <c r="X7" i="55"/>
  <c r="Q7" i="55"/>
  <c r="S7" i="55" s="1"/>
  <c r="U7" i="55" s="1"/>
  <c r="J7" i="55"/>
  <c r="M7" i="55" s="1"/>
  <c r="X6" i="55"/>
  <c r="S6" i="55"/>
  <c r="U6" i="55" s="1"/>
  <c r="Q6" i="55"/>
  <c r="J6" i="55"/>
  <c r="M6" i="55" s="1"/>
  <c r="X5" i="55"/>
  <c r="Q5" i="55"/>
  <c r="S5" i="55" s="1"/>
  <c r="U5" i="55" s="1"/>
  <c r="J5" i="55"/>
  <c r="K222" i="54"/>
  <c r="N23" i="8" s="1"/>
  <c r="K219" i="54"/>
  <c r="J229" i="54" s="1"/>
  <c r="J215" i="54"/>
  <c r="J214" i="54"/>
  <c r="J213" i="54"/>
  <c r="J212" i="54"/>
  <c r="M212" i="54" s="1"/>
  <c r="J211" i="54"/>
  <c r="M211" i="54" s="1"/>
  <c r="J210" i="54"/>
  <c r="M210" i="54" s="1"/>
  <c r="M209" i="54"/>
  <c r="J209" i="54"/>
  <c r="J208" i="54"/>
  <c r="M208" i="54" s="1"/>
  <c r="J207" i="54"/>
  <c r="M207" i="54" s="1"/>
  <c r="M206" i="54"/>
  <c r="J206" i="54"/>
  <c r="J205" i="54"/>
  <c r="M205" i="54" s="1"/>
  <c r="M204" i="54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M193" i="54"/>
  <c r="J193" i="54"/>
  <c r="J192" i="54"/>
  <c r="M192" i="54" s="1"/>
  <c r="J191" i="54"/>
  <c r="M191" i="54" s="1"/>
  <c r="J190" i="54"/>
  <c r="M190" i="54" s="1"/>
  <c r="J189" i="54"/>
  <c r="M189" i="54" s="1"/>
  <c r="J188" i="54"/>
  <c r="M188" i="54" s="1"/>
  <c r="M187" i="54"/>
  <c r="J187" i="54"/>
  <c r="J186" i="54"/>
  <c r="M186" i="54" s="1"/>
  <c r="M185" i="54"/>
  <c r="J185" i="54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M167" i="54"/>
  <c r="J167" i="54"/>
  <c r="J166" i="54"/>
  <c r="M166" i="54" s="1"/>
  <c r="M165" i="54"/>
  <c r="J165" i="54"/>
  <c r="J164" i="54"/>
  <c r="M164" i="54" s="1"/>
  <c r="J163" i="54"/>
  <c r="M163" i="54" s="1"/>
  <c r="J162" i="54"/>
  <c r="M162" i="54" s="1"/>
  <c r="M161" i="54"/>
  <c r="J161" i="54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M153" i="54"/>
  <c r="J153" i="54"/>
  <c r="J152" i="54"/>
  <c r="M152" i="54" s="1"/>
  <c r="J151" i="54"/>
  <c r="M151" i="54" s="1"/>
  <c r="J150" i="54"/>
  <c r="M150" i="54" s="1"/>
  <c r="J149" i="54"/>
  <c r="M149" i="54" s="1"/>
  <c r="M148" i="54"/>
  <c r="J148" i="54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M140" i="54"/>
  <c r="J140" i="54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M132" i="54"/>
  <c r="J132" i="54"/>
  <c r="M131" i="54"/>
  <c r="J131" i="54"/>
  <c r="M130" i="54"/>
  <c r="J130" i="54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M122" i="54"/>
  <c r="J122" i="54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 s="1"/>
  <c r="Q104" i="54"/>
  <c r="M104" i="54"/>
  <c r="J104" i="54"/>
  <c r="X103" i="54"/>
  <c r="U103" i="54"/>
  <c r="S103" i="54"/>
  <c r="Q103" i="54"/>
  <c r="J103" i="54"/>
  <c r="M103" i="54" s="1"/>
  <c r="X102" i="54"/>
  <c r="U102" i="54"/>
  <c r="Q102" i="54"/>
  <c r="S102" i="54" s="1"/>
  <c r="M102" i="54"/>
  <c r="J102" i="54"/>
  <c r="X101" i="54"/>
  <c r="Q101" i="54"/>
  <c r="S101" i="54" s="1"/>
  <c r="U101" i="54" s="1"/>
  <c r="J101" i="54"/>
  <c r="M101" i="54" s="1"/>
  <c r="X100" i="54"/>
  <c r="U100" i="54"/>
  <c r="S100" i="54"/>
  <c r="Q100" i="54"/>
  <c r="J100" i="54"/>
  <c r="M100" i="54" s="1"/>
  <c r="X99" i="54"/>
  <c r="U99" i="54"/>
  <c r="Q99" i="54"/>
  <c r="S99" i="54" s="1"/>
  <c r="M99" i="54"/>
  <c r="J99" i="54"/>
  <c r="X98" i="54"/>
  <c r="Q98" i="54"/>
  <c r="S98" i="54" s="1"/>
  <c r="U98" i="54" s="1"/>
  <c r="J98" i="54"/>
  <c r="M98" i="54" s="1"/>
  <c r="X97" i="54"/>
  <c r="S97" i="54"/>
  <c r="U97" i="54" s="1"/>
  <c r="Q97" i="54"/>
  <c r="J97" i="54"/>
  <c r="M97" i="54" s="1"/>
  <c r="X96" i="54"/>
  <c r="U96" i="54"/>
  <c r="Q96" i="54"/>
  <c r="S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S92" i="54"/>
  <c r="U92" i="54" s="1"/>
  <c r="Q92" i="54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S89" i="54"/>
  <c r="U89" i="54" s="1"/>
  <c r="Q89" i="54"/>
  <c r="J89" i="54"/>
  <c r="M89" i="54" s="1"/>
  <c r="X88" i="54"/>
  <c r="U88" i="54"/>
  <c r="Q88" i="54"/>
  <c r="S88" i="54" s="1"/>
  <c r="J88" i="54"/>
  <c r="M88" i="54" s="1"/>
  <c r="X87" i="54"/>
  <c r="S87" i="54"/>
  <c r="U87" i="54" s="1"/>
  <c r="Q87" i="54"/>
  <c r="M87" i="54"/>
  <c r="J87" i="54"/>
  <c r="X86" i="54"/>
  <c r="Q86" i="54"/>
  <c r="S86" i="54" s="1"/>
  <c r="U86" i="54" s="1"/>
  <c r="M86" i="54"/>
  <c r="J86" i="54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S83" i="54"/>
  <c r="U83" i="54" s="1"/>
  <c r="Q83" i="54"/>
  <c r="M83" i="54"/>
  <c r="J83" i="54"/>
  <c r="X82" i="54"/>
  <c r="Q82" i="54"/>
  <c r="S82" i="54" s="1"/>
  <c r="U82" i="54" s="1"/>
  <c r="M82" i="54"/>
  <c r="J82" i="54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S77" i="54"/>
  <c r="U77" i="54" s="1"/>
  <c r="Q77" i="54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S69" i="54"/>
  <c r="U69" i="54" s="1"/>
  <c r="Q69" i="54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U64" i="54"/>
  <c r="Q64" i="54"/>
  <c r="S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M59" i="54"/>
  <c r="J59" i="54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U56" i="54"/>
  <c r="Q56" i="54"/>
  <c r="S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S53" i="54"/>
  <c r="U53" i="54" s="1"/>
  <c r="Q53" i="54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M51" i="54"/>
  <c r="J51" i="54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S36" i="54"/>
  <c r="U36" i="54" s="1"/>
  <c r="Q36" i="54"/>
  <c r="J36" i="54"/>
  <c r="M36" i="54" s="1"/>
  <c r="X35" i="54"/>
  <c r="U35" i="54"/>
  <c r="S35" i="54"/>
  <c r="Q35" i="54"/>
  <c r="J35" i="54"/>
  <c r="M35" i="54" s="1"/>
  <c r="X34" i="54"/>
  <c r="Q34" i="54"/>
  <c r="S34" i="54" s="1"/>
  <c r="U34" i="54" s="1"/>
  <c r="J34" i="54"/>
  <c r="M34" i="54" s="1"/>
  <c r="X33" i="54"/>
  <c r="S33" i="54"/>
  <c r="U33" i="54" s="1"/>
  <c r="Q33" i="54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M30" i="54"/>
  <c r="J30" i="54"/>
  <c r="X29" i="54"/>
  <c r="Q29" i="54"/>
  <c r="S29" i="54" s="1"/>
  <c r="U29" i="54" s="1"/>
  <c r="J29" i="54"/>
  <c r="M29" i="54" s="1"/>
  <c r="X28" i="54"/>
  <c r="S28" i="54"/>
  <c r="U28" i="54" s="1"/>
  <c r="Q28" i="54"/>
  <c r="J28" i="54"/>
  <c r="M28" i="54" s="1"/>
  <c r="X27" i="54"/>
  <c r="S27" i="54"/>
  <c r="U27" i="54" s="1"/>
  <c r="Q27" i="54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M22" i="54"/>
  <c r="J22" i="54"/>
  <c r="X21" i="54"/>
  <c r="Q21" i="54"/>
  <c r="S21" i="54" s="1"/>
  <c r="U21" i="54" s="1"/>
  <c r="J21" i="54"/>
  <c r="M21" i="54" s="1"/>
  <c r="X20" i="54"/>
  <c r="S20" i="54"/>
  <c r="U20" i="54" s="1"/>
  <c r="Q20" i="54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S17" i="54"/>
  <c r="U17" i="54" s="1"/>
  <c r="Q17" i="54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U12" i="54"/>
  <c r="Q12" i="54"/>
  <c r="S12" i="54" s="1"/>
  <c r="J12" i="54"/>
  <c r="M12" i="54" s="1"/>
  <c r="X11" i="54"/>
  <c r="U11" i="54"/>
  <c r="Q11" i="54"/>
  <c r="S11" i="54" s="1"/>
  <c r="M11" i="54"/>
  <c r="J11" i="54"/>
  <c r="X10" i="54"/>
  <c r="Q10" i="54"/>
  <c r="S10" i="54" s="1"/>
  <c r="U10" i="54" s="1"/>
  <c r="J10" i="54"/>
  <c r="M10" i="54" s="1"/>
  <c r="X9" i="54"/>
  <c r="Q9" i="54"/>
  <c r="S9" i="54" s="1"/>
  <c r="U9" i="54" s="1"/>
  <c r="M9" i="54"/>
  <c r="J9" i="54"/>
  <c r="X8" i="54"/>
  <c r="Q8" i="54"/>
  <c r="S8" i="54" s="1"/>
  <c r="U8" i="54" s="1"/>
  <c r="J8" i="54"/>
  <c r="M8" i="54" s="1"/>
  <c r="X7" i="54"/>
  <c r="Q7" i="54"/>
  <c r="S7" i="54" s="1"/>
  <c r="U7" i="54" s="1"/>
  <c r="M7" i="54"/>
  <c r="J7" i="54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22" i="53"/>
  <c r="N22" i="8" s="1"/>
  <c r="K219" i="53"/>
  <c r="R22" i="8" s="1"/>
  <c r="J215" i="53"/>
  <c r="J214" i="53"/>
  <c r="J213" i="53"/>
  <c r="J212" i="53"/>
  <c r="M212" i="53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M204" i="53"/>
  <c r="M203" i="53"/>
  <c r="J203" i="53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M179" i="53"/>
  <c r="J179" i="53"/>
  <c r="J178" i="53"/>
  <c r="M178" i="53" s="1"/>
  <c r="J177" i="53"/>
  <c r="M177" i="53" s="1"/>
  <c r="J176" i="53"/>
  <c r="M176" i="53" s="1"/>
  <c r="M175" i="53"/>
  <c r="J175" i="53"/>
  <c r="J174" i="53"/>
  <c r="M174" i="53" s="1"/>
  <c r="M173" i="53"/>
  <c r="J173" i="53"/>
  <c r="J172" i="53"/>
  <c r="M172" i="53" s="1"/>
  <c r="J171" i="53"/>
  <c r="M171" i="53" s="1"/>
  <c r="J170" i="53"/>
  <c r="M170" i="53" s="1"/>
  <c r="J169" i="53"/>
  <c r="M169" i="53" s="1"/>
  <c r="J168" i="53"/>
  <c r="M168" i="53" s="1"/>
  <c r="M167" i="53"/>
  <c r="J167" i="53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M152" i="53"/>
  <c r="J152" i="53"/>
  <c r="J151" i="53"/>
  <c r="M151" i="53" s="1"/>
  <c r="J150" i="53"/>
  <c r="M150" i="53" s="1"/>
  <c r="J149" i="53"/>
  <c r="M149" i="53" s="1"/>
  <c r="J148" i="53"/>
  <c r="M148" i="53" s="1"/>
  <c r="M147" i="53"/>
  <c r="J147" i="53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M128" i="53"/>
  <c r="J128" i="53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M109" i="53"/>
  <c r="J109" i="53"/>
  <c r="J108" i="53"/>
  <c r="M108" i="53" s="1"/>
  <c r="J107" i="53"/>
  <c r="M107" i="53" s="1"/>
  <c r="J106" i="53"/>
  <c r="M106" i="53" s="1"/>
  <c r="Z105" i="53"/>
  <c r="J105" i="53"/>
  <c r="M105" i="53" s="1"/>
  <c r="X104" i="53"/>
  <c r="U104" i="53"/>
  <c r="Q104" i="53"/>
  <c r="S104" i="53" s="1"/>
  <c r="J104" i="53"/>
  <c r="M104" i="53" s="1"/>
  <c r="X103" i="53"/>
  <c r="S103" i="53"/>
  <c r="U103" i="53" s="1"/>
  <c r="Q103" i="53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M97" i="53"/>
  <c r="J97" i="53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S93" i="53"/>
  <c r="U93" i="53" s="1"/>
  <c r="Q93" i="53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M89" i="53"/>
  <c r="J89" i="53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S85" i="53"/>
  <c r="U85" i="53" s="1"/>
  <c r="Q85" i="53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U80" i="53"/>
  <c r="Q80" i="53"/>
  <c r="S80" i="53" s="1"/>
  <c r="J80" i="53"/>
  <c r="M80" i="53" s="1"/>
  <c r="X79" i="53"/>
  <c r="S79" i="53"/>
  <c r="U79" i="53" s="1"/>
  <c r="Q79" i="53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S73" i="53"/>
  <c r="U73" i="53" s="1"/>
  <c r="Q73" i="53"/>
  <c r="J73" i="53"/>
  <c r="M73" i="53" s="1"/>
  <c r="X72" i="53"/>
  <c r="Q72" i="53"/>
  <c r="S72" i="53" s="1"/>
  <c r="U72" i="53" s="1"/>
  <c r="J72" i="53"/>
  <c r="M72" i="53" s="1"/>
  <c r="X71" i="53"/>
  <c r="S71" i="53"/>
  <c r="U71" i="53" s="1"/>
  <c r="Q71" i="53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S65" i="53"/>
  <c r="U65" i="53" s="1"/>
  <c r="Q65" i="53"/>
  <c r="J65" i="53"/>
  <c r="M65" i="53" s="1"/>
  <c r="X64" i="53"/>
  <c r="S64" i="53"/>
  <c r="U64" i="53" s="1"/>
  <c r="Q64" i="53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U60" i="53"/>
  <c r="Q60" i="53"/>
  <c r="S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U56" i="53"/>
  <c r="Q56" i="53"/>
  <c r="S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S53" i="53"/>
  <c r="U53" i="53" s="1"/>
  <c r="Q53" i="53"/>
  <c r="J53" i="53"/>
  <c r="M53" i="53" s="1"/>
  <c r="X52" i="53"/>
  <c r="Q52" i="53"/>
  <c r="S52" i="53" s="1"/>
  <c r="U52" i="53" s="1"/>
  <c r="J52" i="53"/>
  <c r="M52" i="53" s="1"/>
  <c r="X51" i="53"/>
  <c r="S51" i="53"/>
  <c r="U51" i="53" s="1"/>
  <c r="Q51" i="53"/>
  <c r="J51" i="53"/>
  <c r="M51" i="53" s="1"/>
  <c r="X50" i="53"/>
  <c r="U50" i="53"/>
  <c r="Q50" i="53"/>
  <c r="S50" i="53" s="1"/>
  <c r="M50" i="53"/>
  <c r="J50" i="53"/>
  <c r="X49" i="53"/>
  <c r="Q49" i="53"/>
  <c r="S49" i="53" s="1"/>
  <c r="U49" i="53" s="1"/>
  <c r="J49" i="53"/>
  <c r="M49" i="53" s="1"/>
  <c r="X48" i="53"/>
  <c r="S48" i="53"/>
  <c r="U48" i="53" s="1"/>
  <c r="Q48" i="53"/>
  <c r="J48" i="53"/>
  <c r="M48" i="53" s="1"/>
  <c r="X47" i="53"/>
  <c r="S47" i="53"/>
  <c r="U47" i="53" s="1"/>
  <c r="Q47" i="53"/>
  <c r="J47" i="53"/>
  <c r="M47" i="53" s="1"/>
  <c r="X46" i="53"/>
  <c r="S46" i="53"/>
  <c r="U46" i="53" s="1"/>
  <c r="Q46" i="53"/>
  <c r="J46" i="53"/>
  <c r="M46" i="53" s="1"/>
  <c r="X45" i="53"/>
  <c r="S45" i="53"/>
  <c r="U45" i="53" s="1"/>
  <c r="Q45" i="53"/>
  <c r="J45" i="53"/>
  <c r="M45" i="53" s="1"/>
  <c r="X44" i="53"/>
  <c r="Q44" i="53"/>
  <c r="S44" i="53" s="1"/>
  <c r="U44" i="53" s="1"/>
  <c r="J44" i="53"/>
  <c r="M44" i="53" s="1"/>
  <c r="X43" i="53"/>
  <c r="S43" i="53"/>
  <c r="U43" i="53" s="1"/>
  <c r="Q43" i="53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S38" i="53"/>
  <c r="U38" i="53" s="1"/>
  <c r="Q38" i="53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M34" i="53"/>
  <c r="J34" i="53"/>
  <c r="X33" i="53"/>
  <c r="Q33" i="53"/>
  <c r="S33" i="53" s="1"/>
  <c r="U33" i="53" s="1"/>
  <c r="J33" i="53"/>
  <c r="M33" i="53" s="1"/>
  <c r="X32" i="53"/>
  <c r="S32" i="53"/>
  <c r="U32" i="53" s="1"/>
  <c r="Q32" i="53"/>
  <c r="M32" i="53"/>
  <c r="J32" i="53"/>
  <c r="X31" i="53"/>
  <c r="Q31" i="53"/>
  <c r="S31" i="53" s="1"/>
  <c r="U31" i="53" s="1"/>
  <c r="J31" i="53"/>
  <c r="M31" i="53" s="1"/>
  <c r="X30" i="53"/>
  <c r="S30" i="53"/>
  <c r="U30" i="53" s="1"/>
  <c r="Q30" i="53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S27" i="53"/>
  <c r="U27" i="53" s="1"/>
  <c r="Q27" i="53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S21" i="53"/>
  <c r="U21" i="53" s="1"/>
  <c r="Q21" i="53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M15" i="53"/>
  <c r="J15" i="53"/>
  <c r="X14" i="53"/>
  <c r="Q14" i="53"/>
  <c r="S14" i="53" s="1"/>
  <c r="U14" i="53" s="1"/>
  <c r="J14" i="53"/>
  <c r="M14" i="53" s="1"/>
  <c r="X13" i="53"/>
  <c r="S13" i="53"/>
  <c r="U13" i="53" s="1"/>
  <c r="Q13" i="53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M10" i="53"/>
  <c r="J10" i="53"/>
  <c r="X9" i="53"/>
  <c r="Q9" i="53"/>
  <c r="S9" i="53" s="1"/>
  <c r="U9" i="53" s="1"/>
  <c r="J9" i="53"/>
  <c r="M9" i="53" s="1"/>
  <c r="X8" i="53"/>
  <c r="S8" i="53"/>
  <c r="U8" i="53" s="1"/>
  <c r="Q8" i="53"/>
  <c r="M8" i="53"/>
  <c r="J8" i="53"/>
  <c r="X7" i="53"/>
  <c r="Q7" i="53"/>
  <c r="S7" i="53" s="1"/>
  <c r="U7" i="53" s="1"/>
  <c r="M7" i="53"/>
  <c r="J7" i="53"/>
  <c r="X6" i="53"/>
  <c r="Q6" i="53"/>
  <c r="S6" i="53" s="1"/>
  <c r="U6" i="53" s="1"/>
  <c r="J6" i="53"/>
  <c r="M6" i="53" s="1"/>
  <c r="X5" i="53"/>
  <c r="S5" i="53"/>
  <c r="U5" i="53" s="1"/>
  <c r="Q5" i="53"/>
  <c r="M5" i="53"/>
  <c r="J5" i="53"/>
  <c r="K222" i="52"/>
  <c r="N21" i="8" s="1"/>
  <c r="K219" i="52"/>
  <c r="J215" i="52"/>
  <c r="J214" i="52"/>
  <c r="J213" i="52"/>
  <c r="J212" i="52"/>
  <c r="M212" i="52" s="1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M204" i="52"/>
  <c r="M203" i="52"/>
  <c r="J203" i="52"/>
  <c r="J202" i="52"/>
  <c r="M202" i="52" s="1"/>
  <c r="M201" i="52"/>
  <c r="J201" i="52"/>
  <c r="J200" i="52"/>
  <c r="M200" i="52" s="1"/>
  <c r="M199" i="52"/>
  <c r="J199" i="52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M189" i="52"/>
  <c r="J189" i="52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M175" i="52"/>
  <c r="J175" i="52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M165" i="52"/>
  <c r="J165" i="52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M155" i="52"/>
  <c r="J155" i="52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M127" i="52"/>
  <c r="J127" i="52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M117" i="52"/>
  <c r="J117" i="52"/>
  <c r="J116" i="52"/>
  <c r="M116" i="52" s="1"/>
  <c r="J115" i="52"/>
  <c r="M115" i="52" s="1"/>
  <c r="J114" i="52"/>
  <c r="M114" i="52" s="1"/>
  <c r="J113" i="52"/>
  <c r="M113" i="52" s="1"/>
  <c r="J112" i="52"/>
  <c r="M112" i="52" s="1"/>
  <c r="M111" i="52"/>
  <c r="J111" i="52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S100" i="52"/>
  <c r="U100" i="52" s="1"/>
  <c r="Q100" i="52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S97" i="52"/>
  <c r="U97" i="52" s="1"/>
  <c r="Q97" i="52"/>
  <c r="J97" i="52"/>
  <c r="M97" i="52" s="1"/>
  <c r="X96" i="52"/>
  <c r="U96" i="52"/>
  <c r="Q96" i="52"/>
  <c r="S96" i="52" s="1"/>
  <c r="J96" i="52"/>
  <c r="M96" i="52" s="1"/>
  <c r="X95" i="52"/>
  <c r="S95" i="52"/>
  <c r="U95" i="52" s="1"/>
  <c r="Q95" i="52"/>
  <c r="M95" i="52"/>
  <c r="J95" i="52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S87" i="52"/>
  <c r="U87" i="52" s="1"/>
  <c r="Q87" i="52"/>
  <c r="J87" i="52"/>
  <c r="M87" i="52" s="1"/>
  <c r="X86" i="52"/>
  <c r="Q86" i="52"/>
  <c r="S86" i="52" s="1"/>
  <c r="U86" i="52" s="1"/>
  <c r="J86" i="52"/>
  <c r="M86" i="52" s="1"/>
  <c r="X85" i="52"/>
  <c r="S85" i="52"/>
  <c r="U85" i="52" s="1"/>
  <c r="Q85" i="52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M83" i="52"/>
  <c r="J83" i="52"/>
  <c r="X82" i="52"/>
  <c r="Q82" i="52"/>
  <c r="S82" i="52" s="1"/>
  <c r="U82" i="52" s="1"/>
  <c r="J82" i="52"/>
  <c r="M82" i="52" s="1"/>
  <c r="X81" i="52"/>
  <c r="S81" i="52"/>
  <c r="U81" i="52" s="1"/>
  <c r="Q81" i="52"/>
  <c r="M81" i="52"/>
  <c r="J81" i="52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S77" i="52"/>
  <c r="U77" i="52" s="1"/>
  <c r="Q77" i="52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M75" i="52"/>
  <c r="J75" i="52"/>
  <c r="X74" i="52"/>
  <c r="Q74" i="52"/>
  <c r="S74" i="52" s="1"/>
  <c r="U74" i="52" s="1"/>
  <c r="J74" i="52"/>
  <c r="M74" i="52" s="1"/>
  <c r="X73" i="52"/>
  <c r="Q73" i="52"/>
  <c r="S73" i="52" s="1"/>
  <c r="U73" i="52" s="1"/>
  <c r="M73" i="52"/>
  <c r="J73" i="52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M70" i="52"/>
  <c r="J70" i="52"/>
  <c r="X69" i="52"/>
  <c r="S69" i="52"/>
  <c r="U69" i="52" s="1"/>
  <c r="Q69" i="52"/>
  <c r="J69" i="52"/>
  <c r="M69" i="52" s="1"/>
  <c r="X68" i="52"/>
  <c r="U68" i="52"/>
  <c r="S68" i="52"/>
  <c r="Q68" i="52"/>
  <c r="J68" i="52"/>
  <c r="M68" i="52" s="1"/>
  <c r="X67" i="52"/>
  <c r="S67" i="52"/>
  <c r="U67" i="52" s="1"/>
  <c r="Q67" i="52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S57" i="52"/>
  <c r="U57" i="52" s="1"/>
  <c r="Q57" i="52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S49" i="52"/>
  <c r="U49" i="52" s="1"/>
  <c r="Q49" i="52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S43" i="52"/>
  <c r="U43" i="52" s="1"/>
  <c r="Q43" i="52"/>
  <c r="J43" i="52"/>
  <c r="M43" i="52" s="1"/>
  <c r="X42" i="52"/>
  <c r="U42" i="52"/>
  <c r="Q42" i="52"/>
  <c r="S42" i="52" s="1"/>
  <c r="J42" i="52"/>
  <c r="M42" i="52" s="1"/>
  <c r="X41" i="52"/>
  <c r="Q41" i="52"/>
  <c r="S41" i="52" s="1"/>
  <c r="U41" i="52" s="1"/>
  <c r="J41" i="52"/>
  <c r="M41" i="52" s="1"/>
  <c r="X40" i="52"/>
  <c r="S40" i="52"/>
  <c r="U40" i="52" s="1"/>
  <c r="Q40" i="52"/>
  <c r="J40" i="52"/>
  <c r="M40" i="52" s="1"/>
  <c r="X39" i="52"/>
  <c r="S39" i="52"/>
  <c r="U39" i="52" s="1"/>
  <c r="Q39" i="52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M37" i="52"/>
  <c r="J37" i="52"/>
  <c r="X36" i="52"/>
  <c r="Q36" i="52"/>
  <c r="S36" i="52" s="1"/>
  <c r="U36" i="52" s="1"/>
  <c r="J36" i="52"/>
  <c r="M36" i="52" s="1"/>
  <c r="X35" i="52"/>
  <c r="S35" i="52"/>
  <c r="U35" i="52" s="1"/>
  <c r="Q35" i="52"/>
  <c r="M35" i="52"/>
  <c r="J35" i="52"/>
  <c r="X34" i="52"/>
  <c r="Q34" i="52"/>
  <c r="S34" i="52" s="1"/>
  <c r="U34" i="52" s="1"/>
  <c r="J34" i="52"/>
  <c r="M34" i="52" s="1"/>
  <c r="X33" i="52"/>
  <c r="S33" i="52"/>
  <c r="U33" i="52" s="1"/>
  <c r="Q33" i="52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S30" i="52"/>
  <c r="U30" i="52" s="1"/>
  <c r="Q30" i="52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S17" i="52"/>
  <c r="U17" i="52" s="1"/>
  <c r="Q17" i="52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M15" i="52"/>
  <c r="J15" i="52"/>
  <c r="X14" i="52"/>
  <c r="Q14" i="52"/>
  <c r="S14" i="52" s="1"/>
  <c r="U14" i="52" s="1"/>
  <c r="J14" i="52"/>
  <c r="M14" i="52" s="1"/>
  <c r="X13" i="52"/>
  <c r="S13" i="52"/>
  <c r="U13" i="52" s="1"/>
  <c r="Q13" i="52"/>
  <c r="M13" i="52"/>
  <c r="J13" i="52"/>
  <c r="X12" i="52"/>
  <c r="Q12" i="52"/>
  <c r="S12" i="52" s="1"/>
  <c r="U12" i="52" s="1"/>
  <c r="J12" i="52"/>
  <c r="M12" i="52" s="1"/>
  <c r="X11" i="52"/>
  <c r="S11" i="52"/>
  <c r="U11" i="52" s="1"/>
  <c r="Q11" i="52"/>
  <c r="M11" i="52"/>
  <c r="J11" i="52"/>
  <c r="X10" i="52"/>
  <c r="Q10" i="52"/>
  <c r="S10" i="52" s="1"/>
  <c r="U10" i="52" s="1"/>
  <c r="J10" i="52"/>
  <c r="M10" i="52" s="1"/>
  <c r="X9" i="52"/>
  <c r="S9" i="52"/>
  <c r="U9" i="52" s="1"/>
  <c r="Q9" i="52"/>
  <c r="J9" i="52"/>
  <c r="M9" i="52" s="1"/>
  <c r="X8" i="52"/>
  <c r="Q8" i="52"/>
  <c r="S8" i="52" s="1"/>
  <c r="U8" i="52" s="1"/>
  <c r="M8" i="52"/>
  <c r="J8" i="52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24" i="50"/>
  <c r="N20" i="8" s="1"/>
  <c r="K221" i="50"/>
  <c r="J231" i="50" s="1"/>
  <c r="J213" i="50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M204" i="50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M132" i="50"/>
  <c r="J132" i="50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S101" i="50"/>
  <c r="U101" i="50" s="1"/>
  <c r="Q101" i="50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S84" i="50"/>
  <c r="U84" i="50" s="1"/>
  <c r="Q84" i="50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S77" i="50"/>
  <c r="U77" i="50" s="1"/>
  <c r="Q77" i="50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M75" i="50"/>
  <c r="J75" i="50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U39" i="50"/>
  <c r="Q39" i="50"/>
  <c r="S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M33" i="50"/>
  <c r="J33" i="50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M30" i="50"/>
  <c r="J30" i="50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24" i="49"/>
  <c r="N19" i="8" s="1"/>
  <c r="K221" i="49"/>
  <c r="J231" i="49" s="1"/>
  <c r="J217" i="49"/>
  <c r="J214" i="49"/>
  <c r="M214" i="49" s="1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M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M130" i="49"/>
  <c r="J130" i="49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S69" i="49"/>
  <c r="U69" i="49" s="1"/>
  <c r="Q69" i="49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S49" i="49"/>
  <c r="U49" i="49" s="1"/>
  <c r="Q49" i="49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M11" i="49"/>
  <c r="J11" i="49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24" i="48"/>
  <c r="N18" i="8" s="1"/>
  <c r="K221" i="48"/>
  <c r="J231" i="48" s="1"/>
  <c r="J217" i="48"/>
  <c r="J214" i="48"/>
  <c r="M214" i="48" s="1"/>
  <c r="J213" i="48"/>
  <c r="M213" i="48" s="1"/>
  <c r="J212" i="48"/>
  <c r="M212" i="48" s="1"/>
  <c r="J211" i="48"/>
  <c r="M211" i="48" s="1"/>
  <c r="J210" i="48"/>
  <c r="M210" i="48" s="1"/>
  <c r="M209" i="48"/>
  <c r="J209" i="48"/>
  <c r="J208" i="48"/>
  <c r="M208" i="48" s="1"/>
  <c r="J207" i="48"/>
  <c r="M207" i="48" s="1"/>
  <c r="J206" i="48"/>
  <c r="M206" i="48" s="1"/>
  <c r="J205" i="48"/>
  <c r="M205" i="48" s="1"/>
  <c r="M204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M106" i="48"/>
  <c r="J106" i="48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S93" i="48"/>
  <c r="U93" i="48" s="1"/>
  <c r="Q93" i="48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M74" i="48"/>
  <c r="J74" i="48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M66" i="48"/>
  <c r="J66" i="48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S43" i="48"/>
  <c r="U43" i="48" s="1"/>
  <c r="Q43" i="48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S40" i="48"/>
  <c r="U40" i="48" s="1"/>
  <c r="Q40" i="48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M26" i="48"/>
  <c r="J26" i="48"/>
  <c r="X25" i="48"/>
  <c r="Q25" i="48"/>
  <c r="S25" i="48" s="1"/>
  <c r="U25" i="48" s="1"/>
  <c r="J25" i="48"/>
  <c r="M25" i="48" s="1"/>
  <c r="X24" i="48"/>
  <c r="Q24" i="48"/>
  <c r="S24" i="48" s="1"/>
  <c r="U24" i="48" s="1"/>
  <c r="M24" i="48"/>
  <c r="J24" i="48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S19" i="48"/>
  <c r="U19" i="48" s="1"/>
  <c r="Q19" i="48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M8" i="48"/>
  <c r="J8" i="48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4" i="47"/>
  <c r="N17" i="8" s="1"/>
  <c r="K221" i="47"/>
  <c r="J231" i="47" s="1"/>
  <c r="J217" i="47"/>
  <c r="J214" i="47"/>
  <c r="M214" i="47" s="1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M204" i="47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24" i="46"/>
  <c r="N16" i="8" s="1"/>
  <c r="K221" i="46"/>
  <c r="R16" i="8" s="1"/>
  <c r="J217" i="46"/>
  <c r="J214" i="46"/>
  <c r="M214" i="46" s="1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M204" i="46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U104" i="46"/>
  <c r="Q104" i="46"/>
  <c r="S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S101" i="46"/>
  <c r="U101" i="46" s="1"/>
  <c r="Q101" i="46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S81" i="46"/>
  <c r="U81" i="46" s="1"/>
  <c r="Q81" i="46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S45" i="46"/>
  <c r="U45" i="46" s="1"/>
  <c r="Q45" i="46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U42" i="46"/>
  <c r="Q42" i="46"/>
  <c r="S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J214" i="45"/>
  <c r="C214" i="45"/>
  <c r="E214" i="45" s="1"/>
  <c r="G214" i="45" s="1"/>
  <c r="C214" i="46" s="1"/>
  <c r="E214" i="46" s="1"/>
  <c r="G214" i="46" s="1"/>
  <c r="C214" i="47" s="1"/>
  <c r="E214" i="47" s="1"/>
  <c r="G214" i="47" s="1"/>
  <c r="C214" i="48" s="1"/>
  <c r="E214" i="48" s="1"/>
  <c r="G214" i="48" s="1"/>
  <c r="J213" i="45"/>
  <c r="C213" i="45"/>
  <c r="E213" i="45" s="1"/>
  <c r="G213" i="45" s="1"/>
  <c r="C213" i="46" s="1"/>
  <c r="E213" i="46" s="1"/>
  <c r="G213" i="46" s="1"/>
  <c r="C213" i="47" s="1"/>
  <c r="E213" i="47" s="1"/>
  <c r="G213" i="47" s="1"/>
  <c r="C213" i="48" s="1"/>
  <c r="E213" i="48" s="1"/>
  <c r="G213" i="48" s="1"/>
  <c r="C213" i="49" s="1"/>
  <c r="E213" i="49" s="1"/>
  <c r="G213" i="49" s="1"/>
  <c r="C213" i="50" s="1"/>
  <c r="E213" i="50" s="1"/>
  <c r="G213" i="50" s="1"/>
  <c r="C213" i="52" s="1"/>
  <c r="E213" i="52" s="1"/>
  <c r="G213" i="52" s="1"/>
  <c r="C213" i="53" s="1"/>
  <c r="E213" i="53" s="1"/>
  <c r="G213" i="53" s="1"/>
  <c r="C213" i="54" s="1"/>
  <c r="E213" i="54" s="1"/>
  <c r="G213" i="54" s="1"/>
  <c r="C213" i="55" s="1"/>
  <c r="E213" i="55" s="1"/>
  <c r="G213" i="55" s="1"/>
  <c r="C213" i="57" s="1"/>
  <c r="E213" i="57" s="1"/>
  <c r="G213" i="57" s="1"/>
  <c r="C213" i="58" s="1"/>
  <c r="E213" i="58" s="1"/>
  <c r="G213" i="58" s="1"/>
  <c r="C213" i="59" s="1"/>
  <c r="E213" i="59" s="1"/>
  <c r="G213" i="59" s="1"/>
  <c r="C213" i="60" s="1"/>
  <c r="E213" i="60" s="1"/>
  <c r="G213" i="60" s="1"/>
  <c r="C213" i="61" s="1"/>
  <c r="E213" i="61" s="1"/>
  <c r="G213" i="61" s="1"/>
  <c r="C213" i="62" s="1"/>
  <c r="E213" i="62" s="1"/>
  <c r="G213" i="62" s="1"/>
  <c r="C213" i="63" s="1"/>
  <c r="E213" i="63" s="1"/>
  <c r="G213" i="63" s="1"/>
  <c r="C213" i="64" s="1"/>
  <c r="E213" i="64" s="1"/>
  <c r="G213" i="64" s="1"/>
  <c r="C213" i="65" s="1"/>
  <c r="E213" i="65" s="1"/>
  <c r="G213" i="65" s="1"/>
  <c r="C213" i="66" s="1"/>
  <c r="E213" i="66" s="1"/>
  <c r="G213" i="66" s="1"/>
  <c r="C213" i="67" s="1"/>
  <c r="E213" i="67" s="1"/>
  <c r="G213" i="67" s="1"/>
  <c r="K222" i="45"/>
  <c r="N15" i="8" s="1"/>
  <c r="K219" i="45"/>
  <c r="R15" i="8" s="1"/>
  <c r="J215" i="45"/>
  <c r="J212" i="45"/>
  <c r="M212" i="45" s="1"/>
  <c r="J211" i="45"/>
  <c r="M211" i="45" s="1"/>
  <c r="J210" i="45"/>
  <c r="M210" i="45" s="1"/>
  <c r="J209" i="45"/>
  <c r="M209" i="45" s="1"/>
  <c r="M208" i="45"/>
  <c r="J208" i="45"/>
  <c r="J207" i="45"/>
  <c r="M207" i="45" s="1"/>
  <c r="J206" i="45"/>
  <c r="M206" i="45" s="1"/>
  <c r="J205" i="45"/>
  <c r="M205" i="45" s="1"/>
  <c r="M204" i="45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M155" i="45"/>
  <c r="J155" i="45"/>
  <c r="J154" i="45"/>
  <c r="M154" i="45" s="1"/>
  <c r="J153" i="45"/>
  <c r="M153" i="45" s="1"/>
  <c r="J152" i="45"/>
  <c r="M152" i="45" s="1"/>
  <c r="J151" i="45"/>
  <c r="M151" i="45" s="1"/>
  <c r="M150" i="45"/>
  <c r="J150" i="45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S103" i="45"/>
  <c r="U103" i="45" s="1"/>
  <c r="Q103" i="45"/>
  <c r="J103" i="45"/>
  <c r="M103" i="45" s="1"/>
  <c r="X102" i="45"/>
  <c r="S102" i="45"/>
  <c r="U102" i="45" s="1"/>
  <c r="Q102" i="45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S93" i="45"/>
  <c r="U93" i="45" s="1"/>
  <c r="Q93" i="45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S89" i="45"/>
  <c r="U89" i="45" s="1"/>
  <c r="Q89" i="45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S86" i="45"/>
  <c r="U86" i="45" s="1"/>
  <c r="Q86" i="45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M84" i="45"/>
  <c r="J84" i="45"/>
  <c r="X83" i="45"/>
  <c r="Q83" i="45"/>
  <c r="S83" i="45" s="1"/>
  <c r="U83" i="45" s="1"/>
  <c r="M83" i="45"/>
  <c r="J83" i="45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S78" i="45"/>
  <c r="U78" i="45" s="1"/>
  <c r="Q78" i="45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M67" i="45"/>
  <c r="J67" i="45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S58" i="45"/>
  <c r="U58" i="45" s="1"/>
  <c r="Q58" i="45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M51" i="45"/>
  <c r="J51" i="45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S46" i="45"/>
  <c r="U46" i="45" s="1"/>
  <c r="Q46" i="45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S7" i="45"/>
  <c r="U7" i="45" s="1"/>
  <c r="Q7" i="45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K220" i="44"/>
  <c r="N14" i="8" s="1"/>
  <c r="K217" i="44"/>
  <c r="J227" i="44" s="1"/>
  <c r="J213" i="44"/>
  <c r="J212" i="44"/>
  <c r="M212" i="44" s="1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M204" i="44"/>
  <c r="J203" i="44"/>
  <c r="M203" i="44" s="1"/>
  <c r="M202" i="44"/>
  <c r="J202" i="44"/>
  <c r="M201" i="44"/>
  <c r="J201" i="44"/>
  <c r="M200" i="44"/>
  <c r="J200" i="44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M177" i="44"/>
  <c r="J177" i="44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M136" i="44"/>
  <c r="J136" i="44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M122" i="44"/>
  <c r="J122" i="44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U104" i="44"/>
  <c r="Q104" i="44"/>
  <c r="S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S100" i="44"/>
  <c r="U100" i="44" s="1"/>
  <c r="Q100" i="44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S97" i="44"/>
  <c r="U97" i="44" s="1"/>
  <c r="Q97" i="44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S94" i="44"/>
  <c r="U94" i="44" s="1"/>
  <c r="Q94" i="44"/>
  <c r="J94" i="44"/>
  <c r="M94" i="44" s="1"/>
  <c r="X93" i="44"/>
  <c r="S93" i="44"/>
  <c r="U93" i="44" s="1"/>
  <c r="Q93" i="44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S86" i="44"/>
  <c r="U86" i="44" s="1"/>
  <c r="Q86" i="44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S81" i="44"/>
  <c r="U81" i="44" s="1"/>
  <c r="Q81" i="44"/>
  <c r="J81" i="44"/>
  <c r="M81" i="44" s="1"/>
  <c r="X80" i="44"/>
  <c r="U80" i="44"/>
  <c r="Q80" i="44"/>
  <c r="S80" i="44" s="1"/>
  <c r="J80" i="44"/>
  <c r="M80" i="44" s="1"/>
  <c r="X79" i="44"/>
  <c r="Q79" i="44"/>
  <c r="S79" i="44" s="1"/>
  <c r="U79" i="44" s="1"/>
  <c r="J79" i="44"/>
  <c r="M79" i="44" s="1"/>
  <c r="X78" i="44"/>
  <c r="S78" i="44"/>
  <c r="U78" i="44" s="1"/>
  <c r="Q78" i="44"/>
  <c r="J78" i="44"/>
  <c r="M78" i="44" s="1"/>
  <c r="X77" i="44"/>
  <c r="S77" i="44"/>
  <c r="U77" i="44" s="1"/>
  <c r="Q77" i="44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M75" i="44"/>
  <c r="J75" i="44"/>
  <c r="X74" i="44"/>
  <c r="Q74" i="44"/>
  <c r="S74" i="44" s="1"/>
  <c r="U74" i="44" s="1"/>
  <c r="J74" i="44"/>
  <c r="M74" i="44" s="1"/>
  <c r="X73" i="44"/>
  <c r="S73" i="44"/>
  <c r="U73" i="44" s="1"/>
  <c r="Q73" i="44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M71" i="44"/>
  <c r="J71" i="44"/>
  <c r="X70" i="44"/>
  <c r="Q70" i="44"/>
  <c r="S70" i="44" s="1"/>
  <c r="U70" i="44" s="1"/>
  <c r="J70" i="44"/>
  <c r="M70" i="44" s="1"/>
  <c r="X69" i="44"/>
  <c r="S69" i="44"/>
  <c r="U69" i="44" s="1"/>
  <c r="Q69" i="44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M64" i="44"/>
  <c r="J64" i="44"/>
  <c r="X63" i="44"/>
  <c r="Q63" i="44"/>
  <c r="S63" i="44" s="1"/>
  <c r="U63" i="44" s="1"/>
  <c r="J63" i="44"/>
  <c r="M63" i="44" s="1"/>
  <c r="X62" i="44"/>
  <c r="S62" i="44"/>
  <c r="U62" i="44" s="1"/>
  <c r="Q62" i="44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U57" i="44"/>
  <c r="Q57" i="44"/>
  <c r="S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S54" i="44"/>
  <c r="U54" i="44" s="1"/>
  <c r="Q54" i="44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S46" i="44"/>
  <c r="U46" i="44" s="1"/>
  <c r="Q46" i="44"/>
  <c r="J46" i="44"/>
  <c r="M46" i="44" s="1"/>
  <c r="X45" i="44"/>
  <c r="S45" i="44"/>
  <c r="U45" i="44" s="1"/>
  <c r="Q45" i="44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S37" i="44"/>
  <c r="U37" i="44" s="1"/>
  <c r="Q37" i="44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S34" i="44"/>
  <c r="U34" i="44" s="1"/>
  <c r="Q34" i="44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U31" i="44"/>
  <c r="S31" i="44"/>
  <c r="Q31" i="44"/>
  <c r="J31" i="44"/>
  <c r="M31" i="44" s="1"/>
  <c r="X30" i="44"/>
  <c r="Q30" i="44"/>
  <c r="S30" i="44" s="1"/>
  <c r="U30" i="44" s="1"/>
  <c r="J30" i="44"/>
  <c r="M30" i="44" s="1"/>
  <c r="X29" i="44"/>
  <c r="S29" i="44"/>
  <c r="U29" i="44" s="1"/>
  <c r="Q29" i="44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S24" i="44"/>
  <c r="U24" i="44" s="1"/>
  <c r="Q24" i="44"/>
  <c r="J24" i="44"/>
  <c r="M24" i="44" s="1"/>
  <c r="X23" i="44"/>
  <c r="Q23" i="44"/>
  <c r="S23" i="44" s="1"/>
  <c r="U23" i="44" s="1"/>
  <c r="M23" i="44"/>
  <c r="J23" i="44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S13" i="44"/>
  <c r="U13" i="44" s="1"/>
  <c r="Q13" i="44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S10" i="44"/>
  <c r="U10" i="44" s="1"/>
  <c r="Q10" i="44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U7" i="44"/>
  <c r="S7" i="44"/>
  <c r="Q7" i="44"/>
  <c r="J7" i="44"/>
  <c r="M7" i="44" s="1"/>
  <c r="X6" i="44"/>
  <c r="Q6" i="44"/>
  <c r="S6" i="44" s="1"/>
  <c r="U6" i="44" s="1"/>
  <c r="J6" i="44"/>
  <c r="M6" i="44" s="1"/>
  <c r="X5" i="44"/>
  <c r="S5" i="44"/>
  <c r="U5" i="44" s="1"/>
  <c r="Q5" i="44"/>
  <c r="J5" i="44"/>
  <c r="M5" i="44" s="1"/>
  <c r="K220" i="43"/>
  <c r="N13" i="8" s="1"/>
  <c r="K217" i="43"/>
  <c r="R13" i="8" s="1"/>
  <c r="J213" i="43"/>
  <c r="J212" i="43"/>
  <c r="M212" i="43" s="1"/>
  <c r="J211" i="43"/>
  <c r="M211" i="43" s="1"/>
  <c r="J210" i="43"/>
  <c r="M210" i="43" s="1"/>
  <c r="M209" i="43"/>
  <c r="J209" i="43"/>
  <c r="J208" i="43"/>
  <c r="M208" i="43" s="1"/>
  <c r="J207" i="43"/>
  <c r="M207" i="43" s="1"/>
  <c r="J206" i="43"/>
  <c r="M206" i="43" s="1"/>
  <c r="J205" i="43"/>
  <c r="M205" i="43" s="1"/>
  <c r="M204" i="43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M185" i="43"/>
  <c r="J185" i="43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M172" i="43"/>
  <c r="J172" i="43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M163" i="43"/>
  <c r="J163" i="43"/>
  <c r="M162" i="43"/>
  <c r="J162" i="43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M122" i="43"/>
  <c r="J122" i="43"/>
  <c r="M121" i="43"/>
  <c r="J121" i="43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M112" i="43"/>
  <c r="J112" i="43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 s="1"/>
  <c r="Q104" i="43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S99" i="43"/>
  <c r="U99" i="43" s="1"/>
  <c r="Q99" i="43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S96" i="43"/>
  <c r="U96" i="43" s="1"/>
  <c r="Q96" i="43"/>
  <c r="J96" i="43"/>
  <c r="M96" i="43" s="1"/>
  <c r="X95" i="43"/>
  <c r="U95" i="43"/>
  <c r="S95" i="43"/>
  <c r="Q95" i="43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S92" i="43"/>
  <c r="U92" i="43" s="1"/>
  <c r="Q92" i="43"/>
  <c r="J92" i="43"/>
  <c r="M92" i="43" s="1"/>
  <c r="X91" i="43"/>
  <c r="S91" i="43"/>
  <c r="U91" i="43" s="1"/>
  <c r="Q91" i="43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S84" i="43"/>
  <c r="U84" i="43" s="1"/>
  <c r="Q84" i="43"/>
  <c r="J84" i="43"/>
  <c r="M84" i="43" s="1"/>
  <c r="X83" i="43"/>
  <c r="U83" i="43"/>
  <c r="Q83" i="43"/>
  <c r="S83" i="43" s="1"/>
  <c r="J83" i="43"/>
  <c r="M83" i="43" s="1"/>
  <c r="X82" i="43"/>
  <c r="Q82" i="43"/>
  <c r="S82" i="43" s="1"/>
  <c r="U82" i="43" s="1"/>
  <c r="J82" i="43"/>
  <c r="M82" i="43" s="1"/>
  <c r="X81" i="43"/>
  <c r="S81" i="43"/>
  <c r="U81" i="43" s="1"/>
  <c r="Q81" i="43"/>
  <c r="J81" i="43"/>
  <c r="M81" i="43" s="1"/>
  <c r="X80" i="43"/>
  <c r="S80" i="43"/>
  <c r="U80" i="43" s="1"/>
  <c r="Q80" i="43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U75" i="43"/>
  <c r="S75" i="43"/>
  <c r="Q75" i="43"/>
  <c r="J75" i="43"/>
  <c r="M75" i="43" s="1"/>
  <c r="X74" i="43"/>
  <c r="Q74" i="43"/>
  <c r="S74" i="43" s="1"/>
  <c r="U74" i="43" s="1"/>
  <c r="J74" i="43"/>
  <c r="M74" i="43" s="1"/>
  <c r="X73" i="43"/>
  <c r="S73" i="43"/>
  <c r="U73" i="43" s="1"/>
  <c r="Q73" i="43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S67" i="43"/>
  <c r="U67" i="43" s="1"/>
  <c r="Q67" i="43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S64" i="43"/>
  <c r="U64" i="43" s="1"/>
  <c r="Q64" i="43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M61" i="43"/>
  <c r="J61" i="43"/>
  <c r="X60" i="43"/>
  <c r="Q60" i="43"/>
  <c r="S60" i="43" s="1"/>
  <c r="U60" i="43" s="1"/>
  <c r="J60" i="43"/>
  <c r="M60" i="43" s="1"/>
  <c r="X59" i="43"/>
  <c r="S59" i="43"/>
  <c r="U59" i="43" s="1"/>
  <c r="Q59" i="43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S56" i="43"/>
  <c r="U56" i="43" s="1"/>
  <c r="Q56" i="43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S51" i="43"/>
  <c r="U51" i="43" s="1"/>
  <c r="Q51" i="43"/>
  <c r="M51" i="43"/>
  <c r="J51" i="43"/>
  <c r="X50" i="43"/>
  <c r="Q50" i="43"/>
  <c r="S50" i="43" s="1"/>
  <c r="U50" i="43" s="1"/>
  <c r="J50" i="43"/>
  <c r="M50" i="43" s="1"/>
  <c r="X49" i="43"/>
  <c r="S49" i="43"/>
  <c r="U49" i="43" s="1"/>
  <c r="Q49" i="43"/>
  <c r="J49" i="43"/>
  <c r="M49" i="43" s="1"/>
  <c r="X48" i="43"/>
  <c r="U48" i="43"/>
  <c r="S48" i="43"/>
  <c r="Q48" i="43"/>
  <c r="J48" i="43"/>
  <c r="M48" i="43" s="1"/>
  <c r="X47" i="43"/>
  <c r="Q47" i="43"/>
  <c r="S47" i="43" s="1"/>
  <c r="U47" i="43" s="1"/>
  <c r="J47" i="43"/>
  <c r="M47" i="43" s="1"/>
  <c r="X46" i="43"/>
  <c r="S46" i="43"/>
  <c r="U46" i="43" s="1"/>
  <c r="Q46" i="43"/>
  <c r="J46" i="43"/>
  <c r="M46" i="43" s="1"/>
  <c r="X45" i="43"/>
  <c r="Q45" i="43"/>
  <c r="S45" i="43" s="1"/>
  <c r="U45" i="43" s="1"/>
  <c r="M45" i="43"/>
  <c r="J45" i="43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S38" i="43"/>
  <c r="U38" i="43" s="1"/>
  <c r="Q38" i="43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U35" i="43"/>
  <c r="S35" i="43"/>
  <c r="Q35" i="43"/>
  <c r="J35" i="43"/>
  <c r="M35" i="43" s="1"/>
  <c r="X34" i="43"/>
  <c r="U34" i="43"/>
  <c r="S34" i="43"/>
  <c r="Q34" i="43"/>
  <c r="J34" i="43"/>
  <c r="M34" i="43" s="1"/>
  <c r="X33" i="43"/>
  <c r="Q33" i="43"/>
  <c r="S33" i="43" s="1"/>
  <c r="U33" i="43" s="1"/>
  <c r="M33" i="43"/>
  <c r="J33" i="43"/>
  <c r="X32" i="43"/>
  <c r="Q32" i="43"/>
  <c r="S32" i="43" s="1"/>
  <c r="U32" i="43" s="1"/>
  <c r="J32" i="43"/>
  <c r="M32" i="43" s="1"/>
  <c r="X31" i="43"/>
  <c r="S31" i="43"/>
  <c r="U31" i="43" s="1"/>
  <c r="Q31" i="43"/>
  <c r="J31" i="43"/>
  <c r="M31" i="43" s="1"/>
  <c r="X30" i="43"/>
  <c r="Q30" i="43"/>
  <c r="S30" i="43" s="1"/>
  <c r="U30" i="43" s="1"/>
  <c r="J30" i="43"/>
  <c r="M30" i="43" s="1"/>
  <c r="X29" i="43"/>
  <c r="S29" i="43"/>
  <c r="U29" i="43" s="1"/>
  <c r="Q29" i="43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M25" i="43"/>
  <c r="J25" i="43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S19" i="43"/>
  <c r="U19" i="43" s="1"/>
  <c r="Q19" i="43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S15" i="43"/>
  <c r="U15" i="43" s="1"/>
  <c r="Q15" i="43"/>
  <c r="J15" i="43"/>
  <c r="M15" i="43" s="1"/>
  <c r="X14" i="43"/>
  <c r="Q14" i="43"/>
  <c r="S14" i="43" s="1"/>
  <c r="U14" i="43" s="1"/>
  <c r="J14" i="43"/>
  <c r="M14" i="43" s="1"/>
  <c r="X13" i="43"/>
  <c r="S13" i="43"/>
  <c r="U13" i="43" s="1"/>
  <c r="Q13" i="43"/>
  <c r="J13" i="43"/>
  <c r="M13" i="43" s="1"/>
  <c r="X12" i="43"/>
  <c r="Q12" i="43"/>
  <c r="S12" i="43" s="1"/>
  <c r="U12" i="43" s="1"/>
  <c r="M12" i="43"/>
  <c r="J12" i="43"/>
  <c r="X11" i="43"/>
  <c r="Q11" i="43"/>
  <c r="S11" i="43" s="1"/>
  <c r="U11" i="43" s="1"/>
  <c r="J11" i="43"/>
  <c r="M11" i="43" s="1"/>
  <c r="X10" i="43"/>
  <c r="S10" i="43"/>
  <c r="U10" i="43" s="1"/>
  <c r="Q10" i="43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S7" i="43"/>
  <c r="U7" i="43" s="1"/>
  <c r="Q7" i="43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20" i="42"/>
  <c r="N12" i="8" s="1"/>
  <c r="K217" i="42"/>
  <c r="R12" i="8" s="1"/>
  <c r="J213" i="42"/>
  <c r="J212" i="42"/>
  <c r="M212" i="42" s="1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M204" i="42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M177" i="42"/>
  <c r="J177" i="42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M138" i="42"/>
  <c r="J138" i="42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M121" i="42"/>
  <c r="J121" i="42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M104" i="42"/>
  <c r="J104" i="42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S94" i="42"/>
  <c r="U94" i="42" s="1"/>
  <c r="Q94" i="42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S91" i="42"/>
  <c r="U91" i="42" s="1"/>
  <c r="Q91" i="42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S88" i="42"/>
  <c r="U88" i="42" s="1"/>
  <c r="Q88" i="42"/>
  <c r="M88" i="42"/>
  <c r="J88" i="42"/>
  <c r="X87" i="42"/>
  <c r="Q87" i="42"/>
  <c r="S87" i="42" s="1"/>
  <c r="U87" i="42" s="1"/>
  <c r="J87" i="42"/>
  <c r="M87" i="42" s="1"/>
  <c r="X86" i="42"/>
  <c r="S86" i="42"/>
  <c r="U86" i="42" s="1"/>
  <c r="Q86" i="42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S80" i="42"/>
  <c r="U80" i="42" s="1"/>
  <c r="Q80" i="42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S77" i="42"/>
  <c r="U77" i="42" s="1"/>
  <c r="Q77" i="42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S69" i="42"/>
  <c r="U69" i="42" s="1"/>
  <c r="Q69" i="42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M66" i="42"/>
  <c r="J66" i="42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S61" i="42"/>
  <c r="U61" i="42" s="1"/>
  <c r="Q61" i="42"/>
  <c r="M61" i="42"/>
  <c r="J61" i="42"/>
  <c r="X60" i="42"/>
  <c r="Q60" i="42"/>
  <c r="S60" i="42" s="1"/>
  <c r="U60" i="42" s="1"/>
  <c r="M60" i="42"/>
  <c r="J60" i="42"/>
  <c r="X59" i="42"/>
  <c r="Q59" i="42"/>
  <c r="S59" i="42" s="1"/>
  <c r="U59" i="42" s="1"/>
  <c r="J59" i="42"/>
  <c r="M59" i="42" s="1"/>
  <c r="X58" i="42"/>
  <c r="U58" i="42"/>
  <c r="S58" i="42"/>
  <c r="Q58" i="42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M56" i="42"/>
  <c r="J56" i="42"/>
  <c r="X55" i="42"/>
  <c r="Q55" i="42"/>
  <c r="S55" i="42" s="1"/>
  <c r="U55" i="42" s="1"/>
  <c r="M55" i="42"/>
  <c r="J55" i="42"/>
  <c r="X54" i="42"/>
  <c r="S54" i="42"/>
  <c r="U54" i="42" s="1"/>
  <c r="Q54" i="42"/>
  <c r="J54" i="42"/>
  <c r="M54" i="42" s="1"/>
  <c r="X53" i="42"/>
  <c r="S53" i="42"/>
  <c r="U53" i="42" s="1"/>
  <c r="Q53" i="42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U50" i="42"/>
  <c r="S50" i="42"/>
  <c r="Q50" i="42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S45" i="42"/>
  <c r="U45" i="42" s="1"/>
  <c r="Q45" i="42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S41" i="42"/>
  <c r="U41" i="42" s="1"/>
  <c r="Q41" i="42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S38" i="42"/>
  <c r="U38" i="42" s="1"/>
  <c r="Q38" i="42"/>
  <c r="J38" i="42"/>
  <c r="M38" i="42" s="1"/>
  <c r="X37" i="42"/>
  <c r="S37" i="42"/>
  <c r="U37" i="42" s="1"/>
  <c r="Q37" i="42"/>
  <c r="J37" i="42"/>
  <c r="M37" i="42" s="1"/>
  <c r="X36" i="42"/>
  <c r="U36" i="42"/>
  <c r="Q36" i="42"/>
  <c r="S36" i="42" s="1"/>
  <c r="J36" i="42"/>
  <c r="M36" i="42" s="1"/>
  <c r="X35" i="42"/>
  <c r="S35" i="42"/>
  <c r="U35" i="42" s="1"/>
  <c r="Q35" i="42"/>
  <c r="J35" i="42"/>
  <c r="M35" i="42" s="1"/>
  <c r="X34" i="42"/>
  <c r="U34" i="42"/>
  <c r="Q34" i="42"/>
  <c r="S34" i="42" s="1"/>
  <c r="J34" i="42"/>
  <c r="M34" i="42" s="1"/>
  <c r="X33" i="42"/>
  <c r="S33" i="42"/>
  <c r="U33" i="42" s="1"/>
  <c r="Q33" i="42"/>
  <c r="J33" i="42"/>
  <c r="M33" i="42" s="1"/>
  <c r="X32" i="42"/>
  <c r="U32" i="42"/>
  <c r="Q32" i="42"/>
  <c r="S32" i="42" s="1"/>
  <c r="J32" i="42"/>
  <c r="M32" i="42" s="1"/>
  <c r="X31" i="42"/>
  <c r="S31" i="42"/>
  <c r="U31" i="42" s="1"/>
  <c r="Q31" i="42"/>
  <c r="J31" i="42"/>
  <c r="M31" i="42" s="1"/>
  <c r="X30" i="42"/>
  <c r="U30" i="42"/>
  <c r="Q30" i="42"/>
  <c r="S30" i="42" s="1"/>
  <c r="M30" i="42"/>
  <c r="J30" i="42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S25" i="42"/>
  <c r="U25" i="42" s="1"/>
  <c r="Q25" i="42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S19" i="42"/>
  <c r="U19" i="42" s="1"/>
  <c r="Q19" i="42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S15" i="42"/>
  <c r="U15" i="42" s="1"/>
  <c r="Q15" i="42"/>
  <c r="J15" i="42"/>
  <c r="M15" i="42" s="1"/>
  <c r="X14" i="42"/>
  <c r="U14" i="42"/>
  <c r="Q14" i="42"/>
  <c r="S14" i="42" s="1"/>
  <c r="J14" i="42"/>
  <c r="M14" i="42" s="1"/>
  <c r="X13" i="42"/>
  <c r="Q13" i="42"/>
  <c r="S13" i="42" s="1"/>
  <c r="U13" i="42" s="1"/>
  <c r="J13" i="42"/>
  <c r="M13" i="42" s="1"/>
  <c r="X12" i="42"/>
  <c r="S12" i="42"/>
  <c r="U12" i="42" s="1"/>
  <c r="Q12" i="42"/>
  <c r="J12" i="42"/>
  <c r="M12" i="42" s="1"/>
  <c r="X11" i="42"/>
  <c r="U11" i="42"/>
  <c r="Q11" i="42"/>
  <c r="S11" i="42" s="1"/>
  <c r="J11" i="42"/>
  <c r="M11" i="42" s="1"/>
  <c r="X10" i="42"/>
  <c r="Q10" i="42"/>
  <c r="S10" i="42" s="1"/>
  <c r="U10" i="42" s="1"/>
  <c r="J10" i="42"/>
  <c r="M10" i="42" s="1"/>
  <c r="X9" i="42"/>
  <c r="S9" i="42"/>
  <c r="U9" i="42" s="1"/>
  <c r="Q9" i="42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S6" i="42"/>
  <c r="U6" i="42" s="1"/>
  <c r="Q6" i="42"/>
  <c r="J6" i="42"/>
  <c r="M6" i="42" s="1"/>
  <c r="X5" i="42"/>
  <c r="X107" i="42" s="1"/>
  <c r="J214" i="42" s="1"/>
  <c r="Q5" i="42"/>
  <c r="S5" i="42" s="1"/>
  <c r="U5" i="42" s="1"/>
  <c r="J5" i="42"/>
  <c r="M5" i="42" s="1"/>
  <c r="K221" i="41"/>
  <c r="N11" i="8" s="1"/>
  <c r="K218" i="41"/>
  <c r="R11" i="8" s="1"/>
  <c r="J213" i="41"/>
  <c r="J212" i="41"/>
  <c r="M212" i="41" s="1"/>
  <c r="J211" i="41"/>
  <c r="M211" i="41" s="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M204" i="4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S96" i="41"/>
  <c r="U96" i="41" s="1"/>
  <c r="Q96" i="41"/>
  <c r="J96" i="41"/>
  <c r="M96" i="41" s="1"/>
  <c r="X95" i="41"/>
  <c r="Q95" i="41"/>
  <c r="S95" i="41" s="1"/>
  <c r="U95" i="41" s="1"/>
  <c r="J95" i="41"/>
  <c r="M95" i="41" s="1"/>
  <c r="X94" i="41"/>
  <c r="U94" i="41"/>
  <c r="Q94" i="41"/>
  <c r="S94" i="41" s="1"/>
  <c r="J94" i="41"/>
  <c r="M94" i="41" s="1"/>
  <c r="X93" i="41"/>
  <c r="Q93" i="41"/>
  <c r="S93" i="41" s="1"/>
  <c r="U93" i="41" s="1"/>
  <c r="J93" i="41"/>
  <c r="M93" i="41" s="1"/>
  <c r="X92" i="41"/>
  <c r="S92" i="41"/>
  <c r="U92" i="41" s="1"/>
  <c r="Q92" i="4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S79" i="41"/>
  <c r="U79" i="41" s="1"/>
  <c r="Q79" i="4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S69" i="41"/>
  <c r="U69" i="41" s="1"/>
  <c r="Q69" i="41"/>
  <c r="J69" i="41"/>
  <c r="M69" i="41" s="1"/>
  <c r="X68" i="41"/>
  <c r="Q68" i="41"/>
  <c r="S68" i="41" s="1"/>
  <c r="U68" i="41" s="1"/>
  <c r="J68" i="41"/>
  <c r="M68" i="41" s="1"/>
  <c r="X67" i="41"/>
  <c r="S67" i="41"/>
  <c r="U67" i="41" s="1"/>
  <c r="Q67" i="4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S59" i="41"/>
  <c r="U59" i="41" s="1"/>
  <c r="Q59" i="4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M57" i="41"/>
  <c r="J57" i="41"/>
  <c r="X56" i="41"/>
  <c r="Q56" i="41"/>
  <c r="S56" i="41" s="1"/>
  <c r="U56" i="41" s="1"/>
  <c r="J56" i="41"/>
  <c r="M56" i="41" s="1"/>
  <c r="X55" i="41"/>
  <c r="S55" i="41"/>
  <c r="U55" i="41" s="1"/>
  <c r="Q55" i="4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S47" i="41"/>
  <c r="U47" i="41" s="1"/>
  <c r="Q47" i="41"/>
  <c r="J47" i="41"/>
  <c r="M47" i="41" s="1"/>
  <c r="X46" i="41"/>
  <c r="U46" i="41"/>
  <c r="Q46" i="41"/>
  <c r="S46" i="41" s="1"/>
  <c r="J46" i="41"/>
  <c r="M46" i="41" s="1"/>
  <c r="X45" i="41"/>
  <c r="S45" i="41"/>
  <c r="U45" i="41" s="1"/>
  <c r="Q45" i="4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S39" i="41"/>
  <c r="U39" i="41" s="1"/>
  <c r="Q39" i="4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S35" i="41"/>
  <c r="U35" i="41" s="1"/>
  <c r="Q35" i="41"/>
  <c r="J35" i="41"/>
  <c r="M35" i="41" s="1"/>
  <c r="X34" i="41"/>
  <c r="Q34" i="41"/>
  <c r="S34" i="41" s="1"/>
  <c r="U34" i="41" s="1"/>
  <c r="J34" i="41"/>
  <c r="M34" i="41" s="1"/>
  <c r="X33" i="41"/>
  <c r="S33" i="41"/>
  <c r="U33" i="41" s="1"/>
  <c r="Q33" i="4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M26" i="41"/>
  <c r="J26" i="4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M21" i="41"/>
  <c r="J21" i="4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S11" i="41"/>
  <c r="U11" i="41" s="1"/>
  <c r="Q11" i="4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K221" i="40"/>
  <c r="N10" i="8" s="1"/>
  <c r="K218" i="40"/>
  <c r="J228" i="40" s="1"/>
  <c r="J213" i="40"/>
  <c r="J212" i="40"/>
  <c r="M212" i="40" s="1"/>
  <c r="J211" i="40"/>
  <c r="M211" i="40" s="1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M204" i="40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M159" i="40"/>
  <c r="J159" i="40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M105" i="40"/>
  <c r="J105" i="40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S100" i="40"/>
  <c r="U100" i="40" s="1"/>
  <c r="Q100" i="40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S89" i="40"/>
  <c r="U89" i="40" s="1"/>
  <c r="Q89" i="40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S76" i="40"/>
  <c r="U76" i="40" s="1"/>
  <c r="Q76" i="40"/>
  <c r="J76" i="40"/>
  <c r="M76" i="40" s="1"/>
  <c r="X75" i="40"/>
  <c r="Q75" i="40"/>
  <c r="S75" i="40" s="1"/>
  <c r="U75" i="40" s="1"/>
  <c r="J75" i="40"/>
  <c r="M75" i="40" s="1"/>
  <c r="X74" i="40"/>
  <c r="S74" i="40"/>
  <c r="U74" i="40" s="1"/>
  <c r="Q74" i="40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U67" i="40"/>
  <c r="Q67" i="40"/>
  <c r="S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S60" i="40"/>
  <c r="U60" i="40" s="1"/>
  <c r="Q60" i="40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S47" i="40"/>
  <c r="U47" i="40" s="1"/>
  <c r="Q47" i="40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S42" i="40"/>
  <c r="U42" i="40" s="1"/>
  <c r="Q42" i="40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S39" i="40"/>
  <c r="U39" i="40" s="1"/>
  <c r="Q39" i="40"/>
  <c r="J39" i="40"/>
  <c r="M39" i="40" s="1"/>
  <c r="X38" i="40"/>
  <c r="S38" i="40"/>
  <c r="U38" i="40" s="1"/>
  <c r="Q38" i="40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S13" i="40"/>
  <c r="U13" i="40" s="1"/>
  <c r="Q13" i="40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21" i="39"/>
  <c r="N9" i="8" s="1"/>
  <c r="R9" i="8"/>
  <c r="J213" i="39"/>
  <c r="J212" i="39"/>
  <c r="M212" i="39" s="1"/>
  <c r="J211" i="39"/>
  <c r="M211" i="39" s="1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M204" i="39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M123" i="39"/>
  <c r="J123" i="39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S103" i="39"/>
  <c r="U103" i="39" s="1"/>
  <c r="Q103" i="39"/>
  <c r="J103" i="39"/>
  <c r="M103" i="39" s="1"/>
  <c r="X102" i="39"/>
  <c r="Q102" i="39"/>
  <c r="S102" i="39" s="1"/>
  <c r="U102" i="39" s="1"/>
  <c r="J102" i="39"/>
  <c r="M102" i="39" s="1"/>
  <c r="X101" i="39"/>
  <c r="S101" i="39"/>
  <c r="U101" i="39" s="1"/>
  <c r="Q101" i="39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S97" i="39"/>
  <c r="U97" i="39" s="1"/>
  <c r="Q97" i="39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S91" i="39"/>
  <c r="U91" i="39" s="1"/>
  <c r="Q91" i="39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S88" i="39"/>
  <c r="U88" i="39" s="1"/>
  <c r="Q88" i="39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S77" i="39"/>
  <c r="U77" i="39" s="1"/>
  <c r="Q77" i="39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U72" i="39"/>
  <c r="Q72" i="39"/>
  <c r="S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S65" i="39"/>
  <c r="U65" i="39" s="1"/>
  <c r="Q65" i="39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S45" i="39"/>
  <c r="U45" i="39" s="1"/>
  <c r="Q45" i="39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S36" i="39"/>
  <c r="U36" i="39" s="1"/>
  <c r="Q36" i="39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S33" i="39"/>
  <c r="U33" i="39" s="1"/>
  <c r="Q33" i="39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S30" i="39"/>
  <c r="U30" i="39" s="1"/>
  <c r="Q30" i="39"/>
  <c r="J30" i="39"/>
  <c r="M30" i="39" s="1"/>
  <c r="X29" i="39"/>
  <c r="S29" i="39"/>
  <c r="U29" i="39" s="1"/>
  <c r="Q29" i="39"/>
  <c r="J29" i="39"/>
  <c r="M29" i="39" s="1"/>
  <c r="X28" i="39"/>
  <c r="S28" i="39"/>
  <c r="U28" i="39" s="1"/>
  <c r="Q28" i="39"/>
  <c r="J28" i="39"/>
  <c r="M28" i="39" s="1"/>
  <c r="X27" i="39"/>
  <c r="S27" i="39"/>
  <c r="U27" i="39" s="1"/>
  <c r="Q27" i="39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S22" i="39"/>
  <c r="U22" i="39" s="1"/>
  <c r="Q22" i="39"/>
  <c r="J22" i="39"/>
  <c r="M22" i="39" s="1"/>
  <c r="X21" i="39"/>
  <c r="S21" i="39"/>
  <c r="U21" i="39" s="1"/>
  <c r="Q21" i="39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M17" i="39"/>
  <c r="J17" i="39"/>
  <c r="X16" i="39"/>
  <c r="Q16" i="39"/>
  <c r="S16" i="39" s="1"/>
  <c r="U16" i="39" s="1"/>
  <c r="J16" i="39"/>
  <c r="M16" i="39" s="1"/>
  <c r="X15" i="39"/>
  <c r="S15" i="39"/>
  <c r="U15" i="39" s="1"/>
  <c r="Q15" i="39"/>
  <c r="J15" i="39"/>
  <c r="M15" i="39" s="1"/>
  <c r="X14" i="39"/>
  <c r="Q14" i="39"/>
  <c r="S14" i="39" s="1"/>
  <c r="U14" i="39" s="1"/>
  <c r="J14" i="39"/>
  <c r="M14" i="39" s="1"/>
  <c r="X13" i="39"/>
  <c r="S13" i="39"/>
  <c r="U13" i="39" s="1"/>
  <c r="Q13" i="39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D52" i="8"/>
  <c r="D50" i="8"/>
  <c r="D37" i="8"/>
  <c r="D23" i="8"/>
  <c r="R21" i="8" l="1"/>
  <c r="J229" i="52"/>
  <c r="X107" i="58"/>
  <c r="J216" i="58" s="1"/>
  <c r="J215" i="8"/>
  <c r="X107" i="54"/>
  <c r="J216" i="54" s="1"/>
  <c r="K217" i="54" s="1"/>
  <c r="X107" i="57"/>
  <c r="J216" i="57" s="1"/>
  <c r="X107" i="63"/>
  <c r="J216" i="63" s="1"/>
  <c r="K217" i="63" s="1"/>
  <c r="J229" i="55"/>
  <c r="X107" i="60"/>
  <c r="J216" i="60" s="1"/>
  <c r="J229" i="64"/>
  <c r="X107" i="34"/>
  <c r="J216" i="34" s="1"/>
  <c r="C214" i="49"/>
  <c r="E214" i="49" s="1"/>
  <c r="G214" i="49" s="1"/>
  <c r="X107" i="48"/>
  <c r="J218" i="48" s="1"/>
  <c r="X107" i="46"/>
  <c r="J218" i="46" s="1"/>
  <c r="K219" i="46" s="1"/>
  <c r="J227" i="43"/>
  <c r="N212" i="39"/>
  <c r="N212" i="34"/>
  <c r="K217" i="34"/>
  <c r="J229" i="66"/>
  <c r="R33" i="8"/>
  <c r="R30" i="8"/>
  <c r="R29" i="8"/>
  <c r="J229" i="60"/>
  <c r="J229" i="59"/>
  <c r="R26" i="8"/>
  <c r="J229" i="57"/>
  <c r="R23" i="8"/>
  <c r="J229" i="53"/>
  <c r="R20" i="8"/>
  <c r="R19" i="8"/>
  <c r="R18" i="8"/>
  <c r="R17" i="8"/>
  <c r="J231" i="46"/>
  <c r="J229" i="45"/>
  <c r="R14" i="8"/>
  <c r="J227" i="42"/>
  <c r="X107" i="41"/>
  <c r="J215" i="41" s="1"/>
  <c r="J228" i="41"/>
  <c r="X107" i="40"/>
  <c r="J215" i="40" s="1"/>
  <c r="K216" i="40" s="1"/>
  <c r="R10" i="8"/>
  <c r="X107" i="39"/>
  <c r="J215" i="39" s="1"/>
  <c r="K216" i="39" s="1"/>
  <c r="J228" i="39"/>
  <c r="M40" i="66"/>
  <c r="N212" i="66" s="1"/>
  <c r="X107" i="67"/>
  <c r="J216" i="67" s="1"/>
  <c r="K217" i="67" s="1"/>
  <c r="N212" i="67"/>
  <c r="K217" i="66"/>
  <c r="X107" i="66"/>
  <c r="J216" i="66" s="1"/>
  <c r="X107" i="65"/>
  <c r="J216" i="65" s="1"/>
  <c r="K217" i="65" s="1"/>
  <c r="M5" i="65"/>
  <c r="N212" i="65" s="1"/>
  <c r="M5" i="64"/>
  <c r="N212" i="64" s="1"/>
  <c r="X107" i="64"/>
  <c r="J216" i="64" s="1"/>
  <c r="K217" i="64" s="1"/>
  <c r="N212" i="63"/>
  <c r="X107" i="62"/>
  <c r="J216" i="62" s="1"/>
  <c r="K217" i="62" s="1"/>
  <c r="M5" i="62"/>
  <c r="N212" i="62" s="1"/>
  <c r="N212" i="61"/>
  <c r="X107" i="61"/>
  <c r="J216" i="61" s="1"/>
  <c r="K217" i="61" s="1"/>
  <c r="K217" i="60"/>
  <c r="N212" i="60"/>
  <c r="N212" i="59"/>
  <c r="X107" i="59"/>
  <c r="J216" i="59" s="1"/>
  <c r="K217" i="59" s="1"/>
  <c r="K217" i="58"/>
  <c r="N212" i="58"/>
  <c r="K217" i="57"/>
  <c r="M5" i="57"/>
  <c r="N212" i="57" s="1"/>
  <c r="M5" i="55"/>
  <c r="N212" i="55" s="1"/>
  <c r="X107" i="55"/>
  <c r="J216" i="55" s="1"/>
  <c r="K217" i="55" s="1"/>
  <c r="N212" i="54"/>
  <c r="N212" i="53"/>
  <c r="X107" i="53"/>
  <c r="J216" i="53" s="1"/>
  <c r="K217" i="53"/>
  <c r="N212" i="52"/>
  <c r="X107" i="52"/>
  <c r="J216" i="52" s="1"/>
  <c r="K217" i="52" s="1"/>
  <c r="N212" i="50"/>
  <c r="X107" i="50"/>
  <c r="X107" i="49"/>
  <c r="J218" i="49" s="1"/>
  <c r="K219" i="49" s="1"/>
  <c r="M5" i="49"/>
  <c r="N212" i="49" s="1"/>
  <c r="K219" i="48"/>
  <c r="N212" i="48"/>
  <c r="X107" i="47"/>
  <c r="J218" i="47" s="1"/>
  <c r="K219" i="47" s="1"/>
  <c r="N212" i="47"/>
  <c r="N212" i="46"/>
  <c r="X107" i="45"/>
  <c r="J216" i="45" s="1"/>
  <c r="K217" i="45" s="1"/>
  <c r="M5" i="45"/>
  <c r="N212" i="45" s="1"/>
  <c r="N212" i="44"/>
  <c r="X107" i="44"/>
  <c r="J214" i="44" s="1"/>
  <c r="K215" i="44" s="1"/>
  <c r="N212" i="43"/>
  <c r="X107" i="43"/>
  <c r="J214" i="43" s="1"/>
  <c r="K215" i="43" s="1"/>
  <c r="K215" i="42"/>
  <c r="N212" i="42"/>
  <c r="N212" i="41"/>
  <c r="K216" i="41"/>
  <c r="M5" i="40"/>
  <c r="N212" i="40" s="1"/>
  <c r="M5" i="39"/>
  <c r="D6" i="8"/>
  <c r="K221" i="38"/>
  <c r="N8" i="8" s="1"/>
  <c r="K218" i="38"/>
  <c r="J213" i="38"/>
  <c r="J212" i="38"/>
  <c r="M212" i="38" s="1"/>
  <c r="J211" i="38"/>
  <c r="M211" i="38" s="1"/>
  <c r="J210" i="38"/>
  <c r="M210" i="38" s="1"/>
  <c r="J209" i="38"/>
  <c r="M209" i="38" s="1"/>
  <c r="J208" i="38"/>
  <c r="M208" i="38" s="1"/>
  <c r="J207" i="38"/>
  <c r="M207" i="38" s="1"/>
  <c r="J206" i="38"/>
  <c r="M206" i="38" s="1"/>
  <c r="J205" i="38"/>
  <c r="M205" i="38" s="1"/>
  <c r="M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M188" i="38"/>
  <c r="J188" i="38"/>
  <c r="J187" i="38"/>
  <c r="M187" i="38" s="1"/>
  <c r="M186" i="38"/>
  <c r="J186" i="38"/>
  <c r="J185" i="38"/>
  <c r="M185" i="38" s="1"/>
  <c r="J184" i="38"/>
  <c r="M184" i="38" s="1"/>
  <c r="J183" i="38"/>
  <c r="M183" i="38" s="1"/>
  <c r="J182" i="38"/>
  <c r="M182" i="38" s="1"/>
  <c r="J181" i="38"/>
  <c r="M181" i="38" s="1"/>
  <c r="M180" i="38"/>
  <c r="J180" i="38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M173" i="38"/>
  <c r="J173" i="38"/>
  <c r="J172" i="38"/>
  <c r="M172" i="38" s="1"/>
  <c r="M171" i="38"/>
  <c r="J171" i="38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M147" i="38"/>
  <c r="J147" i="38"/>
  <c r="J146" i="38"/>
  <c r="M146" i="38" s="1"/>
  <c r="J145" i="38"/>
  <c r="M145" i="38" s="1"/>
  <c r="J144" i="38"/>
  <c r="M144" i="38" s="1"/>
  <c r="J143" i="38"/>
  <c r="M143" i="38" s="1"/>
  <c r="J142" i="38"/>
  <c r="M142" i="38" s="1"/>
  <c r="M141" i="38"/>
  <c r="J141" i="38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S103" i="38"/>
  <c r="U103" i="38" s="1"/>
  <c r="Q103" i="38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S88" i="38"/>
  <c r="U88" i="38" s="1"/>
  <c r="Q88" i="38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M79" i="38"/>
  <c r="J79" i="38"/>
  <c r="X78" i="38"/>
  <c r="S78" i="38"/>
  <c r="U78" i="38" s="1"/>
  <c r="Q78" i="38"/>
  <c r="J78" i="38"/>
  <c r="M78" i="38" s="1"/>
  <c r="X77" i="38"/>
  <c r="S77" i="38"/>
  <c r="U77" i="38" s="1"/>
  <c r="Q77" i="38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S59" i="38"/>
  <c r="U59" i="38" s="1"/>
  <c r="Q59" i="38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M56" i="38"/>
  <c r="J56" i="38"/>
  <c r="X55" i="38"/>
  <c r="Q55" i="38"/>
  <c r="S55" i="38" s="1"/>
  <c r="U55" i="38" s="1"/>
  <c r="J55" i="38"/>
  <c r="M55" i="38" s="1"/>
  <c r="X54" i="38"/>
  <c r="S54" i="38"/>
  <c r="U54" i="38" s="1"/>
  <c r="Q54" i="38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S51" i="38"/>
  <c r="U51" i="38" s="1"/>
  <c r="Q51" i="38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S46" i="38"/>
  <c r="U46" i="38" s="1"/>
  <c r="Q46" i="38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S38" i="38"/>
  <c r="U38" i="38" s="1"/>
  <c r="Q38" i="38"/>
  <c r="J38" i="38"/>
  <c r="M38" i="38" s="1"/>
  <c r="X37" i="38"/>
  <c r="Q37" i="38"/>
  <c r="S37" i="38" s="1"/>
  <c r="U37" i="38" s="1"/>
  <c r="J37" i="38"/>
  <c r="M37" i="38" s="1"/>
  <c r="X36" i="38"/>
  <c r="S36" i="38"/>
  <c r="U36" i="38" s="1"/>
  <c r="Q36" i="38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S21" i="38"/>
  <c r="U21" i="38" s="1"/>
  <c r="Q21" i="38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S15" i="38"/>
  <c r="U15" i="38" s="1"/>
  <c r="Q15" i="38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S5" i="38"/>
  <c r="U5" i="38" s="1"/>
  <c r="Q5" i="38"/>
  <c r="J5" i="38"/>
  <c r="M5" i="38" s="1"/>
  <c r="K221" i="37"/>
  <c r="N7" i="8" s="1"/>
  <c r="K218" i="37"/>
  <c r="J213" i="37"/>
  <c r="J212" i="37"/>
  <c r="M212" i="37" s="1"/>
  <c r="J211" i="37"/>
  <c r="M211" i="37" s="1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M204" i="37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M113" i="37"/>
  <c r="J113" i="37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S94" i="37"/>
  <c r="U94" i="37" s="1"/>
  <c r="Q94" i="37"/>
  <c r="J94" i="37"/>
  <c r="M94" i="37" s="1"/>
  <c r="X93" i="37"/>
  <c r="Q93" i="37"/>
  <c r="S93" i="37" s="1"/>
  <c r="U93" i="37" s="1"/>
  <c r="J93" i="37"/>
  <c r="M93" i="37" s="1"/>
  <c r="X92" i="37"/>
  <c r="S92" i="37"/>
  <c r="U92" i="37" s="1"/>
  <c r="Q92" i="37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M76" i="37"/>
  <c r="J76" i="37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21" i="36"/>
  <c r="N6" i="8" s="1"/>
  <c r="K218" i="36"/>
  <c r="J213" i="36"/>
  <c r="J212" i="36"/>
  <c r="M212" i="36" s="1"/>
  <c r="J211" i="36"/>
  <c r="M211" i="36" s="1"/>
  <c r="J210" i="36"/>
  <c r="M210" i="36" s="1"/>
  <c r="M209" i="36"/>
  <c r="J209" i="36"/>
  <c r="J208" i="36"/>
  <c r="M208" i="36" s="1"/>
  <c r="J207" i="36"/>
  <c r="M207" i="36" s="1"/>
  <c r="J206" i="36"/>
  <c r="M206" i="36" s="1"/>
  <c r="J205" i="36"/>
  <c r="M205" i="36" s="1"/>
  <c r="M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S101" i="36"/>
  <c r="U101" i="36" s="1"/>
  <c r="Q101" i="36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S81" i="36"/>
  <c r="U81" i="36" s="1"/>
  <c r="Q81" i="36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S73" i="36"/>
  <c r="U73" i="36" s="1"/>
  <c r="Q73" i="36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S69" i="36"/>
  <c r="U69" i="36" s="1"/>
  <c r="Q69" i="36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S60" i="36"/>
  <c r="U60" i="36" s="1"/>
  <c r="Q60" i="36"/>
  <c r="J60" i="36"/>
  <c r="M60" i="36" s="1"/>
  <c r="X59" i="36"/>
  <c r="Q59" i="36"/>
  <c r="S59" i="36" s="1"/>
  <c r="U59" i="36" s="1"/>
  <c r="J59" i="36"/>
  <c r="M59" i="36" s="1"/>
  <c r="X58" i="36"/>
  <c r="S58" i="36"/>
  <c r="U58" i="36" s="1"/>
  <c r="Q58" i="36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S53" i="36"/>
  <c r="U53" i="36" s="1"/>
  <c r="Q53" i="36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S48" i="36"/>
  <c r="U48" i="36" s="1"/>
  <c r="Q48" i="36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U42" i="36"/>
  <c r="S42" i="36"/>
  <c r="Q42" i="36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S29" i="36"/>
  <c r="U29" i="36" s="1"/>
  <c r="Q29" i="36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S22" i="36"/>
  <c r="U22" i="36" s="1"/>
  <c r="Q22" i="36"/>
  <c r="J22" i="36"/>
  <c r="M22" i="36" s="1"/>
  <c r="X21" i="36"/>
  <c r="Q21" i="36"/>
  <c r="S21" i="36" s="1"/>
  <c r="U21" i="36" s="1"/>
  <c r="J21" i="36"/>
  <c r="M21" i="36" s="1"/>
  <c r="X20" i="36"/>
  <c r="S20" i="36"/>
  <c r="U20" i="36" s="1"/>
  <c r="Q20" i="36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S10" i="36"/>
  <c r="U10" i="36" s="1"/>
  <c r="Q10" i="36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S6" i="36"/>
  <c r="U6" i="36" s="1"/>
  <c r="Q6" i="36"/>
  <c r="J6" i="36"/>
  <c r="M6" i="36" s="1"/>
  <c r="X5" i="36"/>
  <c r="Q5" i="36"/>
  <c r="S5" i="36" s="1"/>
  <c r="U5" i="36" s="1"/>
  <c r="J5" i="36"/>
  <c r="C6" i="8"/>
  <c r="C7" i="35"/>
  <c r="C7" i="8" s="1"/>
  <c r="C8" i="35"/>
  <c r="C8" i="8" s="1"/>
  <c r="C9" i="35"/>
  <c r="C9" i="8" s="1"/>
  <c r="C10" i="35"/>
  <c r="C10" i="8" s="1"/>
  <c r="C11" i="35"/>
  <c r="C12" i="35"/>
  <c r="C12" i="8" s="1"/>
  <c r="C13" i="35"/>
  <c r="C13" i="8" s="1"/>
  <c r="C14" i="35"/>
  <c r="C14" i="8" s="1"/>
  <c r="C15" i="35"/>
  <c r="C15" i="8" s="1"/>
  <c r="C16" i="35"/>
  <c r="C16" i="8" s="1"/>
  <c r="C17" i="35"/>
  <c r="C17" i="8" s="1"/>
  <c r="C18" i="35"/>
  <c r="C18" i="8" s="1"/>
  <c r="C20" i="35"/>
  <c r="C20" i="8" s="1"/>
  <c r="C21" i="35"/>
  <c r="C21" i="8" s="1"/>
  <c r="C22" i="35"/>
  <c r="C22" i="8" s="1"/>
  <c r="C23" i="8"/>
  <c r="C24" i="35"/>
  <c r="C24" i="8" s="1"/>
  <c r="C25" i="35"/>
  <c r="C25" i="8" s="1"/>
  <c r="C26" i="35"/>
  <c r="C26" i="8" s="1"/>
  <c r="C27" i="35"/>
  <c r="C27" i="8" s="1"/>
  <c r="C28" i="35"/>
  <c r="C28" i="8" s="1"/>
  <c r="C29" i="8"/>
  <c r="C30" i="35"/>
  <c r="C30" i="8" s="1"/>
  <c r="C31" i="35"/>
  <c r="C31" i="8" s="1"/>
  <c r="C32" i="35"/>
  <c r="C32" i="8" s="1"/>
  <c r="C33" i="35"/>
  <c r="C33" i="8" s="1"/>
  <c r="C34" i="35"/>
  <c r="C34" i="8" s="1"/>
  <c r="C35" i="35"/>
  <c r="C36" i="35"/>
  <c r="C36" i="8" s="1"/>
  <c r="C37" i="35"/>
  <c r="C37" i="8" s="1"/>
  <c r="C38" i="35"/>
  <c r="C38" i="8" s="1"/>
  <c r="C39" i="35"/>
  <c r="C39" i="8" s="1"/>
  <c r="C40" i="35"/>
  <c r="C40" i="8" s="1"/>
  <c r="C41" i="35"/>
  <c r="C41" i="8" s="1"/>
  <c r="C42" i="35"/>
  <c r="C42" i="8" s="1"/>
  <c r="C43" i="35"/>
  <c r="C44" i="35"/>
  <c r="C44" i="8" s="1"/>
  <c r="C45" i="35"/>
  <c r="C45" i="8" s="1"/>
  <c r="C46" i="35"/>
  <c r="C46" i="8" s="1"/>
  <c r="C47" i="35"/>
  <c r="C47" i="8" s="1"/>
  <c r="C48" i="35"/>
  <c r="C48" i="8" s="1"/>
  <c r="C49" i="35"/>
  <c r="C49" i="8" s="1"/>
  <c r="C50" i="35"/>
  <c r="C50" i="8" s="1"/>
  <c r="C51" i="35"/>
  <c r="C52" i="35"/>
  <c r="C52" i="8" s="1"/>
  <c r="C53" i="35"/>
  <c r="C53" i="8" s="1"/>
  <c r="C54" i="35"/>
  <c r="C54" i="8" s="1"/>
  <c r="C55" i="35"/>
  <c r="C55" i="8" s="1"/>
  <c r="C56" i="35"/>
  <c r="C56" i="8" s="1"/>
  <c r="C57" i="35"/>
  <c r="C57" i="8" s="1"/>
  <c r="C58" i="35"/>
  <c r="C58" i="8" s="1"/>
  <c r="C59" i="35"/>
  <c r="C60" i="35"/>
  <c r="C60" i="8" s="1"/>
  <c r="C61" i="35"/>
  <c r="C61" i="8" s="1"/>
  <c r="C62" i="8"/>
  <c r="C63" i="35"/>
  <c r="C63" i="8" s="1"/>
  <c r="C64" i="35"/>
  <c r="C64" i="8" s="1"/>
  <c r="C65" i="35"/>
  <c r="C65" i="8" s="1"/>
  <c r="C66" i="35"/>
  <c r="C66" i="8" s="1"/>
  <c r="C67" i="35"/>
  <c r="C68" i="35"/>
  <c r="C68" i="8" s="1"/>
  <c r="C69" i="35"/>
  <c r="C69" i="8" s="1"/>
  <c r="C70" i="35"/>
  <c r="C70" i="8" s="1"/>
  <c r="C71" i="35"/>
  <c r="C71" i="8" s="1"/>
  <c r="C72" i="35"/>
  <c r="C72" i="8" s="1"/>
  <c r="C73" i="35"/>
  <c r="C73" i="8" s="1"/>
  <c r="C74" i="35"/>
  <c r="C74" i="8" s="1"/>
  <c r="C75" i="35"/>
  <c r="C76" i="35"/>
  <c r="C76" i="8" s="1"/>
  <c r="C77" i="35"/>
  <c r="C77" i="8" s="1"/>
  <c r="C78" i="35"/>
  <c r="C78" i="8" s="1"/>
  <c r="C79" i="35"/>
  <c r="C79" i="8" s="1"/>
  <c r="C80" i="35"/>
  <c r="C80" i="8" s="1"/>
  <c r="C81" i="35"/>
  <c r="C81" i="8" s="1"/>
  <c r="C82" i="35"/>
  <c r="C82" i="8" s="1"/>
  <c r="C83" i="35"/>
  <c r="C84" i="35"/>
  <c r="C84" i="8" s="1"/>
  <c r="C85" i="35"/>
  <c r="C85" i="8" s="1"/>
  <c r="C86" i="35"/>
  <c r="C86" i="8" s="1"/>
  <c r="C87" i="35"/>
  <c r="C87" i="8" s="1"/>
  <c r="C88" i="35"/>
  <c r="C88" i="8" s="1"/>
  <c r="C89" i="35"/>
  <c r="C89" i="8" s="1"/>
  <c r="C90" i="35"/>
  <c r="C90" i="8" s="1"/>
  <c r="C91" i="35"/>
  <c r="C92" i="35"/>
  <c r="C92" i="8" s="1"/>
  <c r="C93" i="35"/>
  <c r="C93" i="8" s="1"/>
  <c r="C94" i="35"/>
  <c r="C94" i="8" s="1"/>
  <c r="C95" i="35"/>
  <c r="C95" i="8" s="1"/>
  <c r="C96" i="35"/>
  <c r="C96" i="8" s="1"/>
  <c r="C97" i="35"/>
  <c r="C97" i="8" s="1"/>
  <c r="C98" i="35"/>
  <c r="C98" i="8" s="1"/>
  <c r="C99" i="35"/>
  <c r="C100" i="35"/>
  <c r="C100" i="8" s="1"/>
  <c r="C101" i="35"/>
  <c r="C101" i="8" s="1"/>
  <c r="C102" i="35"/>
  <c r="C102" i="8" s="1"/>
  <c r="C103" i="35"/>
  <c r="C103" i="8" s="1"/>
  <c r="C104" i="35"/>
  <c r="C104" i="8" s="1"/>
  <c r="C105" i="35"/>
  <c r="C105" i="8" s="1"/>
  <c r="C106" i="35"/>
  <c r="C106" i="8" s="1"/>
  <c r="C107" i="35"/>
  <c r="C108" i="35"/>
  <c r="C108" i="8" s="1"/>
  <c r="C109" i="35"/>
  <c r="C109" i="8" s="1"/>
  <c r="C110" i="35"/>
  <c r="C110" i="8" s="1"/>
  <c r="C111" i="35"/>
  <c r="C111" i="8" s="1"/>
  <c r="C112" i="35"/>
  <c r="C112" i="8" s="1"/>
  <c r="C113" i="35"/>
  <c r="C113" i="8" s="1"/>
  <c r="C114" i="35"/>
  <c r="C114" i="8" s="1"/>
  <c r="C115" i="35"/>
  <c r="C116" i="35"/>
  <c r="C116" i="8" s="1"/>
  <c r="C117" i="35"/>
  <c r="C117" i="8" s="1"/>
  <c r="C118" i="35"/>
  <c r="C118" i="8" s="1"/>
  <c r="C119" i="35"/>
  <c r="C119" i="8" s="1"/>
  <c r="C120" i="35"/>
  <c r="C120" i="8" s="1"/>
  <c r="C121" i="35"/>
  <c r="C121" i="8" s="1"/>
  <c r="C122" i="35"/>
  <c r="C122" i="8" s="1"/>
  <c r="C123" i="35"/>
  <c r="C124" i="35"/>
  <c r="C124" i="8" s="1"/>
  <c r="C125" i="35"/>
  <c r="C125" i="8" s="1"/>
  <c r="C126" i="35"/>
  <c r="C126" i="8" s="1"/>
  <c r="C127" i="35"/>
  <c r="C127" i="8" s="1"/>
  <c r="C128" i="35"/>
  <c r="C128" i="8" s="1"/>
  <c r="C129" i="35"/>
  <c r="C129" i="8" s="1"/>
  <c r="C130" i="35"/>
  <c r="C130" i="8" s="1"/>
  <c r="C131" i="35"/>
  <c r="C132" i="35"/>
  <c r="C132" i="8" s="1"/>
  <c r="C133" i="35"/>
  <c r="C133" i="8" s="1"/>
  <c r="C134" i="35"/>
  <c r="C134" i="8" s="1"/>
  <c r="C135" i="35"/>
  <c r="C135" i="8" s="1"/>
  <c r="C136" i="35"/>
  <c r="C136" i="8" s="1"/>
  <c r="C137" i="35"/>
  <c r="C137" i="8" s="1"/>
  <c r="C138" i="35"/>
  <c r="C138" i="8" s="1"/>
  <c r="C139" i="35"/>
  <c r="C140" i="35"/>
  <c r="C140" i="8" s="1"/>
  <c r="C141" i="35"/>
  <c r="C141" i="8" s="1"/>
  <c r="C142" i="35"/>
  <c r="C142" i="8" s="1"/>
  <c r="C143" i="35"/>
  <c r="C143" i="8" s="1"/>
  <c r="C144" i="35"/>
  <c r="C144" i="8" s="1"/>
  <c r="C145" i="35"/>
  <c r="C145" i="8" s="1"/>
  <c r="C146" i="35"/>
  <c r="C146" i="8" s="1"/>
  <c r="C147" i="35"/>
  <c r="C147" i="8" s="1"/>
  <c r="C148" i="35"/>
  <c r="C148" i="8" s="1"/>
  <c r="C149" i="35"/>
  <c r="C150" i="35"/>
  <c r="C150" i="8" s="1"/>
  <c r="C151" i="35"/>
  <c r="C151" i="8" s="1"/>
  <c r="C152" i="35"/>
  <c r="C152" i="8" s="1"/>
  <c r="C153" i="35"/>
  <c r="C153" i="8" s="1"/>
  <c r="C154" i="35"/>
  <c r="C154" i="8" s="1"/>
  <c r="C155" i="35"/>
  <c r="C156" i="35"/>
  <c r="C156" i="8" s="1"/>
  <c r="C157" i="35"/>
  <c r="C158" i="35"/>
  <c r="C158" i="8" s="1"/>
  <c r="C159" i="35"/>
  <c r="C159" i="8" s="1"/>
  <c r="C160" i="35"/>
  <c r="C160" i="8" s="1"/>
  <c r="C161" i="35"/>
  <c r="C161" i="8" s="1"/>
  <c r="C162" i="35"/>
  <c r="C162" i="8" s="1"/>
  <c r="C163" i="35"/>
  <c r="C164" i="8"/>
  <c r="C165" i="35"/>
  <c r="C166" i="35"/>
  <c r="C166" i="8" s="1"/>
  <c r="C167" i="35"/>
  <c r="C167" i="8" s="1"/>
  <c r="C168" i="8"/>
  <c r="C169" i="35"/>
  <c r="C169" i="8" s="1"/>
  <c r="C170" i="35"/>
  <c r="C170" i="8" s="1"/>
  <c r="C171" i="35"/>
  <c r="C172" i="35"/>
  <c r="C172" i="8" s="1"/>
  <c r="C173" i="35"/>
  <c r="C173" i="8" s="1"/>
  <c r="C174" i="35"/>
  <c r="C174" i="8" s="1"/>
  <c r="C175" i="35"/>
  <c r="C175" i="8" s="1"/>
  <c r="C176" i="35"/>
  <c r="C176" i="8" s="1"/>
  <c r="C177" i="35"/>
  <c r="C177" i="8" s="1"/>
  <c r="C178" i="35"/>
  <c r="C178" i="8" s="1"/>
  <c r="C179" i="35"/>
  <c r="C180" i="35"/>
  <c r="C180" i="8" s="1"/>
  <c r="C181" i="35"/>
  <c r="C182" i="35"/>
  <c r="C182" i="8" s="1"/>
  <c r="C183" i="35"/>
  <c r="C183" i="8" s="1"/>
  <c r="C184" i="35"/>
  <c r="C184" i="8" s="1"/>
  <c r="C185" i="35"/>
  <c r="C185" i="8" s="1"/>
  <c r="C186" i="35"/>
  <c r="C186" i="8" s="1"/>
  <c r="C187" i="35"/>
  <c r="C188" i="35"/>
  <c r="C188" i="8" s="1"/>
  <c r="C189" i="8"/>
  <c r="C190" i="35"/>
  <c r="C190" i="8" s="1"/>
  <c r="C191" i="35"/>
  <c r="C191" i="8" s="1"/>
  <c r="C192" i="35"/>
  <c r="C192" i="8" s="1"/>
  <c r="C193" i="35"/>
  <c r="C193" i="8" s="1"/>
  <c r="C194" i="35"/>
  <c r="C194" i="8" s="1"/>
  <c r="C195" i="35"/>
  <c r="C196" i="35"/>
  <c r="C196" i="8" s="1"/>
  <c r="C197" i="35"/>
  <c r="C198" i="35"/>
  <c r="C198" i="8" s="1"/>
  <c r="C199" i="35"/>
  <c r="C199" i="8" s="1"/>
  <c r="C200" i="35"/>
  <c r="C200" i="8" s="1"/>
  <c r="C201" i="35"/>
  <c r="C201" i="8" s="1"/>
  <c r="C202" i="35"/>
  <c r="C202" i="8" s="1"/>
  <c r="C203" i="35"/>
  <c r="C204" i="35"/>
  <c r="C204" i="8" s="1"/>
  <c r="C205" i="8"/>
  <c r="C206" i="35"/>
  <c r="C206" i="8" s="1"/>
  <c r="C207" i="35"/>
  <c r="C207" i="8" s="1"/>
  <c r="C208" i="35"/>
  <c r="C208" i="8" s="1"/>
  <c r="C209" i="35"/>
  <c r="C209" i="8" s="1"/>
  <c r="C210" i="35"/>
  <c r="C210" i="8" s="1"/>
  <c r="C211" i="35"/>
  <c r="C212" i="8"/>
  <c r="C5" i="35"/>
  <c r="K220" i="35"/>
  <c r="N5" i="8" s="1"/>
  <c r="K217" i="35"/>
  <c r="J213" i="35"/>
  <c r="J213" i="8" s="1"/>
  <c r="J212" i="35"/>
  <c r="J211" i="35"/>
  <c r="J210" i="35"/>
  <c r="E210" i="35"/>
  <c r="G210" i="35" s="1"/>
  <c r="C210" i="36" s="1"/>
  <c r="E210" i="36" s="1"/>
  <c r="G210" i="36" s="1"/>
  <c r="C210" i="37" s="1"/>
  <c r="E210" i="37" s="1"/>
  <c r="G210" i="37" s="1"/>
  <c r="C210" i="38" s="1"/>
  <c r="E210" i="38" s="1"/>
  <c r="G210" i="38" s="1"/>
  <c r="C210" i="39" s="1"/>
  <c r="E210" i="39" s="1"/>
  <c r="G210" i="39" s="1"/>
  <c r="C210" i="40" s="1"/>
  <c r="E210" i="40" s="1"/>
  <c r="G210" i="40" s="1"/>
  <c r="C210" i="41" s="1"/>
  <c r="E210" i="41" s="1"/>
  <c r="G210" i="41" s="1"/>
  <c r="C210" i="42" s="1"/>
  <c r="E210" i="42" s="1"/>
  <c r="G210" i="42" s="1"/>
  <c r="C210" i="43" s="1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C210" i="48" s="1"/>
  <c r="E210" i="48" s="1"/>
  <c r="G210" i="48" s="1"/>
  <c r="C210" i="49" s="1"/>
  <c r="E210" i="49" s="1"/>
  <c r="G210" i="49" s="1"/>
  <c r="C210" i="50" s="1"/>
  <c r="E210" i="50" s="1"/>
  <c r="G210" i="50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210" i="55" s="1"/>
  <c r="E210" i="55" s="1"/>
  <c r="G210" i="55" s="1"/>
  <c r="C210" i="57" s="1"/>
  <c r="E210" i="57" s="1"/>
  <c r="G210" i="57" s="1"/>
  <c r="C210" i="58" s="1"/>
  <c r="E210" i="58" s="1"/>
  <c r="G210" i="58" s="1"/>
  <c r="C210" i="59" s="1"/>
  <c r="E210" i="59" s="1"/>
  <c r="G210" i="59" s="1"/>
  <c r="C210" i="60" s="1"/>
  <c r="E210" i="60" s="1"/>
  <c r="G210" i="60" s="1"/>
  <c r="C210" i="61" s="1"/>
  <c r="E210" i="61" s="1"/>
  <c r="G210" i="61" s="1"/>
  <c r="C210" i="62" s="1"/>
  <c r="E210" i="62" s="1"/>
  <c r="G210" i="62" s="1"/>
  <c r="C210" i="63" s="1"/>
  <c r="E210" i="63" s="1"/>
  <c r="G210" i="63" s="1"/>
  <c r="C210" i="64" s="1"/>
  <c r="E210" i="64" s="1"/>
  <c r="G210" i="64" s="1"/>
  <c r="C210" i="65" s="1"/>
  <c r="E210" i="65" s="1"/>
  <c r="G210" i="65" s="1"/>
  <c r="C210" i="66" s="1"/>
  <c r="E210" i="66" s="1"/>
  <c r="G210" i="66" s="1"/>
  <c r="C210" i="67" s="1"/>
  <c r="E210" i="67" s="1"/>
  <c r="G210" i="67" s="1"/>
  <c r="J209" i="35"/>
  <c r="J209" i="8" s="1"/>
  <c r="J208" i="35"/>
  <c r="J207" i="35"/>
  <c r="J206" i="35"/>
  <c r="J206" i="8" s="1"/>
  <c r="J205" i="35"/>
  <c r="M204" i="35"/>
  <c r="J203" i="35"/>
  <c r="J202" i="35"/>
  <c r="E202" i="35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202" i="66" s="1"/>
  <c r="E202" i="66" s="1"/>
  <c r="G202" i="66" s="1"/>
  <c r="C202" i="67" s="1"/>
  <c r="E202" i="67" s="1"/>
  <c r="G202" i="67" s="1"/>
  <c r="J201" i="35"/>
  <c r="J201" i="8" s="1"/>
  <c r="J200" i="35"/>
  <c r="J199" i="35"/>
  <c r="J198" i="35"/>
  <c r="J197" i="35"/>
  <c r="J196" i="35"/>
  <c r="J195" i="35"/>
  <c r="J194" i="35"/>
  <c r="J193" i="35"/>
  <c r="J192" i="35"/>
  <c r="J191" i="35"/>
  <c r="J190" i="35"/>
  <c r="J189" i="35"/>
  <c r="J188" i="35"/>
  <c r="J187" i="35"/>
  <c r="J186" i="35"/>
  <c r="E186" i="35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86" i="66" s="1"/>
  <c r="E186" i="66" s="1"/>
  <c r="G186" i="66" s="1"/>
  <c r="C186" i="67" s="1"/>
  <c r="E186" i="67" s="1"/>
  <c r="G186" i="67" s="1"/>
  <c r="J185" i="35"/>
  <c r="J184" i="35"/>
  <c r="E184" i="35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184" i="66" s="1"/>
  <c r="E184" i="66" s="1"/>
  <c r="G184" i="66" s="1"/>
  <c r="C184" i="67" s="1"/>
  <c r="E184" i="67" s="1"/>
  <c r="G184" i="67" s="1"/>
  <c r="J183" i="35"/>
  <c r="J182" i="35"/>
  <c r="J181" i="35"/>
  <c r="J180" i="35"/>
  <c r="J179" i="35"/>
  <c r="J178" i="35"/>
  <c r="J177" i="35"/>
  <c r="J176" i="35"/>
  <c r="J175" i="35"/>
  <c r="J174" i="35"/>
  <c r="J173" i="35"/>
  <c r="J172" i="35"/>
  <c r="J171" i="35"/>
  <c r="J170" i="35"/>
  <c r="E170" i="35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70" i="66" s="1"/>
  <c r="E170" i="66" s="1"/>
  <c r="G170" i="66" s="1"/>
  <c r="C170" i="67" s="1"/>
  <c r="E170" i="67" s="1"/>
  <c r="G170" i="67" s="1"/>
  <c r="J169" i="35"/>
  <c r="J168" i="35"/>
  <c r="E168" i="35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168" i="66" s="1"/>
  <c r="E168" i="66" s="1"/>
  <c r="G168" i="66" s="1"/>
  <c r="C168" i="67" s="1"/>
  <c r="E168" i="67" s="1"/>
  <c r="G168" i="67" s="1"/>
  <c r="J167" i="35"/>
  <c r="J166" i="35"/>
  <c r="E166" i="35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66" i="66" s="1"/>
  <c r="E166" i="66" s="1"/>
  <c r="G166" i="66" s="1"/>
  <c r="C166" i="67" s="1"/>
  <c r="E166" i="67" s="1"/>
  <c r="G166" i="67" s="1"/>
  <c r="J165" i="35"/>
  <c r="J164" i="35"/>
  <c r="E164" i="35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64" i="66" s="1"/>
  <c r="E164" i="66" s="1"/>
  <c r="G164" i="66" s="1"/>
  <c r="C164" i="67" s="1"/>
  <c r="E164" i="67" s="1"/>
  <c r="G164" i="67" s="1"/>
  <c r="J163" i="35"/>
  <c r="J162" i="35"/>
  <c r="M161" i="35"/>
  <c r="J161" i="35"/>
  <c r="J160" i="35"/>
  <c r="E160" i="35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160" i="66" s="1"/>
  <c r="E160" i="66" s="1"/>
  <c r="G160" i="66" s="1"/>
  <c r="C160" i="67" s="1"/>
  <c r="E160" i="67" s="1"/>
  <c r="G160" i="67" s="1"/>
  <c r="J159" i="35"/>
  <c r="J158" i="35"/>
  <c r="J157" i="35"/>
  <c r="J156" i="35"/>
  <c r="J155" i="35"/>
  <c r="J154" i="35"/>
  <c r="E154" i="35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54" i="66" s="1"/>
  <c r="E154" i="66" s="1"/>
  <c r="G154" i="66" s="1"/>
  <c r="C154" i="67" s="1"/>
  <c r="E154" i="67" s="1"/>
  <c r="G154" i="67" s="1"/>
  <c r="J153" i="35"/>
  <c r="J152" i="35"/>
  <c r="E152" i="35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52" i="66" s="1"/>
  <c r="E152" i="66" s="1"/>
  <c r="G152" i="66" s="1"/>
  <c r="C152" i="67" s="1"/>
  <c r="E152" i="67" s="1"/>
  <c r="G152" i="67" s="1"/>
  <c r="J151" i="35"/>
  <c r="J150" i="35"/>
  <c r="E150" i="35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50" i="66" s="1"/>
  <c r="E150" i="66" s="1"/>
  <c r="G150" i="66" s="1"/>
  <c r="C150" i="67" s="1"/>
  <c r="E150" i="67" s="1"/>
  <c r="G150" i="67" s="1"/>
  <c r="J149" i="35"/>
  <c r="J148" i="35"/>
  <c r="J147" i="35"/>
  <c r="E147" i="35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47" i="66" s="1"/>
  <c r="E147" i="66" s="1"/>
  <c r="G147" i="66" s="1"/>
  <c r="C147" i="67" s="1"/>
  <c r="E147" i="67" s="1"/>
  <c r="G147" i="67" s="1"/>
  <c r="J146" i="35"/>
  <c r="E146" i="35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46" i="66" s="1"/>
  <c r="E146" i="66" s="1"/>
  <c r="G146" i="66" s="1"/>
  <c r="C146" i="67" s="1"/>
  <c r="E146" i="67" s="1"/>
  <c r="G146" i="67" s="1"/>
  <c r="J145" i="35"/>
  <c r="J144" i="35"/>
  <c r="J144" i="8" s="1"/>
  <c r="E144" i="35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44" i="66" s="1"/>
  <c r="E144" i="66" s="1"/>
  <c r="G144" i="66" s="1"/>
  <c r="C144" i="67" s="1"/>
  <c r="E144" i="67" s="1"/>
  <c r="G144" i="67" s="1"/>
  <c r="J143" i="35"/>
  <c r="J142" i="35"/>
  <c r="E142" i="35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42" i="66" s="1"/>
  <c r="E142" i="66" s="1"/>
  <c r="G142" i="66" s="1"/>
  <c r="C142" i="67" s="1"/>
  <c r="E142" i="67" s="1"/>
  <c r="G142" i="67" s="1"/>
  <c r="J141" i="35"/>
  <c r="J140" i="35"/>
  <c r="J139" i="35"/>
  <c r="J138" i="35"/>
  <c r="E138" i="35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138" i="66" s="1"/>
  <c r="E138" i="66" s="1"/>
  <c r="G138" i="66" s="1"/>
  <c r="C138" i="67" s="1"/>
  <c r="E138" i="67" s="1"/>
  <c r="G138" i="67" s="1"/>
  <c r="J137" i="35"/>
  <c r="J136" i="35"/>
  <c r="E136" i="35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136" i="66" s="1"/>
  <c r="E136" i="66" s="1"/>
  <c r="G136" i="66" s="1"/>
  <c r="C136" i="67" s="1"/>
  <c r="E136" i="67" s="1"/>
  <c r="G136" i="67" s="1"/>
  <c r="J135" i="35"/>
  <c r="J134" i="35"/>
  <c r="E134" i="35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34" i="66" s="1"/>
  <c r="E134" i="66" s="1"/>
  <c r="G134" i="66" s="1"/>
  <c r="C134" i="67" s="1"/>
  <c r="E134" i="67" s="1"/>
  <c r="G134" i="67" s="1"/>
  <c r="J133" i="35"/>
  <c r="J132" i="35"/>
  <c r="J131" i="35"/>
  <c r="J130" i="35"/>
  <c r="E130" i="35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30" i="66" s="1"/>
  <c r="E130" i="66" s="1"/>
  <c r="G130" i="66" s="1"/>
  <c r="C130" i="67" s="1"/>
  <c r="E130" i="67" s="1"/>
  <c r="G130" i="67" s="1"/>
  <c r="J129" i="35"/>
  <c r="J128" i="35"/>
  <c r="J128" i="8" s="1"/>
  <c r="E128" i="35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128" i="66" s="1"/>
  <c r="E128" i="66" s="1"/>
  <c r="G128" i="66" s="1"/>
  <c r="C128" i="67" s="1"/>
  <c r="E128" i="67" s="1"/>
  <c r="G128" i="67" s="1"/>
  <c r="J127" i="35"/>
  <c r="J126" i="35"/>
  <c r="E126" i="35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126" i="66" s="1"/>
  <c r="E126" i="66" s="1"/>
  <c r="G126" i="66" s="1"/>
  <c r="C126" i="67" s="1"/>
  <c r="E126" i="67" s="1"/>
  <c r="G126" i="67" s="1"/>
  <c r="J125" i="35"/>
  <c r="J124" i="35"/>
  <c r="J123" i="35"/>
  <c r="J122" i="35"/>
  <c r="E122" i="35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22" i="66" s="1"/>
  <c r="E122" i="66" s="1"/>
  <c r="G122" i="66" s="1"/>
  <c r="C122" i="67" s="1"/>
  <c r="E122" i="67" s="1"/>
  <c r="G122" i="67" s="1"/>
  <c r="J121" i="35"/>
  <c r="J120" i="35"/>
  <c r="E120" i="35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120" i="66" s="1"/>
  <c r="E120" i="66" s="1"/>
  <c r="G120" i="66" s="1"/>
  <c r="C120" i="67" s="1"/>
  <c r="E120" i="67" s="1"/>
  <c r="G120" i="67" s="1"/>
  <c r="J119" i="35"/>
  <c r="J118" i="35"/>
  <c r="E118" i="35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18" i="66" s="1"/>
  <c r="E118" i="66" s="1"/>
  <c r="G118" i="66" s="1"/>
  <c r="C118" i="67" s="1"/>
  <c r="E118" i="67" s="1"/>
  <c r="G118" i="67" s="1"/>
  <c r="J117" i="35"/>
  <c r="J116" i="35"/>
  <c r="J116" i="8" s="1"/>
  <c r="E116" i="35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16" i="66" s="1"/>
  <c r="E116" i="66" s="1"/>
  <c r="G116" i="66" s="1"/>
  <c r="C116" i="67" s="1"/>
  <c r="E116" i="67" s="1"/>
  <c r="G116" i="67" s="1"/>
  <c r="J115" i="35"/>
  <c r="J114" i="35"/>
  <c r="E114" i="35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14" i="66" s="1"/>
  <c r="E114" i="66" s="1"/>
  <c r="G114" i="66" s="1"/>
  <c r="C114" i="67" s="1"/>
  <c r="E114" i="67" s="1"/>
  <c r="G114" i="67" s="1"/>
  <c r="J113" i="35"/>
  <c r="E113" i="35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113" i="66" s="1"/>
  <c r="E113" i="66" s="1"/>
  <c r="G113" i="66" s="1"/>
  <c r="C113" i="67" s="1"/>
  <c r="E113" i="67" s="1"/>
  <c r="G113" i="67" s="1"/>
  <c r="J112" i="35"/>
  <c r="E112" i="35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C112" i="66" s="1"/>
  <c r="E112" i="66" s="1"/>
  <c r="G112" i="66" s="1"/>
  <c r="C112" i="67" s="1"/>
  <c r="E112" i="67" s="1"/>
  <c r="G112" i="67" s="1"/>
  <c r="J111" i="35"/>
  <c r="J110" i="35"/>
  <c r="E110" i="35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110" i="66" s="1"/>
  <c r="E110" i="66" s="1"/>
  <c r="G110" i="66" s="1"/>
  <c r="C110" i="67" s="1"/>
  <c r="E110" i="67" s="1"/>
  <c r="G110" i="67" s="1"/>
  <c r="J109" i="35"/>
  <c r="J108" i="35"/>
  <c r="J107" i="35"/>
  <c r="J106" i="35"/>
  <c r="E106" i="35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06" i="66" s="1"/>
  <c r="E106" i="66" s="1"/>
  <c r="G106" i="66" s="1"/>
  <c r="C106" i="67" s="1"/>
  <c r="E106" i="67" s="1"/>
  <c r="G106" i="67" s="1"/>
  <c r="Z105" i="35"/>
  <c r="J105" i="35"/>
  <c r="X104" i="35"/>
  <c r="Q104" i="35"/>
  <c r="S104" i="35" s="1"/>
  <c r="U104" i="35" s="1"/>
  <c r="J104" i="35"/>
  <c r="E104" i="35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104" i="66" s="1"/>
  <c r="E104" i="66" s="1"/>
  <c r="G104" i="66" s="1"/>
  <c r="C104" i="67" s="1"/>
  <c r="E104" i="67" s="1"/>
  <c r="G104" i="67" s="1"/>
  <c r="X103" i="35"/>
  <c r="Q103" i="35"/>
  <c r="S103" i="35" s="1"/>
  <c r="U103" i="35" s="1"/>
  <c r="J103" i="35"/>
  <c r="X102" i="35"/>
  <c r="Q102" i="35"/>
  <c r="S102" i="35" s="1"/>
  <c r="U102" i="35" s="1"/>
  <c r="J102" i="35"/>
  <c r="E102" i="35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2" i="66" s="1"/>
  <c r="E102" i="66" s="1"/>
  <c r="G102" i="66" s="1"/>
  <c r="C102" i="67" s="1"/>
  <c r="E102" i="67" s="1"/>
  <c r="G102" i="67" s="1"/>
  <c r="X101" i="35"/>
  <c r="Q101" i="35"/>
  <c r="S101" i="35" s="1"/>
  <c r="U101" i="35" s="1"/>
  <c r="J101" i="35"/>
  <c r="X100" i="35"/>
  <c r="Q100" i="35"/>
  <c r="S100" i="35" s="1"/>
  <c r="U100" i="35" s="1"/>
  <c r="J100" i="35"/>
  <c r="X99" i="35"/>
  <c r="Q99" i="35"/>
  <c r="S99" i="35" s="1"/>
  <c r="U99" i="35" s="1"/>
  <c r="J99" i="35"/>
  <c r="J99" i="8" s="1"/>
  <c r="X98" i="35"/>
  <c r="Q98" i="35"/>
  <c r="S98" i="35" s="1"/>
  <c r="U98" i="35" s="1"/>
  <c r="J98" i="35"/>
  <c r="E98" i="35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98" i="66" s="1"/>
  <c r="E98" i="66" s="1"/>
  <c r="G98" i="66" s="1"/>
  <c r="C98" i="67" s="1"/>
  <c r="E98" i="67" s="1"/>
  <c r="G98" i="67" s="1"/>
  <c r="X97" i="35"/>
  <c r="S97" i="35"/>
  <c r="U97" i="35" s="1"/>
  <c r="Q97" i="35"/>
  <c r="J97" i="35"/>
  <c r="X96" i="35"/>
  <c r="S96" i="35"/>
  <c r="U96" i="35" s="1"/>
  <c r="Q96" i="35"/>
  <c r="J96" i="35"/>
  <c r="J96" i="8" s="1"/>
  <c r="E96" i="35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96" i="66" s="1"/>
  <c r="E96" i="66" s="1"/>
  <c r="G96" i="66" s="1"/>
  <c r="C96" i="67" s="1"/>
  <c r="E96" i="67" s="1"/>
  <c r="G96" i="67" s="1"/>
  <c r="X95" i="35"/>
  <c r="U95" i="35"/>
  <c r="Q95" i="35"/>
  <c r="S95" i="35" s="1"/>
  <c r="J95" i="35"/>
  <c r="X94" i="35"/>
  <c r="Q94" i="35"/>
  <c r="S94" i="35" s="1"/>
  <c r="U94" i="35" s="1"/>
  <c r="M94" i="35"/>
  <c r="J94" i="35"/>
  <c r="J94" i="8" s="1"/>
  <c r="E94" i="35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94" i="66" s="1"/>
  <c r="E94" i="66" s="1"/>
  <c r="G94" i="66" s="1"/>
  <c r="C94" i="67" s="1"/>
  <c r="E94" i="67" s="1"/>
  <c r="G94" i="67" s="1"/>
  <c r="X93" i="35"/>
  <c r="S93" i="35"/>
  <c r="U93" i="35" s="1"/>
  <c r="Q93" i="35"/>
  <c r="J93" i="35"/>
  <c r="E93" i="35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93" i="66" s="1"/>
  <c r="E93" i="66" s="1"/>
  <c r="G93" i="66" s="1"/>
  <c r="C93" i="67" s="1"/>
  <c r="E93" i="67" s="1"/>
  <c r="G93" i="67" s="1"/>
  <c r="X92" i="35"/>
  <c r="Q92" i="35"/>
  <c r="S92" i="35" s="1"/>
  <c r="U92" i="35" s="1"/>
  <c r="J92" i="35"/>
  <c r="X91" i="35"/>
  <c r="Q91" i="35"/>
  <c r="S91" i="35" s="1"/>
  <c r="U91" i="35" s="1"/>
  <c r="J91" i="35"/>
  <c r="X90" i="35"/>
  <c r="Q90" i="35"/>
  <c r="S90" i="35" s="1"/>
  <c r="U90" i="35" s="1"/>
  <c r="J90" i="35"/>
  <c r="E90" i="35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90" i="66" s="1"/>
  <c r="E90" i="66" s="1"/>
  <c r="G90" i="66" s="1"/>
  <c r="C90" i="67" s="1"/>
  <c r="E90" i="67" s="1"/>
  <c r="G90" i="67" s="1"/>
  <c r="X89" i="35"/>
  <c r="Q89" i="35"/>
  <c r="S89" i="35" s="1"/>
  <c r="U89" i="35" s="1"/>
  <c r="J89" i="35"/>
  <c r="X88" i="35"/>
  <c r="Q88" i="35"/>
  <c r="S88" i="35" s="1"/>
  <c r="U88" i="35" s="1"/>
  <c r="J88" i="35"/>
  <c r="J88" i="8" s="1"/>
  <c r="E88" i="35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88" i="66" s="1"/>
  <c r="E88" i="66" s="1"/>
  <c r="G88" i="66" s="1"/>
  <c r="C88" i="67" s="1"/>
  <c r="E88" i="67" s="1"/>
  <c r="G88" i="67" s="1"/>
  <c r="X87" i="35"/>
  <c r="Q87" i="35"/>
  <c r="S87" i="35" s="1"/>
  <c r="U87" i="35" s="1"/>
  <c r="J87" i="35"/>
  <c r="X86" i="35"/>
  <c r="S86" i="35"/>
  <c r="U86" i="35" s="1"/>
  <c r="Q86" i="35"/>
  <c r="J86" i="35"/>
  <c r="E86" i="35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86" i="66" s="1"/>
  <c r="E86" i="66" s="1"/>
  <c r="G86" i="66" s="1"/>
  <c r="C86" i="67" s="1"/>
  <c r="E86" i="67" s="1"/>
  <c r="G86" i="67" s="1"/>
  <c r="X85" i="35"/>
  <c r="Q85" i="35"/>
  <c r="S85" i="35" s="1"/>
  <c r="U85" i="35" s="1"/>
  <c r="J85" i="35"/>
  <c r="E85" i="35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5" i="66" s="1"/>
  <c r="E85" i="66" s="1"/>
  <c r="G85" i="66" s="1"/>
  <c r="C85" i="67" s="1"/>
  <c r="E85" i="67" s="1"/>
  <c r="G85" i="67" s="1"/>
  <c r="X84" i="35"/>
  <c r="Q84" i="35"/>
  <c r="S84" i="35" s="1"/>
  <c r="U84" i="35" s="1"/>
  <c r="J84" i="35"/>
  <c r="X83" i="35"/>
  <c r="Q83" i="35"/>
  <c r="S83" i="35" s="1"/>
  <c r="U83" i="35" s="1"/>
  <c r="J83" i="35"/>
  <c r="X82" i="35"/>
  <c r="Q82" i="35"/>
  <c r="S82" i="35" s="1"/>
  <c r="U82" i="35" s="1"/>
  <c r="J82" i="35"/>
  <c r="E82" i="35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82" i="66" s="1"/>
  <c r="E82" i="66" s="1"/>
  <c r="G82" i="66" s="1"/>
  <c r="C82" i="67" s="1"/>
  <c r="E82" i="67" s="1"/>
  <c r="G82" i="67" s="1"/>
  <c r="X81" i="35"/>
  <c r="Q81" i="35"/>
  <c r="S81" i="35" s="1"/>
  <c r="U81" i="35" s="1"/>
  <c r="J81" i="35"/>
  <c r="X80" i="35"/>
  <c r="Q80" i="35"/>
  <c r="S80" i="35" s="1"/>
  <c r="U80" i="35" s="1"/>
  <c r="J80" i="35"/>
  <c r="E80" i="35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C80" i="66" s="1"/>
  <c r="E80" i="66" s="1"/>
  <c r="G80" i="66" s="1"/>
  <c r="C80" i="67" s="1"/>
  <c r="E80" i="67" s="1"/>
  <c r="G80" i="67" s="1"/>
  <c r="X79" i="35"/>
  <c r="U79" i="35"/>
  <c r="Q79" i="35"/>
  <c r="S79" i="35" s="1"/>
  <c r="J79" i="35"/>
  <c r="X78" i="35"/>
  <c r="Q78" i="35"/>
  <c r="S78" i="35" s="1"/>
  <c r="U78" i="35" s="1"/>
  <c r="J78" i="35"/>
  <c r="E78" i="35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78" i="66" s="1"/>
  <c r="E78" i="66" s="1"/>
  <c r="G78" i="66" s="1"/>
  <c r="C78" i="67" s="1"/>
  <c r="E78" i="67" s="1"/>
  <c r="G78" i="67" s="1"/>
  <c r="X77" i="35"/>
  <c r="Q77" i="35"/>
  <c r="S77" i="35" s="1"/>
  <c r="U77" i="35" s="1"/>
  <c r="J77" i="35"/>
  <c r="E77" i="35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77" i="66" s="1"/>
  <c r="E77" i="66" s="1"/>
  <c r="G77" i="66" s="1"/>
  <c r="C77" i="67" s="1"/>
  <c r="E77" i="67" s="1"/>
  <c r="G77" i="67" s="1"/>
  <c r="X76" i="35"/>
  <c r="Q76" i="35"/>
  <c r="S76" i="35" s="1"/>
  <c r="U76" i="35" s="1"/>
  <c r="J76" i="35"/>
  <c r="X75" i="35"/>
  <c r="Q75" i="35"/>
  <c r="S75" i="35" s="1"/>
  <c r="U75" i="35" s="1"/>
  <c r="J75" i="35"/>
  <c r="J75" i="8" s="1"/>
  <c r="X74" i="35"/>
  <c r="Q74" i="35"/>
  <c r="S74" i="35" s="1"/>
  <c r="U74" i="35" s="1"/>
  <c r="J74" i="35"/>
  <c r="E74" i="35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74" i="66" s="1"/>
  <c r="E74" i="66" s="1"/>
  <c r="G74" i="66" s="1"/>
  <c r="C74" i="67" s="1"/>
  <c r="E74" i="67" s="1"/>
  <c r="G74" i="67" s="1"/>
  <c r="X73" i="35"/>
  <c r="Q73" i="35"/>
  <c r="S73" i="35" s="1"/>
  <c r="U73" i="35" s="1"/>
  <c r="J73" i="35"/>
  <c r="X72" i="35"/>
  <c r="Q72" i="35"/>
  <c r="S72" i="35" s="1"/>
  <c r="U72" i="35" s="1"/>
  <c r="J72" i="35"/>
  <c r="E72" i="35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C72" i="66" s="1"/>
  <c r="E72" i="66" s="1"/>
  <c r="G72" i="66" s="1"/>
  <c r="C72" i="67" s="1"/>
  <c r="E72" i="67" s="1"/>
  <c r="G72" i="67" s="1"/>
  <c r="X71" i="35"/>
  <c r="Q71" i="35"/>
  <c r="S71" i="35" s="1"/>
  <c r="U71" i="35" s="1"/>
  <c r="J71" i="35"/>
  <c r="X70" i="35"/>
  <c r="Q70" i="35"/>
  <c r="S70" i="35" s="1"/>
  <c r="U70" i="35" s="1"/>
  <c r="J70" i="35"/>
  <c r="E70" i="35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70" i="66" s="1"/>
  <c r="E70" i="66" s="1"/>
  <c r="G70" i="66" s="1"/>
  <c r="C70" i="67" s="1"/>
  <c r="E70" i="67" s="1"/>
  <c r="G70" i="67" s="1"/>
  <c r="X69" i="35"/>
  <c r="Q69" i="35"/>
  <c r="S69" i="35" s="1"/>
  <c r="U69" i="35" s="1"/>
  <c r="J69" i="35"/>
  <c r="X68" i="35"/>
  <c r="Q68" i="35"/>
  <c r="S68" i="35" s="1"/>
  <c r="U68" i="35" s="1"/>
  <c r="J68" i="35"/>
  <c r="X67" i="35"/>
  <c r="Q67" i="35"/>
  <c r="S67" i="35" s="1"/>
  <c r="U67" i="35" s="1"/>
  <c r="J67" i="35"/>
  <c r="X66" i="35"/>
  <c r="Q66" i="35"/>
  <c r="S66" i="35" s="1"/>
  <c r="U66" i="35" s="1"/>
  <c r="J66" i="35"/>
  <c r="E66" i="35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66" i="66" s="1"/>
  <c r="E66" i="66" s="1"/>
  <c r="G66" i="66" s="1"/>
  <c r="C66" i="67" s="1"/>
  <c r="E66" i="67" s="1"/>
  <c r="G66" i="67" s="1"/>
  <c r="X65" i="35"/>
  <c r="Q65" i="35"/>
  <c r="S65" i="35" s="1"/>
  <c r="U65" i="35" s="1"/>
  <c r="J65" i="35"/>
  <c r="X64" i="35"/>
  <c r="Q64" i="35"/>
  <c r="S64" i="35" s="1"/>
  <c r="U64" i="35" s="1"/>
  <c r="J64" i="35"/>
  <c r="E64" i="35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64" i="66" s="1"/>
  <c r="E64" i="66" s="1"/>
  <c r="G64" i="66" s="1"/>
  <c r="C64" i="67" s="1"/>
  <c r="E64" i="67" s="1"/>
  <c r="G64" i="67" s="1"/>
  <c r="X63" i="35"/>
  <c r="Q63" i="35"/>
  <c r="S63" i="35" s="1"/>
  <c r="U63" i="35" s="1"/>
  <c r="J63" i="35"/>
  <c r="X62" i="35"/>
  <c r="Q62" i="35"/>
  <c r="S62" i="35" s="1"/>
  <c r="U62" i="35" s="1"/>
  <c r="J62" i="35"/>
  <c r="J62" i="8" s="1"/>
  <c r="E62" i="35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62" i="66" s="1"/>
  <c r="E62" i="66" s="1"/>
  <c r="G62" i="66" s="1"/>
  <c r="C62" i="67" s="1"/>
  <c r="E62" i="67" s="1"/>
  <c r="G62" i="67" s="1"/>
  <c r="X61" i="35"/>
  <c r="Q61" i="35"/>
  <c r="S61" i="35" s="1"/>
  <c r="U61" i="35" s="1"/>
  <c r="J61" i="35"/>
  <c r="E61" i="35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61" i="66" s="1"/>
  <c r="E61" i="66" s="1"/>
  <c r="G61" i="66" s="1"/>
  <c r="C61" i="67" s="1"/>
  <c r="E61" i="67" s="1"/>
  <c r="G61" i="67" s="1"/>
  <c r="X60" i="35"/>
  <c r="Q60" i="35"/>
  <c r="S60" i="35" s="1"/>
  <c r="U60" i="35" s="1"/>
  <c r="J60" i="35"/>
  <c r="X59" i="35"/>
  <c r="Q59" i="35"/>
  <c r="S59" i="35" s="1"/>
  <c r="U59" i="35" s="1"/>
  <c r="J59" i="35"/>
  <c r="J59" i="8" s="1"/>
  <c r="X58" i="35"/>
  <c r="Q58" i="35"/>
  <c r="S58" i="35" s="1"/>
  <c r="U58" i="35" s="1"/>
  <c r="J58" i="35"/>
  <c r="E58" i="35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58" i="66" s="1"/>
  <c r="E58" i="66" s="1"/>
  <c r="G58" i="66" s="1"/>
  <c r="C58" i="67" s="1"/>
  <c r="E58" i="67" s="1"/>
  <c r="G58" i="67" s="1"/>
  <c r="X57" i="35"/>
  <c r="Q57" i="35"/>
  <c r="S57" i="35" s="1"/>
  <c r="U57" i="35" s="1"/>
  <c r="J57" i="35"/>
  <c r="X56" i="35"/>
  <c r="Q56" i="35"/>
  <c r="S56" i="35" s="1"/>
  <c r="U56" i="35" s="1"/>
  <c r="J56" i="35"/>
  <c r="E56" i="35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6" i="66" s="1"/>
  <c r="E56" i="66" s="1"/>
  <c r="G56" i="66" s="1"/>
  <c r="C56" i="67" s="1"/>
  <c r="E56" i="67" s="1"/>
  <c r="G56" i="67" s="1"/>
  <c r="X55" i="35"/>
  <c r="Q55" i="35"/>
  <c r="S55" i="35" s="1"/>
  <c r="U55" i="35" s="1"/>
  <c r="J55" i="35"/>
  <c r="X54" i="35"/>
  <c r="Q54" i="35"/>
  <c r="S54" i="35" s="1"/>
  <c r="U54" i="35" s="1"/>
  <c r="J54" i="35"/>
  <c r="E54" i="35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54" i="66" s="1"/>
  <c r="E54" i="66" s="1"/>
  <c r="G54" i="66" s="1"/>
  <c r="C54" i="67" s="1"/>
  <c r="E54" i="67" s="1"/>
  <c r="G54" i="67" s="1"/>
  <c r="X53" i="35"/>
  <c r="Q53" i="35"/>
  <c r="S53" i="35" s="1"/>
  <c r="U53" i="35" s="1"/>
  <c r="J53" i="35"/>
  <c r="X52" i="35"/>
  <c r="Q52" i="35"/>
  <c r="S52" i="35" s="1"/>
  <c r="U52" i="35" s="1"/>
  <c r="J52" i="35"/>
  <c r="X51" i="35"/>
  <c r="Q51" i="35"/>
  <c r="S51" i="35" s="1"/>
  <c r="U51" i="35" s="1"/>
  <c r="J51" i="35"/>
  <c r="X50" i="35"/>
  <c r="Q50" i="35"/>
  <c r="S50" i="35" s="1"/>
  <c r="U50" i="35" s="1"/>
  <c r="J50" i="35"/>
  <c r="E50" i="35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50" i="66" s="1"/>
  <c r="E50" i="66" s="1"/>
  <c r="G50" i="66" s="1"/>
  <c r="C50" i="67" s="1"/>
  <c r="E50" i="67" s="1"/>
  <c r="G50" i="67" s="1"/>
  <c r="X49" i="35"/>
  <c r="Q49" i="35"/>
  <c r="S49" i="35" s="1"/>
  <c r="U49" i="35" s="1"/>
  <c r="J49" i="35"/>
  <c r="X48" i="35"/>
  <c r="S48" i="35"/>
  <c r="U48" i="35" s="1"/>
  <c r="Q48" i="35"/>
  <c r="J48" i="35"/>
  <c r="E48" i="35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48" i="66" s="1"/>
  <c r="E48" i="66" s="1"/>
  <c r="G48" i="66" s="1"/>
  <c r="C48" i="67" s="1"/>
  <c r="E48" i="67" s="1"/>
  <c r="G48" i="67" s="1"/>
  <c r="X47" i="35"/>
  <c r="Q47" i="35"/>
  <c r="S47" i="35" s="1"/>
  <c r="U47" i="35" s="1"/>
  <c r="J47" i="35"/>
  <c r="X46" i="35"/>
  <c r="Q46" i="35"/>
  <c r="S46" i="35" s="1"/>
  <c r="U46" i="35" s="1"/>
  <c r="J46" i="35"/>
  <c r="J46" i="8" s="1"/>
  <c r="E46" i="35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46" i="66" s="1"/>
  <c r="E46" i="66" s="1"/>
  <c r="G46" i="66" s="1"/>
  <c r="C46" i="67" s="1"/>
  <c r="E46" i="67" s="1"/>
  <c r="G46" i="67" s="1"/>
  <c r="X45" i="35"/>
  <c r="Q45" i="35"/>
  <c r="S45" i="35" s="1"/>
  <c r="U45" i="35" s="1"/>
  <c r="J45" i="35"/>
  <c r="E45" i="35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5" i="66" s="1"/>
  <c r="E45" i="66" s="1"/>
  <c r="G45" i="66" s="1"/>
  <c r="C45" i="67" s="1"/>
  <c r="E45" i="67" s="1"/>
  <c r="G45" i="67" s="1"/>
  <c r="X44" i="35"/>
  <c r="Q44" i="35"/>
  <c r="S44" i="35" s="1"/>
  <c r="U44" i="35" s="1"/>
  <c r="J44" i="35"/>
  <c r="X43" i="35"/>
  <c r="Q43" i="35"/>
  <c r="S43" i="35" s="1"/>
  <c r="U43" i="35" s="1"/>
  <c r="J43" i="35"/>
  <c r="X42" i="35"/>
  <c r="Q42" i="35"/>
  <c r="S42" i="35" s="1"/>
  <c r="U42" i="35" s="1"/>
  <c r="J42" i="35"/>
  <c r="E42" i="35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42" i="66" s="1"/>
  <c r="E42" i="66" s="1"/>
  <c r="G42" i="66" s="1"/>
  <c r="C42" i="67" s="1"/>
  <c r="E42" i="67" s="1"/>
  <c r="G42" i="67" s="1"/>
  <c r="X41" i="35"/>
  <c r="Q41" i="35"/>
  <c r="S41" i="35" s="1"/>
  <c r="U41" i="35" s="1"/>
  <c r="J41" i="35"/>
  <c r="X40" i="35"/>
  <c r="Q40" i="35"/>
  <c r="S40" i="35" s="1"/>
  <c r="U40" i="35" s="1"/>
  <c r="J40" i="35"/>
  <c r="M40" i="35" s="1"/>
  <c r="E40" i="35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0" i="66" s="1"/>
  <c r="E40" i="66" s="1"/>
  <c r="G40" i="66" s="1"/>
  <c r="C40" i="67" s="1"/>
  <c r="E40" i="67" s="1"/>
  <c r="G40" i="67" s="1"/>
  <c r="X39" i="35"/>
  <c r="Q39" i="35"/>
  <c r="S39" i="35" s="1"/>
  <c r="U39" i="35" s="1"/>
  <c r="J39" i="35"/>
  <c r="X38" i="35"/>
  <c r="S38" i="35"/>
  <c r="U38" i="35" s="1"/>
  <c r="Q38" i="35"/>
  <c r="J38" i="35"/>
  <c r="E38" i="35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38" i="66" s="1"/>
  <c r="E38" i="66" s="1"/>
  <c r="G38" i="66" s="1"/>
  <c r="C38" i="67" s="1"/>
  <c r="E38" i="67" s="1"/>
  <c r="G38" i="67" s="1"/>
  <c r="X37" i="35"/>
  <c r="Q37" i="35"/>
  <c r="S37" i="35" s="1"/>
  <c r="U37" i="35" s="1"/>
  <c r="J37" i="35"/>
  <c r="E37" i="35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7" i="66" s="1"/>
  <c r="E37" i="66" s="1"/>
  <c r="G37" i="66" s="1"/>
  <c r="C37" i="67" s="1"/>
  <c r="E37" i="67" s="1"/>
  <c r="G37" i="67" s="1"/>
  <c r="X36" i="35"/>
  <c r="Q36" i="35"/>
  <c r="S36" i="35" s="1"/>
  <c r="U36" i="35" s="1"/>
  <c r="J36" i="35"/>
  <c r="X35" i="35"/>
  <c r="Q35" i="35"/>
  <c r="S35" i="35" s="1"/>
  <c r="U35" i="35" s="1"/>
  <c r="J35" i="35"/>
  <c r="J35" i="8" s="1"/>
  <c r="X34" i="35"/>
  <c r="Q34" i="35"/>
  <c r="S34" i="35" s="1"/>
  <c r="U34" i="35" s="1"/>
  <c r="J34" i="35"/>
  <c r="E34" i="35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34" i="66" s="1"/>
  <c r="E34" i="66" s="1"/>
  <c r="G34" i="66" s="1"/>
  <c r="C34" i="67" s="1"/>
  <c r="E34" i="67" s="1"/>
  <c r="G34" i="67" s="1"/>
  <c r="X33" i="35"/>
  <c r="Q33" i="35"/>
  <c r="S33" i="35" s="1"/>
  <c r="U33" i="35" s="1"/>
  <c r="J33" i="35"/>
  <c r="E33" i="35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33" i="66" s="1"/>
  <c r="E33" i="66" s="1"/>
  <c r="G33" i="66" s="1"/>
  <c r="C33" i="67" s="1"/>
  <c r="E33" i="67" s="1"/>
  <c r="G33" i="67" s="1"/>
  <c r="X32" i="35"/>
  <c r="S32" i="35"/>
  <c r="U32" i="35" s="1"/>
  <c r="Q32" i="35"/>
  <c r="J32" i="35"/>
  <c r="J32" i="8" s="1"/>
  <c r="E32" i="35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32" i="66" s="1"/>
  <c r="E32" i="66" s="1"/>
  <c r="G32" i="66" s="1"/>
  <c r="C32" i="67" s="1"/>
  <c r="E32" i="67" s="1"/>
  <c r="G32" i="67" s="1"/>
  <c r="X31" i="35"/>
  <c r="Q31" i="35"/>
  <c r="S31" i="35" s="1"/>
  <c r="U31" i="35" s="1"/>
  <c r="J31" i="35"/>
  <c r="J31" i="8" s="1"/>
  <c r="X30" i="35"/>
  <c r="Q30" i="35"/>
  <c r="S30" i="35" s="1"/>
  <c r="U30" i="35" s="1"/>
  <c r="J30" i="35"/>
  <c r="E30" i="35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30" i="66" s="1"/>
  <c r="E30" i="66" s="1"/>
  <c r="G30" i="66" s="1"/>
  <c r="C30" i="67" s="1"/>
  <c r="E30" i="67" s="1"/>
  <c r="G30" i="67" s="1"/>
  <c r="X29" i="35"/>
  <c r="Q29" i="35"/>
  <c r="S29" i="35" s="1"/>
  <c r="U29" i="35" s="1"/>
  <c r="J29" i="35"/>
  <c r="E29" i="35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29" i="66" s="1"/>
  <c r="E29" i="66" s="1"/>
  <c r="G29" i="66" s="1"/>
  <c r="C29" i="67" s="1"/>
  <c r="E29" i="67" s="1"/>
  <c r="G29" i="67" s="1"/>
  <c r="X28" i="35"/>
  <c r="Q28" i="35"/>
  <c r="S28" i="35" s="1"/>
  <c r="U28" i="35" s="1"/>
  <c r="J28" i="35"/>
  <c r="E28" i="35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28" i="66" s="1"/>
  <c r="E28" i="66" s="1"/>
  <c r="G28" i="66" s="1"/>
  <c r="C28" i="67" s="1"/>
  <c r="E28" i="67" s="1"/>
  <c r="G28" i="67" s="1"/>
  <c r="X27" i="35"/>
  <c r="Q27" i="35"/>
  <c r="S27" i="35" s="1"/>
  <c r="U27" i="35" s="1"/>
  <c r="J27" i="35"/>
  <c r="E27" i="35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27" i="66" s="1"/>
  <c r="E27" i="66" s="1"/>
  <c r="G27" i="66" s="1"/>
  <c r="C27" i="67" s="1"/>
  <c r="E27" i="67" s="1"/>
  <c r="G27" i="67" s="1"/>
  <c r="X26" i="35"/>
  <c r="Q26" i="35"/>
  <c r="S26" i="35" s="1"/>
  <c r="U26" i="35" s="1"/>
  <c r="J26" i="35"/>
  <c r="E26" i="35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66" s="1"/>
  <c r="E26" i="66" s="1"/>
  <c r="G26" i="66" s="1"/>
  <c r="C26" i="67" s="1"/>
  <c r="E26" i="67" s="1"/>
  <c r="G26" i="67" s="1"/>
  <c r="X25" i="35"/>
  <c r="Q25" i="35"/>
  <c r="S25" i="35" s="1"/>
  <c r="U25" i="35" s="1"/>
  <c r="J25" i="35"/>
  <c r="E25" i="35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25" i="66" s="1"/>
  <c r="E25" i="66" s="1"/>
  <c r="G25" i="66" s="1"/>
  <c r="C25" i="67" s="1"/>
  <c r="E25" i="67" s="1"/>
  <c r="G25" i="67" s="1"/>
  <c r="X24" i="35"/>
  <c r="Q24" i="35"/>
  <c r="S24" i="35" s="1"/>
  <c r="U24" i="35" s="1"/>
  <c r="J24" i="35"/>
  <c r="E24" i="35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4" i="66" s="1"/>
  <c r="E24" i="66" s="1"/>
  <c r="G24" i="66" s="1"/>
  <c r="C24" i="67" s="1"/>
  <c r="E24" i="67" s="1"/>
  <c r="G24" i="67" s="1"/>
  <c r="X23" i="35"/>
  <c r="Q23" i="35"/>
  <c r="S23" i="35" s="1"/>
  <c r="U23" i="35" s="1"/>
  <c r="J23" i="35"/>
  <c r="E23" i="35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23" i="66" s="1"/>
  <c r="E23" i="66" s="1"/>
  <c r="G23" i="66" s="1"/>
  <c r="C23" i="67" s="1"/>
  <c r="E23" i="67" s="1"/>
  <c r="G23" i="67" s="1"/>
  <c r="X22" i="35"/>
  <c r="Q22" i="35"/>
  <c r="S22" i="35" s="1"/>
  <c r="U22" i="35" s="1"/>
  <c r="J22" i="35"/>
  <c r="E22" i="35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66" s="1"/>
  <c r="E22" i="66" s="1"/>
  <c r="G22" i="66" s="1"/>
  <c r="C22" i="67" s="1"/>
  <c r="E22" i="67" s="1"/>
  <c r="G22" i="67" s="1"/>
  <c r="X21" i="35"/>
  <c r="Q21" i="35"/>
  <c r="S21" i="35" s="1"/>
  <c r="U21" i="35" s="1"/>
  <c r="J21" i="35"/>
  <c r="X20" i="35"/>
  <c r="Q20" i="35"/>
  <c r="S20" i="35" s="1"/>
  <c r="U20" i="35" s="1"/>
  <c r="J20" i="35"/>
  <c r="X19" i="35"/>
  <c r="Q19" i="35"/>
  <c r="S19" i="35" s="1"/>
  <c r="U19" i="35" s="1"/>
  <c r="J19" i="35"/>
  <c r="X18" i="35"/>
  <c r="Q18" i="35"/>
  <c r="S18" i="35" s="1"/>
  <c r="U18" i="35" s="1"/>
  <c r="J18" i="35"/>
  <c r="J18" i="8" s="1"/>
  <c r="E18" i="35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66" s="1"/>
  <c r="E18" i="66" s="1"/>
  <c r="G18" i="66" s="1"/>
  <c r="C18" i="67" s="1"/>
  <c r="E18" i="67" s="1"/>
  <c r="G18" i="67" s="1"/>
  <c r="X17" i="35"/>
  <c r="Q17" i="35"/>
  <c r="S17" i="35" s="1"/>
  <c r="U17" i="35" s="1"/>
  <c r="J17" i="35"/>
  <c r="E17" i="35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66" s="1"/>
  <c r="E17" i="66" s="1"/>
  <c r="G17" i="66" s="1"/>
  <c r="C17" i="67" s="1"/>
  <c r="E17" i="67" s="1"/>
  <c r="G17" i="67" s="1"/>
  <c r="X16" i="35"/>
  <c r="Q16" i="35"/>
  <c r="S16" i="35" s="1"/>
  <c r="U16" i="35" s="1"/>
  <c r="J16" i="35"/>
  <c r="X15" i="35"/>
  <c r="Q15" i="35"/>
  <c r="S15" i="35" s="1"/>
  <c r="U15" i="35" s="1"/>
  <c r="J15" i="35"/>
  <c r="E15" i="35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66" s="1"/>
  <c r="E15" i="66" s="1"/>
  <c r="G15" i="66" s="1"/>
  <c r="C15" i="67" s="1"/>
  <c r="E15" i="67" s="1"/>
  <c r="G15" i="67" s="1"/>
  <c r="X14" i="35"/>
  <c r="Q14" i="35"/>
  <c r="S14" i="35" s="1"/>
  <c r="U14" i="35" s="1"/>
  <c r="J14" i="35"/>
  <c r="X13" i="35"/>
  <c r="Q13" i="35"/>
  <c r="S13" i="35" s="1"/>
  <c r="U13" i="35" s="1"/>
  <c r="J13" i="35"/>
  <c r="X12" i="35"/>
  <c r="Q12" i="35"/>
  <c r="S12" i="35" s="1"/>
  <c r="U12" i="35" s="1"/>
  <c r="J12" i="35"/>
  <c r="E12" i="35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66" s="1"/>
  <c r="E12" i="66" s="1"/>
  <c r="G12" i="66" s="1"/>
  <c r="C12" i="67" s="1"/>
  <c r="E12" i="67" s="1"/>
  <c r="G12" i="67" s="1"/>
  <c r="X11" i="35"/>
  <c r="Q11" i="35"/>
  <c r="S11" i="35" s="1"/>
  <c r="U11" i="35" s="1"/>
  <c r="J11" i="35"/>
  <c r="X10" i="35"/>
  <c r="Q10" i="35"/>
  <c r="S10" i="35" s="1"/>
  <c r="U10" i="35" s="1"/>
  <c r="J10" i="35"/>
  <c r="J10" i="8" s="1"/>
  <c r="E10" i="35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66" s="1"/>
  <c r="E10" i="66" s="1"/>
  <c r="G10" i="66" s="1"/>
  <c r="C10" i="67" s="1"/>
  <c r="E10" i="67" s="1"/>
  <c r="G10" i="67" s="1"/>
  <c r="X9" i="35"/>
  <c r="Q9" i="35"/>
  <c r="S9" i="35" s="1"/>
  <c r="U9" i="35" s="1"/>
  <c r="J9" i="35"/>
  <c r="E9" i="35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9" i="66" s="1"/>
  <c r="E9" i="66" s="1"/>
  <c r="G9" i="66" s="1"/>
  <c r="C9" i="67" s="1"/>
  <c r="E9" i="67" s="1"/>
  <c r="G9" i="67" s="1"/>
  <c r="X8" i="35"/>
  <c r="Q8" i="35"/>
  <c r="S8" i="35" s="1"/>
  <c r="U8" i="35" s="1"/>
  <c r="J8" i="35"/>
  <c r="X7" i="35"/>
  <c r="Q7" i="35"/>
  <c r="S7" i="35" s="1"/>
  <c r="U7" i="35" s="1"/>
  <c r="J7" i="35"/>
  <c r="E7" i="35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7" i="66" s="1"/>
  <c r="E7" i="66" s="1"/>
  <c r="G7" i="66" s="1"/>
  <c r="C7" i="67" s="1"/>
  <c r="E7" i="67" s="1"/>
  <c r="G7" i="67" s="1"/>
  <c r="X6" i="35"/>
  <c r="Q6" i="35"/>
  <c r="S6" i="35" s="1"/>
  <c r="U6" i="35" s="1"/>
  <c r="J6" i="35"/>
  <c r="M6" i="35" s="1"/>
  <c r="E6" i="35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66" s="1"/>
  <c r="E6" i="66" s="1"/>
  <c r="G6" i="66" s="1"/>
  <c r="C6" i="67" s="1"/>
  <c r="E6" i="67" s="1"/>
  <c r="G6" i="67" s="1"/>
  <c r="X5" i="35"/>
  <c r="Q5" i="35"/>
  <c r="S5" i="35" s="1"/>
  <c r="U5" i="35" s="1"/>
  <c r="J5" i="35"/>
  <c r="M5" i="35" s="1"/>
  <c r="K223" i="67" l="1"/>
  <c r="M35" i="8"/>
  <c r="S35" i="8" s="1"/>
  <c r="E8" i="35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8" i="66" s="1"/>
  <c r="E8" i="66" s="1"/>
  <c r="G8" i="66" s="1"/>
  <c r="C8" i="67" s="1"/>
  <c r="E8" i="67" s="1"/>
  <c r="G8" i="67" s="1"/>
  <c r="J21" i="8"/>
  <c r="E39" i="35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39" i="66" s="1"/>
  <c r="E39" i="66" s="1"/>
  <c r="G39" i="66" s="1"/>
  <c r="C39" i="67" s="1"/>
  <c r="E39" i="67" s="1"/>
  <c r="G39" i="67" s="1"/>
  <c r="E41" i="35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41" i="66" s="1"/>
  <c r="E41" i="66" s="1"/>
  <c r="G41" i="66" s="1"/>
  <c r="C41" i="67" s="1"/>
  <c r="E41" i="67" s="1"/>
  <c r="G41" i="67" s="1"/>
  <c r="J43" i="8"/>
  <c r="E65" i="35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65" i="66" s="1"/>
  <c r="E65" i="66" s="1"/>
  <c r="G65" i="66" s="1"/>
  <c r="C65" i="67" s="1"/>
  <c r="E65" i="67" s="1"/>
  <c r="G65" i="67" s="1"/>
  <c r="J113" i="8"/>
  <c r="E129" i="35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29" i="66" s="1"/>
  <c r="E129" i="66" s="1"/>
  <c r="G129" i="66" s="1"/>
  <c r="C129" i="67" s="1"/>
  <c r="E129" i="67" s="1"/>
  <c r="G129" i="67" s="1"/>
  <c r="M144" i="35"/>
  <c r="E169" i="35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169" i="66" s="1"/>
  <c r="E169" i="66" s="1"/>
  <c r="G169" i="66" s="1"/>
  <c r="C169" i="67" s="1"/>
  <c r="E169" i="67" s="1"/>
  <c r="G169" i="67" s="1"/>
  <c r="E201" i="35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201" i="66" s="1"/>
  <c r="E201" i="66" s="1"/>
  <c r="G201" i="66" s="1"/>
  <c r="C201" i="67" s="1"/>
  <c r="E201" i="67" s="1"/>
  <c r="G201" i="67" s="1"/>
  <c r="E145" i="35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45" i="66" s="1"/>
  <c r="E145" i="66" s="1"/>
  <c r="G145" i="66" s="1"/>
  <c r="C145" i="67" s="1"/>
  <c r="E145" i="67" s="1"/>
  <c r="G145" i="67" s="1"/>
  <c r="J169" i="8"/>
  <c r="J208" i="8"/>
  <c r="E89" i="35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89" i="66" s="1"/>
  <c r="E89" i="66" s="1"/>
  <c r="G89" i="66" s="1"/>
  <c r="C89" i="67" s="1"/>
  <c r="E89" i="67" s="1"/>
  <c r="G89" i="67" s="1"/>
  <c r="J101" i="8"/>
  <c r="E103" i="35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103" i="66" s="1"/>
  <c r="E103" i="66" s="1"/>
  <c r="G103" i="66" s="1"/>
  <c r="C103" i="67" s="1"/>
  <c r="E103" i="67" s="1"/>
  <c r="G103" i="67" s="1"/>
  <c r="E105" i="35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105" i="66" s="1"/>
  <c r="E105" i="66" s="1"/>
  <c r="G105" i="66" s="1"/>
  <c r="C105" i="67" s="1"/>
  <c r="E105" i="67" s="1"/>
  <c r="G105" i="67" s="1"/>
  <c r="E161" i="35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61" i="66" s="1"/>
  <c r="E161" i="66" s="1"/>
  <c r="G161" i="66" s="1"/>
  <c r="C161" i="67" s="1"/>
  <c r="E161" i="67" s="1"/>
  <c r="G161" i="67" s="1"/>
  <c r="E177" i="35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C177" i="66" s="1"/>
  <c r="E177" i="66" s="1"/>
  <c r="G177" i="66" s="1"/>
  <c r="C177" i="67" s="1"/>
  <c r="E177" i="67" s="1"/>
  <c r="G177" i="67" s="1"/>
  <c r="E209" i="35"/>
  <c r="G209" i="35" s="1"/>
  <c r="C209" i="36" s="1"/>
  <c r="E209" i="36" s="1"/>
  <c r="G209" i="36" s="1"/>
  <c r="C209" i="37" s="1"/>
  <c r="E209" i="37" s="1"/>
  <c r="G209" i="37" s="1"/>
  <c r="C209" i="38" s="1"/>
  <c r="E209" i="38" s="1"/>
  <c r="G209" i="38" s="1"/>
  <c r="C209" i="39" s="1"/>
  <c r="E209" i="39" s="1"/>
  <c r="G209" i="39" s="1"/>
  <c r="C209" i="40" s="1"/>
  <c r="E209" i="40" s="1"/>
  <c r="G209" i="40" s="1"/>
  <c r="C209" i="41" s="1"/>
  <c r="E209" i="41" s="1"/>
  <c r="G209" i="41" s="1"/>
  <c r="C209" i="42" s="1"/>
  <c r="E209" i="42" s="1"/>
  <c r="G209" i="42" s="1"/>
  <c r="C209" i="43" s="1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G209" i="50" s="1"/>
  <c r="C209" i="52" s="1"/>
  <c r="E209" i="52" s="1"/>
  <c r="G209" i="52" s="1"/>
  <c r="C209" i="53" s="1"/>
  <c r="E209" i="53" s="1"/>
  <c r="G209" i="53" s="1"/>
  <c r="C209" i="54" s="1"/>
  <c r="E209" i="54" s="1"/>
  <c r="G209" i="54" s="1"/>
  <c r="C209" i="55" s="1"/>
  <c r="E209" i="55" s="1"/>
  <c r="G209" i="55" s="1"/>
  <c r="C209" i="57" s="1"/>
  <c r="E209" i="57" s="1"/>
  <c r="G209" i="57" s="1"/>
  <c r="C209" i="58" s="1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C209" i="65" s="1"/>
  <c r="E209" i="65" s="1"/>
  <c r="G209" i="65" s="1"/>
  <c r="C209" i="66" s="1"/>
  <c r="E209" i="66" s="1"/>
  <c r="G209" i="66" s="1"/>
  <c r="C209" i="67" s="1"/>
  <c r="E209" i="67" s="1"/>
  <c r="G209" i="67" s="1"/>
  <c r="E193" i="35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193" i="66" s="1"/>
  <c r="E193" i="66" s="1"/>
  <c r="G193" i="66" s="1"/>
  <c r="C193" i="67" s="1"/>
  <c r="E193" i="67" s="1"/>
  <c r="G193" i="67" s="1"/>
  <c r="J13" i="8"/>
  <c r="E57" i="35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57" i="66" s="1"/>
  <c r="E57" i="66" s="1"/>
  <c r="G57" i="66" s="1"/>
  <c r="C57" i="67" s="1"/>
  <c r="E57" i="67" s="1"/>
  <c r="G57" i="67" s="1"/>
  <c r="J68" i="8"/>
  <c r="E97" i="35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97" i="66" s="1"/>
  <c r="E97" i="66" s="1"/>
  <c r="G97" i="66" s="1"/>
  <c r="C97" i="67" s="1"/>
  <c r="E97" i="67" s="1"/>
  <c r="G97" i="67" s="1"/>
  <c r="J136" i="8"/>
  <c r="J161" i="8"/>
  <c r="C214" i="50"/>
  <c r="E214" i="50" s="1"/>
  <c r="G214" i="50" s="1"/>
  <c r="C214" i="52" s="1"/>
  <c r="E214" i="52" s="1"/>
  <c r="G214" i="52" s="1"/>
  <c r="C214" i="53" s="1"/>
  <c r="E214" i="53" s="1"/>
  <c r="G214" i="53" s="1"/>
  <c r="C214" i="54" s="1"/>
  <c r="E214" i="54" s="1"/>
  <c r="G214" i="54" s="1"/>
  <c r="C214" i="55" s="1"/>
  <c r="E214" i="55" s="1"/>
  <c r="G214" i="55" s="1"/>
  <c r="C214" i="57" s="1"/>
  <c r="E214" i="57" s="1"/>
  <c r="G214" i="57" s="1"/>
  <c r="C214" i="58" s="1"/>
  <c r="E214" i="58" s="1"/>
  <c r="G214" i="58" s="1"/>
  <c r="C214" i="59" s="1"/>
  <c r="E214" i="59" s="1"/>
  <c r="G214" i="59" s="1"/>
  <c r="C214" i="60" s="1"/>
  <c r="E214" i="60" s="1"/>
  <c r="G214" i="60" s="1"/>
  <c r="C214" i="61" s="1"/>
  <c r="E214" i="61" s="1"/>
  <c r="G214" i="61" s="1"/>
  <c r="C214" i="62" s="1"/>
  <c r="E214" i="62" s="1"/>
  <c r="G214" i="62" s="1"/>
  <c r="C214" i="63" s="1"/>
  <c r="E214" i="63" s="1"/>
  <c r="G214" i="63" s="1"/>
  <c r="C214" i="64" s="1"/>
  <c r="E214" i="64" s="1"/>
  <c r="G214" i="64" s="1"/>
  <c r="C214" i="65" s="1"/>
  <c r="E214" i="65" s="1"/>
  <c r="G214" i="65" s="1"/>
  <c r="C214" i="66" s="1"/>
  <c r="E214" i="66" s="1"/>
  <c r="G214" i="66" s="1"/>
  <c r="C214" i="67" s="1"/>
  <c r="E214" i="67" s="1"/>
  <c r="G214" i="67" s="1"/>
  <c r="J26" i="8"/>
  <c r="J55" i="8"/>
  <c r="E81" i="35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81" i="66" s="1"/>
  <c r="E81" i="66" s="1"/>
  <c r="G81" i="66" s="1"/>
  <c r="C81" i="67" s="1"/>
  <c r="E81" i="67" s="1"/>
  <c r="G81" i="67" s="1"/>
  <c r="E121" i="35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121" i="66" s="1"/>
  <c r="E121" i="66" s="1"/>
  <c r="G121" i="66" s="1"/>
  <c r="C121" i="67" s="1"/>
  <c r="E121" i="67" s="1"/>
  <c r="G121" i="67" s="1"/>
  <c r="E137" i="35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37" i="66" s="1"/>
  <c r="E137" i="66" s="1"/>
  <c r="G137" i="66" s="1"/>
  <c r="C137" i="67" s="1"/>
  <c r="E137" i="67" s="1"/>
  <c r="G137" i="67" s="1"/>
  <c r="J184" i="8"/>
  <c r="J72" i="8"/>
  <c r="J7" i="8"/>
  <c r="M26" i="35"/>
  <c r="J42" i="8"/>
  <c r="E73" i="35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73" i="66" s="1"/>
  <c r="E73" i="66" s="1"/>
  <c r="G73" i="66" s="1"/>
  <c r="C73" i="67" s="1"/>
  <c r="E73" i="67" s="1"/>
  <c r="G73" i="67" s="1"/>
  <c r="J137" i="8"/>
  <c r="E158" i="35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58" i="66" s="1"/>
  <c r="E158" i="66" s="1"/>
  <c r="G158" i="66" s="1"/>
  <c r="C158" i="67" s="1"/>
  <c r="E158" i="67" s="1"/>
  <c r="G158" i="67" s="1"/>
  <c r="E162" i="35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162" i="66" s="1"/>
  <c r="E162" i="66" s="1"/>
  <c r="G162" i="66" s="1"/>
  <c r="C162" i="67" s="1"/>
  <c r="E162" i="67" s="1"/>
  <c r="G162" i="67" s="1"/>
  <c r="E185" i="35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85" i="66" s="1"/>
  <c r="E185" i="66" s="1"/>
  <c r="G185" i="66" s="1"/>
  <c r="C185" i="67" s="1"/>
  <c r="E185" i="67" s="1"/>
  <c r="G185" i="67" s="1"/>
  <c r="K219" i="50"/>
  <c r="J218" i="50"/>
  <c r="E16" i="35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6" i="66" s="1"/>
  <c r="E16" i="66" s="1"/>
  <c r="G16" i="66" s="1"/>
  <c r="C16" i="67" s="1"/>
  <c r="E16" i="67" s="1"/>
  <c r="G16" i="67" s="1"/>
  <c r="E49" i="35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49" i="66" s="1"/>
  <c r="E49" i="66" s="1"/>
  <c r="G49" i="66" s="1"/>
  <c r="C49" i="67" s="1"/>
  <c r="E49" i="67" s="1"/>
  <c r="G49" i="67" s="1"/>
  <c r="J112" i="8"/>
  <c r="E153" i="35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53" i="66" s="1"/>
  <c r="E153" i="66" s="1"/>
  <c r="G153" i="66" s="1"/>
  <c r="C153" i="67" s="1"/>
  <c r="E153" i="67" s="1"/>
  <c r="G153" i="67" s="1"/>
  <c r="E180" i="35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80" i="66" s="1"/>
  <c r="E180" i="66" s="1"/>
  <c r="G180" i="66" s="1"/>
  <c r="C180" i="67" s="1"/>
  <c r="E180" i="67" s="1"/>
  <c r="G180" i="67" s="1"/>
  <c r="J192" i="8"/>
  <c r="E68" i="35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68" i="66" s="1"/>
  <c r="E68" i="66" s="1"/>
  <c r="G68" i="66" s="1"/>
  <c r="C68" i="67" s="1"/>
  <c r="E68" i="67" s="1"/>
  <c r="G68" i="67" s="1"/>
  <c r="E100" i="35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100" i="66" s="1"/>
  <c r="E100" i="66" s="1"/>
  <c r="G100" i="66" s="1"/>
  <c r="C100" i="67" s="1"/>
  <c r="E100" i="67" s="1"/>
  <c r="G100" i="67" s="1"/>
  <c r="E132" i="35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132" i="66" s="1"/>
  <c r="E132" i="66" s="1"/>
  <c r="G132" i="66" s="1"/>
  <c r="C132" i="67" s="1"/>
  <c r="E132" i="67" s="1"/>
  <c r="G132" i="67" s="1"/>
  <c r="E206" i="35"/>
  <c r="G206" i="35" s="1"/>
  <c r="C206" i="36" s="1"/>
  <c r="E206" i="36" s="1"/>
  <c r="G206" i="36" s="1"/>
  <c r="C206" i="37" s="1"/>
  <c r="E206" i="37" s="1"/>
  <c r="G206" i="37" s="1"/>
  <c r="C206" i="38" s="1"/>
  <c r="E206" i="38" s="1"/>
  <c r="G206" i="38" s="1"/>
  <c r="C206" i="39" s="1"/>
  <c r="E206" i="39" s="1"/>
  <c r="G206" i="39" s="1"/>
  <c r="C206" i="40" s="1"/>
  <c r="E206" i="40" s="1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C206" i="66" s="1"/>
  <c r="E206" i="66" s="1"/>
  <c r="G206" i="66" s="1"/>
  <c r="C206" i="67" s="1"/>
  <c r="E206" i="67" s="1"/>
  <c r="G206" i="67" s="1"/>
  <c r="E60" i="35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60" i="66" s="1"/>
  <c r="E60" i="66" s="1"/>
  <c r="G60" i="66" s="1"/>
  <c r="C60" i="67" s="1"/>
  <c r="E60" i="67" s="1"/>
  <c r="G60" i="67" s="1"/>
  <c r="E108" i="35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08" i="66" s="1"/>
  <c r="E108" i="66" s="1"/>
  <c r="G108" i="66" s="1"/>
  <c r="C108" i="67" s="1"/>
  <c r="E108" i="67" s="1"/>
  <c r="G108" i="67" s="1"/>
  <c r="E156" i="35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56" i="66" s="1"/>
  <c r="E156" i="66" s="1"/>
  <c r="G156" i="66" s="1"/>
  <c r="C156" i="67" s="1"/>
  <c r="E156" i="67" s="1"/>
  <c r="G156" i="67" s="1"/>
  <c r="E52" i="35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52" i="66" s="1"/>
  <c r="E52" i="66" s="1"/>
  <c r="G52" i="66" s="1"/>
  <c r="C52" i="67" s="1"/>
  <c r="E52" i="67" s="1"/>
  <c r="G52" i="67" s="1"/>
  <c r="E124" i="35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24" i="66" s="1"/>
  <c r="E124" i="66" s="1"/>
  <c r="G124" i="66" s="1"/>
  <c r="C124" i="67" s="1"/>
  <c r="E124" i="67" s="1"/>
  <c r="G124" i="67" s="1"/>
  <c r="E196" i="35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6" i="66" s="1"/>
  <c r="E196" i="66" s="1"/>
  <c r="G196" i="66" s="1"/>
  <c r="C196" i="67" s="1"/>
  <c r="E196" i="67" s="1"/>
  <c r="G196" i="67" s="1"/>
  <c r="E20" i="35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66" s="1"/>
  <c r="E20" i="66" s="1"/>
  <c r="G20" i="66" s="1"/>
  <c r="C20" i="67" s="1"/>
  <c r="E20" i="67" s="1"/>
  <c r="G20" i="67" s="1"/>
  <c r="E36" i="35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6" i="66" s="1"/>
  <c r="E36" i="66" s="1"/>
  <c r="G36" i="66" s="1"/>
  <c r="C36" i="67" s="1"/>
  <c r="E36" i="67" s="1"/>
  <c r="G36" i="67" s="1"/>
  <c r="E44" i="35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4" i="66" s="1"/>
  <c r="E44" i="66" s="1"/>
  <c r="G44" i="66" s="1"/>
  <c r="C44" i="67" s="1"/>
  <c r="E44" i="67" s="1"/>
  <c r="G44" i="67" s="1"/>
  <c r="E92" i="35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92" i="66" s="1"/>
  <c r="E92" i="66" s="1"/>
  <c r="G92" i="66" s="1"/>
  <c r="C92" i="67" s="1"/>
  <c r="E92" i="67" s="1"/>
  <c r="G92" i="67" s="1"/>
  <c r="E148" i="35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48" i="66" s="1"/>
  <c r="E148" i="66" s="1"/>
  <c r="G148" i="66" s="1"/>
  <c r="C148" i="67" s="1"/>
  <c r="E148" i="67" s="1"/>
  <c r="G148" i="67" s="1"/>
  <c r="E172" i="35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72" i="66" s="1"/>
  <c r="E172" i="66" s="1"/>
  <c r="G172" i="66" s="1"/>
  <c r="C172" i="67" s="1"/>
  <c r="E172" i="67" s="1"/>
  <c r="G172" i="67" s="1"/>
  <c r="E76" i="35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76" i="66" s="1"/>
  <c r="E76" i="66" s="1"/>
  <c r="G76" i="66" s="1"/>
  <c r="C76" i="67" s="1"/>
  <c r="E76" i="67" s="1"/>
  <c r="G76" i="67" s="1"/>
  <c r="E84" i="35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84" i="66" s="1"/>
  <c r="E84" i="66" s="1"/>
  <c r="G84" i="66" s="1"/>
  <c r="C84" i="67" s="1"/>
  <c r="E84" i="67" s="1"/>
  <c r="G84" i="67" s="1"/>
  <c r="E140" i="35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140" i="66" s="1"/>
  <c r="E140" i="66" s="1"/>
  <c r="G140" i="66" s="1"/>
  <c r="C140" i="67" s="1"/>
  <c r="E140" i="67" s="1"/>
  <c r="G140" i="67" s="1"/>
  <c r="J216" i="8"/>
  <c r="E119" i="35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119" i="66" s="1"/>
  <c r="E119" i="66" s="1"/>
  <c r="G119" i="66" s="1"/>
  <c r="C119" i="67" s="1"/>
  <c r="E119" i="67" s="1"/>
  <c r="G119" i="67" s="1"/>
  <c r="E159" i="35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59" i="66" s="1"/>
  <c r="E159" i="66" s="1"/>
  <c r="G159" i="66" s="1"/>
  <c r="C159" i="67" s="1"/>
  <c r="E159" i="67" s="1"/>
  <c r="G159" i="67" s="1"/>
  <c r="E14" i="35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66" s="1"/>
  <c r="E14" i="66" s="1"/>
  <c r="G14" i="66" s="1"/>
  <c r="C14" i="67" s="1"/>
  <c r="E14" i="67" s="1"/>
  <c r="G14" i="67" s="1"/>
  <c r="E71" i="35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71" i="66" s="1"/>
  <c r="E71" i="66" s="1"/>
  <c r="G71" i="66" s="1"/>
  <c r="C71" i="67" s="1"/>
  <c r="E71" i="67" s="1"/>
  <c r="G71" i="67" s="1"/>
  <c r="E111" i="35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C111" i="66" s="1"/>
  <c r="E111" i="66" s="1"/>
  <c r="G111" i="66" s="1"/>
  <c r="C111" i="67" s="1"/>
  <c r="E111" i="67" s="1"/>
  <c r="G111" i="67" s="1"/>
  <c r="E143" i="35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43" i="66" s="1"/>
  <c r="E143" i="66" s="1"/>
  <c r="G143" i="66" s="1"/>
  <c r="C143" i="67" s="1"/>
  <c r="E143" i="67" s="1"/>
  <c r="G143" i="67" s="1"/>
  <c r="E151" i="35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151" i="66" s="1"/>
  <c r="E151" i="66" s="1"/>
  <c r="G151" i="66" s="1"/>
  <c r="C151" i="67" s="1"/>
  <c r="E151" i="67" s="1"/>
  <c r="G151" i="67" s="1"/>
  <c r="E79" i="35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79" i="66" s="1"/>
  <c r="E79" i="66" s="1"/>
  <c r="G79" i="66" s="1"/>
  <c r="C79" i="67" s="1"/>
  <c r="E79" i="67" s="1"/>
  <c r="G79" i="67" s="1"/>
  <c r="E175" i="35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175" i="66" s="1"/>
  <c r="E175" i="66" s="1"/>
  <c r="G175" i="66" s="1"/>
  <c r="C175" i="67" s="1"/>
  <c r="E175" i="67" s="1"/>
  <c r="G175" i="67" s="1"/>
  <c r="E63" i="35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63" i="66" s="1"/>
  <c r="E63" i="66" s="1"/>
  <c r="G63" i="66" s="1"/>
  <c r="C63" i="67" s="1"/>
  <c r="E63" i="67" s="1"/>
  <c r="G63" i="67" s="1"/>
  <c r="E87" i="35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87" i="66" s="1"/>
  <c r="E87" i="66" s="1"/>
  <c r="G87" i="66" s="1"/>
  <c r="C87" i="67" s="1"/>
  <c r="E87" i="67" s="1"/>
  <c r="G87" i="67" s="1"/>
  <c r="E135" i="35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135" i="66" s="1"/>
  <c r="E135" i="66" s="1"/>
  <c r="G135" i="66" s="1"/>
  <c r="C135" i="67" s="1"/>
  <c r="E135" i="67" s="1"/>
  <c r="G135" i="67" s="1"/>
  <c r="E31" i="35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31" i="66" s="1"/>
  <c r="E31" i="66" s="1"/>
  <c r="G31" i="66" s="1"/>
  <c r="C31" i="67" s="1"/>
  <c r="E31" i="67" s="1"/>
  <c r="G31" i="67" s="1"/>
  <c r="E47" i="35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7" i="66" s="1"/>
  <c r="E47" i="66" s="1"/>
  <c r="G47" i="66" s="1"/>
  <c r="C47" i="67" s="1"/>
  <c r="E47" i="67" s="1"/>
  <c r="G47" i="67" s="1"/>
  <c r="E55" i="35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55" i="66" s="1"/>
  <c r="E55" i="66" s="1"/>
  <c r="G55" i="66" s="1"/>
  <c r="C55" i="67" s="1"/>
  <c r="E55" i="67" s="1"/>
  <c r="G55" i="67" s="1"/>
  <c r="E95" i="35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95" i="66" s="1"/>
  <c r="E95" i="66" s="1"/>
  <c r="G95" i="66" s="1"/>
  <c r="C95" i="67" s="1"/>
  <c r="E95" i="67" s="1"/>
  <c r="G95" i="67" s="1"/>
  <c r="E127" i="35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27" i="66" s="1"/>
  <c r="E127" i="66" s="1"/>
  <c r="G127" i="66" s="1"/>
  <c r="C127" i="67" s="1"/>
  <c r="E127" i="67" s="1"/>
  <c r="G127" i="67" s="1"/>
  <c r="J23" i="8"/>
  <c r="E141" i="35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41" i="66" s="1"/>
  <c r="E141" i="66" s="1"/>
  <c r="G141" i="66" s="1"/>
  <c r="C141" i="67" s="1"/>
  <c r="E141" i="67" s="1"/>
  <c r="G141" i="67" s="1"/>
  <c r="E53" i="35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53" i="66" s="1"/>
  <c r="E53" i="66" s="1"/>
  <c r="G53" i="66" s="1"/>
  <c r="C53" i="67" s="1"/>
  <c r="E53" i="67" s="1"/>
  <c r="G53" i="67" s="1"/>
  <c r="E133" i="35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33" i="66" s="1"/>
  <c r="E133" i="66" s="1"/>
  <c r="G133" i="66" s="1"/>
  <c r="C133" i="67" s="1"/>
  <c r="E133" i="67" s="1"/>
  <c r="G133" i="67" s="1"/>
  <c r="E167" i="35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7" i="66" s="1"/>
  <c r="E167" i="66" s="1"/>
  <c r="G167" i="66" s="1"/>
  <c r="C167" i="67" s="1"/>
  <c r="E167" i="67" s="1"/>
  <c r="G167" i="67" s="1"/>
  <c r="E176" i="35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176" i="66" s="1"/>
  <c r="E176" i="66" s="1"/>
  <c r="G176" i="66" s="1"/>
  <c r="C176" i="67" s="1"/>
  <c r="E176" i="67" s="1"/>
  <c r="G176" i="67" s="1"/>
  <c r="E192" i="35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92" i="66" s="1"/>
  <c r="E192" i="66" s="1"/>
  <c r="G192" i="66" s="1"/>
  <c r="C192" i="67" s="1"/>
  <c r="E192" i="67" s="1"/>
  <c r="G192" i="67" s="1"/>
  <c r="E207" i="35"/>
  <c r="G207" i="35" s="1"/>
  <c r="C207" i="36" s="1"/>
  <c r="E207" i="36" s="1"/>
  <c r="G207" i="36" s="1"/>
  <c r="C207" i="37" s="1"/>
  <c r="E207" i="37" s="1"/>
  <c r="G207" i="37" s="1"/>
  <c r="C207" i="38" s="1"/>
  <c r="E207" i="38" s="1"/>
  <c r="G207" i="38" s="1"/>
  <c r="C207" i="39" s="1"/>
  <c r="E207" i="39" s="1"/>
  <c r="G207" i="39" s="1"/>
  <c r="C207" i="40" s="1"/>
  <c r="E207" i="40" s="1"/>
  <c r="G207" i="40" s="1"/>
  <c r="C207" i="41" s="1"/>
  <c r="E207" i="41" s="1"/>
  <c r="G207" i="41" s="1"/>
  <c r="C207" i="42" s="1"/>
  <c r="E207" i="42" s="1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07" i="65" s="1"/>
  <c r="E207" i="65" s="1"/>
  <c r="G207" i="65" s="1"/>
  <c r="C207" i="66" s="1"/>
  <c r="E207" i="66" s="1"/>
  <c r="G207" i="66" s="1"/>
  <c r="C207" i="67" s="1"/>
  <c r="E207" i="67" s="1"/>
  <c r="G207" i="67" s="1"/>
  <c r="E125" i="35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125" i="66" s="1"/>
  <c r="E125" i="66" s="1"/>
  <c r="G125" i="66" s="1"/>
  <c r="C125" i="67" s="1"/>
  <c r="E125" i="67" s="1"/>
  <c r="G125" i="67" s="1"/>
  <c r="E198" i="35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98" i="66" s="1"/>
  <c r="E198" i="66" s="1"/>
  <c r="G198" i="66" s="1"/>
  <c r="C198" i="67" s="1"/>
  <c r="E198" i="67" s="1"/>
  <c r="G198" i="67" s="1"/>
  <c r="E212" i="35"/>
  <c r="G212" i="35" s="1"/>
  <c r="C212" i="36" s="1"/>
  <c r="E212" i="36" s="1"/>
  <c r="G212" i="36" s="1"/>
  <c r="C212" i="37" s="1"/>
  <c r="E212" i="37" s="1"/>
  <c r="G212" i="37" s="1"/>
  <c r="C212" i="38" s="1"/>
  <c r="E212" i="38" s="1"/>
  <c r="G212" i="38" s="1"/>
  <c r="C212" i="39" s="1"/>
  <c r="E212" i="39" s="1"/>
  <c r="G212" i="39" s="1"/>
  <c r="C212" i="40" s="1"/>
  <c r="E212" i="40" s="1"/>
  <c r="G212" i="40" s="1"/>
  <c r="C212" i="41" s="1"/>
  <c r="E212" i="41" s="1"/>
  <c r="G212" i="41" s="1"/>
  <c r="C212" i="42" s="1"/>
  <c r="E212" i="42" s="1"/>
  <c r="G212" i="42" s="1"/>
  <c r="C212" i="43" s="1"/>
  <c r="E212" i="43" s="1"/>
  <c r="G212" i="43" s="1"/>
  <c r="C212" i="44" s="1"/>
  <c r="E212" i="44" s="1"/>
  <c r="G212" i="44" s="1"/>
  <c r="C212" i="45" s="1"/>
  <c r="E212" i="45" s="1"/>
  <c r="G212" i="45" s="1"/>
  <c r="C212" i="46" s="1"/>
  <c r="E212" i="46" s="1"/>
  <c r="G212" i="46" s="1"/>
  <c r="C212" i="47" s="1"/>
  <c r="E212" i="47" s="1"/>
  <c r="G212" i="47" s="1"/>
  <c r="C212" i="48" s="1"/>
  <c r="E212" i="48" s="1"/>
  <c r="G212" i="48" s="1"/>
  <c r="C212" i="49" s="1"/>
  <c r="E212" i="49" s="1"/>
  <c r="G212" i="49" s="1"/>
  <c r="C212" i="50" s="1"/>
  <c r="E212" i="50" s="1"/>
  <c r="G212" i="50" s="1"/>
  <c r="C212" i="52" s="1"/>
  <c r="E212" i="52" s="1"/>
  <c r="G212" i="52" s="1"/>
  <c r="C212" i="53" s="1"/>
  <c r="E212" i="53" s="1"/>
  <c r="G212" i="53" s="1"/>
  <c r="C212" i="54" s="1"/>
  <c r="E212" i="54" s="1"/>
  <c r="G212" i="54" s="1"/>
  <c r="C212" i="55" s="1"/>
  <c r="E212" i="55" s="1"/>
  <c r="G212" i="55" s="1"/>
  <c r="C212" i="57" s="1"/>
  <c r="E212" i="57" s="1"/>
  <c r="G212" i="57" s="1"/>
  <c r="C212" i="58" s="1"/>
  <c r="E212" i="58" s="1"/>
  <c r="G212" i="58" s="1"/>
  <c r="C212" i="59" s="1"/>
  <c r="E212" i="59" s="1"/>
  <c r="G212" i="59" s="1"/>
  <c r="C212" i="60" s="1"/>
  <c r="E212" i="60" s="1"/>
  <c r="G212" i="60" s="1"/>
  <c r="C212" i="61" s="1"/>
  <c r="E212" i="61" s="1"/>
  <c r="G212" i="61" s="1"/>
  <c r="C212" i="62" s="1"/>
  <c r="E212" i="62" s="1"/>
  <c r="G212" i="62" s="1"/>
  <c r="C212" i="63" s="1"/>
  <c r="E212" i="63" s="1"/>
  <c r="G212" i="63" s="1"/>
  <c r="C212" i="64" s="1"/>
  <c r="E212" i="64" s="1"/>
  <c r="G212" i="64" s="1"/>
  <c r="C212" i="65" s="1"/>
  <c r="E212" i="65" s="1"/>
  <c r="G212" i="65" s="1"/>
  <c r="C212" i="66" s="1"/>
  <c r="E212" i="66" s="1"/>
  <c r="G212" i="66" s="1"/>
  <c r="C212" i="67" s="1"/>
  <c r="E212" i="67" s="1"/>
  <c r="G212" i="67" s="1"/>
  <c r="E101" i="35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01" i="66" s="1"/>
  <c r="E101" i="66" s="1"/>
  <c r="G101" i="66" s="1"/>
  <c r="C101" i="67" s="1"/>
  <c r="E101" i="67" s="1"/>
  <c r="G101" i="67" s="1"/>
  <c r="E117" i="35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117" i="66" s="1"/>
  <c r="E117" i="66" s="1"/>
  <c r="G117" i="66" s="1"/>
  <c r="C117" i="67" s="1"/>
  <c r="E117" i="67" s="1"/>
  <c r="G117" i="67" s="1"/>
  <c r="E188" i="35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188" i="66" s="1"/>
  <c r="E188" i="66" s="1"/>
  <c r="G188" i="66" s="1"/>
  <c r="C188" i="67" s="1"/>
  <c r="E188" i="67" s="1"/>
  <c r="G188" i="67" s="1"/>
  <c r="E204" i="35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4" i="66" s="1"/>
  <c r="E204" i="66" s="1"/>
  <c r="G204" i="66" s="1"/>
  <c r="C204" i="67" s="1"/>
  <c r="E204" i="67" s="1"/>
  <c r="G204" i="67" s="1"/>
  <c r="E208" i="35"/>
  <c r="G208" i="35" s="1"/>
  <c r="C208" i="36" s="1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E208" i="65" s="1"/>
  <c r="G208" i="65" s="1"/>
  <c r="C208" i="66" s="1"/>
  <c r="E208" i="66" s="1"/>
  <c r="G208" i="66" s="1"/>
  <c r="C208" i="67" s="1"/>
  <c r="E208" i="67" s="1"/>
  <c r="G208" i="67" s="1"/>
  <c r="E109" i="35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09" i="66" s="1"/>
  <c r="E109" i="66" s="1"/>
  <c r="G109" i="66" s="1"/>
  <c r="C109" i="67" s="1"/>
  <c r="E109" i="67" s="1"/>
  <c r="G109" i="67" s="1"/>
  <c r="E173" i="35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173" i="66" s="1"/>
  <c r="E173" i="66" s="1"/>
  <c r="G173" i="66" s="1"/>
  <c r="C173" i="67" s="1"/>
  <c r="E173" i="67" s="1"/>
  <c r="G173" i="67" s="1"/>
  <c r="E13" i="35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66" s="1"/>
  <c r="E13" i="66" s="1"/>
  <c r="G13" i="66" s="1"/>
  <c r="C13" i="67" s="1"/>
  <c r="E13" i="67" s="1"/>
  <c r="G13" i="67" s="1"/>
  <c r="E21" i="35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66" s="1"/>
  <c r="E21" i="66" s="1"/>
  <c r="G21" i="66" s="1"/>
  <c r="C21" i="67" s="1"/>
  <c r="E21" i="67" s="1"/>
  <c r="G21" i="67" s="1"/>
  <c r="E189" i="35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89" i="66" s="1"/>
  <c r="E189" i="66" s="1"/>
  <c r="G189" i="66" s="1"/>
  <c r="C189" i="67" s="1"/>
  <c r="E189" i="67" s="1"/>
  <c r="G189" i="67" s="1"/>
  <c r="E205" i="35"/>
  <c r="G205" i="35" s="1"/>
  <c r="C205" i="36" s="1"/>
  <c r="E205" i="36" s="1"/>
  <c r="G205" i="36" s="1"/>
  <c r="C205" i="37" s="1"/>
  <c r="E205" i="37" s="1"/>
  <c r="G205" i="37" s="1"/>
  <c r="C205" i="38" s="1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205" i="66" s="1"/>
  <c r="E205" i="66" s="1"/>
  <c r="G205" i="66" s="1"/>
  <c r="C205" i="67" s="1"/>
  <c r="E205" i="67" s="1"/>
  <c r="G205" i="67" s="1"/>
  <c r="K223" i="34"/>
  <c r="E69" i="35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69" i="66" s="1"/>
  <c r="E69" i="66" s="1"/>
  <c r="G69" i="66" s="1"/>
  <c r="C69" i="67" s="1"/>
  <c r="E69" i="67" s="1"/>
  <c r="G69" i="67" s="1"/>
  <c r="K223" i="65"/>
  <c r="M33" i="8"/>
  <c r="S33" i="8" s="1"/>
  <c r="K223" i="64"/>
  <c r="M32" i="8"/>
  <c r="S32" i="8" s="1"/>
  <c r="K223" i="63"/>
  <c r="M31" i="8"/>
  <c r="S31" i="8" s="1"/>
  <c r="K223" i="62"/>
  <c r="K226" i="62" s="1"/>
  <c r="M30" i="8"/>
  <c r="S30" i="8" s="1"/>
  <c r="K223" i="61"/>
  <c r="K225" i="61" s="1"/>
  <c r="J228" i="61" s="1"/>
  <c r="M29" i="8"/>
  <c r="S29" i="8" s="1"/>
  <c r="K223" i="60"/>
  <c r="K226" i="60" s="1"/>
  <c r="M28" i="8"/>
  <c r="S28" i="8" s="1"/>
  <c r="K223" i="59"/>
  <c r="K226" i="59" s="1"/>
  <c r="M27" i="8"/>
  <c r="S27" i="8" s="1"/>
  <c r="K223" i="58"/>
  <c r="M26" i="8"/>
  <c r="S26" i="8" s="1"/>
  <c r="K223" i="57"/>
  <c r="K226" i="57" s="1"/>
  <c r="M25" i="8"/>
  <c r="S25" i="8" s="1"/>
  <c r="K223" i="55"/>
  <c r="K226" i="55" s="1"/>
  <c r="M24" i="8"/>
  <c r="S24" i="8" s="1"/>
  <c r="K223" i="54"/>
  <c r="K225" i="54" s="1"/>
  <c r="J228" i="54" s="1"/>
  <c r="M23" i="8"/>
  <c r="S23" i="8" s="1"/>
  <c r="K223" i="53"/>
  <c r="K225" i="53" s="1"/>
  <c r="J228" i="53" s="1"/>
  <c r="M22" i="8"/>
  <c r="S22" i="8" s="1"/>
  <c r="K223" i="52"/>
  <c r="K225" i="52" s="1"/>
  <c r="J228" i="52" s="1"/>
  <c r="M21" i="8"/>
  <c r="S21" i="8" s="1"/>
  <c r="K225" i="50"/>
  <c r="K227" i="50" s="1"/>
  <c r="J230" i="50" s="1"/>
  <c r="M20" i="8"/>
  <c r="S20" i="8" s="1"/>
  <c r="K225" i="49"/>
  <c r="K228" i="49" s="1"/>
  <c r="M19" i="8"/>
  <c r="S19" i="8" s="1"/>
  <c r="K225" i="48"/>
  <c r="K227" i="48" s="1"/>
  <c r="J230" i="48" s="1"/>
  <c r="M18" i="8"/>
  <c r="S18" i="8" s="1"/>
  <c r="K225" i="47"/>
  <c r="K228" i="47" s="1"/>
  <c r="M17" i="8"/>
  <c r="S17" i="8" s="1"/>
  <c r="K225" i="46"/>
  <c r="K228" i="46" s="1"/>
  <c r="M16" i="8"/>
  <c r="S16" i="8" s="1"/>
  <c r="K221" i="44"/>
  <c r="K224" i="44" s="1"/>
  <c r="M14" i="8"/>
  <c r="S14" i="8" s="1"/>
  <c r="K221" i="43"/>
  <c r="K224" i="43" s="1"/>
  <c r="M13" i="8"/>
  <c r="S13" i="8" s="1"/>
  <c r="K221" i="42"/>
  <c r="K223" i="42" s="1"/>
  <c r="J226" i="42" s="1"/>
  <c r="M12" i="8"/>
  <c r="S12" i="8" s="1"/>
  <c r="K222" i="41"/>
  <c r="K225" i="41" s="1"/>
  <c r="M11" i="8"/>
  <c r="S11" i="8" s="1"/>
  <c r="K224" i="40"/>
  <c r="J227" i="40" s="1"/>
  <c r="M10" i="8"/>
  <c r="S10" i="8" s="1"/>
  <c r="K222" i="39"/>
  <c r="K225" i="39" s="1"/>
  <c r="M9" i="8"/>
  <c r="S9" i="8" s="1"/>
  <c r="J205" i="8"/>
  <c r="J185" i="8"/>
  <c r="R8" i="8"/>
  <c r="J228" i="38"/>
  <c r="J74" i="8"/>
  <c r="J25" i="8"/>
  <c r="J211" i="8"/>
  <c r="J212" i="8"/>
  <c r="J228" i="37"/>
  <c r="R7" i="8"/>
  <c r="J179" i="8"/>
  <c r="J180" i="8"/>
  <c r="J87" i="8"/>
  <c r="J9" i="8"/>
  <c r="J71" i="8"/>
  <c r="J187" i="8"/>
  <c r="J203" i="8"/>
  <c r="J172" i="8"/>
  <c r="X107" i="36"/>
  <c r="J215" i="36" s="1"/>
  <c r="R6" i="8"/>
  <c r="J228" i="36"/>
  <c r="E182" i="35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82" i="66" s="1"/>
  <c r="E182" i="66" s="1"/>
  <c r="G182" i="66" s="1"/>
  <c r="C182" i="67" s="1"/>
  <c r="E182" i="67" s="1"/>
  <c r="G182" i="67" s="1"/>
  <c r="M185" i="35"/>
  <c r="E190" i="35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190" i="66" s="1"/>
  <c r="E190" i="66" s="1"/>
  <c r="G190" i="66" s="1"/>
  <c r="C190" i="67" s="1"/>
  <c r="E190" i="67" s="1"/>
  <c r="G190" i="67" s="1"/>
  <c r="E194" i="35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94" i="66" s="1"/>
  <c r="E194" i="66" s="1"/>
  <c r="G194" i="66" s="1"/>
  <c r="C194" i="67" s="1"/>
  <c r="E194" i="67" s="1"/>
  <c r="G194" i="67" s="1"/>
  <c r="E199" i="35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199" i="66" s="1"/>
  <c r="E199" i="66" s="1"/>
  <c r="G199" i="66" s="1"/>
  <c r="C199" i="67" s="1"/>
  <c r="E199" i="67" s="1"/>
  <c r="G199" i="67" s="1"/>
  <c r="M211" i="35"/>
  <c r="E174" i="35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174" i="66" s="1"/>
  <c r="E174" i="66" s="1"/>
  <c r="G174" i="66" s="1"/>
  <c r="C174" i="67" s="1"/>
  <c r="E174" i="67" s="1"/>
  <c r="G174" i="67" s="1"/>
  <c r="E178" i="35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78" i="66" s="1"/>
  <c r="E178" i="66" s="1"/>
  <c r="G178" i="66" s="1"/>
  <c r="C178" i="67" s="1"/>
  <c r="E178" i="67" s="1"/>
  <c r="G178" i="67" s="1"/>
  <c r="E183" i="35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183" i="66" s="1"/>
  <c r="E183" i="66" s="1"/>
  <c r="G183" i="66" s="1"/>
  <c r="C183" i="67" s="1"/>
  <c r="E183" i="67" s="1"/>
  <c r="G183" i="67" s="1"/>
  <c r="E191" i="35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91" i="66" s="1"/>
  <c r="E191" i="66" s="1"/>
  <c r="G191" i="66" s="1"/>
  <c r="C191" i="67" s="1"/>
  <c r="E191" i="67" s="1"/>
  <c r="G191" i="67" s="1"/>
  <c r="E200" i="35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200" i="66" s="1"/>
  <c r="E200" i="66" s="1"/>
  <c r="G200" i="66" s="1"/>
  <c r="C200" i="67" s="1"/>
  <c r="E200" i="67" s="1"/>
  <c r="G200" i="67" s="1"/>
  <c r="M7" i="35"/>
  <c r="M25" i="35"/>
  <c r="M72" i="35"/>
  <c r="M101" i="35"/>
  <c r="M32" i="35"/>
  <c r="M55" i="35"/>
  <c r="M96" i="35"/>
  <c r="M112" i="35"/>
  <c r="M137" i="35"/>
  <c r="M208" i="35"/>
  <c r="M74" i="35"/>
  <c r="M87" i="35"/>
  <c r="M180" i="35"/>
  <c r="M184" i="35"/>
  <c r="M201" i="35"/>
  <c r="M18" i="35"/>
  <c r="M62" i="35"/>
  <c r="M75" i="35"/>
  <c r="M33" i="35"/>
  <c r="J33" i="8"/>
  <c r="M36" i="35"/>
  <c r="J36" i="8"/>
  <c r="M41" i="35"/>
  <c r="J41" i="8"/>
  <c r="M21" i="35"/>
  <c r="M24" i="35"/>
  <c r="J24" i="8"/>
  <c r="M29" i="35"/>
  <c r="J29" i="8"/>
  <c r="M43" i="35"/>
  <c r="M65" i="35"/>
  <c r="J65" i="8"/>
  <c r="M68" i="35"/>
  <c r="M71" i="35"/>
  <c r="M81" i="35"/>
  <c r="J81" i="8"/>
  <c r="M91" i="35"/>
  <c r="J91" i="8"/>
  <c r="M103" i="35"/>
  <c r="J103" i="8"/>
  <c r="M105" i="35"/>
  <c r="J105" i="8"/>
  <c r="M109" i="35"/>
  <c r="J109" i="8"/>
  <c r="M116" i="35"/>
  <c r="M120" i="35"/>
  <c r="J120" i="8"/>
  <c r="M128" i="35"/>
  <c r="M136" i="35"/>
  <c r="M140" i="35"/>
  <c r="J140" i="8"/>
  <c r="M152" i="35"/>
  <c r="J152" i="8"/>
  <c r="M157" i="35"/>
  <c r="J157" i="8"/>
  <c r="M169" i="35"/>
  <c r="M173" i="35"/>
  <c r="J173" i="8"/>
  <c r="M177" i="35"/>
  <c r="J177" i="8"/>
  <c r="M181" i="35"/>
  <c r="J181" i="8"/>
  <c r="M188" i="35"/>
  <c r="J188" i="8"/>
  <c r="M196" i="35"/>
  <c r="J196" i="8"/>
  <c r="M207" i="35"/>
  <c r="J207" i="8"/>
  <c r="M210" i="35"/>
  <c r="J210" i="8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5" i="67" s="1"/>
  <c r="E5" i="67" s="1"/>
  <c r="G5" i="67" s="1"/>
  <c r="C5" i="8"/>
  <c r="E197" i="35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97" i="66" s="1"/>
  <c r="E197" i="66" s="1"/>
  <c r="G197" i="66" s="1"/>
  <c r="C197" i="67" s="1"/>
  <c r="E197" i="67" s="1"/>
  <c r="G197" i="67" s="1"/>
  <c r="C197" i="8"/>
  <c r="E181" i="35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81" i="66" s="1"/>
  <c r="E181" i="66" s="1"/>
  <c r="G181" i="66" s="1"/>
  <c r="C181" i="67" s="1"/>
  <c r="E181" i="67" s="1"/>
  <c r="G181" i="67" s="1"/>
  <c r="C181" i="8"/>
  <c r="E165" i="35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65" i="66" s="1"/>
  <c r="E165" i="66" s="1"/>
  <c r="G165" i="66" s="1"/>
  <c r="C165" i="67" s="1"/>
  <c r="E165" i="67" s="1"/>
  <c r="G165" i="67" s="1"/>
  <c r="C165" i="8"/>
  <c r="E157" i="35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57" i="66" s="1"/>
  <c r="E157" i="66" s="1"/>
  <c r="G157" i="66" s="1"/>
  <c r="C157" i="67" s="1"/>
  <c r="E157" i="67" s="1"/>
  <c r="G157" i="67" s="1"/>
  <c r="C157" i="8"/>
  <c r="E149" i="35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49" i="66" s="1"/>
  <c r="E149" i="66" s="1"/>
  <c r="G149" i="66" s="1"/>
  <c r="C149" i="67" s="1"/>
  <c r="E149" i="67" s="1"/>
  <c r="G149" i="67" s="1"/>
  <c r="C149" i="8"/>
  <c r="M212" i="35"/>
  <c r="M14" i="35"/>
  <c r="J14" i="8"/>
  <c r="M38" i="35"/>
  <c r="J38" i="8"/>
  <c r="M45" i="35"/>
  <c r="J45" i="8"/>
  <c r="M50" i="35"/>
  <c r="J50" i="8"/>
  <c r="M52" i="35"/>
  <c r="J52" i="8"/>
  <c r="M78" i="35"/>
  <c r="J78" i="8"/>
  <c r="M86" i="35"/>
  <c r="J86" i="8"/>
  <c r="M89" i="35"/>
  <c r="J89" i="8"/>
  <c r="M93" i="35"/>
  <c r="J93" i="8"/>
  <c r="M125" i="35"/>
  <c r="J125" i="8"/>
  <c r="M133" i="35"/>
  <c r="J133" i="8"/>
  <c r="M148" i="35"/>
  <c r="J148" i="8"/>
  <c r="M166" i="35"/>
  <c r="J166" i="8"/>
  <c r="M192" i="35"/>
  <c r="M197" i="35"/>
  <c r="J197" i="8"/>
  <c r="J5" i="8"/>
  <c r="M16" i="35"/>
  <c r="J16" i="8"/>
  <c r="M8" i="35"/>
  <c r="J8" i="8"/>
  <c r="M13" i="35"/>
  <c r="M23" i="35"/>
  <c r="M31" i="35"/>
  <c r="M35" i="35"/>
  <c r="M47" i="35"/>
  <c r="J47" i="8"/>
  <c r="M57" i="35"/>
  <c r="J57" i="8"/>
  <c r="M59" i="35"/>
  <c r="M64" i="35"/>
  <c r="J64" i="8"/>
  <c r="M67" i="35"/>
  <c r="J67" i="8"/>
  <c r="M70" i="35"/>
  <c r="J70" i="8"/>
  <c r="M73" i="35"/>
  <c r="J73" i="8"/>
  <c r="M80" i="35"/>
  <c r="J80" i="8"/>
  <c r="M83" i="35"/>
  <c r="J83" i="8"/>
  <c r="M99" i="35"/>
  <c r="M110" i="35"/>
  <c r="J110" i="8"/>
  <c r="M113" i="35"/>
  <c r="M117" i="35"/>
  <c r="J117" i="8"/>
  <c r="M121" i="35"/>
  <c r="J121" i="8"/>
  <c r="M129" i="35"/>
  <c r="J129" i="8"/>
  <c r="M141" i="35"/>
  <c r="J141" i="8"/>
  <c r="M149" i="35"/>
  <c r="J149" i="8"/>
  <c r="M153" i="35"/>
  <c r="J153" i="8"/>
  <c r="M158" i="35"/>
  <c r="J158" i="8"/>
  <c r="M170" i="35"/>
  <c r="J170" i="8"/>
  <c r="M174" i="35"/>
  <c r="J174" i="8"/>
  <c r="M178" i="35"/>
  <c r="J178" i="8"/>
  <c r="M182" i="35"/>
  <c r="J182" i="8"/>
  <c r="M189" i="35"/>
  <c r="J189" i="8"/>
  <c r="E211" i="35"/>
  <c r="G211" i="35" s="1"/>
  <c r="C211" i="36" s="1"/>
  <c r="E211" i="36" s="1"/>
  <c r="G211" i="36" s="1"/>
  <c r="C211" i="37" s="1"/>
  <c r="E211" i="37" s="1"/>
  <c r="G211" i="37" s="1"/>
  <c r="C211" i="38" s="1"/>
  <c r="E211" i="38" s="1"/>
  <c r="G211" i="38" s="1"/>
  <c r="C211" i="39" s="1"/>
  <c r="E211" i="39" s="1"/>
  <c r="G211" i="39" s="1"/>
  <c r="C211" i="40" s="1"/>
  <c r="E211" i="40" s="1"/>
  <c r="G211" i="40" s="1"/>
  <c r="C211" i="41" s="1"/>
  <c r="E211" i="41" s="1"/>
  <c r="G211" i="41" s="1"/>
  <c r="C211" i="42" s="1"/>
  <c r="E211" i="42" s="1"/>
  <c r="G211" i="42" s="1"/>
  <c r="C211" i="43" s="1"/>
  <c r="E211" i="43" s="1"/>
  <c r="G211" i="43" s="1"/>
  <c r="C211" i="44" s="1"/>
  <c r="E211" i="44" s="1"/>
  <c r="G211" i="44" s="1"/>
  <c r="C211" i="45" s="1"/>
  <c r="E211" i="45" s="1"/>
  <c r="G211" i="45" s="1"/>
  <c r="C211" i="46" s="1"/>
  <c r="E211" i="46" s="1"/>
  <c r="G211" i="46" s="1"/>
  <c r="C211" i="47" s="1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G211" i="50" s="1"/>
  <c r="C211" i="52" s="1"/>
  <c r="E211" i="52" s="1"/>
  <c r="G211" i="52" s="1"/>
  <c r="C211" i="53" s="1"/>
  <c r="E211" i="53" s="1"/>
  <c r="G211" i="53" s="1"/>
  <c r="C211" i="54" s="1"/>
  <c r="E211" i="54" s="1"/>
  <c r="G211" i="54" s="1"/>
  <c r="C211" i="55" s="1"/>
  <c r="E211" i="55" s="1"/>
  <c r="G211" i="55" s="1"/>
  <c r="C211" i="57" s="1"/>
  <c r="E211" i="57" s="1"/>
  <c r="G211" i="57" s="1"/>
  <c r="C211" i="58" s="1"/>
  <c r="E211" i="58" s="1"/>
  <c r="G211" i="58" s="1"/>
  <c r="C211" i="59" s="1"/>
  <c r="E211" i="59" s="1"/>
  <c r="G211" i="59" s="1"/>
  <c r="C211" i="60" s="1"/>
  <c r="E211" i="60" s="1"/>
  <c r="G211" i="60" s="1"/>
  <c r="C211" i="61" s="1"/>
  <c r="E211" i="61" s="1"/>
  <c r="G211" i="61" s="1"/>
  <c r="C211" i="62" s="1"/>
  <c r="E211" i="62" s="1"/>
  <c r="G211" i="62" s="1"/>
  <c r="C211" i="63" s="1"/>
  <c r="E211" i="63" s="1"/>
  <c r="G211" i="63" s="1"/>
  <c r="C211" i="64" s="1"/>
  <c r="E211" i="64" s="1"/>
  <c r="G211" i="64" s="1"/>
  <c r="C211" i="65" s="1"/>
  <c r="E211" i="65" s="1"/>
  <c r="G211" i="65" s="1"/>
  <c r="C211" i="66" s="1"/>
  <c r="E211" i="66" s="1"/>
  <c r="G211" i="66" s="1"/>
  <c r="C211" i="67" s="1"/>
  <c r="E211" i="67" s="1"/>
  <c r="G211" i="67" s="1"/>
  <c r="C211" i="8"/>
  <c r="E203" i="35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203" i="66" s="1"/>
  <c r="E203" i="66" s="1"/>
  <c r="G203" i="66" s="1"/>
  <c r="C203" i="67" s="1"/>
  <c r="E203" i="67" s="1"/>
  <c r="G203" i="67" s="1"/>
  <c r="C203" i="8"/>
  <c r="E195" i="35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C195" i="66" s="1"/>
  <c r="E195" i="66" s="1"/>
  <c r="G195" i="66" s="1"/>
  <c r="C195" i="67" s="1"/>
  <c r="E195" i="67" s="1"/>
  <c r="G195" i="67" s="1"/>
  <c r="C195" i="8"/>
  <c r="E187" i="35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87" i="66" s="1"/>
  <c r="E187" i="66" s="1"/>
  <c r="G187" i="66" s="1"/>
  <c r="C187" i="67" s="1"/>
  <c r="E187" i="67" s="1"/>
  <c r="G187" i="67" s="1"/>
  <c r="C187" i="8"/>
  <c r="E179" i="35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179" i="66" s="1"/>
  <c r="E179" i="66" s="1"/>
  <c r="G179" i="66" s="1"/>
  <c r="C179" i="67" s="1"/>
  <c r="E179" i="67" s="1"/>
  <c r="G179" i="67" s="1"/>
  <c r="C179" i="8"/>
  <c r="E171" i="35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171" i="66" s="1"/>
  <c r="E171" i="66" s="1"/>
  <c r="G171" i="66" s="1"/>
  <c r="C171" i="67" s="1"/>
  <c r="E171" i="67" s="1"/>
  <c r="G171" i="67" s="1"/>
  <c r="C171" i="8"/>
  <c r="E163" i="35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163" i="66" s="1"/>
  <c r="E163" i="66" s="1"/>
  <c r="G163" i="66" s="1"/>
  <c r="C163" i="67" s="1"/>
  <c r="E163" i="67" s="1"/>
  <c r="G163" i="67" s="1"/>
  <c r="C163" i="8"/>
  <c r="E155" i="35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155" i="66" s="1"/>
  <c r="E155" i="66" s="1"/>
  <c r="G155" i="66" s="1"/>
  <c r="C155" i="67" s="1"/>
  <c r="E155" i="67" s="1"/>
  <c r="G155" i="67" s="1"/>
  <c r="C155" i="8"/>
  <c r="E139" i="35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39" i="66" s="1"/>
  <c r="E139" i="66" s="1"/>
  <c r="G139" i="66" s="1"/>
  <c r="C139" i="67" s="1"/>
  <c r="E139" i="67" s="1"/>
  <c r="G139" i="67" s="1"/>
  <c r="C139" i="8"/>
  <c r="E131" i="35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31" i="66" s="1"/>
  <c r="E131" i="66" s="1"/>
  <c r="G131" i="66" s="1"/>
  <c r="C131" i="67" s="1"/>
  <c r="E131" i="67" s="1"/>
  <c r="G131" i="67" s="1"/>
  <c r="C131" i="8"/>
  <c r="E123" i="35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C123" i="66" s="1"/>
  <c r="E123" i="66" s="1"/>
  <c r="G123" i="66" s="1"/>
  <c r="C123" i="67" s="1"/>
  <c r="E123" i="67" s="1"/>
  <c r="G123" i="67" s="1"/>
  <c r="C123" i="8"/>
  <c r="E115" i="35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15" i="66" s="1"/>
  <c r="E115" i="66" s="1"/>
  <c r="G115" i="66" s="1"/>
  <c r="C115" i="67" s="1"/>
  <c r="E115" i="67" s="1"/>
  <c r="G115" i="67" s="1"/>
  <c r="C115" i="8"/>
  <c r="E107" i="35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C107" i="66" s="1"/>
  <c r="E107" i="66" s="1"/>
  <c r="G107" i="66" s="1"/>
  <c r="C107" i="67" s="1"/>
  <c r="E107" i="67" s="1"/>
  <c r="G107" i="67" s="1"/>
  <c r="C107" i="8"/>
  <c r="E99" i="35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99" i="66" s="1"/>
  <c r="E99" i="66" s="1"/>
  <c r="G99" i="66" s="1"/>
  <c r="C99" i="67" s="1"/>
  <c r="E99" i="67" s="1"/>
  <c r="G99" i="67" s="1"/>
  <c r="C99" i="8"/>
  <c r="E91" i="35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C91" i="66" s="1"/>
  <c r="E91" i="66" s="1"/>
  <c r="G91" i="66" s="1"/>
  <c r="C91" i="67" s="1"/>
  <c r="E91" i="67" s="1"/>
  <c r="G91" i="67" s="1"/>
  <c r="C91" i="8"/>
  <c r="E83" i="35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83" i="66" s="1"/>
  <c r="E83" i="66" s="1"/>
  <c r="G83" i="66" s="1"/>
  <c r="C83" i="67" s="1"/>
  <c r="E83" i="67" s="1"/>
  <c r="G83" i="67" s="1"/>
  <c r="C83" i="8"/>
  <c r="E75" i="35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75" i="66" s="1"/>
  <c r="E75" i="66" s="1"/>
  <c r="G75" i="66" s="1"/>
  <c r="C75" i="67" s="1"/>
  <c r="E75" i="67" s="1"/>
  <c r="G75" i="67" s="1"/>
  <c r="C75" i="8"/>
  <c r="E67" i="35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67" i="66" s="1"/>
  <c r="E67" i="66" s="1"/>
  <c r="G67" i="66" s="1"/>
  <c r="C67" i="67" s="1"/>
  <c r="E67" i="67" s="1"/>
  <c r="G67" i="67" s="1"/>
  <c r="C67" i="8"/>
  <c r="E59" i="35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59" i="66" s="1"/>
  <c r="E59" i="66" s="1"/>
  <c r="G59" i="66" s="1"/>
  <c r="C59" i="67" s="1"/>
  <c r="E59" i="67" s="1"/>
  <c r="G59" i="67" s="1"/>
  <c r="C59" i="8"/>
  <c r="E51" i="35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51" i="66" s="1"/>
  <c r="E51" i="66" s="1"/>
  <c r="G51" i="66" s="1"/>
  <c r="C51" i="67" s="1"/>
  <c r="E51" i="67" s="1"/>
  <c r="G51" i="67" s="1"/>
  <c r="C51" i="8"/>
  <c r="E43" i="35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3" i="66" s="1"/>
  <c r="E43" i="66" s="1"/>
  <c r="G43" i="66" s="1"/>
  <c r="C43" i="67" s="1"/>
  <c r="E43" i="67" s="1"/>
  <c r="G43" i="67" s="1"/>
  <c r="C43" i="8"/>
  <c r="E35" i="35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35" i="66" s="1"/>
  <c r="E35" i="66" s="1"/>
  <c r="G35" i="66" s="1"/>
  <c r="C35" i="67" s="1"/>
  <c r="E35" i="67" s="1"/>
  <c r="G35" i="67" s="1"/>
  <c r="C35" i="8"/>
  <c r="E19" i="35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66" s="1"/>
  <c r="E19" i="66" s="1"/>
  <c r="G19" i="66" s="1"/>
  <c r="C19" i="67" s="1"/>
  <c r="E19" i="67" s="1"/>
  <c r="G19" i="67" s="1"/>
  <c r="C19" i="8"/>
  <c r="E11" i="35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1" i="66" s="1"/>
  <c r="E11" i="66" s="1"/>
  <c r="G11" i="66" s="1"/>
  <c r="C11" i="67" s="1"/>
  <c r="E11" i="67" s="1"/>
  <c r="G11" i="67" s="1"/>
  <c r="C11" i="8"/>
  <c r="J6" i="8"/>
  <c r="M15" i="35"/>
  <c r="J15" i="8"/>
  <c r="M20" i="35"/>
  <c r="J20" i="8"/>
  <c r="M54" i="35"/>
  <c r="J54" i="8"/>
  <c r="M61" i="35"/>
  <c r="J61" i="8"/>
  <c r="M95" i="35"/>
  <c r="J95" i="8"/>
  <c r="M102" i="35"/>
  <c r="J102" i="8"/>
  <c r="M106" i="35"/>
  <c r="J106" i="8"/>
  <c r="M126" i="35"/>
  <c r="J126" i="8"/>
  <c r="M134" i="35"/>
  <c r="J134" i="8"/>
  <c r="M145" i="35"/>
  <c r="J145" i="8"/>
  <c r="M162" i="35"/>
  <c r="J162" i="8"/>
  <c r="M167" i="35"/>
  <c r="J167" i="8"/>
  <c r="M171" i="35"/>
  <c r="J171" i="8"/>
  <c r="M193" i="35"/>
  <c r="J193" i="8"/>
  <c r="M198" i="35"/>
  <c r="J198" i="8"/>
  <c r="M205" i="35"/>
  <c r="M28" i="35"/>
  <c r="J28" i="8"/>
  <c r="M42" i="35"/>
  <c r="M44" i="35"/>
  <c r="J44" i="8"/>
  <c r="M49" i="35"/>
  <c r="J49" i="8"/>
  <c r="M51" i="35"/>
  <c r="J51" i="8"/>
  <c r="M77" i="35"/>
  <c r="J77" i="8"/>
  <c r="M88" i="35"/>
  <c r="M92" i="35"/>
  <c r="J92" i="8"/>
  <c r="M104" i="35"/>
  <c r="J104" i="8"/>
  <c r="M107" i="35"/>
  <c r="J107" i="8"/>
  <c r="M111" i="35"/>
  <c r="J111" i="8"/>
  <c r="M114" i="35"/>
  <c r="J114" i="8"/>
  <c r="M118" i="35"/>
  <c r="J118" i="8"/>
  <c r="M122" i="35"/>
  <c r="J122" i="8"/>
  <c r="M130" i="35"/>
  <c r="J130" i="8"/>
  <c r="M142" i="35"/>
  <c r="J142" i="8"/>
  <c r="M150" i="35"/>
  <c r="J150" i="8"/>
  <c r="M154" i="35"/>
  <c r="J154" i="8"/>
  <c r="M159" i="35"/>
  <c r="J159" i="8"/>
  <c r="M163" i="35"/>
  <c r="J163" i="8"/>
  <c r="M175" i="35"/>
  <c r="J175" i="8"/>
  <c r="M179" i="35"/>
  <c r="M183" i="35"/>
  <c r="J183" i="8"/>
  <c r="M186" i="35"/>
  <c r="J186" i="8"/>
  <c r="M190" i="35"/>
  <c r="J190" i="8"/>
  <c r="M202" i="35"/>
  <c r="J202" i="8"/>
  <c r="M27" i="35"/>
  <c r="J27" i="8"/>
  <c r="M48" i="35"/>
  <c r="J48" i="8"/>
  <c r="M53" i="35"/>
  <c r="J53" i="8"/>
  <c r="M9" i="35"/>
  <c r="M11" i="35"/>
  <c r="J11" i="8"/>
  <c r="M10" i="35"/>
  <c r="M12" i="35"/>
  <c r="J12" i="8"/>
  <c r="M22" i="35"/>
  <c r="J22" i="8"/>
  <c r="M30" i="35"/>
  <c r="J30" i="8"/>
  <c r="M34" i="35"/>
  <c r="J34" i="8"/>
  <c r="M37" i="35"/>
  <c r="J37" i="8"/>
  <c r="M56" i="35"/>
  <c r="J56" i="8"/>
  <c r="M63" i="35"/>
  <c r="J63" i="8"/>
  <c r="M79" i="35"/>
  <c r="J79" i="8"/>
  <c r="M85" i="35"/>
  <c r="J85" i="8"/>
  <c r="M90" i="35"/>
  <c r="J90" i="8"/>
  <c r="M98" i="35"/>
  <c r="J98" i="8"/>
  <c r="M115" i="35"/>
  <c r="J115" i="8"/>
  <c r="M123" i="35"/>
  <c r="J123" i="8"/>
  <c r="M127" i="35"/>
  <c r="J127" i="8"/>
  <c r="M131" i="35"/>
  <c r="J131" i="8"/>
  <c r="M135" i="35"/>
  <c r="J135" i="8"/>
  <c r="M138" i="35"/>
  <c r="J138" i="8"/>
  <c r="M146" i="35"/>
  <c r="J146" i="8"/>
  <c r="M155" i="35"/>
  <c r="J155" i="8"/>
  <c r="M168" i="35"/>
  <c r="J168" i="8"/>
  <c r="M194" i="35"/>
  <c r="J194" i="8"/>
  <c r="M199" i="35"/>
  <c r="J199" i="8"/>
  <c r="M17" i="35"/>
  <c r="J17" i="8"/>
  <c r="M19" i="35"/>
  <c r="J19" i="8"/>
  <c r="M39" i="35"/>
  <c r="J39" i="8"/>
  <c r="M46" i="35"/>
  <c r="M58" i="35"/>
  <c r="J58" i="8"/>
  <c r="M60" i="35"/>
  <c r="J60" i="8"/>
  <c r="M66" i="35"/>
  <c r="J66" i="8"/>
  <c r="M69" i="35"/>
  <c r="J69" i="8"/>
  <c r="M82" i="35"/>
  <c r="J82" i="8"/>
  <c r="M100" i="35"/>
  <c r="J100" i="8"/>
  <c r="M108" i="35"/>
  <c r="J108" i="8"/>
  <c r="M119" i="35"/>
  <c r="J119" i="8"/>
  <c r="M139" i="35"/>
  <c r="J139" i="8"/>
  <c r="M143" i="35"/>
  <c r="J143" i="8"/>
  <c r="M151" i="35"/>
  <c r="J151" i="8"/>
  <c r="M160" i="35"/>
  <c r="J160" i="8"/>
  <c r="M164" i="35"/>
  <c r="J164" i="8"/>
  <c r="M172" i="35"/>
  <c r="M176" i="35"/>
  <c r="J176" i="8"/>
  <c r="M187" i="35"/>
  <c r="M191" i="35"/>
  <c r="J191" i="8"/>
  <c r="M195" i="35"/>
  <c r="J195" i="8"/>
  <c r="M203" i="35"/>
  <c r="M206" i="35"/>
  <c r="M209" i="35"/>
  <c r="R5" i="8"/>
  <c r="J227" i="35"/>
  <c r="M76" i="35"/>
  <c r="J76" i="8"/>
  <c r="M84" i="35"/>
  <c r="J84" i="8"/>
  <c r="M97" i="35"/>
  <c r="J97" i="8"/>
  <c r="M124" i="35"/>
  <c r="J124" i="8"/>
  <c r="M132" i="35"/>
  <c r="J132" i="8"/>
  <c r="M147" i="35"/>
  <c r="J147" i="8"/>
  <c r="M156" i="35"/>
  <c r="J156" i="8"/>
  <c r="M165" i="35"/>
  <c r="J165" i="8"/>
  <c r="M200" i="35"/>
  <c r="J200" i="8"/>
  <c r="J40" i="8"/>
  <c r="K223" i="66"/>
  <c r="K226" i="66" s="1"/>
  <c r="M34" i="8"/>
  <c r="S34" i="8" s="1"/>
  <c r="K223" i="45"/>
  <c r="K226" i="45" s="1"/>
  <c r="M15" i="8"/>
  <c r="S15" i="8" s="1"/>
  <c r="K226" i="67"/>
  <c r="K225" i="67"/>
  <c r="J228" i="67" s="1"/>
  <c r="K226" i="65"/>
  <c r="K225" i="65"/>
  <c r="J228" i="65" s="1"/>
  <c r="K226" i="64"/>
  <c r="K225" i="64"/>
  <c r="J228" i="64" s="1"/>
  <c r="K226" i="63"/>
  <c r="K225" i="63"/>
  <c r="J228" i="63" s="1"/>
  <c r="K225" i="62"/>
  <c r="J228" i="62" s="1"/>
  <c r="K226" i="61"/>
  <c r="K225" i="59"/>
  <c r="J228" i="59" s="1"/>
  <c r="K226" i="58"/>
  <c r="K225" i="58"/>
  <c r="J228" i="58" s="1"/>
  <c r="K225" i="55"/>
  <c r="J228" i="55" s="1"/>
  <c r="K226" i="53"/>
  <c r="K228" i="50"/>
  <c r="K224" i="42"/>
  <c r="K225" i="40"/>
  <c r="K224" i="39"/>
  <c r="J227" i="39" s="1"/>
  <c r="N212" i="38"/>
  <c r="X107" i="38"/>
  <c r="J215" i="38" s="1"/>
  <c r="K216" i="38" s="1"/>
  <c r="M5" i="37"/>
  <c r="N212" i="37" s="1"/>
  <c r="X107" i="37"/>
  <c r="J215" i="37" s="1"/>
  <c r="K216" i="37" s="1"/>
  <c r="M5" i="36"/>
  <c r="N212" i="36" s="1"/>
  <c r="K216" i="36"/>
  <c r="X107" i="35"/>
  <c r="J214" i="35" s="1"/>
  <c r="U35" i="8"/>
  <c r="K227" i="49" l="1"/>
  <c r="J230" i="49" s="1"/>
  <c r="K227" i="47"/>
  <c r="J230" i="47" s="1"/>
  <c r="K227" i="46"/>
  <c r="J230" i="46" s="1"/>
  <c r="K223" i="43"/>
  <c r="J226" i="43" s="1"/>
  <c r="K224" i="41"/>
  <c r="J227" i="41" s="1"/>
  <c r="K226" i="34"/>
  <c r="K225" i="34"/>
  <c r="J228" i="34" s="1"/>
  <c r="K225" i="60"/>
  <c r="J228" i="60" s="1"/>
  <c r="K225" i="57"/>
  <c r="J228" i="57" s="1"/>
  <c r="K226" i="54"/>
  <c r="K226" i="52"/>
  <c r="K228" i="48"/>
  <c r="K223" i="44"/>
  <c r="J226" i="44" s="1"/>
  <c r="K222" i="38"/>
  <c r="K224" i="38" s="1"/>
  <c r="J227" i="38" s="1"/>
  <c r="M8" i="8"/>
  <c r="S8" i="8" s="1"/>
  <c r="J214" i="8"/>
  <c r="J227" i="8" s="1"/>
  <c r="K222" i="37"/>
  <c r="K225" i="37" s="1"/>
  <c r="M7" i="8"/>
  <c r="S7" i="8" s="1"/>
  <c r="K222" i="36"/>
  <c r="K225" i="36" s="1"/>
  <c r="M6" i="8"/>
  <c r="S6" i="8" s="1"/>
  <c r="K215" i="35"/>
  <c r="N212" i="35"/>
  <c r="K225" i="66"/>
  <c r="J228" i="66" s="1"/>
  <c r="J231" i="66" s="1"/>
  <c r="K225" i="45"/>
  <c r="J228" i="45" s="1"/>
  <c r="K224" i="37" l="1"/>
  <c r="J227" i="37" s="1"/>
  <c r="K225" i="38"/>
  <c r="K224" i="36"/>
  <c r="J227" i="36" s="1"/>
  <c r="K221" i="35"/>
  <c r="M5" i="8"/>
  <c r="U12" i="8"/>
  <c r="E79" i="8"/>
  <c r="G79" i="8" s="1"/>
  <c r="E111" i="8"/>
  <c r="G111" i="8" s="1"/>
  <c r="E202" i="8"/>
  <c r="G202" i="8" s="1"/>
  <c r="E207" i="8"/>
  <c r="G207" i="8" s="1"/>
  <c r="E210" i="8"/>
  <c r="G210" i="8" s="1"/>
  <c r="E215" i="8"/>
  <c r="G215" i="8" s="1"/>
  <c r="E223" i="8"/>
  <c r="G223" i="8" s="1"/>
  <c r="E224" i="8"/>
  <c r="G224" i="8" s="1"/>
  <c r="U32" i="8"/>
  <c r="U26" i="8"/>
  <c r="U24" i="8"/>
  <c r="U22" i="8"/>
  <c r="U7" i="8"/>
  <c r="E22" i="8"/>
  <c r="G22" i="8" s="1"/>
  <c r="E158" i="8"/>
  <c r="G158" i="8" s="1"/>
  <c r="E180" i="8"/>
  <c r="G180" i="8" s="1"/>
  <c r="E156" i="8"/>
  <c r="G156" i="8" s="1"/>
  <c r="E148" i="8"/>
  <c r="G148" i="8" s="1"/>
  <c r="E41" i="8"/>
  <c r="G41" i="8" s="1"/>
  <c r="E36" i="8"/>
  <c r="G36" i="8" s="1"/>
  <c r="E28" i="8"/>
  <c r="G28" i="8" s="1"/>
  <c r="E23" i="8"/>
  <c r="G23" i="8" s="1"/>
  <c r="E9" i="8"/>
  <c r="G9" i="8" s="1"/>
  <c r="K223" i="35" l="1"/>
  <c r="J226" i="35" s="1"/>
  <c r="K224" i="35"/>
  <c r="U14" i="8"/>
  <c r="U18" i="8"/>
  <c r="P36" i="8"/>
  <c r="F228" i="8" s="1"/>
  <c r="T36" i="8"/>
  <c r="J233" i="8" s="1"/>
  <c r="U13" i="8"/>
  <c r="Q36" i="8"/>
  <c r="F230" i="8" s="1"/>
  <c r="U17" i="8"/>
  <c r="R36" i="8"/>
  <c r="K228" i="8" s="1"/>
  <c r="U16" i="8"/>
  <c r="N36" i="8"/>
  <c r="K230" i="8" s="1"/>
  <c r="D229" i="8" s="1"/>
  <c r="B230" i="8" s="1"/>
  <c r="U11" i="8"/>
  <c r="U20" i="8"/>
  <c r="O36" i="8"/>
  <c r="J229" i="8" s="1"/>
  <c r="U30" i="8"/>
  <c r="U29" i="8"/>
  <c r="U28" i="8"/>
  <c r="E15" i="8"/>
  <c r="G15" i="8" s="1"/>
  <c r="E24" i="8"/>
  <c r="G24" i="8" s="1"/>
  <c r="E46" i="8"/>
  <c r="G46" i="8" s="1"/>
  <c r="E70" i="8"/>
  <c r="G70" i="8" s="1"/>
  <c r="E6" i="8"/>
  <c r="G6" i="8" s="1"/>
  <c r="E33" i="8"/>
  <c r="G33" i="8" s="1"/>
  <c r="E56" i="8"/>
  <c r="G56" i="8" s="1"/>
  <c r="E65" i="8"/>
  <c r="G65" i="8" s="1"/>
  <c r="E78" i="8"/>
  <c r="G78" i="8" s="1"/>
  <c r="E88" i="8"/>
  <c r="G88" i="8" s="1"/>
  <c r="E30" i="8"/>
  <c r="G30" i="8" s="1"/>
  <c r="E38" i="8"/>
  <c r="G38" i="8" s="1"/>
  <c r="E32" i="8"/>
  <c r="G32" i="8" s="1"/>
  <c r="E40" i="8"/>
  <c r="G40" i="8" s="1"/>
  <c r="E64" i="8"/>
  <c r="G64" i="8" s="1"/>
  <c r="E8" i="8"/>
  <c r="G8" i="8" s="1"/>
  <c r="E17" i="8"/>
  <c r="G17" i="8" s="1"/>
  <c r="E29" i="8"/>
  <c r="G29" i="8" s="1"/>
  <c r="E96" i="8"/>
  <c r="G96" i="8" s="1"/>
  <c r="E142" i="8"/>
  <c r="G142" i="8" s="1"/>
  <c r="E176" i="8"/>
  <c r="G176" i="8" s="1"/>
  <c r="E14" i="8"/>
  <c r="G14" i="8" s="1"/>
  <c r="E45" i="8"/>
  <c r="G45" i="8" s="1"/>
  <c r="E48" i="8"/>
  <c r="G48" i="8" s="1"/>
  <c r="E31" i="8"/>
  <c r="G31" i="8" s="1"/>
  <c r="E39" i="8"/>
  <c r="G39" i="8" s="1"/>
  <c r="E16" i="8"/>
  <c r="G16" i="8" s="1"/>
  <c r="E25" i="8"/>
  <c r="G25" i="8" s="1"/>
  <c r="E174" i="8"/>
  <c r="G174" i="8" s="1"/>
  <c r="E62" i="8"/>
  <c r="G62" i="8" s="1"/>
  <c r="E10" i="8"/>
  <c r="G10" i="8" s="1"/>
  <c r="E20" i="8"/>
  <c r="G20" i="8" s="1"/>
  <c r="E42" i="8"/>
  <c r="G42" i="8" s="1"/>
  <c r="E51" i="8"/>
  <c r="G51" i="8" s="1"/>
  <c r="E60" i="8"/>
  <c r="G60" i="8" s="1"/>
  <c r="E82" i="8"/>
  <c r="G82" i="8" s="1"/>
  <c r="E87" i="8"/>
  <c r="G87" i="8" s="1"/>
  <c r="E92" i="8"/>
  <c r="G92" i="8" s="1"/>
  <c r="E99" i="8"/>
  <c r="G99" i="8" s="1"/>
  <c r="E109" i="8"/>
  <c r="G109" i="8" s="1"/>
  <c r="E127" i="8"/>
  <c r="G127" i="8" s="1"/>
  <c r="E151" i="8"/>
  <c r="G151" i="8" s="1"/>
  <c r="E161" i="8"/>
  <c r="G161" i="8" s="1"/>
  <c r="E185" i="8"/>
  <c r="G185" i="8" s="1"/>
  <c r="E103" i="8"/>
  <c r="G103" i="8" s="1"/>
  <c r="E63" i="8"/>
  <c r="G63" i="8" s="1"/>
  <c r="E106" i="8"/>
  <c r="G106" i="8" s="1"/>
  <c r="E113" i="8"/>
  <c r="G113" i="8" s="1"/>
  <c r="E138" i="8"/>
  <c r="G138" i="8" s="1"/>
  <c r="E178" i="8"/>
  <c r="G178" i="8" s="1"/>
  <c r="E86" i="8"/>
  <c r="G86" i="8" s="1"/>
  <c r="E35" i="8"/>
  <c r="G35" i="8" s="1"/>
  <c r="E44" i="8"/>
  <c r="G44" i="8" s="1"/>
  <c r="E89" i="8"/>
  <c r="G89" i="8" s="1"/>
  <c r="E101" i="8"/>
  <c r="G101" i="8" s="1"/>
  <c r="E145" i="8"/>
  <c r="G145" i="8" s="1"/>
  <c r="E165" i="8"/>
  <c r="G165" i="8" s="1"/>
  <c r="E172" i="8"/>
  <c r="G172" i="8" s="1"/>
  <c r="E193" i="8"/>
  <c r="G193" i="8" s="1"/>
  <c r="E199" i="8"/>
  <c r="G199" i="8" s="1"/>
  <c r="E71" i="8"/>
  <c r="G71" i="8" s="1"/>
  <c r="E171" i="8"/>
  <c r="G171" i="8" s="1"/>
  <c r="E26" i="8"/>
  <c r="G26" i="8" s="1"/>
  <c r="E53" i="8"/>
  <c r="G53" i="8" s="1"/>
  <c r="E59" i="8"/>
  <c r="G59" i="8" s="1"/>
  <c r="E68" i="8"/>
  <c r="G68" i="8" s="1"/>
  <c r="E81" i="8"/>
  <c r="G81" i="8" s="1"/>
  <c r="E84" i="8"/>
  <c r="G84" i="8" s="1"/>
  <c r="E114" i="8"/>
  <c r="G114" i="8" s="1"/>
  <c r="E125" i="8"/>
  <c r="G125" i="8" s="1"/>
  <c r="E132" i="8"/>
  <c r="G132" i="8" s="1"/>
  <c r="E139" i="8"/>
  <c r="G139" i="8" s="1"/>
  <c r="E149" i="8"/>
  <c r="G149" i="8" s="1"/>
  <c r="E159" i="8"/>
  <c r="G159" i="8" s="1"/>
  <c r="E183" i="8"/>
  <c r="G183" i="8" s="1"/>
  <c r="E186" i="8"/>
  <c r="G186" i="8" s="1"/>
  <c r="E197" i="8"/>
  <c r="G197" i="8" s="1"/>
  <c r="E5" i="8"/>
  <c r="G5" i="8" s="1"/>
  <c r="E175" i="8"/>
  <c r="G175" i="8" s="1"/>
  <c r="E47" i="8"/>
  <c r="G47" i="8" s="1"/>
  <c r="E75" i="8"/>
  <c r="G75" i="8" s="1"/>
  <c r="E130" i="8"/>
  <c r="G130" i="8" s="1"/>
  <c r="E74" i="8"/>
  <c r="G74" i="8" s="1"/>
  <c r="E196" i="8"/>
  <c r="G196" i="8" s="1"/>
  <c r="E76" i="8"/>
  <c r="G76" i="8" s="1"/>
  <c r="E93" i="8"/>
  <c r="G93" i="8" s="1"/>
  <c r="E98" i="8"/>
  <c r="G98" i="8" s="1"/>
  <c r="E122" i="8"/>
  <c r="G122" i="8" s="1"/>
  <c r="E173" i="8"/>
  <c r="G173" i="8" s="1"/>
  <c r="E201" i="8"/>
  <c r="G201" i="8" s="1"/>
  <c r="E167" i="8"/>
  <c r="G167" i="8" s="1"/>
  <c r="E27" i="8"/>
  <c r="G27" i="8" s="1"/>
  <c r="E97" i="8"/>
  <c r="G97" i="8" s="1"/>
  <c r="E66" i="8"/>
  <c r="G66" i="8" s="1"/>
  <c r="E121" i="8"/>
  <c r="G121" i="8" s="1"/>
  <c r="E19" i="8"/>
  <c r="G19" i="8" s="1"/>
  <c r="E50" i="8"/>
  <c r="G50" i="8" s="1"/>
  <c r="E12" i="8"/>
  <c r="G12" i="8" s="1"/>
  <c r="E18" i="8"/>
  <c r="G18" i="8" s="1"/>
  <c r="E34" i="8"/>
  <c r="G34" i="8" s="1"/>
  <c r="E43" i="8"/>
  <c r="G43" i="8" s="1"/>
  <c r="E52" i="8"/>
  <c r="G52" i="8" s="1"/>
  <c r="E73" i="8"/>
  <c r="G73" i="8" s="1"/>
  <c r="E83" i="8"/>
  <c r="G83" i="8" s="1"/>
  <c r="E115" i="8"/>
  <c r="G115" i="8" s="1"/>
  <c r="E119" i="8"/>
  <c r="G119" i="8" s="1"/>
  <c r="E129" i="8"/>
  <c r="G129" i="8" s="1"/>
  <c r="E163" i="8"/>
  <c r="G163" i="8" s="1"/>
  <c r="E170" i="8"/>
  <c r="G170" i="8" s="1"/>
  <c r="E187" i="8"/>
  <c r="G187" i="8" s="1"/>
  <c r="E191" i="8"/>
  <c r="G191" i="8" s="1"/>
  <c r="E143" i="8"/>
  <c r="G143" i="8" s="1"/>
  <c r="E85" i="8"/>
  <c r="G85" i="8" s="1"/>
  <c r="E181" i="8"/>
  <c r="G181" i="8" s="1"/>
  <c r="E94" i="8"/>
  <c r="G94" i="8" s="1"/>
  <c r="E57" i="8"/>
  <c r="G57" i="8" s="1"/>
  <c r="E69" i="8"/>
  <c r="G69" i="8" s="1"/>
  <c r="E117" i="8"/>
  <c r="G117" i="8" s="1"/>
  <c r="E150" i="8"/>
  <c r="G150" i="8" s="1"/>
  <c r="E118" i="8"/>
  <c r="G118" i="8" s="1"/>
  <c r="E54" i="8"/>
  <c r="G54" i="8" s="1"/>
  <c r="E11" i="8"/>
  <c r="G11" i="8" s="1"/>
  <c r="E21" i="8"/>
  <c r="G21" i="8" s="1"/>
  <c r="E49" i="8"/>
  <c r="G49" i="8" s="1"/>
  <c r="E55" i="8"/>
  <c r="G55" i="8" s="1"/>
  <c r="E58" i="8"/>
  <c r="G58" i="8" s="1"/>
  <c r="E61" i="8"/>
  <c r="G61" i="8" s="1"/>
  <c r="E90" i="8"/>
  <c r="G90" i="8" s="1"/>
  <c r="E95" i="8"/>
  <c r="G95" i="8" s="1"/>
  <c r="E100" i="8"/>
  <c r="G100" i="8" s="1"/>
  <c r="E105" i="8"/>
  <c r="G105" i="8" s="1"/>
  <c r="E108" i="8"/>
  <c r="G108" i="8" s="1"/>
  <c r="E123" i="8"/>
  <c r="G123" i="8" s="1"/>
  <c r="E137" i="8"/>
  <c r="G137" i="8" s="1"/>
  <c r="E140" i="8"/>
  <c r="G140" i="8" s="1"/>
  <c r="E147" i="8"/>
  <c r="G147" i="8" s="1"/>
  <c r="E157" i="8"/>
  <c r="G157" i="8" s="1"/>
  <c r="E177" i="8"/>
  <c r="G177" i="8" s="1"/>
  <c r="E135" i="8"/>
  <c r="G135" i="8" s="1"/>
  <c r="E7" i="8"/>
  <c r="G7" i="8" s="1"/>
  <c r="U10" i="8"/>
  <c r="U9" i="8"/>
  <c r="U8" i="8"/>
  <c r="U6" i="8"/>
  <c r="E221" i="8"/>
  <c r="G221" i="8" s="1"/>
  <c r="E141" i="8"/>
  <c r="G141" i="8" s="1"/>
  <c r="E77" i="8"/>
  <c r="G77" i="8" s="1"/>
  <c r="E37" i="8"/>
  <c r="G37" i="8" s="1"/>
  <c r="E13" i="8"/>
  <c r="G13" i="8" s="1"/>
  <c r="U34" i="8"/>
  <c r="U15" i="8"/>
  <c r="U19" i="8"/>
  <c r="U23" i="8"/>
  <c r="U31" i="8"/>
  <c r="U21" i="8"/>
  <c r="U25" i="8"/>
  <c r="U33" i="8"/>
  <c r="E72" i="8"/>
  <c r="G72" i="8" s="1"/>
  <c r="E80" i="8"/>
  <c r="G80" i="8" s="1"/>
  <c r="E104" i="8"/>
  <c r="G104" i="8" s="1"/>
  <c r="E112" i="8"/>
  <c r="G112" i="8" s="1"/>
  <c r="E120" i="8"/>
  <c r="G120" i="8" s="1"/>
  <c r="E128" i="8"/>
  <c r="G128" i="8" s="1"/>
  <c r="E136" i="8"/>
  <c r="G136" i="8" s="1"/>
  <c r="E144" i="8"/>
  <c r="G144" i="8" s="1"/>
  <c r="E152" i="8"/>
  <c r="G152" i="8" s="1"/>
  <c r="E160" i="8"/>
  <c r="G160" i="8" s="1"/>
  <c r="S5" i="8"/>
  <c r="S36" i="8" s="1"/>
  <c r="E102" i="8"/>
  <c r="G102" i="8" s="1"/>
  <c r="E110" i="8"/>
  <c r="G110" i="8" s="1"/>
  <c r="E126" i="8"/>
  <c r="G126" i="8" s="1"/>
  <c r="E134" i="8"/>
  <c r="G134" i="8" s="1"/>
  <c r="E133" i="8"/>
  <c r="G133" i="8" s="1"/>
  <c r="E116" i="8"/>
  <c r="G116" i="8" s="1"/>
  <c r="E124" i="8"/>
  <c r="G124" i="8" s="1"/>
  <c r="E67" i="8"/>
  <c r="G67" i="8" s="1"/>
  <c r="E91" i="8"/>
  <c r="G91" i="8" s="1"/>
  <c r="E107" i="8"/>
  <c r="G107" i="8" s="1"/>
  <c r="E131" i="8"/>
  <c r="G131" i="8" s="1"/>
  <c r="E166" i="8"/>
  <c r="G166" i="8" s="1"/>
  <c r="E182" i="8"/>
  <c r="G182" i="8" s="1"/>
  <c r="E190" i="8"/>
  <c r="G190" i="8" s="1"/>
  <c r="E198" i="8"/>
  <c r="G198" i="8" s="1"/>
  <c r="E206" i="8"/>
  <c r="G206" i="8" s="1"/>
  <c r="E214" i="8"/>
  <c r="G214" i="8" s="1"/>
  <c r="E222" i="8"/>
  <c r="G222" i="8" s="1"/>
  <c r="E189" i="8"/>
  <c r="G189" i="8" s="1"/>
  <c r="E205" i="8"/>
  <c r="G205" i="8" s="1"/>
  <c r="E213" i="8"/>
  <c r="G213" i="8" s="1"/>
  <c r="E164" i="8"/>
  <c r="G164" i="8" s="1"/>
  <c r="E188" i="8"/>
  <c r="G188" i="8" s="1"/>
  <c r="E204" i="8"/>
  <c r="G204" i="8" s="1"/>
  <c r="E212" i="8"/>
  <c r="G212" i="8" s="1"/>
  <c r="E220" i="8"/>
  <c r="G220" i="8" s="1"/>
  <c r="E155" i="8"/>
  <c r="G155" i="8" s="1"/>
  <c r="E179" i="8"/>
  <c r="G179" i="8" s="1"/>
  <c r="E195" i="8"/>
  <c r="G195" i="8" s="1"/>
  <c r="E203" i="8"/>
  <c r="G203" i="8" s="1"/>
  <c r="E211" i="8"/>
  <c r="G211" i="8" s="1"/>
  <c r="E219" i="8"/>
  <c r="G219" i="8" s="1"/>
  <c r="E146" i="8"/>
  <c r="G146" i="8" s="1"/>
  <c r="E154" i="8"/>
  <c r="G154" i="8" s="1"/>
  <c r="E162" i="8"/>
  <c r="G162" i="8" s="1"/>
  <c r="E194" i="8"/>
  <c r="G194" i="8" s="1"/>
  <c r="E218" i="8"/>
  <c r="G218" i="8" s="1"/>
  <c r="E153" i="8"/>
  <c r="G153" i="8" s="1"/>
  <c r="E169" i="8"/>
  <c r="G169" i="8" s="1"/>
  <c r="E209" i="8"/>
  <c r="G209" i="8" s="1"/>
  <c r="E217" i="8"/>
  <c r="G217" i="8" s="1"/>
  <c r="E168" i="8"/>
  <c r="G168" i="8" s="1"/>
  <c r="E184" i="8"/>
  <c r="G184" i="8" s="1"/>
  <c r="E192" i="8"/>
  <c r="G192" i="8" s="1"/>
  <c r="E200" i="8"/>
  <c r="G200" i="8" s="1"/>
  <c r="E208" i="8"/>
  <c r="G208" i="8" s="1"/>
  <c r="E216" i="8"/>
  <c r="G216" i="8" s="1"/>
  <c r="J230" i="8" l="1"/>
  <c r="M36" i="8"/>
  <c r="U27" i="8"/>
  <c r="F231" i="8"/>
  <c r="J231" i="8" s="1"/>
  <c r="U5" i="8"/>
  <c r="D228" i="8"/>
  <c r="D231" i="8" s="1"/>
  <c r="D233" i="8" s="1"/>
  <c r="U36" i="8" l="1"/>
  <c r="B228" i="8"/>
  <c r="B231" i="8" s="1"/>
  <c r="J232" i="8"/>
  <c r="J235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7" authorId="0" shapeId="0" xr:uid="{7E46C0EE-5529-499E-9F66-7F67D7EC4968}">
      <text>
        <r>
          <rPr>
            <b/>
            <sz val="9"/>
            <color indexed="81"/>
            <rFont val="Tahoma"/>
            <charset val="222"/>
          </rPr>
          <t>หมดอายุ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0EA37632-3B43-4D40-9E98-71DCA9238400}">
      <text>
        <r>
          <rPr>
            <b/>
            <sz val="9"/>
            <color indexed="81"/>
            <rFont val="Tahoma"/>
            <charset val="222"/>
          </rPr>
          <t>คืนของไปไม่ได้เบิกออก
ปรับ Stock ตาม Ordit</t>
        </r>
      </text>
    </comment>
    <comment ref="F44" authorId="0" shapeId="0" xr:uid="{80398736-2EE3-4E34-BCC1-DB9C263C8262}">
      <text>
        <r>
          <rPr>
            <b/>
            <sz val="9"/>
            <color indexed="81"/>
            <rFont val="Tahoma"/>
            <charset val="222"/>
          </rPr>
          <t>คืนของไปไม่ได้เบิกออก
ปรับ Stock ตาม 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7" authorId="0" shapeId="0" xr:uid="{4FC4DF35-F96E-47B3-8DBA-BCF702148240}">
      <text>
        <r>
          <rPr>
            <b/>
            <sz val="9"/>
            <color indexed="81"/>
            <rFont val="Tahoma"/>
            <charset val="222"/>
          </rPr>
          <t>โยกมาจากดอนขนาก 15</t>
        </r>
      </text>
    </comment>
    <comment ref="F37" authorId="0" shapeId="0" xr:uid="{BD0B9A06-CCEE-4141-88F2-0EEA57418D45}">
      <text>
        <r>
          <rPr>
            <b/>
            <sz val="9"/>
            <color indexed="81"/>
            <rFont val="Tahoma"/>
            <charset val="222"/>
          </rPr>
          <t>โยกไป
-คุณาวรรณ 5
-ลำพยา2 5</t>
        </r>
      </text>
    </comment>
  </commentList>
</comments>
</file>

<file path=xl/sharedStrings.xml><?xml version="1.0" encoding="utf-8"?>
<sst xmlns="http://schemas.openxmlformats.org/spreadsheetml/2006/main" count="18357" uniqueCount="288">
  <si>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</si>
  <si>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</si>
  <si>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</si>
  <si>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</si>
  <si>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</si>
  <si>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</si>
  <si>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</si>
  <si>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</si>
  <si>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</si>
  <si>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</si>
  <si>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</si>
  <si>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</si>
  <si>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</si>
  <si>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</si>
  <si>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</si>
  <si>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</si>
  <si>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</si>
  <si>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</si>
  <si>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</si>
  <si>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</si>
  <si>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</si>
  <si>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</si>
  <si>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</si>
  <si>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</si>
  <si>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</si>
  <si>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</si>
  <si>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</si>
  <si>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</si>
  <si>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</si>
  <si>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</si>
  <si>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</si>
  <si>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</si>
  <si>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</si>
  <si>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</si>
  <si>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</si>
  <si>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</si>
  <si>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</si>
  <si>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</si>
  <si>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</si>
  <si>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</si>
  <si>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</si>
  <si>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</si>
  <si>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</si>
  <si>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</si>
  <si>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</si>
  <si>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</si>
  <si>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</si>
  <si>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</si>
  <si>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</si>
  <si>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</si>
  <si>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</si>
  <si>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</si>
  <si>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</si>
  <si>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</si>
  <si>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</si>
  <si>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</si>
  <si>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</si>
  <si>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</si>
  <si>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</si>
  <si>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</si>
  <si>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</si>
  <si>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</si>
  <si>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</si>
  <si>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</si>
  <si>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</si>
  <si>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</si>
  <si>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</si>
  <si>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</si>
  <si>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</si>
  <si>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</si>
  <si>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</si>
  <si>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</si>
  <si>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</si>
  <si>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</si>
  <si>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</si>
  <si>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</si>
  <si>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</si>
  <si>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</si>
  <si>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</si>
  <si>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</si>
  <si>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</si>
  <si>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</si>
  <si>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</si>
  <si>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</si>
  <si>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</si>
  <si>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</si>
  <si>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</si>
  <si>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</si>
  <si>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</si>
  <si>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</si>
  <si>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</si>
  <si>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</si>
  <si>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</si>
  <si>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</si>
  <si>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</si>
  <si>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</si>
  <si>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</si>
  <si>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</si>
  <si>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</si>
  <si>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</si>
  <si>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</si>
  <si>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</si>
  <si>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</si>
  <si>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</si>
  <si>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</si>
  <si>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</si>
  <si>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</si>
  <si>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</si>
  <si>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</si>
  <si>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เค้กมะพร้าว 1/2 ปอนด์</t>
  </si>
  <si>
    <t>เค้กมะพร้าว 1 ปอนด์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</si>
  <si>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</si>
  <si>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</si>
  <si>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</si>
  <si>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</si>
  <si>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</si>
  <si>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</si>
  <si>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</si>
  <si>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</si>
  <si>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</si>
  <si>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</si>
  <si>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</si>
  <si>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</si>
  <si>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</si>
  <si>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</si>
  <si>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</si>
  <si>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</si>
  <si>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</si>
  <si>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</si>
  <si>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</si>
  <si>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</si>
  <si>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</si>
  <si>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</si>
  <si>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</si>
  <si>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</si>
  <si>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</si>
  <si>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</si>
  <si>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</si>
  <si>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</si>
  <si>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</si>
  <si>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</si>
  <si>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</si>
  <si>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</si>
  <si>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</si>
  <si>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</si>
  <si>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</si>
  <si>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</si>
  <si>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</si>
  <si>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</si>
  <si>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</si>
  <si>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</si>
  <si>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</si>
  <si>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</si>
  <si>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</si>
  <si>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</si>
  <si>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</si>
  <si>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</si>
  <si>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</si>
  <si>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</si>
  <si>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</si>
  <si>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</si>
  <si>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</si>
  <si>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</si>
  <si>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</si>
  <si>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</si>
  <si>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</si>
  <si>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</si>
  <si>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</si>
  <si>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</si>
  <si>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</si>
  <si>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</si>
  <si>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</si>
  <si>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</si>
  <si>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</si>
  <si>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</si>
  <si>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</si>
  <si>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</si>
  <si>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</si>
  <si>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</si>
  <si>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</si>
  <si>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</si>
  <si>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</si>
  <si>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</si>
  <si>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</si>
  <si>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</si>
  <si>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</si>
  <si>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</si>
  <si>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</si>
  <si>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</si>
  <si>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</si>
  <si>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</si>
  <si>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</si>
  <si>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</si>
  <si>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</si>
  <si>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</si>
  <si>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</si>
  <si>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</si>
  <si>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</si>
  <si>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</si>
  <si>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</si>
  <si>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</si>
  <si>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</si>
  <si>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</si>
  <si>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>ชุดเบรก</t>
  </si>
  <si>
    <t>ลูกค้าหน้าร้าน</t>
  </si>
  <si>
    <t>กล่องจัดเบรค</t>
  </si>
  <si>
    <t>โบราณวันแม่ 4 ชิ้น</t>
  </si>
  <si>
    <t>เปี๊ยะลาวาไข่เค็ม 1 ชิ้น</t>
  </si>
  <si>
    <t>เปี๊ยะสติ๊กไก่หยอง</t>
  </si>
  <si>
    <t>ปังเลเยอร์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</si>
  <si>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</si>
  <si>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</si>
  <si>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</si>
  <si>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</si>
  <si>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</si>
  <si>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</si>
  <si>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</si>
  <si>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</si>
  <si>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</si>
  <si>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</si>
  <si>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</si>
  <si>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</si>
  <si>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</si>
  <si>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</si>
  <si>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</si>
  <si>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กระดาษทิชชู่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</si>
  <si>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</si>
  <si>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</si>
  <si>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</si>
  <si>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</si>
  <si>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</si>
  <si>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</si>
  <si>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</si>
  <si>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</si>
  <si>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</si>
  <si>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</si>
  <si>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</si>
  <si>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</si>
  <si>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</si>
  <si>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</si>
  <si>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</si>
  <si>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</si>
  <si>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</si>
  <si>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</si>
  <si>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</si>
  <si>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</si>
  <si>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</si>
  <si>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</si>
  <si>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</si>
  <si>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</si>
  <si>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</si>
  <si>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</si>
  <si>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ชิฟฟ่อน สอดไส้ (ล) 3 ชิ้น เนยมะพร้าว</t>
  </si>
  <si>
    <t>ชุดจัดเบรก C</t>
  </si>
  <si>
    <t>ชุดจัดเบรก B</t>
  </si>
  <si>
    <t>ขนมปัง+เกด+หมูหยอง</t>
  </si>
  <si>
    <t>ขนมปังไส้พริกเผาไก่ยอง</t>
  </si>
  <si>
    <t>ขนมปังไส้ฝอยทอง</t>
  </si>
  <si>
    <t>ขนมปังไส้ลูกเกดฝอยทอง</t>
  </si>
  <si>
    <t>ขนมปังไส้ลูกเกด</t>
  </si>
  <si>
    <t>ขนมปังไส้แยมบูลเบอร์รี่</t>
  </si>
  <si>
    <t>ขนมปังไส้แยมสตอเบอร์รี่</t>
  </si>
  <si>
    <t>น้ำมะพร้าว</t>
  </si>
  <si>
    <t>บูธ ศิลปากร วันที่ 1-31/01/2567</t>
  </si>
  <si>
    <t>เค้กสตรอว์เบอร์รี่ 1 ปอนด์</t>
  </si>
  <si>
    <t>เค้กโอริโอ้ 1 ปอนด์</t>
  </si>
  <si>
    <t>ยอดขายหักส่วนลด</t>
  </si>
  <si>
    <t>ยอดเงินสด</t>
  </si>
  <si>
    <t>ยอดโอน</t>
  </si>
  <si>
    <t>บูธ ศิลปากร วันที่ 1-29/02/2567</t>
  </si>
  <si>
    <t>สรุป บูธศิลปากร วันที่ 1-29/02/2567</t>
  </si>
  <si>
    <t>หมดอายุ</t>
  </si>
  <si>
    <t>ลด 50%=6</t>
  </si>
  <si>
    <t>ลด 50%</t>
  </si>
  <si>
    <t>ลด 50%=1</t>
  </si>
  <si>
    <t>แถม</t>
  </si>
  <si>
    <t>โปร</t>
  </si>
  <si>
    <t>แถม 2</t>
  </si>
  <si>
    <t>แถม 1</t>
  </si>
  <si>
    <t>โอนขาด 15 บาท</t>
  </si>
  <si>
    <t>*โอนเข้ามาวันที่ 6/2/67 16.49 น.</t>
  </si>
  <si>
    <t>ลด 50% =1</t>
  </si>
  <si>
    <t>โอนยอดวันที่ 5 เพิ่ม</t>
  </si>
  <si>
    <t>แถม2</t>
  </si>
  <si>
    <t>ลด50%</t>
  </si>
  <si>
    <t>ลด50%=1</t>
  </si>
  <si>
    <t>ฝอยทองกรอบ</t>
  </si>
  <si>
    <t>ตรัฟฟินรูบี้ช็อคโกแลตสตรอเบอร์รี่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</si>
</sst>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  <font>
      <b/>
      <sz val="9"/>
      <color indexed="81"/>
      <name val="Tahoma"/>
      <charset val="22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0" borderId="0" xfId="0" applyNumberFormat="1" applyFont="1"/>
    <xf numFmtId="43" fontId="2" fillId="0" borderId="16" xfId="1" applyFont="1" applyFill="1" applyBorder="1"/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4" xfId="0" applyFont="1" applyFill="1" applyBorder="1"/>
    <xf numFmtId="0" fontId="13" fillId="0" borderId="0" xfId="0" applyFont="1"/>
    <xf numFmtId="43" fontId="6" fillId="15" borderId="23" xfId="1" applyFont="1" applyFill="1" applyBorder="1"/>
    <xf numFmtId="0" fontId="2" fillId="15" borderId="1" xfId="0" applyFont="1" applyFill="1" applyBorder="1"/>
    <xf numFmtId="43" fontId="9" fillId="0" borderId="14" xfId="1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3" xfId="0" applyFont="1" applyBorder="1"/>
    <xf numFmtId="43" fontId="2" fillId="0" borderId="28" xfId="1" applyFont="1" applyBorder="1" applyAlignment="1">
      <alignment horizontal="center"/>
    </xf>
    <xf numFmtId="43" fontId="2" fillId="0" borderId="29" xfId="1" applyFont="1" applyFill="1" applyBorder="1" applyAlignment="1">
      <alignment horizontal="center"/>
    </xf>
    <xf numFmtId="43" fontId="10" fillId="0" borderId="14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3" borderId="0" xfId="1" applyFont="1" applyFill="1" applyBorder="1" applyAlignment="1">
      <alignment horizontal="center"/>
    </xf>
    <xf numFmtId="43" fontId="2" fillId="0" borderId="30" xfId="1" applyFont="1" applyBorder="1"/>
    <xf numFmtId="43" fontId="2" fillId="0" borderId="30" xfId="1" applyFont="1" applyFill="1" applyBorder="1"/>
    <xf numFmtId="43" fontId="9" fillId="0" borderId="0" xfId="1" applyFont="1" applyFill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0" fontId="2" fillId="2" borderId="15" xfId="0" applyFont="1" applyFill="1" applyBorder="1"/>
    <xf numFmtId="43" fontId="2" fillId="17" borderId="14" xfId="1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6" fillId="8" borderId="23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3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21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1.&#3617;&#3585;&#3619;&#3634;&#3588;&#3617;\&#3610;&#3641;&#3608;&#3624;&#3636;&#3621;&#3611;&#3634;&#3585;&#3619;%20&#3617;.&#3588;.67.xlsx" TargetMode="External"/><Relationship Id="rId1" Type="http://schemas.openxmlformats.org/officeDocument/2006/relationships/externalLinkPath" Target="file:///D:\Users\PC29\Desktop\&#3613;&#3609;\&#3626;&#3605;&#3658;&#3629;&#3585;&#3610;&#3641;&#3608;\2567\1.&#3617;&#3585;&#3619;&#3634;&#3588;&#3617;\&#3610;&#3641;&#3608;&#3624;&#3636;&#3621;&#3611;&#3634;&#3585;&#3619;%20&#361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10;&#3641;&#3608;\2566\&#3648;&#3604;&#3639;&#3629;&#3609;%20&#3605;.&#3588;.%2066\&#3610;&#3641;&#3608;&#3624;&#3636;&#3621;&#3611;&#3634;&#3585;&#3619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G5">
            <v>11</v>
          </cell>
        </row>
        <row r="6">
          <cell r="G6">
            <v>32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5</v>
          </cell>
        </row>
        <row r="18">
          <cell r="G18">
            <v>0</v>
          </cell>
        </row>
        <row r="19">
          <cell r="G19">
            <v>5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19</v>
          </cell>
        </row>
        <row r="24">
          <cell r="G24">
            <v>10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2</v>
          </cell>
        </row>
        <row r="36">
          <cell r="G36">
            <v>0</v>
          </cell>
        </row>
        <row r="37">
          <cell r="G37">
            <v>16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3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4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1</v>
          </cell>
        </row>
        <row r="48">
          <cell r="G48">
            <v>4</v>
          </cell>
        </row>
        <row r="49">
          <cell r="G49">
            <v>11</v>
          </cell>
        </row>
        <row r="50">
          <cell r="G50">
            <v>2</v>
          </cell>
        </row>
        <row r="51">
          <cell r="G51">
            <v>2</v>
          </cell>
        </row>
        <row r="52">
          <cell r="G52">
            <v>4</v>
          </cell>
        </row>
        <row r="53">
          <cell r="G53">
            <v>2</v>
          </cell>
        </row>
        <row r="54">
          <cell r="G54">
            <v>0</v>
          </cell>
        </row>
        <row r="55">
          <cell r="G55">
            <v>2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2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4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4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7</v>
          </cell>
        </row>
        <row r="88">
          <cell r="G88">
            <v>3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1</v>
          </cell>
        </row>
        <row r="95">
          <cell r="G95">
            <v>1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1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4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5</v>
          </cell>
        </row>
        <row r="151">
          <cell r="G151">
            <v>4</v>
          </cell>
        </row>
        <row r="152">
          <cell r="G152">
            <v>6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2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2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20</v>
          </cell>
        </row>
        <row r="189">
          <cell r="G189">
            <v>5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70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1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14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13</v>
          </cell>
        </row>
        <row r="213">
          <cell r="G213">
            <v>0</v>
          </cell>
        </row>
        <row r="214">
          <cell r="G214">
            <v>0</v>
          </cell>
        </row>
      </sheetData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91E5-9AFA-4E6D-AAAD-DF1911AE2668}">
  <sheetPr>
    <tabColor rgb="FFFF0000"/>
    <pageSetUpPr fitToPage="1"/>
  </sheetPr>
  <dimension ref="A1:V237"/>
  <sheetViews>
    <sheetView tabSelected="1" zoomScaleNormal="100" workbookViewId="0">
      <pane ySplit="4" topLeftCell="A5" activePane="bottomLeft" state="frozen"/>
      <selection activeCell="G1" sqref="G1"/>
      <selection pane="bottomLeft" activeCell="M14" sqref="A11:M14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1" width="11.5703125" style="2" customWidth="1"/>
    <col min="12" max="12" width="8.85546875" style="2" bestFit="1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94" t="s">
        <v>270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41"/>
      <c r="O2" s="41"/>
      <c r="P2" s="41"/>
      <c r="Q2" s="41"/>
      <c r="R2" s="41"/>
      <c r="S2" s="41"/>
      <c r="T2" s="41"/>
    </row>
    <row r="3" spans="1:22" s="5" customFormat="1">
      <c r="A3" s="95" t="s">
        <v>1</v>
      </c>
      <c r="B3" s="95" t="s">
        <v>2</v>
      </c>
      <c r="C3" s="97" t="s">
        <v>3</v>
      </c>
      <c r="D3" s="97" t="s">
        <v>4</v>
      </c>
      <c r="E3" s="97" t="s">
        <v>5</v>
      </c>
      <c r="F3" s="42" t="s">
        <v>6</v>
      </c>
      <c r="G3" s="97" t="s">
        <v>7</v>
      </c>
      <c r="H3" s="98" t="s">
        <v>8</v>
      </c>
      <c r="I3" s="98"/>
      <c r="J3" s="98"/>
      <c r="K3" s="97" t="s">
        <v>9</v>
      </c>
      <c r="L3" s="99" t="s">
        <v>226</v>
      </c>
      <c r="M3" s="99" t="s">
        <v>227</v>
      </c>
      <c r="N3" s="99" t="s">
        <v>10</v>
      </c>
      <c r="O3" s="99" t="s">
        <v>228</v>
      </c>
      <c r="P3" s="99" t="s">
        <v>229</v>
      </c>
      <c r="Q3" s="100" t="s">
        <v>230</v>
      </c>
      <c r="R3" s="100" t="s">
        <v>231</v>
      </c>
      <c r="S3" s="100" t="s">
        <v>232</v>
      </c>
      <c r="T3" s="99" t="s">
        <v>233</v>
      </c>
      <c r="U3" s="102" t="s">
        <v>234</v>
      </c>
    </row>
    <row r="4" spans="1:22" s="5" customFormat="1">
      <c r="A4" s="96"/>
      <c r="B4" s="96"/>
      <c r="C4" s="97"/>
      <c r="D4" s="97"/>
      <c r="E4" s="97"/>
      <c r="F4" s="42" t="s">
        <v>11</v>
      </c>
      <c r="G4" s="97"/>
      <c r="H4" s="42" t="s">
        <v>12</v>
      </c>
      <c r="I4" s="43" t="s">
        <v>13</v>
      </c>
      <c r="J4" s="42" t="s">
        <v>14</v>
      </c>
      <c r="K4" s="97"/>
      <c r="L4" s="99"/>
      <c r="M4" s="99"/>
      <c r="N4" s="99"/>
      <c r="O4" s="99"/>
      <c r="P4" s="99"/>
      <c r="Q4" s="101"/>
      <c r="R4" s="101"/>
      <c r="S4" s="101"/>
      <c r="T4" s="99"/>
      <c r="U4" s="103"/>
    </row>
    <row r="5" spans="1:22">
      <c r="A5" s="10">
        <v>1</v>
      </c>
      <c r="B5" s="11" t="s">
        <v>15</v>
      </c>
      <c r="C5" s="44">
        <f>+'1'!C5</f>
        <v>8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+'1'!D5+'2'!D5+'3'!D5+'4'!D5+'5'!D5+'6'!D5+'7'!D5+'8'!D5+'9'!D5+'10'!D5+'11'!D5+'12'!D5+'13'!D5+'14'!D5+'15'!D5+'16'!D5+'17'!D5+'18'!D5+'19'!D5+'20'!D5+'21'!D5+'22'!D5+'23'!D5+'24'!D5+'25'!D5+'26'!D5+'27'!D5+'28'!D5+'29'!D5+'30'!D5+'31'!D5</f>
        <v>12</v>
      </c>
      <c r="E5" s="44">
        <f>+C5+D5</f>
        <v>20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4">
        <f>E5-F5-H5</f>
        <v>1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+'1'!H5+'2'!H5+'3'!H5+'4'!H5+'5'!H5+'6'!H5+'7'!H5+'8'!H5+'9'!H5+'10'!H5+'11'!H5+'12'!H5+'13'!H5+'14'!H5+'15'!H5+'16'!H5+'17'!H5+'18'!H5+'19'!H5+'20'!H5+'21'!H5+'22'!H5+'23'!H5+'24'!H5+'25'!H5+'26'!H5+'27'!H5+'28'!H5+'29'!H5+'30'!H5+'31'!H5</f>
        <v>19</v>
      </c>
      <c r="I5" s="16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+'1'!J5+'2'!J5+'3'!J5+'4'!J5+'5'!J5+'6'!J5+'7'!J5+'8'!J5+'9'!J5+'10'!J5+'11'!J5+'12'!J5+'13'!J5+'14'!J5+'15'!J5+'16'!J5+'17'!J5+'18'!J5+'19'!J5+'20'!J5+'21'!J5+'22'!J5+'23'!J5+'24'!J5+'25'!J5+'26'!J5+'27'!J5+'28'!J5+'29'!J5+'30'!J5+'31'!J5</f>
        <v>950</v>
      </c>
      <c r="K5" s="16"/>
      <c r="L5" s="47">
        <v>1</v>
      </c>
      <c r="M5" s="48">
        <f>+'1'!K215</f>
        <v>1135</v>
      </c>
      <c r="N5" s="48">
        <f>+'1'!K220</f>
        <v>150</v>
      </c>
      <c r="O5" s="48">
        <f>+'1'!K218</f>
        <v>0</v>
      </c>
      <c r="P5" s="48">
        <f>+'1'!K216</f>
        <v>0</v>
      </c>
      <c r="Q5" s="48">
        <f>+'1'!K219</f>
        <v>0</v>
      </c>
      <c r="R5" s="48">
        <f>+'1'!K217</f>
        <v>255</v>
      </c>
      <c r="S5" s="48">
        <f t="shared" ref="S5:S35" si="0">+M5-N5-P5-R5-Q5</f>
        <v>730</v>
      </c>
      <c r="T5" s="48">
        <f>+'1'!K222</f>
        <v>730</v>
      </c>
      <c r="U5" s="49">
        <f>+T5-S5</f>
        <v>0</v>
      </c>
      <c r="V5" s="5"/>
    </row>
    <row r="6" spans="1:22">
      <c r="A6" s="10">
        <v>2</v>
      </c>
      <c r="B6" s="11" t="s">
        <v>17</v>
      </c>
      <c r="C6" s="44">
        <f>+'1'!C6</f>
        <v>19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+'1'!D6+'2'!D6+'3'!D6+'4'!D6+'5'!D6+'6'!D6+'7'!D6+'8'!D6+'9'!D6+'10'!D6+'11'!D6+'12'!D6+'13'!D6+'14'!D6+'15'!D6+'16'!D6+'17'!D6+'18'!D6+'19'!D6+'20'!D6+'21'!D6+'22'!D6+'23'!D6+'24'!D6+'25'!D6+'26'!D6+'27'!D6+'28'!D6+'29'!D6+'30'!D6+'31'!D6</f>
        <v>27</v>
      </c>
      <c r="E6" s="44">
        <f t="shared" ref="E6:E69" si="1">+C6+D6</f>
        <v>46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+'1'!F6+'2'!F6+'3'!F6+'4'!F6+'5'!F6+'6'!F6+'7'!F6+'8'!F6+'9'!F6+'10'!F6+'11'!F6+'12'!F6+'13'!F6+'14'!F6+'15'!F6+'16'!F6+'17'!F6+'18'!F6+'19'!F6+'20'!F6+'21'!F6+'22'!F6+'23'!F6+'24'!F6+'25'!F6+'26'!F6+'27'!F6+'28'!F6+'29'!F6+'30'!F6+'31'!F6</f>
        <v>4</v>
      </c>
      <c r="G6" s="44">
        <f t="shared" ref="G6:G69" si="2">E6-F6-H6</f>
        <v>0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+'1'!H6+'2'!H6+'3'!H6+'4'!H6+'5'!H6+'6'!H6+'7'!H6+'8'!H6+'9'!H6+'10'!H6+'11'!H6+'12'!H6+'13'!H6+'14'!H6+'15'!H6+'16'!H6+'17'!H6+'18'!H6+'19'!H6+'20'!H6+'21'!H6+'22'!H6+'23'!H6+'24'!H6+'25'!H6+'26'!H6+'27'!H6+'28'!H6+'29'!H6+'30'!H6+'31'!H6</f>
        <v>42</v>
      </c>
      <c r="I6" s="16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+'1'!J6+'2'!J6+'3'!J6+'4'!J6+'5'!J6+'6'!J6+'7'!J6+'8'!J6+'9'!J6+'10'!J6+'11'!J6+'12'!J6+'13'!J6+'14'!J6+'15'!J6+'16'!J6+'17'!J6+'18'!J6+'19'!J6+'20'!J6+'21'!J6+'22'!J6+'23'!J6+'24'!J6+'25'!J6+'26'!J6+'27'!J6+'28'!J6+'29'!J6+'30'!J6+'31'!J6</f>
        <v>4200</v>
      </c>
      <c r="K6" s="16"/>
      <c r="L6" s="47">
        <v>2</v>
      </c>
      <c r="M6" s="48">
        <f>+'2'!K216</f>
        <v>305</v>
      </c>
      <c r="N6" s="48">
        <f>+'2'!K221</f>
        <v>0</v>
      </c>
      <c r="O6" s="48">
        <f>+'2'!K219</f>
        <v>0</v>
      </c>
      <c r="P6" s="48">
        <f>+'2'!K217</f>
        <v>0</v>
      </c>
      <c r="Q6" s="48">
        <f>+'2'!K220</f>
        <v>0</v>
      </c>
      <c r="R6" s="48">
        <f>+'2'!K218</f>
        <v>0</v>
      </c>
      <c r="S6" s="48">
        <f t="shared" si="0"/>
        <v>305</v>
      </c>
      <c r="T6" s="48">
        <f>+'2'!K223</f>
        <v>305</v>
      </c>
      <c r="U6" s="49">
        <f t="shared" ref="U6:U35" si="3">+T6-S6</f>
        <v>0</v>
      </c>
      <c r="V6" s="5"/>
    </row>
    <row r="7" spans="1:22">
      <c r="A7" s="10">
        <v>3</v>
      </c>
      <c r="B7" s="11" t="s">
        <v>18</v>
      </c>
      <c r="C7" s="44">
        <f>+'1'!C7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4">
        <f t="shared" si="1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4">
        <f t="shared" si="2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7">
        <v>3</v>
      </c>
      <c r="M7" s="48">
        <f>+'3'!K216</f>
        <v>1610</v>
      </c>
      <c r="N7" s="48">
        <f>+'3'!K221</f>
        <v>100</v>
      </c>
      <c r="O7" s="48">
        <f>+'3'!K219</f>
        <v>0</v>
      </c>
      <c r="P7" s="48">
        <f>+'3'!K217</f>
        <v>0</v>
      </c>
      <c r="Q7" s="48">
        <f>+'3'!K220</f>
        <v>0</v>
      </c>
      <c r="R7" s="48">
        <f>+'3'!K218</f>
        <v>0</v>
      </c>
      <c r="S7" s="48">
        <f t="shared" si="0"/>
        <v>1510</v>
      </c>
      <c r="T7" s="48">
        <f>+'3'!K223</f>
        <v>1510</v>
      </c>
      <c r="U7" s="49">
        <f t="shared" si="3"/>
        <v>0</v>
      </c>
      <c r="V7" s="5"/>
    </row>
    <row r="8" spans="1:22">
      <c r="A8" s="10">
        <v>4</v>
      </c>
      <c r="B8" s="11" t="s">
        <v>19</v>
      </c>
      <c r="C8" s="44">
        <f>+'1'!C8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4">
        <f t="shared" si="1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4">
        <f t="shared" si="2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7">
        <v>4</v>
      </c>
      <c r="M8" s="48">
        <f>+'4'!K216</f>
        <v>795</v>
      </c>
      <c r="N8" s="48">
        <f>+'4'!K221</f>
        <v>25</v>
      </c>
      <c r="O8" s="48">
        <f>+'4'!K219</f>
        <v>0</v>
      </c>
      <c r="P8" s="48">
        <f>+'4'!K217</f>
        <v>15</v>
      </c>
      <c r="Q8" s="48">
        <f>+'4'!K220</f>
        <v>0</v>
      </c>
      <c r="R8" s="48">
        <f>+'4'!K218</f>
        <v>275</v>
      </c>
      <c r="S8" s="48">
        <f t="shared" si="0"/>
        <v>480</v>
      </c>
      <c r="T8" s="48">
        <f>+'4'!K223</f>
        <v>480</v>
      </c>
      <c r="U8" s="49">
        <f t="shared" si="3"/>
        <v>0</v>
      </c>
      <c r="V8" s="5"/>
    </row>
    <row r="9" spans="1:22">
      <c r="A9" s="10">
        <v>5</v>
      </c>
      <c r="B9" s="11" t="s">
        <v>20</v>
      </c>
      <c r="C9" s="44">
        <f>+'1'!C9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4">
        <f t="shared" si="1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4">
        <f t="shared" si="2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7">
        <v>5</v>
      </c>
      <c r="M9" s="48">
        <f>+'5'!K216</f>
        <v>1730</v>
      </c>
      <c r="N9" s="48">
        <f>+'5'!K221</f>
        <v>50</v>
      </c>
      <c r="O9" s="48">
        <f>+'5'!K219</f>
        <v>0</v>
      </c>
      <c r="P9" s="48">
        <f>+'5'!K217</f>
        <v>0</v>
      </c>
      <c r="Q9" s="48">
        <f>+'5'!K220</f>
        <v>0</v>
      </c>
      <c r="R9" s="48">
        <f>+'5'!K218</f>
        <v>905</v>
      </c>
      <c r="S9" s="48">
        <f t="shared" si="0"/>
        <v>775</v>
      </c>
      <c r="T9" s="48">
        <f>+'5'!K223</f>
        <v>760</v>
      </c>
      <c r="U9" s="49">
        <f t="shared" si="3"/>
        <v>-15</v>
      </c>
      <c r="V9" s="5"/>
    </row>
    <row r="10" spans="1:22">
      <c r="A10" s="10">
        <v>6</v>
      </c>
      <c r="B10" s="11" t="s">
        <v>21</v>
      </c>
      <c r="C10" s="44">
        <f>+'1'!C10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4">
        <f t="shared" si="1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4">
        <f t="shared" si="2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7">
        <v>6</v>
      </c>
      <c r="M10" s="48">
        <f>+'6'!K216</f>
        <v>1650</v>
      </c>
      <c r="N10" s="48">
        <f>+'6'!K221</f>
        <v>245</v>
      </c>
      <c r="O10" s="48">
        <f>+'6'!K219</f>
        <v>0</v>
      </c>
      <c r="P10" s="48">
        <f>+'6'!K217</f>
        <v>0</v>
      </c>
      <c r="Q10" s="48">
        <f>+'6'!K220</f>
        <v>0</v>
      </c>
      <c r="R10" s="48">
        <f>+'6'!K218</f>
        <v>635</v>
      </c>
      <c r="S10" s="48">
        <f t="shared" si="0"/>
        <v>770</v>
      </c>
      <c r="T10" s="48">
        <f>+'6'!K223</f>
        <v>785</v>
      </c>
      <c r="U10" s="49">
        <f t="shared" si="3"/>
        <v>15</v>
      </c>
      <c r="V10" s="5"/>
    </row>
    <row r="11" spans="1:22">
      <c r="A11" s="10">
        <v>7</v>
      </c>
      <c r="B11" s="20" t="s">
        <v>22</v>
      </c>
      <c r="C11" s="44">
        <f>+'1'!C11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4">
        <f t="shared" si="1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4">
        <f t="shared" si="2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7">
        <v>7</v>
      </c>
      <c r="M11" s="48">
        <f>+'7'!K216</f>
        <v>1640</v>
      </c>
      <c r="N11" s="48">
        <f>+'7'!K221</f>
        <v>350</v>
      </c>
      <c r="O11" s="48">
        <f>+'7'!K219</f>
        <v>0</v>
      </c>
      <c r="P11" s="48">
        <f>+'7'!K217</f>
        <v>0</v>
      </c>
      <c r="Q11" s="48">
        <f>+'7'!K220</f>
        <v>0</v>
      </c>
      <c r="R11" s="48">
        <f>+'7'!K218</f>
        <v>100</v>
      </c>
      <c r="S11" s="48">
        <f t="shared" si="0"/>
        <v>1190</v>
      </c>
      <c r="T11" s="48">
        <f>+'7'!K223</f>
        <v>1190</v>
      </c>
      <c r="U11" s="49">
        <f t="shared" si="3"/>
        <v>0</v>
      </c>
      <c r="V11" s="5"/>
    </row>
    <row r="12" spans="1:22">
      <c r="A12" s="10">
        <v>8</v>
      </c>
      <c r="B12" s="20" t="s">
        <v>23</v>
      </c>
      <c r="C12" s="44">
        <f>+'1'!C12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2</v>
      </c>
      <c r="E12" s="44">
        <f t="shared" si="1"/>
        <v>2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4">
        <f t="shared" si="2"/>
        <v>2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2" s="21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2" s="16"/>
      <c r="L12" s="47">
        <v>8</v>
      </c>
      <c r="M12" s="48">
        <f>+'8'!K215</f>
        <v>2875</v>
      </c>
      <c r="N12" s="48">
        <f>+'8'!K220</f>
        <v>200</v>
      </c>
      <c r="O12" s="48">
        <f>+'8'!K218</f>
        <v>0</v>
      </c>
      <c r="P12" s="48">
        <f>+'8'!K216</f>
        <v>15</v>
      </c>
      <c r="Q12" s="48">
        <f>+'8'!K219</f>
        <v>0</v>
      </c>
      <c r="R12" s="48">
        <f>+'8'!K217</f>
        <v>50</v>
      </c>
      <c r="S12" s="48">
        <f t="shared" si="0"/>
        <v>2610</v>
      </c>
      <c r="T12" s="48">
        <f>+'8'!K222</f>
        <v>2610</v>
      </c>
      <c r="U12" s="49">
        <f t="shared" si="3"/>
        <v>0</v>
      </c>
      <c r="V12" s="5"/>
    </row>
    <row r="13" spans="1:22">
      <c r="A13" s="10">
        <v>9</v>
      </c>
      <c r="B13" s="20" t="s">
        <v>24</v>
      </c>
      <c r="C13" s="44">
        <f>+'1'!C13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4">
        <f t="shared" si="1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4">
        <f t="shared" si="2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7">
        <v>9</v>
      </c>
      <c r="M13" s="48">
        <f>+'9'!K215</f>
        <v>1220</v>
      </c>
      <c r="N13" s="48">
        <f>+'9'!K220</f>
        <v>130</v>
      </c>
      <c r="O13" s="48">
        <f>+'9'!K218</f>
        <v>0</v>
      </c>
      <c r="P13" s="48">
        <f>+'9'!K216</f>
        <v>15</v>
      </c>
      <c r="Q13" s="48">
        <f>+'9'!K219</f>
        <v>0</v>
      </c>
      <c r="R13" s="48">
        <f>+'9'!K217</f>
        <v>150</v>
      </c>
      <c r="S13" s="48">
        <f t="shared" si="0"/>
        <v>925</v>
      </c>
      <c r="T13" s="48">
        <f>+'9'!K222</f>
        <v>925</v>
      </c>
      <c r="U13" s="49">
        <f t="shared" si="3"/>
        <v>0</v>
      </c>
      <c r="V13" s="5"/>
    </row>
    <row r="14" spans="1:22">
      <c r="A14" s="10">
        <v>10</v>
      </c>
      <c r="B14" s="20" t="s">
        <v>25</v>
      </c>
      <c r="C14" s="44">
        <f>+'1'!C14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5</v>
      </c>
      <c r="E14" s="44">
        <f t="shared" si="1"/>
        <v>5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4">
        <f t="shared" si="2"/>
        <v>2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3</v>
      </c>
      <c r="I14" s="21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195</v>
      </c>
      <c r="K14" s="16"/>
      <c r="L14" s="47">
        <v>10</v>
      </c>
      <c r="M14" s="48">
        <f>+'10'!K215</f>
        <v>1095</v>
      </c>
      <c r="N14" s="48">
        <f>+'10'!K220</f>
        <v>0</v>
      </c>
      <c r="O14" s="48">
        <f>+'10'!K218</f>
        <v>0</v>
      </c>
      <c r="P14" s="48">
        <f>+'10'!K216</f>
        <v>15</v>
      </c>
      <c r="Q14" s="48">
        <f>+'10'!K219</f>
        <v>0</v>
      </c>
      <c r="R14" s="48">
        <f>+'10'!K217</f>
        <v>60</v>
      </c>
      <c r="S14" s="48">
        <f t="shared" si="0"/>
        <v>1020</v>
      </c>
      <c r="T14" s="48">
        <f>+'10'!K222</f>
        <v>1020</v>
      </c>
      <c r="U14" s="49">
        <f t="shared" si="3"/>
        <v>0</v>
      </c>
      <c r="V14" s="5"/>
    </row>
    <row r="15" spans="1:22">
      <c r="A15" s="10">
        <v>11</v>
      </c>
      <c r="B15" s="11" t="s">
        <v>26</v>
      </c>
      <c r="C15" s="44">
        <f>+'1'!C15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4">
        <f t="shared" si="1"/>
        <v>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4">
        <f t="shared" si="2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47">
        <v>11</v>
      </c>
      <c r="M15" s="48">
        <f>+'11'!K217</f>
        <v>550</v>
      </c>
      <c r="N15" s="48">
        <f>+'11'!K222</f>
        <v>0</v>
      </c>
      <c r="O15" s="48">
        <f>+'11'!K220</f>
        <v>0</v>
      </c>
      <c r="P15" s="48">
        <f>+'11'!K218</f>
        <v>15</v>
      </c>
      <c r="Q15" s="48">
        <f>+'11'!K221</f>
        <v>0</v>
      </c>
      <c r="R15" s="48">
        <f>+'11'!K219</f>
        <v>100</v>
      </c>
      <c r="S15" s="48">
        <f t="shared" si="0"/>
        <v>435</v>
      </c>
      <c r="T15" s="48">
        <f>+'11'!K224</f>
        <v>435</v>
      </c>
      <c r="U15" s="49">
        <f t="shared" si="3"/>
        <v>0</v>
      </c>
      <c r="V15" s="5"/>
    </row>
    <row r="16" spans="1:22">
      <c r="A16" s="10">
        <v>12</v>
      </c>
      <c r="B16" s="11" t="s">
        <v>27</v>
      </c>
      <c r="C16" s="44">
        <f>+'1'!C16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4">
        <f t="shared" si="1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4">
        <f t="shared" si="2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7">
        <v>12</v>
      </c>
      <c r="M16" s="48">
        <f>+'12'!K219</f>
        <v>1775</v>
      </c>
      <c r="N16" s="48">
        <f>+'12'!K224</f>
        <v>235</v>
      </c>
      <c r="O16" s="48">
        <f>+'12'!K222</f>
        <v>0</v>
      </c>
      <c r="P16" s="48">
        <f>+'12'!K220</f>
        <v>15</v>
      </c>
      <c r="Q16" s="48">
        <f>+'12'!K223</f>
        <v>0</v>
      </c>
      <c r="R16" s="48">
        <f>+'12'!K221</f>
        <v>760</v>
      </c>
      <c r="S16" s="48">
        <f t="shared" si="0"/>
        <v>765</v>
      </c>
      <c r="T16" s="48">
        <f>+'12'!K226</f>
        <v>765</v>
      </c>
      <c r="U16" s="49">
        <f t="shared" si="3"/>
        <v>0</v>
      </c>
      <c r="V16" s="5"/>
    </row>
    <row r="17" spans="1:22">
      <c r="A17" s="10">
        <v>13</v>
      </c>
      <c r="B17" s="11" t="s">
        <v>28</v>
      </c>
      <c r="C17" s="44">
        <f>+'1'!C17</f>
        <v>4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44">
        <f t="shared" si="1"/>
        <v>4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4">
        <f t="shared" si="2"/>
        <v>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4</v>
      </c>
      <c r="I17" s="16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200</v>
      </c>
      <c r="K17" s="16"/>
      <c r="L17" s="47">
        <v>13</v>
      </c>
      <c r="M17" s="48">
        <f>+'13'!K219</f>
        <v>420</v>
      </c>
      <c r="N17" s="48">
        <f>+'13'!K224</f>
        <v>0</v>
      </c>
      <c r="O17" s="48">
        <f>+'13'!K222</f>
        <v>0</v>
      </c>
      <c r="P17" s="48">
        <f>+'13'!K220</f>
        <v>15</v>
      </c>
      <c r="Q17" s="48">
        <f>+'13'!K223</f>
        <v>0</v>
      </c>
      <c r="R17" s="48">
        <f>+'13'!K221</f>
        <v>60</v>
      </c>
      <c r="S17" s="48">
        <f t="shared" si="0"/>
        <v>345</v>
      </c>
      <c r="T17" s="48">
        <f>+'13'!K226</f>
        <v>345</v>
      </c>
      <c r="U17" s="49">
        <f t="shared" si="3"/>
        <v>0</v>
      </c>
      <c r="V17" s="5"/>
    </row>
    <row r="18" spans="1:22">
      <c r="A18" s="10">
        <v>14</v>
      </c>
      <c r="B18" s="20" t="s">
        <v>29</v>
      </c>
      <c r="C18" s="44">
        <f>+'1'!C18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4">
        <f t="shared" si="1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f t="shared" si="2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7">
        <v>14</v>
      </c>
      <c r="M18" s="48">
        <f>+'14'!K219</f>
        <v>680</v>
      </c>
      <c r="N18" s="48">
        <f>+'14'!K224</f>
        <v>0</v>
      </c>
      <c r="O18" s="48">
        <f>+'14'!K222</f>
        <v>0</v>
      </c>
      <c r="P18" s="48">
        <f>+'14'!K220</f>
        <v>15</v>
      </c>
      <c r="Q18" s="48">
        <f>+'14'!K223</f>
        <v>0</v>
      </c>
      <c r="R18" s="48">
        <f>+'14'!K221</f>
        <v>0</v>
      </c>
      <c r="S18" s="48">
        <f t="shared" si="0"/>
        <v>665</v>
      </c>
      <c r="T18" s="48">
        <f>+'14'!K226</f>
        <v>665</v>
      </c>
      <c r="U18" s="49">
        <f t="shared" si="3"/>
        <v>0</v>
      </c>
      <c r="V18" s="5"/>
    </row>
    <row r="19" spans="1:22">
      <c r="A19" s="10">
        <v>15</v>
      </c>
      <c r="B19" s="11" t="s">
        <v>252</v>
      </c>
      <c r="C19" s="44">
        <f>+'1'!C19</f>
        <v>4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19" s="44">
        <f t="shared" si="1"/>
        <v>4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4">
        <f t="shared" si="2"/>
        <v>4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19" s="16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19" s="16"/>
      <c r="L19" s="47">
        <v>15</v>
      </c>
      <c r="M19" s="48">
        <f>+'15'!K219</f>
        <v>305</v>
      </c>
      <c r="N19" s="48">
        <f>+'15'!K224</f>
        <v>0</v>
      </c>
      <c r="O19" s="48">
        <f>+'15'!K222</f>
        <v>0</v>
      </c>
      <c r="P19" s="48">
        <f>+'15'!K220</f>
        <v>15</v>
      </c>
      <c r="Q19" s="48">
        <f>+'15'!K223</f>
        <v>0</v>
      </c>
      <c r="R19" s="48">
        <f>+'15'!K221</f>
        <v>0</v>
      </c>
      <c r="S19" s="48">
        <f t="shared" si="0"/>
        <v>290</v>
      </c>
      <c r="T19" s="48">
        <f>+'15'!K226</f>
        <v>290</v>
      </c>
      <c r="U19" s="49">
        <f t="shared" si="3"/>
        <v>0</v>
      </c>
      <c r="V19" s="5"/>
    </row>
    <row r="20" spans="1:22">
      <c r="A20" s="10">
        <v>16</v>
      </c>
      <c r="B20" s="11" t="s">
        <v>30</v>
      </c>
      <c r="C20" s="44">
        <f>+'1'!C20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4">
        <f t="shared" si="1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f t="shared" si="2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7">
        <v>16</v>
      </c>
      <c r="M20" s="48">
        <f>+'16'!K219</f>
        <v>1085</v>
      </c>
      <c r="N20" s="48">
        <f>+'16'!K224</f>
        <v>0</v>
      </c>
      <c r="O20" s="48">
        <f>+'16'!K222</f>
        <v>0</v>
      </c>
      <c r="P20" s="48">
        <f>+'16'!K220</f>
        <v>15</v>
      </c>
      <c r="Q20" s="48">
        <f>+'16'!K223</f>
        <v>0</v>
      </c>
      <c r="R20" s="48">
        <f>+'16'!K221</f>
        <v>675</v>
      </c>
      <c r="S20" s="48">
        <f t="shared" si="0"/>
        <v>395</v>
      </c>
      <c r="T20" s="48">
        <f>+'16'!K226</f>
        <v>395</v>
      </c>
      <c r="U20" s="49">
        <f t="shared" si="3"/>
        <v>0</v>
      </c>
      <c r="V20" s="5"/>
    </row>
    <row r="21" spans="1:22">
      <c r="A21" s="10">
        <v>17</v>
      </c>
      <c r="B21" s="11" t="s">
        <v>31</v>
      </c>
      <c r="C21" s="44">
        <f>+'1'!C21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4">
        <f t="shared" si="1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f t="shared" si="2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7">
        <v>17</v>
      </c>
      <c r="M21" s="48">
        <f>+'17'!K217</f>
        <v>0</v>
      </c>
      <c r="N21" s="48">
        <f>+'17'!K222</f>
        <v>0</v>
      </c>
      <c r="O21" s="48">
        <f>+'17'!K220</f>
        <v>0</v>
      </c>
      <c r="P21" s="48">
        <f>+'17'!K218</f>
        <v>0</v>
      </c>
      <c r="Q21" s="48">
        <f>+'17'!K221</f>
        <v>0</v>
      </c>
      <c r="R21" s="48">
        <f>+'17'!K219</f>
        <v>0</v>
      </c>
      <c r="S21" s="48">
        <f t="shared" si="0"/>
        <v>0</v>
      </c>
      <c r="T21" s="48">
        <f>+'17'!K224</f>
        <v>0</v>
      </c>
      <c r="U21" s="49">
        <f t="shared" si="3"/>
        <v>0</v>
      </c>
      <c r="V21" s="5"/>
    </row>
    <row r="22" spans="1:22">
      <c r="A22" s="10">
        <v>18</v>
      </c>
      <c r="B22" s="11" t="s">
        <v>32</v>
      </c>
      <c r="C22" s="44">
        <f>+'1'!C22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4">
        <f t="shared" si="1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4">
        <f t="shared" si="2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7">
        <v>18</v>
      </c>
      <c r="M22" s="48">
        <f>+'18'!K217</f>
        <v>0</v>
      </c>
      <c r="N22" s="48">
        <f>+'18'!K222</f>
        <v>0</v>
      </c>
      <c r="O22" s="48">
        <f>+'18'!K220</f>
        <v>0</v>
      </c>
      <c r="P22" s="48">
        <f>+'18'!K218</f>
        <v>0</v>
      </c>
      <c r="Q22" s="48">
        <f>+'18'!K221</f>
        <v>0</v>
      </c>
      <c r="R22" s="48">
        <f>+'18'!K219</f>
        <v>0</v>
      </c>
      <c r="S22" s="48">
        <f t="shared" si="0"/>
        <v>0</v>
      </c>
      <c r="T22" s="48">
        <f>+'18'!K224</f>
        <v>0</v>
      </c>
      <c r="U22" s="49">
        <f t="shared" si="3"/>
        <v>0</v>
      </c>
      <c r="V22" s="5"/>
    </row>
    <row r="23" spans="1:22">
      <c r="A23" s="10">
        <v>19</v>
      </c>
      <c r="B23" s="11" t="s">
        <v>33</v>
      </c>
      <c r="C23" s="44">
        <f>+'1'!C23</f>
        <v>16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5</v>
      </c>
      <c r="E23" s="44">
        <f t="shared" si="1"/>
        <v>21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2</v>
      </c>
      <c r="G23" s="44">
        <f t="shared" si="2"/>
        <v>2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17</v>
      </c>
      <c r="I23" s="16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1700</v>
      </c>
      <c r="K23" s="16"/>
      <c r="L23" s="47">
        <v>19</v>
      </c>
      <c r="M23" s="48">
        <f>+'19'!K217</f>
        <v>0</v>
      </c>
      <c r="N23" s="48">
        <f>+'19'!K222</f>
        <v>0</v>
      </c>
      <c r="O23" s="48">
        <f>+'19'!K220</f>
        <v>0</v>
      </c>
      <c r="P23" s="48">
        <f>+'19'!K218</f>
        <v>0</v>
      </c>
      <c r="Q23" s="48">
        <f>+'19'!K221</f>
        <v>0</v>
      </c>
      <c r="R23" s="48">
        <f>+'19'!K219</f>
        <v>0</v>
      </c>
      <c r="S23" s="48">
        <f t="shared" si="0"/>
        <v>0</v>
      </c>
      <c r="T23" s="48">
        <f>+'19'!K224</f>
        <v>0</v>
      </c>
      <c r="U23" s="49">
        <f t="shared" si="3"/>
        <v>0</v>
      </c>
      <c r="V23" s="5"/>
    </row>
    <row r="24" spans="1:22">
      <c r="A24" s="10">
        <v>20</v>
      </c>
      <c r="B24" s="11" t="s">
        <v>34</v>
      </c>
      <c r="C24" s="44">
        <f>+'1'!C24</f>
        <v>9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</v>
      </c>
      <c r="E24" s="44">
        <f t="shared" si="1"/>
        <v>11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3</v>
      </c>
      <c r="G24" s="44">
        <f t="shared" si="2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8</v>
      </c>
      <c r="I24" s="22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800</v>
      </c>
      <c r="K24" s="16"/>
      <c r="L24" s="47">
        <v>20</v>
      </c>
      <c r="M24" s="48">
        <f>+'20'!K217</f>
        <v>0</v>
      </c>
      <c r="N24" s="48">
        <f>+'20'!K222</f>
        <v>0</v>
      </c>
      <c r="O24" s="48">
        <f>+'20'!K220</f>
        <v>0</v>
      </c>
      <c r="P24" s="48">
        <f>+'20'!K218</f>
        <v>0</v>
      </c>
      <c r="Q24" s="48">
        <f>+'20'!K221</f>
        <v>0</v>
      </c>
      <c r="R24" s="48">
        <f>+'20'!K219</f>
        <v>0</v>
      </c>
      <c r="S24" s="48">
        <f t="shared" si="0"/>
        <v>0</v>
      </c>
      <c r="T24" s="48">
        <f>+'20'!K224</f>
        <v>0</v>
      </c>
      <c r="U24" s="49">
        <f t="shared" si="3"/>
        <v>0</v>
      </c>
      <c r="V24" s="5"/>
    </row>
    <row r="25" spans="1:22">
      <c r="A25" s="10">
        <v>21</v>
      </c>
      <c r="B25" s="11" t="s">
        <v>35</v>
      </c>
      <c r="C25" s="44">
        <f>+'1'!C25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4">
        <f t="shared" si="1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f t="shared" si="2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2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47">
        <v>21</v>
      </c>
      <c r="M25" s="48">
        <f>+'21'!K217</f>
        <v>0</v>
      </c>
      <c r="N25" s="48">
        <f>+'21'!K222</f>
        <v>0</v>
      </c>
      <c r="O25" s="48">
        <f>+'21'!K220</f>
        <v>0</v>
      </c>
      <c r="P25" s="48">
        <f>+'21'!K218</f>
        <v>0</v>
      </c>
      <c r="Q25" s="48">
        <f>+'21'!K221</f>
        <v>0</v>
      </c>
      <c r="R25" s="48">
        <f>+'21'!K219</f>
        <v>0</v>
      </c>
      <c r="S25" s="48">
        <f t="shared" si="0"/>
        <v>0</v>
      </c>
      <c r="T25" s="48">
        <f>+'21'!K224</f>
        <v>0</v>
      </c>
      <c r="U25" s="49">
        <f t="shared" si="3"/>
        <v>0</v>
      </c>
      <c r="V25" s="5"/>
    </row>
    <row r="26" spans="1:22">
      <c r="A26" s="10">
        <v>22</v>
      </c>
      <c r="B26" s="11" t="s">
        <v>36</v>
      </c>
      <c r="C26" s="44">
        <f>+'1'!C26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2</v>
      </c>
      <c r="E26" s="44">
        <f t="shared" si="1"/>
        <v>2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4">
        <f t="shared" si="2"/>
        <v>1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</v>
      </c>
      <c r="I26" s="22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100</v>
      </c>
      <c r="K26" s="16"/>
      <c r="L26" s="47">
        <v>22</v>
      </c>
      <c r="M26" s="48">
        <f>+'22'!K217</f>
        <v>0</v>
      </c>
      <c r="N26" s="48">
        <f>+'22'!K222</f>
        <v>0</v>
      </c>
      <c r="O26" s="48">
        <f>+'22'!K220</f>
        <v>0</v>
      </c>
      <c r="P26" s="48">
        <f>+'22'!K218</f>
        <v>0</v>
      </c>
      <c r="Q26" s="48">
        <f>+'22'!K221</f>
        <v>0</v>
      </c>
      <c r="R26" s="48">
        <f>+'22'!K219</f>
        <v>0</v>
      </c>
      <c r="S26" s="48">
        <f t="shared" si="0"/>
        <v>0</v>
      </c>
      <c r="T26" s="48">
        <f>+'22'!K224</f>
        <v>0</v>
      </c>
      <c r="U26" s="49">
        <f t="shared" si="3"/>
        <v>0</v>
      </c>
      <c r="V26" s="5"/>
    </row>
    <row r="27" spans="1:22">
      <c r="A27" s="10">
        <v>23</v>
      </c>
      <c r="B27" s="20" t="s">
        <v>37</v>
      </c>
      <c r="C27" s="44">
        <f>+'1'!C27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2</v>
      </c>
      <c r="E27" s="44">
        <f t="shared" si="1"/>
        <v>2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4">
        <f t="shared" si="2"/>
        <v>2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7">
        <v>23</v>
      </c>
      <c r="M27" s="48">
        <f>+'23'!K217</f>
        <v>0</v>
      </c>
      <c r="N27" s="48">
        <f>+'23'!K222</f>
        <v>0</v>
      </c>
      <c r="O27" s="48">
        <f>+'23'!K220</f>
        <v>0</v>
      </c>
      <c r="P27" s="48">
        <f>+'23'!K218</f>
        <v>0</v>
      </c>
      <c r="Q27" s="48">
        <f>+'23'!K221</f>
        <v>0</v>
      </c>
      <c r="R27" s="48">
        <f>+'23'!K219</f>
        <v>0</v>
      </c>
      <c r="S27" s="48">
        <f t="shared" si="0"/>
        <v>0</v>
      </c>
      <c r="T27" s="48">
        <f>+'23'!K224</f>
        <v>0</v>
      </c>
      <c r="U27" s="49">
        <f t="shared" si="3"/>
        <v>0</v>
      </c>
      <c r="V27" s="5"/>
    </row>
    <row r="28" spans="1:22">
      <c r="A28" s="10">
        <v>24</v>
      </c>
      <c r="B28" s="20" t="s">
        <v>38</v>
      </c>
      <c r="C28" s="44">
        <f>+'1'!C28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4">
        <f t="shared" si="1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f t="shared" si="2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7">
        <v>24</v>
      </c>
      <c r="M28" s="48">
        <f>+'24'!K217</f>
        <v>0</v>
      </c>
      <c r="N28" s="48">
        <f>+'24'!K222</f>
        <v>0</v>
      </c>
      <c r="O28" s="48">
        <f>+'24'!K220</f>
        <v>0</v>
      </c>
      <c r="P28" s="48">
        <f>+'24'!K218</f>
        <v>0</v>
      </c>
      <c r="Q28" s="48">
        <f>+'24'!K221</f>
        <v>0</v>
      </c>
      <c r="R28" s="48">
        <f>+'24'!K219</f>
        <v>0</v>
      </c>
      <c r="S28" s="48">
        <f t="shared" si="0"/>
        <v>0</v>
      </c>
      <c r="T28" s="48">
        <f>+'24'!K224</f>
        <v>0</v>
      </c>
      <c r="U28" s="49">
        <f t="shared" si="3"/>
        <v>0</v>
      </c>
      <c r="V28" s="5"/>
    </row>
    <row r="29" spans="1:22">
      <c r="A29" s="10">
        <v>25</v>
      </c>
      <c r="B29" s="11" t="s">
        <v>39</v>
      </c>
      <c r="C29" s="44">
        <f>+'1'!C29</f>
        <v>5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44">
        <f t="shared" si="1"/>
        <v>5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1</v>
      </c>
      <c r="G29" s="44">
        <f t="shared" si="2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4</v>
      </c>
      <c r="I29" s="16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400</v>
      </c>
      <c r="K29" s="16"/>
      <c r="L29" s="47">
        <v>25</v>
      </c>
      <c r="M29" s="48">
        <f>+'25'!K217</f>
        <v>0</v>
      </c>
      <c r="N29" s="48">
        <f>+'25'!K222</f>
        <v>0</v>
      </c>
      <c r="O29" s="48">
        <f>+'25'!K220</f>
        <v>0</v>
      </c>
      <c r="P29" s="48">
        <f>+'25'!K218</f>
        <v>0</v>
      </c>
      <c r="Q29" s="48">
        <f>+'25'!K221</f>
        <v>0</v>
      </c>
      <c r="R29" s="48">
        <f>+'25'!K219</f>
        <v>0</v>
      </c>
      <c r="S29" s="48">
        <f t="shared" si="0"/>
        <v>0</v>
      </c>
      <c r="T29" s="48">
        <f>+'25'!K224</f>
        <v>0</v>
      </c>
      <c r="U29" s="49">
        <f t="shared" si="3"/>
        <v>0</v>
      </c>
      <c r="V29" s="5"/>
    </row>
    <row r="30" spans="1:22">
      <c r="A30" s="10">
        <v>26</v>
      </c>
      <c r="B30" s="11" t="s">
        <v>40</v>
      </c>
      <c r="C30" s="44">
        <f>+'1'!C30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4">
        <f t="shared" si="1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4">
        <f t="shared" si="2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7">
        <v>26</v>
      </c>
      <c r="M30" s="48">
        <f>+'26'!K217</f>
        <v>0</v>
      </c>
      <c r="N30" s="48">
        <f>+'26'!K222</f>
        <v>0</v>
      </c>
      <c r="O30" s="48">
        <f>+'26'!K220</f>
        <v>0</v>
      </c>
      <c r="P30" s="48">
        <f>+'26'!K218</f>
        <v>0</v>
      </c>
      <c r="Q30" s="48">
        <f>+'26'!K221</f>
        <v>0</v>
      </c>
      <c r="R30" s="48">
        <f>+'26'!K219</f>
        <v>0</v>
      </c>
      <c r="S30" s="48">
        <f t="shared" si="0"/>
        <v>0</v>
      </c>
      <c r="T30" s="48">
        <f>+'26'!K224</f>
        <v>0</v>
      </c>
      <c r="U30" s="49">
        <f t="shared" si="3"/>
        <v>0</v>
      </c>
      <c r="V30" s="5"/>
    </row>
    <row r="31" spans="1:22">
      <c r="A31" s="10">
        <v>27</v>
      </c>
      <c r="B31" s="11" t="s">
        <v>41</v>
      </c>
      <c r="C31" s="44">
        <f>+'1'!C31</f>
        <v>0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2</v>
      </c>
      <c r="E31" s="44">
        <f t="shared" si="1"/>
        <v>2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4">
        <f t="shared" si="2"/>
        <v>2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6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6"/>
      <c r="L31" s="47">
        <v>27</v>
      </c>
      <c r="M31" s="48">
        <f>+'27'!K217</f>
        <v>0</v>
      </c>
      <c r="N31" s="48">
        <f>+'27'!K222</f>
        <v>0</v>
      </c>
      <c r="O31" s="48">
        <f>+'27'!K220</f>
        <v>0</v>
      </c>
      <c r="P31" s="48">
        <f>+'27'!K218</f>
        <v>0</v>
      </c>
      <c r="Q31" s="48">
        <f>+'27'!K221</f>
        <v>0</v>
      </c>
      <c r="R31" s="48">
        <f>+'27'!K219</f>
        <v>0</v>
      </c>
      <c r="S31" s="48">
        <f t="shared" si="0"/>
        <v>0</v>
      </c>
      <c r="T31" s="48">
        <f>+'27'!K224</f>
        <v>0</v>
      </c>
      <c r="U31" s="49">
        <f t="shared" si="3"/>
        <v>0</v>
      </c>
      <c r="V31" s="5"/>
    </row>
    <row r="32" spans="1:22">
      <c r="A32" s="10">
        <v>28</v>
      </c>
      <c r="B32" s="11" t="s">
        <v>42</v>
      </c>
      <c r="C32" s="44">
        <f>+'1'!C32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4">
        <f t="shared" si="1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f t="shared" si="2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7">
        <v>28</v>
      </c>
      <c r="M32" s="48">
        <f>+'28'!K217</f>
        <v>0</v>
      </c>
      <c r="N32" s="48">
        <f>+'28'!K222</f>
        <v>0</v>
      </c>
      <c r="O32" s="48">
        <f>+'28'!K220</f>
        <v>0</v>
      </c>
      <c r="P32" s="48">
        <f>+'28'!K218</f>
        <v>0</v>
      </c>
      <c r="Q32" s="48">
        <f>+'28'!K221</f>
        <v>0</v>
      </c>
      <c r="R32" s="48">
        <f>+'28'!K219</f>
        <v>0</v>
      </c>
      <c r="S32" s="48">
        <f t="shared" si="0"/>
        <v>0</v>
      </c>
      <c r="T32" s="48">
        <f>+'28'!K224</f>
        <v>0</v>
      </c>
      <c r="U32" s="49">
        <f t="shared" si="3"/>
        <v>0</v>
      </c>
      <c r="V32" s="5"/>
    </row>
    <row r="33" spans="1:22">
      <c r="A33" s="10">
        <v>29</v>
      </c>
      <c r="B33" s="11" t="s">
        <v>43</v>
      </c>
      <c r="C33" s="44">
        <f>+'1'!C33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2</v>
      </c>
      <c r="E33" s="44">
        <f t="shared" si="1"/>
        <v>2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f t="shared" si="2"/>
        <v>1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</v>
      </c>
      <c r="I33" s="16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130</v>
      </c>
      <c r="K33" s="16"/>
      <c r="L33" s="47">
        <v>29</v>
      </c>
      <c r="M33" s="48">
        <f>+'29'!K217</f>
        <v>0</v>
      </c>
      <c r="N33" s="48">
        <f>+'29'!K222</f>
        <v>0</v>
      </c>
      <c r="O33" s="48">
        <f>+'29'!K220</f>
        <v>0</v>
      </c>
      <c r="P33" s="48">
        <f>+'29'!K218</f>
        <v>0</v>
      </c>
      <c r="Q33" s="48">
        <f>+'29'!K221</f>
        <v>0</v>
      </c>
      <c r="R33" s="48">
        <f>+'29'!K219</f>
        <v>0</v>
      </c>
      <c r="S33" s="48">
        <f t="shared" si="0"/>
        <v>0</v>
      </c>
      <c r="T33" s="48">
        <f>+'29'!K224</f>
        <v>0</v>
      </c>
      <c r="U33" s="49">
        <f t="shared" si="3"/>
        <v>0</v>
      </c>
      <c r="V33" s="5"/>
    </row>
    <row r="34" spans="1:22">
      <c r="A34" s="10">
        <v>30</v>
      </c>
      <c r="B34" s="11" t="s">
        <v>44</v>
      </c>
      <c r="C34" s="44">
        <f>+'1'!C34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</v>
      </c>
      <c r="E34" s="44">
        <f t="shared" si="1"/>
        <v>2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4">
        <f t="shared" si="2"/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</v>
      </c>
      <c r="I34" s="16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260</v>
      </c>
      <c r="K34" s="16"/>
      <c r="L34" s="47">
        <v>30</v>
      </c>
      <c r="M34" s="48">
        <f>+'30'!K217</f>
        <v>0</v>
      </c>
      <c r="N34" s="48">
        <f>+'30'!K222</f>
        <v>0</v>
      </c>
      <c r="O34" s="48">
        <f>+'30'!K220</f>
        <v>0</v>
      </c>
      <c r="P34" s="48">
        <f>+'30'!K218</f>
        <v>0</v>
      </c>
      <c r="Q34" s="48">
        <f>+'30'!K221</f>
        <v>0</v>
      </c>
      <c r="R34" s="48">
        <f>+'30'!K219</f>
        <v>0</v>
      </c>
      <c r="S34" s="48">
        <f t="shared" si="0"/>
        <v>0</v>
      </c>
      <c r="T34" s="48">
        <f>+'30'!K224</f>
        <v>0</v>
      </c>
      <c r="U34" s="49">
        <f t="shared" si="3"/>
        <v>0</v>
      </c>
      <c r="V34" s="5"/>
    </row>
    <row r="35" spans="1:22">
      <c r="A35" s="10">
        <v>31</v>
      </c>
      <c r="B35" s="11" t="s">
        <v>45</v>
      </c>
      <c r="C35" s="44">
        <f>+'1'!C35</f>
        <v>2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5" s="44">
        <f t="shared" si="1"/>
        <v>2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4">
        <f t="shared" si="2"/>
        <v>0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</v>
      </c>
      <c r="I35" s="16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260</v>
      </c>
      <c r="K35" s="16"/>
      <c r="L35" s="47">
        <v>31</v>
      </c>
      <c r="M35" s="48">
        <f>+'31'!K217</f>
        <v>0</v>
      </c>
      <c r="N35" s="48">
        <f>+'31'!K222</f>
        <v>0</v>
      </c>
      <c r="O35" s="48">
        <f>+'31'!K220</f>
        <v>0</v>
      </c>
      <c r="P35" s="48">
        <f>+'31'!K218</f>
        <v>0</v>
      </c>
      <c r="Q35" s="48">
        <f>+'31'!K221</f>
        <v>0</v>
      </c>
      <c r="R35" s="48">
        <f>+'31'!K219</f>
        <v>0</v>
      </c>
      <c r="S35" s="48">
        <f t="shared" si="0"/>
        <v>0</v>
      </c>
      <c r="T35" s="48">
        <f>+'31'!K224</f>
        <v>0</v>
      </c>
      <c r="U35" s="49">
        <f t="shared" si="3"/>
        <v>0</v>
      </c>
      <c r="V35" s="5"/>
    </row>
    <row r="36" spans="1:22">
      <c r="A36" s="10">
        <v>32</v>
      </c>
      <c r="B36" s="11" t="s">
        <v>46</v>
      </c>
      <c r="C36" s="44">
        <f>+'1'!C36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4">
        <f t="shared" si="1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4">
        <f t="shared" si="2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0" t="s">
        <v>5</v>
      </c>
      <c r="M36" s="51">
        <f>SUM(M5:M35)</f>
        <v>18870</v>
      </c>
      <c r="N36" s="51">
        <f t="shared" ref="N36:U36" si="4">SUM(N5:N35)</f>
        <v>1485</v>
      </c>
      <c r="O36" s="51">
        <f t="shared" si="4"/>
        <v>0</v>
      </c>
      <c r="P36" s="51">
        <f t="shared" si="4"/>
        <v>150</v>
      </c>
      <c r="Q36" s="51">
        <f t="shared" si="4"/>
        <v>0</v>
      </c>
      <c r="R36" s="51">
        <f t="shared" si="4"/>
        <v>4025</v>
      </c>
      <c r="S36" s="51">
        <f t="shared" si="4"/>
        <v>13210</v>
      </c>
      <c r="T36" s="51">
        <f t="shared" si="4"/>
        <v>13210</v>
      </c>
      <c r="U36" s="51">
        <f t="shared" si="4"/>
        <v>0</v>
      </c>
    </row>
    <row r="37" spans="1:22">
      <c r="A37" s="10">
        <v>33</v>
      </c>
      <c r="B37" s="11" t="s">
        <v>47</v>
      </c>
      <c r="C37" s="44">
        <f>+'1'!C37</f>
        <v>16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23</v>
      </c>
      <c r="E37" s="44">
        <f t="shared" si="1"/>
        <v>39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22</v>
      </c>
      <c r="G37" s="44">
        <f t="shared" si="2"/>
        <v>-2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19</v>
      </c>
      <c r="I37" s="16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1900</v>
      </c>
      <c r="K37" s="16"/>
      <c r="P37" s="52"/>
      <c r="S37" s="52"/>
      <c r="U37" s="5"/>
    </row>
    <row r="38" spans="1:22">
      <c r="A38" s="10">
        <v>34</v>
      </c>
      <c r="B38" s="11" t="s">
        <v>48</v>
      </c>
      <c r="C38" s="44">
        <f>+'1'!C38</f>
        <v>2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5</v>
      </c>
      <c r="E38" s="44">
        <f t="shared" si="1"/>
        <v>7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4">
        <f t="shared" si="2"/>
        <v>1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6</v>
      </c>
      <c r="I38" s="16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300</v>
      </c>
      <c r="K38" s="16"/>
      <c r="M38" s="53"/>
      <c r="N38" s="52"/>
      <c r="U38" s="5"/>
    </row>
    <row r="39" spans="1:22">
      <c r="A39" s="10">
        <v>35</v>
      </c>
      <c r="B39" s="11" t="s">
        <v>49</v>
      </c>
      <c r="C39" s="44">
        <f>+'1'!C39</f>
        <v>3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5</v>
      </c>
      <c r="E39" s="44">
        <f t="shared" si="1"/>
        <v>8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2</v>
      </c>
      <c r="G39" s="44">
        <f t="shared" si="2"/>
        <v>1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5</v>
      </c>
      <c r="I39" s="16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250</v>
      </c>
      <c r="K39" s="16"/>
      <c r="M39" s="54"/>
      <c r="O39" s="52"/>
      <c r="U39" s="5"/>
    </row>
    <row r="40" spans="1:22">
      <c r="A40" s="10">
        <v>36</v>
      </c>
      <c r="B40" s="11" t="s">
        <v>50</v>
      </c>
      <c r="C40" s="44">
        <f>+'1'!C40</f>
        <v>6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5</v>
      </c>
      <c r="E40" s="44">
        <f t="shared" si="1"/>
        <v>11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44">
        <f t="shared" si="2"/>
        <v>1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8</v>
      </c>
      <c r="I40" s="16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400</v>
      </c>
      <c r="K40" s="16"/>
      <c r="M40" s="54"/>
      <c r="U40" s="5"/>
    </row>
    <row r="41" spans="1:22">
      <c r="A41" s="10">
        <v>37</v>
      </c>
      <c r="B41" s="11" t="s">
        <v>51</v>
      </c>
      <c r="C41" s="44">
        <f>+'1'!C41</f>
        <v>0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2</v>
      </c>
      <c r="E41" s="44">
        <f t="shared" si="1"/>
        <v>2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4">
        <f t="shared" si="2"/>
        <v>2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1" s="16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1" s="16"/>
      <c r="M41" s="54"/>
      <c r="U41" s="5"/>
    </row>
    <row r="42" spans="1:22">
      <c r="A42" s="10">
        <v>38</v>
      </c>
      <c r="B42" s="11" t="s">
        <v>52</v>
      </c>
      <c r="C42" s="44">
        <f>+'1'!C42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2" s="44">
        <f t="shared" si="1"/>
        <v>0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4">
        <f t="shared" si="2"/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2" s="16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2" s="16"/>
      <c r="M42" s="54"/>
      <c r="U42" s="5"/>
    </row>
    <row r="43" spans="1:22">
      <c r="A43" s="10">
        <v>39</v>
      </c>
      <c r="B43" s="11" t="s">
        <v>53</v>
      </c>
      <c r="C43" s="44">
        <f>+'1'!C43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3</v>
      </c>
      <c r="E43" s="44">
        <f t="shared" si="1"/>
        <v>3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4">
        <f t="shared" si="2"/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3</v>
      </c>
      <c r="I43" s="16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150</v>
      </c>
      <c r="K43" s="16"/>
      <c r="M43" s="54"/>
      <c r="U43" s="5"/>
    </row>
    <row r="44" spans="1:22">
      <c r="A44" s="10">
        <v>40</v>
      </c>
      <c r="B44" s="11" t="s">
        <v>54</v>
      </c>
      <c r="C44" s="44">
        <f>+'1'!C44</f>
        <v>4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5</v>
      </c>
      <c r="E44" s="44">
        <f t="shared" si="1"/>
        <v>9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4</v>
      </c>
      <c r="G44" s="44">
        <f t="shared" si="2"/>
        <v>2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3</v>
      </c>
      <c r="I44" s="16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150</v>
      </c>
      <c r="K44" s="16"/>
      <c r="M44" s="54"/>
      <c r="U44" s="5"/>
    </row>
    <row r="45" spans="1:22">
      <c r="A45" s="10">
        <v>41</v>
      </c>
      <c r="B45" s="11" t="s">
        <v>55</v>
      </c>
      <c r="C45" s="44">
        <f>+'1'!C45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4">
        <f t="shared" si="1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4">
        <f t="shared" si="2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4"/>
      <c r="O45" s="52"/>
      <c r="U45" s="5"/>
    </row>
    <row r="46" spans="1:22">
      <c r="A46" s="10">
        <v>42</v>
      </c>
      <c r="B46" s="11" t="s">
        <v>56</v>
      </c>
      <c r="C46" s="44">
        <f>+'1'!C46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3</v>
      </c>
      <c r="E46" s="44">
        <f t="shared" si="1"/>
        <v>3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4">
        <f t="shared" si="2"/>
        <v>1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</v>
      </c>
      <c r="I46" s="16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100</v>
      </c>
      <c r="K46" s="16"/>
      <c r="M46" s="54"/>
      <c r="U46" s="5"/>
    </row>
    <row r="47" spans="1:22">
      <c r="A47" s="10">
        <v>43</v>
      </c>
      <c r="B47" s="11" t="s">
        <v>57</v>
      </c>
      <c r="C47" s="44">
        <f>+'1'!C47</f>
        <v>1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4</v>
      </c>
      <c r="E47" s="44">
        <f t="shared" si="1"/>
        <v>5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4">
        <f t="shared" si="2"/>
        <v>1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4</v>
      </c>
      <c r="I47" s="16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200</v>
      </c>
      <c r="K47" s="16"/>
      <c r="M47" s="54"/>
      <c r="U47" s="5"/>
    </row>
    <row r="48" spans="1:22">
      <c r="A48" s="10">
        <v>44</v>
      </c>
      <c r="B48" s="11" t="s">
        <v>58</v>
      </c>
      <c r="C48" s="44">
        <f>+'1'!C48</f>
        <v>4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3</v>
      </c>
      <c r="E48" s="44">
        <f t="shared" si="1"/>
        <v>7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3</v>
      </c>
      <c r="G48" s="44">
        <f t="shared" si="2"/>
        <v>0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4</v>
      </c>
      <c r="I48" s="16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200</v>
      </c>
      <c r="K48" s="16"/>
      <c r="M48" s="54"/>
      <c r="U48" s="5"/>
    </row>
    <row r="49" spans="1:21">
      <c r="A49" s="10">
        <v>45</v>
      </c>
      <c r="B49" s="11" t="s">
        <v>59</v>
      </c>
      <c r="C49" s="44">
        <f>+'1'!C49</f>
        <v>10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4">
        <f t="shared" si="1"/>
        <v>10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3</v>
      </c>
      <c r="G49" s="44">
        <f t="shared" si="2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7</v>
      </c>
      <c r="I49" s="16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350</v>
      </c>
      <c r="K49" s="16"/>
      <c r="M49" s="54"/>
      <c r="U49" s="5"/>
    </row>
    <row r="50" spans="1:21">
      <c r="A50" s="10">
        <v>46</v>
      </c>
      <c r="B50" s="11" t="s">
        <v>60</v>
      </c>
      <c r="C50" s="44">
        <f>+'1'!C50</f>
        <v>2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4">
        <f t="shared" si="1"/>
        <v>2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4">
        <f t="shared" si="2"/>
        <v>1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</v>
      </c>
      <c r="I50" s="16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120</v>
      </c>
      <c r="K50" s="16"/>
      <c r="M50" s="54"/>
      <c r="U50" s="5"/>
    </row>
    <row r="51" spans="1:21">
      <c r="A51" s="10">
        <v>47</v>
      </c>
      <c r="B51" s="11" t="s">
        <v>61</v>
      </c>
      <c r="C51" s="44">
        <f>+'1'!C51</f>
        <v>2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4">
        <f t="shared" si="1"/>
        <v>2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4">
        <f t="shared" si="2"/>
        <v>2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6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16"/>
      <c r="M51" s="54"/>
      <c r="U51" s="5"/>
    </row>
    <row r="52" spans="1:21">
      <c r="A52" s="10">
        <v>48</v>
      </c>
      <c r="B52" s="11" t="s">
        <v>62</v>
      </c>
      <c r="C52" s="44">
        <f>+'1'!C52</f>
        <v>4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4">
        <f t="shared" si="1"/>
        <v>4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4</v>
      </c>
      <c r="G52" s="44">
        <f t="shared" si="2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22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16"/>
      <c r="M52" s="54"/>
      <c r="U52" s="5"/>
    </row>
    <row r="53" spans="1:21">
      <c r="A53" s="10">
        <v>49</v>
      </c>
      <c r="B53" s="11" t="s">
        <v>63</v>
      </c>
      <c r="C53" s="44">
        <f>+'1'!C53</f>
        <v>2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4">
        <f t="shared" si="1"/>
        <v>2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4">
        <f t="shared" si="2"/>
        <v>1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1</v>
      </c>
      <c r="I53" s="16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120</v>
      </c>
      <c r="K53" s="16"/>
      <c r="M53" s="54"/>
      <c r="U53" s="5"/>
    </row>
    <row r="54" spans="1:21">
      <c r="A54" s="10">
        <v>50</v>
      </c>
      <c r="B54" s="11" t="s">
        <v>64</v>
      </c>
      <c r="C54" s="44">
        <f>+'1'!C54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4">
        <f t="shared" si="1"/>
        <v>0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4">
        <f t="shared" si="2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16"/>
      <c r="M54" s="54"/>
      <c r="U54" s="5"/>
    </row>
    <row r="55" spans="1:21">
      <c r="A55" s="10">
        <v>51</v>
      </c>
      <c r="B55" s="11" t="s">
        <v>65</v>
      </c>
      <c r="C55" s="44">
        <f>+'1'!C55</f>
        <v>2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4">
        <f t="shared" si="1"/>
        <v>2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4">
        <f t="shared" si="2"/>
        <v>0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</v>
      </c>
      <c r="I55" s="22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240</v>
      </c>
      <c r="K55" s="16"/>
      <c r="M55" s="54"/>
      <c r="U55" s="5"/>
    </row>
    <row r="56" spans="1:21">
      <c r="A56" s="10">
        <v>52</v>
      </c>
      <c r="B56" s="11" t="s">
        <v>66</v>
      </c>
      <c r="C56" s="44">
        <f>+'1'!C56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4">
        <f t="shared" si="1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4">
        <f t="shared" si="2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16"/>
      <c r="M56" s="54"/>
      <c r="U56" s="5"/>
    </row>
    <row r="57" spans="1:21">
      <c r="A57" s="10">
        <v>53</v>
      </c>
      <c r="B57" s="11" t="s">
        <v>67</v>
      </c>
      <c r="C57" s="44">
        <f>+'1'!C57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4">
        <f t="shared" si="1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4">
        <f t="shared" si="2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22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16"/>
      <c r="M57" s="54"/>
      <c r="U57" s="5"/>
    </row>
    <row r="58" spans="1:21">
      <c r="A58" s="10">
        <v>54</v>
      </c>
      <c r="B58" s="11" t="s">
        <v>68</v>
      </c>
      <c r="C58" s="44">
        <f>+'1'!C58</f>
        <v>2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4">
        <f t="shared" si="1"/>
        <v>2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1</v>
      </c>
      <c r="G58" s="44">
        <f t="shared" si="2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1</v>
      </c>
      <c r="I58" s="22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120</v>
      </c>
      <c r="K58" s="16"/>
      <c r="M58" s="54"/>
      <c r="U58" s="5"/>
    </row>
    <row r="59" spans="1:21">
      <c r="A59" s="10">
        <v>55</v>
      </c>
      <c r="B59" s="11" t="s">
        <v>69</v>
      </c>
      <c r="C59" s="44">
        <f>+'1'!C59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4">
        <f t="shared" si="1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f t="shared" si="2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6"/>
      <c r="M59" s="54"/>
      <c r="U59" s="5"/>
    </row>
    <row r="60" spans="1:21">
      <c r="A60" s="10">
        <v>56</v>
      </c>
      <c r="B60" s="11" t="s">
        <v>70</v>
      </c>
      <c r="C60" s="44">
        <f>+'1'!C60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4">
        <f t="shared" si="1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f t="shared" si="2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2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6"/>
      <c r="M60" s="54"/>
      <c r="U60" s="5"/>
    </row>
    <row r="61" spans="1:21">
      <c r="A61" s="10">
        <v>57</v>
      </c>
      <c r="B61" s="11" t="s">
        <v>71</v>
      </c>
      <c r="C61" s="44">
        <f>+'1'!C61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4">
        <f t="shared" si="1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4">
        <f t="shared" si="2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6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6"/>
      <c r="M61" s="54"/>
      <c r="U61" s="5"/>
    </row>
    <row r="62" spans="1:21">
      <c r="A62" s="10">
        <v>58</v>
      </c>
      <c r="B62" s="20" t="s">
        <v>72</v>
      </c>
      <c r="C62" s="44">
        <f>+'1'!C62</f>
        <v>3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6</v>
      </c>
      <c r="E62" s="44">
        <f t="shared" si="1"/>
        <v>9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2</v>
      </c>
      <c r="G62" s="44">
        <f t="shared" si="2"/>
        <v>2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5</v>
      </c>
      <c r="I62" s="21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250</v>
      </c>
      <c r="K62" s="16"/>
      <c r="M62" s="54"/>
      <c r="U62" s="5"/>
    </row>
    <row r="63" spans="1:21">
      <c r="A63" s="10">
        <v>59</v>
      </c>
      <c r="B63" s="20" t="s">
        <v>73</v>
      </c>
      <c r="C63" s="44">
        <f>+'1'!C63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4">
        <f t="shared" si="1"/>
        <v>0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4">
        <f t="shared" si="2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1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6"/>
      <c r="M63" s="54"/>
      <c r="U63" s="5"/>
    </row>
    <row r="64" spans="1:21">
      <c r="A64" s="10">
        <v>60</v>
      </c>
      <c r="B64" s="11" t="s">
        <v>74</v>
      </c>
      <c r="C64" s="44">
        <f>+'1'!C64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4">
        <f t="shared" si="1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4">
        <f t="shared" si="2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6"/>
      <c r="M64" s="54"/>
      <c r="U64" s="5"/>
    </row>
    <row r="65" spans="1:21">
      <c r="A65" s="10">
        <v>61</v>
      </c>
      <c r="B65" s="11" t="s">
        <v>75</v>
      </c>
      <c r="C65" s="44">
        <f>+'1'!C65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4">
        <f t="shared" si="1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4">
        <f t="shared" si="2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6"/>
      <c r="M65" s="54"/>
      <c r="U65" s="5"/>
    </row>
    <row r="66" spans="1:21">
      <c r="A66" s="10">
        <v>62</v>
      </c>
      <c r="B66" s="11" t="s">
        <v>76</v>
      </c>
      <c r="C66" s="44">
        <f>+'1'!C66</f>
        <v>5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4">
        <f t="shared" si="1"/>
        <v>5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4">
        <f t="shared" si="2"/>
        <v>2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</v>
      </c>
      <c r="I66" s="16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150</v>
      </c>
      <c r="K66" s="16"/>
      <c r="M66" s="54"/>
      <c r="U66" s="5"/>
    </row>
    <row r="67" spans="1:21">
      <c r="A67" s="10">
        <v>63</v>
      </c>
      <c r="B67" s="11" t="s">
        <v>77</v>
      </c>
      <c r="C67" s="44">
        <f>+'1'!C67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44">
        <f t="shared" si="1"/>
        <v>0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4">
        <f t="shared" si="2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16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16"/>
      <c r="M67" s="54"/>
      <c r="U67" s="5"/>
    </row>
    <row r="68" spans="1:21">
      <c r="A68" s="10">
        <v>64</v>
      </c>
      <c r="B68" s="20" t="s">
        <v>78</v>
      </c>
      <c r="C68" s="44">
        <f>+'1'!C68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4">
        <f t="shared" si="1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4">
        <f t="shared" si="2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6"/>
      <c r="M68" s="54"/>
      <c r="U68" s="5"/>
    </row>
    <row r="69" spans="1:21">
      <c r="A69" s="10">
        <v>65</v>
      </c>
      <c r="B69" s="20" t="s">
        <v>79</v>
      </c>
      <c r="C69" s="44">
        <f>+'1'!C69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4">
        <f t="shared" si="1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4">
        <f t="shared" si="2"/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6"/>
      <c r="M69" s="54"/>
      <c r="U69" s="5"/>
    </row>
    <row r="70" spans="1:21">
      <c r="A70" s="10">
        <v>66</v>
      </c>
      <c r="B70" s="20" t="s">
        <v>80</v>
      </c>
      <c r="C70" s="44">
        <f>+'1'!C70</f>
        <v>5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6</v>
      </c>
      <c r="E70" s="44">
        <f t="shared" ref="E70:E202" si="5">+C70+D70</f>
        <v>11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1</v>
      </c>
      <c r="G70" s="44">
        <f t="shared" ref="G70:G133" si="6">E70-F70-H70</f>
        <v>2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8</v>
      </c>
      <c r="I70" s="21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400</v>
      </c>
      <c r="K70" s="16"/>
      <c r="M70" s="54"/>
      <c r="U70" s="5"/>
    </row>
    <row r="71" spans="1:21">
      <c r="A71" s="10">
        <v>67</v>
      </c>
      <c r="B71" s="20" t="s">
        <v>81</v>
      </c>
      <c r="C71" s="44">
        <f>+'1'!C71</f>
        <v>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4</v>
      </c>
      <c r="E71" s="44">
        <f t="shared" si="5"/>
        <v>4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4">
        <f t="shared" si="6"/>
        <v>2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</v>
      </c>
      <c r="I71" s="21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120</v>
      </c>
      <c r="K71" s="16"/>
      <c r="M71" s="54"/>
      <c r="U71" s="5"/>
    </row>
    <row r="72" spans="1:21">
      <c r="A72" s="10">
        <v>68</v>
      </c>
      <c r="B72" s="20" t="s">
        <v>82</v>
      </c>
      <c r="C72" s="44">
        <f>+'1'!C72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6"/>
      <c r="M72" s="54"/>
      <c r="U72" s="5"/>
    </row>
    <row r="73" spans="1:21">
      <c r="A73" s="10">
        <v>69</v>
      </c>
      <c r="B73" s="20" t="s">
        <v>83</v>
      </c>
      <c r="C73" s="44">
        <f>+'1'!C73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5</v>
      </c>
      <c r="E73" s="44">
        <f t="shared" si="5"/>
        <v>5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5</v>
      </c>
      <c r="I73" s="21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300</v>
      </c>
      <c r="K73" s="16"/>
      <c r="M73" s="54"/>
      <c r="U73" s="5"/>
    </row>
    <row r="74" spans="1:21">
      <c r="A74" s="10">
        <v>70</v>
      </c>
      <c r="B74" s="20" t="s">
        <v>84</v>
      </c>
      <c r="C74" s="44">
        <f>+'1'!C74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44">
        <f t="shared" si="5"/>
        <v>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4">
        <f t="shared" si="6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23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16"/>
      <c r="M74" s="54"/>
      <c r="U74" s="5"/>
    </row>
    <row r="75" spans="1:21">
      <c r="A75" s="10">
        <v>71</v>
      </c>
      <c r="B75" s="20" t="s">
        <v>85</v>
      </c>
      <c r="C75" s="44">
        <f>+'1'!C75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6"/>
      <c r="M75" s="54"/>
      <c r="U75" s="5"/>
    </row>
    <row r="76" spans="1:21">
      <c r="A76" s="10">
        <v>72</v>
      </c>
      <c r="B76" s="20" t="s">
        <v>86</v>
      </c>
      <c r="C76" s="44">
        <f>+'1'!C76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6"/>
      <c r="M76" s="54"/>
      <c r="U76" s="5"/>
    </row>
    <row r="77" spans="1:21">
      <c r="A77" s="10">
        <v>73</v>
      </c>
      <c r="B77" s="20" t="s">
        <v>87</v>
      </c>
      <c r="C77" s="44">
        <f>+'1'!C77</f>
        <v>0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</v>
      </c>
      <c r="E77" s="44">
        <f t="shared" si="5"/>
        <v>2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4">
        <f t="shared" si="6"/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</v>
      </c>
      <c r="I77" s="21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100</v>
      </c>
      <c r="K77" s="16"/>
      <c r="M77" s="54"/>
      <c r="U77" s="5"/>
    </row>
    <row r="78" spans="1:21">
      <c r="A78" s="10">
        <v>74</v>
      </c>
      <c r="B78" s="20" t="s">
        <v>88</v>
      </c>
      <c r="C78" s="44">
        <f>+'1'!C78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4">
        <f t="shared" si="5"/>
        <v>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4">
        <f t="shared" si="6"/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6"/>
      <c r="M78" s="54"/>
      <c r="T78" s="5"/>
    </row>
    <row r="79" spans="1:21">
      <c r="A79" s="10">
        <v>75</v>
      </c>
      <c r="B79" s="20" t="s">
        <v>89</v>
      </c>
      <c r="C79" s="44">
        <f>+'1'!C79</f>
        <v>2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</v>
      </c>
      <c r="E79" s="44">
        <f t="shared" si="5"/>
        <v>5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4">
        <f t="shared" si="6"/>
        <v>0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5</v>
      </c>
      <c r="I79" s="23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250</v>
      </c>
      <c r="K79" s="16"/>
      <c r="M79" s="54"/>
      <c r="T79" s="5"/>
    </row>
    <row r="80" spans="1:21">
      <c r="A80" s="10">
        <v>76</v>
      </c>
      <c r="B80" s="20" t="s">
        <v>90</v>
      </c>
      <c r="C80" s="44">
        <f>+'1'!C80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6"/>
      <c r="M80" s="54"/>
      <c r="T80" s="5"/>
    </row>
    <row r="81" spans="1:21">
      <c r="A81" s="10">
        <v>77</v>
      </c>
      <c r="B81" s="20" t="s">
        <v>91</v>
      </c>
      <c r="C81" s="44">
        <f>+'1'!C81</f>
        <v>6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3</v>
      </c>
      <c r="E81" s="44">
        <f t="shared" si="5"/>
        <v>9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2</v>
      </c>
      <c r="G81" s="44">
        <f t="shared" si="6"/>
        <v>3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4</v>
      </c>
      <c r="I81" s="21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220</v>
      </c>
      <c r="K81" s="16"/>
      <c r="M81" s="54"/>
      <c r="T81" s="5"/>
    </row>
    <row r="82" spans="1:21">
      <c r="A82" s="10">
        <v>78</v>
      </c>
      <c r="B82" s="20" t="s">
        <v>92</v>
      </c>
      <c r="C82" s="44">
        <f>+'1'!C82</f>
        <v>2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4">
        <f t="shared" si="5"/>
        <v>2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2</v>
      </c>
      <c r="I82" s="23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110</v>
      </c>
      <c r="K82" s="16"/>
      <c r="M82" s="54"/>
      <c r="U82" s="5"/>
    </row>
    <row r="83" spans="1:21">
      <c r="A83" s="10">
        <v>79</v>
      </c>
      <c r="B83" s="20" t="s">
        <v>93</v>
      </c>
      <c r="C83" s="44">
        <f>+'1'!C83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6"/>
      <c r="M83" s="54"/>
      <c r="U83" s="5"/>
    </row>
    <row r="84" spans="1:21">
      <c r="A84" s="10">
        <v>80</v>
      </c>
      <c r="B84" s="20" t="s">
        <v>94</v>
      </c>
      <c r="C84" s="44">
        <f>+'1'!C84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6"/>
      <c r="M84" s="54"/>
      <c r="U84" s="5"/>
    </row>
    <row r="85" spans="1:21">
      <c r="A85" s="10">
        <v>81</v>
      </c>
      <c r="B85" s="20" t="s">
        <v>95</v>
      </c>
      <c r="C85" s="44">
        <f>+'1'!C85</f>
        <v>10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44">
        <f t="shared" si="5"/>
        <v>10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4">
        <f t="shared" si="6"/>
        <v>7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3</v>
      </c>
      <c r="I85" s="23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300</v>
      </c>
      <c r="K85" s="16"/>
      <c r="M85" s="54"/>
      <c r="U85" s="5"/>
    </row>
    <row r="86" spans="1:21">
      <c r="A86" s="10">
        <v>82</v>
      </c>
      <c r="B86" s="20" t="s">
        <v>96</v>
      </c>
      <c r="C86" s="44">
        <f>+'1'!C86</f>
        <v>5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44">
        <f t="shared" si="5"/>
        <v>5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4">
        <f t="shared" si="6"/>
        <v>2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3</v>
      </c>
      <c r="I86" s="21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165</v>
      </c>
      <c r="K86" s="16"/>
      <c r="M86" s="54"/>
      <c r="U86" s="5"/>
    </row>
    <row r="87" spans="1:21">
      <c r="A87" s="10">
        <v>83</v>
      </c>
      <c r="B87" s="20" t="s">
        <v>97</v>
      </c>
      <c r="C87" s="44">
        <f>+'1'!C87</f>
        <v>7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44">
        <f t="shared" si="5"/>
        <v>7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4">
        <f t="shared" si="6"/>
        <v>4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3</v>
      </c>
      <c r="I87" s="21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180</v>
      </c>
      <c r="K87" s="16"/>
      <c r="M87" s="54"/>
      <c r="U87" s="5"/>
    </row>
    <row r="88" spans="1:21">
      <c r="A88" s="10">
        <v>84</v>
      </c>
      <c r="B88" s="20" t="s">
        <v>98</v>
      </c>
      <c r="C88" s="44">
        <f>+'1'!C88</f>
        <v>3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8" s="44">
        <f t="shared" si="5"/>
        <v>3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4">
        <f t="shared" si="6"/>
        <v>1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</v>
      </c>
      <c r="I88" s="21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200</v>
      </c>
      <c r="K88" s="16"/>
      <c r="M88" s="54"/>
      <c r="U88" s="5"/>
    </row>
    <row r="89" spans="1:21">
      <c r="A89" s="10">
        <v>85</v>
      </c>
      <c r="B89" s="20" t="s">
        <v>99</v>
      </c>
      <c r="C89" s="44">
        <f>+'1'!C89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4">
        <f t="shared" si="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16"/>
      <c r="M89" s="54"/>
      <c r="U89" s="5"/>
    </row>
    <row r="90" spans="1:21">
      <c r="A90" s="10">
        <v>86</v>
      </c>
      <c r="B90" s="20" t="s">
        <v>100</v>
      </c>
      <c r="C90" s="44">
        <f>+'1'!C90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6"/>
      <c r="M90" s="54"/>
      <c r="U90" s="5"/>
    </row>
    <row r="91" spans="1:21">
      <c r="A91" s="10">
        <v>87</v>
      </c>
      <c r="B91" s="20" t="s">
        <v>101</v>
      </c>
      <c r="C91" s="44">
        <f>+'1'!C91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6"/>
      <c r="M91" s="54"/>
      <c r="U91" s="5"/>
    </row>
    <row r="92" spans="1:21">
      <c r="A92" s="10">
        <v>88</v>
      </c>
      <c r="B92" s="20" t="s">
        <v>102</v>
      </c>
      <c r="C92" s="44">
        <f>+'1'!C92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6"/>
      <c r="M92" s="54"/>
      <c r="U92" s="5"/>
    </row>
    <row r="93" spans="1:21">
      <c r="A93" s="10">
        <v>89</v>
      </c>
      <c r="B93" s="20" t="s">
        <v>103</v>
      </c>
      <c r="C93" s="44">
        <f>+'1'!C93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6"/>
      <c r="M93" s="54"/>
      <c r="U93" s="5"/>
    </row>
    <row r="94" spans="1:21">
      <c r="A94" s="10">
        <v>90</v>
      </c>
      <c r="B94" s="20" t="s">
        <v>104</v>
      </c>
      <c r="C94" s="44">
        <f>+'1'!C94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6"/>
      <c r="M94" s="54"/>
      <c r="U94" s="5"/>
    </row>
    <row r="95" spans="1:21">
      <c r="A95" s="10">
        <v>91</v>
      </c>
      <c r="B95" s="20" t="s">
        <v>105</v>
      </c>
      <c r="C95" s="44">
        <f>+'1'!C95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6"/>
      <c r="M95" s="54"/>
      <c r="U95" s="5"/>
    </row>
    <row r="96" spans="1:21">
      <c r="A96" s="10">
        <v>92</v>
      </c>
      <c r="B96" s="20" t="s">
        <v>106</v>
      </c>
      <c r="C96" s="44">
        <f>+'1'!C96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6"/>
      <c r="M96" s="54"/>
      <c r="U96" s="5"/>
    </row>
    <row r="97" spans="1:21">
      <c r="A97" s="10">
        <v>93</v>
      </c>
      <c r="B97" s="20" t="s">
        <v>107</v>
      </c>
      <c r="C97" s="44">
        <f>+'1'!C97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6"/>
      <c r="M97" s="54"/>
      <c r="U97" s="5"/>
    </row>
    <row r="98" spans="1:21">
      <c r="A98" s="10">
        <v>94</v>
      </c>
      <c r="B98" s="20" t="s">
        <v>108</v>
      </c>
      <c r="C98" s="44">
        <f>+'1'!C98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6"/>
      <c r="M98" s="54"/>
      <c r="U98" s="5"/>
    </row>
    <row r="99" spans="1:21">
      <c r="A99" s="10">
        <v>95</v>
      </c>
      <c r="B99" s="20" t="s">
        <v>109</v>
      </c>
      <c r="C99" s="44">
        <f>+'1'!C99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1</v>
      </c>
      <c r="E99" s="44">
        <f t="shared" si="5"/>
        <v>1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1</v>
      </c>
      <c r="I99" s="21">
        <v>120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120</v>
      </c>
      <c r="K99" s="16"/>
      <c r="M99" s="54"/>
      <c r="U99" s="5"/>
    </row>
    <row r="100" spans="1:21">
      <c r="A100" s="10">
        <v>96</v>
      </c>
      <c r="B100" s="20" t="s">
        <v>110</v>
      </c>
      <c r="C100" s="44">
        <f>+'1'!C100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250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6"/>
      <c r="M100" s="54"/>
      <c r="U100" s="5"/>
    </row>
    <row r="101" spans="1:21">
      <c r="A101" s="10">
        <v>97</v>
      </c>
      <c r="B101" s="20" t="s">
        <v>111</v>
      </c>
      <c r="C101" s="44">
        <f>+'1'!C101</f>
        <v>1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4">
        <f t="shared" si="5"/>
        <v>1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21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16"/>
      <c r="M101" s="54"/>
      <c r="U101" s="5"/>
    </row>
    <row r="102" spans="1:21">
      <c r="A102" s="10">
        <v>98</v>
      </c>
      <c r="B102" s="20" t="s">
        <v>112</v>
      </c>
      <c r="C102" s="44">
        <f>+'1'!C102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1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6"/>
      <c r="M102" s="54"/>
      <c r="U102" s="5"/>
    </row>
    <row r="103" spans="1:21">
      <c r="A103" s="10">
        <v>99</v>
      </c>
      <c r="B103" s="20" t="s">
        <v>113</v>
      </c>
      <c r="C103" s="44">
        <f>+'1'!C103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6"/>
      <c r="M103" s="54"/>
      <c r="U103" s="5"/>
    </row>
    <row r="104" spans="1:21">
      <c r="A104" s="10">
        <v>100</v>
      </c>
      <c r="B104" s="20" t="s">
        <v>114</v>
      </c>
      <c r="C104" s="44">
        <f>+'1'!C104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6"/>
      <c r="M104" s="54"/>
      <c r="U104" s="5"/>
    </row>
    <row r="105" spans="1:21">
      <c r="A105" s="10">
        <v>101</v>
      </c>
      <c r="B105" s="20" t="s">
        <v>115</v>
      </c>
      <c r="C105" s="44">
        <f>+'1'!C105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6"/>
      <c r="M105" s="54"/>
      <c r="U105" s="5"/>
    </row>
    <row r="106" spans="1:21">
      <c r="A106" s="10">
        <v>102</v>
      </c>
      <c r="B106" s="20" t="s">
        <v>116</v>
      </c>
      <c r="C106" s="44">
        <f>+'1'!C106</f>
        <v>4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4">
        <f t="shared" si="5"/>
        <v>4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4">
        <f t="shared" si="6"/>
        <v>3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1</v>
      </c>
      <c r="I106" s="23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20</v>
      </c>
      <c r="K106" s="16"/>
      <c r="M106" s="54"/>
      <c r="U106" s="5"/>
    </row>
    <row r="107" spans="1:21">
      <c r="A107" s="10">
        <v>103</v>
      </c>
      <c r="B107" s="20" t="s">
        <v>117</v>
      </c>
      <c r="C107" s="44">
        <f>+'1'!C107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6"/>
      <c r="M107" s="54"/>
      <c r="U107" s="5"/>
    </row>
    <row r="108" spans="1:21">
      <c r="A108" s="10">
        <v>104</v>
      </c>
      <c r="B108" s="20" t="s">
        <v>119</v>
      </c>
      <c r="C108" s="44">
        <f>+'1'!C108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6"/>
      <c r="M108" s="54"/>
      <c r="U108" s="5"/>
    </row>
    <row r="109" spans="1:21">
      <c r="A109" s="10">
        <v>105</v>
      </c>
      <c r="B109" s="20" t="s">
        <v>120</v>
      </c>
      <c r="C109" s="44">
        <f>+'1'!C109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6"/>
      <c r="M109" s="54"/>
      <c r="U109" s="5"/>
    </row>
    <row r="110" spans="1:21">
      <c r="A110" s="10">
        <v>106</v>
      </c>
      <c r="B110" s="20" t="s">
        <v>121</v>
      </c>
      <c r="C110" s="44">
        <f>+'1'!C110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6"/>
      <c r="M110" s="54"/>
      <c r="U110" s="5"/>
    </row>
    <row r="111" spans="1:21">
      <c r="A111" s="10">
        <v>107</v>
      </c>
      <c r="B111" s="20" t="s">
        <v>122</v>
      </c>
      <c r="C111" s="44">
        <f>+'1'!C111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6"/>
      <c r="M111" s="54"/>
      <c r="U111" s="5"/>
    </row>
    <row r="112" spans="1:21">
      <c r="A112" s="10">
        <v>108</v>
      </c>
      <c r="B112" s="20" t="s">
        <v>123</v>
      </c>
      <c r="C112" s="44">
        <f>+'1'!C112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6"/>
      <c r="M112" s="54"/>
      <c r="U112" s="5"/>
    </row>
    <row r="113" spans="1:21">
      <c r="A113" s="10">
        <v>109</v>
      </c>
      <c r="B113" s="20" t="s">
        <v>124</v>
      </c>
      <c r="C113" s="44">
        <f>+'1'!C113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6"/>
      <c r="M113" s="54"/>
      <c r="U113" s="5"/>
    </row>
    <row r="114" spans="1:21">
      <c r="A114" s="10">
        <v>110</v>
      </c>
      <c r="B114" s="20" t="s">
        <v>125</v>
      </c>
      <c r="C114" s="44">
        <f>+'1'!C114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</v>
      </c>
      <c r="E114" s="44">
        <f t="shared" si="5"/>
        <v>1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1</v>
      </c>
      <c r="I114" s="21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35</v>
      </c>
      <c r="K114" s="16"/>
      <c r="M114" s="54"/>
      <c r="U114" s="5"/>
    </row>
    <row r="115" spans="1:21">
      <c r="A115" s="10">
        <v>111</v>
      </c>
      <c r="B115" s="20" t="s">
        <v>126</v>
      </c>
      <c r="C115" s="44">
        <f>+'1'!C115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6"/>
      <c r="M115" s="54"/>
      <c r="U115" s="5"/>
    </row>
    <row r="116" spans="1:21">
      <c r="A116" s="10">
        <v>112</v>
      </c>
      <c r="B116" s="20" t="s">
        <v>127</v>
      </c>
      <c r="C116" s="44">
        <f>+'1'!C116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6"/>
      <c r="M116" s="54"/>
      <c r="U116" s="5"/>
    </row>
    <row r="117" spans="1:21">
      <c r="A117" s="10">
        <v>113</v>
      </c>
      <c r="B117" s="20" t="s">
        <v>128</v>
      </c>
      <c r="C117" s="44">
        <f>+'1'!C117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6"/>
      <c r="M117" s="54"/>
      <c r="U117" s="5"/>
    </row>
    <row r="118" spans="1:21">
      <c r="A118" s="10">
        <v>114</v>
      </c>
      <c r="B118" s="20" t="s">
        <v>129</v>
      </c>
      <c r="C118" s="44">
        <f>+'1'!C118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6"/>
      <c r="M118" s="54"/>
      <c r="U118" s="5"/>
    </row>
    <row r="119" spans="1:21">
      <c r="A119" s="10">
        <v>115</v>
      </c>
      <c r="B119" s="20" t="s">
        <v>130</v>
      </c>
      <c r="C119" s="44">
        <f>+'1'!C119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6"/>
      <c r="M119" s="54"/>
      <c r="U119" s="5"/>
    </row>
    <row r="120" spans="1:21">
      <c r="A120" s="10">
        <v>116</v>
      </c>
      <c r="B120" s="20" t="s">
        <v>131</v>
      </c>
      <c r="C120" s="44">
        <f>+'1'!C120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6"/>
      <c r="M120" s="54"/>
      <c r="U120" s="5"/>
    </row>
    <row r="121" spans="1:21">
      <c r="A121" s="10">
        <v>117</v>
      </c>
      <c r="B121" s="20" t="s">
        <v>132</v>
      </c>
      <c r="C121" s="44">
        <f>+'1'!C121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3</v>
      </c>
      <c r="E121" s="44">
        <f t="shared" si="5"/>
        <v>3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3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6"/>
      <c r="M121" s="54"/>
      <c r="U121" s="5"/>
    </row>
    <row r="122" spans="1:21">
      <c r="A122" s="10">
        <v>118</v>
      </c>
      <c r="B122" s="20" t="s">
        <v>133</v>
      </c>
      <c r="C122" s="44">
        <f>+'1'!C122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6"/>
      <c r="M122" s="54"/>
      <c r="U122" s="5"/>
    </row>
    <row r="123" spans="1:21">
      <c r="A123" s="10">
        <v>119</v>
      </c>
      <c r="B123" s="20" t="s">
        <v>134</v>
      </c>
      <c r="C123" s="44">
        <f>+'1'!C123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6"/>
      <c r="M123" s="54"/>
      <c r="U123" s="5"/>
    </row>
    <row r="124" spans="1:21">
      <c r="A124" s="10">
        <v>120</v>
      </c>
      <c r="B124" s="20" t="s">
        <v>135</v>
      </c>
      <c r="C124" s="44">
        <f>+'1'!C124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6"/>
      <c r="M124" s="54"/>
      <c r="U124" s="5"/>
    </row>
    <row r="125" spans="1:21">
      <c r="A125" s="10">
        <v>121</v>
      </c>
      <c r="B125" s="20" t="s">
        <v>136</v>
      </c>
      <c r="C125" s="44">
        <f>+'1'!C125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6"/>
      <c r="M125" s="54"/>
      <c r="U125" s="5"/>
    </row>
    <row r="126" spans="1:21">
      <c r="A126" s="10">
        <v>122</v>
      </c>
      <c r="B126" s="20" t="s">
        <v>137</v>
      </c>
      <c r="C126" s="44">
        <f>+'1'!C126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6"/>
      <c r="M126" s="54"/>
      <c r="U126" s="5"/>
    </row>
    <row r="127" spans="1:21">
      <c r="A127" s="10">
        <v>123</v>
      </c>
      <c r="B127" s="20" t="s">
        <v>138</v>
      </c>
      <c r="C127" s="44">
        <f>+'1'!C127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6"/>
      <c r="M127" s="54"/>
      <c r="U127" s="5"/>
    </row>
    <row r="128" spans="1:21">
      <c r="A128" s="10">
        <v>124</v>
      </c>
      <c r="B128" s="20" t="s">
        <v>139</v>
      </c>
      <c r="C128" s="44">
        <f>+'1'!C128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6"/>
      <c r="M128" s="54"/>
      <c r="U128" s="5"/>
    </row>
    <row r="129" spans="1:21">
      <c r="A129" s="10">
        <v>125</v>
      </c>
      <c r="B129" s="20" t="s">
        <v>140</v>
      </c>
      <c r="C129" s="44">
        <f>+'1'!C129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6"/>
      <c r="M129" s="54"/>
      <c r="U129" s="5"/>
    </row>
    <row r="130" spans="1:21">
      <c r="A130" s="10">
        <v>126</v>
      </c>
      <c r="B130" s="20" t="s">
        <v>141</v>
      </c>
      <c r="C130" s="44">
        <f>+'1'!C130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6"/>
      <c r="M130" s="54"/>
      <c r="U130" s="5"/>
    </row>
    <row r="131" spans="1:21">
      <c r="A131" s="10">
        <v>127</v>
      </c>
      <c r="B131" s="20" t="s">
        <v>142</v>
      </c>
      <c r="C131" s="44">
        <f>+'1'!C131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6"/>
      <c r="M131" s="54"/>
      <c r="U131" s="5"/>
    </row>
    <row r="132" spans="1:21">
      <c r="A132" s="10">
        <v>128</v>
      </c>
      <c r="B132" s="20" t="s">
        <v>143</v>
      </c>
      <c r="C132" s="44">
        <f>+'1'!C132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6"/>
      <c r="M132" s="54"/>
      <c r="U132" s="5"/>
    </row>
    <row r="133" spans="1:21">
      <c r="A133" s="10">
        <v>129</v>
      </c>
      <c r="B133" s="20" t="s">
        <v>144</v>
      </c>
      <c r="C133" s="44">
        <f>+'1'!C133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6"/>
      <c r="M133" s="54"/>
      <c r="U133" s="5"/>
    </row>
    <row r="134" spans="1:21">
      <c r="A134" s="10">
        <v>130</v>
      </c>
      <c r="B134" s="20" t="s">
        <v>145</v>
      </c>
      <c r="C134" s="44">
        <f>+'1'!C134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4">
        <f t="shared" si="5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4">
        <f t="shared" ref="G134:G197" si="7">E134-F134-H134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6"/>
      <c r="M134" s="54"/>
      <c r="U134" s="5"/>
    </row>
    <row r="135" spans="1:21">
      <c r="A135" s="10">
        <v>131</v>
      </c>
      <c r="B135" s="20" t="s">
        <v>146</v>
      </c>
      <c r="C135" s="44">
        <f>+'1'!C135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4">
        <f t="shared" si="5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4">
        <f t="shared" si="7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6"/>
      <c r="M135" s="54"/>
      <c r="U135" s="5"/>
    </row>
    <row r="136" spans="1:21">
      <c r="A136" s="10">
        <v>132</v>
      </c>
      <c r="B136" s="20" t="s">
        <v>147</v>
      </c>
      <c r="C136" s="44">
        <f>+'1'!C136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4">
        <f t="shared" si="5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4">
        <f t="shared" si="7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6"/>
      <c r="M136" s="54"/>
      <c r="U136" s="5"/>
    </row>
    <row r="137" spans="1:21">
      <c r="A137" s="10">
        <v>133</v>
      </c>
      <c r="B137" s="20" t="s">
        <v>148</v>
      </c>
      <c r="C137" s="44">
        <f>+'1'!C137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4">
        <f t="shared" si="5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4">
        <f t="shared" si="7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6"/>
      <c r="M137" s="54"/>
      <c r="U137" s="5"/>
    </row>
    <row r="138" spans="1:21">
      <c r="A138" s="10">
        <v>134</v>
      </c>
      <c r="B138" s="20" t="s">
        <v>149</v>
      </c>
      <c r="C138" s="44">
        <f>+'1'!C138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4">
        <f t="shared" si="5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4">
        <f t="shared" si="7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6"/>
      <c r="M138" s="54"/>
      <c r="U138" s="5"/>
    </row>
    <row r="139" spans="1:21">
      <c r="A139" s="10">
        <v>135</v>
      </c>
      <c r="B139" s="20" t="s">
        <v>150</v>
      </c>
      <c r="C139" s="44">
        <f>+'1'!C139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4">
        <f t="shared" si="5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4">
        <f t="shared" si="7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6"/>
      <c r="M139" s="54"/>
      <c r="U139" s="5"/>
    </row>
    <row r="140" spans="1:21">
      <c r="A140" s="10">
        <v>136</v>
      </c>
      <c r="B140" s="20" t="s">
        <v>151</v>
      </c>
      <c r="C140" s="44">
        <f>+'1'!C140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4">
        <f t="shared" si="5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4">
        <f t="shared" si="7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6"/>
      <c r="M140" s="54"/>
      <c r="U140" s="5"/>
    </row>
    <row r="141" spans="1:21">
      <c r="A141" s="10">
        <v>137</v>
      </c>
      <c r="B141" s="20" t="s">
        <v>152</v>
      </c>
      <c r="C141" s="44">
        <f>+'1'!C141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4">
        <f t="shared" si="5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4">
        <f t="shared" si="7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6"/>
      <c r="M141" s="54"/>
      <c r="U141" s="5"/>
    </row>
    <row r="142" spans="1:21">
      <c r="A142" s="10">
        <v>138</v>
      </c>
      <c r="B142" s="20" t="s">
        <v>153</v>
      </c>
      <c r="C142" s="44">
        <f>+'1'!C142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4">
        <f t="shared" si="5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4">
        <f t="shared" si="7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6"/>
      <c r="M142" s="54"/>
      <c r="U142" s="5"/>
    </row>
    <row r="143" spans="1:21">
      <c r="A143" s="10">
        <v>139</v>
      </c>
      <c r="B143" s="20" t="s">
        <v>154</v>
      </c>
      <c r="C143" s="44">
        <f>+'1'!C143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4">
        <f t="shared" si="5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4">
        <f t="shared" si="7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6"/>
      <c r="M143" s="54"/>
      <c r="U143" s="5"/>
    </row>
    <row r="144" spans="1:21">
      <c r="A144" s="10">
        <v>140</v>
      </c>
      <c r="B144" s="20" t="s">
        <v>155</v>
      </c>
      <c r="C144" s="44">
        <f>+'1'!C144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4">
        <f t="shared" si="5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4">
        <f t="shared" si="7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6"/>
      <c r="M144" s="54"/>
      <c r="U144" s="5"/>
    </row>
    <row r="145" spans="1:21">
      <c r="A145" s="10">
        <v>141</v>
      </c>
      <c r="B145" s="20" t="s">
        <v>156</v>
      </c>
      <c r="C145" s="44">
        <f>+'1'!C145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4">
        <f t="shared" si="5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4">
        <f t="shared" si="7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6"/>
      <c r="M145" s="54"/>
      <c r="U145" s="5"/>
    </row>
    <row r="146" spans="1:21">
      <c r="A146" s="10">
        <v>142</v>
      </c>
      <c r="B146" s="20" t="s">
        <v>157</v>
      </c>
      <c r="C146" s="44">
        <f>+'1'!C146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4">
        <f t="shared" si="5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4">
        <f t="shared" si="7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6"/>
      <c r="M146" s="54"/>
      <c r="U146" s="5"/>
    </row>
    <row r="147" spans="1:21">
      <c r="A147" s="10">
        <v>143</v>
      </c>
      <c r="B147" s="20" t="s">
        <v>158</v>
      </c>
      <c r="C147" s="44">
        <f>+'1'!C147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4">
        <f t="shared" si="5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4">
        <f t="shared" si="7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6"/>
      <c r="M147" s="54"/>
      <c r="U147" s="5"/>
    </row>
    <row r="148" spans="1:21">
      <c r="A148" s="10">
        <v>144</v>
      </c>
      <c r="B148" s="20" t="s">
        <v>159</v>
      </c>
      <c r="C148" s="44">
        <f>+'1'!C148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4">
        <f t="shared" si="5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4">
        <f t="shared" si="7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6"/>
      <c r="M148" s="54"/>
      <c r="U148" s="5"/>
    </row>
    <row r="149" spans="1:21">
      <c r="A149" s="10">
        <v>145</v>
      </c>
      <c r="B149" s="20" t="s">
        <v>160</v>
      </c>
      <c r="C149" s="44">
        <f>+'1'!C149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4">
        <f t="shared" si="5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4">
        <f t="shared" si="7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6"/>
      <c r="M149" s="54"/>
      <c r="U149" s="5"/>
    </row>
    <row r="150" spans="1:21">
      <c r="A150" s="10">
        <v>146</v>
      </c>
      <c r="B150" s="20" t="s">
        <v>161</v>
      </c>
      <c r="C150" s="44">
        <f>+'1'!C150</f>
        <v>5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4">
        <f t="shared" si="5"/>
        <v>5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4">
        <f t="shared" si="7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5</v>
      </c>
      <c r="I150" s="21">
        <v>120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600</v>
      </c>
      <c r="K150" s="16"/>
      <c r="M150" s="54"/>
      <c r="U150" s="5"/>
    </row>
    <row r="151" spans="1:21">
      <c r="A151" s="10">
        <v>147</v>
      </c>
      <c r="B151" s="20" t="s">
        <v>162</v>
      </c>
      <c r="C151" s="44">
        <f>+'1'!C151</f>
        <v>4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4">
        <f t="shared" si="5"/>
        <v>4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4">
        <f t="shared" si="7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4</v>
      </c>
      <c r="I151" s="21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480</v>
      </c>
      <c r="K151" s="16"/>
      <c r="M151" s="54"/>
      <c r="U151" s="5"/>
    </row>
    <row r="152" spans="1:21">
      <c r="A152" s="10">
        <v>148</v>
      </c>
      <c r="B152" s="20" t="s">
        <v>163</v>
      </c>
      <c r="C152" s="44">
        <f>+'1'!C152</f>
        <v>6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4">
        <f t="shared" si="5"/>
        <v>6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4">
        <f t="shared" si="7"/>
        <v>2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4</v>
      </c>
      <c r="I152" s="21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480</v>
      </c>
      <c r="K152" s="16"/>
      <c r="M152" s="54"/>
      <c r="U152" s="5"/>
    </row>
    <row r="153" spans="1:21">
      <c r="A153" s="10">
        <v>149</v>
      </c>
      <c r="B153" s="20" t="s">
        <v>164</v>
      </c>
      <c r="C153" s="44">
        <f>+'1'!C153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4">
        <f t="shared" si="5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4">
        <f t="shared" si="7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6"/>
      <c r="M153" s="54"/>
      <c r="U153" s="5"/>
    </row>
    <row r="154" spans="1:21">
      <c r="A154" s="10">
        <v>150</v>
      </c>
      <c r="B154" s="20" t="s">
        <v>165</v>
      </c>
      <c r="C154" s="44">
        <f>+'1'!C154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4">
        <f t="shared" si="5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4">
        <f t="shared" si="7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6"/>
      <c r="M154" s="54"/>
      <c r="U154" s="5"/>
    </row>
    <row r="155" spans="1:21">
      <c r="A155" s="10">
        <v>151</v>
      </c>
      <c r="B155" s="20" t="s">
        <v>166</v>
      </c>
      <c r="C155" s="44">
        <f>+'1'!C155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4">
        <f t="shared" si="5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4">
        <f t="shared" si="7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6"/>
      <c r="M155" s="54"/>
      <c r="U155" s="5"/>
    </row>
    <row r="156" spans="1:21">
      <c r="A156" s="10">
        <v>152</v>
      </c>
      <c r="B156" s="20" t="s">
        <v>167</v>
      </c>
      <c r="C156" s="44">
        <f>+'1'!C156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4">
        <f t="shared" si="5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4">
        <f t="shared" si="7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6"/>
      <c r="M156" s="54"/>
      <c r="U156" s="5"/>
    </row>
    <row r="157" spans="1:21">
      <c r="A157" s="10">
        <v>153</v>
      </c>
      <c r="B157" s="20" t="s">
        <v>168</v>
      </c>
      <c r="C157" s="44">
        <f>+'1'!C157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4">
        <f t="shared" si="5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4">
        <f t="shared" si="7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6"/>
      <c r="M157" s="54"/>
      <c r="U157" s="5"/>
    </row>
    <row r="158" spans="1:21">
      <c r="A158" s="10">
        <v>154</v>
      </c>
      <c r="B158" s="20" t="s">
        <v>169</v>
      </c>
      <c r="C158" s="44">
        <f>+'1'!C158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4">
        <f t="shared" si="5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4">
        <f t="shared" si="7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6"/>
      <c r="M158" s="54"/>
      <c r="U158" s="5"/>
    </row>
    <row r="159" spans="1:21">
      <c r="A159" s="10">
        <v>155</v>
      </c>
      <c r="B159" s="20" t="s">
        <v>170</v>
      </c>
      <c r="C159" s="44">
        <f>+'1'!C159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4">
        <f t="shared" si="5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4">
        <f t="shared" si="7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6"/>
      <c r="M159" s="54"/>
      <c r="U159" s="5"/>
    </row>
    <row r="160" spans="1:21">
      <c r="A160" s="10">
        <v>156</v>
      </c>
      <c r="B160" s="20" t="s">
        <v>171</v>
      </c>
      <c r="C160" s="44">
        <f>+'1'!C160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4">
        <f t="shared" si="5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4">
        <f t="shared" si="7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6"/>
      <c r="M160" s="54"/>
      <c r="U160" s="5"/>
    </row>
    <row r="161" spans="1:21">
      <c r="A161" s="10">
        <v>157</v>
      </c>
      <c r="B161" s="20" t="s">
        <v>172</v>
      </c>
      <c r="C161" s="44">
        <f>+'1'!C161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4">
        <f t="shared" si="5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4">
        <f t="shared" si="7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6"/>
      <c r="M161" s="54"/>
      <c r="U161" s="5"/>
    </row>
    <row r="162" spans="1:21">
      <c r="A162" s="10">
        <v>158</v>
      </c>
      <c r="B162" s="20" t="s">
        <v>173</v>
      </c>
      <c r="C162" s="44">
        <f>+'1'!C162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4">
        <f t="shared" si="5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4">
        <f t="shared" si="7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6"/>
      <c r="M162" s="54"/>
      <c r="U162" s="5"/>
    </row>
    <row r="163" spans="1:21">
      <c r="A163" s="10">
        <v>159</v>
      </c>
      <c r="B163" s="20" t="s">
        <v>174</v>
      </c>
      <c r="C163" s="44">
        <f>+'1'!C163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4</v>
      </c>
      <c r="E163" s="44">
        <f t="shared" si="5"/>
        <v>4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4">
        <f t="shared" si="7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4</v>
      </c>
      <c r="I163" s="21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100</v>
      </c>
      <c r="K163" s="16"/>
      <c r="M163" s="54"/>
      <c r="U163" s="5"/>
    </row>
    <row r="164" spans="1:21">
      <c r="A164" s="10">
        <v>160</v>
      </c>
      <c r="B164" s="20" t="s">
        <v>175</v>
      </c>
      <c r="C164" s="44">
        <f>+'1'!C164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4">
        <f t="shared" si="5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4">
        <f t="shared" si="7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6"/>
      <c r="M164" s="54"/>
      <c r="U164" s="5"/>
    </row>
    <row r="165" spans="1:21">
      <c r="A165" s="10">
        <v>161</v>
      </c>
      <c r="B165" s="20" t="s">
        <v>176</v>
      </c>
      <c r="C165" s="44">
        <f>+'1'!C165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4">
        <f t="shared" si="5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4">
        <f t="shared" si="7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6"/>
      <c r="M165" s="54"/>
      <c r="U165" s="5"/>
    </row>
    <row r="166" spans="1:21">
      <c r="A166" s="10">
        <v>162</v>
      </c>
      <c r="B166" s="20" t="s">
        <v>177</v>
      </c>
      <c r="C166" s="44">
        <f>+'1'!C166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4">
        <f t="shared" si="5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4">
        <f t="shared" si="7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6"/>
      <c r="M166" s="54"/>
      <c r="U166" s="5"/>
    </row>
    <row r="167" spans="1:21">
      <c r="A167" s="10">
        <v>163</v>
      </c>
      <c r="B167" s="20" t="s">
        <v>178</v>
      </c>
      <c r="C167" s="44">
        <f>+'1'!C167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4">
        <f t="shared" si="5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4">
        <f t="shared" si="7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6"/>
      <c r="M167" s="54"/>
      <c r="U167" s="5"/>
    </row>
    <row r="168" spans="1:21">
      <c r="A168" s="10">
        <v>164</v>
      </c>
      <c r="B168" s="20" t="s">
        <v>179</v>
      </c>
      <c r="C168" s="44">
        <f>+'1'!C168</f>
        <v>1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30</v>
      </c>
      <c r="E168" s="44">
        <f t="shared" si="5"/>
        <v>31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4">
        <f t="shared" si="7"/>
        <v>27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4</v>
      </c>
      <c r="I168" s="21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220</v>
      </c>
      <c r="K168" s="16"/>
      <c r="M168" s="54"/>
      <c r="U168" s="5"/>
    </row>
    <row r="169" spans="1:21">
      <c r="A169" s="10">
        <v>165</v>
      </c>
      <c r="B169" s="20" t="s">
        <v>180</v>
      </c>
      <c r="C169" s="44">
        <f>+'1'!C169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4">
        <f t="shared" si="5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4">
        <f t="shared" si="7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80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6"/>
      <c r="M169" s="54"/>
      <c r="U169" s="5"/>
    </row>
    <row r="170" spans="1:21">
      <c r="A170" s="10">
        <v>166</v>
      </c>
      <c r="B170" s="20" t="s">
        <v>181</v>
      </c>
      <c r="C170" s="44">
        <f>+'1'!C170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4">
        <f t="shared" si="5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4">
        <f t="shared" si="7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6"/>
      <c r="M170" s="54"/>
      <c r="U170" s="5"/>
    </row>
    <row r="171" spans="1:21">
      <c r="A171" s="10">
        <v>167</v>
      </c>
      <c r="B171" s="20" t="s">
        <v>182</v>
      </c>
      <c r="C171" s="44">
        <f>+'1'!C171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4">
        <f t="shared" si="5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4">
        <f t="shared" si="7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6"/>
      <c r="M171" s="54"/>
      <c r="U171" s="5"/>
    </row>
    <row r="172" spans="1:21">
      <c r="A172" s="10">
        <v>168</v>
      </c>
      <c r="B172" s="20" t="s">
        <v>183</v>
      </c>
      <c r="C172" s="44">
        <f>+'1'!C172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4">
        <f t="shared" si="5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4">
        <f t="shared" si="7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6"/>
      <c r="M172" s="54"/>
      <c r="U172" s="5"/>
    </row>
    <row r="173" spans="1:21">
      <c r="A173" s="10">
        <v>169</v>
      </c>
      <c r="B173" s="20" t="s">
        <v>184</v>
      </c>
      <c r="C173" s="44">
        <f>+'1'!C173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4">
        <f t="shared" si="5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4">
        <f t="shared" si="7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6"/>
      <c r="M173" s="54"/>
      <c r="U173" s="5"/>
    </row>
    <row r="174" spans="1:21">
      <c r="A174" s="10">
        <v>170</v>
      </c>
      <c r="B174" s="20" t="s">
        <v>185</v>
      </c>
      <c r="C174" s="44">
        <f>+'1'!C174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4">
        <f t="shared" si="5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4">
        <f t="shared" si="7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6"/>
      <c r="M174" s="54"/>
      <c r="U174" s="5"/>
    </row>
    <row r="175" spans="1:21">
      <c r="A175" s="10">
        <v>171</v>
      </c>
      <c r="B175" s="20" t="s">
        <v>186</v>
      </c>
      <c r="C175" s="44">
        <f>+'1'!C175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4">
        <f t="shared" si="5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4">
        <f t="shared" si="7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6"/>
      <c r="M175" s="54"/>
      <c r="U175" s="5"/>
    </row>
    <row r="176" spans="1:21">
      <c r="A176" s="10">
        <v>172</v>
      </c>
      <c r="B176" s="20" t="s">
        <v>187</v>
      </c>
      <c r="C176" s="44">
        <f>+'1'!C176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2</v>
      </c>
      <c r="E176" s="44">
        <f t="shared" si="5"/>
        <v>2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4">
        <f t="shared" si="7"/>
        <v>1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</v>
      </c>
      <c r="I176" s="21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50</v>
      </c>
      <c r="K176" s="16"/>
      <c r="M176" s="54"/>
      <c r="U176" s="5"/>
    </row>
    <row r="177" spans="1:21">
      <c r="A177" s="10">
        <v>173</v>
      </c>
      <c r="B177" s="20" t="s">
        <v>188</v>
      </c>
      <c r="C177" s="44">
        <f>+'1'!C177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4">
        <f t="shared" si="5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4">
        <f t="shared" si="7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6"/>
      <c r="M177" s="54"/>
      <c r="U177" s="5"/>
    </row>
    <row r="178" spans="1:21">
      <c r="A178" s="10">
        <v>174</v>
      </c>
      <c r="B178" s="20" t="s">
        <v>189</v>
      </c>
      <c r="C178" s="44">
        <f>+'1'!C178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4">
        <f t="shared" si="5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4">
        <f t="shared" si="7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1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16"/>
      <c r="M178" s="54"/>
      <c r="U178" s="5"/>
    </row>
    <row r="179" spans="1:21">
      <c r="A179" s="10">
        <v>175</v>
      </c>
      <c r="B179" s="20" t="s">
        <v>190</v>
      </c>
      <c r="C179" s="44">
        <f>+'1'!C179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4">
        <f t="shared" si="5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4">
        <f t="shared" si="7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6"/>
      <c r="M179" s="54"/>
      <c r="U179" s="5"/>
    </row>
    <row r="180" spans="1:21">
      <c r="A180" s="10">
        <v>176</v>
      </c>
      <c r="B180" s="20" t="s">
        <v>191</v>
      </c>
      <c r="C180" s="44">
        <f>+'1'!C180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4">
        <f t="shared" si="5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4">
        <f t="shared" si="7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6"/>
      <c r="M180" s="54"/>
      <c r="U180" s="5"/>
    </row>
    <row r="181" spans="1:21">
      <c r="A181" s="10">
        <v>177</v>
      </c>
      <c r="B181" s="20" t="s">
        <v>192</v>
      </c>
      <c r="C181" s="44">
        <f>+'1'!C181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4">
        <f t="shared" si="5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4">
        <f t="shared" si="7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6"/>
      <c r="M181" s="54"/>
      <c r="U181" s="5"/>
    </row>
    <row r="182" spans="1:21">
      <c r="A182" s="10">
        <v>178</v>
      </c>
      <c r="B182" s="20" t="s">
        <v>193</v>
      </c>
      <c r="C182" s="44">
        <f>+'1'!C182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4">
        <f t="shared" si="5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4">
        <f t="shared" si="7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6"/>
      <c r="M182" s="54"/>
      <c r="U182" s="5"/>
    </row>
    <row r="183" spans="1:21">
      <c r="A183" s="10">
        <v>179</v>
      </c>
      <c r="B183" s="20" t="s">
        <v>194</v>
      </c>
      <c r="C183" s="44">
        <f>+'1'!C183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4">
        <f t="shared" si="5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4">
        <f t="shared" si="7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6"/>
      <c r="M183" s="54"/>
      <c r="U183" s="5"/>
    </row>
    <row r="184" spans="1:21">
      <c r="A184" s="10">
        <v>180</v>
      </c>
      <c r="B184" s="20" t="s">
        <v>195</v>
      </c>
      <c r="C184" s="44">
        <f>+'1'!C184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4">
        <f t="shared" si="5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4">
        <f t="shared" si="7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6"/>
      <c r="M184" s="54"/>
      <c r="U184" s="5"/>
    </row>
    <row r="185" spans="1:21">
      <c r="A185" s="10">
        <v>181</v>
      </c>
      <c r="B185" s="20" t="s">
        <v>196</v>
      </c>
      <c r="C185" s="44">
        <f>+'1'!C185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4">
        <f t="shared" si="5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4">
        <f t="shared" si="7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6"/>
      <c r="M185" s="54"/>
      <c r="U185" s="5"/>
    </row>
    <row r="186" spans="1:21">
      <c r="A186" s="10">
        <v>182</v>
      </c>
      <c r="B186" s="20" t="s">
        <v>197</v>
      </c>
      <c r="C186" s="44">
        <f>+'1'!C186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4">
        <f t="shared" si="5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4">
        <f t="shared" si="7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6"/>
      <c r="M186" s="54"/>
      <c r="U186" s="5"/>
    </row>
    <row r="187" spans="1:21">
      <c r="A187" s="10">
        <v>183</v>
      </c>
      <c r="B187" s="20" t="s">
        <v>198</v>
      </c>
      <c r="C187" s="44">
        <f>+'1'!C187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4">
        <f t="shared" si="5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4">
        <f t="shared" si="7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6"/>
      <c r="M187" s="54"/>
      <c r="U187" s="5"/>
    </row>
    <row r="188" spans="1:21">
      <c r="A188" s="10">
        <v>184</v>
      </c>
      <c r="B188" s="20" t="s">
        <v>199</v>
      </c>
      <c r="C188" s="44">
        <f>+'1'!C188</f>
        <v>20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4">
        <f t="shared" si="5"/>
        <v>20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4">
        <f t="shared" si="7"/>
        <v>18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2</v>
      </c>
      <c r="I188" s="16">
        <v>15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20</v>
      </c>
      <c r="K188" s="16"/>
      <c r="M188" s="54"/>
      <c r="U188" s="5"/>
    </row>
    <row r="189" spans="1:21">
      <c r="A189" s="10">
        <v>185</v>
      </c>
      <c r="B189" s="20" t="s">
        <v>200</v>
      </c>
      <c r="C189" s="44">
        <f>+'1'!C189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4">
        <f t="shared" si="5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4">
        <f t="shared" si="7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6"/>
      <c r="M189" s="54"/>
      <c r="U189" s="5"/>
    </row>
    <row r="190" spans="1:21">
      <c r="A190" s="10">
        <v>186</v>
      </c>
      <c r="B190" s="20" t="s">
        <v>201</v>
      </c>
      <c r="C190" s="44">
        <f>+'1'!C190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4">
        <f t="shared" si="5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4">
        <f t="shared" si="7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6"/>
      <c r="M190" s="54"/>
      <c r="U190" s="5"/>
    </row>
    <row r="191" spans="1:21">
      <c r="A191" s="10">
        <v>187</v>
      </c>
      <c r="B191" s="20" t="s">
        <v>202</v>
      </c>
      <c r="C191" s="44">
        <f>+'1'!C191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4">
        <f t="shared" si="5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4">
        <f t="shared" si="7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15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6"/>
      <c r="M191" s="54"/>
      <c r="U191" s="5"/>
    </row>
    <row r="192" spans="1:21">
      <c r="A192" s="10">
        <v>188</v>
      </c>
      <c r="B192" s="20" t="s">
        <v>203</v>
      </c>
      <c r="C192" s="44">
        <f>+'1'!C192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4">
        <f t="shared" si="5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4">
        <f t="shared" si="7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35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6"/>
      <c r="M192" s="54"/>
      <c r="U192" s="5"/>
    </row>
    <row r="193" spans="1:21">
      <c r="A193" s="10">
        <v>189</v>
      </c>
      <c r="B193" s="20" t="s">
        <v>204</v>
      </c>
      <c r="C193" s="44">
        <f>+'1'!C193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4">
        <f t="shared" si="5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4">
        <f t="shared" si="7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6"/>
      <c r="M193" s="54"/>
      <c r="U193" s="5"/>
    </row>
    <row r="194" spans="1:21">
      <c r="A194" s="10">
        <v>190</v>
      </c>
      <c r="B194" s="20" t="s">
        <v>205</v>
      </c>
      <c r="C194" s="44">
        <f>+'1'!C194</f>
        <v>70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4">
        <f t="shared" si="5"/>
        <v>70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4">
        <f t="shared" si="7"/>
        <v>70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25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6"/>
      <c r="M194" s="54"/>
      <c r="U194" s="5"/>
    </row>
    <row r="195" spans="1:21">
      <c r="A195" s="10">
        <v>191</v>
      </c>
      <c r="B195" s="20" t="s">
        <v>206</v>
      </c>
      <c r="C195" s="44">
        <f>+'1'!C195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4">
        <f t="shared" si="5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4">
        <f t="shared" si="7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45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6"/>
      <c r="M195" s="54"/>
      <c r="U195" s="5"/>
    </row>
    <row r="196" spans="1:21">
      <c r="A196" s="10">
        <v>192</v>
      </c>
      <c r="B196" s="20" t="s">
        <v>207</v>
      </c>
      <c r="C196" s="44">
        <f>+'1'!C196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4">
        <f t="shared" si="5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4">
        <f t="shared" si="7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25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6"/>
      <c r="M196" s="54"/>
      <c r="U196" s="5"/>
    </row>
    <row r="197" spans="1:21">
      <c r="A197" s="10">
        <v>193</v>
      </c>
      <c r="B197" s="20" t="s">
        <v>208</v>
      </c>
      <c r="C197" s="44">
        <f>+'1'!C197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4">
        <f t="shared" si="5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4">
        <f t="shared" si="7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6"/>
      <c r="M197" s="54"/>
      <c r="U197" s="5"/>
    </row>
    <row r="198" spans="1:21">
      <c r="A198" s="10">
        <v>194</v>
      </c>
      <c r="B198" s="20" t="s">
        <v>209</v>
      </c>
      <c r="C198" s="44">
        <f>+'1'!C198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4">
        <f t="shared" si="5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4">
        <f t="shared" ref="G198:G224" si="8">E198-F198-H198</f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65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6"/>
      <c r="M198" s="54"/>
      <c r="U198" s="5"/>
    </row>
    <row r="199" spans="1:21">
      <c r="A199" s="10">
        <v>195</v>
      </c>
      <c r="B199" s="20" t="s">
        <v>210</v>
      </c>
      <c r="C199" s="44">
        <f>+'1'!C199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4">
        <f t="shared" si="5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4">
        <f t="shared" si="8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120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6"/>
      <c r="M199" s="54"/>
      <c r="U199" s="5"/>
    </row>
    <row r="200" spans="1:21">
      <c r="A200" s="10">
        <v>196</v>
      </c>
      <c r="B200" s="20" t="s">
        <v>211</v>
      </c>
      <c r="C200" s="44">
        <f>+'1'!C200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4">
        <f t="shared" si="5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4">
        <f t="shared" si="8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150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6"/>
      <c r="M200" s="54"/>
      <c r="U200" s="5"/>
    </row>
    <row r="201" spans="1:21">
      <c r="A201" s="10">
        <v>197</v>
      </c>
      <c r="B201" s="20" t="s">
        <v>212</v>
      </c>
      <c r="C201" s="44">
        <f>+'1'!C201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4">
        <f t="shared" si="5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4">
        <f t="shared" si="8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150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6"/>
      <c r="M201" s="54"/>
      <c r="U201" s="5"/>
    </row>
    <row r="202" spans="1:21">
      <c r="A202" s="10">
        <v>198</v>
      </c>
      <c r="B202" s="20" t="s">
        <v>225</v>
      </c>
      <c r="C202" s="44">
        <f>+'1'!C202</f>
        <v>1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4">
        <f t="shared" si="5"/>
        <v>1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4">
        <f t="shared" si="8"/>
        <v>1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6"/>
      <c r="M202" s="54"/>
      <c r="U202" s="5"/>
    </row>
    <row r="203" spans="1:21">
      <c r="A203" s="10">
        <v>199</v>
      </c>
      <c r="B203" s="20" t="s">
        <v>253</v>
      </c>
      <c r="C203" s="44">
        <f>+'1'!C203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4">
        <f t="shared" ref="E203:E224" si="9">+C203+D203</f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4">
        <f t="shared" si="8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25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6"/>
      <c r="M203" s="54"/>
      <c r="U203" s="5"/>
    </row>
    <row r="204" spans="1:21">
      <c r="A204" s="10">
        <v>200</v>
      </c>
      <c r="B204" s="20" t="s">
        <v>254</v>
      </c>
      <c r="C204" s="44">
        <f>+'1'!C204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4">
        <f t="shared" si="8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35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6"/>
      <c r="M204" s="54"/>
      <c r="U204" s="5"/>
    </row>
    <row r="205" spans="1:21">
      <c r="A205" s="10">
        <v>201</v>
      </c>
      <c r="B205" s="20" t="s">
        <v>255</v>
      </c>
      <c r="C205" s="44">
        <f>+'1'!C205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4">
        <f t="shared" si="8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20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6"/>
      <c r="M205" s="54"/>
      <c r="U205" s="5"/>
    </row>
    <row r="206" spans="1:21">
      <c r="A206" s="10">
        <v>202</v>
      </c>
      <c r="B206" s="20" t="s">
        <v>256</v>
      </c>
      <c r="C206" s="44">
        <f>+'1'!C206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4">
        <f t="shared" si="8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23">
        <v>20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6"/>
      <c r="M206" s="54"/>
      <c r="U206" s="5"/>
    </row>
    <row r="207" spans="1:21">
      <c r="A207" s="10">
        <v>203</v>
      </c>
      <c r="B207" s="20" t="s">
        <v>257</v>
      </c>
      <c r="C207" s="44">
        <f>+'1'!C207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4">
        <f t="shared" si="8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23">
        <v>20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6"/>
      <c r="M207" s="54"/>
      <c r="U207" s="5"/>
    </row>
    <row r="208" spans="1:21">
      <c r="A208" s="10">
        <v>204</v>
      </c>
      <c r="B208" s="20" t="s">
        <v>258</v>
      </c>
      <c r="C208" s="44">
        <f>+'1'!C208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4">
        <f t="shared" si="8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23">
        <v>20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6"/>
      <c r="M208" s="54"/>
      <c r="U208" s="5"/>
    </row>
    <row r="209" spans="1:22">
      <c r="A209" s="10">
        <v>205</v>
      </c>
      <c r="B209" s="20" t="s">
        <v>259</v>
      </c>
      <c r="C209" s="44">
        <f>+'1'!C209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4">
        <f t="shared" si="8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23">
        <v>20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6"/>
      <c r="M209" s="54"/>
      <c r="U209" s="5"/>
    </row>
    <row r="210" spans="1:22">
      <c r="A210" s="10">
        <v>206</v>
      </c>
      <c r="B210" s="20" t="s">
        <v>260</v>
      </c>
      <c r="C210" s="44">
        <f>+'1'!C210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4">
        <f t="shared" si="8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23">
        <v>20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6"/>
      <c r="M210" s="54"/>
      <c r="U210" s="5"/>
    </row>
    <row r="211" spans="1:22">
      <c r="A211" s="10">
        <v>207</v>
      </c>
      <c r="B211" s="81" t="s">
        <v>261</v>
      </c>
      <c r="C211" s="44">
        <f>+'1'!C211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4">
        <f t="shared" si="8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23">
        <v>20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6"/>
      <c r="M211" s="54"/>
      <c r="U211" s="5"/>
    </row>
    <row r="212" spans="1:22">
      <c r="A212" s="10">
        <v>208</v>
      </c>
      <c r="B212" s="81" t="s">
        <v>262</v>
      </c>
      <c r="C212" s="44">
        <f>+'1'!C212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4">
        <f t="shared" si="8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23">
        <v>10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6"/>
      <c r="M212" s="54"/>
      <c r="U212" s="5"/>
    </row>
    <row r="213" spans="1:22">
      <c r="A213" s="10">
        <v>209</v>
      </c>
      <c r="B213" s="11" t="s">
        <v>264</v>
      </c>
      <c r="C213" s="44">
        <f>+'1'!C213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4">
        <f t="shared" si="8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46">
        <v>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6"/>
      <c r="M213" s="54"/>
      <c r="U213" s="5"/>
    </row>
    <row r="214" spans="1:22">
      <c r="A214" s="10">
        <v>210</v>
      </c>
      <c r="B214" s="11" t="s">
        <v>265</v>
      </c>
      <c r="C214" s="44">
        <f>+'1'!C214</f>
        <v>0</v>
      </c>
      <c r="D214" s="45">
        <f>+'1'!D214+'2'!D215+'3'!D215+'4'!D215+'5'!D215+'6'!D215+'7'!D215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4">
        <f t="shared" si="9"/>
        <v>0</v>
      </c>
      <c r="F214" s="45">
        <f>+'1'!F214+'2'!F215+'3'!F215+'4'!F215+'5'!F215+'6'!F215+'7'!F215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4" t="e">
        <f t="shared" si="8"/>
        <v>#VALUE!</v>
      </c>
      <c r="H214" s="45" t="e">
        <f>+'1'!H214+'2'!H215+'3'!H215+'4'!H215+'5'!H215+'6'!H215+'7'!H215+'8'!H214+'9'!H214+'10'!H214+'11'!H214+'12'!H214+'13'!H214+'14'!H214+'15'!H214+'16'!H214+'17'!H214+'18'!H214+'19'!H214+'20'!H214+'21'!H214+'22'!H214+'23'!H214+'24'!H214+'25'!H214+'26'!H214+'27'!H214+'28'!H214+'29'!H214+'30'!H214+'31'!H214</f>
        <v>#VALUE!</v>
      </c>
      <c r="I214" s="46">
        <v>0</v>
      </c>
      <c r="J214" s="45">
        <f>+'1'!J214+'2'!J215+'3'!J215+'4'!J215+'5'!J215+'6'!J215+'7'!J215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6"/>
      <c r="M214" s="54"/>
      <c r="U214" s="5"/>
    </row>
    <row r="215" spans="1:22">
      <c r="A215" s="10">
        <v>211</v>
      </c>
      <c r="B215" s="11"/>
      <c r="C215" s="44">
        <f>+'1'!C215</f>
        <v>0</v>
      </c>
      <c r="D215" s="45">
        <f>+'1'!D215+'2'!D216+'3'!D216+'4'!D216+'5'!D216+'6'!D216+'7'!D216+'8'!D215+'9'!D215+'10'!D215+'11'!D215+'12'!D217+'13'!D217+'14'!D217+'15'!D217+'16'!D217+'17'!D215+'18'!D215+'19'!D215+'20'!D215+'21'!D215+'22'!D215+'23'!D215+'24'!D215+'25'!D215+'26'!D215+'27'!D215+'28'!D215+'29'!D215+'30'!D215+'31'!D215</f>
        <v>0</v>
      </c>
      <c r="E215" s="44">
        <f t="shared" si="9"/>
        <v>0</v>
      </c>
      <c r="F215" s="45">
        <f>+'1'!F215+'2'!F216+'3'!F216+'4'!F216+'5'!F216+'6'!F216+'7'!F216+'8'!F215+'9'!F215+'10'!F215+'11'!F215+'12'!F217+'13'!F217+'14'!F217+'15'!F217+'16'!F217+'17'!F215+'18'!F215+'19'!F215+'20'!F215+'21'!F215+'22'!F215+'23'!F215+'24'!F215+'25'!F215+'26'!F215+'27'!F215+'28'!F215+'29'!F215+'30'!F215+'31'!F215</f>
        <v>0</v>
      </c>
      <c r="G215" s="44">
        <f t="shared" si="8"/>
        <v>-26</v>
      </c>
      <c r="H215" s="45">
        <f>+'1'!H215+'2'!H216+'3'!H216+'4'!H216+'5'!H216+'6'!H216+'7'!H216+'8'!H215+'9'!H215+'10'!H215+'11'!H215+'12'!H217+'13'!H217+'14'!H217+'15'!H217+'16'!H217+'17'!H215+'18'!H215+'19'!H215+'20'!H215+'21'!H215+'22'!H215+'23'!H215+'24'!H215+'25'!H215+'26'!H215+'27'!H215+'28'!H215+'29'!H215+'30'!H215+'31'!H215</f>
        <v>26</v>
      </c>
      <c r="I215" s="46">
        <v>0</v>
      </c>
      <c r="J215" s="45">
        <f>+'1'!J215+'2'!J216+'3'!J216+'4'!J216+'5'!J216+'6'!J216+'7'!J216+'8'!J215+'9'!J215+'10'!J215+'11'!J215+'12'!J217+'13'!J217+'14'!J217+'15'!J217+'16'!J217+'17'!J215+'18'!J215+'19'!J215+'20'!J215+'21'!J215+'22'!J215+'23'!J215+'24'!J215+'25'!J215+'26'!J215+'27'!J215+'28'!J215+'29'!J215+'30'!J215+'31'!J215</f>
        <v>0</v>
      </c>
      <c r="K215" s="16"/>
      <c r="M215" s="54"/>
      <c r="U215" s="5"/>
    </row>
    <row r="216" spans="1:22">
      <c r="A216" s="10">
        <v>212</v>
      </c>
      <c r="B216" s="11"/>
      <c r="C216" s="44">
        <f>+'1'!C216</f>
        <v>0</v>
      </c>
      <c r="D216" s="45">
        <f>+'1'!D216+'2'!D217+'3'!D217+'4'!D217+'5'!D217+'6'!D217+'7'!D217+'8'!D216+'9'!D216+'10'!D216+'11'!D216+'12'!D218+'13'!D218+'14'!D218+'15'!D218+'16'!D218+'17'!D216+'18'!D216+'19'!D216+'20'!D216+'21'!D216+'22'!D216+'23'!D216+'24'!D216+'25'!D216+'26'!D216+'27'!D216+'28'!D216+'29'!D216+'30'!D216+'31'!D216</f>
        <v>0</v>
      </c>
      <c r="E216" s="44">
        <f t="shared" si="9"/>
        <v>0</v>
      </c>
      <c r="F216" s="45">
        <f>+'1'!F216+'2'!F217+'3'!F217+'4'!F217+'5'!F217+'6'!F217+'7'!F217+'8'!F216+'9'!F216+'10'!F216+'11'!F216+'12'!F218+'13'!F218+'14'!F218+'15'!F218+'16'!F218+'17'!F216+'18'!F216+'19'!F216+'20'!F216+'21'!F216+'22'!F216+'23'!F216+'24'!F216+'25'!F216+'26'!F216+'27'!F216+'28'!F216+'29'!F216+'30'!F216+'31'!F216</f>
        <v>0</v>
      </c>
      <c r="G216" s="44" t="e">
        <f t="shared" si="8"/>
        <v>#VALUE!</v>
      </c>
      <c r="H216" s="45" t="e">
        <f>+'1'!H216+'2'!H217+'3'!H217+'4'!H217+'5'!H217+'6'!H217+'7'!H217+'8'!H216+'9'!H216+'10'!H216+'11'!H216+'12'!H218+'13'!H218+'14'!H218+'15'!H218+'16'!H218+'17'!H216+'18'!H216+'19'!H216+'20'!H216+'21'!H216+'22'!H216+'23'!H216+'24'!H216+'25'!H216+'26'!H216+'27'!H216+'28'!H216+'29'!H216+'30'!H216+'31'!H216</f>
        <v>#VALUE!</v>
      </c>
      <c r="I216" s="46">
        <v>0</v>
      </c>
      <c r="J216" s="45">
        <f>+'1'!J216+'2'!J217+'3'!J217+'4'!J217+'5'!J217+'6'!J217+'7'!J217+'8'!J216+'9'!J216+'10'!J216+'11'!J216+'12'!J218+'13'!J218+'14'!J218+'15'!J218+'16'!J218+'17'!J216+'18'!J216+'19'!J216+'20'!J216+'21'!J216+'22'!J216+'23'!J216+'24'!J216+'25'!J216+'26'!J216+'27'!J216+'28'!J216+'29'!J216+'30'!J216+'31'!J216</f>
        <v>0</v>
      </c>
      <c r="K216" s="16"/>
      <c r="M216" s="54"/>
      <c r="U216" s="5"/>
    </row>
    <row r="217" spans="1:22">
      <c r="A217" s="10">
        <v>213</v>
      </c>
      <c r="B217" s="11"/>
      <c r="C217" s="44">
        <f>+'1'!C217</f>
        <v>0</v>
      </c>
      <c r="D217" s="45">
        <f>+'1'!D217+'2'!D218+'3'!D218+'4'!D218+'5'!D218+'6'!D218+'7'!D218+'8'!D217+'9'!D217+'10'!D217+'11'!D217+'12'!D219+'13'!D219+'14'!D219+'15'!D219+'16'!D219+'17'!D217+'18'!D217+'19'!D217+'20'!D217+'21'!D217+'22'!D217+'23'!D217+'24'!D217+'25'!D217+'26'!D217+'27'!D217+'28'!D217+'29'!D217+'30'!D217+'31'!D217</f>
        <v>0</v>
      </c>
      <c r="E217" s="44">
        <f t="shared" si="9"/>
        <v>0</v>
      </c>
      <c r="F217" s="45">
        <f>+'1'!F217+'2'!F218+'3'!F218+'4'!F218+'5'!F218+'6'!F218+'7'!F218+'8'!F217+'9'!F217+'10'!F217+'11'!F217+'12'!F219+'13'!F219+'14'!F219+'15'!F219+'16'!F219+'17'!F217+'18'!F217+'19'!F217+'20'!F217+'21'!F217+'22'!F217+'23'!F217+'24'!F217+'25'!F217+'26'!F217+'27'!F217+'28'!F217+'29'!F217+'30'!F217+'31'!F217</f>
        <v>0</v>
      </c>
      <c r="G217" s="44">
        <f t="shared" si="8"/>
        <v>0</v>
      </c>
      <c r="H217" s="45">
        <f>+'1'!H217+'2'!H218+'3'!H218+'4'!H218+'5'!H218+'6'!H218+'7'!H218+'8'!H217+'9'!H217+'10'!H217+'11'!H217+'12'!H219+'13'!H219+'14'!H219+'15'!H219+'16'!H219+'17'!H217+'18'!H217+'19'!H217+'20'!H217+'21'!H217+'22'!H217+'23'!H217+'24'!H217+'25'!H217+'26'!H217+'27'!H217+'28'!H217+'29'!H217+'30'!H217+'31'!H217</f>
        <v>0</v>
      </c>
      <c r="I217" s="46">
        <v>0</v>
      </c>
      <c r="J217" s="45">
        <f>+'1'!J217+'2'!J218+'3'!J218+'4'!J218+'5'!J218+'6'!J218+'7'!J218+'8'!J217+'9'!J217+'10'!J217+'11'!J217+'12'!J219+'13'!J219+'14'!J219+'15'!J219+'16'!J219+'17'!J217+'18'!J217+'19'!J217+'20'!J217+'21'!J217+'22'!J217+'23'!J217+'24'!J217+'25'!J217+'26'!J217+'27'!J217+'28'!J217+'29'!J217+'30'!J217+'31'!J217</f>
        <v>0</v>
      </c>
      <c r="K217" s="16"/>
      <c r="M217" s="54"/>
      <c r="U217" s="5"/>
    </row>
    <row r="218" spans="1:22">
      <c r="A218" s="10">
        <v>214</v>
      </c>
      <c r="B218" s="11"/>
      <c r="C218" s="44">
        <f>+'1'!C218</f>
        <v>0</v>
      </c>
      <c r="D218" s="45">
        <f>+'1'!D218+'2'!D219+'3'!D219+'4'!D219+'5'!D219+'6'!D219+'7'!D219+'8'!D218+'9'!D218+'10'!D218+'11'!D218+'12'!D220+'13'!D220+'14'!D220+'15'!D220+'16'!D220+'17'!D218+'18'!D218+'19'!D218+'20'!D218+'21'!D218+'22'!D218+'23'!D218+'24'!D218+'25'!D218+'26'!D218+'27'!D218+'28'!D218+'29'!D218+'30'!D218+'31'!D218</f>
        <v>0</v>
      </c>
      <c r="E218" s="44">
        <f t="shared" si="9"/>
        <v>0</v>
      </c>
      <c r="F218" s="45">
        <f>+'1'!F218+'2'!F219+'3'!F219+'4'!F219+'5'!F219+'6'!F219+'7'!F219+'8'!F218+'9'!F218+'10'!F218+'11'!F218+'12'!F220+'13'!F220+'14'!F220+'15'!F220+'16'!F220+'17'!F218+'18'!F218+'19'!F218+'20'!F218+'21'!F218+'22'!F218+'23'!F218+'24'!F218+'25'!F218+'26'!F218+'27'!F218+'28'!F218+'29'!F218+'30'!F218+'31'!F218</f>
        <v>0</v>
      </c>
      <c r="G218" s="44">
        <f t="shared" si="8"/>
        <v>0</v>
      </c>
      <c r="H218" s="45">
        <f>+'1'!H218+'2'!H219+'3'!H219+'4'!H219+'5'!H219+'6'!H219+'7'!H219+'8'!H218+'9'!H218+'10'!H218+'11'!H218+'12'!H220+'13'!H220+'14'!H220+'15'!H220+'16'!H220+'17'!H218+'18'!H218+'19'!H218+'20'!H218+'21'!H218+'22'!H218+'23'!H218+'24'!H218+'25'!H218+'26'!H218+'27'!H218+'28'!H218+'29'!H218+'30'!H218+'31'!H218</f>
        <v>0</v>
      </c>
      <c r="I218" s="46">
        <v>0</v>
      </c>
      <c r="J218" s="45">
        <f>+'1'!J218+'2'!J219+'3'!J219+'4'!J219+'5'!J219+'6'!J219+'7'!J219+'8'!J218+'9'!J218+'10'!J218+'11'!J218+'12'!J220+'13'!J220+'14'!J220+'15'!J220+'16'!J220+'17'!J218+'18'!J218+'19'!J218+'20'!J218+'21'!J218+'22'!J218+'23'!J218+'24'!J218+'25'!J218+'26'!J218+'27'!J218+'28'!J218+'29'!J218+'30'!J218+'31'!J218</f>
        <v>0</v>
      </c>
      <c r="K218" s="16"/>
      <c r="M218" s="54"/>
      <c r="U218" s="5"/>
    </row>
    <row r="219" spans="1:22">
      <c r="A219" s="10">
        <v>215</v>
      </c>
      <c r="B219" s="11"/>
      <c r="C219" s="44">
        <f>+'1'!C219</f>
        <v>0</v>
      </c>
      <c r="D219" s="45">
        <f>+'1'!D219+'2'!D220+'3'!D220+'4'!D220+'5'!D220+'6'!D220+'7'!D220+'8'!D219+'9'!D219+'10'!D219+'11'!D219+'12'!D221+'13'!D221+'14'!D221+'15'!D221+'16'!D221+'17'!D219+'18'!D219+'19'!D219+'20'!D219+'21'!D219+'22'!D219+'23'!D219+'24'!D219+'25'!D219+'26'!D219+'27'!D219+'28'!D219+'29'!D219+'30'!D219+'31'!D219</f>
        <v>0</v>
      </c>
      <c r="E219" s="44">
        <f t="shared" si="9"/>
        <v>0</v>
      </c>
      <c r="F219" s="45">
        <f>+'1'!F219+'2'!F220+'3'!F220+'4'!F220+'5'!F220+'6'!F220+'7'!F220+'8'!F219+'9'!F219+'10'!F219+'11'!F219+'12'!F221+'13'!F221+'14'!F221+'15'!F221+'16'!F221+'17'!F219+'18'!F219+'19'!F219+'20'!F219+'21'!F219+'22'!F219+'23'!F219+'24'!F219+'25'!F219+'26'!F219+'27'!F219+'28'!F219+'29'!F219+'30'!F219+'31'!F219</f>
        <v>0</v>
      </c>
      <c r="G219" s="44">
        <f t="shared" si="8"/>
        <v>0</v>
      </c>
      <c r="H219" s="45">
        <f>+'1'!H219+'2'!H220+'3'!H220+'4'!H220+'5'!H220+'6'!H220+'7'!H220+'8'!H219+'9'!H219+'10'!H219+'11'!H219+'12'!H221+'13'!H221+'14'!H221+'15'!H221+'16'!H221+'17'!H219+'18'!H219+'19'!H219+'20'!H219+'21'!H219+'22'!H219+'23'!H219+'24'!H219+'25'!H219+'26'!H219+'27'!H219+'28'!H219+'29'!H219+'30'!H219+'31'!H219</f>
        <v>0</v>
      </c>
      <c r="I219" s="46">
        <v>0</v>
      </c>
      <c r="J219" s="45">
        <f>+'1'!J219+'2'!J220+'3'!J220+'4'!J220+'5'!J220+'6'!J220+'7'!J220+'8'!J219+'9'!J219+'10'!J219+'11'!J219+'12'!J221+'13'!J221+'14'!J221+'15'!J221+'16'!J221+'17'!J219+'18'!J219+'19'!J219+'20'!J219+'21'!J219+'22'!J219+'23'!J219+'24'!J219+'25'!J219+'26'!J219+'27'!J219+'28'!J219+'29'!J219+'30'!J219+'31'!J219</f>
        <v>0</v>
      </c>
      <c r="K219" s="16"/>
      <c r="M219" s="54"/>
      <c r="U219" s="5"/>
    </row>
    <row r="220" spans="1:22">
      <c r="A220" s="10">
        <v>216</v>
      </c>
      <c r="B220" s="11"/>
      <c r="C220" s="44">
        <f>+'1'!C220</f>
        <v>0</v>
      </c>
      <c r="D220" s="45">
        <f>+'1'!D220+'2'!D221+'3'!D221+'4'!D221+'5'!D221+'6'!D221+'7'!D221+'8'!D220+'9'!D220+'10'!D220+'11'!D220+'12'!D222+'13'!D222+'14'!D222+'15'!D222+'16'!D222+'17'!D220+'18'!D220+'19'!D220+'20'!D220+'21'!D220+'22'!D220+'23'!D220+'24'!D220+'25'!D220+'26'!D220+'27'!D220+'28'!D220+'29'!D220+'30'!D220+'31'!D220</f>
        <v>0</v>
      </c>
      <c r="E220" s="44">
        <f t="shared" si="9"/>
        <v>0</v>
      </c>
      <c r="F220" s="45">
        <f>+'1'!F220+'2'!F221+'3'!F221+'4'!F221+'5'!F221+'6'!F221+'7'!F221+'8'!F220+'9'!F220+'10'!F220+'11'!F220+'12'!F222+'13'!F222+'14'!F222+'15'!F222+'16'!F222+'17'!F220+'18'!F220+'19'!F220+'20'!F220+'21'!F220+'22'!F220+'23'!F220+'24'!F220+'25'!F220+'26'!F220+'27'!F220+'28'!F220+'29'!F220+'30'!F220+'31'!F220</f>
        <v>0</v>
      </c>
      <c r="G220" s="44">
        <f t="shared" si="8"/>
        <v>0</v>
      </c>
      <c r="H220" s="45">
        <f>+'1'!H220+'2'!H221+'3'!H221+'4'!H221+'5'!H221+'6'!H221+'7'!H221+'8'!H220+'9'!H220+'10'!H220+'11'!H220+'12'!H222+'13'!H222+'14'!H222+'15'!H222+'16'!H222+'17'!H220+'18'!H220+'19'!H220+'20'!H220+'21'!H220+'22'!H220+'23'!H220+'24'!H220+'25'!H220+'26'!H220+'27'!H220+'28'!H220+'29'!H220+'30'!H220+'31'!H220</f>
        <v>0</v>
      </c>
      <c r="I220" s="46">
        <v>0</v>
      </c>
      <c r="J220" s="45">
        <f>+'1'!J220+'2'!J221+'3'!J221+'4'!J221+'5'!J221+'6'!J221+'7'!J221+'8'!J220+'9'!J220+'10'!J220+'11'!J220+'12'!J222+'13'!J222+'14'!J222+'15'!J222+'16'!J222+'17'!J220+'18'!J220+'19'!J220+'20'!J220+'21'!J220+'22'!J220+'23'!J220+'24'!J220+'25'!J220+'26'!J220+'27'!J220+'28'!J220+'29'!J220+'30'!J220+'31'!J220</f>
        <v>0</v>
      </c>
      <c r="K220" s="16"/>
      <c r="M220" s="54"/>
      <c r="U220" s="5"/>
    </row>
    <row r="221" spans="1:22">
      <c r="A221" s="10">
        <v>217</v>
      </c>
      <c r="B221" s="11"/>
      <c r="C221" s="44">
        <f>+'1'!C221</f>
        <v>0</v>
      </c>
      <c r="D221" s="45">
        <f>+'1'!D221+'2'!D222+'3'!D222+'4'!D222+'5'!D222+'6'!D222+'7'!D222+'8'!D221+'9'!D221+'10'!D221+'11'!D221+'12'!D223+'13'!D223+'14'!D223+'15'!D223+'16'!D223+'17'!D221+'18'!D221+'19'!D221+'20'!D221+'21'!D221+'22'!D221+'23'!D221+'24'!D221+'25'!D221+'26'!D221+'27'!D221+'28'!D221+'29'!D221+'30'!D221+'31'!D221</f>
        <v>0</v>
      </c>
      <c r="E221" s="44">
        <f t="shared" si="9"/>
        <v>0</v>
      </c>
      <c r="F221" s="45">
        <f>+'1'!F221+'2'!F222+'3'!F222+'4'!F222+'5'!F222+'6'!F222+'7'!F222+'8'!F221+'9'!F221+'10'!F221+'11'!F221+'12'!F223+'13'!F223+'14'!F223+'15'!F223+'16'!F223+'17'!F221+'18'!F221+'19'!F221+'20'!F221+'21'!F221+'22'!F221+'23'!F221+'24'!F221+'25'!F221+'26'!F221+'27'!F221+'28'!F221+'29'!F221+'30'!F221+'31'!F221</f>
        <v>0</v>
      </c>
      <c r="G221" s="44">
        <f t="shared" si="8"/>
        <v>0</v>
      </c>
      <c r="H221" s="45">
        <f>+'1'!H221+'2'!H222+'3'!H222+'4'!H222+'5'!H222+'6'!H222+'7'!H222+'8'!H221+'9'!H221+'10'!H221+'11'!H221+'12'!H223+'13'!H223+'14'!H223+'15'!H223+'16'!H223+'17'!H221+'18'!H221+'19'!H221+'20'!H221+'21'!H221+'22'!H221+'23'!H221+'24'!H221+'25'!H221+'26'!H221+'27'!H221+'28'!H221+'29'!H221+'30'!H221+'31'!H221</f>
        <v>0</v>
      </c>
      <c r="I221" s="46">
        <v>0</v>
      </c>
      <c r="J221" s="45">
        <f>+'1'!J221+'2'!J222+'3'!J222+'4'!J222+'5'!J222+'6'!J222+'7'!J222+'8'!J221+'9'!J221+'10'!J221+'11'!J221+'12'!J223+'13'!J223+'14'!J223+'15'!J223+'16'!J223+'17'!J221+'18'!J221+'19'!J221+'20'!J221+'21'!J221+'22'!J221+'23'!J221+'24'!J221+'25'!J221+'26'!J221+'27'!J221+'28'!J221+'29'!J221+'30'!J221+'31'!J221</f>
        <v>0</v>
      </c>
      <c r="K221" s="16"/>
      <c r="M221" s="54"/>
      <c r="U221" s="5"/>
    </row>
    <row r="222" spans="1:22">
      <c r="A222" s="10">
        <v>218</v>
      </c>
      <c r="B222" s="11"/>
      <c r="C222" s="44">
        <f>+'1'!C222</f>
        <v>0</v>
      </c>
      <c r="D222" s="45">
        <f>+'1'!D222+'2'!D223+'3'!D223+'4'!D223+'5'!D223+'6'!D223+'7'!D223+'8'!D222+'9'!D222+'10'!D222+'11'!D222+'12'!D224+'13'!D224+'14'!D224+'15'!D224+'16'!D224+'17'!D222+'18'!D222+'19'!D222+'20'!D222+'21'!D222+'22'!D222+'23'!D222+'24'!D222+'25'!D222+'26'!D222+'27'!D222+'28'!D222+'29'!D222+'30'!D222+'31'!D222</f>
        <v>0</v>
      </c>
      <c r="E222" s="44">
        <f t="shared" si="9"/>
        <v>0</v>
      </c>
      <c r="F222" s="45">
        <f>+'1'!F222+'2'!F223+'3'!F223+'4'!F223+'5'!F223+'6'!F223+'7'!F223+'8'!F222+'9'!F222+'10'!F222+'11'!F222+'12'!F224+'13'!F224+'14'!F224+'15'!F224+'16'!F224+'17'!F222+'18'!F222+'19'!F222+'20'!F222+'21'!F222+'22'!F222+'23'!F222+'24'!F222+'25'!F222+'26'!F222+'27'!F222+'28'!F222+'29'!F222+'30'!F222+'31'!F222</f>
        <v>0</v>
      </c>
      <c r="G222" s="44">
        <f t="shared" si="8"/>
        <v>0</v>
      </c>
      <c r="H222" s="45">
        <f>+'1'!H222+'2'!H223+'3'!H223+'4'!H223+'5'!H223+'6'!H223+'7'!H223+'8'!H222+'9'!H222+'10'!H222+'11'!H222+'12'!H224+'13'!H224+'14'!H224+'15'!H224+'16'!H224+'17'!H222+'18'!H222+'19'!H222+'20'!H222+'21'!H222+'22'!H222+'23'!H222+'24'!H222+'25'!H222+'26'!H222+'27'!H222+'28'!H222+'29'!H222+'30'!H222+'31'!H222</f>
        <v>0</v>
      </c>
      <c r="I222" s="46">
        <v>0</v>
      </c>
      <c r="J222" s="45">
        <f>+'1'!J222+'2'!J223+'3'!J223+'4'!J223+'5'!J223+'6'!J223+'7'!J223+'8'!J222+'9'!J222+'10'!J222+'11'!J222+'12'!J224+'13'!J224+'14'!J224+'15'!J224+'16'!J224+'17'!J222+'18'!J222+'19'!J222+'20'!J222+'21'!J222+'22'!J222+'23'!J222+'24'!J222+'25'!J222+'26'!J222+'27'!J222+'28'!J222+'29'!J222+'30'!J222+'31'!J222</f>
        <v>0</v>
      </c>
      <c r="K222" s="16"/>
      <c r="M222" s="54"/>
      <c r="U222" s="5"/>
    </row>
    <row r="223" spans="1:22">
      <c r="A223" s="10">
        <v>219</v>
      </c>
      <c r="B223" s="11"/>
      <c r="C223" s="44">
        <f>+'1'!C223</f>
        <v>0</v>
      </c>
      <c r="D223" s="45">
        <f>+'1'!D223+'2'!D224+'3'!D224+'4'!D224+'5'!D224+'6'!D224+'7'!D224+'8'!D223+'9'!D223+'10'!D223+'11'!D223+'12'!D225+'13'!D225+'14'!D225+'15'!D225+'16'!D225+'17'!D223+'18'!D223+'19'!D223+'20'!D223+'21'!D223+'22'!D223+'23'!D223+'24'!D223+'25'!D223+'26'!D223+'27'!D223+'28'!D223+'29'!D223+'30'!D223+'31'!D223</f>
        <v>0</v>
      </c>
      <c r="E223" s="44">
        <f t="shared" si="9"/>
        <v>0</v>
      </c>
      <c r="F223" s="45">
        <f>+'1'!F223+'2'!F224+'3'!F224+'4'!F224+'5'!F224+'6'!F224+'7'!F224+'8'!F223+'9'!F223+'10'!F223+'11'!F223+'12'!F225+'13'!F225+'14'!F225+'15'!F225+'16'!F225+'17'!F223+'18'!F223+'19'!F223+'20'!F223+'21'!F223+'22'!F223+'23'!F223+'24'!F223+'25'!F223+'26'!F223+'27'!F223+'28'!F223+'29'!F223+'30'!F223+'31'!F223</f>
        <v>0</v>
      </c>
      <c r="G223" s="44">
        <f t="shared" si="8"/>
        <v>0</v>
      </c>
      <c r="H223" s="45">
        <f>+'1'!H223+'2'!H224+'3'!H224+'4'!H224+'5'!H224+'6'!H224+'7'!H224+'8'!H223+'9'!H223+'10'!H223+'11'!H223+'12'!H225+'13'!H225+'14'!H225+'15'!H225+'16'!H225+'17'!H223+'18'!H223+'19'!H223+'20'!H223+'21'!H223+'22'!H223+'23'!H223+'24'!H223+'25'!H223+'26'!H223+'27'!H223+'28'!H223+'29'!H223+'30'!H223+'31'!H223</f>
        <v>0</v>
      </c>
      <c r="I223" s="46">
        <v>0</v>
      </c>
      <c r="J223" s="45">
        <f>+'1'!J223+'2'!J224+'3'!J224+'4'!J224+'5'!J224+'6'!J224+'7'!J224+'8'!J223+'9'!J223+'10'!J223+'11'!J223+'12'!J225+'13'!J225+'14'!J225+'15'!J225+'16'!J225+'17'!J223+'18'!J223+'19'!J223+'20'!J223+'21'!J223+'22'!J223+'23'!J223+'24'!J223+'25'!J223+'26'!J223+'27'!J223+'28'!J223+'29'!J223+'30'!J223+'31'!J223</f>
        <v>0</v>
      </c>
      <c r="K223" s="16"/>
      <c r="M223" s="54"/>
      <c r="U223" s="5"/>
    </row>
    <row r="224" spans="1:22" ht="29.25">
      <c r="A224" s="10">
        <v>220</v>
      </c>
      <c r="B224" s="11"/>
      <c r="C224" s="44">
        <f>+'1'!C224</f>
        <v>0</v>
      </c>
      <c r="D224" s="45">
        <f>+'1'!D224+'2'!D225+'3'!D225+'4'!D225+'5'!D225+'6'!D225+'7'!D225+'8'!D224+'9'!D224+'10'!D224+'11'!D224+'12'!D226+'13'!D226+'14'!D226+'15'!D226+'16'!D226+'17'!D224+'18'!D224+'19'!D224+'20'!D224+'21'!D224+'22'!D224+'23'!D224+'24'!D224+'25'!D224+'26'!D224+'27'!D224+'28'!D224+'29'!D224+'30'!D224+'31'!D224</f>
        <v>0</v>
      </c>
      <c r="E224" s="44">
        <f t="shared" si="9"/>
        <v>0</v>
      </c>
      <c r="F224" s="45">
        <f>+'1'!F224+'2'!F225+'3'!F225+'4'!F225+'5'!F225+'6'!F225+'7'!F225+'8'!F224+'9'!F224+'10'!F224+'11'!F224+'12'!F226+'13'!F226+'14'!F226+'15'!F226+'16'!F226+'17'!F224+'18'!F224+'19'!F224+'20'!F224+'21'!F224+'22'!F224+'23'!F224+'24'!F224+'25'!F224+'26'!F224+'27'!F224+'28'!F224+'29'!F224+'30'!F224+'31'!F224</f>
        <v>0</v>
      </c>
      <c r="G224" s="44">
        <f t="shared" si="8"/>
        <v>0</v>
      </c>
      <c r="H224" s="45">
        <f>+'1'!H224+'2'!H225+'3'!H225+'4'!H225+'5'!H225+'6'!H225+'7'!H225+'8'!H224+'9'!H224+'10'!H224+'11'!H224+'12'!H226+'13'!H226+'14'!H226+'15'!H226+'16'!H226+'17'!H224+'18'!H224+'19'!H224+'20'!H224+'21'!H224+'22'!H224+'23'!H224+'24'!H224+'25'!H224+'26'!H224+'27'!H224+'28'!H224+'29'!H224+'30'!H224+'31'!H224</f>
        <v>0</v>
      </c>
      <c r="I224" s="46">
        <v>0</v>
      </c>
      <c r="J224" s="45">
        <f>+'1'!J224+'2'!J225+'3'!J225+'4'!J225+'5'!J225+'6'!J225+'7'!J225+'8'!J224+'9'!J224+'10'!J224+'11'!J224+'12'!J226+'13'!J226+'14'!J226+'15'!J226+'16'!J226+'17'!J224+'18'!J224+'19'!J224+'20'!J224+'21'!J224+'22'!J224+'23'!J224+'24'!J224+'25'!J224+'26'!J224+'27'!J224+'28'!J224+'29'!J224+'30'!J224+'31'!J224</f>
        <v>0</v>
      </c>
      <c r="K224" s="16"/>
      <c r="M224" s="54"/>
      <c r="U224" s="5"/>
      <c r="V224" s="55"/>
    </row>
    <row r="225" spans="1:22" ht="26.25">
      <c r="A225" s="10">
        <v>233</v>
      </c>
      <c r="B225" s="20"/>
      <c r="C225" s="44"/>
      <c r="D225" s="45"/>
      <c r="E225" s="44"/>
      <c r="F225" s="45"/>
      <c r="G225" s="44"/>
      <c r="H225" s="45"/>
      <c r="I225" s="16"/>
      <c r="J225" s="45"/>
      <c r="K225" s="16"/>
      <c r="M225" s="54"/>
      <c r="U225" s="5"/>
      <c r="V225" s="58"/>
    </row>
    <row r="226" spans="1:22" s="55" customFormat="1" ht="27.75" customHeight="1">
      <c r="A226" s="104" t="s">
        <v>235</v>
      </c>
      <c r="B226" s="105"/>
      <c r="C226" s="105"/>
      <c r="D226" s="105"/>
      <c r="E226" s="105"/>
      <c r="F226" s="105"/>
      <c r="G226" s="105"/>
      <c r="H226" s="105"/>
      <c r="I226" s="105"/>
      <c r="J226" s="105"/>
      <c r="K226" s="106"/>
      <c r="M226" s="56"/>
      <c r="N226" s="56"/>
      <c r="O226" s="56"/>
      <c r="P226" s="57"/>
      <c r="Q226" s="57"/>
      <c r="R226" s="57"/>
      <c r="S226" s="57"/>
      <c r="T226" s="57"/>
      <c r="U226" s="5"/>
      <c r="V226" s="60"/>
    </row>
    <row r="227" spans="1:22" s="58" customFormat="1" ht="25.5" customHeight="1">
      <c r="A227" s="107" t="s">
        <v>236</v>
      </c>
      <c r="B227" s="108"/>
      <c r="C227" s="109" t="s">
        <v>237</v>
      </c>
      <c r="D227" s="110"/>
      <c r="E227" s="111" t="s">
        <v>238</v>
      </c>
      <c r="F227" s="112"/>
      <c r="G227" s="113" t="s">
        <v>239</v>
      </c>
      <c r="H227" s="113"/>
      <c r="I227" s="113"/>
      <c r="J227" s="61">
        <f>SUM(J5:J225)</f>
        <v>18720</v>
      </c>
      <c r="K227" s="62" t="s">
        <v>231</v>
      </c>
      <c r="M227" s="59"/>
      <c r="N227" s="59"/>
      <c r="O227" s="59"/>
      <c r="P227" s="59"/>
      <c r="Q227" s="59"/>
      <c r="R227" s="59"/>
      <c r="S227" s="59"/>
      <c r="T227" s="59"/>
      <c r="U227" s="5"/>
      <c r="V227" s="60"/>
    </row>
    <row r="228" spans="1:22" s="60" customFormat="1" ht="24.75" customHeight="1">
      <c r="A228" s="63" t="s">
        <v>240</v>
      </c>
      <c r="B228" s="64">
        <f>+J230</f>
        <v>18720</v>
      </c>
      <c r="C228" s="65" t="s">
        <v>241</v>
      </c>
      <c r="D228" s="66">
        <f>+J227</f>
        <v>18720</v>
      </c>
      <c r="E228" s="67" t="s">
        <v>229</v>
      </c>
      <c r="F228" s="68">
        <f>SUM(P36)</f>
        <v>150</v>
      </c>
      <c r="G228" s="121"/>
      <c r="H228" s="121"/>
      <c r="I228" s="121"/>
      <c r="J228" s="70"/>
      <c r="K228" s="70">
        <f>+R36</f>
        <v>4025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>
      <c r="A229" s="63"/>
      <c r="B229" s="64"/>
      <c r="C229" s="65" t="s">
        <v>242</v>
      </c>
      <c r="D229" s="66">
        <f>K230</f>
        <v>1485</v>
      </c>
      <c r="E229" s="67"/>
      <c r="F229" s="71">
        <v>0</v>
      </c>
      <c r="G229" s="121" t="s">
        <v>243</v>
      </c>
      <c r="H229" s="121"/>
      <c r="I229" s="121"/>
      <c r="J229" s="70">
        <f>-O36</f>
        <v>0</v>
      </c>
      <c r="K229" s="70" t="s">
        <v>242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>
      <c r="A230" s="73" t="s">
        <v>10</v>
      </c>
      <c r="B230" s="64">
        <f>+D229</f>
        <v>1485</v>
      </c>
      <c r="C230" s="65"/>
      <c r="D230" s="66"/>
      <c r="E230" s="67" t="s">
        <v>244</v>
      </c>
      <c r="F230" s="71">
        <f>+Q36</f>
        <v>0</v>
      </c>
      <c r="G230" s="122" t="s">
        <v>245</v>
      </c>
      <c r="H230" s="123"/>
      <c r="I230" s="124"/>
      <c r="J230" s="70">
        <f>+J227-J228</f>
        <v>18720</v>
      </c>
      <c r="K230" s="74">
        <f>+N36</f>
        <v>1485</v>
      </c>
      <c r="M230" s="72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Bot="1">
      <c r="A231" s="75" t="s">
        <v>246</v>
      </c>
      <c r="B231" s="64">
        <f>B228-B230</f>
        <v>17235</v>
      </c>
      <c r="C231" s="65" t="s">
        <v>246</v>
      </c>
      <c r="D231" s="66">
        <f>+D228-D229</f>
        <v>17235</v>
      </c>
      <c r="E231" s="67" t="s">
        <v>247</v>
      </c>
      <c r="F231" s="71">
        <f>SUM(F228:F230)</f>
        <v>150</v>
      </c>
      <c r="G231" s="121" t="s">
        <v>217</v>
      </c>
      <c r="H231" s="121"/>
      <c r="I231" s="121"/>
      <c r="J231" s="70">
        <f>F231</f>
        <v>150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0" customFormat="1" ht="24.75" customHeight="1" thickTop="1">
      <c r="A232" s="76"/>
      <c r="B232" s="76"/>
      <c r="C232" s="65" t="s">
        <v>248</v>
      </c>
      <c r="D232" s="66">
        <v>100000</v>
      </c>
      <c r="G232" s="114" t="s">
        <v>219</v>
      </c>
      <c r="H232" s="115"/>
      <c r="I232" s="116"/>
      <c r="J232" s="70">
        <f>J230-J231-K228-K230</f>
        <v>13060</v>
      </c>
      <c r="K232" s="69"/>
      <c r="M232" s="72"/>
      <c r="N232" s="72"/>
      <c r="O232" s="5"/>
      <c r="P232" s="5"/>
      <c r="Q232" s="5"/>
      <c r="R232" s="5"/>
      <c r="S232" s="5"/>
      <c r="T232" s="5"/>
    </row>
    <row r="233" spans="1:22" s="60" customFormat="1" ht="24.75" customHeight="1">
      <c r="A233" s="76"/>
      <c r="B233" s="76"/>
      <c r="C233" s="65" t="s">
        <v>249</v>
      </c>
      <c r="D233" s="66">
        <f>D231-D232</f>
        <v>-82765</v>
      </c>
      <c r="G233" s="114" t="s">
        <v>220</v>
      </c>
      <c r="H233" s="115"/>
      <c r="I233" s="116"/>
      <c r="J233" s="70">
        <f>+T36</f>
        <v>13210</v>
      </c>
      <c r="K233" s="69"/>
      <c r="M233" s="72"/>
      <c r="N233" s="5"/>
      <c r="O233" s="5"/>
      <c r="P233" s="5"/>
      <c r="Q233" s="5"/>
      <c r="R233" s="5"/>
      <c r="S233" s="5"/>
      <c r="T233" s="5"/>
      <c r="V233" s="2"/>
    </row>
    <row r="234" spans="1:22" s="60" customFormat="1" ht="24.75" customHeight="1">
      <c r="A234" s="76"/>
      <c r="B234" s="76"/>
      <c r="C234" s="65" t="s">
        <v>250</v>
      </c>
      <c r="D234" s="66">
        <v>0</v>
      </c>
      <c r="G234" s="114" t="s">
        <v>221</v>
      </c>
      <c r="H234" s="115"/>
      <c r="I234" s="116"/>
      <c r="J234" s="70">
        <v>0</v>
      </c>
      <c r="K234" s="69"/>
      <c r="M234" s="72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6"/>
      <c r="B235" s="76"/>
      <c r="G235" s="117" t="s">
        <v>222</v>
      </c>
      <c r="H235" s="117"/>
      <c r="I235" s="117"/>
      <c r="J235" s="77">
        <f>+J233-J232</f>
        <v>150</v>
      </c>
      <c r="K235" s="78"/>
    </row>
    <row r="236" spans="1:22" ht="24.75" customHeight="1" thickBot="1">
      <c r="F236" s="118" t="s">
        <v>251</v>
      </c>
      <c r="G236" s="119"/>
      <c r="H236" s="119"/>
      <c r="I236" s="119"/>
      <c r="J236" s="119"/>
      <c r="K236" s="120"/>
    </row>
    <row r="237" spans="1:22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26B6-D7D9-4485-9A67-B57A6CF3EA14}">
  <sheetPr>
    <tabColor theme="4" tint="0.79998168889431442"/>
  </sheetPr>
  <dimension ref="A1:Z301"/>
  <sheetViews>
    <sheetView zoomScaleNormal="100" workbookViewId="0">
      <pane ySplit="4" topLeftCell="A11" activePane="bottomLeft" state="frozen"/>
      <selection pane="bottomLeft" activeCell="C10" sqref="C1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+'[1]30'!G5</f>
        <v>11</v>
      </c>
      <c r="D5" s="13">
        <v>0</v>
      </c>
      <c r="E5" s="12">
        <f>C5+D5</f>
        <v>11</v>
      </c>
      <c r="F5" s="13">
        <v>1</v>
      </c>
      <c r="G5" s="14">
        <f>E5-F5-H5</f>
        <v>8</v>
      </c>
      <c r="H5" s="15">
        <v>2</v>
      </c>
      <c r="I5" s="16">
        <v>50</v>
      </c>
      <c r="J5" s="17">
        <f>+H5*I5</f>
        <v>100</v>
      </c>
      <c r="K5" s="18" t="s">
        <v>271</v>
      </c>
      <c r="L5" s="19">
        <v>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+'[1]30'!G6</f>
        <v>32</v>
      </c>
      <c r="D6" s="13">
        <v>0</v>
      </c>
      <c r="E6" s="12">
        <f t="shared" ref="E6:E69" si="0">C6+D6</f>
        <v>32</v>
      </c>
      <c r="F6" s="13">
        <v>8</v>
      </c>
      <c r="G6" s="14">
        <f t="shared" ref="G6:G69" si="1">E6-F6-H6</f>
        <v>18</v>
      </c>
      <c r="H6" s="15">
        <v>6</v>
      </c>
      <c r="I6" s="16">
        <v>100</v>
      </c>
      <c r="J6" s="17">
        <f t="shared" ref="J6:J69" si="2">+H6*I6</f>
        <v>600</v>
      </c>
      <c r="K6" s="18" t="s">
        <v>272</v>
      </c>
      <c r="L6" s="19">
        <v>300</v>
      </c>
      <c r="M6" s="24">
        <f t="shared" ref="M6:M69" si="3">SUM(J6-L6)</f>
        <v>300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+'[1]30'!G7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+'[1]30'!G8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+'[1]30'!G9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+'[1]30'!G12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+'[1]30'!G13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+'[1]30'!G14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+'[1]30'!G17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+'[1]30'!G19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+'[1]30'!G22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+'[1]30'!G23</f>
        <v>19</v>
      </c>
      <c r="D23" s="13">
        <v>0</v>
      </c>
      <c r="E23" s="12">
        <f t="shared" si="0"/>
        <v>19</v>
      </c>
      <c r="F23" s="13">
        <v>2</v>
      </c>
      <c r="G23" s="14">
        <f t="shared" si="1"/>
        <v>17</v>
      </c>
      <c r="H23" s="15">
        <v>0</v>
      </c>
      <c r="I23" s="16">
        <v>100</v>
      </c>
      <c r="J23" s="17">
        <f t="shared" si="2"/>
        <v>0</v>
      </c>
      <c r="K23" s="18" t="s">
        <v>271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+'[1]30'!G24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9</v>
      </c>
      <c r="H24" s="15">
        <v>1</v>
      </c>
      <c r="I24" s="22">
        <v>100</v>
      </c>
      <c r="J24" s="17">
        <f t="shared" si="2"/>
        <v>100</v>
      </c>
      <c r="K24" s="18" t="s">
        <v>273</v>
      </c>
      <c r="L24" s="19">
        <v>50</v>
      </c>
      <c r="M24" s="24">
        <f t="shared" si="3"/>
        <v>50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+'[1]30'!G29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+'[1]30'!G31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+'[1]30'!G34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+'[1]30'!G35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+'[1]30'!G37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+'[1]30'!G38</f>
        <v>0</v>
      </c>
      <c r="D38" s="13">
        <v>3</v>
      </c>
      <c r="E38" s="12">
        <f>C38+D38</f>
        <v>3</v>
      </c>
      <c r="F38" s="13">
        <v>0</v>
      </c>
      <c r="G38" s="14">
        <f>E38-F38-H38</f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+'[1]30'!G39</f>
        <v>0</v>
      </c>
      <c r="D39" s="13">
        <v>3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+'[1]30'!G40</f>
        <v>3</v>
      </c>
      <c r="D40" s="13">
        <v>3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+'[1]30'!G41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+'[1]30'!G42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+'[1]30'!G43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+'[1]30'!G44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+'[1]30'!G46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+'[1]30'!G47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+'[1]30'!G48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+'[1]30'!G49</f>
        <v>11</v>
      </c>
      <c r="D49" s="13">
        <v>0</v>
      </c>
      <c r="E49" s="12">
        <f t="shared" si="0"/>
        <v>11</v>
      </c>
      <c r="F49" s="13">
        <v>0</v>
      </c>
      <c r="G49" s="14">
        <f t="shared" si="1"/>
        <v>10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+'[1]30'!G50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+'[1]30'!G51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+'[1]30'!G52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+'[1]30'!G53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+'[1]30'!G54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+'[1]30'!G55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+'[1]30'!G56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+'[1]30'!G57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+'[1]30'!G58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+'[1]30'!G62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+'[1]30'!G63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+'[1]30'!G66</f>
        <v>0</v>
      </c>
      <c r="D66" s="13">
        <v>5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+'[1]30'!G67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+'[1]30'!G68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+'[1]30'!G70</f>
        <v>0</v>
      </c>
      <c r="D70" s="13">
        <v>5</v>
      </c>
      <c r="E70" s="12">
        <f t="shared" ref="E70:E133" si="7">C70+D70</f>
        <v>5</v>
      </c>
      <c r="F70" s="13">
        <v>0</v>
      </c>
      <c r="G70" s="14">
        <f t="shared" ref="G70:G133" si="8">E70-F70-H70</f>
        <v>5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+'[1]30'!G71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+'[1]30'!G72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+'[1]30'!G73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+'[1]30'!G74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+'[1]30'!G75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+'[1]30'!G76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+'[1]30'!G77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+'[1]30'!G78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+'[1]30'!G79</f>
        <v>0</v>
      </c>
      <c r="D79" s="13">
        <v>2</v>
      </c>
      <c r="E79" s="12">
        <f t="shared" si="7"/>
        <v>2</v>
      </c>
      <c r="F79" s="13">
        <v>0</v>
      </c>
      <c r="G79" s="14">
        <f t="shared" si="8"/>
        <v>2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+'[1]30'!G80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+'[1]30'!G81</f>
        <v>4</v>
      </c>
      <c r="D81" s="13">
        <v>2</v>
      </c>
      <c r="E81" s="12">
        <f t="shared" si="7"/>
        <v>6</v>
      </c>
      <c r="F81" s="13">
        <v>0</v>
      </c>
      <c r="G81" s="14">
        <f t="shared" si="8"/>
        <v>6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+'[1]30'!G82</f>
        <v>0</v>
      </c>
      <c r="D82" s="13">
        <v>2</v>
      </c>
      <c r="E82" s="12">
        <f t="shared" si="7"/>
        <v>2</v>
      </c>
      <c r="F82" s="13">
        <v>0</v>
      </c>
      <c r="G82" s="14">
        <f t="shared" si="8"/>
        <v>2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+'[1]30'!G83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+'[1]30'!G84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+'[1]30'!G85</f>
        <v>0</v>
      </c>
      <c r="D85" s="13">
        <v>10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+'[1]30'!G86</f>
        <v>0</v>
      </c>
      <c r="D86" s="13">
        <v>5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+'[1]30'!G87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+'[1]30'!G88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+'[1]30'!G89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+'[1]30'!G90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+'[1]30'!G91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+'[1]30'!G92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+'[1]30'!G93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+'[1]30'!G94</f>
        <v>1</v>
      </c>
      <c r="D94" s="13">
        <v>0</v>
      </c>
      <c r="E94" s="12">
        <f t="shared" si="7"/>
        <v>1</v>
      </c>
      <c r="F94" s="13">
        <v>1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271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+'[1]30'!G95</f>
        <v>1</v>
      </c>
      <c r="D95" s="13">
        <v>0</v>
      </c>
      <c r="E95" s="12">
        <f t="shared" si="7"/>
        <v>1</v>
      </c>
      <c r="F95" s="13">
        <v>1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271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+'[1]30'!G96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+'[1]30'!G97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+'[1]30'!G98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+'[1]30'!G99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+'[1]30'!G100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+'[1]30'!G101</f>
        <v>1</v>
      </c>
      <c r="D101" s="13">
        <v>0</v>
      </c>
      <c r="E101" s="12">
        <f t="shared" si="7"/>
        <v>1</v>
      </c>
      <c r="F101" s="13">
        <v>0</v>
      </c>
      <c r="G101" s="14">
        <f t="shared" si="8"/>
        <v>1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+'[1]30'!G102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+'[1]30'!G103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+'[1]30'!G104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+'[1]30'!G105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+'[1]30'!G106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+'[1]30'!G107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+'[1]30'!G108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+'[1]30'!G109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+'[1]30'!G110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+'[1]30'!G111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+'[1]30'!G112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+'[1]30'!G113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+'[1]30'!G114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+'[1]30'!G115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+'[1]30'!G116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+'[1]30'!G117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+'[1]30'!G118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+'[1]30'!G119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+'[1]30'!G120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+'[1]30'!G121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+'[1]30'!G122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+'[1]30'!G123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+'[1]30'!G124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+'[1]30'!G125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+'[1]30'!G126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+'[1]30'!G127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+'[1]30'!G128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+'[1]30'!G129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+'[1]30'!G130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+'[1]30'!G131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+'[1]30'!G132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+'[1]30'!G133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+'[1]30'!G134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+'[1]30'!G135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+'[1]30'!G136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+'[1]30'!G137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+'[1]30'!G138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+'[1]30'!G139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+'[1]30'!G140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+'[1]30'!G141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+'[1]30'!G142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+'[1]30'!G143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+'[1]30'!G144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+'[1]30'!G145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+'[1]30'!G146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+'[1]30'!G147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+'[1]30'!G148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+'[1]30'!G149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+'[1]30'!G150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+'[1]30'!G151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+'[1]30'!G152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+'[1]30'!G153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+'[1]30'!G154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+'[1]30'!G155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+'[1]30'!G156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+'[1]30'!G157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+'[1]30'!G158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+'[1]30'!G159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+'[1]30'!G160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+'[1]30'!G161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+'[1]30'!G162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+'[1]30'!G163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+'[1]30'!G164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+'[1]30'!G165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+'[1]30'!G166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+'[1]30'!G167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+'[1]30'!G168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+'[1]30'!G169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+'[1]30'!G170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+'[1]30'!G171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+'[1]30'!G172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+'[1]30'!G173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+'[1]30'!G174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+'[1]30'!G175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+'[1]30'!G176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+'[1]30'!G177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+'[1]30'!G178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+'[1]30'!G179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+'[1]30'!G180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+'[1]30'!G181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+'[1]30'!G182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+'[1]30'!G183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+'[1]30'!G184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+'[1]30'!G185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+'[1]30'!G186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+'[1]30'!G187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+'[1]30'!G188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+'[1]30'!G189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+'[1]30'!G190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+'[1]30'!G191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+'[1]30'!G192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+'[1]30'!G193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+'[1]30'!G194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+'[1]30'!G195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+'[1]30'!G196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+'[1]30'!G197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+'[1]30'!G198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+'[1]30'!G199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+'[1]30'!G200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+'[1]30'!G201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+'[1]30'!G202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+'[1]30'!G203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+'[1]30'!G204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+'[1]30'!G205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+'[1]30'!G206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+'[1]30'!G207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+'[1]30'!G208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+'[1]30'!G209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+'[1]30'!G210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+'[1]30'!G211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+'[1]30'!G212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600</v>
      </c>
    </row>
    <row r="213" spans="1:26" ht="25.5">
      <c r="A213" s="80">
        <v>209</v>
      </c>
      <c r="B213" s="20" t="s">
        <v>264</v>
      </c>
      <c r="C213" s="12">
        <f>+'[1]30'!G213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+'[1]30'!G214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950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100</v>
      </c>
      <c r="L219" s="2">
        <v>100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350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500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500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600</v>
      </c>
    </row>
    <row r="229" spans="1:11">
      <c r="G229" s="2"/>
      <c r="I229" s="2" t="s">
        <v>267</v>
      </c>
      <c r="J229" s="2">
        <f>SUM(K218:K221)</f>
        <v>100</v>
      </c>
    </row>
    <row r="230" spans="1:11">
      <c r="G230" s="2"/>
      <c r="I230" s="2" t="s">
        <v>268</v>
      </c>
      <c r="J230" s="2">
        <f>+K224</f>
        <v>500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4" xr:uid="{A8659A1D-7742-48A0-A8EC-0F2280F9B025}"/>
  <mergeCells count="32">
    <mergeCell ref="I223:J223"/>
    <mergeCell ref="I224:J224"/>
    <mergeCell ref="I218:J218"/>
    <mergeCell ref="I220:J220"/>
    <mergeCell ref="Z3:Z4"/>
    <mergeCell ref="P107:W107"/>
    <mergeCell ref="R3:R4"/>
    <mergeCell ref="S3:S4"/>
    <mergeCell ref="I221:J221"/>
    <mergeCell ref="L3:L4"/>
    <mergeCell ref="O3:O4"/>
    <mergeCell ref="P3:P4"/>
    <mergeCell ref="Q3:Q4"/>
    <mergeCell ref="M215:N215"/>
    <mergeCell ref="H216:I216"/>
    <mergeCell ref="I217:J217"/>
    <mergeCell ref="I225:J225"/>
    <mergeCell ref="I226:J22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2:J2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641-1AF8-4AE5-B100-737AA671B682}">
  <sheetPr>
    <tabColor theme="5" tint="0.79998168889431442"/>
  </sheetPr>
  <dimension ref="A1:Z299"/>
  <sheetViews>
    <sheetView topLeftCell="D1" zoomScaleNormal="100" workbookViewId="0">
      <pane ySplit="4" topLeftCell="A212" activePane="bottomLeft" state="frozen"/>
      <selection pane="bottomLeft" activeCell="C19" sqref="C19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.5703125" style="2" customWidth="1"/>
    <col min="11" max="11" width="15.5703125" style="2" customWidth="1"/>
    <col min="12" max="13" width="9" style="2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+ยกมา!G5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91">
        <v>19</v>
      </c>
      <c r="D6" s="13">
        <v>0</v>
      </c>
      <c r="E6" s="12">
        <f t="shared" ref="E6:E69" si="0">C6+D6</f>
        <v>19</v>
      </c>
      <c r="F6" s="13">
        <v>0</v>
      </c>
      <c r="G6" s="14">
        <f t="shared" ref="G6:G69" si="1">E6-F6-H6</f>
        <v>19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+ยกมา!G12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+ยกมา!G14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+ยกมา!G17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92" t="s">
        <v>252</v>
      </c>
      <c r="C19" s="91"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+ยกมา!G22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91">
        <v>16</v>
      </c>
      <c r="D23" s="13">
        <v>0</v>
      </c>
      <c r="E23" s="12">
        <f t="shared" si="0"/>
        <v>16</v>
      </c>
      <c r="F23" s="13">
        <v>0</v>
      </c>
      <c r="G23" s="14">
        <f t="shared" si="1"/>
        <v>13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+ยกมา!G24</f>
        <v>9</v>
      </c>
      <c r="D24" s="13">
        <v>0</v>
      </c>
      <c r="E24" s="12">
        <f t="shared" si="0"/>
        <v>9</v>
      </c>
      <c r="F24" s="13">
        <v>0</v>
      </c>
      <c r="G24" s="14">
        <f t="shared" si="1"/>
        <v>8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91"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+ยกมา!G34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+ยกมา!G35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+ยกมา!G37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+ยกมา!G38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+ยกมา!G39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+ยกมา!G40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4</v>
      </c>
      <c r="H40" s="15">
        <v>2</v>
      </c>
      <c r="I40" s="16">
        <v>50</v>
      </c>
      <c r="J40" s="17">
        <f t="shared" si="2"/>
        <v>100</v>
      </c>
      <c r="K40" s="18" t="s">
        <v>274</v>
      </c>
      <c r="L40" s="19">
        <v>25</v>
      </c>
      <c r="M40" s="24">
        <f t="shared" si="3"/>
        <v>75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+ยกมา!G42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+ยกมา!G43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+ยกมา!G44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+ยกมา!G46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+ยกมา!G47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17">
        <f t="shared" si="2"/>
        <v>50</v>
      </c>
      <c r="K47" s="18" t="s">
        <v>275</v>
      </c>
      <c r="L47" s="19">
        <v>50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+ยกมา!G48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+ยกมา!G49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+ยกมา!G50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+ยกมา!G51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+ยกมา!G52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+ยกมา!G53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+ยกมา!G54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+ยกมา!G55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+ยกมา!G58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91"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1">
        <v>50</v>
      </c>
      <c r="J62" s="17">
        <f t="shared" si="2"/>
        <v>50</v>
      </c>
      <c r="K62" s="18" t="s">
        <v>273</v>
      </c>
      <c r="L62" s="19">
        <v>25</v>
      </c>
      <c r="M62" s="24">
        <f t="shared" si="3"/>
        <v>25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+ยกมา!G63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+ยกมา!G66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+ยกมา!G67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+ยกมา!G70</f>
        <v>5</v>
      </c>
      <c r="D70" s="13">
        <v>0</v>
      </c>
      <c r="E70" s="12">
        <f t="shared" ref="E70:E133" si="7">C70+D70</f>
        <v>5</v>
      </c>
      <c r="F70" s="13">
        <v>0</v>
      </c>
      <c r="G70" s="14">
        <f t="shared" ref="G70:G133" si="8">E70-F70-H70</f>
        <v>5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+ยกมา!G71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+ยกมา!G72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+ยกมา!G73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+ยกมา!G74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+ยกมา!G75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+ยกมา!G76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+ยกมา!G77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+ยกมา!G78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+ยกมา!G79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0</v>
      </c>
      <c r="H79" s="15">
        <v>2</v>
      </c>
      <c r="I79" s="23">
        <v>50</v>
      </c>
      <c r="J79" s="17">
        <f t="shared" si="9"/>
        <v>100</v>
      </c>
      <c r="K79" s="18" t="s">
        <v>16</v>
      </c>
      <c r="L79" s="19">
        <v>0</v>
      </c>
      <c r="M79" s="24">
        <f t="shared" si="10"/>
        <v>100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+ยกมา!G80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+ยกมา!G81</f>
        <v>6</v>
      </c>
      <c r="D81" s="13">
        <v>0</v>
      </c>
      <c r="E81" s="12">
        <f t="shared" si="7"/>
        <v>6</v>
      </c>
      <c r="F81" s="13">
        <v>0</v>
      </c>
      <c r="G81" s="14">
        <f t="shared" si="8"/>
        <v>4</v>
      </c>
      <c r="H81" s="15">
        <v>2</v>
      </c>
      <c r="I81" s="21">
        <v>55</v>
      </c>
      <c r="J81" s="17">
        <f t="shared" si="9"/>
        <v>110</v>
      </c>
      <c r="K81" s="18" t="s">
        <v>276</v>
      </c>
      <c r="L81" s="19">
        <v>50</v>
      </c>
      <c r="M81" s="24">
        <f t="shared" si="10"/>
        <v>60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+ยกมา!G82</f>
        <v>2</v>
      </c>
      <c r="D82" s="13">
        <v>0</v>
      </c>
      <c r="E82" s="12">
        <f t="shared" si="7"/>
        <v>2</v>
      </c>
      <c r="F82" s="13">
        <v>0</v>
      </c>
      <c r="G82" s="14">
        <f t="shared" si="8"/>
        <v>2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+ยกมา!G83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+ยกมา!G84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+ยกมา!G85</f>
        <v>10</v>
      </c>
      <c r="D85" s="13">
        <v>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+ยกมา!G86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+ยกมา!G87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5</v>
      </c>
      <c r="H87" s="15">
        <v>2</v>
      </c>
      <c r="I87" s="21">
        <v>60</v>
      </c>
      <c r="J87" s="17">
        <f t="shared" si="9"/>
        <v>120</v>
      </c>
      <c r="K87" s="18" t="s">
        <v>16</v>
      </c>
      <c r="L87" s="19">
        <v>0</v>
      </c>
      <c r="M87" s="24">
        <f t="shared" si="10"/>
        <v>120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+ยกมา!G88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+ยกมา!G89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+ยกมา!G90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+ยกมา!G91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+ยกมา!G92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+ยกมา!G93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+ยกมา!G94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+ยกมา!G95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+ยกมา!G96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+ยกมา!G97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+ยกมา!G98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+ยกมา!G99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+ยกมา!G100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+ยกมา!G101</f>
        <v>1</v>
      </c>
      <c r="D101" s="13">
        <v>0</v>
      </c>
      <c r="E101" s="12">
        <f t="shared" si="7"/>
        <v>1</v>
      </c>
      <c r="F101" s="13">
        <v>0</v>
      </c>
      <c r="G101" s="14">
        <f t="shared" si="8"/>
        <v>0</v>
      </c>
      <c r="H101" s="15">
        <v>1</v>
      </c>
      <c r="I101" s="21">
        <v>55</v>
      </c>
      <c r="J101" s="17">
        <f t="shared" si="9"/>
        <v>55</v>
      </c>
      <c r="K101" s="18" t="s">
        <v>16</v>
      </c>
      <c r="L101" s="19">
        <v>0</v>
      </c>
      <c r="M101" s="24">
        <f t="shared" si="10"/>
        <v>55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+ยกมา!G102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+ยกมา!G103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+ยกมา!G104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+ยกมา!G105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+ยกมา!G106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+ยกมา!G107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+ยกมา!G108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+ยกมา!G109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+ยกมา!G110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+ยกมา!G111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+ยกมา!G112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+ยกมา!G113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+ยกมา!G114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+ยกมา!G115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+ยกมา!G116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+ยกมา!G117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+ยกมา!G118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+ยกมา!G119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+ยกมา!G120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+ยกมา!G121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+ยกมา!G122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+ยกมา!G123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+ยกมา!G124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+ยกมา!G125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+ยกมา!G126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+ยกมา!G127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+ยกมา!G128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+ยกมา!G129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+ยกมา!G130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+ยกมา!G131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+ยกมา!G132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+ยกมา!G133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+ยกมา!G134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+ยกมา!G135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+ยกมา!G136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+ยกมา!G137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+ยกมา!G138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+ยกมา!G139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+ยกมา!G140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+ยกมา!G141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+ยกมา!G142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+ยกมา!G143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+ยกมา!G144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+ยกมา!G145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+ยกมา!G146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+ยกมา!G147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+ยกมา!G148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+ยกมา!G149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+ยกมา!G150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+ยกมา!G151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+ยกมา!G152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+ยกมา!G153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+ยกมา!G154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+ยกมา!G155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+ยกมา!G156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+ยกมา!G157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+ยกมา!G158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+ยกมา!G159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+ยกมา!G160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+ยกมา!G161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+ยกมา!G162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+ยกมา!G163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91"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+ยกมา!G165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+ยกมา!G166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+ยกมา!G167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91"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+ยกมา!G169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+ยกมา!G170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+ยกมา!G171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+ยกมา!G172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+ยกมา!G173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+ยกมา!G174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+ยกมา!G175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+ยกมา!G176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+ยกมา!G177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+ยกมา!G178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+ยกมา!G179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+ยกมา!G180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+ยกมา!G181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+ยกมา!G182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+ยกมา!G183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+ยกมา!G184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+ยกมา!G185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+ยกมา!G186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+ยกมา!G187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+ยกมา!G188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91"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+ยกมา!G190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+ยกมา!G191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+ยกมา!G192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+ยกมา!G193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+ยกมา!G194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+ยกมา!G195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+ยกมา!G196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+ยกมา!G197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+ยกมา!G198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+ยกมา!G199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+ยกมา!G200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+ยกมา!G201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+ยกมา!G202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+ยกมา!G203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+ยกมา!G204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91"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+ยกมา!G206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+ยกมา!G207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+ยกมา!G208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+ยกมา!G209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+ยกมา!G210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+ยกมา!G211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91"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985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43" t="s">
        <v>224</v>
      </c>
      <c r="N213" s="144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5" t="s">
        <v>223</v>
      </c>
      <c r="I214" s="146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7" t="s">
        <v>213</v>
      </c>
      <c r="J215" s="147"/>
      <c r="K215" s="32">
        <f>SUM(J5:J214)</f>
        <v>1135</v>
      </c>
    </row>
    <row r="216" spans="1:26" ht="25.5">
      <c r="A216" s="1"/>
      <c r="C216" s="25"/>
      <c r="E216" s="25"/>
      <c r="F216" s="26"/>
      <c r="G216" s="25"/>
      <c r="I216" s="125" t="s">
        <v>214</v>
      </c>
      <c r="J216" s="126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215</v>
      </c>
      <c r="J217" s="34"/>
      <c r="K217" s="35">
        <f>L217+M217+N217+O217+P217+Q217+R217+S217+T217+U217+V217+W217+X217+Y217+Z217</f>
        <v>255</v>
      </c>
      <c r="L217" s="2">
        <v>50</v>
      </c>
      <c r="M217" s="2">
        <v>55</v>
      </c>
      <c r="N217" s="2">
        <v>150</v>
      </c>
      <c r="T217" s="29"/>
    </row>
    <row r="218" spans="1:26" ht="25.5">
      <c r="A218" s="1"/>
      <c r="C218" s="25"/>
      <c r="E218" s="25"/>
      <c r="F218" s="26"/>
      <c r="G218" s="25"/>
      <c r="I218" s="125" t="s">
        <v>216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125" t="s">
        <v>217</v>
      </c>
      <c r="J219" s="126"/>
      <c r="K219" s="35">
        <v>0</v>
      </c>
    </row>
    <row r="220" spans="1:26" ht="25.5">
      <c r="A220" s="1"/>
      <c r="C220" s="25"/>
      <c r="E220" s="25"/>
      <c r="F220" s="26"/>
      <c r="G220" s="25"/>
      <c r="I220" s="125" t="s">
        <v>218</v>
      </c>
      <c r="J220" s="126"/>
      <c r="K220" s="36">
        <f>SUM(L5:L213)</f>
        <v>150</v>
      </c>
    </row>
    <row r="221" spans="1:26" ht="25.5">
      <c r="A221" s="1"/>
      <c r="C221" s="25"/>
      <c r="E221" s="25"/>
      <c r="F221" s="26"/>
      <c r="G221" s="25"/>
      <c r="I221" s="125" t="s">
        <v>219</v>
      </c>
      <c r="J221" s="126"/>
      <c r="K221" s="32">
        <f>K215-K216-K217-K219-K220</f>
        <v>730</v>
      </c>
    </row>
    <row r="222" spans="1:26" ht="25.5">
      <c r="A222" s="1"/>
      <c r="C222" s="25"/>
      <c r="E222" s="25"/>
      <c r="F222" s="26"/>
      <c r="G222" s="25"/>
      <c r="I222" s="125" t="s">
        <v>220</v>
      </c>
      <c r="J222" s="126"/>
      <c r="K222" s="36">
        <v>730</v>
      </c>
    </row>
    <row r="223" spans="1:26" ht="25.5">
      <c r="A223" s="1"/>
      <c r="C223" s="25"/>
      <c r="E223" s="25"/>
      <c r="F223" s="26"/>
      <c r="G223" s="25"/>
      <c r="I223" s="125" t="s">
        <v>221</v>
      </c>
      <c r="J223" s="126"/>
      <c r="K223" s="32">
        <f>+K222-K221</f>
        <v>0</v>
      </c>
    </row>
    <row r="224" spans="1:26" ht="25.5">
      <c r="C224" s="25"/>
      <c r="F224" s="26"/>
      <c r="G224" s="2"/>
      <c r="I224" s="125" t="s">
        <v>222</v>
      </c>
      <c r="J224" s="126"/>
      <c r="K224" s="32">
        <f>+K222-K221</f>
        <v>0</v>
      </c>
    </row>
    <row r="225" spans="7:10">
      <c r="G225" s="2"/>
      <c r="I225" s="2"/>
    </row>
    <row r="226" spans="7:10">
      <c r="G226" s="2"/>
      <c r="I226" s="2" t="s">
        <v>266</v>
      </c>
      <c r="J226" s="2">
        <f>+K215-K220+K223</f>
        <v>985</v>
      </c>
    </row>
    <row r="227" spans="7:10">
      <c r="G227" s="2"/>
      <c r="I227" s="2" t="s">
        <v>267</v>
      </c>
      <c r="J227" s="2">
        <f>SUM(K216:K219)</f>
        <v>255</v>
      </c>
    </row>
    <row r="228" spans="7:10">
      <c r="G228" s="2"/>
      <c r="I228" s="2" t="s">
        <v>268</v>
      </c>
      <c r="J228" s="24">
        <f>+K222</f>
        <v>730</v>
      </c>
    </row>
    <row r="229" spans="7:10">
      <c r="G229" s="2"/>
      <c r="I229" s="2"/>
    </row>
    <row r="230" spans="7:10">
      <c r="G230" s="2"/>
      <c r="I230" s="2"/>
    </row>
    <row r="231" spans="7:10">
      <c r="G231" s="2"/>
      <c r="I231" s="2"/>
    </row>
    <row r="232" spans="7:10">
      <c r="G232" s="2"/>
      <c r="I232" s="2"/>
    </row>
    <row r="233" spans="7:10">
      <c r="G233" s="2"/>
      <c r="I233" s="2"/>
    </row>
    <row r="234" spans="7:10">
      <c r="G234" s="2"/>
      <c r="I234" s="2"/>
    </row>
    <row r="235" spans="7:10">
      <c r="G235" s="2"/>
      <c r="I235" s="2"/>
    </row>
    <row r="236" spans="7:10">
      <c r="G236" s="2"/>
      <c r="I236" s="2"/>
    </row>
    <row r="237" spans="7:10">
      <c r="G237" s="2"/>
      <c r="I237" s="2"/>
    </row>
    <row r="238" spans="7:10">
      <c r="G238" s="2"/>
      <c r="I238" s="2"/>
    </row>
    <row r="239" spans="7:10">
      <c r="G239" s="2"/>
      <c r="I239" s="2"/>
    </row>
    <row r="240" spans="7:10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6724-4B54-4AD7-8100-96BAB7837FCD}">
  <sheetPr>
    <tabColor theme="5" tint="0.79998168889431442"/>
  </sheetPr>
  <dimension ref="A1:Z300"/>
  <sheetViews>
    <sheetView zoomScale="90" zoomScaleNormal="90" workbookViewId="0">
      <pane ySplit="4" topLeftCell="A212" activePane="bottomLeft" state="frozen"/>
      <selection pane="bottomLeft" activeCell="H88" sqref="H8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5.8554687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+'1'!G5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+'1'!G6</f>
        <v>19</v>
      </c>
      <c r="D6" s="13">
        <v>0</v>
      </c>
      <c r="E6" s="12">
        <f t="shared" ref="E6:E69" si="0">C6+D6</f>
        <v>19</v>
      </c>
      <c r="F6" s="13">
        <v>0</v>
      </c>
      <c r="G6" s="14">
        <f t="shared" ref="G6:G69" si="1">E6-F6-H6</f>
        <v>18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+'1'!G19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+'1'!G23</f>
        <v>13</v>
      </c>
      <c r="D23" s="13">
        <v>0</v>
      </c>
      <c r="E23" s="12">
        <f t="shared" si="0"/>
        <v>13</v>
      </c>
      <c r="F23" s="13">
        <v>0</v>
      </c>
      <c r="G23" s="14">
        <f t="shared" si="1"/>
        <v>12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+'1'!G40</f>
        <v>4</v>
      </c>
      <c r="D40" s="13">
        <v>0</v>
      </c>
      <c r="E40" s="12">
        <f t="shared" si="0"/>
        <v>4</v>
      </c>
      <c r="F40" s="13">
        <v>2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271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+'1'!G62</f>
        <v>2</v>
      </c>
      <c r="D62" s="13">
        <v>0</v>
      </c>
      <c r="E62" s="12">
        <f t="shared" si="0"/>
        <v>2</v>
      </c>
      <c r="F62" s="13">
        <v>2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271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+'1'!G70</f>
        <v>5</v>
      </c>
      <c r="D70" s="13">
        <v>0</v>
      </c>
      <c r="E70" s="12">
        <f t="shared" ref="E70:E133" si="7">C70+D70</f>
        <v>5</v>
      </c>
      <c r="F70" s="13">
        <v>0</v>
      </c>
      <c r="G70" s="14">
        <f t="shared" ref="G70:G133" si="8">E70-F70-H70</f>
        <v>4</v>
      </c>
      <c r="H70" s="15">
        <v>1</v>
      </c>
      <c r="I70" s="21">
        <v>50</v>
      </c>
      <c r="J70" s="17">
        <f t="shared" ref="J70:J133" si="9">+H70*I70</f>
        <v>50</v>
      </c>
      <c r="K70" s="18" t="s">
        <v>16</v>
      </c>
      <c r="L70" s="19">
        <v>0</v>
      </c>
      <c r="M70" s="24">
        <f t="shared" ref="M70:M133" si="10">SUM(J70-L70)</f>
        <v>50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+'1'!G81</f>
        <v>4</v>
      </c>
      <c r="D81" s="13">
        <v>0</v>
      </c>
      <c r="E81" s="12">
        <f t="shared" si="7"/>
        <v>4</v>
      </c>
      <c r="F81" s="13">
        <v>2</v>
      </c>
      <c r="G81" s="14">
        <f t="shared" si="8"/>
        <v>2</v>
      </c>
      <c r="H81" s="15">
        <v>0</v>
      </c>
      <c r="I81" s="21">
        <v>55</v>
      </c>
      <c r="J81" s="17">
        <f t="shared" si="9"/>
        <v>0</v>
      </c>
      <c r="K81" s="18" t="s">
        <v>271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+'1'!G82</f>
        <v>2</v>
      </c>
      <c r="D82" s="13">
        <v>0</v>
      </c>
      <c r="E82" s="12">
        <f t="shared" si="7"/>
        <v>2</v>
      </c>
      <c r="F82" s="13">
        <v>0</v>
      </c>
      <c r="G82" s="14">
        <f t="shared" si="8"/>
        <v>2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+'1'!G85</f>
        <v>10</v>
      </c>
      <c r="D85" s="13">
        <v>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4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+'1'!G94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+'1'!G106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+'1'!G121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+'1'!G145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+'1'!G150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+'1'!G151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+'1'!G152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+'1'!G167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+'1'!G168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+'1'!G170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+'1'!G176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+'1'!G188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+'1'!G198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+'1'!G211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305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43" t="s">
        <v>224</v>
      </c>
      <c r="N213" s="144"/>
      <c r="Z213" s="29"/>
    </row>
    <row r="214" spans="1:26" ht="25.5">
      <c r="A214" s="1"/>
      <c r="C214" s="25"/>
      <c r="D214" s="26"/>
      <c r="E214" s="25"/>
      <c r="F214" s="26"/>
      <c r="G214" s="25"/>
      <c r="H214" s="87"/>
      <c r="I214" s="27"/>
      <c r="J214" s="88"/>
      <c r="K214" s="28"/>
      <c r="L214" s="29"/>
      <c r="M214" s="85"/>
      <c r="N214" s="85"/>
      <c r="Z214" s="29"/>
    </row>
    <row r="215" spans="1:26" ht="25.5" customHeight="1">
      <c r="A215" s="1"/>
      <c r="C215" s="25"/>
      <c r="D215" s="26"/>
      <c r="E215" s="25"/>
      <c r="F215" s="26"/>
      <c r="G215" s="25"/>
      <c r="H215" s="145" t="s">
        <v>223</v>
      </c>
      <c r="I215" s="146"/>
      <c r="J215" s="30">
        <f>+X107</f>
        <v>0</v>
      </c>
      <c r="K215" s="28"/>
      <c r="L215" s="29"/>
      <c r="Z215" s="29"/>
    </row>
    <row r="216" spans="1:26" ht="25.5">
      <c r="A216" s="1"/>
      <c r="C216" s="25"/>
      <c r="E216" s="25"/>
      <c r="F216" s="26"/>
      <c r="G216" s="25"/>
      <c r="H216" s="31"/>
      <c r="I216" s="147" t="s">
        <v>213</v>
      </c>
      <c r="J216" s="147"/>
      <c r="K216" s="32">
        <f>SUM(J5:J215)</f>
        <v>305</v>
      </c>
    </row>
    <row r="217" spans="1:26" ht="25.5">
      <c r="A217" s="1"/>
      <c r="C217" s="25"/>
      <c r="E217" s="25"/>
      <c r="F217" s="26"/>
      <c r="G217" s="25"/>
      <c r="I217" s="125" t="s">
        <v>214</v>
      </c>
      <c r="J217" s="126"/>
      <c r="K217" s="35">
        <v>0</v>
      </c>
    </row>
    <row r="218" spans="1:26" ht="25.5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0</v>
      </c>
      <c r="T218" s="29"/>
    </row>
    <row r="219" spans="1:26" ht="25.5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0</v>
      </c>
    </row>
    <row r="222" spans="1:26" ht="25.5">
      <c r="A222" s="1"/>
      <c r="C222" s="25"/>
      <c r="E222" s="25"/>
      <c r="F222" s="26"/>
      <c r="G222" s="25"/>
      <c r="I222" s="125" t="s">
        <v>219</v>
      </c>
      <c r="J222" s="126"/>
      <c r="K222" s="32">
        <f>K216-K217-K218-K220-K221</f>
        <v>305</v>
      </c>
    </row>
    <row r="223" spans="1:26" ht="25.5">
      <c r="A223" s="1"/>
      <c r="C223" s="25"/>
      <c r="E223" s="25"/>
      <c r="F223" s="26"/>
      <c r="G223" s="25"/>
      <c r="I223" s="125" t="s">
        <v>220</v>
      </c>
      <c r="J223" s="126"/>
      <c r="K223" s="36">
        <v>305</v>
      </c>
    </row>
    <row r="224" spans="1:26" ht="25.5">
      <c r="A224" s="1"/>
      <c r="C224" s="25"/>
      <c r="E224" s="25"/>
      <c r="F224" s="26"/>
      <c r="G224" s="25"/>
      <c r="I224" s="125" t="s">
        <v>221</v>
      </c>
      <c r="J224" s="126"/>
      <c r="K224" s="32">
        <f>+K223-K222</f>
        <v>0</v>
      </c>
    </row>
    <row r="225" spans="3:11" ht="25.5">
      <c r="C225" s="25"/>
      <c r="F225" s="26"/>
      <c r="G225" s="2"/>
      <c r="I225" s="125" t="s">
        <v>222</v>
      </c>
      <c r="J225" s="126"/>
      <c r="K225" s="32">
        <f>+K223-K222</f>
        <v>0</v>
      </c>
    </row>
    <row r="226" spans="3:11">
      <c r="G226" s="2"/>
      <c r="I226" s="2"/>
    </row>
    <row r="227" spans="3:11">
      <c r="G227" s="2"/>
      <c r="I227" s="2" t="s">
        <v>266</v>
      </c>
      <c r="J227" s="2">
        <f>+K216-K221+K224</f>
        <v>305</v>
      </c>
    </row>
    <row r="228" spans="3:11">
      <c r="G228" s="2"/>
      <c r="I228" s="2" t="s">
        <v>267</v>
      </c>
      <c r="J228" s="2">
        <f>SUM(K217:K220)</f>
        <v>0</v>
      </c>
    </row>
    <row r="229" spans="3:11">
      <c r="G229" s="2"/>
      <c r="I229" s="2" t="s">
        <v>268</v>
      </c>
      <c r="J229" s="2">
        <f>+K223</f>
        <v>305</v>
      </c>
    </row>
    <row r="230" spans="3:11">
      <c r="G230" s="2"/>
      <c r="I230" s="2"/>
    </row>
    <row r="231" spans="3:11">
      <c r="G231" s="2"/>
      <c r="I231" s="2"/>
    </row>
    <row r="232" spans="3:11">
      <c r="G232" s="2"/>
      <c r="I232" s="2"/>
    </row>
    <row r="233" spans="3:11">
      <c r="G233" s="2"/>
      <c r="I233" s="2"/>
    </row>
    <row r="234" spans="3:11">
      <c r="G234" s="2"/>
      <c r="I234" s="2"/>
    </row>
    <row r="235" spans="3:11">
      <c r="G235" s="2"/>
      <c r="I235" s="2"/>
    </row>
    <row r="236" spans="3:11">
      <c r="G236" s="2"/>
      <c r="I236" s="2"/>
    </row>
    <row r="237" spans="3:11">
      <c r="G237" s="2"/>
      <c r="I237" s="2"/>
    </row>
    <row r="238" spans="3:11">
      <c r="G238" s="2"/>
      <c r="I238" s="2"/>
    </row>
    <row r="239" spans="3:11">
      <c r="G239" s="2"/>
      <c r="I239" s="2"/>
    </row>
    <row r="240" spans="3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1F1E-0428-4E24-9066-2CA0F23EBD76}">
  <sheetPr>
    <tabColor theme="5" tint="0.79998168889431442"/>
  </sheetPr>
  <dimension ref="A1:Z300"/>
  <sheetViews>
    <sheetView zoomScale="90" zoomScaleNormal="90" workbookViewId="0">
      <pane ySplit="4" topLeftCell="A210" activePane="bottomLeft" state="frozen"/>
      <selection pane="bottomLeft" activeCell="H202" sqref="H202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5.8554687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+'2'!G5</f>
        <v>8</v>
      </c>
      <c r="D5" s="13">
        <v>0</v>
      </c>
      <c r="E5" s="12">
        <f>C5+D5</f>
        <v>8</v>
      </c>
      <c r="F5" s="13">
        <v>0</v>
      </c>
      <c r="G5" s="14">
        <f>E5-F5-H5</f>
        <v>2</v>
      </c>
      <c r="H5" s="15">
        <v>6</v>
      </c>
      <c r="I5" s="16">
        <v>50</v>
      </c>
      <c r="J5" s="17">
        <f>+H5*I5</f>
        <v>300</v>
      </c>
      <c r="K5" s="18" t="s">
        <v>277</v>
      </c>
      <c r="L5" s="19">
        <v>100</v>
      </c>
      <c r="M5" s="24">
        <f>SUM(J5-L5)</f>
        <v>200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+'2'!G6</f>
        <v>18</v>
      </c>
      <c r="D6" s="13">
        <v>0</v>
      </c>
      <c r="E6" s="12">
        <f t="shared" ref="E6:E69" si="0">C6+D6</f>
        <v>18</v>
      </c>
      <c r="F6" s="13">
        <v>0</v>
      </c>
      <c r="G6" s="14">
        <f t="shared" ref="G6:G69" si="1">E6-F6-H6</f>
        <v>10</v>
      </c>
      <c r="H6" s="15">
        <v>8</v>
      </c>
      <c r="I6" s="16">
        <v>100</v>
      </c>
      <c r="J6" s="17">
        <f t="shared" ref="J6:J69" si="2">+H6*I6</f>
        <v>800</v>
      </c>
      <c r="K6" s="18" t="s">
        <v>16</v>
      </c>
      <c r="L6" s="19">
        <v>0</v>
      </c>
      <c r="M6" s="24">
        <f t="shared" ref="M6:M69" si="3">SUM(J6-L6)</f>
        <v>800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+'2'!G37</f>
        <v>16</v>
      </c>
      <c r="D37" s="13">
        <v>0</v>
      </c>
      <c r="E37" s="12">
        <f t="shared" si="0"/>
        <v>16</v>
      </c>
      <c r="F37" s="13">
        <v>6</v>
      </c>
      <c r="G37" s="14">
        <f t="shared" si="1"/>
        <v>8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9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+'2'!G70</f>
        <v>4</v>
      </c>
      <c r="D70" s="13">
        <v>0</v>
      </c>
      <c r="E70" s="12">
        <f t="shared" ref="E70:E133" si="7">C70+D70</f>
        <v>4</v>
      </c>
      <c r="F70" s="13">
        <v>0</v>
      </c>
      <c r="G70" s="14">
        <f t="shared" ref="G70:G133" si="8">E70-F70-H70</f>
        <v>2</v>
      </c>
      <c r="H70" s="15">
        <v>2</v>
      </c>
      <c r="I70" s="21">
        <v>50</v>
      </c>
      <c r="J70" s="17">
        <f t="shared" ref="J70:J133" si="9">+H70*I70</f>
        <v>100</v>
      </c>
      <c r="K70" s="18" t="s">
        <v>16</v>
      </c>
      <c r="L70" s="19">
        <v>0</v>
      </c>
      <c r="M70" s="24">
        <f t="shared" ref="M70:M133" si="10">SUM(J70-L70)</f>
        <v>100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+'2'!G81</f>
        <v>2</v>
      </c>
      <c r="D81" s="13">
        <v>0</v>
      </c>
      <c r="E81" s="12">
        <f t="shared" si="7"/>
        <v>2</v>
      </c>
      <c r="F81" s="13">
        <v>0</v>
      </c>
      <c r="G81" s="14">
        <f t="shared" si="8"/>
        <v>1</v>
      </c>
      <c r="H81" s="15">
        <v>1</v>
      </c>
      <c r="I81" s="21">
        <v>55</v>
      </c>
      <c r="J81" s="17">
        <f t="shared" si="9"/>
        <v>55</v>
      </c>
      <c r="K81" s="18" t="s">
        <v>16</v>
      </c>
      <c r="L81" s="19">
        <v>0</v>
      </c>
      <c r="M81" s="24">
        <f t="shared" si="10"/>
        <v>55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+'2'!G82</f>
        <v>2</v>
      </c>
      <c r="D82" s="13">
        <v>0</v>
      </c>
      <c r="E82" s="12">
        <f t="shared" si="7"/>
        <v>2</v>
      </c>
      <c r="F82" s="13">
        <v>0</v>
      </c>
      <c r="G82" s="14">
        <f t="shared" si="8"/>
        <v>2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+'2'!G85</f>
        <v>10</v>
      </c>
      <c r="D85" s="13">
        <v>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+'2'!G86</f>
        <v>4</v>
      </c>
      <c r="D86" s="13">
        <v>0</v>
      </c>
      <c r="E86" s="12">
        <f t="shared" si="7"/>
        <v>4</v>
      </c>
      <c r="F86" s="13">
        <v>0</v>
      </c>
      <c r="G86" s="14">
        <f t="shared" si="8"/>
        <v>3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1510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43" t="s">
        <v>224</v>
      </c>
      <c r="N213" s="144"/>
      <c r="Z213" s="29"/>
    </row>
    <row r="214" spans="1:26" ht="25.5">
      <c r="A214" s="1"/>
      <c r="C214" s="25"/>
      <c r="D214" s="26"/>
      <c r="E214" s="25"/>
      <c r="F214" s="26"/>
      <c r="G214" s="25"/>
      <c r="H214" s="25"/>
      <c r="I214" s="27"/>
      <c r="J214" s="89"/>
      <c r="K214" s="28"/>
      <c r="L214" s="29"/>
      <c r="M214" s="90"/>
      <c r="N214" s="90"/>
      <c r="Z214" s="29"/>
    </row>
    <row r="215" spans="1:26" ht="25.5" customHeight="1">
      <c r="A215" s="1"/>
      <c r="C215" s="25"/>
      <c r="D215" s="26"/>
      <c r="E215" s="25"/>
      <c r="F215" s="26"/>
      <c r="G215" s="25"/>
      <c r="H215" s="145" t="s">
        <v>223</v>
      </c>
      <c r="I215" s="146"/>
      <c r="J215" s="30">
        <f>+X107</f>
        <v>0</v>
      </c>
      <c r="K215" s="28"/>
      <c r="L215" s="29"/>
      <c r="Z215" s="29"/>
    </row>
    <row r="216" spans="1:26" ht="25.5">
      <c r="A216" s="1"/>
      <c r="C216" s="25"/>
      <c r="E216" s="25"/>
      <c r="F216" s="26"/>
      <c r="G216" s="25"/>
      <c r="H216" s="31"/>
      <c r="I216" s="147" t="s">
        <v>213</v>
      </c>
      <c r="J216" s="147"/>
      <c r="K216" s="32">
        <f>SUM(J5:J215)</f>
        <v>1610</v>
      </c>
    </row>
    <row r="217" spans="1:26" ht="25.5">
      <c r="A217" s="1"/>
      <c r="C217" s="25"/>
      <c r="E217" s="25"/>
      <c r="F217" s="26"/>
      <c r="G217" s="25"/>
      <c r="I217" s="125" t="s">
        <v>214</v>
      </c>
      <c r="J217" s="126"/>
      <c r="K217" s="35">
        <v>0</v>
      </c>
    </row>
    <row r="218" spans="1:26" ht="25.5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0</v>
      </c>
      <c r="T218" s="29"/>
    </row>
    <row r="219" spans="1:26" ht="25.5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100</v>
      </c>
    </row>
    <row r="222" spans="1:26" ht="25.5">
      <c r="A222" s="1"/>
      <c r="C222" s="25"/>
      <c r="E222" s="25"/>
      <c r="F222" s="26"/>
      <c r="G222" s="25"/>
      <c r="I222" s="125" t="s">
        <v>219</v>
      </c>
      <c r="J222" s="126"/>
      <c r="K222" s="32">
        <f>K216-K217-K218-K220-K221</f>
        <v>1510</v>
      </c>
    </row>
    <row r="223" spans="1:26" ht="25.5">
      <c r="A223" s="1"/>
      <c r="C223" s="25"/>
      <c r="E223" s="25"/>
      <c r="F223" s="26"/>
      <c r="G223" s="25"/>
      <c r="I223" s="125" t="s">
        <v>220</v>
      </c>
      <c r="J223" s="126"/>
      <c r="K223" s="36">
        <v>1510</v>
      </c>
    </row>
    <row r="224" spans="1:26" ht="25.5">
      <c r="A224" s="1"/>
      <c r="C224" s="25"/>
      <c r="E224" s="25"/>
      <c r="F224" s="26"/>
      <c r="G224" s="25"/>
      <c r="I224" s="125" t="s">
        <v>221</v>
      </c>
      <c r="J224" s="126"/>
      <c r="K224" s="32">
        <f>+K223-K222</f>
        <v>0</v>
      </c>
    </row>
    <row r="225" spans="3:11" ht="25.5">
      <c r="C225" s="25"/>
      <c r="F225" s="26"/>
      <c r="G225" s="2"/>
      <c r="I225" s="125" t="s">
        <v>222</v>
      </c>
      <c r="J225" s="126"/>
      <c r="K225" s="32">
        <f>+K223-K222</f>
        <v>0</v>
      </c>
    </row>
    <row r="226" spans="3:11">
      <c r="G226" s="2"/>
      <c r="I226" s="2"/>
    </row>
    <row r="227" spans="3:11">
      <c r="G227" s="2"/>
      <c r="I227" s="2" t="s">
        <v>266</v>
      </c>
      <c r="J227" s="2">
        <f>+K216-K221+K224</f>
        <v>1510</v>
      </c>
    </row>
    <row r="228" spans="3:11">
      <c r="G228" s="2"/>
      <c r="I228" s="2" t="s">
        <v>267</v>
      </c>
      <c r="J228" s="2">
        <f>SUM(K217:K220)</f>
        <v>0</v>
      </c>
    </row>
    <row r="229" spans="3:11">
      <c r="G229" s="2"/>
      <c r="I229" s="2" t="s">
        <v>268</v>
      </c>
      <c r="J229" s="2">
        <f>+K223</f>
        <v>1510</v>
      </c>
    </row>
    <row r="230" spans="3:11">
      <c r="G230" s="2"/>
      <c r="I230" s="2"/>
    </row>
    <row r="231" spans="3:11">
      <c r="G231" s="2"/>
      <c r="I231" s="2"/>
    </row>
    <row r="232" spans="3:11">
      <c r="G232" s="2"/>
      <c r="I232" s="2"/>
    </row>
    <row r="233" spans="3:11">
      <c r="G233" s="2"/>
      <c r="I233" s="2"/>
    </row>
    <row r="234" spans="3:11">
      <c r="G234" s="2"/>
      <c r="I234" s="2"/>
    </row>
    <row r="235" spans="3:11">
      <c r="G235" s="2"/>
      <c r="I235" s="2"/>
    </row>
    <row r="236" spans="3:11">
      <c r="G236" s="2"/>
      <c r="I236" s="2"/>
    </row>
    <row r="237" spans="3:11">
      <c r="G237" s="2"/>
      <c r="I237" s="2"/>
    </row>
    <row r="238" spans="3:11">
      <c r="G238" s="2"/>
      <c r="I238" s="2"/>
    </row>
    <row r="239" spans="3:11">
      <c r="G239" s="2"/>
      <c r="I239" s="2"/>
    </row>
    <row r="240" spans="3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31FC-3307-4066-B470-87C6208773DF}">
  <sheetPr>
    <tabColor theme="5" tint="0.79998168889431442"/>
  </sheetPr>
  <dimension ref="A1:Z300"/>
  <sheetViews>
    <sheetView topLeftCell="D1" zoomScaleNormal="100" workbookViewId="0">
      <pane ySplit="4" topLeftCell="A211" activePane="bottomLeft" state="frozen"/>
      <selection pane="bottomLeft" activeCell="K224" sqref="K224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+'3'!G5</f>
        <v>2</v>
      </c>
      <c r="D5" s="13">
        <v>0</v>
      </c>
      <c r="E5" s="12">
        <f>C5+D5</f>
        <v>2</v>
      </c>
      <c r="F5" s="13">
        <v>0</v>
      </c>
      <c r="G5" s="14">
        <f>E5-F5-H5</f>
        <v>2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+'3'!G6</f>
        <v>10</v>
      </c>
      <c r="D6" s="13">
        <v>0</v>
      </c>
      <c r="E6" s="12">
        <f t="shared" ref="E6:E69" si="0">C6+D6</f>
        <v>10</v>
      </c>
      <c r="F6" s="13">
        <v>0</v>
      </c>
      <c r="G6" s="14">
        <f t="shared" ref="G6:G69" si="1">E6-F6-H6</f>
        <v>8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+'3'!G19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+'3'!G23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10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+'3'!G24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+'3'!G29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+'3'!G35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+'3'!G37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+'3'!G38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+'3'!G39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+'3'!G44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+'3'!G48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+'3'!G49</f>
        <v>9</v>
      </c>
      <c r="D49" s="13">
        <v>0</v>
      </c>
      <c r="E49" s="12">
        <f t="shared" si="0"/>
        <v>9</v>
      </c>
      <c r="F49" s="13">
        <v>0</v>
      </c>
      <c r="G49" s="14">
        <f t="shared" si="1"/>
        <v>8</v>
      </c>
      <c r="H49" s="15">
        <v>1</v>
      </c>
      <c r="I49" s="16">
        <v>50</v>
      </c>
      <c r="J49" s="17">
        <f t="shared" si="2"/>
        <v>50</v>
      </c>
      <c r="K49" s="18" t="s">
        <v>273</v>
      </c>
      <c r="L49" s="19">
        <v>25</v>
      </c>
      <c r="M49" s="24">
        <f t="shared" si="3"/>
        <v>25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+'3'!G50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0</v>
      </c>
      <c r="M50" s="24">
        <f t="shared" si="3"/>
        <v>120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+'3'!G51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+'3'!G52</f>
        <v>4</v>
      </c>
      <c r="D52" s="13">
        <v>0</v>
      </c>
      <c r="E52" s="12">
        <f t="shared" si="0"/>
        <v>4</v>
      </c>
      <c r="F52" s="13">
        <v>4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271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+'3'!G53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+'3'!G55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+'3'!G58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1</v>
      </c>
      <c r="H58" s="15">
        <v>1</v>
      </c>
      <c r="I58" s="22">
        <v>120</v>
      </c>
      <c r="J58" s="17">
        <f t="shared" si="2"/>
        <v>120</v>
      </c>
      <c r="K58" s="18" t="s">
        <v>16</v>
      </c>
      <c r="L58" s="19">
        <v>0</v>
      </c>
      <c r="M58" s="24">
        <f t="shared" si="3"/>
        <v>120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+'3'!G66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+'3'!G70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+'3'!G71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+'3'!G77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+'3'!G81</f>
        <v>1</v>
      </c>
      <c r="D81" s="13">
        <v>0</v>
      </c>
      <c r="E81" s="12">
        <f t="shared" si="7"/>
        <v>1</v>
      </c>
      <c r="F81" s="13">
        <v>0</v>
      </c>
      <c r="G81" s="14">
        <f t="shared" si="8"/>
        <v>1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+'3'!G82</f>
        <v>2</v>
      </c>
      <c r="D82" s="13">
        <v>0</v>
      </c>
      <c r="E82" s="12">
        <f t="shared" si="7"/>
        <v>2</v>
      </c>
      <c r="F82" s="13">
        <v>0</v>
      </c>
      <c r="G82" s="14">
        <f t="shared" si="8"/>
        <v>1</v>
      </c>
      <c r="H82" s="15">
        <v>1</v>
      </c>
      <c r="I82" s="23">
        <v>55</v>
      </c>
      <c r="J82" s="17">
        <f t="shared" si="9"/>
        <v>55</v>
      </c>
      <c r="K82" s="18" t="s">
        <v>16</v>
      </c>
      <c r="L82" s="19">
        <v>0</v>
      </c>
      <c r="M82" s="24">
        <f t="shared" si="10"/>
        <v>55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+'3'!G85</f>
        <v>10</v>
      </c>
      <c r="D85" s="13">
        <v>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+'3'!G86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+'3'!G87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+'3'!G88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+'3'!G94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+'3'!G106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+'3'!G121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+'3'!G145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+'3'!G150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+'3'!G151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+'3'!G152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+'3'!G167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+'3'!G168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+'3'!G170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+'3'!G176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+'3'!G178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+'3'!G188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+'3'!G198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+'3'!G211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770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43" t="s">
        <v>224</v>
      </c>
      <c r="N213" s="144"/>
      <c r="Z213" s="29"/>
    </row>
    <row r="214" spans="1:26" ht="25.5">
      <c r="A214" s="1"/>
      <c r="C214" s="25"/>
      <c r="D214" s="26"/>
      <c r="E214" s="25"/>
      <c r="F214" s="26"/>
      <c r="G214" s="25"/>
      <c r="H214" s="25"/>
      <c r="I214" s="27"/>
      <c r="J214" s="89"/>
      <c r="K214" s="28"/>
      <c r="L214" s="29"/>
      <c r="M214" s="90"/>
      <c r="N214" s="90"/>
      <c r="Z214" s="29"/>
    </row>
    <row r="215" spans="1:26" ht="25.5" customHeight="1">
      <c r="A215" s="1"/>
      <c r="C215" s="25"/>
      <c r="D215" s="26"/>
      <c r="E215" s="25"/>
      <c r="F215" s="26"/>
      <c r="G215" s="25"/>
      <c r="H215" s="145" t="s">
        <v>223</v>
      </c>
      <c r="I215" s="146"/>
      <c r="J215" s="30">
        <f>+X107</f>
        <v>0</v>
      </c>
      <c r="K215" s="28"/>
      <c r="L215" s="29"/>
      <c r="Z215" s="29"/>
    </row>
    <row r="216" spans="1:26" ht="25.5">
      <c r="A216" s="1"/>
      <c r="C216" s="25"/>
      <c r="E216" s="25"/>
      <c r="F216" s="26"/>
      <c r="G216" s="25"/>
      <c r="H216" s="31"/>
      <c r="I216" s="147" t="s">
        <v>213</v>
      </c>
      <c r="J216" s="147"/>
      <c r="K216" s="32">
        <f>SUM(J5:J215)</f>
        <v>795</v>
      </c>
    </row>
    <row r="217" spans="1:26" ht="25.5">
      <c r="A217" s="1"/>
      <c r="C217" s="25"/>
      <c r="E217" s="25"/>
      <c r="F217" s="26"/>
      <c r="G217" s="25"/>
      <c r="I217" s="125" t="s">
        <v>214</v>
      </c>
      <c r="J217" s="126"/>
      <c r="K217" s="35">
        <v>15</v>
      </c>
    </row>
    <row r="218" spans="1:26" ht="25.5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275</v>
      </c>
      <c r="L218" s="2">
        <v>175</v>
      </c>
      <c r="M218" s="2">
        <v>100</v>
      </c>
      <c r="T218" s="29"/>
    </row>
    <row r="219" spans="1:26" ht="25.5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25</v>
      </c>
    </row>
    <row r="222" spans="1:26" ht="25.5">
      <c r="A222" s="1"/>
      <c r="C222" s="25"/>
      <c r="E222" s="25"/>
      <c r="F222" s="26"/>
      <c r="G222" s="25"/>
      <c r="I222" s="125" t="s">
        <v>219</v>
      </c>
      <c r="J222" s="126"/>
      <c r="K222" s="32">
        <f>K216-K217-K218-K220-K221</f>
        <v>480</v>
      </c>
    </row>
    <row r="223" spans="1:26" ht="25.5">
      <c r="A223" s="1"/>
      <c r="C223" s="25"/>
      <c r="E223" s="25"/>
      <c r="F223" s="26"/>
      <c r="G223" s="25"/>
      <c r="I223" s="125" t="s">
        <v>220</v>
      </c>
      <c r="J223" s="126"/>
      <c r="K223" s="36">
        <v>480</v>
      </c>
    </row>
    <row r="224" spans="1:26" ht="25.5">
      <c r="A224" s="1"/>
      <c r="C224" s="25"/>
      <c r="E224" s="25"/>
      <c r="F224" s="26"/>
      <c r="G224" s="25"/>
      <c r="I224" s="125" t="s">
        <v>221</v>
      </c>
      <c r="J224" s="126"/>
      <c r="K224" s="32">
        <f>+K223-K222</f>
        <v>0</v>
      </c>
    </row>
    <row r="225" spans="3:11" ht="25.5">
      <c r="C225" s="25"/>
      <c r="F225" s="26"/>
      <c r="G225" s="2"/>
      <c r="I225" s="125" t="s">
        <v>222</v>
      </c>
      <c r="J225" s="126"/>
      <c r="K225" s="32">
        <f>+K223-K222</f>
        <v>0</v>
      </c>
    </row>
    <row r="226" spans="3:11">
      <c r="G226" s="2"/>
      <c r="I226" s="2"/>
    </row>
    <row r="227" spans="3:11">
      <c r="G227" s="2"/>
      <c r="I227" s="2" t="s">
        <v>266</v>
      </c>
      <c r="J227" s="2">
        <f>+K216-K221+K224</f>
        <v>770</v>
      </c>
    </row>
    <row r="228" spans="3:11">
      <c r="G228" s="2"/>
      <c r="I228" s="2" t="s">
        <v>267</v>
      </c>
      <c r="J228" s="2">
        <f>SUM(K217:K220)</f>
        <v>290</v>
      </c>
    </row>
    <row r="229" spans="3:11">
      <c r="G229" s="2"/>
      <c r="I229" s="2" t="s">
        <v>268</v>
      </c>
      <c r="J229" s="2">
        <f>+K223</f>
        <v>480</v>
      </c>
    </row>
    <row r="230" spans="3:11">
      <c r="G230" s="2"/>
      <c r="I230" s="2"/>
    </row>
    <row r="231" spans="3:11">
      <c r="G231" s="2"/>
      <c r="I231" s="2"/>
    </row>
    <row r="232" spans="3:11">
      <c r="G232" s="2"/>
      <c r="I232" s="2"/>
    </row>
    <row r="233" spans="3:11">
      <c r="G233" s="2"/>
      <c r="I233" s="2"/>
    </row>
    <row r="234" spans="3:11">
      <c r="G234" s="2"/>
      <c r="I234" s="2"/>
    </row>
    <row r="235" spans="3:11">
      <c r="G235" s="2"/>
      <c r="I235" s="2"/>
    </row>
    <row r="236" spans="3:11">
      <c r="G236" s="2"/>
      <c r="I236" s="2"/>
    </row>
    <row r="237" spans="3:11">
      <c r="G237" s="2"/>
      <c r="I237" s="2"/>
    </row>
    <row r="238" spans="3:11">
      <c r="G238" s="2"/>
      <c r="I238" s="2"/>
    </row>
    <row r="239" spans="3:11">
      <c r="G239" s="2"/>
      <c r="I239" s="2"/>
    </row>
    <row r="240" spans="3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68B3-1065-4604-9CBD-CB50AA262F0D}">
  <sheetPr>
    <tabColor theme="5" tint="0.79998168889431442"/>
  </sheetPr>
  <dimension ref="A1:Z300"/>
  <sheetViews>
    <sheetView topLeftCell="C1" zoomScaleNormal="100" workbookViewId="0">
      <pane ySplit="4" topLeftCell="A215" activePane="bottomLeft" state="frozen"/>
      <selection pane="bottomLeft" activeCell="B226" sqref="B226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+'4'!G5</f>
        <v>2</v>
      </c>
      <c r="D5" s="13">
        <v>10</v>
      </c>
      <c r="E5" s="12">
        <f>C5+D5</f>
        <v>12</v>
      </c>
      <c r="F5" s="13">
        <v>0</v>
      </c>
      <c r="G5" s="14">
        <f>E5-F5-H5</f>
        <v>10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+'4'!G6</f>
        <v>8</v>
      </c>
      <c r="D6" s="13">
        <v>15</v>
      </c>
      <c r="E6" s="12">
        <f t="shared" ref="E6:E69" si="0">C6+D6</f>
        <v>23</v>
      </c>
      <c r="F6" s="13">
        <v>4</v>
      </c>
      <c r="G6" s="14">
        <f t="shared" ref="G6:G69" si="1">E6-F6-H6</f>
        <v>11</v>
      </c>
      <c r="H6" s="15">
        <v>8</v>
      </c>
      <c r="I6" s="16">
        <v>100</v>
      </c>
      <c r="J6" s="17">
        <f t="shared" ref="J6:J69" si="2">+H6*I6</f>
        <v>800</v>
      </c>
      <c r="K6" s="18" t="s">
        <v>16</v>
      </c>
      <c r="L6" s="19">
        <v>0</v>
      </c>
      <c r="M6" s="24">
        <f t="shared" ref="M6:M69" si="3">SUM(J6-L6)</f>
        <v>800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+'4'!G17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+'4'!G19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+'4'!G23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+'4'!G24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+'4'!G29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+'4'!G34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+'4'!G35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+'4'!G37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+'4'!G38</f>
        <v>1</v>
      </c>
      <c r="D38" s="13">
        <v>3</v>
      </c>
      <c r="E38" s="12">
        <f>C38+D38</f>
        <v>4</v>
      </c>
      <c r="F38" s="13">
        <v>0</v>
      </c>
      <c r="G38" s="14">
        <f>E38-F38-H38</f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+'4'!G39</f>
        <v>2</v>
      </c>
      <c r="D39" s="13">
        <v>3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+'4'!G40</f>
        <v>2</v>
      </c>
      <c r="D40" s="13">
        <v>3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+'4'!G44</f>
        <v>4</v>
      </c>
      <c r="D44" s="13">
        <v>0</v>
      </c>
      <c r="E44" s="12">
        <f t="shared" si="0"/>
        <v>4</v>
      </c>
      <c r="F44" s="13">
        <v>4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+'4'!G49</f>
        <v>8</v>
      </c>
      <c r="D49" s="13">
        <v>0</v>
      </c>
      <c r="E49" s="12">
        <f t="shared" si="0"/>
        <v>8</v>
      </c>
      <c r="F49" s="13">
        <v>0</v>
      </c>
      <c r="G49" s="14">
        <f t="shared" si="1"/>
        <v>6</v>
      </c>
      <c r="H49" s="15">
        <v>2</v>
      </c>
      <c r="I49" s="16">
        <v>50</v>
      </c>
      <c r="J49" s="17">
        <f t="shared" si="2"/>
        <v>100</v>
      </c>
      <c r="K49" s="18" t="s">
        <v>278</v>
      </c>
      <c r="L49" s="19">
        <v>50</v>
      </c>
      <c r="M49" s="24">
        <f t="shared" si="3"/>
        <v>50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+'4'!G51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+'4'!G53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+'4'!G58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+'4'!G62</f>
        <v>0</v>
      </c>
      <c r="D62" s="13">
        <v>3</v>
      </c>
      <c r="E62" s="12">
        <f t="shared" si="0"/>
        <v>3</v>
      </c>
      <c r="F62" s="13">
        <v>0</v>
      </c>
      <c r="G62" s="14">
        <f t="shared" si="1"/>
        <v>1</v>
      </c>
      <c r="H62" s="15">
        <v>2</v>
      </c>
      <c r="I62" s="21">
        <v>50</v>
      </c>
      <c r="J62" s="17">
        <f t="shared" si="2"/>
        <v>100</v>
      </c>
      <c r="K62" s="18" t="s">
        <v>16</v>
      </c>
      <c r="L62" s="19">
        <v>0</v>
      </c>
      <c r="M62" s="24">
        <f t="shared" si="3"/>
        <v>100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+'4'!G66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+'4'!G70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1</v>
      </c>
      <c r="H70" s="15">
        <v>1</v>
      </c>
      <c r="I70" s="21">
        <v>50</v>
      </c>
      <c r="J70" s="17">
        <f t="shared" ref="J70:J133" si="9">+H70*I70</f>
        <v>50</v>
      </c>
      <c r="K70" s="18" t="s">
        <v>16</v>
      </c>
      <c r="L70" s="19">
        <v>0</v>
      </c>
      <c r="M70" s="24">
        <f t="shared" ref="M70:M133" si="10">SUM(J70-L70)</f>
        <v>50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+'4'!G71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+'4'!G77</f>
        <v>0</v>
      </c>
      <c r="D77" s="13">
        <v>2</v>
      </c>
      <c r="E77" s="12">
        <f t="shared" si="7"/>
        <v>2</v>
      </c>
      <c r="F77" s="13">
        <v>0</v>
      </c>
      <c r="G77" s="14">
        <f t="shared" si="8"/>
        <v>1</v>
      </c>
      <c r="H77" s="15">
        <v>1</v>
      </c>
      <c r="I77" s="21">
        <v>50</v>
      </c>
      <c r="J77" s="17">
        <f t="shared" si="9"/>
        <v>50</v>
      </c>
      <c r="K77" s="18" t="s">
        <v>16</v>
      </c>
      <c r="L77" s="19">
        <v>0</v>
      </c>
      <c r="M77" s="24">
        <f t="shared" si="10"/>
        <v>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+'4'!G79</f>
        <v>0</v>
      </c>
      <c r="D79" s="13">
        <v>3</v>
      </c>
      <c r="E79" s="12">
        <f t="shared" si="7"/>
        <v>3</v>
      </c>
      <c r="F79" s="13">
        <v>0</v>
      </c>
      <c r="G79" s="14">
        <f t="shared" si="8"/>
        <v>2</v>
      </c>
      <c r="H79" s="15">
        <v>1</v>
      </c>
      <c r="I79" s="23">
        <v>50</v>
      </c>
      <c r="J79" s="17">
        <f t="shared" si="9"/>
        <v>50</v>
      </c>
      <c r="K79" s="18" t="s">
        <v>16</v>
      </c>
      <c r="L79" s="19">
        <v>0</v>
      </c>
      <c r="M79" s="24">
        <f t="shared" si="10"/>
        <v>50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+'4'!G81</f>
        <v>1</v>
      </c>
      <c r="D81" s="13">
        <v>0</v>
      </c>
      <c r="E81" s="12">
        <f t="shared" si="7"/>
        <v>1</v>
      </c>
      <c r="F81" s="13">
        <v>0</v>
      </c>
      <c r="G81" s="14">
        <f t="shared" si="8"/>
        <v>0</v>
      </c>
      <c r="H81" s="15">
        <v>1</v>
      </c>
      <c r="I81" s="21">
        <v>55</v>
      </c>
      <c r="J81" s="17">
        <f t="shared" si="9"/>
        <v>55</v>
      </c>
      <c r="K81" s="18" t="s">
        <v>16</v>
      </c>
      <c r="L81" s="19">
        <v>0</v>
      </c>
      <c r="M81" s="24">
        <f t="shared" si="10"/>
        <v>55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+'4'!G82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1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+'4'!G85</f>
        <v>10</v>
      </c>
      <c r="D85" s="13">
        <v>0</v>
      </c>
      <c r="E85" s="12">
        <f t="shared" si="7"/>
        <v>10</v>
      </c>
      <c r="F85" s="13">
        <v>0</v>
      </c>
      <c r="G85" s="14">
        <f t="shared" si="8"/>
        <v>9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+'4'!G86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+'4'!G87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+'4'!G88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+'4'!G94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+'4'!G99</f>
        <v>0</v>
      </c>
      <c r="D99" s="13">
        <v>1</v>
      </c>
      <c r="E99" s="12">
        <f t="shared" si="7"/>
        <v>1</v>
      </c>
      <c r="F99" s="13">
        <v>0</v>
      </c>
      <c r="G99" s="14">
        <f t="shared" si="8"/>
        <v>1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+'4'!G106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+'4'!G114</f>
        <v>0</v>
      </c>
      <c r="D114" s="13">
        <v>1</v>
      </c>
      <c r="E114" s="12">
        <f t="shared" si="7"/>
        <v>1</v>
      </c>
      <c r="F114" s="13">
        <v>0</v>
      </c>
      <c r="G114" s="14">
        <f t="shared" si="8"/>
        <v>0</v>
      </c>
      <c r="H114" s="15">
        <v>1</v>
      </c>
      <c r="I114" s="21">
        <v>35</v>
      </c>
      <c r="J114" s="17">
        <f t="shared" si="9"/>
        <v>35</v>
      </c>
      <c r="K114" s="18" t="s">
        <v>16</v>
      </c>
      <c r="L114" s="19">
        <v>0</v>
      </c>
      <c r="M114" s="24">
        <f t="shared" si="10"/>
        <v>35</v>
      </c>
    </row>
    <row r="115" spans="1:13" ht="25.5">
      <c r="A115" s="10">
        <v>111</v>
      </c>
      <c r="B115" s="20" t="s">
        <v>126</v>
      </c>
      <c r="C115" s="12">
        <f>+'4'!G115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+'4'!G121</f>
        <v>0</v>
      </c>
      <c r="D121" s="13">
        <v>3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+'4'!G145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+'4'!G150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3</v>
      </c>
      <c r="H150" s="15">
        <v>2</v>
      </c>
      <c r="I150" s="21">
        <v>120</v>
      </c>
      <c r="J150" s="17">
        <f t="shared" si="16"/>
        <v>240</v>
      </c>
      <c r="K150" s="18" t="s">
        <v>16</v>
      </c>
      <c r="L150" s="19">
        <v>0</v>
      </c>
      <c r="M150" s="24">
        <f t="shared" si="17"/>
        <v>240</v>
      </c>
    </row>
    <row r="151" spans="1:13" ht="25.5">
      <c r="A151" s="10">
        <v>147</v>
      </c>
      <c r="B151" s="20" t="s">
        <v>162</v>
      </c>
      <c r="C151" s="12">
        <f>+'4'!G151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+'4'!G152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+'4'!G167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+'4'!G168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+'4'!G170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+'4'!G176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+'4'!G178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+'4'!G188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+'4'!G198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1" si="21">SUM(J198-L198)</f>
        <v>0</v>
      </c>
    </row>
    <row r="199" spans="1:13" ht="25.5">
      <c r="A199" s="10">
        <v>195</v>
      </c>
      <c r="B199" s="20" t="s">
        <v>210</v>
      </c>
      <c r="C199" s="12">
        <f>+'4'!G199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>SUM(J212-L212)</f>
        <v>0</v>
      </c>
      <c r="N212" s="24">
        <f>SUM(M5:M212)</f>
        <v>1680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43" t="s">
        <v>224</v>
      </c>
      <c r="N213" s="144"/>
      <c r="Z213" s="29"/>
    </row>
    <row r="214" spans="1:26" ht="25.5">
      <c r="A214" s="1"/>
      <c r="C214" s="25"/>
      <c r="D214" s="26"/>
      <c r="E214" s="25"/>
      <c r="F214" s="26"/>
      <c r="G214" s="25"/>
      <c r="H214" s="25"/>
      <c r="I214" s="27"/>
      <c r="J214" s="89"/>
      <c r="K214" s="28"/>
      <c r="L214" s="29"/>
      <c r="M214" s="90"/>
      <c r="N214" s="90"/>
      <c r="Z214" s="29"/>
    </row>
    <row r="215" spans="1:26" ht="25.5" customHeight="1">
      <c r="A215" s="1"/>
      <c r="C215" s="25"/>
      <c r="D215" s="26"/>
      <c r="E215" s="25"/>
      <c r="F215" s="26"/>
      <c r="G215" s="25"/>
      <c r="H215" s="145" t="s">
        <v>223</v>
      </c>
      <c r="I215" s="146"/>
      <c r="J215" s="30">
        <f>+X107</f>
        <v>0</v>
      </c>
      <c r="K215" s="28"/>
      <c r="L215" s="29"/>
      <c r="Z215" s="29"/>
    </row>
    <row r="216" spans="1:26" ht="25.5">
      <c r="A216" s="1"/>
      <c r="C216" s="25"/>
      <c r="E216" s="25"/>
      <c r="F216" s="26"/>
      <c r="G216" s="25"/>
      <c r="H216" s="31"/>
      <c r="I216" s="147" t="s">
        <v>213</v>
      </c>
      <c r="J216" s="147"/>
      <c r="K216" s="32">
        <f>SUM(J5:J215)</f>
        <v>1730</v>
      </c>
    </row>
    <row r="217" spans="1:26" ht="25.5">
      <c r="A217" s="1"/>
      <c r="C217" s="25"/>
      <c r="E217" s="25"/>
      <c r="F217" s="26"/>
      <c r="G217" s="25"/>
      <c r="I217" s="125" t="s">
        <v>214</v>
      </c>
      <c r="J217" s="126"/>
      <c r="K217" s="35">
        <v>0</v>
      </c>
    </row>
    <row r="218" spans="1:26" ht="25.5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905</v>
      </c>
      <c r="L218" s="2">
        <v>50</v>
      </c>
      <c r="M218" s="2">
        <v>150</v>
      </c>
      <c r="N218" s="2">
        <v>50</v>
      </c>
      <c r="O218" s="2">
        <v>550</v>
      </c>
      <c r="P218" s="2">
        <v>105</v>
      </c>
      <c r="T218" s="29"/>
    </row>
    <row r="219" spans="1:26" ht="25.5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50</v>
      </c>
    </row>
    <row r="222" spans="1:26" ht="25.5">
      <c r="A222" s="1"/>
      <c r="C222" s="25"/>
      <c r="E222" s="25"/>
      <c r="F222" s="26"/>
      <c r="G222" s="25"/>
      <c r="I222" s="125" t="s">
        <v>219</v>
      </c>
      <c r="J222" s="126"/>
      <c r="K222" s="32">
        <f>K216-K217-K218-K220-K221</f>
        <v>775</v>
      </c>
    </row>
    <row r="223" spans="1:26" ht="25.5">
      <c r="A223" s="1"/>
      <c r="C223" s="25"/>
      <c r="E223" s="25"/>
      <c r="F223" s="26"/>
      <c r="G223" s="25"/>
      <c r="I223" s="125" t="s">
        <v>220</v>
      </c>
      <c r="J223" s="126"/>
      <c r="K223" s="36">
        <v>760</v>
      </c>
    </row>
    <row r="224" spans="1:26" ht="25.5">
      <c r="A224" s="1"/>
      <c r="B224" s="28" t="s">
        <v>279</v>
      </c>
      <c r="C224" s="25"/>
      <c r="E224" s="25"/>
      <c r="F224" s="26"/>
      <c r="G224" s="25"/>
      <c r="I224" s="125" t="s">
        <v>221</v>
      </c>
      <c r="J224" s="126"/>
      <c r="K224" s="32">
        <f>+K223-K222</f>
        <v>-15</v>
      </c>
    </row>
    <row r="225" spans="2:11" ht="25.5">
      <c r="B225" s="2" t="s">
        <v>280</v>
      </c>
      <c r="C225" s="25"/>
      <c r="F225" s="26"/>
      <c r="G225" s="2"/>
      <c r="I225" s="125" t="s">
        <v>222</v>
      </c>
      <c r="J225" s="126"/>
      <c r="K225" s="32">
        <f>+K223-K222</f>
        <v>-15</v>
      </c>
    </row>
    <row r="226" spans="2:11">
      <c r="G226" s="2"/>
      <c r="I226" s="2"/>
    </row>
    <row r="227" spans="2:11">
      <c r="G227" s="2"/>
      <c r="I227" s="2" t="s">
        <v>266</v>
      </c>
      <c r="J227" s="2">
        <f>+K216-K221+K224</f>
        <v>1665</v>
      </c>
    </row>
    <row r="228" spans="2:11">
      <c r="G228" s="2"/>
      <c r="I228" s="2" t="s">
        <v>267</v>
      </c>
      <c r="J228" s="2">
        <f>SUM(K217:K220)</f>
        <v>905</v>
      </c>
    </row>
    <row r="229" spans="2:11">
      <c r="G229" s="2"/>
      <c r="I229" s="2" t="s">
        <v>268</v>
      </c>
      <c r="J229" s="2">
        <f>+K223</f>
        <v>760</v>
      </c>
    </row>
    <row r="230" spans="2:11">
      <c r="G230" s="2"/>
      <c r="I230" s="2"/>
    </row>
    <row r="231" spans="2:11">
      <c r="G231" s="2"/>
      <c r="I231" s="2"/>
    </row>
    <row r="232" spans="2:11">
      <c r="G232" s="2"/>
      <c r="I232" s="2"/>
    </row>
    <row r="233" spans="2:11">
      <c r="G233" s="2"/>
      <c r="I233" s="2"/>
    </row>
    <row r="234" spans="2:11">
      <c r="G234" s="2"/>
      <c r="I234" s="2"/>
    </row>
    <row r="235" spans="2:11">
      <c r="G235" s="2"/>
      <c r="I235" s="2"/>
    </row>
    <row r="236" spans="2:11">
      <c r="G236" s="2"/>
      <c r="I236" s="2"/>
    </row>
    <row r="237" spans="2:11">
      <c r="G237" s="2"/>
      <c r="I237" s="2"/>
    </row>
    <row r="238" spans="2:11">
      <c r="G238" s="2"/>
      <c r="I238" s="2"/>
    </row>
    <row r="239" spans="2:11">
      <c r="G239" s="2"/>
      <c r="I239" s="2"/>
    </row>
    <row r="240" spans="2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9F4C-7F7C-4F89-8B49-17D8DDBE81EB}">
  <sheetPr>
    <tabColor theme="5" tint="0.79998168889431442"/>
  </sheetPr>
  <dimension ref="A1:Z300"/>
  <sheetViews>
    <sheetView zoomScale="90" zoomScaleNormal="90" workbookViewId="0">
      <pane ySplit="4" topLeftCell="A213" activePane="bottomLeft" state="frozen"/>
      <selection pane="bottomLeft" activeCell="J227" sqref="J227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+'5'!G5</f>
        <v>10</v>
      </c>
      <c r="D5" s="13">
        <v>0</v>
      </c>
      <c r="E5" s="12">
        <f>C5+D5</f>
        <v>10</v>
      </c>
      <c r="F5" s="13">
        <v>0</v>
      </c>
      <c r="G5" s="14">
        <f>E5-F5-H5</f>
        <v>10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+'5'!G6</f>
        <v>11</v>
      </c>
      <c r="D6" s="13">
        <v>0</v>
      </c>
      <c r="E6" s="12">
        <f t="shared" ref="E6:E69" si="0">C6+D6</f>
        <v>11</v>
      </c>
      <c r="F6" s="13">
        <v>0</v>
      </c>
      <c r="G6" s="14">
        <f t="shared" ref="G6:G69" si="1">E6-F6-H6</f>
        <v>6</v>
      </c>
      <c r="H6" s="15">
        <v>5</v>
      </c>
      <c r="I6" s="16">
        <v>100</v>
      </c>
      <c r="J6" s="17">
        <f t="shared" ref="J6:J69" si="2">+H6*I6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+'5'!G17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+'5'!G19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+'5'!G23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+'5'!G24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5</v>
      </c>
      <c r="H24" s="15">
        <v>3</v>
      </c>
      <c r="I24" s="22">
        <v>100</v>
      </c>
      <c r="J24" s="17">
        <f t="shared" si="2"/>
        <v>300</v>
      </c>
      <c r="K24" s="18" t="s">
        <v>273</v>
      </c>
      <c r="L24" s="19">
        <v>150</v>
      </c>
      <c r="M24" s="24">
        <f t="shared" si="3"/>
        <v>150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+'5'!G29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+'5'!G35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+'5'!G37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+'5'!G38</f>
        <v>4</v>
      </c>
      <c r="D38" s="13">
        <v>0</v>
      </c>
      <c r="E38" s="12">
        <f>C38+D38</f>
        <v>4</v>
      </c>
      <c r="F38" s="13">
        <v>0</v>
      </c>
      <c r="G38" s="14">
        <f>E38-F38-H38</f>
        <v>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+'5'!G44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+'5'!G49</f>
        <v>6</v>
      </c>
      <c r="D49" s="13">
        <v>0</v>
      </c>
      <c r="E49" s="12">
        <f t="shared" si="0"/>
        <v>6</v>
      </c>
      <c r="F49" s="13">
        <v>0</v>
      </c>
      <c r="G49" s="14">
        <f t="shared" si="1"/>
        <v>4</v>
      </c>
      <c r="H49" s="15">
        <v>2</v>
      </c>
      <c r="I49" s="16">
        <v>50</v>
      </c>
      <c r="J49" s="17">
        <f t="shared" si="2"/>
        <v>100</v>
      </c>
      <c r="K49" s="18" t="s">
        <v>281</v>
      </c>
      <c r="L49" s="19">
        <v>25</v>
      </c>
      <c r="M49" s="24">
        <f t="shared" si="3"/>
        <v>75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+'5'!G51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0</v>
      </c>
      <c r="H55" s="15">
        <v>2</v>
      </c>
      <c r="I55" s="22">
        <v>120</v>
      </c>
      <c r="J55" s="17">
        <f t="shared" si="2"/>
        <v>240</v>
      </c>
      <c r="K55" s="18" t="s">
        <v>276</v>
      </c>
      <c r="L55" s="19">
        <v>70</v>
      </c>
      <c r="M55" s="24">
        <f t="shared" si="3"/>
        <v>170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+'5'!G58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+'5'!G62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+'5'!G66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+'5'!G70</f>
        <v>1</v>
      </c>
      <c r="D70" s="13">
        <v>0</v>
      </c>
      <c r="E70" s="12">
        <f t="shared" ref="E70:E133" si="7">C70+D70</f>
        <v>1</v>
      </c>
      <c r="F70" s="13">
        <v>0</v>
      </c>
      <c r="G70" s="14">
        <f t="shared" ref="G70:G133" si="8">E70-F70-H70</f>
        <v>1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+'5'!G71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+'5'!G77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0</v>
      </c>
      <c r="H77" s="15">
        <v>1</v>
      </c>
      <c r="I77" s="21">
        <v>50</v>
      </c>
      <c r="J77" s="17">
        <f t="shared" si="9"/>
        <v>50</v>
      </c>
      <c r="K77" s="18" t="s">
        <v>16</v>
      </c>
      <c r="L77" s="19">
        <v>0</v>
      </c>
      <c r="M77" s="24">
        <f t="shared" si="10"/>
        <v>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+'5'!G79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2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+'5'!G81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+'5'!G82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1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+'5'!G85</f>
        <v>9</v>
      </c>
      <c r="D85" s="13">
        <v>0</v>
      </c>
      <c r="E85" s="12">
        <f t="shared" si="7"/>
        <v>9</v>
      </c>
      <c r="F85" s="13">
        <v>0</v>
      </c>
      <c r="G85" s="14">
        <f t="shared" si="8"/>
        <v>9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+'5'!G86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+'5'!G87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+'5'!G88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+'5'!G94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+'5'!G99</f>
        <v>1</v>
      </c>
      <c r="D99" s="13">
        <v>0</v>
      </c>
      <c r="E99" s="12">
        <f t="shared" si="7"/>
        <v>1</v>
      </c>
      <c r="F99" s="13">
        <v>0</v>
      </c>
      <c r="G99" s="14">
        <f t="shared" si="8"/>
        <v>1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+'5'!G106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+'5'!G121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+'5'!G145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+'5'!G150</f>
        <v>3</v>
      </c>
      <c r="D150" s="13">
        <v>0</v>
      </c>
      <c r="E150" s="12">
        <f t="shared" si="14"/>
        <v>3</v>
      </c>
      <c r="F150" s="13">
        <v>0</v>
      </c>
      <c r="G150" s="14">
        <f t="shared" si="15"/>
        <v>1</v>
      </c>
      <c r="H150" s="15">
        <v>2</v>
      </c>
      <c r="I150" s="21">
        <v>120</v>
      </c>
      <c r="J150" s="17">
        <f t="shared" si="16"/>
        <v>240</v>
      </c>
      <c r="K150" s="18" t="s">
        <v>16</v>
      </c>
      <c r="L150" s="19">
        <v>0</v>
      </c>
      <c r="M150" s="24">
        <f t="shared" si="17"/>
        <v>240</v>
      </c>
    </row>
    <row r="151" spans="1:13" ht="25.5">
      <c r="A151" s="10">
        <v>147</v>
      </c>
      <c r="B151" s="20" t="s">
        <v>162</v>
      </c>
      <c r="C151" s="12">
        <f>+'5'!G151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+'5'!G152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5</v>
      </c>
      <c r="H152" s="15">
        <v>1</v>
      </c>
      <c r="I152" s="21">
        <v>120</v>
      </c>
      <c r="J152" s="17">
        <f t="shared" si="16"/>
        <v>120</v>
      </c>
      <c r="K152" s="18" t="s">
        <v>16</v>
      </c>
      <c r="L152" s="19">
        <v>0</v>
      </c>
      <c r="M152" s="24">
        <f t="shared" si="17"/>
        <v>120</v>
      </c>
    </row>
    <row r="153" spans="1:13" ht="25.5">
      <c r="A153" s="10">
        <v>149</v>
      </c>
      <c r="B153" s="20" t="s">
        <v>164</v>
      </c>
      <c r="C153" s="12">
        <f>+'5'!G153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+'5'!G167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+'5'!G168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+'5'!G170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+'5'!G176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+'5'!G178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+'5'!G188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+'5'!G198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+'5'!G211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1405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43" t="s">
        <v>224</v>
      </c>
      <c r="N213" s="144"/>
      <c r="Z213" s="29"/>
    </row>
    <row r="214" spans="1:26" ht="25.5">
      <c r="A214" s="1"/>
      <c r="C214" s="25"/>
      <c r="D214" s="26"/>
      <c r="E214" s="25"/>
      <c r="F214" s="26"/>
      <c r="G214" s="25"/>
      <c r="H214" s="25"/>
      <c r="I214" s="27"/>
      <c r="J214" s="89"/>
      <c r="K214" s="28"/>
      <c r="L214" s="29"/>
      <c r="M214" s="90"/>
      <c r="N214" s="90"/>
      <c r="Z214" s="29"/>
    </row>
    <row r="215" spans="1:26" ht="25.5" customHeight="1">
      <c r="A215" s="1"/>
      <c r="C215" s="25"/>
      <c r="D215" s="26"/>
      <c r="E215" s="25"/>
      <c r="F215" s="26"/>
      <c r="G215" s="25"/>
      <c r="H215" s="145" t="s">
        <v>223</v>
      </c>
      <c r="I215" s="146"/>
      <c r="J215" s="30">
        <f>+X107</f>
        <v>0</v>
      </c>
      <c r="K215" s="28"/>
      <c r="L215" s="29"/>
      <c r="Z215" s="29"/>
    </row>
    <row r="216" spans="1:26" ht="25.5">
      <c r="A216" s="1"/>
      <c r="C216" s="25"/>
      <c r="E216" s="25"/>
      <c r="F216" s="26"/>
      <c r="G216" s="25"/>
      <c r="H216" s="31"/>
      <c r="I216" s="147" t="s">
        <v>213</v>
      </c>
      <c r="J216" s="147"/>
      <c r="K216" s="32">
        <f>SUM(J5:J215)</f>
        <v>1650</v>
      </c>
    </row>
    <row r="217" spans="1:26" ht="25.5">
      <c r="A217" s="1"/>
      <c r="C217" s="25"/>
      <c r="E217" s="25"/>
      <c r="F217" s="26"/>
      <c r="G217" s="25"/>
      <c r="I217" s="125" t="s">
        <v>214</v>
      </c>
      <c r="J217" s="126"/>
      <c r="K217" s="35">
        <v>0</v>
      </c>
    </row>
    <row r="218" spans="1:26" ht="25.5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635</v>
      </c>
      <c r="L218" s="2">
        <v>120</v>
      </c>
      <c r="M218" s="2">
        <v>50</v>
      </c>
      <c r="N218" s="2">
        <v>50</v>
      </c>
      <c r="O218" s="2">
        <v>245</v>
      </c>
      <c r="P218" s="2">
        <v>170</v>
      </c>
      <c r="T218" s="29"/>
    </row>
    <row r="219" spans="1:26" ht="25.5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245</v>
      </c>
    </row>
    <row r="222" spans="1:26" ht="25.5">
      <c r="A222" s="1"/>
      <c r="C222" s="25"/>
      <c r="E222" s="25"/>
      <c r="F222" s="26"/>
      <c r="G222" s="25"/>
      <c r="I222" s="125" t="s">
        <v>219</v>
      </c>
      <c r="J222" s="126"/>
      <c r="K222" s="32">
        <v>770</v>
      </c>
    </row>
    <row r="223" spans="1:26" ht="25.5">
      <c r="A223" s="1"/>
      <c r="C223" s="25"/>
      <c r="E223" s="25"/>
      <c r="F223" s="26"/>
      <c r="G223" s="25"/>
      <c r="I223" s="125" t="s">
        <v>220</v>
      </c>
      <c r="J223" s="126"/>
      <c r="K223" s="36">
        <v>785</v>
      </c>
    </row>
    <row r="224" spans="1:26" ht="25.5">
      <c r="A224" s="1"/>
      <c r="B224" s="2" t="s">
        <v>282</v>
      </c>
      <c r="C224" s="25"/>
      <c r="E224" s="25"/>
      <c r="F224" s="26"/>
      <c r="G224" s="25"/>
      <c r="I224" s="125" t="s">
        <v>221</v>
      </c>
      <c r="J224" s="126"/>
      <c r="K224" s="32">
        <f>+K223-K222</f>
        <v>15</v>
      </c>
    </row>
    <row r="225" spans="3:11" ht="25.5">
      <c r="C225" s="25"/>
      <c r="F225" s="26"/>
      <c r="G225" s="2"/>
      <c r="I225" s="125" t="s">
        <v>222</v>
      </c>
      <c r="J225" s="126"/>
      <c r="K225" s="32">
        <f>+K223-K222</f>
        <v>15</v>
      </c>
    </row>
    <row r="226" spans="3:11">
      <c r="G226" s="2"/>
      <c r="I226" s="2"/>
    </row>
    <row r="227" spans="3:11">
      <c r="G227" s="2"/>
      <c r="I227" s="2" t="s">
        <v>266</v>
      </c>
      <c r="J227" s="2">
        <f>+K216-K221+K224</f>
        <v>1420</v>
      </c>
    </row>
    <row r="228" spans="3:11">
      <c r="G228" s="2"/>
      <c r="I228" s="2" t="s">
        <v>267</v>
      </c>
      <c r="J228" s="2">
        <f>SUM(K217:K220)</f>
        <v>635</v>
      </c>
    </row>
    <row r="229" spans="3:11">
      <c r="G229" s="2"/>
      <c r="I229" s="2" t="s">
        <v>268</v>
      </c>
      <c r="J229" s="2">
        <f>+K223</f>
        <v>785</v>
      </c>
    </row>
    <row r="230" spans="3:11">
      <c r="G230" s="2"/>
      <c r="I230" s="2"/>
    </row>
    <row r="231" spans="3:11">
      <c r="G231" s="2"/>
      <c r="I231" s="2"/>
    </row>
    <row r="232" spans="3:11">
      <c r="G232" s="2"/>
      <c r="I232" s="2"/>
    </row>
    <row r="233" spans="3:11">
      <c r="G233" s="2"/>
      <c r="I233" s="2"/>
    </row>
    <row r="234" spans="3:11">
      <c r="G234" s="2"/>
      <c r="I234" s="2"/>
    </row>
    <row r="235" spans="3:11">
      <c r="G235" s="2"/>
      <c r="I235" s="2"/>
    </row>
    <row r="236" spans="3:11">
      <c r="G236" s="2"/>
      <c r="I236" s="2"/>
    </row>
    <row r="237" spans="3:11">
      <c r="G237" s="2"/>
      <c r="I237" s="2"/>
    </row>
    <row r="238" spans="3:11">
      <c r="G238" s="2"/>
      <c r="I238" s="2"/>
    </row>
    <row r="239" spans="3:11">
      <c r="G239" s="2"/>
      <c r="I239" s="2"/>
    </row>
    <row r="240" spans="3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D69F-90D5-4A30-A369-7D93F499DB45}">
  <sheetPr>
    <tabColor theme="5" tint="0.79998168889431442"/>
  </sheetPr>
  <dimension ref="A1:Z300"/>
  <sheetViews>
    <sheetView zoomScale="90" zoomScaleNormal="90" workbookViewId="0">
      <pane ySplit="4" topLeftCell="A210" activePane="bottomLeft" state="frozen"/>
      <selection pane="bottomLeft" activeCell="K224" sqref="K224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+'6'!G5</f>
        <v>10</v>
      </c>
      <c r="D5" s="13">
        <v>0</v>
      </c>
      <c r="E5" s="12">
        <f>C5+D5</f>
        <v>10</v>
      </c>
      <c r="F5" s="13">
        <v>0</v>
      </c>
      <c r="G5" s="14">
        <f>E5-F5-H5</f>
        <v>7</v>
      </c>
      <c r="H5" s="15">
        <v>3</v>
      </c>
      <c r="I5" s="16">
        <v>50</v>
      </c>
      <c r="J5" s="17">
        <f>+H5*I5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+'6'!G6</f>
        <v>6</v>
      </c>
      <c r="D6" s="13">
        <v>0</v>
      </c>
      <c r="E6" s="12">
        <f t="shared" ref="E6:E69" si="0">C6+D6</f>
        <v>6</v>
      </c>
      <c r="F6" s="13">
        <v>0</v>
      </c>
      <c r="G6" s="14">
        <f t="shared" ref="G6:G69" si="1">E6-F6-H6</f>
        <v>3</v>
      </c>
      <c r="H6" s="15">
        <v>3</v>
      </c>
      <c r="I6" s="16">
        <v>100</v>
      </c>
      <c r="J6" s="17">
        <f t="shared" ref="J6:J69" si="2">+H6*I6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+'6'!G14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3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+'6'!G19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+'6'!G23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3</v>
      </c>
      <c r="H24" s="15">
        <v>2</v>
      </c>
      <c r="I24" s="22">
        <v>100</v>
      </c>
      <c r="J24" s="17">
        <f t="shared" si="2"/>
        <v>200</v>
      </c>
      <c r="K24" s="18" t="s">
        <v>273</v>
      </c>
      <c r="L24" s="19">
        <v>100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+'6'!G35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+'6'!G37</f>
        <v>8</v>
      </c>
      <c r="D37" s="13">
        <v>20</v>
      </c>
      <c r="E37" s="12">
        <f t="shared" si="0"/>
        <v>28</v>
      </c>
      <c r="F37" s="13">
        <v>10</v>
      </c>
      <c r="G37" s="14">
        <f t="shared" si="1"/>
        <v>14</v>
      </c>
      <c r="H37" s="15">
        <v>4</v>
      </c>
      <c r="I37" s="16">
        <v>100</v>
      </c>
      <c r="J37" s="17">
        <f t="shared" si="2"/>
        <v>400</v>
      </c>
      <c r="K37" s="18" t="s">
        <v>273</v>
      </c>
      <c r="L37" s="19">
        <v>200</v>
      </c>
      <c r="M37" s="24">
        <f t="shared" si="3"/>
        <v>200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+'6'!G38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+'6'!G40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+'6'!G43</f>
        <v>0</v>
      </c>
      <c r="D43" s="13">
        <v>3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+'6'!G44</f>
        <v>0</v>
      </c>
      <c r="D44" s="13">
        <v>3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+'6'!G46</f>
        <v>0</v>
      </c>
      <c r="D46" s="13">
        <v>3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+'6'!G47</f>
        <v>0</v>
      </c>
      <c r="D47" s="13">
        <v>3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+'6'!G48</f>
        <v>3</v>
      </c>
      <c r="D48" s="13">
        <v>3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+'6'!G49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17">
        <f t="shared" si="2"/>
        <v>50</v>
      </c>
      <c r="K49" s="18" t="s">
        <v>275</v>
      </c>
      <c r="L49" s="19">
        <v>50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+'6'!G50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+'6'!G51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+'6'!G53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+'6'!G58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+'6'!G62</f>
        <v>1</v>
      </c>
      <c r="D62" s="13">
        <v>3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+'6'!G66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3</v>
      </c>
      <c r="H66" s="15">
        <v>2</v>
      </c>
      <c r="I66" s="16">
        <v>50</v>
      </c>
      <c r="J66" s="17">
        <f t="shared" si="2"/>
        <v>100</v>
      </c>
      <c r="K66" s="18" t="s">
        <v>16</v>
      </c>
      <c r="L66" s="19">
        <v>0</v>
      </c>
      <c r="M66" s="24">
        <f t="shared" si="3"/>
        <v>100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+'6'!G70</f>
        <v>1</v>
      </c>
      <c r="D70" s="13">
        <v>3</v>
      </c>
      <c r="E70" s="12">
        <f t="shared" ref="E70:E133" si="7">C70+D70</f>
        <v>4</v>
      </c>
      <c r="F70" s="13">
        <v>0</v>
      </c>
      <c r="G70" s="14">
        <f t="shared" ref="G70:G133" si="8">E70-F70-H70</f>
        <v>4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+'6'!G71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+'6'!G77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+'6'!G79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2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+'6'!G81</f>
        <v>0</v>
      </c>
      <c r="D81" s="13">
        <v>3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+'6'!G82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1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+'6'!G85</f>
        <v>9</v>
      </c>
      <c r="D85" s="13">
        <v>0</v>
      </c>
      <c r="E85" s="12">
        <f t="shared" si="7"/>
        <v>9</v>
      </c>
      <c r="F85" s="13">
        <v>0</v>
      </c>
      <c r="G85" s="14">
        <f t="shared" si="8"/>
        <v>9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+'6'!G86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+'6'!G87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+'6'!G88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+'6'!G94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+'6'!G99</f>
        <v>1</v>
      </c>
      <c r="D99" s="13">
        <v>0</v>
      </c>
      <c r="E99" s="12">
        <f t="shared" si="7"/>
        <v>1</v>
      </c>
      <c r="F99" s="13">
        <v>0</v>
      </c>
      <c r="G99" s="14">
        <f t="shared" si="8"/>
        <v>1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+'6'!G106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+'6'!G121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+'6'!G145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+'6'!G150</f>
        <v>1</v>
      </c>
      <c r="D150" s="13">
        <v>0</v>
      </c>
      <c r="E150" s="12">
        <f t="shared" si="14"/>
        <v>1</v>
      </c>
      <c r="F150" s="13">
        <v>0</v>
      </c>
      <c r="G150" s="14">
        <f t="shared" si="15"/>
        <v>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+'6'!G151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+'6'!G152</f>
        <v>5</v>
      </c>
      <c r="D152" s="13">
        <v>0</v>
      </c>
      <c r="E152" s="12">
        <f t="shared" si="14"/>
        <v>5</v>
      </c>
      <c r="F152" s="13">
        <v>0</v>
      </c>
      <c r="G152" s="14">
        <f t="shared" si="15"/>
        <v>3</v>
      </c>
      <c r="H152" s="15">
        <v>2</v>
      </c>
      <c r="I152" s="21">
        <v>120</v>
      </c>
      <c r="J152" s="17">
        <f t="shared" si="16"/>
        <v>240</v>
      </c>
      <c r="K152" s="18" t="s">
        <v>16</v>
      </c>
      <c r="L152" s="19">
        <v>0</v>
      </c>
      <c r="M152" s="24">
        <f t="shared" si="17"/>
        <v>240</v>
      </c>
    </row>
    <row r="153" spans="1:13" ht="25.5">
      <c r="A153" s="10">
        <v>149</v>
      </c>
      <c r="B153" s="20" t="s">
        <v>164</v>
      </c>
      <c r="C153" s="12">
        <f>+'6'!G153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+'6'!G167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+'6'!G168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+'6'!G170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+'6'!G176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+'6'!G188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+'6'!G198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1290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43" t="s">
        <v>224</v>
      </c>
      <c r="N213" s="144"/>
      <c r="Z213" s="29"/>
    </row>
    <row r="214" spans="1:26" ht="25.5">
      <c r="A214" s="1"/>
      <c r="C214" s="25"/>
      <c r="D214" s="26"/>
      <c r="E214" s="25"/>
      <c r="F214" s="26"/>
      <c r="G214" s="25"/>
      <c r="H214" s="25"/>
      <c r="I214" s="27"/>
      <c r="J214" s="89"/>
      <c r="K214" s="28"/>
      <c r="L214" s="29"/>
      <c r="M214" s="90"/>
      <c r="N214" s="90"/>
      <c r="Z214" s="29"/>
    </row>
    <row r="215" spans="1:26" ht="25.5" customHeight="1">
      <c r="A215" s="1"/>
      <c r="C215" s="25"/>
      <c r="D215" s="26"/>
      <c r="E215" s="25"/>
      <c r="F215" s="26"/>
      <c r="G215" s="25"/>
      <c r="H215" s="145" t="s">
        <v>223</v>
      </c>
      <c r="I215" s="146"/>
      <c r="J215" s="30">
        <f>+X107</f>
        <v>0</v>
      </c>
      <c r="K215" s="28"/>
      <c r="L215" s="29"/>
      <c r="Z215" s="29"/>
    </row>
    <row r="216" spans="1:26" ht="25.5">
      <c r="A216" s="1"/>
      <c r="C216" s="25"/>
      <c r="E216" s="25"/>
      <c r="F216" s="26"/>
      <c r="G216" s="25"/>
      <c r="H216" s="31"/>
      <c r="I216" s="147" t="s">
        <v>213</v>
      </c>
      <c r="J216" s="147"/>
      <c r="K216" s="32">
        <f>SUM(J5:J215)</f>
        <v>1640</v>
      </c>
    </row>
    <row r="217" spans="1:26" ht="25.5">
      <c r="A217" s="1"/>
      <c r="C217" s="25"/>
      <c r="E217" s="25"/>
      <c r="F217" s="26"/>
      <c r="G217" s="25"/>
      <c r="I217" s="125" t="s">
        <v>214</v>
      </c>
      <c r="J217" s="126"/>
      <c r="K217" s="35">
        <v>0</v>
      </c>
    </row>
    <row r="218" spans="1:26" ht="25.5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100</v>
      </c>
      <c r="L218" s="2">
        <v>100</v>
      </c>
      <c r="T218" s="29"/>
    </row>
    <row r="219" spans="1:26" ht="25.5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350</v>
      </c>
    </row>
    <row r="222" spans="1:26" ht="25.5">
      <c r="A222" s="1"/>
      <c r="C222" s="25"/>
      <c r="E222" s="25"/>
      <c r="F222" s="26"/>
      <c r="G222" s="25"/>
      <c r="I222" s="125" t="s">
        <v>219</v>
      </c>
      <c r="J222" s="126"/>
      <c r="K222" s="32">
        <f>K216-K217-K218-K220-K221</f>
        <v>1190</v>
      </c>
    </row>
    <row r="223" spans="1:26" ht="25.5">
      <c r="A223" s="1"/>
      <c r="C223" s="25"/>
      <c r="E223" s="25"/>
      <c r="F223" s="26"/>
      <c r="G223" s="25"/>
      <c r="I223" s="125" t="s">
        <v>220</v>
      </c>
      <c r="J223" s="126"/>
      <c r="K223" s="36">
        <v>1190</v>
      </c>
    </row>
    <row r="224" spans="1:26" ht="25.5">
      <c r="A224" s="1"/>
      <c r="C224" s="25"/>
      <c r="E224" s="25"/>
      <c r="F224" s="26"/>
      <c r="G224" s="25"/>
      <c r="I224" s="125" t="s">
        <v>221</v>
      </c>
      <c r="J224" s="126"/>
      <c r="K224" s="32">
        <f>+K223-K222</f>
        <v>0</v>
      </c>
    </row>
    <row r="225" spans="3:11" ht="25.5">
      <c r="C225" s="25"/>
      <c r="F225" s="26"/>
      <c r="G225" s="2"/>
      <c r="I225" s="125" t="s">
        <v>222</v>
      </c>
      <c r="J225" s="126"/>
      <c r="K225" s="32">
        <f>+K223-K222</f>
        <v>0</v>
      </c>
    </row>
    <row r="226" spans="3:11">
      <c r="G226" s="2"/>
      <c r="I226" s="2"/>
    </row>
    <row r="227" spans="3:11">
      <c r="G227" s="2"/>
      <c r="I227" s="2" t="s">
        <v>266</v>
      </c>
      <c r="J227" s="2">
        <f>+K216-K221+K224</f>
        <v>1290</v>
      </c>
    </row>
    <row r="228" spans="3:11">
      <c r="G228" s="2"/>
      <c r="I228" s="2" t="s">
        <v>267</v>
      </c>
      <c r="J228" s="2">
        <f>SUM(K217:K220)</f>
        <v>100</v>
      </c>
    </row>
    <row r="229" spans="3:11">
      <c r="G229" s="2"/>
      <c r="I229" s="2" t="s">
        <v>268</v>
      </c>
      <c r="J229" s="2">
        <f>+K223</f>
        <v>1190</v>
      </c>
    </row>
    <row r="230" spans="3:11">
      <c r="G230" s="2"/>
      <c r="I230" s="2"/>
    </row>
    <row r="231" spans="3:11">
      <c r="G231" s="2"/>
      <c r="I231" s="2"/>
    </row>
    <row r="232" spans="3:11">
      <c r="G232" s="2"/>
      <c r="I232" s="2"/>
    </row>
    <row r="233" spans="3:11">
      <c r="G233" s="2"/>
      <c r="I233" s="2"/>
    </row>
    <row r="234" spans="3:11">
      <c r="G234" s="2"/>
      <c r="I234" s="2"/>
    </row>
    <row r="235" spans="3:11">
      <c r="G235" s="2"/>
      <c r="I235" s="2"/>
    </row>
    <row r="236" spans="3:11">
      <c r="G236" s="2"/>
      <c r="I236" s="2"/>
    </row>
    <row r="237" spans="3:11">
      <c r="G237" s="2"/>
      <c r="I237" s="2"/>
    </row>
    <row r="238" spans="3:11">
      <c r="G238" s="2"/>
      <c r="I238" s="2"/>
    </row>
    <row r="239" spans="3:11">
      <c r="G239" s="2"/>
      <c r="I239" s="2"/>
    </row>
    <row r="240" spans="3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97DF-5511-4E6E-9CCA-53338A7232A8}">
  <sheetPr>
    <tabColor theme="5" tint="0.79998168889431442"/>
  </sheetPr>
  <dimension ref="A1:Z299"/>
  <sheetViews>
    <sheetView zoomScale="90" zoomScaleNormal="90" workbookViewId="0">
      <pane ySplit="4" topLeftCell="A210" activePane="bottomLeft" state="frozen"/>
      <selection pane="bottomLeft" activeCell="K223" sqref="K223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+'7'!G5</f>
        <v>7</v>
      </c>
      <c r="D5" s="13">
        <v>0</v>
      </c>
      <c r="E5" s="12">
        <f>C5+D5</f>
        <v>7</v>
      </c>
      <c r="F5" s="13">
        <v>0</v>
      </c>
      <c r="G5" s="14">
        <f>E5-F5-H5</f>
        <v>3</v>
      </c>
      <c r="H5" s="15">
        <v>4</v>
      </c>
      <c r="I5" s="16">
        <v>50</v>
      </c>
      <c r="J5" s="17">
        <f>+H5*I5</f>
        <v>200</v>
      </c>
      <c r="K5" s="18" t="s">
        <v>283</v>
      </c>
      <c r="L5" s="19">
        <v>100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+'7'!G6</f>
        <v>3</v>
      </c>
      <c r="D6" s="13">
        <v>0</v>
      </c>
      <c r="E6" s="12">
        <f t="shared" ref="E6:E69" si="0">C6+D6</f>
        <v>3</v>
      </c>
      <c r="F6" s="13">
        <v>0</v>
      </c>
      <c r="G6" s="14">
        <f t="shared" ref="G6:G69" si="1">E6-F6-H6</f>
        <v>0</v>
      </c>
      <c r="H6" s="15">
        <v>3</v>
      </c>
      <c r="I6" s="16">
        <v>100</v>
      </c>
      <c r="J6" s="17">
        <f t="shared" ref="J6:J69" si="2">+H6*I6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+'7'!G14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+'7'!G17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+'7'!G19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+'7'!G23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4</v>
      </c>
      <c r="H23" s="15">
        <v>6</v>
      </c>
      <c r="I23" s="16">
        <v>100</v>
      </c>
      <c r="J23" s="17">
        <f t="shared" si="2"/>
        <v>600</v>
      </c>
      <c r="K23" s="18" t="s">
        <v>16</v>
      </c>
      <c r="L23" s="19">
        <v>0</v>
      </c>
      <c r="M23" s="24">
        <f t="shared" si="3"/>
        <v>600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+'7'!G24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+'7'!G29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+'7'!G35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+'7'!G37</f>
        <v>14</v>
      </c>
      <c r="D37" s="13">
        <v>0</v>
      </c>
      <c r="E37" s="12">
        <f t="shared" si="0"/>
        <v>14</v>
      </c>
      <c r="F37" s="13">
        <v>0</v>
      </c>
      <c r="G37" s="14">
        <f t="shared" si="1"/>
        <v>6</v>
      </c>
      <c r="H37" s="15">
        <v>8</v>
      </c>
      <c r="I37" s="16">
        <v>100</v>
      </c>
      <c r="J37" s="17">
        <f t="shared" si="2"/>
        <v>800</v>
      </c>
      <c r="K37" s="18" t="s">
        <v>274</v>
      </c>
      <c r="L37" s="19">
        <v>50</v>
      </c>
      <c r="M37" s="24">
        <f t="shared" si="3"/>
        <v>750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+'7'!G38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+'7'!G39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+'7'!G40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+'7'!G43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1</v>
      </c>
      <c r="H43" s="15">
        <v>1</v>
      </c>
      <c r="I43" s="16">
        <v>50</v>
      </c>
      <c r="J43" s="17">
        <f t="shared" si="2"/>
        <v>50</v>
      </c>
      <c r="K43" s="18" t="s">
        <v>275</v>
      </c>
      <c r="L43" s="19">
        <v>50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+'7'!G44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+'7'!G46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+'7'!G47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+'7'!G48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5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+'7'!G49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+'7'!G50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+'7'!G51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+'7'!G53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+'7'!G58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+'7'!G62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+'7'!G66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+'7'!G70</f>
        <v>4</v>
      </c>
      <c r="D70" s="13">
        <v>0</v>
      </c>
      <c r="E70" s="12">
        <f t="shared" ref="E70:E133" si="7">C70+D70</f>
        <v>4</v>
      </c>
      <c r="F70" s="13">
        <v>0</v>
      </c>
      <c r="G70" s="14">
        <f t="shared" ref="G70:G133" si="8">E70-F70-H70</f>
        <v>4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+'7'!G71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+'7'!G77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+'7'!G79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2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+'7'!G81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+'7'!G82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1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+'7'!G85</f>
        <v>9</v>
      </c>
      <c r="D85" s="13">
        <v>0</v>
      </c>
      <c r="E85" s="12">
        <f t="shared" si="7"/>
        <v>9</v>
      </c>
      <c r="F85" s="13">
        <v>0</v>
      </c>
      <c r="G85" s="14">
        <f t="shared" si="8"/>
        <v>7</v>
      </c>
      <c r="H85" s="15">
        <v>2</v>
      </c>
      <c r="I85" s="23">
        <v>100</v>
      </c>
      <c r="J85" s="17">
        <f t="shared" si="9"/>
        <v>200</v>
      </c>
      <c r="K85" s="18" t="s">
        <v>16</v>
      </c>
      <c r="L85" s="19">
        <v>0</v>
      </c>
      <c r="M85" s="24">
        <f t="shared" si="10"/>
        <v>200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+'7'!G86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+'7'!G87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+'7'!G88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+'7'!G94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+'7'!G99</f>
        <v>1</v>
      </c>
      <c r="D99" s="13">
        <v>0</v>
      </c>
      <c r="E99" s="12">
        <f t="shared" si="7"/>
        <v>1</v>
      </c>
      <c r="F99" s="13">
        <v>0</v>
      </c>
      <c r="G99" s="14">
        <f t="shared" si="8"/>
        <v>1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+'7'!G106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+'7'!G121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+'7'!G145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+'7'!G150</f>
        <v>1</v>
      </c>
      <c r="D150" s="13">
        <v>0</v>
      </c>
      <c r="E150" s="12">
        <f t="shared" si="14"/>
        <v>1</v>
      </c>
      <c r="F150" s="13">
        <v>0</v>
      </c>
      <c r="G150" s="14">
        <f t="shared" si="15"/>
        <v>0</v>
      </c>
      <c r="H150" s="15">
        <v>1</v>
      </c>
      <c r="I150" s="21">
        <v>120</v>
      </c>
      <c r="J150" s="17">
        <f t="shared" si="16"/>
        <v>120</v>
      </c>
      <c r="K150" s="18" t="s">
        <v>16</v>
      </c>
      <c r="L150" s="19">
        <v>0</v>
      </c>
      <c r="M150" s="24">
        <f t="shared" si="17"/>
        <v>120</v>
      </c>
    </row>
    <row r="151" spans="1:13" ht="25.5">
      <c r="A151" s="10">
        <v>147</v>
      </c>
      <c r="B151" s="20" t="s">
        <v>162</v>
      </c>
      <c r="C151" s="12">
        <f>+'7'!G151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0</v>
      </c>
      <c r="H151" s="15">
        <v>4</v>
      </c>
      <c r="I151" s="21">
        <v>120</v>
      </c>
      <c r="J151" s="17">
        <f t="shared" si="16"/>
        <v>480</v>
      </c>
      <c r="K151" s="18" t="s">
        <v>16</v>
      </c>
      <c r="L151" s="19">
        <v>0</v>
      </c>
      <c r="M151" s="24">
        <f t="shared" si="17"/>
        <v>480</v>
      </c>
    </row>
    <row r="152" spans="1:13" ht="25.5">
      <c r="A152" s="10">
        <v>148</v>
      </c>
      <c r="B152" s="20" t="s">
        <v>163</v>
      </c>
      <c r="C152" s="12">
        <f>+'7'!G152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3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+'7'!G163</f>
        <v>0</v>
      </c>
      <c r="D163" s="13">
        <v>4</v>
      </c>
      <c r="E163" s="12">
        <f t="shared" si="14"/>
        <v>4</v>
      </c>
      <c r="F163" s="13">
        <v>0</v>
      </c>
      <c r="G163" s="14">
        <f t="shared" si="15"/>
        <v>3</v>
      </c>
      <c r="H163" s="15">
        <v>1</v>
      </c>
      <c r="I163" s="21">
        <v>25</v>
      </c>
      <c r="J163" s="17">
        <f t="shared" si="16"/>
        <v>25</v>
      </c>
      <c r="K163" s="18" t="s">
        <v>16</v>
      </c>
      <c r="L163" s="19">
        <v>0</v>
      </c>
      <c r="M163" s="24">
        <f t="shared" si="17"/>
        <v>25</v>
      </c>
    </row>
    <row r="164" spans="1:13" ht="25.5">
      <c r="A164" s="10">
        <v>160</v>
      </c>
      <c r="B164" s="20" t="s">
        <v>175</v>
      </c>
      <c r="C164" s="12">
        <f>+'7'!G164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+'7'!G167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+'7'!G168</f>
        <v>1</v>
      </c>
      <c r="D168" s="13">
        <v>30</v>
      </c>
      <c r="E168" s="12">
        <f t="shared" si="14"/>
        <v>31</v>
      </c>
      <c r="F168" s="13">
        <v>0</v>
      </c>
      <c r="G168" s="14">
        <f t="shared" si="15"/>
        <v>31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+'7'!G170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+'7'!G176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+'7'!G188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+'7'!G198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+'7'!G211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2675</v>
      </c>
    </row>
    <row r="213" spans="1:26">
      <c r="A213" s="1"/>
      <c r="C213" s="25"/>
      <c r="D213" s="26"/>
      <c r="E213" s="25"/>
      <c r="F213" s="26"/>
      <c r="G213" s="25"/>
      <c r="H213" s="25"/>
      <c r="I213" s="25"/>
      <c r="J213" s="17">
        <f t="shared" si="22"/>
        <v>0</v>
      </c>
      <c r="K213" s="18" t="s">
        <v>16</v>
      </c>
      <c r="L213" s="19">
        <v>0</v>
      </c>
      <c r="M213" s="143" t="s">
        <v>224</v>
      </c>
      <c r="N213" s="144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5" t="s">
        <v>223</v>
      </c>
      <c r="I214" s="146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7" t="s">
        <v>213</v>
      </c>
      <c r="J215" s="147"/>
      <c r="K215" s="32">
        <f>SUM(J5:J214)</f>
        <v>2875</v>
      </c>
    </row>
    <row r="216" spans="1:26" ht="25.5">
      <c r="A216" s="1"/>
      <c r="C216" s="25"/>
      <c r="E216" s="25"/>
      <c r="F216" s="26"/>
      <c r="G216" s="25"/>
      <c r="I216" s="125" t="s">
        <v>214</v>
      </c>
      <c r="J216" s="126"/>
      <c r="K216" s="35">
        <v>15</v>
      </c>
    </row>
    <row r="217" spans="1:26" ht="25.5">
      <c r="A217" s="1"/>
      <c r="C217" s="25"/>
      <c r="E217" s="25"/>
      <c r="F217" s="26"/>
      <c r="G217" s="25"/>
      <c r="I217" s="33" t="s">
        <v>215</v>
      </c>
      <c r="J217" s="34"/>
      <c r="K217" s="35">
        <f>L217+M217+N217+O217+P217+Q217+R217+S217+T217+U217+V217+W217+X217+Y217+Z217</f>
        <v>50</v>
      </c>
      <c r="L217" s="2">
        <v>50</v>
      </c>
      <c r="T217" s="29"/>
    </row>
    <row r="218" spans="1:26" ht="25.5">
      <c r="A218" s="1"/>
      <c r="C218" s="25"/>
      <c r="E218" s="25"/>
      <c r="F218" s="26"/>
      <c r="G218" s="25"/>
      <c r="I218" s="125" t="s">
        <v>216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125" t="s">
        <v>217</v>
      </c>
      <c r="J219" s="126"/>
      <c r="K219" s="35">
        <v>0</v>
      </c>
    </row>
    <row r="220" spans="1:26" ht="25.5">
      <c r="A220" s="1"/>
      <c r="C220" s="25"/>
      <c r="E220" s="25"/>
      <c r="F220" s="26"/>
      <c r="G220" s="25"/>
      <c r="I220" s="125" t="s">
        <v>218</v>
      </c>
      <c r="J220" s="126"/>
      <c r="K220" s="36">
        <f>SUM(L5:L213)</f>
        <v>200</v>
      </c>
    </row>
    <row r="221" spans="1:26" ht="25.5">
      <c r="A221" s="1"/>
      <c r="C221" s="25"/>
      <c r="E221" s="25"/>
      <c r="F221" s="26"/>
      <c r="G221" s="25"/>
      <c r="I221" s="125" t="s">
        <v>219</v>
      </c>
      <c r="J221" s="126"/>
      <c r="K221" s="32">
        <f>K215-K216-K217-K219-K220</f>
        <v>2610</v>
      </c>
    </row>
    <row r="222" spans="1:26" ht="25.5">
      <c r="A222" s="1"/>
      <c r="C222" s="25"/>
      <c r="E222" s="25"/>
      <c r="F222" s="26"/>
      <c r="G222" s="25"/>
      <c r="I222" s="125" t="s">
        <v>220</v>
      </c>
      <c r="J222" s="126"/>
      <c r="K222" s="36">
        <v>2610</v>
      </c>
    </row>
    <row r="223" spans="1:26" ht="25.5">
      <c r="A223" s="1"/>
      <c r="C223" s="25"/>
      <c r="E223" s="25"/>
      <c r="F223" s="26"/>
      <c r="G223" s="25"/>
      <c r="I223" s="125" t="s">
        <v>221</v>
      </c>
      <c r="J223" s="126"/>
      <c r="K223" s="32">
        <f>+K222-K221</f>
        <v>0</v>
      </c>
    </row>
    <row r="224" spans="1:26" ht="25.5">
      <c r="C224" s="25"/>
      <c r="F224" s="26"/>
      <c r="G224" s="2"/>
      <c r="I224" s="125" t="s">
        <v>222</v>
      </c>
      <c r="J224" s="126"/>
      <c r="K224" s="32">
        <f>+K222-K221</f>
        <v>0</v>
      </c>
    </row>
    <row r="225" spans="9:10" s="2" customFormat="1"/>
    <row r="226" spans="9:10" s="2" customFormat="1">
      <c r="I226" s="2" t="s">
        <v>266</v>
      </c>
      <c r="J226" s="2">
        <f>+K215-K220+K223</f>
        <v>2675</v>
      </c>
    </row>
    <row r="227" spans="9:10" s="2" customFormat="1">
      <c r="I227" s="2" t="s">
        <v>267</v>
      </c>
      <c r="J227" s="2">
        <f>SUM(K216:K219)</f>
        <v>65</v>
      </c>
    </row>
    <row r="228" spans="9:10" s="2" customFormat="1">
      <c r="I228" s="2" t="s">
        <v>268</v>
      </c>
      <c r="J228" s="2">
        <f>+K222</f>
        <v>2610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CC46-39CC-4F36-895D-6563ADAA4159}">
  <sheetPr>
    <tabColor theme="5" tint="0.79998168889431442"/>
  </sheetPr>
  <dimension ref="A1:Z299"/>
  <sheetViews>
    <sheetView zoomScaleNormal="100" workbookViewId="0">
      <pane ySplit="4" topLeftCell="A26" activePane="bottomLeft" state="frozen"/>
      <selection pane="bottomLeft" activeCell="I222" sqref="I222:J222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+'8'!G5</f>
        <v>3</v>
      </c>
      <c r="D5" s="13">
        <v>0</v>
      </c>
      <c r="E5" s="12">
        <f>C5+D5</f>
        <v>3</v>
      </c>
      <c r="F5" s="13">
        <v>0</v>
      </c>
      <c r="G5" s="14">
        <f>E5-F5-H5</f>
        <v>3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+'8'!G6</f>
        <v>0</v>
      </c>
      <c r="D6" s="13">
        <v>10</v>
      </c>
      <c r="E6" s="12">
        <f t="shared" ref="E6:E69" si="0">C6+D6</f>
        <v>10</v>
      </c>
      <c r="F6" s="13">
        <v>0</v>
      </c>
      <c r="G6" s="14">
        <f t="shared" ref="G6:G69" si="1">E6-F6-H6</f>
        <v>8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+'8'!G14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+'8'!G17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+'8'!G19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+'8'!G23</f>
        <v>4</v>
      </c>
      <c r="D23" s="13">
        <v>5</v>
      </c>
      <c r="E23" s="12">
        <f t="shared" si="0"/>
        <v>9</v>
      </c>
      <c r="F23" s="13">
        <v>0</v>
      </c>
      <c r="G23" s="14">
        <f t="shared" si="1"/>
        <v>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+'8'!G24</f>
        <v>3</v>
      </c>
      <c r="D24" s="13">
        <v>2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+'8'!G26</f>
        <v>0</v>
      </c>
      <c r="D26" s="13">
        <v>2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+'8'!G27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+'8'!G29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+'8'!G31</f>
        <v>0</v>
      </c>
      <c r="D31" s="13">
        <v>2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+'8'!G34</f>
        <v>0</v>
      </c>
      <c r="D34" s="13">
        <v>2</v>
      </c>
      <c r="E34" s="12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+'8'!G35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17">
        <f t="shared" si="2"/>
        <v>260</v>
      </c>
      <c r="K35" s="18" t="s">
        <v>284</v>
      </c>
      <c r="L35" s="19">
        <v>130</v>
      </c>
      <c r="M35" s="24">
        <f t="shared" si="3"/>
        <v>130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+'8'!G37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4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+'8'!G38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+'8'!G39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+'8'!G40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+'8'!G43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+'8'!G44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+'8'!G46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+'8'!G47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+'8'!G48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+'8'!G49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+'8'!G50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+'8'!G51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+'8'!G53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17">
        <f t="shared" si="2"/>
        <v>120</v>
      </c>
      <c r="K53" s="18" t="s">
        <v>16</v>
      </c>
      <c r="L53" s="19">
        <v>0</v>
      </c>
      <c r="M53" s="24">
        <f t="shared" si="3"/>
        <v>120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+'8'!G58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+'8'!G62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+'8'!G66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+'8'!G70</f>
        <v>4</v>
      </c>
      <c r="D70" s="13">
        <v>0</v>
      </c>
      <c r="E70" s="12">
        <f t="shared" ref="E70:E133" si="7">C70+D70</f>
        <v>4</v>
      </c>
      <c r="F70" s="13">
        <v>0</v>
      </c>
      <c r="G70" s="14">
        <f t="shared" ref="G70:G133" si="8">E70-F70-H70</f>
        <v>4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+'8'!G71</f>
        <v>0</v>
      </c>
      <c r="D71" s="13">
        <v>2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+'8'!G73</f>
        <v>0</v>
      </c>
      <c r="D73" s="13">
        <v>5</v>
      </c>
      <c r="E73" s="12">
        <f t="shared" si="7"/>
        <v>5</v>
      </c>
      <c r="F73" s="13">
        <v>0</v>
      </c>
      <c r="G73" s="14">
        <f t="shared" si="8"/>
        <v>5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+'8'!G77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+'8'!G79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0</v>
      </c>
      <c r="H79" s="15">
        <v>2</v>
      </c>
      <c r="I79" s="23">
        <v>50</v>
      </c>
      <c r="J79" s="17">
        <f t="shared" si="9"/>
        <v>100</v>
      </c>
      <c r="K79" s="18" t="s">
        <v>16</v>
      </c>
      <c r="L79" s="19">
        <v>0</v>
      </c>
      <c r="M79" s="24">
        <f t="shared" si="10"/>
        <v>100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+'8'!G81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+'8'!G82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1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+'8'!G85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+'8'!G86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+'8'!G87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+'8'!G88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+'8'!G94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+'8'!G99</f>
        <v>1</v>
      </c>
      <c r="D99" s="13">
        <v>0</v>
      </c>
      <c r="E99" s="12">
        <f t="shared" si="7"/>
        <v>1</v>
      </c>
      <c r="F99" s="13">
        <v>0</v>
      </c>
      <c r="G99" s="14">
        <f t="shared" si="8"/>
        <v>0</v>
      </c>
      <c r="H99" s="15">
        <v>1</v>
      </c>
      <c r="I99" s="21">
        <v>120</v>
      </c>
      <c r="J99" s="17">
        <f t="shared" si="9"/>
        <v>120</v>
      </c>
      <c r="K99" s="18" t="s">
        <v>16</v>
      </c>
      <c r="L99" s="19">
        <v>0</v>
      </c>
      <c r="M99" s="24">
        <f t="shared" si="10"/>
        <v>120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+'8'!G106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3</v>
      </c>
      <c r="H106" s="15">
        <v>1</v>
      </c>
      <c r="I106" s="23">
        <v>20</v>
      </c>
      <c r="J106" s="17">
        <f t="shared" si="9"/>
        <v>20</v>
      </c>
      <c r="K106" s="18" t="s">
        <v>16</v>
      </c>
      <c r="L106" s="19">
        <v>0</v>
      </c>
      <c r="M106" s="24">
        <f t="shared" si="10"/>
        <v>20</v>
      </c>
    </row>
    <row r="107" spans="1:26" ht="25.5">
      <c r="A107" s="10">
        <v>103</v>
      </c>
      <c r="B107" s="20" t="s">
        <v>117</v>
      </c>
      <c r="C107" s="12">
        <f>+'8'!G107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+'8'!G121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+'8'!G145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+'8'!G150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+'8'!G152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3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+'8'!G163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3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+'8'!G167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+'8'!G168</f>
        <v>31</v>
      </c>
      <c r="D168" s="13">
        <v>0</v>
      </c>
      <c r="E168" s="12">
        <f t="shared" si="14"/>
        <v>31</v>
      </c>
      <c r="F168" s="13">
        <v>0</v>
      </c>
      <c r="G168" s="14">
        <f t="shared" si="15"/>
        <v>31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+'8'!G170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+'8'!G176</f>
        <v>0</v>
      </c>
      <c r="D176" s="13">
        <v>2</v>
      </c>
      <c r="E176" s="12">
        <f t="shared" si="14"/>
        <v>2</v>
      </c>
      <c r="F176" s="13">
        <v>0</v>
      </c>
      <c r="G176" s="14">
        <f t="shared" si="15"/>
        <v>2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+'8'!G188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+'8'!G198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1090</v>
      </c>
    </row>
    <row r="213" spans="1:26">
      <c r="A213" s="1"/>
      <c r="C213" s="25"/>
      <c r="D213" s="26"/>
      <c r="E213" s="25"/>
      <c r="F213" s="26"/>
      <c r="G213" s="25"/>
      <c r="H213" s="25"/>
      <c r="I213" s="25"/>
      <c r="J213" s="17">
        <f t="shared" si="22"/>
        <v>0</v>
      </c>
      <c r="K213" s="18" t="s">
        <v>16</v>
      </c>
      <c r="L213" s="19">
        <v>0</v>
      </c>
      <c r="M213" s="143" t="s">
        <v>224</v>
      </c>
      <c r="N213" s="144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5" t="s">
        <v>223</v>
      </c>
      <c r="I214" s="146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7" t="s">
        <v>213</v>
      </c>
      <c r="J215" s="147"/>
      <c r="K215" s="32">
        <f>SUM(J5:J214)</f>
        <v>1220</v>
      </c>
    </row>
    <row r="216" spans="1:26" ht="25.5">
      <c r="A216" s="1"/>
      <c r="C216" s="25"/>
      <c r="E216" s="25"/>
      <c r="F216" s="26"/>
      <c r="G216" s="25"/>
      <c r="I216" s="125" t="s">
        <v>214</v>
      </c>
      <c r="J216" s="126"/>
      <c r="K216" s="35">
        <v>15</v>
      </c>
    </row>
    <row r="217" spans="1:26" ht="25.5">
      <c r="A217" s="1"/>
      <c r="C217" s="25"/>
      <c r="E217" s="25"/>
      <c r="F217" s="26"/>
      <c r="G217" s="25"/>
      <c r="I217" s="33" t="s">
        <v>215</v>
      </c>
      <c r="J217" s="34"/>
      <c r="K217" s="35">
        <f>L217+M217+N217+O217+P217+Q217+R217+S217+T217+U217+V217+W217+X217+Y217+Z217</f>
        <v>150</v>
      </c>
      <c r="L217" s="2">
        <v>150</v>
      </c>
      <c r="T217" s="29"/>
    </row>
    <row r="218" spans="1:26" ht="25.5">
      <c r="A218" s="1"/>
      <c r="C218" s="25"/>
      <c r="E218" s="25"/>
      <c r="F218" s="26"/>
      <c r="G218" s="25"/>
      <c r="I218" s="125" t="s">
        <v>216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125" t="s">
        <v>217</v>
      </c>
      <c r="J219" s="126"/>
      <c r="K219" s="35">
        <v>0</v>
      </c>
    </row>
    <row r="220" spans="1:26" ht="25.5">
      <c r="A220" s="1"/>
      <c r="C220" s="25"/>
      <c r="E220" s="25"/>
      <c r="F220" s="26"/>
      <c r="G220" s="25"/>
      <c r="I220" s="125" t="s">
        <v>218</v>
      </c>
      <c r="J220" s="126"/>
      <c r="K220" s="36">
        <f>SUM(L5:L213)</f>
        <v>130</v>
      </c>
    </row>
    <row r="221" spans="1:26" ht="25.5">
      <c r="A221" s="1"/>
      <c r="C221" s="25"/>
      <c r="E221" s="25"/>
      <c r="F221" s="26"/>
      <c r="G221" s="25"/>
      <c r="I221" s="125" t="s">
        <v>219</v>
      </c>
      <c r="J221" s="126"/>
      <c r="K221" s="32">
        <f>K215-K216-K217-K219-K220</f>
        <v>925</v>
      </c>
    </row>
    <row r="222" spans="1:26" ht="25.5">
      <c r="A222" s="1"/>
      <c r="C222" s="25"/>
      <c r="E222" s="25"/>
      <c r="F222" s="26"/>
      <c r="G222" s="25"/>
      <c r="I222" s="125" t="s">
        <v>220</v>
      </c>
      <c r="J222" s="126"/>
      <c r="K222" s="36">
        <v>925</v>
      </c>
    </row>
    <row r="223" spans="1:26" ht="25.5">
      <c r="A223" s="1"/>
      <c r="C223" s="25"/>
      <c r="E223" s="25"/>
      <c r="F223" s="26"/>
      <c r="G223" s="25"/>
      <c r="I223" s="125" t="s">
        <v>221</v>
      </c>
      <c r="J223" s="126"/>
      <c r="K223" s="32">
        <f>+K222-K221</f>
        <v>0</v>
      </c>
    </row>
    <row r="224" spans="1:26" ht="25.5">
      <c r="C224" s="25"/>
      <c r="F224" s="26"/>
      <c r="G224" s="2"/>
      <c r="I224" s="125" t="s">
        <v>222</v>
      </c>
      <c r="J224" s="126"/>
      <c r="K224" s="32">
        <f>+K222-K221</f>
        <v>0</v>
      </c>
    </row>
    <row r="225" spans="9:10" s="2" customFormat="1"/>
    <row r="226" spans="9:10" s="2" customFormat="1">
      <c r="I226" s="2" t="s">
        <v>266</v>
      </c>
      <c r="J226" s="2">
        <f>+K215-K220+K223</f>
        <v>1090</v>
      </c>
    </row>
    <row r="227" spans="9:10" s="2" customFormat="1">
      <c r="I227" s="2" t="s">
        <v>267</v>
      </c>
      <c r="J227" s="2">
        <f>SUM(K216:K219)</f>
        <v>165</v>
      </c>
    </row>
    <row r="228" spans="9:10" s="2" customFormat="1">
      <c r="I228" s="2" t="s">
        <v>268</v>
      </c>
      <c r="J228" s="2">
        <f>+K222</f>
        <v>925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EC13-AB24-4D39-912D-F3F38FD74575}">
  <sheetPr>
    <tabColor theme="5" tint="0.79998168889431442"/>
  </sheetPr>
  <dimension ref="A1:Z299"/>
  <sheetViews>
    <sheetView zoomScaleNormal="100" workbookViewId="0">
      <pane ySplit="4" topLeftCell="A26" activePane="bottomLeft" state="frozen"/>
      <selection pane="bottomLeft" activeCell="M217" sqref="M217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+'9'!G5</f>
        <v>3</v>
      </c>
      <c r="D5" s="13">
        <v>0</v>
      </c>
      <c r="E5" s="12">
        <f>C5+D5</f>
        <v>3</v>
      </c>
      <c r="F5" s="13">
        <v>0</v>
      </c>
      <c r="G5" s="14">
        <f>E5-F5-H5</f>
        <v>3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+'9'!G6</f>
        <v>8</v>
      </c>
      <c r="D6" s="13">
        <v>0</v>
      </c>
      <c r="E6" s="12">
        <f t="shared" ref="E6:E69" si="0">C6+D6</f>
        <v>8</v>
      </c>
      <c r="F6" s="13">
        <v>0</v>
      </c>
      <c r="G6" s="14">
        <f t="shared" ref="G6:G69" si="1">E6-F6-H6</f>
        <v>4</v>
      </c>
      <c r="H6" s="15">
        <v>4</v>
      </c>
      <c r="I6" s="16">
        <v>100</v>
      </c>
      <c r="J6" s="17">
        <f t="shared" ref="J6:J69" si="2">+H6*I6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+'9'!G14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+'9'!G17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1</v>
      </c>
      <c r="H17" s="15">
        <v>2</v>
      </c>
      <c r="I17" s="16">
        <v>50</v>
      </c>
      <c r="J17" s="17">
        <f t="shared" si="2"/>
        <v>100</v>
      </c>
      <c r="K17" s="18" t="s">
        <v>16</v>
      </c>
      <c r="L17" s="19">
        <v>0</v>
      </c>
      <c r="M17" s="24">
        <f t="shared" si="3"/>
        <v>100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+'9'!G19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+'9'!G23</f>
        <v>9</v>
      </c>
      <c r="D23" s="13">
        <v>0</v>
      </c>
      <c r="E23" s="12">
        <f t="shared" si="0"/>
        <v>9</v>
      </c>
      <c r="F23" s="13">
        <v>2</v>
      </c>
      <c r="G23" s="14">
        <f t="shared" si="1"/>
        <v>7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+'9'!G24</f>
        <v>5</v>
      </c>
      <c r="D24" s="13">
        <v>0</v>
      </c>
      <c r="E24" s="12">
        <f t="shared" si="0"/>
        <v>5</v>
      </c>
      <c r="F24" s="13">
        <v>3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+'9'!G29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+'9'!G34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+'9'!G37</f>
        <v>4</v>
      </c>
      <c r="D37" s="13">
        <v>0</v>
      </c>
      <c r="E37" s="12">
        <f t="shared" si="0"/>
        <v>4</v>
      </c>
      <c r="F37" s="13">
        <v>6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+'9'!G38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+'9'!G39</f>
        <v>3</v>
      </c>
      <c r="D39" s="13">
        <v>0</v>
      </c>
      <c r="E39" s="12">
        <f t="shared" si="0"/>
        <v>3</v>
      </c>
      <c r="F39" s="13">
        <v>2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+'9'!G40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+'9'!G43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+'9'!G44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2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+'9'!G46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+'9'!G47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+'9'!G48</f>
        <v>5</v>
      </c>
      <c r="D48" s="13">
        <v>0</v>
      </c>
      <c r="E48" s="12">
        <f t="shared" si="0"/>
        <v>5</v>
      </c>
      <c r="F48" s="13">
        <v>3</v>
      </c>
      <c r="G48" s="14">
        <f t="shared" si="1"/>
        <v>1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+'9'!G49</f>
        <v>3</v>
      </c>
      <c r="D49" s="13">
        <v>0</v>
      </c>
      <c r="E49" s="12">
        <f t="shared" si="0"/>
        <v>3</v>
      </c>
      <c r="F49" s="13">
        <v>1</v>
      </c>
      <c r="G49" s="14">
        <f t="shared" si="1"/>
        <v>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+'9'!G51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+'9'!G58</f>
        <v>1</v>
      </c>
      <c r="D58" s="13">
        <v>0</v>
      </c>
      <c r="E58" s="12">
        <f t="shared" si="0"/>
        <v>1</v>
      </c>
      <c r="F58" s="13">
        <v>1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+'9'!G62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+'9'!G66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2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+'9'!G70</f>
        <v>4</v>
      </c>
      <c r="D70" s="13">
        <v>0</v>
      </c>
      <c r="E70" s="12">
        <f t="shared" ref="E70:E133" si="7">C70+D70</f>
        <v>4</v>
      </c>
      <c r="F70" s="13">
        <v>0</v>
      </c>
      <c r="G70" s="14">
        <f t="shared" ref="G70:G133" si="8">E70-F70-H70</f>
        <v>3</v>
      </c>
      <c r="H70" s="15">
        <v>1</v>
      </c>
      <c r="I70" s="21">
        <v>50</v>
      </c>
      <c r="J70" s="17">
        <f t="shared" ref="J70:J133" si="9">+H70*I70</f>
        <v>50</v>
      </c>
      <c r="K70" s="18" t="s">
        <v>16</v>
      </c>
      <c r="L70" s="19">
        <v>0</v>
      </c>
      <c r="M70" s="24">
        <f t="shared" ref="M70:M133" si="10">SUM(J70-L70)</f>
        <v>50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+'9'!G71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0</v>
      </c>
      <c r="H71" s="15">
        <v>2</v>
      </c>
      <c r="I71" s="21">
        <v>60</v>
      </c>
      <c r="J71" s="17">
        <f t="shared" si="9"/>
        <v>120</v>
      </c>
      <c r="K71" s="18" t="s">
        <v>16</v>
      </c>
      <c r="L71" s="19">
        <v>0</v>
      </c>
      <c r="M71" s="24">
        <f t="shared" si="10"/>
        <v>120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+'9'!G73</f>
        <v>5</v>
      </c>
      <c r="D73" s="13">
        <v>0</v>
      </c>
      <c r="E73" s="12">
        <f t="shared" si="7"/>
        <v>5</v>
      </c>
      <c r="F73" s="13">
        <v>0</v>
      </c>
      <c r="G73" s="14">
        <f t="shared" si="8"/>
        <v>5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+'9'!G77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+'9'!G79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+'9'!G81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+'9'!G82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0</v>
      </c>
      <c r="H82" s="15">
        <v>1</v>
      </c>
      <c r="I82" s="23">
        <v>55</v>
      </c>
      <c r="J82" s="17">
        <f t="shared" si="9"/>
        <v>55</v>
      </c>
      <c r="K82" s="18" t="s">
        <v>16</v>
      </c>
      <c r="L82" s="19">
        <v>0</v>
      </c>
      <c r="M82" s="24">
        <f t="shared" si="10"/>
        <v>55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+'9'!G85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+'9'!G86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2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+'9'!G87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+'9'!G88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2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+'9'!G94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+'9'!G106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+'9'!G121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+'9'!G145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+'9'!G150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+'9'!G152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3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+'9'!G163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3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+'9'!G167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+'9'!G168</f>
        <v>31</v>
      </c>
      <c r="D168" s="13">
        <v>0</v>
      </c>
      <c r="E168" s="12">
        <f t="shared" si="14"/>
        <v>31</v>
      </c>
      <c r="F168" s="13">
        <v>0</v>
      </c>
      <c r="G168" s="14">
        <f t="shared" si="15"/>
        <v>31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+'9'!G170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+'9'!G176</f>
        <v>2</v>
      </c>
      <c r="D176" s="13">
        <v>0</v>
      </c>
      <c r="E176" s="12">
        <f t="shared" si="14"/>
        <v>2</v>
      </c>
      <c r="F176" s="13">
        <v>0</v>
      </c>
      <c r="G176" s="14">
        <f t="shared" si="15"/>
        <v>2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+'9'!G188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+'9'!G198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1095</v>
      </c>
    </row>
    <row r="213" spans="1:26">
      <c r="A213" s="1"/>
      <c r="C213" s="25"/>
      <c r="D213" s="26"/>
      <c r="E213" s="25"/>
      <c r="F213" s="26"/>
      <c r="G213" s="25"/>
      <c r="H213" s="25"/>
      <c r="I213" s="25"/>
      <c r="J213" s="17">
        <f t="shared" si="22"/>
        <v>0</v>
      </c>
      <c r="K213" s="18" t="s">
        <v>16</v>
      </c>
      <c r="L213" s="19">
        <v>0</v>
      </c>
      <c r="M213" s="143" t="s">
        <v>224</v>
      </c>
      <c r="N213" s="144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5" t="s">
        <v>223</v>
      </c>
      <c r="I214" s="146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7" t="s">
        <v>213</v>
      </c>
      <c r="J215" s="147"/>
      <c r="K215" s="32">
        <f>SUM(J5:J214)</f>
        <v>1095</v>
      </c>
    </row>
    <row r="216" spans="1:26" ht="25.5">
      <c r="A216" s="1"/>
      <c r="C216" s="25"/>
      <c r="E216" s="25"/>
      <c r="F216" s="26"/>
      <c r="G216" s="25"/>
      <c r="I216" s="125" t="s">
        <v>214</v>
      </c>
      <c r="J216" s="126"/>
      <c r="K216" s="35">
        <v>15</v>
      </c>
    </row>
    <row r="217" spans="1:26" ht="25.5">
      <c r="A217" s="1"/>
      <c r="C217" s="25"/>
      <c r="E217" s="25"/>
      <c r="F217" s="26"/>
      <c r="G217" s="25"/>
      <c r="I217" s="33" t="s">
        <v>215</v>
      </c>
      <c r="J217" s="34"/>
      <c r="K217" s="35">
        <f>L217+M217+N217+O217+P217+Q217+R217+S217+T217+U217+V217+W217+X217+Y217+Z217</f>
        <v>60</v>
      </c>
      <c r="L217" s="2">
        <v>60</v>
      </c>
      <c r="T217" s="29"/>
    </row>
    <row r="218" spans="1:26" ht="25.5">
      <c r="A218" s="1"/>
      <c r="C218" s="25"/>
      <c r="E218" s="25"/>
      <c r="F218" s="26"/>
      <c r="G218" s="25"/>
      <c r="I218" s="125" t="s">
        <v>216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125" t="s">
        <v>217</v>
      </c>
      <c r="J219" s="126"/>
      <c r="K219" s="35">
        <v>0</v>
      </c>
    </row>
    <row r="220" spans="1:26" ht="25.5">
      <c r="A220" s="1"/>
      <c r="C220" s="25"/>
      <c r="E220" s="25"/>
      <c r="F220" s="26"/>
      <c r="G220" s="25"/>
      <c r="I220" s="125" t="s">
        <v>218</v>
      </c>
      <c r="J220" s="126"/>
      <c r="K220" s="36">
        <f>SUM(L5:L213)</f>
        <v>0</v>
      </c>
    </row>
    <row r="221" spans="1:26" ht="25.5">
      <c r="A221" s="1"/>
      <c r="C221" s="25"/>
      <c r="E221" s="25"/>
      <c r="F221" s="26"/>
      <c r="G221" s="25"/>
      <c r="I221" s="125" t="s">
        <v>219</v>
      </c>
      <c r="J221" s="126"/>
      <c r="K221" s="32">
        <f>K215-K216-K217-K219-K220</f>
        <v>1020</v>
      </c>
    </row>
    <row r="222" spans="1:26" ht="25.5">
      <c r="A222" s="1"/>
      <c r="C222" s="25"/>
      <c r="E222" s="25"/>
      <c r="F222" s="26"/>
      <c r="G222" s="25"/>
      <c r="I222" s="125" t="s">
        <v>220</v>
      </c>
      <c r="J222" s="126"/>
      <c r="K222" s="36">
        <v>1020</v>
      </c>
    </row>
    <row r="223" spans="1:26" ht="25.5">
      <c r="A223" s="1"/>
      <c r="C223" s="25"/>
      <c r="E223" s="25"/>
      <c r="F223" s="26"/>
      <c r="G223" s="25"/>
      <c r="I223" s="125" t="s">
        <v>221</v>
      </c>
      <c r="J223" s="126"/>
      <c r="K223" s="32">
        <f>+K222-K221</f>
        <v>0</v>
      </c>
    </row>
    <row r="224" spans="1:26" ht="25.5">
      <c r="C224" s="25"/>
      <c r="F224" s="26"/>
      <c r="G224" s="2"/>
      <c r="I224" s="125" t="s">
        <v>222</v>
      </c>
      <c r="J224" s="126"/>
      <c r="K224" s="32">
        <f>+K222-K221</f>
        <v>0</v>
      </c>
    </row>
    <row r="225" spans="9:10" s="2" customFormat="1"/>
    <row r="226" spans="9:10" s="2" customFormat="1">
      <c r="I226" s="2" t="s">
        <v>266</v>
      </c>
      <c r="J226" s="2">
        <f>+K215-K220+K223</f>
        <v>1095</v>
      </c>
    </row>
    <row r="227" spans="9:10" s="2" customFormat="1">
      <c r="I227" s="2" t="s">
        <v>267</v>
      </c>
      <c r="J227" s="2">
        <f>SUM(K216:K219)</f>
        <v>75</v>
      </c>
    </row>
    <row r="228" spans="9:10" s="2" customFormat="1">
      <c r="I228" s="2" t="s">
        <v>268</v>
      </c>
      <c r="J228" s="2">
        <f>+K222</f>
        <v>1020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5A7E-6641-4EDE-8B14-676FD2C8CE33}">
  <sheetPr>
    <tabColor theme="5" tint="0.79998168889431442"/>
  </sheetPr>
  <dimension ref="A1:Z301"/>
  <sheetViews>
    <sheetView zoomScaleNormal="100" workbookViewId="0">
      <pane ySplit="4" topLeftCell="A20" activePane="bottomLeft" state="frozen"/>
      <selection pane="bottomLeft" activeCell="M219" sqref="M219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+'10'!G5</f>
        <v>3</v>
      </c>
      <c r="D5" s="13">
        <v>0</v>
      </c>
      <c r="E5" s="12">
        <f>C5+D5</f>
        <v>3</v>
      </c>
      <c r="F5" s="13">
        <v>0</v>
      </c>
      <c r="G5" s="14">
        <f>E5-F5-H5</f>
        <v>1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+'10'!G6</f>
        <v>4</v>
      </c>
      <c r="D6" s="13">
        <v>0</v>
      </c>
      <c r="E6" s="12">
        <f t="shared" ref="E6:E69" si="0">C6+D6</f>
        <v>4</v>
      </c>
      <c r="F6" s="13">
        <v>0</v>
      </c>
      <c r="G6" s="14">
        <f t="shared" ref="G6:G69" si="1">E6-F6-H6</f>
        <v>3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+'10'!G17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+'10'!G19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+'10'!G23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7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+'10'!G24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+'10'!G29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+'10'!G34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+'10'!G37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+'10'!G38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+'10'!G39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+'10'!G40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+'10'!G43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1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+'10'!G46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+'10'!G47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+'10'!G48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+'10'!G49</f>
        <v>2</v>
      </c>
      <c r="D49" s="13">
        <v>0</v>
      </c>
      <c r="E49" s="12">
        <f t="shared" si="0"/>
        <v>2</v>
      </c>
      <c r="F49" s="13">
        <v>2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+'10'!G50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+'10'!G62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+'10'!G66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+'10'!G70</f>
        <v>3</v>
      </c>
      <c r="D70" s="13">
        <v>0</v>
      </c>
      <c r="E70" s="12">
        <f t="shared" ref="E70:E133" si="7">C70+D70</f>
        <v>3</v>
      </c>
      <c r="F70" s="13">
        <v>1</v>
      </c>
      <c r="G70" s="14">
        <f t="shared" ref="G70:G133" si="8">E70-F70-H70</f>
        <v>0</v>
      </c>
      <c r="H70" s="15">
        <v>2</v>
      </c>
      <c r="I70" s="21">
        <v>50</v>
      </c>
      <c r="J70" s="17">
        <f t="shared" ref="J70:J133" si="9">+H70*I70</f>
        <v>100</v>
      </c>
      <c r="K70" s="18" t="s">
        <v>16</v>
      </c>
      <c r="L70" s="19">
        <v>0</v>
      </c>
      <c r="M70" s="24">
        <f t="shared" ref="M70:M133" si="10">SUM(J70-L70)</f>
        <v>100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+'10'!G71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+'10'!G73</f>
        <v>5</v>
      </c>
      <c r="D73" s="13">
        <v>0</v>
      </c>
      <c r="E73" s="12">
        <f t="shared" si="7"/>
        <v>5</v>
      </c>
      <c r="F73" s="13">
        <v>0</v>
      </c>
      <c r="G73" s="14">
        <f t="shared" si="8"/>
        <v>5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+'10'!G79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+'10'!G81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+'10'!G85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+'10'!G86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+'10'!G87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+'10'!G88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2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+'10'!G92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+'10'!G93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+'10'!G94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+'10'!G95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+'10'!G96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+'10'!G97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+'10'!G98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+'10'!G99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+'10'!G100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+'10'!G101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+'10'!G102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+'10'!G103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+'10'!G106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+'10'!G107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+'10'!G108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+'10'!G109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+'10'!G110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+'10'!G111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+'10'!G112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+'10'!G113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+'10'!G114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+'10'!G115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+'10'!G116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+'10'!G117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+'10'!G118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+'10'!G119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+'10'!G120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+'10'!G121</f>
        <v>3</v>
      </c>
      <c r="D121" s="13">
        <v>0</v>
      </c>
      <c r="E121" s="12">
        <f t="shared" si="7"/>
        <v>3</v>
      </c>
      <c r="F121" s="13">
        <v>3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+'10'!G122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+'10'!G123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+'10'!G124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+'10'!G125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+'10'!G126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+'10'!G127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+'10'!G128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+'10'!G129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+'10'!G130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+'10'!G131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+'10'!G132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+'10'!G133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+'10'!G134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+'10'!G135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+'10'!G136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+'10'!G137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+'10'!G138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+'10'!G139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+'10'!G140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+'10'!G141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+'10'!G142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+'10'!G143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+'10'!G144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+'10'!G145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+'10'!G146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+'10'!G147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+'10'!G148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+'10'!G149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+'10'!G150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+'10'!G151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+'10'!G152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3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+'10'!G153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+'10'!G154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+'10'!G155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+'10'!G156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+'10'!G157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+'10'!G158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+'10'!G159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+'10'!G160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+'10'!G161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+'10'!G162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+'10'!G163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3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+'10'!G164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+'10'!G165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+'10'!G166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+'10'!G167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+'10'!G168</f>
        <v>31</v>
      </c>
      <c r="D168" s="13">
        <v>0</v>
      </c>
      <c r="E168" s="12">
        <f t="shared" si="14"/>
        <v>31</v>
      </c>
      <c r="F168" s="13">
        <v>0</v>
      </c>
      <c r="G168" s="14">
        <f t="shared" si="15"/>
        <v>31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+'10'!G169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+'10'!G170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+'10'!G171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+'10'!G172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+'10'!G173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+'10'!G174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+'10'!G175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+'10'!G176</f>
        <v>2</v>
      </c>
      <c r="D176" s="13">
        <v>0</v>
      </c>
      <c r="E176" s="12">
        <f t="shared" si="14"/>
        <v>2</v>
      </c>
      <c r="F176" s="13">
        <v>0</v>
      </c>
      <c r="G176" s="14">
        <f t="shared" si="15"/>
        <v>2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+'10'!G177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+'10'!G178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+'10'!G179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+'10'!G180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+'10'!G181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+'10'!G182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+'10'!G183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+'10'!G184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+'10'!G185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+'10'!G186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+'10'!G187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+'10'!G188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+'10'!G189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+'10'!G190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+'10'!G191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+'10'!G192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+'10'!G193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+'10'!G194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+'10'!G195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+'10'!G196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+'10'!G197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+'10'!G198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+'10'!G199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+'10'!G200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+'10'!G201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+'10'!G202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+'10'!G203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+'10'!G204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+'10'!G205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+'10'!G206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+'10'!G207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+'10'!G208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+'10'!G209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+'10'!G210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+'10'!G211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+'10'!G212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550</v>
      </c>
    </row>
    <row r="213" spans="1:26" ht="25.5">
      <c r="A213" s="80">
        <v>209</v>
      </c>
      <c r="B213" s="20" t="s">
        <v>264</v>
      </c>
      <c r="C213" s="12">
        <f>+'10'!G213</f>
        <v>0</v>
      </c>
      <c r="D213" s="13">
        <v>0</v>
      </c>
      <c r="E213" s="12">
        <f t="shared" ref="E213:E214" si="23">C213+D213</f>
        <v>0</v>
      </c>
      <c r="F213" s="13">
        <v>0</v>
      </c>
      <c r="G213" s="14">
        <f t="shared" ref="G213:G214" si="24">E213-F213-H213</f>
        <v>0</v>
      </c>
      <c r="H213" s="15">
        <v>0</v>
      </c>
      <c r="I213" s="23">
        <v>250</v>
      </c>
      <c r="J213" s="17">
        <f t="shared" ref="J213:J214" si="25">+I213*H213</f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+'10'!G214</f>
        <v>0</v>
      </c>
      <c r="D214" s="13">
        <v>0</v>
      </c>
      <c r="E214" s="12">
        <f t="shared" si="23"/>
        <v>0</v>
      </c>
      <c r="F214" s="13">
        <v>0</v>
      </c>
      <c r="G214" s="14">
        <f t="shared" si="24"/>
        <v>0</v>
      </c>
      <c r="H214" s="15">
        <v>0</v>
      </c>
      <c r="I214" s="23">
        <v>250</v>
      </c>
      <c r="J214" s="17">
        <f t="shared" si="25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550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15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100</v>
      </c>
      <c r="L219" s="2">
        <v>100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435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435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550</v>
      </c>
    </row>
    <row r="229" spans="1:11">
      <c r="G229" s="2"/>
      <c r="I229" s="2" t="s">
        <v>267</v>
      </c>
      <c r="J229" s="2">
        <f>SUM(K218:K221)</f>
        <v>115</v>
      </c>
    </row>
    <row r="230" spans="1:11">
      <c r="G230" s="2"/>
      <c r="I230" s="2" t="s">
        <v>268</v>
      </c>
      <c r="J230" s="2">
        <f>+K224</f>
        <v>435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3312-2A32-4A75-AD65-4EB806DA8567}">
  <sheetPr>
    <tabColor theme="5" tint="0.79998168889431442"/>
  </sheetPr>
  <dimension ref="A1:Z303"/>
  <sheetViews>
    <sheetView zoomScaleNormal="100" workbookViewId="0">
      <pane ySplit="4" topLeftCell="A211" activePane="bottomLeft" state="frozen"/>
      <selection pane="bottomLeft" activeCell="B215" sqref="B215:B216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+'11'!G5</f>
        <v>1</v>
      </c>
      <c r="D5" s="13">
        <v>0</v>
      </c>
      <c r="E5" s="12">
        <f>C5+D5</f>
        <v>1</v>
      </c>
      <c r="F5" s="13">
        <v>0</v>
      </c>
      <c r="G5" s="14">
        <f>E5-F5-H5</f>
        <v>0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+'11'!G6</f>
        <v>3</v>
      </c>
      <c r="D6" s="13">
        <v>0</v>
      </c>
      <c r="E6" s="12">
        <f t="shared" ref="E6:E69" si="0">C6+D6</f>
        <v>3</v>
      </c>
      <c r="F6" s="13">
        <v>0</v>
      </c>
      <c r="G6" s="14">
        <f t="shared" ref="G6:G69" si="1">E6-F6-H6</f>
        <v>1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+'11'!G14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0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+'11'!G17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0</v>
      </c>
      <c r="H17" s="15">
        <v>1</v>
      </c>
      <c r="I17" s="16">
        <v>50</v>
      </c>
      <c r="J17" s="17">
        <f t="shared" si="2"/>
        <v>50</v>
      </c>
      <c r="K17" s="18" t="s">
        <v>284</v>
      </c>
      <c r="L17" s="19">
        <v>25</v>
      </c>
      <c r="M17" s="24">
        <f t="shared" si="3"/>
        <v>25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+'11'!G19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+'11'!G23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5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+'11'!G24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+'11'!G26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+'11'!G29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1</v>
      </c>
      <c r="H29" s="15">
        <v>2</v>
      </c>
      <c r="I29" s="16">
        <v>100</v>
      </c>
      <c r="J29" s="17">
        <f t="shared" si="2"/>
        <v>200</v>
      </c>
      <c r="K29" s="18" t="s">
        <v>285</v>
      </c>
      <c r="L29" s="19">
        <v>50</v>
      </c>
      <c r="M29" s="24">
        <f t="shared" si="3"/>
        <v>150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+'11'!G31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+'11'!G34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+'11'!G37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+'11'!G38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0</v>
      </c>
      <c r="H38" s="15">
        <v>1</v>
      </c>
      <c r="I38" s="16">
        <v>50</v>
      </c>
      <c r="J38" s="17">
        <f t="shared" si="2"/>
        <v>50</v>
      </c>
      <c r="K38" s="18" t="s">
        <v>284</v>
      </c>
      <c r="L38" s="19">
        <v>25</v>
      </c>
      <c r="M38" s="24">
        <f t="shared" si="3"/>
        <v>25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+'11'!G39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17">
        <f t="shared" si="2"/>
        <v>50</v>
      </c>
      <c r="K39" s="18" t="s">
        <v>284</v>
      </c>
      <c r="L39" s="19">
        <v>25</v>
      </c>
      <c r="M39" s="24">
        <f t="shared" si="3"/>
        <v>25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+'11'!G40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0</v>
      </c>
      <c r="H40" s="15">
        <v>2</v>
      </c>
      <c r="I40" s="16">
        <v>50</v>
      </c>
      <c r="J40" s="17">
        <f t="shared" si="2"/>
        <v>100</v>
      </c>
      <c r="K40" s="18" t="s">
        <v>284</v>
      </c>
      <c r="L40" s="19">
        <v>50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+'11'!G43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+'11'!G44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+'11'!G46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+'11'!G47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+'11'!G48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+'11'!G50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+'11'!G53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+'11'!G62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+'11'!G66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+'11'!G70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+'11'!G71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+'11'!G73</f>
        <v>5</v>
      </c>
      <c r="D73" s="13">
        <v>0</v>
      </c>
      <c r="E73" s="12">
        <f t="shared" si="7"/>
        <v>5</v>
      </c>
      <c r="F73" s="13">
        <v>0</v>
      </c>
      <c r="G73" s="14">
        <f t="shared" si="8"/>
        <v>3</v>
      </c>
      <c r="H73" s="15">
        <v>2</v>
      </c>
      <c r="I73" s="21">
        <v>60</v>
      </c>
      <c r="J73" s="17">
        <f t="shared" si="9"/>
        <v>120</v>
      </c>
      <c r="K73" s="18" t="s">
        <v>16</v>
      </c>
      <c r="L73" s="19">
        <v>0</v>
      </c>
      <c r="M73" s="24">
        <f t="shared" si="10"/>
        <v>120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+'11'!G77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+'11'!G79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+'11'!G81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+'11'!G85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+'11'!G86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+'11'!G87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+'11'!G88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1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+'11'!G92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+'11'!G93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+'11'!G94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+'11'!G95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+'11'!G96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+'11'!G97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+'11'!G98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+'11'!G99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+'11'!G100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+'11'!G101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+'11'!G102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+'11'!G103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+'11'!G106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+'11'!G107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+'11'!G108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+'11'!G109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+'11'!G110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+'11'!G111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+'11'!G112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+'11'!G113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+'11'!G114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+'11'!G115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+'11'!G116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+'11'!G117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+'11'!G118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+'11'!G119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+'11'!G120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+'11'!G121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+'11'!G122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+'11'!G123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+'11'!G124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+'11'!G125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+'11'!G126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+'11'!G127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+'11'!G128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+'11'!G129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+'11'!G130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+'11'!G131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+'11'!G132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+'11'!G133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+'11'!G134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+'11'!G135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+'11'!G136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+'11'!G137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+'11'!G138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+'11'!G139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+'11'!G140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+'11'!G141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+'11'!G142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+'11'!G143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+'11'!G144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+'11'!G145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+'11'!G146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+'11'!G147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+'11'!G148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+'11'!G149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+'11'!G150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+'11'!G151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+'11'!G152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2</v>
      </c>
      <c r="H152" s="15">
        <v>1</v>
      </c>
      <c r="I152" s="21">
        <v>120</v>
      </c>
      <c r="J152" s="17">
        <f t="shared" si="16"/>
        <v>120</v>
      </c>
      <c r="K152" s="18" t="s">
        <v>284</v>
      </c>
      <c r="L152" s="19">
        <v>60</v>
      </c>
      <c r="M152" s="24">
        <f t="shared" si="17"/>
        <v>60</v>
      </c>
    </row>
    <row r="153" spans="1:13" ht="25.5">
      <c r="A153" s="10">
        <v>149</v>
      </c>
      <c r="B153" s="20" t="s">
        <v>164</v>
      </c>
      <c r="C153" s="12">
        <f>+'11'!G153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+'11'!G154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+'11'!G155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+'11'!G156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+'11'!G157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+'11'!G158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+'11'!G159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+'11'!G160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+'11'!G161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+'11'!G162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+'11'!G163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0</v>
      </c>
      <c r="H163" s="15">
        <v>3</v>
      </c>
      <c r="I163" s="21">
        <v>25</v>
      </c>
      <c r="J163" s="17">
        <f t="shared" si="16"/>
        <v>75</v>
      </c>
      <c r="K163" s="18" t="s">
        <v>16</v>
      </c>
      <c r="L163" s="19">
        <v>0</v>
      </c>
      <c r="M163" s="24">
        <f t="shared" si="17"/>
        <v>75</v>
      </c>
    </row>
    <row r="164" spans="1:13" ht="25.5">
      <c r="A164" s="10">
        <v>160</v>
      </c>
      <c r="B164" s="20" t="s">
        <v>175</v>
      </c>
      <c r="C164" s="12">
        <f>+'11'!G164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+'11'!G165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+'11'!G166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+'11'!G167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+'11'!G168</f>
        <v>31</v>
      </c>
      <c r="D168" s="13">
        <v>0</v>
      </c>
      <c r="E168" s="12">
        <f t="shared" si="14"/>
        <v>31</v>
      </c>
      <c r="F168" s="13">
        <v>0</v>
      </c>
      <c r="G168" s="14">
        <f t="shared" si="15"/>
        <v>31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+'11'!G169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+'11'!G170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+'11'!G171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+'11'!G172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+'11'!G173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+'11'!G174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+'11'!G175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+'11'!G176</f>
        <v>2</v>
      </c>
      <c r="D176" s="13">
        <v>0</v>
      </c>
      <c r="E176" s="12">
        <f t="shared" si="14"/>
        <v>2</v>
      </c>
      <c r="F176" s="13">
        <v>0</v>
      </c>
      <c r="G176" s="14">
        <f t="shared" si="15"/>
        <v>1</v>
      </c>
      <c r="H176" s="15">
        <v>1</v>
      </c>
      <c r="I176" s="21">
        <v>50</v>
      </c>
      <c r="J176" s="17">
        <f t="shared" si="16"/>
        <v>50</v>
      </c>
      <c r="K176" s="18" t="s">
        <v>16</v>
      </c>
      <c r="L176" s="19">
        <v>0</v>
      </c>
      <c r="M176" s="24">
        <f t="shared" si="17"/>
        <v>50</v>
      </c>
    </row>
    <row r="177" spans="1:13" ht="25.5">
      <c r="A177" s="10">
        <v>173</v>
      </c>
      <c r="B177" s="20" t="s">
        <v>188</v>
      </c>
      <c r="C177" s="12">
        <f>+'11'!G177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+'11'!G178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+'11'!G179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+'11'!G180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+'11'!G181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+'11'!G182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+'11'!G183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+'11'!G184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+'11'!G185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+'11'!G186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+'11'!G187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+'11'!G188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18</v>
      </c>
      <c r="H188" s="15">
        <v>2</v>
      </c>
      <c r="I188" s="16">
        <v>10</v>
      </c>
      <c r="J188" s="17">
        <f t="shared" si="16"/>
        <v>20</v>
      </c>
      <c r="K188" s="18" t="s">
        <v>16</v>
      </c>
      <c r="L188" s="19">
        <v>0</v>
      </c>
      <c r="M188" s="24">
        <f t="shared" si="17"/>
        <v>20</v>
      </c>
    </row>
    <row r="189" spans="1:13" ht="25.5">
      <c r="A189" s="10">
        <v>185</v>
      </c>
      <c r="B189" s="20" t="s">
        <v>200</v>
      </c>
      <c r="C189" s="12">
        <f>+'11'!G189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+'11'!G190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+'11'!G191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+'11'!G192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+'11'!G193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+'11'!G194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+'11'!G195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+'11'!G196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+'11'!G197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+'11'!G198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>
      <c r="A199" s="10">
        <v>195</v>
      </c>
      <c r="B199" s="20" t="s">
        <v>210</v>
      </c>
      <c r="C199" s="12">
        <f>+'11'!G199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+'11'!G200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+'11'!G201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+'11'!G202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+'11'!G203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+'11'!G204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+'11'!G205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+'11'!G206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+'11'!G207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+'11'!G208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+'11'!G209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+'11'!G210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+'11'!G211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+'11'!G212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1540</v>
      </c>
    </row>
    <row r="213" spans="1:26" ht="25.5">
      <c r="A213" s="80">
        <v>209</v>
      </c>
      <c r="B213" s="20" t="s">
        <v>264</v>
      </c>
      <c r="C213" s="12">
        <f>+'11'!G213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>
      <c r="A214" s="10">
        <v>210</v>
      </c>
      <c r="B214" s="20" t="s">
        <v>265</v>
      </c>
      <c r="C214" s="12">
        <f>+'11'!G214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>
      <c r="A215" s="10">
        <v>211</v>
      </c>
      <c r="B215" s="20" t="s">
        <v>286</v>
      </c>
      <c r="C215" s="12">
        <f>+'11'!G215</f>
        <v>0</v>
      </c>
      <c r="D215" s="13">
        <v>10</v>
      </c>
      <c r="E215" s="12">
        <f t="shared" ref="E215:E216" si="23">C215+D215</f>
        <v>10</v>
      </c>
      <c r="F215" s="13">
        <v>0</v>
      </c>
      <c r="G215" s="14">
        <f t="shared" ref="G215:G216" si="24">E215-F215-H215</f>
        <v>10</v>
      </c>
      <c r="H215" s="15">
        <v>0</v>
      </c>
      <c r="I215" s="23">
        <v>50</v>
      </c>
      <c r="J215" s="17">
        <f t="shared" ref="J215:J216" si="25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>
      <c r="A216" s="10">
        <v>212</v>
      </c>
      <c r="B216" s="20" t="s">
        <v>287</v>
      </c>
      <c r="C216" s="12">
        <f>+'11'!G216</f>
        <v>0</v>
      </c>
      <c r="D216" s="13">
        <v>5</v>
      </c>
      <c r="E216" s="12">
        <f t="shared" si="23"/>
        <v>5</v>
      </c>
      <c r="F216" s="13">
        <v>0</v>
      </c>
      <c r="G216" s="14">
        <f t="shared" si="24"/>
        <v>5</v>
      </c>
      <c r="H216" s="15">
        <v>0</v>
      </c>
      <c r="I216" s="23">
        <v>50</v>
      </c>
      <c r="J216" s="17">
        <f t="shared" si="25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>
      <c r="A217" s="1"/>
      <c r="C217" s="25"/>
      <c r="D217" s="26"/>
      <c r="E217" s="25"/>
      <c r="F217" s="26"/>
      <c r="G217" s="25"/>
      <c r="H217" s="25">
        <f>SUM(H5:H216)</f>
        <v>26</v>
      </c>
      <c r="I217" s="25"/>
      <c r="J217" s="17">
        <f t="shared" si="22"/>
        <v>0</v>
      </c>
      <c r="K217" s="18" t="s">
        <v>16</v>
      </c>
      <c r="L217" s="19">
        <v>0</v>
      </c>
      <c r="M217" s="143" t="s">
        <v>224</v>
      </c>
      <c r="N217" s="144"/>
      <c r="Z217" s="29"/>
    </row>
    <row r="218" spans="1:26" ht="25.5" customHeight="1">
      <c r="A218" s="1"/>
      <c r="C218" s="25"/>
      <c r="D218" s="26"/>
      <c r="E218" s="25"/>
      <c r="F218" s="26"/>
      <c r="G218" s="25"/>
      <c r="H218" s="145" t="s">
        <v>223</v>
      </c>
      <c r="I218" s="146"/>
      <c r="J218" s="30">
        <f>+X107</f>
        <v>0</v>
      </c>
      <c r="K218" s="28"/>
      <c r="L218" s="29"/>
      <c r="Z218" s="29"/>
    </row>
    <row r="219" spans="1:26" ht="25.5">
      <c r="A219" s="1"/>
      <c r="C219" s="25"/>
      <c r="E219" s="25"/>
      <c r="F219" s="26"/>
      <c r="G219" s="25"/>
      <c r="H219" s="31"/>
      <c r="I219" s="147" t="s">
        <v>213</v>
      </c>
      <c r="J219" s="147"/>
      <c r="K219" s="32">
        <f>SUM(J5:J218)</f>
        <v>1775</v>
      </c>
    </row>
    <row r="220" spans="1:26" ht="25.5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760</v>
      </c>
      <c r="L221" s="2">
        <v>490</v>
      </c>
      <c r="M221" s="2">
        <v>220</v>
      </c>
      <c r="N221" s="2">
        <v>50</v>
      </c>
      <c r="T221" s="29"/>
    </row>
    <row r="222" spans="1:26" ht="25.5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235</v>
      </c>
    </row>
    <row r="225" spans="1:11" ht="25.5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765</v>
      </c>
    </row>
    <row r="226" spans="1:11" ht="25.5">
      <c r="A226" s="1"/>
      <c r="C226" s="25"/>
      <c r="E226" s="25"/>
      <c r="F226" s="26"/>
      <c r="G226" s="25"/>
      <c r="I226" s="125" t="s">
        <v>220</v>
      </c>
      <c r="J226" s="126"/>
      <c r="K226" s="36">
        <v>765</v>
      </c>
    </row>
    <row r="227" spans="1:11" ht="25.5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>
      <c r="G229" s="2"/>
      <c r="I229" s="2"/>
    </row>
    <row r="230" spans="1:11">
      <c r="G230" s="2"/>
      <c r="I230" s="2" t="s">
        <v>266</v>
      </c>
      <c r="J230" s="2">
        <f>+K219-K224+K227</f>
        <v>1540</v>
      </c>
    </row>
    <row r="231" spans="1:11">
      <c r="G231" s="2"/>
      <c r="I231" s="2" t="s">
        <v>267</v>
      </c>
      <c r="J231" s="2">
        <f>SUM(K220:K223)</f>
        <v>775</v>
      </c>
    </row>
    <row r="232" spans="1:11">
      <c r="G232" s="2"/>
      <c r="I232" s="2" t="s">
        <v>268</v>
      </c>
      <c r="J232" s="2">
        <f>+K226</f>
        <v>765</v>
      </c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1:Y22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7159-B5E9-4BA4-A11C-4F4E31E857C2}">
  <sheetPr>
    <tabColor theme="5" tint="0.79998168889431442"/>
  </sheetPr>
  <dimension ref="A1:Z303"/>
  <sheetViews>
    <sheetView zoomScaleNormal="100" workbookViewId="0">
      <pane ySplit="4" topLeftCell="A22" activePane="bottomLeft" state="frozen"/>
      <selection pane="bottomLeft" activeCell="I215" sqref="I215:I216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+'12'!G5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+'12'!G6</f>
        <v>1</v>
      </c>
      <c r="D6" s="13">
        <v>0</v>
      </c>
      <c r="E6" s="12">
        <f t="shared" ref="E6:E69" si="0">C6+D6</f>
        <v>1</v>
      </c>
      <c r="F6" s="13">
        <v>0</v>
      </c>
      <c r="G6" s="14">
        <f t="shared" ref="G6:G69" si="1">E6-F6-H6</f>
        <v>1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+'12'!G14</f>
        <v>0</v>
      </c>
      <c r="D14" s="13">
        <v>2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+'12'!G19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+'12'!G23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5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+'12'!G24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+'12'!G26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+'12'!G29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+'12'!G33</f>
        <v>0</v>
      </c>
      <c r="D33" s="13">
        <v>2</v>
      </c>
      <c r="E33" s="12">
        <f t="shared" si="0"/>
        <v>2</v>
      </c>
      <c r="F33" s="13">
        <v>0</v>
      </c>
      <c r="G33" s="14">
        <f t="shared" si="1"/>
        <v>2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+'12'!G37</f>
        <v>-2</v>
      </c>
      <c r="D37" s="13">
        <v>3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+'12'!G38</f>
        <v>0</v>
      </c>
      <c r="D38" s="13">
        <v>2</v>
      </c>
      <c r="E38" s="12">
        <f>C38+D38</f>
        <v>2</v>
      </c>
      <c r="F38" s="13">
        <v>0</v>
      </c>
      <c r="G38" s="14">
        <f>E38-F38-H38</f>
        <v>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+'12'!G39</f>
        <v>0</v>
      </c>
      <c r="D39" s="13">
        <v>2</v>
      </c>
      <c r="E39" s="12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+'12'!G40</f>
        <v>0</v>
      </c>
      <c r="D40" s="13">
        <v>2</v>
      </c>
      <c r="E40" s="12">
        <f t="shared" si="0"/>
        <v>2</v>
      </c>
      <c r="F40" s="13">
        <v>0</v>
      </c>
      <c r="G40" s="14">
        <f t="shared" si="1"/>
        <v>1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+'12'!G43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+'12'!G44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+'12'!G46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+'12'!G47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+'12'!G48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+'12'!G50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+'12'!G53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+'12'!G62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+'12'!G66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+'12'!G70</f>
        <v>0</v>
      </c>
      <c r="D70" s="13">
        <v>3</v>
      </c>
      <c r="E70" s="12">
        <f t="shared" ref="E70:E133" si="7">C70+D70</f>
        <v>3</v>
      </c>
      <c r="F70" s="13">
        <v>0</v>
      </c>
      <c r="G70" s="14">
        <f t="shared" ref="G70:G133" si="8">E70-F70-H70</f>
        <v>3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+'12'!G71</f>
        <v>0</v>
      </c>
      <c r="D71" s="13">
        <v>1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+'12'!G73</f>
        <v>3</v>
      </c>
      <c r="D73" s="13">
        <v>0</v>
      </c>
      <c r="E73" s="12">
        <f t="shared" si="7"/>
        <v>3</v>
      </c>
      <c r="F73" s="13">
        <v>0</v>
      </c>
      <c r="G73" s="14">
        <f t="shared" si="8"/>
        <v>2</v>
      </c>
      <c r="H73" s="15">
        <v>1</v>
      </c>
      <c r="I73" s="21">
        <v>60</v>
      </c>
      <c r="J73" s="17">
        <f t="shared" si="9"/>
        <v>60</v>
      </c>
      <c r="K73" s="18" t="s">
        <v>16</v>
      </c>
      <c r="L73" s="19">
        <v>0</v>
      </c>
      <c r="M73" s="24">
        <f t="shared" si="10"/>
        <v>60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+'12'!G77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+'12'!G81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+'12'!G85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+'12'!G86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+'12'!G87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+'12'!G88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+'12'!G92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+'12'!G93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+'12'!G94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+'12'!G95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+'12'!G96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+'12'!G97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+'12'!G98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+'12'!G99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+'12'!G100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+'12'!G101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+'12'!G102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+'12'!G103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+'12'!G106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+'12'!G107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+'12'!G108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+'12'!G109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+'12'!G110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+'12'!G111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+'12'!G112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+'12'!G113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+'12'!G114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+'12'!G115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+'12'!G116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+'12'!G117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+'12'!G118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+'12'!G119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+'12'!G120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+'12'!G121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+'12'!G122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+'12'!G123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+'12'!G124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+'12'!G125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+'12'!G126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+'12'!G127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+'12'!G128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+'12'!G129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+'12'!G130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+'12'!G131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+'12'!G132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+'12'!G133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+'12'!G134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+'12'!G135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+'12'!G136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+'12'!G137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+'12'!G138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+'12'!G139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+'12'!G140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+'12'!G141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+'12'!G142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+'12'!G143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+'12'!G144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+'12'!G145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+'12'!G146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+'12'!G147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+'12'!G148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+'12'!G149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+'12'!G150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+'12'!G151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+'12'!G152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+'12'!G153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+'12'!G154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+'12'!G155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+'12'!G156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+'12'!G157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+'12'!G158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+'12'!G159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+'12'!G160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+'12'!G161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+'12'!G162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+'12'!G163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+'12'!G164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+'12'!G165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+'12'!G166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+'12'!G167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+'12'!G168</f>
        <v>31</v>
      </c>
      <c r="D168" s="13">
        <v>0</v>
      </c>
      <c r="E168" s="12">
        <f t="shared" si="14"/>
        <v>31</v>
      </c>
      <c r="F168" s="13">
        <v>0</v>
      </c>
      <c r="G168" s="14">
        <f t="shared" si="15"/>
        <v>29</v>
      </c>
      <c r="H168" s="15">
        <v>2</v>
      </c>
      <c r="I168" s="21">
        <v>55</v>
      </c>
      <c r="J168" s="17">
        <f t="shared" si="16"/>
        <v>110</v>
      </c>
      <c r="K168" s="18" t="s">
        <v>16</v>
      </c>
      <c r="L168" s="19">
        <v>0</v>
      </c>
      <c r="M168" s="24">
        <f t="shared" si="17"/>
        <v>110</v>
      </c>
    </row>
    <row r="169" spans="1:13" ht="25.5">
      <c r="A169" s="10">
        <v>165</v>
      </c>
      <c r="B169" s="20" t="s">
        <v>180</v>
      </c>
      <c r="C169" s="12">
        <f>+'12'!G169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+'12'!G170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+'12'!G171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+'12'!G172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+'12'!G173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+'12'!G174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+'12'!G175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+'12'!G176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+'12'!G177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+'12'!G178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+'12'!G179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+'12'!G180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+'12'!G181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+'12'!G182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+'12'!G183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+'12'!G184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+'12'!G185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+'12'!G186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+'12'!G187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+'12'!G188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10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+'12'!G189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+'12'!G190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+'12'!G191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+'12'!G192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+'12'!G193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+'12'!G194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+'12'!G195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+'12'!G196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+'12'!G197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+'12'!G198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>
      <c r="A199" s="10">
        <v>195</v>
      </c>
      <c r="B199" s="20" t="s">
        <v>210</v>
      </c>
      <c r="C199" s="12">
        <f>+'12'!G199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+'12'!G200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+'12'!G201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+'12'!G202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+'12'!G203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+'12'!G204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+'12'!G205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+'12'!G206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+'12'!G207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+'12'!G208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+'12'!G209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+'12'!G210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+'12'!G211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+'12'!G212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320</v>
      </c>
    </row>
    <row r="213" spans="1:26" ht="25.5">
      <c r="A213" s="80">
        <v>209</v>
      </c>
      <c r="B213" s="20" t="s">
        <v>264</v>
      </c>
      <c r="C213" s="12">
        <f>+'12'!G213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>
      <c r="A214" s="10">
        <v>210</v>
      </c>
      <c r="B214" s="20" t="s">
        <v>265</v>
      </c>
      <c r="C214" s="12">
        <f>+'12'!G214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>
      <c r="A215" s="10">
        <v>211</v>
      </c>
      <c r="B215" s="20" t="s">
        <v>286</v>
      </c>
      <c r="C215" s="12">
        <f>+'12'!G215</f>
        <v>10</v>
      </c>
      <c r="D215" s="13">
        <v>0</v>
      </c>
      <c r="E215" s="12">
        <f t="shared" ref="E215:E216" si="23">C215+D215</f>
        <v>10</v>
      </c>
      <c r="F215" s="13">
        <v>0</v>
      </c>
      <c r="G215" s="14">
        <f t="shared" ref="G215:G216" si="24">E215-F215-H215</f>
        <v>9</v>
      </c>
      <c r="H215" s="15">
        <v>1</v>
      </c>
      <c r="I215" s="23">
        <v>50</v>
      </c>
      <c r="J215" s="17">
        <f t="shared" ref="J215:J216" si="25">+I215*H215</f>
        <v>50</v>
      </c>
      <c r="K215" s="18" t="s">
        <v>16</v>
      </c>
      <c r="L215" s="19">
        <v>0</v>
      </c>
      <c r="M215" s="24">
        <f t="shared" si="21"/>
        <v>50</v>
      </c>
      <c r="N215" s="24"/>
    </row>
    <row r="216" spans="1:26" ht="25.5">
      <c r="A216" s="10">
        <v>212</v>
      </c>
      <c r="B216" s="20" t="s">
        <v>287</v>
      </c>
      <c r="C216" s="12">
        <f>+'12'!G216</f>
        <v>5</v>
      </c>
      <c r="D216" s="13">
        <v>0</v>
      </c>
      <c r="E216" s="12">
        <f t="shared" si="23"/>
        <v>5</v>
      </c>
      <c r="F216" s="13">
        <v>0</v>
      </c>
      <c r="G216" s="14">
        <f t="shared" si="24"/>
        <v>4</v>
      </c>
      <c r="H216" s="15">
        <v>1</v>
      </c>
      <c r="I216" s="23">
        <v>50</v>
      </c>
      <c r="J216" s="17">
        <f t="shared" si="25"/>
        <v>50</v>
      </c>
      <c r="K216" s="18" t="s">
        <v>16</v>
      </c>
      <c r="L216" s="19">
        <v>0</v>
      </c>
      <c r="M216" s="24">
        <f t="shared" si="21"/>
        <v>50</v>
      </c>
      <c r="N216" s="24"/>
    </row>
    <row r="217" spans="1:26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43" t="s">
        <v>224</v>
      </c>
      <c r="N217" s="144"/>
      <c r="Z217" s="29"/>
    </row>
    <row r="218" spans="1:26" ht="25.5" customHeight="1">
      <c r="A218" s="1"/>
      <c r="C218" s="25"/>
      <c r="D218" s="26"/>
      <c r="E218" s="25"/>
      <c r="F218" s="26"/>
      <c r="G218" s="25"/>
      <c r="H218" s="145" t="s">
        <v>223</v>
      </c>
      <c r="I218" s="146"/>
      <c r="J218" s="30">
        <f>+X107</f>
        <v>0</v>
      </c>
      <c r="K218" s="28"/>
      <c r="L218" s="29"/>
      <c r="Z218" s="29"/>
    </row>
    <row r="219" spans="1:26" ht="25.5">
      <c r="A219" s="1"/>
      <c r="C219" s="25"/>
      <c r="E219" s="25"/>
      <c r="F219" s="26"/>
      <c r="G219" s="25"/>
      <c r="H219" s="31"/>
      <c r="I219" s="147" t="s">
        <v>213</v>
      </c>
      <c r="J219" s="147"/>
      <c r="K219" s="32">
        <f>SUM(J5:J218)</f>
        <v>420</v>
      </c>
    </row>
    <row r="220" spans="1:26" ht="25.5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60</v>
      </c>
      <c r="L221" s="2">
        <v>60</v>
      </c>
      <c r="T221" s="29"/>
    </row>
    <row r="222" spans="1:26" ht="25.5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345</v>
      </c>
    </row>
    <row r="226" spans="1:11" ht="25.5">
      <c r="A226" s="1"/>
      <c r="C226" s="25"/>
      <c r="E226" s="25"/>
      <c r="F226" s="26"/>
      <c r="G226" s="25"/>
      <c r="I226" s="125" t="s">
        <v>220</v>
      </c>
      <c r="J226" s="126"/>
      <c r="K226" s="36">
        <v>345</v>
      </c>
    </row>
    <row r="227" spans="1:11" ht="25.5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>
      <c r="G229" s="2"/>
      <c r="I229" s="2"/>
    </row>
    <row r="230" spans="1:11">
      <c r="G230" s="2"/>
      <c r="I230" s="2" t="s">
        <v>266</v>
      </c>
      <c r="J230" s="2">
        <f>+K219-K224+K227</f>
        <v>420</v>
      </c>
    </row>
    <row r="231" spans="1:11">
      <c r="G231" s="2"/>
      <c r="I231" s="2" t="s">
        <v>267</v>
      </c>
      <c r="J231" s="2">
        <f>SUM(K220:K223)</f>
        <v>75</v>
      </c>
    </row>
    <row r="232" spans="1:11">
      <c r="G232" s="2"/>
      <c r="I232" s="2" t="s">
        <v>268</v>
      </c>
      <c r="J232" s="2">
        <f>+K226</f>
        <v>345</v>
      </c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1:Y228" xr:uid="{A8659A1D-7742-48A0-A8EC-0F2280F9B025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2B3D-5FBB-4853-A696-0A4104F4C80B}">
  <sheetPr>
    <tabColor theme="5" tint="0.79998168889431442"/>
  </sheetPr>
  <dimension ref="A1:Z303"/>
  <sheetViews>
    <sheetView zoomScaleNormal="100" workbookViewId="0">
      <pane ySplit="4" topLeftCell="A213" activePane="bottomLeft" state="frozen"/>
      <selection pane="bottomLeft" activeCell="A215" sqref="A215:B216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+'13'!G5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+'13'!G6</f>
        <v>1</v>
      </c>
      <c r="D6" s="13">
        <v>0</v>
      </c>
      <c r="E6" s="12">
        <f t="shared" ref="E6:E69" si="0">C6+D6</f>
        <v>1</v>
      </c>
      <c r="F6" s="13">
        <v>0</v>
      </c>
      <c r="G6" s="14">
        <f t="shared" ref="G6:G69" si="1">E6-F6-H6</f>
        <v>0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+'13'!G19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+'13'!G23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4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+'13'!G24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+'13'!G29</f>
        <v>1</v>
      </c>
      <c r="D29" s="13">
        <v>0</v>
      </c>
      <c r="E29" s="12">
        <f t="shared" si="0"/>
        <v>1</v>
      </c>
      <c r="F29" s="13">
        <v>1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+'13'!G33</f>
        <v>2</v>
      </c>
      <c r="D33" s="13">
        <v>0</v>
      </c>
      <c r="E33" s="12">
        <f t="shared" si="0"/>
        <v>2</v>
      </c>
      <c r="F33" s="13">
        <v>0</v>
      </c>
      <c r="G33" s="14">
        <f t="shared" si="1"/>
        <v>1</v>
      </c>
      <c r="H33" s="15">
        <v>1</v>
      </c>
      <c r="I33" s="16">
        <v>130</v>
      </c>
      <c r="J33" s="17">
        <f t="shared" si="2"/>
        <v>130</v>
      </c>
      <c r="K33" s="18" t="s">
        <v>16</v>
      </c>
      <c r="L33" s="19">
        <v>0</v>
      </c>
      <c r="M33" s="24">
        <f t="shared" si="3"/>
        <v>130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+'13'!G37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+'13'!G38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+'13'!G39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+'13'!G40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+'13'!G43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+'13'!G44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0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+'13'!G46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+'13'!G47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1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+'13'!G48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0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+'13'!G50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+'13'!G51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+'13'!G66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+'13'!G70</f>
        <v>3</v>
      </c>
      <c r="D70" s="13">
        <v>0</v>
      </c>
      <c r="E70" s="12">
        <f t="shared" ref="E70:E133" si="7">C70+D70</f>
        <v>3</v>
      </c>
      <c r="F70" s="13">
        <v>0</v>
      </c>
      <c r="G70" s="14">
        <f t="shared" ref="G70:G133" si="8">E70-F70-H70</f>
        <v>3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+'13'!G71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+'13'!G73</f>
        <v>2</v>
      </c>
      <c r="D73" s="13">
        <v>0</v>
      </c>
      <c r="E73" s="12">
        <f t="shared" si="7"/>
        <v>2</v>
      </c>
      <c r="F73" s="13">
        <v>0</v>
      </c>
      <c r="G73" s="14">
        <f t="shared" si="8"/>
        <v>2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+'13'!G77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+'13'!G81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+'13'!G85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+'13'!G86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+'13'!G87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+'13'!G88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+'13'!G92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+'13'!G93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+'13'!G94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+'13'!G95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+'13'!G96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+'13'!G97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+'13'!G98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+'13'!G99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+'13'!G100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+'13'!G101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+'13'!G102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+'13'!G103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+'13'!G106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+'13'!G107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+'13'!G108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+'13'!G109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+'13'!G110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+'13'!G111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+'13'!G112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+'13'!G113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+'13'!G114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+'13'!G115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+'13'!G116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+'13'!G117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+'13'!G118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+'13'!G119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+'13'!G120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+'13'!G121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+'13'!G122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+'13'!G123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+'13'!G124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+'13'!G125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+'13'!G126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+'13'!G127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+'13'!G128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+'13'!G129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+'13'!G130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+'13'!G131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+'13'!G132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+'13'!G133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+'13'!G134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+'13'!G135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+'13'!G136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+'13'!G137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+'13'!G138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+'13'!G139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+'13'!G140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+'13'!G141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+'13'!G142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+'13'!G143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+'13'!G144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+'13'!G145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+'13'!G146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+'13'!G147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+'13'!G148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+'13'!G149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+'13'!G150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+'13'!G151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+'13'!G152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+'13'!G153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+'13'!G154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+'13'!G155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+'13'!G156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+'13'!G157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+'13'!G158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+'13'!G159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+'13'!G160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+'13'!G161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+'13'!G162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+'13'!G163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+'13'!G164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+'13'!G165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+'13'!G166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+'13'!G167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+'13'!G168</f>
        <v>29</v>
      </c>
      <c r="D168" s="13">
        <v>0</v>
      </c>
      <c r="E168" s="12">
        <f t="shared" si="14"/>
        <v>29</v>
      </c>
      <c r="F168" s="13">
        <v>0</v>
      </c>
      <c r="G168" s="14">
        <f t="shared" si="15"/>
        <v>29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+'13'!G169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+'13'!G170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+'13'!G171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+'13'!G172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+'13'!G173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+'13'!G174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+'13'!G175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+'13'!G176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+'13'!G177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+'13'!G178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+'13'!G179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+'13'!G180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+'13'!G181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+'13'!G182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+'13'!G183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+'13'!G184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+'13'!G185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+'13'!G186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+'13'!G187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+'13'!G188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+'13'!G189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+'13'!G190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+'13'!G191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+'13'!G192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+'13'!G193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+'13'!G194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+'13'!G195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+'13'!G196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+'13'!G197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+'13'!G198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>
      <c r="A199" s="10">
        <v>195</v>
      </c>
      <c r="B199" s="20" t="s">
        <v>210</v>
      </c>
      <c r="C199" s="12">
        <f>+'13'!G199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+'13'!G200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+'13'!G201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+'13'!G202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+'13'!G203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+'13'!G204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+'13'!G205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+'13'!G206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+'13'!G207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+'13'!G208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+'13'!G209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+'13'!G210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+'13'!G211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+'13'!G212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630</v>
      </c>
    </row>
    <row r="213" spans="1:26" ht="25.5">
      <c r="A213" s="80">
        <v>209</v>
      </c>
      <c r="B213" s="20" t="s">
        <v>264</v>
      </c>
      <c r="C213" s="12">
        <f>+'13'!G213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>
      <c r="A214" s="10">
        <v>210</v>
      </c>
      <c r="B214" s="20" t="s">
        <v>265</v>
      </c>
      <c r="C214" s="12">
        <f>+'13'!G214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>
      <c r="A215" s="10">
        <v>211</v>
      </c>
      <c r="B215" s="20" t="s">
        <v>286</v>
      </c>
      <c r="C215" s="12">
        <f>+'13'!G215</f>
        <v>9</v>
      </c>
      <c r="D215" s="13">
        <v>0</v>
      </c>
      <c r="E215" s="12">
        <f t="shared" ref="E215:E216" si="23">C215+D215</f>
        <v>9</v>
      </c>
      <c r="F215" s="13">
        <v>0</v>
      </c>
      <c r="G215" s="14">
        <f t="shared" ref="G215:G216" si="24">E215-F215-H215</f>
        <v>8</v>
      </c>
      <c r="H215" s="15">
        <v>1</v>
      </c>
      <c r="I215" s="23">
        <v>50</v>
      </c>
      <c r="J215" s="17">
        <f t="shared" ref="J215:J216" si="25">+I215*H215</f>
        <v>50</v>
      </c>
      <c r="K215" s="18" t="s">
        <v>16</v>
      </c>
      <c r="L215" s="19">
        <v>0</v>
      </c>
      <c r="M215" s="24">
        <f t="shared" si="21"/>
        <v>50</v>
      </c>
      <c r="N215" s="24"/>
    </row>
    <row r="216" spans="1:26" ht="25.5">
      <c r="A216" s="10">
        <v>212</v>
      </c>
      <c r="B216" s="20" t="s">
        <v>287</v>
      </c>
      <c r="C216" s="12">
        <f>+'13'!G216</f>
        <v>4</v>
      </c>
      <c r="D216" s="13">
        <v>5</v>
      </c>
      <c r="E216" s="12">
        <f t="shared" si="23"/>
        <v>9</v>
      </c>
      <c r="F216" s="13">
        <v>0</v>
      </c>
      <c r="G216" s="14">
        <f t="shared" si="24"/>
        <v>9</v>
      </c>
      <c r="H216" s="15">
        <v>0</v>
      </c>
      <c r="I216" s="23">
        <v>50</v>
      </c>
      <c r="J216" s="17">
        <f t="shared" si="25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43" t="s">
        <v>224</v>
      </c>
      <c r="N217" s="144"/>
      <c r="Z217" s="29"/>
    </row>
    <row r="218" spans="1:26" ht="25.5" customHeight="1">
      <c r="A218" s="1"/>
      <c r="C218" s="25"/>
      <c r="D218" s="26"/>
      <c r="E218" s="25"/>
      <c r="F218" s="26"/>
      <c r="G218" s="25"/>
      <c r="H218" s="145" t="s">
        <v>223</v>
      </c>
      <c r="I218" s="146"/>
      <c r="J218" s="30">
        <f>+X107</f>
        <v>0</v>
      </c>
      <c r="K218" s="28"/>
      <c r="L218" s="29"/>
      <c r="Z218" s="29"/>
    </row>
    <row r="219" spans="1:26" ht="25.5">
      <c r="A219" s="1"/>
      <c r="C219" s="25"/>
      <c r="E219" s="25"/>
      <c r="F219" s="26"/>
      <c r="G219" s="25"/>
      <c r="H219" s="31"/>
      <c r="I219" s="147" t="s">
        <v>213</v>
      </c>
      <c r="J219" s="147"/>
      <c r="K219" s="32">
        <f>SUM(J5:J218)</f>
        <v>680</v>
      </c>
    </row>
    <row r="220" spans="1:26" ht="25.5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0</v>
      </c>
      <c r="T221" s="29"/>
    </row>
    <row r="222" spans="1:26" ht="25.5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665</v>
      </c>
    </row>
    <row r="226" spans="1:11" ht="25.5">
      <c r="A226" s="1"/>
      <c r="C226" s="25"/>
      <c r="E226" s="25"/>
      <c r="F226" s="26"/>
      <c r="G226" s="25"/>
      <c r="I226" s="125" t="s">
        <v>220</v>
      </c>
      <c r="J226" s="126"/>
      <c r="K226" s="36">
        <v>665</v>
      </c>
    </row>
    <row r="227" spans="1:11" ht="25.5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>
      <c r="G229" s="2"/>
      <c r="I229" s="2"/>
    </row>
    <row r="230" spans="1:11">
      <c r="G230" s="2"/>
      <c r="I230" s="2" t="s">
        <v>266</v>
      </c>
      <c r="J230" s="2">
        <f>+K219-K224+K227</f>
        <v>680</v>
      </c>
    </row>
    <row r="231" spans="1:11">
      <c r="G231" s="2"/>
      <c r="I231" s="2" t="s">
        <v>267</v>
      </c>
      <c r="J231" s="2">
        <f>SUM(K220:K223)</f>
        <v>15</v>
      </c>
    </row>
    <row r="232" spans="1:11">
      <c r="G232" s="2"/>
      <c r="I232" s="2" t="s">
        <v>268</v>
      </c>
      <c r="J232" s="2">
        <f>+K226</f>
        <v>665</v>
      </c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1:Y22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3B0E-473E-4B60-80ED-2E2D6D18DE8E}">
  <sheetPr>
    <tabColor theme="5" tint="0.79998168889431442"/>
  </sheetPr>
  <dimension ref="A1:Z303"/>
  <sheetViews>
    <sheetView zoomScaleNormal="100" workbookViewId="0">
      <pane ySplit="4" topLeftCell="A215" activePane="bottomLeft" state="frozen"/>
      <selection pane="bottomLeft" activeCell="A215" sqref="A215:M216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+'14'!G5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+'14'!G6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+'14'!G19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+'14'!G23</f>
        <v>4</v>
      </c>
      <c r="D23" s="13">
        <v>0</v>
      </c>
      <c r="E23" s="12">
        <f t="shared" si="0"/>
        <v>4</v>
      </c>
      <c r="F23" s="13">
        <v>0</v>
      </c>
      <c r="G23" s="14">
        <f t="shared" si="1"/>
        <v>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+'14'!G24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0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+'14'!G26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2">
        <v>100</v>
      </c>
      <c r="J26" s="17">
        <f t="shared" si="2"/>
        <v>100</v>
      </c>
      <c r="K26" s="18" t="s">
        <v>16</v>
      </c>
      <c r="L26" s="19">
        <v>0</v>
      </c>
      <c r="M26" s="24">
        <f t="shared" si="3"/>
        <v>100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+'14'!G33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+'14'!G34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+'14'!G37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+'14'!G38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+'14'!G39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+'14'!G40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+'14'!G46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+'14'!G47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+'14'!G51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+'14'!G66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+'14'!G70</f>
        <v>3</v>
      </c>
      <c r="D70" s="13">
        <v>0</v>
      </c>
      <c r="E70" s="12">
        <f t="shared" ref="E70:E133" si="7">C70+D70</f>
        <v>3</v>
      </c>
      <c r="F70" s="13">
        <v>0</v>
      </c>
      <c r="G70" s="14">
        <f t="shared" ref="G70:G133" si="8">E70-F70-H70</f>
        <v>2</v>
      </c>
      <c r="H70" s="15">
        <v>1</v>
      </c>
      <c r="I70" s="21">
        <v>50</v>
      </c>
      <c r="J70" s="17">
        <f t="shared" ref="J70:J133" si="9">+H70*I70</f>
        <v>50</v>
      </c>
      <c r="K70" s="18" t="s">
        <v>16</v>
      </c>
      <c r="L70" s="19">
        <v>0</v>
      </c>
      <c r="M70" s="24">
        <f t="shared" ref="M70:M133" si="10">SUM(J70-L70)</f>
        <v>50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+'14'!G71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+'14'!G73</f>
        <v>2</v>
      </c>
      <c r="D73" s="13">
        <v>0</v>
      </c>
      <c r="E73" s="12">
        <f t="shared" si="7"/>
        <v>2</v>
      </c>
      <c r="F73" s="13">
        <v>0</v>
      </c>
      <c r="G73" s="14">
        <f t="shared" si="8"/>
        <v>2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+'14'!G77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+'14'!G79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+'14'!G81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+'14'!G85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+'14'!G86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+'14'!G87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+'14'!G88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+'14'!G92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+'14'!G93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+'14'!G94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+'14'!G95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+'14'!G96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+'14'!G97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+'14'!G98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+'14'!G99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+'14'!G100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+'14'!G101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+'14'!G102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+'14'!G103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+'14'!G106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+'14'!G107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+'14'!G108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+'14'!G109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+'14'!G110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+'14'!G111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+'14'!G112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+'14'!G113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+'14'!G114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+'14'!G115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+'14'!G116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+'14'!G117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+'14'!G118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+'14'!G119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+'14'!G120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+'14'!G121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+'14'!G122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+'14'!G123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+'14'!G124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+'14'!G125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+'14'!G126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+'14'!G127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+'14'!G128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+'14'!G129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+'14'!G130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+'14'!G131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+'14'!G132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+'14'!G133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+'14'!G134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+'14'!G135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+'14'!G136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+'14'!G137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+'14'!G138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+'14'!G139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+'14'!G140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+'14'!G141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+'14'!G142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+'14'!G143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+'14'!G144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+'14'!G145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+'14'!G146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+'14'!G147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+'14'!G148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+'14'!G149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+'14'!G150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+'14'!G151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+'14'!G152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+'14'!G153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+'14'!G154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+'14'!G155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+'14'!G156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+'14'!G157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+'14'!G158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+'14'!G159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+'14'!G160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+'14'!G161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+'14'!G162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+'14'!G163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+'14'!G164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+'14'!G165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+'14'!G166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+'14'!G167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+'14'!G168</f>
        <v>29</v>
      </c>
      <c r="D168" s="13">
        <v>0</v>
      </c>
      <c r="E168" s="12">
        <f t="shared" si="14"/>
        <v>29</v>
      </c>
      <c r="F168" s="13">
        <v>0</v>
      </c>
      <c r="G168" s="14">
        <f t="shared" si="15"/>
        <v>28</v>
      </c>
      <c r="H168" s="15">
        <v>1</v>
      </c>
      <c r="I168" s="21">
        <v>55</v>
      </c>
      <c r="J168" s="17">
        <f t="shared" si="16"/>
        <v>55</v>
      </c>
      <c r="K168" s="18" t="s">
        <v>16</v>
      </c>
      <c r="L168" s="19">
        <v>0</v>
      </c>
      <c r="M168" s="24">
        <f t="shared" si="17"/>
        <v>55</v>
      </c>
    </row>
    <row r="169" spans="1:13" ht="25.5">
      <c r="A169" s="10">
        <v>165</v>
      </c>
      <c r="B169" s="20" t="s">
        <v>180</v>
      </c>
      <c r="C169" s="12">
        <f>+'14'!G169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+'14'!G170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+'14'!G171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+'14'!G172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+'14'!G173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+'14'!G174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+'14'!G175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+'14'!G176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+'14'!G177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+'14'!G178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+'14'!G179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+'14'!G180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+'14'!G181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+'14'!G182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+'14'!G183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+'14'!G184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+'14'!G185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+'14'!G186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+'14'!G187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+'14'!G188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+'14'!G189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+'14'!G190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+'14'!G191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+'14'!G192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+'14'!G193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+'14'!G194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+'14'!G195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+'14'!G196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+'14'!G197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+'14'!G198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>
      <c r="A199" s="10">
        <v>195</v>
      </c>
      <c r="B199" s="20" t="s">
        <v>210</v>
      </c>
      <c r="C199" s="12">
        <f>+'14'!G199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+'14'!G200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+'14'!G201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+'14'!G202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+'14'!G203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+'14'!G204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+'14'!G205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+'14'!G206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+'14'!G207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+'14'!G208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+'14'!G209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+'14'!G210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+'14'!G211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+'14'!G212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305</v>
      </c>
    </row>
    <row r="213" spans="1:26" ht="25.5">
      <c r="A213" s="80">
        <v>209</v>
      </c>
      <c r="B213" s="20" t="s">
        <v>264</v>
      </c>
      <c r="C213" s="12">
        <f>+'14'!G213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>
      <c r="A214" s="10">
        <v>210</v>
      </c>
      <c r="B214" s="20" t="s">
        <v>265</v>
      </c>
      <c r="C214" s="12">
        <f>+'14'!G214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>
      <c r="A215" s="10">
        <v>211</v>
      </c>
      <c r="B215" s="20" t="s">
        <v>286</v>
      </c>
      <c r="C215" s="12">
        <f>+'14'!G215</f>
        <v>8</v>
      </c>
      <c r="D215" s="13">
        <v>0</v>
      </c>
      <c r="E215" s="12">
        <f t="shared" ref="E215:E216" si="23">C215+D215</f>
        <v>8</v>
      </c>
      <c r="F215" s="13">
        <v>0</v>
      </c>
      <c r="G215" s="14">
        <f t="shared" ref="G215:G216" si="24">E215-F215-H215</f>
        <v>8</v>
      </c>
      <c r="H215" s="15">
        <v>0</v>
      </c>
      <c r="I215" s="23">
        <v>250</v>
      </c>
      <c r="J215" s="17">
        <f t="shared" ref="J215:J216" si="25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>
      <c r="A216" s="10">
        <v>212</v>
      </c>
      <c r="B216" s="20" t="s">
        <v>287</v>
      </c>
      <c r="C216" s="12">
        <f>+'14'!G216</f>
        <v>9</v>
      </c>
      <c r="D216" s="13">
        <v>0</v>
      </c>
      <c r="E216" s="12">
        <f t="shared" si="23"/>
        <v>9</v>
      </c>
      <c r="F216" s="13">
        <v>0</v>
      </c>
      <c r="G216" s="14">
        <f t="shared" si="24"/>
        <v>9</v>
      </c>
      <c r="H216" s="15">
        <v>0</v>
      </c>
      <c r="I216" s="23">
        <v>250</v>
      </c>
      <c r="J216" s="17">
        <f t="shared" si="25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43" t="s">
        <v>224</v>
      </c>
      <c r="N217" s="144"/>
      <c r="Z217" s="29"/>
    </row>
    <row r="218" spans="1:26" ht="25.5" customHeight="1">
      <c r="A218" s="1"/>
      <c r="C218" s="25"/>
      <c r="D218" s="26"/>
      <c r="E218" s="25"/>
      <c r="F218" s="26"/>
      <c r="G218" s="25"/>
      <c r="H218" s="145" t="s">
        <v>223</v>
      </c>
      <c r="I218" s="146"/>
      <c r="J218" s="30">
        <f>+X107</f>
        <v>0</v>
      </c>
      <c r="K218" s="28"/>
      <c r="L218" s="29"/>
      <c r="Z218" s="29"/>
    </row>
    <row r="219" spans="1:26" ht="25.5">
      <c r="A219" s="1"/>
      <c r="C219" s="25"/>
      <c r="E219" s="25"/>
      <c r="F219" s="26"/>
      <c r="G219" s="25"/>
      <c r="H219" s="31"/>
      <c r="I219" s="147" t="s">
        <v>213</v>
      </c>
      <c r="J219" s="147"/>
      <c r="K219" s="32">
        <f>SUM(J5:J218)</f>
        <v>305</v>
      </c>
    </row>
    <row r="220" spans="1:26" ht="25.5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0</v>
      </c>
      <c r="T221" s="29"/>
    </row>
    <row r="222" spans="1:26" ht="25.5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290</v>
      </c>
    </row>
    <row r="226" spans="1:11" ht="25.5">
      <c r="A226" s="1"/>
      <c r="C226" s="25"/>
      <c r="E226" s="25"/>
      <c r="F226" s="26"/>
      <c r="G226" s="25"/>
      <c r="I226" s="125" t="s">
        <v>220</v>
      </c>
      <c r="J226" s="126"/>
      <c r="K226" s="36">
        <v>290</v>
      </c>
    </row>
    <row r="227" spans="1:11" ht="25.5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>
      <c r="G229" s="2"/>
      <c r="I229" s="2"/>
    </row>
    <row r="230" spans="1:11">
      <c r="G230" s="2"/>
      <c r="I230" s="2" t="s">
        <v>266</v>
      </c>
      <c r="J230" s="2">
        <f>+K219-K224+K227</f>
        <v>305</v>
      </c>
    </row>
    <row r="231" spans="1:11">
      <c r="G231" s="2"/>
      <c r="I231" s="2" t="s">
        <v>267</v>
      </c>
      <c r="J231" s="2">
        <f>SUM(K220:K223)</f>
        <v>15</v>
      </c>
    </row>
    <row r="232" spans="1:11">
      <c r="G232" s="2"/>
      <c r="I232" s="2" t="s">
        <v>268</v>
      </c>
      <c r="J232" s="2">
        <f>+K226</f>
        <v>290</v>
      </c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1:Y228" xr:uid="{A8659A1D-7742-48A0-A8EC-0F2280F9B025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0C4A-2B40-461F-B74D-F871A0FB8B30}">
  <sheetPr>
    <tabColor theme="5" tint="0.79998168889431442"/>
  </sheetPr>
  <dimension ref="A1:Z303"/>
  <sheetViews>
    <sheetView topLeftCell="C209" workbookViewId="0">
      <selection activeCell="O221" sqref="O221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+'15'!G5</f>
        <v>0</v>
      </c>
      <c r="D5" s="13">
        <v>2</v>
      </c>
      <c r="E5" s="12">
        <f>C5+D5</f>
        <v>2</v>
      </c>
      <c r="F5" s="13">
        <v>0</v>
      </c>
      <c r="G5" s="14">
        <f>E5-F5-H5</f>
        <v>1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+'15'!G6</f>
        <v>0</v>
      </c>
      <c r="D6" s="13">
        <v>2</v>
      </c>
      <c r="E6" s="12">
        <f t="shared" ref="E6:E69" si="0">C6+D6</f>
        <v>2</v>
      </c>
      <c r="F6" s="13">
        <v>0</v>
      </c>
      <c r="G6" s="14">
        <f t="shared" ref="G6:G69" si="1">E6-F6-H6</f>
        <v>0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+'15'!G12</f>
        <v>0</v>
      </c>
      <c r="D12" s="13">
        <v>2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+'15'!G19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4">
        <f>+'15'!G23</f>
        <v>4</v>
      </c>
      <c r="D23" s="13">
        <v>0</v>
      </c>
      <c r="E23" s="12">
        <f t="shared" si="0"/>
        <v>4</v>
      </c>
      <c r="F23" s="13">
        <v>0</v>
      </c>
      <c r="G23" s="14">
        <f t="shared" si="1"/>
        <v>2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+'15'!G26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+'15'!G33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+'15'!G37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-2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+'15'!G38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+'15'!G39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+'15'!G40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+'15'!G41</f>
        <v>0</v>
      </c>
      <c r="D41" s="13">
        <v>2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+'15'!G44</f>
        <v>0</v>
      </c>
      <c r="D44" s="13">
        <v>2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+'15'!G46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1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+'15'!G47</f>
        <v>1</v>
      </c>
      <c r="D47" s="13">
        <v>1</v>
      </c>
      <c r="E47" s="12">
        <f t="shared" si="0"/>
        <v>2</v>
      </c>
      <c r="F47" s="13">
        <v>0</v>
      </c>
      <c r="G47" s="93">
        <f t="shared" si="1"/>
        <v>1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+'15'!G51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+'15'!G62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4">
        <f>+'15'!G66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+'15'!G70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+'15'!G71</f>
        <v>1</v>
      </c>
      <c r="D71" s="13">
        <v>1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+'15'!G73</f>
        <v>2</v>
      </c>
      <c r="D73" s="13">
        <v>0</v>
      </c>
      <c r="E73" s="12">
        <f t="shared" si="7"/>
        <v>2</v>
      </c>
      <c r="F73" s="13">
        <v>0</v>
      </c>
      <c r="G73" s="14">
        <f t="shared" si="8"/>
        <v>0</v>
      </c>
      <c r="H73" s="15">
        <v>2</v>
      </c>
      <c r="I73" s="21">
        <v>60</v>
      </c>
      <c r="J73" s="17">
        <f t="shared" si="9"/>
        <v>120</v>
      </c>
      <c r="K73" s="18" t="s">
        <v>16</v>
      </c>
      <c r="L73" s="19">
        <v>0</v>
      </c>
      <c r="M73" s="24">
        <f t="shared" si="10"/>
        <v>120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+'15'!G77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+'15'!G79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+'15'!G81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+'15'!G85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+'15'!G86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+'15'!G87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4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+'15'!G88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+'15'!G92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+'15'!G93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+'15'!G94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+'15'!G95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+'15'!G96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+'15'!G97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+'15'!G98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+'15'!G99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+'15'!G100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+'15'!G101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+'15'!G102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+'15'!G103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+'15'!G106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+'15'!G107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+'15'!G108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+'15'!G109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+'15'!G110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+'15'!G111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+'15'!G112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+'15'!G113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+'15'!G114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+'15'!G115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+'15'!G116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+'15'!G117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+'15'!G118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+'15'!G119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+'15'!G120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+'15'!G121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+'15'!G122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+'15'!G123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+'15'!G124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+'15'!G125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+'15'!G126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+'15'!G127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+'15'!G128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+'15'!G129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+'15'!G130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+'15'!G131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+'15'!G132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+'15'!G133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+'15'!G134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+'15'!G135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+'15'!G136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+'15'!G137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+'15'!G138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+'15'!G139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+'15'!G140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+'15'!G141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+'15'!G142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+'15'!G143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+'15'!G144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+'15'!G145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+'15'!G146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+'15'!G147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+'15'!G148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+'15'!G149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+'15'!G150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+'15'!G151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+'15'!G152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+'15'!G153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+'15'!G154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+'15'!G155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+'15'!G156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+'15'!G157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+'15'!G158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+'15'!G159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+'15'!G160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+'15'!G161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+'15'!G162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+'15'!G163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4">
        <f>+'15'!G164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+'15'!G165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+'15'!G166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+'15'!G167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+'15'!G168</f>
        <v>28</v>
      </c>
      <c r="D168" s="13">
        <v>0</v>
      </c>
      <c r="E168" s="12">
        <f t="shared" si="14"/>
        <v>28</v>
      </c>
      <c r="F168" s="13">
        <v>0</v>
      </c>
      <c r="G168" s="14">
        <f t="shared" si="15"/>
        <v>27</v>
      </c>
      <c r="H168" s="15">
        <v>1</v>
      </c>
      <c r="I168" s="21">
        <v>55</v>
      </c>
      <c r="J168" s="17">
        <f t="shared" si="16"/>
        <v>55</v>
      </c>
      <c r="K168" s="18" t="s">
        <v>16</v>
      </c>
      <c r="L168" s="19">
        <v>0</v>
      </c>
      <c r="M168" s="24">
        <f t="shared" si="17"/>
        <v>55</v>
      </c>
    </row>
    <row r="169" spans="1:13" ht="25.5">
      <c r="A169" s="10">
        <v>165</v>
      </c>
      <c r="B169" s="20" t="s">
        <v>180</v>
      </c>
      <c r="C169" s="12">
        <f>+'15'!G169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+'15'!G170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+'15'!G171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+'15'!G172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+'15'!G173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+'15'!G174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+'15'!G175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+'15'!G176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+'15'!G177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+'15'!G178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+'15'!G179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+'15'!G180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+'15'!G181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+'15'!G182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+'15'!G183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+'15'!G184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+'15'!G185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+'15'!G186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+'15'!G187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+'15'!G188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4">
        <f>+'15'!G189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+'15'!G190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+'15'!G191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+'15'!G192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+'15'!G193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+'15'!G194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+'15'!G195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+'15'!G196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+'15'!G197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+'15'!G198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+'15'!G199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+'15'!G200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+'15'!G201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+'15'!G202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4">
        <f>+'15'!G203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4">
        <f>+'15'!G204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4">
        <f>+'15'!G205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4">
        <f>+'15'!G206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4">
        <f>+'15'!G207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4">
        <f>+'15'!G208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4">
        <f>+'15'!G209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4">
        <f>+'15'!G210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4">
        <f>+'15'!G211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4">
        <f>+'15'!G212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1085</v>
      </c>
    </row>
    <row r="213" spans="1:26" ht="25.5">
      <c r="A213" s="80">
        <v>209</v>
      </c>
      <c r="B213" s="20" t="s">
        <v>264</v>
      </c>
      <c r="C213" s="14">
        <f>+'15'!G213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4">
        <f>+'15'!G214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>
      <c r="A215" s="10">
        <v>211</v>
      </c>
      <c r="B215" s="20" t="s">
        <v>286</v>
      </c>
      <c r="C215" s="14">
        <f>+'15'!G215</f>
        <v>8</v>
      </c>
      <c r="D215" s="13">
        <v>0</v>
      </c>
      <c r="E215" s="12">
        <f t="shared" si="18"/>
        <v>8</v>
      </c>
      <c r="F215" s="13">
        <v>0</v>
      </c>
      <c r="G215" s="14">
        <f t="shared" si="19"/>
        <v>8</v>
      </c>
      <c r="H215" s="15">
        <v>0</v>
      </c>
      <c r="I215" s="23">
        <v>250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>
      <c r="A216" s="10">
        <v>212</v>
      </c>
      <c r="B216" s="20" t="s">
        <v>287</v>
      </c>
      <c r="C216" s="14">
        <f>+'15'!G216</f>
        <v>9</v>
      </c>
      <c r="D216" s="13">
        <v>10</v>
      </c>
      <c r="E216" s="12">
        <f t="shared" si="18"/>
        <v>19</v>
      </c>
      <c r="F216" s="13">
        <v>0</v>
      </c>
      <c r="G216" s="14">
        <f t="shared" si="19"/>
        <v>19</v>
      </c>
      <c r="H216" s="15">
        <v>0</v>
      </c>
      <c r="I216" s="23">
        <v>250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43" t="s">
        <v>224</v>
      </c>
      <c r="N217" s="144"/>
      <c r="Z217" s="29"/>
    </row>
    <row r="218" spans="1:26" ht="25.5" customHeight="1">
      <c r="A218" s="1"/>
      <c r="C218" s="25"/>
      <c r="D218" s="26"/>
      <c r="E218" s="25"/>
      <c r="F218" s="26"/>
      <c r="G218" s="25"/>
      <c r="H218" s="145" t="s">
        <v>223</v>
      </c>
      <c r="I218" s="146"/>
      <c r="J218" s="30">
        <f>+X107</f>
        <v>0</v>
      </c>
      <c r="K218" s="28"/>
      <c r="L218" s="29"/>
      <c r="Z218" s="29"/>
    </row>
    <row r="219" spans="1:26" ht="25.5">
      <c r="A219" s="1"/>
      <c r="C219" s="25"/>
      <c r="E219" s="25"/>
      <c r="F219" s="26"/>
      <c r="G219" s="25"/>
      <c r="H219" s="31"/>
      <c r="I219" s="147" t="s">
        <v>213</v>
      </c>
      <c r="J219" s="147"/>
      <c r="K219" s="32">
        <f>SUM(J5:J218)</f>
        <v>1085</v>
      </c>
    </row>
    <row r="220" spans="1:26" ht="25.5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675</v>
      </c>
      <c r="L221" s="2">
        <v>200</v>
      </c>
      <c r="M221" s="2">
        <v>260</v>
      </c>
      <c r="N221" s="2">
        <v>215</v>
      </c>
      <c r="T221" s="29"/>
    </row>
    <row r="222" spans="1:26" ht="25.5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395</v>
      </c>
    </row>
    <row r="226" spans="1:11" ht="25.5">
      <c r="A226" s="1"/>
      <c r="C226" s="25"/>
      <c r="E226" s="25"/>
      <c r="F226" s="26"/>
      <c r="G226" s="25"/>
      <c r="I226" s="125" t="s">
        <v>220</v>
      </c>
      <c r="J226" s="126"/>
      <c r="K226" s="36">
        <v>395</v>
      </c>
    </row>
    <row r="227" spans="1:11" ht="25.5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>
      <c r="G229" s="2"/>
      <c r="I229" s="2"/>
    </row>
    <row r="230" spans="1:11">
      <c r="G230" s="2"/>
      <c r="I230" s="2" t="s">
        <v>266</v>
      </c>
      <c r="J230" s="2">
        <f>+K219-K224+K227</f>
        <v>1085</v>
      </c>
    </row>
    <row r="231" spans="1:11">
      <c r="G231" s="2"/>
      <c r="I231" s="2" t="s">
        <v>267</v>
      </c>
      <c r="J231" s="2">
        <f>SUM(K220:K223)</f>
        <v>690</v>
      </c>
    </row>
    <row r="232" spans="1:11">
      <c r="G232" s="2"/>
      <c r="I232" s="2" t="s">
        <v>268</v>
      </c>
      <c r="J232" s="2">
        <f>+K226</f>
        <v>395</v>
      </c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7C6C-9AA5-4CBD-9BFA-86EC85DD39EE}">
  <dimension ref="A1:Z301"/>
  <sheetViews>
    <sheetView workbookViewId="0">
      <selection activeCell="L5" sqref="L5:L215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4">
        <f>+'16'!G5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+'16'!G6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+'16'!G7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+'16'!G8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4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4">
        <f>+'16'!G12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4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4">
        <f>+'16'!G14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+'16'!G17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4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4">
        <f>+'16'!G19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4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4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4">
        <f>+'16'!G22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4">
        <f>+'16'!G23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4">
        <f>+'16'!G24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4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4">
        <f>+'16'!G26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4">
        <f>+'16'!G27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4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4">
        <f>+'16'!G29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4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4">
        <f>+'16'!G31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4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4">
        <f>+'16'!G33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4">
        <f>+'16'!G34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4">
        <f>+'16'!G35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4">
        <f>+'16'!G36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4">
        <f>+'16'!G37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4">
        <f>+'16'!G38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4">
        <f>+'16'!G39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4">
        <f>+'16'!G40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4">
        <f>+'16'!G41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4">
        <f>+'16'!G42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4">
        <f>+'16'!G43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4">
        <f>+'16'!G44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4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4">
        <f>+'16'!G46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4">
        <f>+'16'!G47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4">
        <f>+'16'!G48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4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4">
        <f>+'16'!G50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4">
        <f>+'16'!G51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4">
        <f>+'16'!G52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4">
        <f>+'16'!G53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4">
        <f>+'16'!G54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4">
        <f>+'16'!G55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4">
        <f>+'16'!G56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4">
        <f>+'16'!G57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4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4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4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4">
        <f>+'16'!G61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4">
        <f>+'16'!G62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4">
        <f>+'16'!G63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4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4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4">
        <f>+'16'!G66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4">
        <f>+'16'!G67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4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4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4">
        <f>+'16'!G70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4">
        <f>+'16'!G71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4">
        <f>+'16'!G72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4">
        <f>+'16'!G73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4">
        <f>+'16'!G74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4">
        <f>+'16'!G75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4">
        <f>+'16'!G76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4">
        <f>+'16'!G77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4">
        <f>+'16'!G78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4">
        <f>+'16'!G79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4">
        <f>+'16'!G80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4">
        <f>+'16'!G81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4">
        <f>+'16'!G82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4">
        <f>+'16'!G83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4">
        <f>+'16'!G84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4">
        <f>+'16'!G85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4">
        <f>+'16'!G86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4">
        <f>+'16'!G87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4">
        <f>+'16'!G88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4">
        <f>+'16'!G89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4">
        <f>+'16'!G90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4">
        <f>+'16'!G91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4">
        <f>+'16'!G92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4">
        <f>+'16'!G93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4">
        <f>+'16'!G94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4">
        <f>+'16'!G95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4">
        <f>+'16'!G96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4">
        <f>+'16'!G97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4">
        <f>+'16'!G98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4">
        <f>+'16'!G99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4">
        <f>+'16'!G100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4">
        <f>+'16'!G101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4">
        <f>+'16'!G102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4">
        <f>+'16'!G103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4">
        <f>+'16'!G104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4">
        <f>+'16'!G105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4">
        <f>+'16'!G106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4">
        <f>+'16'!G107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4">
        <f>+'16'!G108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4">
        <f>+'16'!G109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4">
        <f>+'16'!G110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4">
        <f>+'16'!G111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4">
        <f>+'16'!G112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4">
        <f>+'16'!G113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4">
        <f>+'16'!G114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4">
        <f>+'16'!G115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4">
        <f>+'16'!G116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4">
        <f>+'16'!G117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4">
        <f>+'16'!G118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4">
        <f>+'16'!G119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4">
        <f>+'16'!G120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4">
        <f>+'16'!G121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4">
        <f>+'16'!G122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4">
        <f>+'16'!G123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4">
        <f>+'16'!G124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4">
        <f>+'16'!G125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4">
        <f>+'16'!G126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4">
        <f>+'16'!G127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4">
        <f>+'16'!G128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4">
        <f>+'16'!G129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4">
        <f>+'16'!G130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4">
        <f>+'16'!G131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4">
        <f>+'16'!G132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4">
        <f>+'16'!G133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4">
        <f>+'16'!G134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4">
        <f>+'16'!G135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4">
        <f>+'16'!G136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4">
        <f>+'16'!G137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4">
        <f>+'16'!G138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4">
        <f>+'16'!G139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4">
        <f>+'16'!G140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4">
        <f>+'16'!G141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4">
        <f>+'16'!G142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4">
        <f>+'16'!G143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4">
        <f>+'16'!G144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4">
        <f>+'16'!G145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4">
        <f>+'16'!G146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4">
        <f>+'16'!G147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4">
        <f>+'16'!G148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4">
        <f>+'16'!G149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4">
        <f>+'16'!G150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4">
        <f>+'16'!G151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4">
        <f>+'16'!G152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4">
        <f>+'16'!G153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4">
        <f>+'16'!G154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4">
        <f>+'16'!G155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4">
        <f>+'16'!G156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4">
        <f>+'16'!G157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4">
        <f>+'16'!G158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4">
        <f>+'16'!G159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4">
        <f>+'16'!G160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4">
        <f>+'16'!G161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4">
        <f>+'16'!G162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4">
        <f>+'16'!G163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4">
        <f>+'16'!G164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4">
        <f>+'16'!G165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4">
        <f>+'16'!G166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4">
        <f>+'16'!G167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4">
        <f>+'16'!G168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4">
        <f>+'16'!G169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4">
        <f>+'16'!G170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4">
        <f>+'16'!G171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4">
        <f>+'16'!G172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4">
        <f>+'16'!G173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4">
        <f>+'16'!G174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4">
        <f>+'16'!G175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4">
        <f>+'16'!G176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4">
        <f>+'16'!G177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4">
        <f>+'16'!G178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4">
        <f>+'16'!G179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4">
        <f>+'16'!G180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4">
        <f>+'16'!G181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4">
        <f>+'16'!G182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4">
        <f>+'16'!G183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4">
        <f>+'16'!G184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4">
        <f>+'16'!G185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4">
        <f>+'16'!G186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4">
        <f>+'16'!G187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4">
        <f>+'16'!G188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4">
        <f>+'16'!G189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4">
        <f>+'16'!G190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4">
        <f>+'16'!G191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4">
        <f>+'16'!G192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4">
        <f>+'16'!G193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4">
        <f>+'16'!G194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4">
        <f>+'16'!G195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4">
        <f>+'16'!G196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4">
        <f>+'16'!G197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4">
        <f>+'16'!G198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4">
        <f>+'16'!G199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4">
        <f>+'16'!G200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4">
        <f>+'16'!G201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4">
        <f>+'16'!G202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4">
        <f>+'16'!G203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4">
        <f>+'16'!G204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4">
        <f>+'16'!G205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4">
        <f>+'16'!G206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4">
        <f>+'16'!G207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4">
        <f>+'16'!G208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4">
        <f>+'16'!G209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4">
        <f>+'16'!G210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4">
        <f>+'16'!G211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4">
        <f>+'16'!G212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4">
        <f>+'16'!G213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+'16'!G214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honeticPr fontId="1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41AE-5DF0-45C4-B268-2F2AF8849C84}">
  <dimension ref="A1:Z301"/>
  <sheetViews>
    <sheetView topLeftCell="A214" workbookViewId="0">
      <selection activeCell="L5" sqref="L5:L215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+'17'!G5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+'17'!G6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+'17'!G12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+'17'!G14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+'17'!G19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+'17'!G23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+'17'!G26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+'17'!G29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+'17'!G33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+'17'!G37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+'17'!G38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+'17'!G39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+'17'!G40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+'17'!G41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+'17'!G46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+'17'!G47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+'17'!G50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+'17'!G51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+'17'!G62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+'17'!G66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+'17'!G70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+'17'!G71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+'17'!G77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+'17'!G79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+'17'!G81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+'17'!G85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+'17'!G86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+'17'!G87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+'17'!G88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+'17'!G92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+'17'!G93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+'17'!G94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+'17'!G95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+'17'!G96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+'17'!G97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+'17'!G98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+'17'!G99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+'17'!G100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+'17'!G101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+'17'!G102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+'17'!G103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+'17'!G106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+'17'!G107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+'17'!G108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+'17'!G109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+'17'!G110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+'17'!G111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+'17'!G112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+'17'!G113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+'17'!G114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+'17'!G115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+'17'!G116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+'17'!G117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+'17'!G118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+'17'!G119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+'17'!G120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+'17'!G121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+'17'!G122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+'17'!G123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+'17'!G124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+'17'!G125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+'17'!G126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+'17'!G127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+'17'!G128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+'17'!G129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+'17'!G130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+'17'!G131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+'17'!G132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+'17'!G133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+'17'!G134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+'17'!G135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+'17'!G136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+'17'!G137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+'17'!G138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+'17'!G139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+'17'!G140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+'17'!G141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+'17'!G142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+'17'!G143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+'17'!G144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+'17'!G145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+'17'!G146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+'17'!G147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+'17'!G148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+'17'!G149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+'17'!G150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+'17'!G151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+'17'!G152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+'17'!G153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+'17'!G154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+'17'!G155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+'17'!G156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+'17'!G157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+'17'!G158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+'17'!G159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+'17'!G160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+'17'!G161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+'17'!G162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+'17'!G163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+'17'!G164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+'17'!G165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+'17'!G166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+'17'!G167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+'17'!G168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+'17'!G169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+'17'!G170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+'17'!G171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+'17'!G172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+'17'!G173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+'17'!G174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+'17'!G175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+'17'!G176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+'17'!G177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+'17'!G178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+'17'!G179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+'17'!G180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+'17'!G181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+'17'!G182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+'17'!G183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+'17'!G184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+'17'!G185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+'17'!G186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+'17'!G187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+'17'!G188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+'17'!G189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+'17'!G190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+'17'!G191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+'17'!G192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+'17'!G193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+'17'!G194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+'17'!G195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+'17'!G196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+'17'!G197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+'17'!G198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+'17'!G199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+'17'!G200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+'17'!G201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+'17'!G202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+'17'!G203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+'17'!G204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+'17'!G205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+'17'!G206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+'17'!G207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+'17'!G208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+'17'!G209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+'17'!G210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+'17'!G211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+'17'!G212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+'17'!G213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+'17'!G214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CB0F-CCD8-4DC7-BC83-72E930573C03}">
  <dimension ref="A1:Z301"/>
  <sheetViews>
    <sheetView topLeftCell="A220" workbookViewId="0">
      <selection activeCell="K7" sqref="K7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+'18'!G5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+'18'!G6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+'18'!G12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+'18'!G14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+'18'!G19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+'18'!G23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+'18'!G26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+'18'!G27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+'18'!G29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+'18'!G33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+'18'!G34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+'18'!G37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+'18'!G38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+'18'!G39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+'18'!G40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+'18'!G41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+'18'!G46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+'18'!G47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+'18'!G50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+'18'!G51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+'18'!G53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+'18'!G62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+'18'!G66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+'18'!G70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+'18'!G71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+'18'!G77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+'18'!G79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+'18'!G81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+'18'!G85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+'18'!G86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+'18'!G87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+'18'!G88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+'18'!G92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+'18'!G93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+'18'!G94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+'18'!G95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+'18'!G96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+'18'!G97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+'18'!G98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+'18'!G99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+'18'!G100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+'18'!G101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+'18'!G102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+'18'!G103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+'18'!G106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+'18'!G107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+'18'!G108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+'18'!G109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+'18'!G110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+'18'!G111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+'18'!G112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+'18'!G113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+'18'!G114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+'18'!G115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+'18'!G116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+'18'!G117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+'18'!G118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+'18'!G119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+'18'!G120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+'18'!G121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+'18'!G122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+'18'!G123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+'18'!G124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+'18'!G125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+'18'!G126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+'18'!G127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+'18'!G128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+'18'!G129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+'18'!G130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+'18'!G131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+'18'!G132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+'18'!G133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+'18'!G134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+'18'!G135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+'18'!G136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+'18'!G137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+'18'!G138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+'18'!G139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+'18'!G140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+'18'!G141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+'18'!G142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+'18'!G143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+'18'!G144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+'18'!G145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+'18'!G146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+'18'!G147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+'18'!G148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+'18'!G149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+'18'!G150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+'18'!G151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+'18'!G152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+'18'!G153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+'18'!G154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+'18'!G155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+'18'!G156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+'18'!G157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+'18'!G158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+'18'!G159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+'18'!G160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+'18'!G161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+'18'!G162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+'18'!G163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+'18'!G164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+'18'!G165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+'18'!G166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+'18'!G167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+'18'!G168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+'18'!G169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+'18'!G170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+'18'!G171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+'18'!G172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+'18'!G173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+'18'!G174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+'18'!G175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+'18'!G176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+'18'!G177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+'18'!G178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+'18'!G179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+'18'!G180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+'18'!G181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+'18'!G182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+'18'!G183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+'18'!G184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+'18'!G185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+'18'!G186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+'18'!G187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+'18'!G188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+'18'!G189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+'18'!G190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+'18'!G191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+'18'!G192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+'18'!G193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+'18'!G194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+'18'!G195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+'18'!G196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+'18'!G197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+'18'!G198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+'18'!G199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+'18'!G200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+'18'!G201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+'18'!G202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+'18'!G203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+'18'!G204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+'18'!G205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+'18'!G206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+'18'!G207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+'18'!G208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+'18'!G209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+'18'!G210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+'18'!G211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+'18'!G212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+'18'!G213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+'18'!G214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1F44-98E4-4E93-BBE1-F6287D715C14}">
  <dimension ref="A1:Z301"/>
  <sheetViews>
    <sheetView topLeftCell="A211" workbookViewId="0">
      <selection activeCell="K9" sqref="K9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+'19'!G5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+'19'!G6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+'19'!G12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+'19'!G14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+'19'!G19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+'19'!G23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+'19'!G26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+'19'!G29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+'19'!G33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+'19'!G34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+'19'!G37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+'19'!G38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+'19'!G39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+'19'!G40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+'19'!G41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+'19'!G46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+'19'!G47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+'19'!G51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+'19'!G62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+'19'!G66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+'19'!G70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+'19'!G71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+'19'!G77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+'19'!G79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+'19'!G81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+'19'!G85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+'19'!G86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+'19'!G87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+'19'!G88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+'19'!G92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+'19'!G93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+'19'!G94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+'19'!G95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+'19'!G96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+'19'!G97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+'19'!G98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+'19'!G99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+'19'!G100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+'19'!G101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+'19'!G102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+'19'!G103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+'19'!G106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+'19'!G107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+'19'!G108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+'19'!G109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+'19'!G110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+'19'!G111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+'19'!G112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+'19'!G113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+'19'!G114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+'19'!G115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+'19'!G116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+'19'!G117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+'19'!G118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+'19'!G119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+'19'!G120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+'19'!G121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+'19'!G122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+'19'!G123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+'19'!G124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+'19'!G125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+'19'!G126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+'19'!G127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+'19'!G128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+'19'!G129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+'19'!G130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+'19'!G131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+'19'!G132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+'19'!G133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+'19'!G134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+'19'!G135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+'19'!G136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+'19'!G137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+'19'!G138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+'19'!G139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+'19'!G140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+'19'!G141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+'19'!G142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+'19'!G143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+'19'!G144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+'19'!G145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+'19'!G146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+'19'!G147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+'19'!G148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+'19'!G149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+'19'!G150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+'19'!G151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+'19'!G152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+'19'!G153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+'19'!G154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+'19'!G155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+'19'!G156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+'19'!G157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+'19'!G158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+'19'!G159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+'19'!G160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+'19'!G161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+'19'!G162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+'19'!G163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+'19'!G164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+'19'!G165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+'19'!G166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+'19'!G167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+'19'!G168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+'19'!G169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+'19'!G170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+'19'!G171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+'19'!G172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+'19'!G173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+'19'!G174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+'19'!G175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+'19'!G176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+'19'!G177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+'19'!G178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+'19'!G179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+'19'!G180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+'19'!G181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+'19'!G182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+'19'!G183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+'19'!G184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+'19'!G185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+'19'!G186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+'19'!G187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+'19'!G188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+'19'!G189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+'19'!G190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+'19'!G191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+'19'!G192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+'19'!G193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+'19'!G194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+'19'!G195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+'19'!G196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+'19'!G197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+'19'!G198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+'19'!G199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+'19'!G200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+'19'!G201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+'19'!G202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+'19'!G203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+'19'!G204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+'19'!G205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+'19'!G206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+'19'!G207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+'19'!G208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+'19'!G209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+'19'!G210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+'19'!G211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+'19'!G212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+'19'!G213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+'19'!G214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B441-9937-48FA-B663-2754B46A438B}">
  <dimension ref="A1:Z301"/>
  <sheetViews>
    <sheetView topLeftCell="A211" workbookViewId="0">
      <selection activeCell="K7" sqref="K7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+'20'!G5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+'20'!G6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+'20'!G12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+'20'!G19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+'20'!G23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+'20'!G26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+'20'!G33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+'20'!G37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+'20'!G38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+'20'!G39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+'20'!G40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+'20'!G41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+'20'!G46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+'20'!G47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+'20'!G50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+'20'!G62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+'20'!G66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+'20'!G70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+'20'!G71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+'20'!G79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+'20'!G81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+'20'!G85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+'20'!G86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+'20'!G87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+'20'!G88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+'20'!G94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+'20'!G106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+'20'!G121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+'20'!G150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+'20'!G152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+'20'!G168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+'20'!G176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+'20'!G188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+'20'!G198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+'20'!G213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+'20'!G214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C74A-39B0-4DA1-8976-2F3E62130F8F}">
  <dimension ref="A1:Z301"/>
  <sheetViews>
    <sheetView topLeftCell="A211" workbookViewId="0">
      <selection activeCell="K10" sqref="K1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+'21'!G5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+'21'!G6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+'21'!G12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+'21'!G14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+'21'!G19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+'21'!G23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+'21'!G26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+'21'!G31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+'21'!G33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+'21'!G34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+'21'!G37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+'21'!G38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+'21'!G39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+'21'!G40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+'21'!G41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+'21'!G46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+'21'!G47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+'21'!G50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+'21'!G53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+'21'!G62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+'21'!G66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+'21'!G70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+'21'!G71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+'21'!G77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+'21'!G79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+'21'!G81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+'21'!G85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+'21'!G86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+'21'!G87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+'21'!G88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+'21'!G94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+'21'!G106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+'21'!G121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+'21'!G145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+'21'!G150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+'21'!G152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+'21'!G167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+'21'!G168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+'21'!G170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+'21'!G176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+'21'!G188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+'21'!G198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+'21'!G211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+'21'!G213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+'21'!G214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10A5-C573-41BD-9BF0-76C6640A6D28}">
  <dimension ref="A1:Z301"/>
  <sheetViews>
    <sheetView topLeftCell="A214" workbookViewId="0">
      <selection activeCell="L5" sqref="L5:L215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+'22'!G5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+'22'!G6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+'22'!G12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+'22'!G14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+'22'!G19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+'22'!G23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+'22'!G26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+'22'!G29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+'22'!G33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+'22'!G37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+'22'!G38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+'22'!G39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+'22'!G40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+'22'!G41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+'22'!G46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+'22'!G47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+'22'!G50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+'22'!G53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+'22'!G62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+'22'!G66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+'22'!G70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+'22'!G71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+'22'!G77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+'22'!G81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+'22'!G85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+'22'!G86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+'22'!G87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+'22'!G88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+'22'!G94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+'22'!G106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+'22'!G121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+'22'!G145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+'22'!G150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+'22'!G152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+'22'!G167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+'22'!G168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+'22'!G170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+'22'!G176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+'22'!G178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+'22'!G188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+'22'!G198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+'22'!G211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+'22'!G213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+'22'!G214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C83E-353B-4282-A07A-36E527AD8FBB}">
  <dimension ref="A1:Z301"/>
  <sheetViews>
    <sheetView workbookViewId="0">
      <selection activeCell="L5" sqref="L5:L215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+'23'!G5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+'23'!G6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+'23'!G12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+'23'!G19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+'23'!G23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+'23'!G26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+'23'!G33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+'23'!G37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+'23'!G38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+'23'!G39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+'23'!G40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+'23'!G41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+'23'!G44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+'23'!G46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+'23'!G47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+'23'!G50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+'23'!G51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+'23'!G66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+'23'!G70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+'23'!G71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+'23'!G77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+'23'!G81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+'23'!G85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+'23'!G86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+'23'!G87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+'23'!G88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+'23'!G94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+'23'!G106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+'23'!G121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+'23'!G145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+'23'!G150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+'23'!G152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+'23'!G167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+'23'!G168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+'23'!G170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+'23'!G176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+'23'!G178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+'23'!G188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+'23'!G198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+'23'!G211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+'23'!G213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+'23'!G214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BA27-49EE-4976-B815-8A3A3B78EF43}">
  <dimension ref="A1:Z301"/>
  <sheetViews>
    <sheetView topLeftCell="A211" workbookViewId="0">
      <selection activeCell="K8" sqref="K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+'24'!G5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+'24'!G6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+'24'!G12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+'24'!G19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+'24'!G23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+'24'!G24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+'24'!G26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+'24'!G33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+'24'!G34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+'24'!G37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+'24'!G38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+'24'!G39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+'24'!G40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+'24'!G41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+'24'!G44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+'24'!G46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+'24'!G47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+'24'!G51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+'24'!G66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+'24'!G70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+'24'!G71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+'24'!G77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+'24'!G79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+'24'!G81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+'24'!G85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+'24'!G86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+'24'!G87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+'24'!G88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+'24'!G94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+'24'!G106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+'24'!G121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+'24'!G145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+'24'!G150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+'24'!G151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+'24'!G152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+'24'!G167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+'24'!G168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+'24'!G170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+'24'!G176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+'24'!G178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+'24'!G188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+'24'!G198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+'24'!G213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+'24'!G214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49-8E2B-4A10-85CB-40DD6ABCDD75}">
  <dimension ref="A1:Z301"/>
  <sheetViews>
    <sheetView topLeftCell="A220" workbookViewId="0">
      <selection activeCell="K225" sqref="K225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+'25'!G5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+'25'!G6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+'25'!G12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+'25'!G19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+'25'!G23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+'25'!G26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+'25'!G33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+'25'!G37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+'25'!G38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+'25'!G39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+'25'!G40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+'25'!G41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+'25'!G44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+'25'!G46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+'25'!G47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+'25'!G51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+'25'!G62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+'25'!G66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+'25'!G70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+'25'!G71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+'25'!G77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+'25'!G79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+'25'!G81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+'25'!G85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+'25'!G86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+'25'!G87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+'25'!G88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+'25'!G94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+'25'!G106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+'25'!G121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+'25'!G145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+'25'!G150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+'25'!G151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+'25'!G152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+'25'!G167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+'25'!G168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+'25'!G170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+'25'!G176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+'25'!G178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+'25'!G188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+'25'!G198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+'25'!G211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+'25'!G213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+'25'!G214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E130-1CBE-4091-B9C0-506B059C6CE8}">
  <dimension ref="A1:Z301"/>
  <sheetViews>
    <sheetView topLeftCell="A211" workbookViewId="0">
      <selection activeCell="K7" sqref="K7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+'26'!G5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+'26'!G6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+'26'!G12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+'26'!G19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+'26'!G23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+'26'!G26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+'26'!G33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+'26'!G37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+'26'!G38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+'26'!G39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+'26'!G40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+'26'!G41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+'26'!G46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+'26'!G47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+'26'!G50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+'26'!G51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+'26'!G62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+'26'!G66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+'26'!G70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+'26'!G71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+'26'!G77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+'26'!G79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+'26'!G81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+'26'!G85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+'26'!G86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+'26'!G87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+'26'!G88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+'26'!G94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+'26'!G106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+'26'!G121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+'26'!G145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+'26'!G150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+'26'!G151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+'26'!G152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+'26'!G167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+'26'!G168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+'26'!G170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+'26'!G176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+'26'!G188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+'26'!G198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+'26'!G213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+'26'!G214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0E78-815D-4376-8D06-E135729F3A0F}">
  <dimension ref="A1:Z301"/>
  <sheetViews>
    <sheetView topLeftCell="A214" workbookViewId="0">
      <selection activeCell="K8" sqref="K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+'27'!G5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+'27'!G6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+'27'!G12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+'27'!G14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+'27'!G19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+'27'!G23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+'27'!G26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+'27'!G29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+'27'!G33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+'27'!G37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+'27'!G38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+'27'!G39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+'27'!G40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+'27'!G41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+'27'!G46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+'27'!G47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+'27'!G50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+'27'!G51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+'27'!G62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+'27'!G66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+'27'!G70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+'27'!G71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+'27'!G77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+'27'!G79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+'27'!G81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+'27'!G85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+'27'!G86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+'27'!G87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+'27'!G88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+'27'!G94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+'27'!G106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+'27'!G121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+'27'!G145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+'27'!G150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+'27'!G151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+'27'!G152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+'27'!G167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+'27'!G168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+'27'!G170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+'27'!G176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+'27'!G188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+'27'!G198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+'27'!G211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+'27'!G213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+'27'!G214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C530-55A2-4BEE-9E25-C8D83EF6207A}">
  <dimension ref="A1:Z301"/>
  <sheetViews>
    <sheetView topLeftCell="A211" workbookViewId="0">
      <selection activeCell="K9" sqref="K9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+'28'!G5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+'28'!G6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+'28'!G12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+'28'!G14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+'28'!G19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+'28'!G23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+'28'!G26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+'28'!G27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+'28'!G29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+'28'!G33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+'28'!G34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+'28'!G37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+'28'!G38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+'28'!G39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+'28'!G40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+'28'!G41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+'28'!G46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+'28'!G47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+'28'!G50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+'28'!G51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+'28'!G53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+'28'!G62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+'28'!G66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+'28'!G70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+'28'!G71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+'28'!G77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+'28'!G79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+'28'!G81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+'28'!G85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+'28'!G86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+'28'!G87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+'28'!G88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+'28'!G94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+'28'!G106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+'28'!G121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+'28'!G145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+'28'!G150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+'28'!G152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+'28'!G167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+'28'!G168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+'28'!G170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+'28'!G176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+'28'!G188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+'28'!G198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+'28'!G213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+'28'!G214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5435-04B4-4B0A-920A-D01C286B17A9}">
  <dimension ref="A1:Z301"/>
  <sheetViews>
    <sheetView topLeftCell="A214" workbookViewId="0">
      <selection activeCell="L5" sqref="L5:L215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+'29'!G5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+'29'!G6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+'29'!G12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+'29'!G14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+'29'!G19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+'29'!G23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+'29'!G26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+'29'!G29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+'29'!G33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+'29'!G34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+'29'!G37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+'29'!G38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+'29'!G39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+'29'!G40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+'29'!G41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+'29'!G46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+'29'!G47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+'29'!G51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+'29'!G62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+'29'!G66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+'29'!G70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+'29'!G71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+'29'!G77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+'29'!G79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+'29'!G81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+'29'!G85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+'29'!G86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+'29'!G87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+'29'!G88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+'29'!G92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+'29'!G93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+'29'!G94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+'29'!G95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+'29'!G96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+'29'!G97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+'29'!G98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+'29'!G99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+'29'!G100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+'29'!G101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+'29'!G102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+'29'!G103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+'29'!G106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+'29'!G107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+'29'!G108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+'29'!G109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+'29'!G110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+'29'!G111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+'29'!G112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+'29'!G113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+'29'!G114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+'29'!G115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+'29'!G116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+'29'!G117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+'29'!G118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+'29'!G119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+'29'!G120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+'29'!G121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+'29'!G122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+'29'!G123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+'29'!G124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+'29'!G125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+'29'!G126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+'29'!G127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+'29'!G128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+'29'!G129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+'29'!G130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+'29'!G131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+'29'!G132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+'29'!G133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+'29'!G134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+'29'!G135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+'29'!G136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+'29'!G137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+'29'!G138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+'29'!G139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+'29'!G140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+'29'!G141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+'29'!G142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+'29'!G143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+'29'!G144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+'29'!G145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+'29'!G146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+'29'!G147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+'29'!G148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+'29'!G149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+'29'!G150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+'29'!G151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+'29'!G152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+'29'!G153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+'29'!G154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+'29'!G155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+'29'!G156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+'29'!G157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+'29'!G158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+'29'!G159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+'29'!G160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+'29'!G161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+'29'!G162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+'29'!G163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+'29'!G164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+'29'!G165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+'29'!G166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+'29'!G167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+'29'!G168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+'29'!G169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+'29'!G170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+'29'!G171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+'29'!G172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+'29'!G173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+'29'!G174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+'29'!G175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+'29'!G176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+'29'!G177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+'29'!G178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+'29'!G179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+'29'!G180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+'29'!G181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+'29'!G182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+'29'!G183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+'29'!G184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+'29'!G185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+'29'!G186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+'29'!G187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+'29'!G188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+'29'!G189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+'29'!G190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+'29'!G191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+'29'!G192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+'29'!G193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+'29'!G194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+'29'!G195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+'29'!G196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+'29'!G197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+'29'!G198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+'29'!G199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+'29'!G200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+'29'!G201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+'29'!G202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+'29'!G203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+'29'!G204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+'29'!G205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+'29'!G206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+'29'!G207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+'29'!G208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+'29'!G209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+'29'!G210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+'29'!G211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+'29'!G212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+'29'!G213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+'29'!G214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86" t="s">
        <v>266</v>
      </c>
      <c r="J228" s="24">
        <f>+K217-K222+K225</f>
        <v>0</v>
      </c>
    </row>
    <row r="229" spans="1:11">
      <c r="G229" s="2"/>
      <c r="I229" s="2" t="s">
        <v>267</v>
      </c>
      <c r="J229" s="24">
        <f>SUM(K218:K221)</f>
        <v>0</v>
      </c>
    </row>
    <row r="230" spans="1:11">
      <c r="G230" s="2"/>
      <c r="I230" s="2" t="s">
        <v>268</v>
      </c>
      <c r="J230" s="24">
        <f>+K224</f>
        <v>0</v>
      </c>
    </row>
    <row r="231" spans="1:11">
      <c r="G231" s="2"/>
      <c r="I231" s="2"/>
      <c r="J231" s="24">
        <f>+J228-J229-J230</f>
        <v>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2B30-BFC3-49AC-9D58-0FB43CDB9EA2}">
  <dimension ref="A1:Z301"/>
  <sheetViews>
    <sheetView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7" t="s">
        <v>263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O2" s="128" t="s">
        <v>0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6" s="5" customFormat="1" ht="26.25">
      <c r="A3" s="129" t="s">
        <v>1</v>
      </c>
      <c r="B3" s="129" t="s">
        <v>2</v>
      </c>
      <c r="C3" s="130" t="s">
        <v>3</v>
      </c>
      <c r="D3" s="130" t="s">
        <v>4</v>
      </c>
      <c r="E3" s="130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39" t="s">
        <v>10</v>
      </c>
      <c r="O3" s="129" t="s">
        <v>1</v>
      </c>
      <c r="P3" s="129" t="s">
        <v>2</v>
      </c>
      <c r="Q3" s="130" t="s">
        <v>3</v>
      </c>
      <c r="R3" s="130" t="s">
        <v>4</v>
      </c>
      <c r="S3" s="130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39" t="s">
        <v>10</v>
      </c>
    </row>
    <row r="4" spans="1:26" s="5" customFormat="1" ht="27" thickBot="1">
      <c r="A4" s="129"/>
      <c r="B4" s="129"/>
      <c r="C4" s="131"/>
      <c r="D4" s="131"/>
      <c r="E4" s="131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39"/>
      <c r="O4" s="129"/>
      <c r="P4" s="129"/>
      <c r="Q4" s="131"/>
      <c r="R4" s="131"/>
      <c r="S4" s="131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39"/>
    </row>
    <row r="5" spans="1:26" ht="25.5">
      <c r="A5" s="10">
        <v>1</v>
      </c>
      <c r="B5" s="11" t="s">
        <v>15</v>
      </c>
      <c r="C5" s="12">
        <f>+'30'!G5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+'30'!G6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+'30'!G12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+'30'!G14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252</v>
      </c>
      <c r="C19" s="12">
        <f>+'30'!G19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+'30'!G23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+'30'!G24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+'30'!G26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+'30'!G27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+'30'!G29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+'30'!G31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+'30'!G33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+'30'!G34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+'30'!G37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+'30'!G38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+'30'!G39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+'30'!G40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+'30'!G41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+'30'!G42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+'30'!G44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+'30'!G46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+'30'!G47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+'30'!G48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+'30'!G50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+'30'!G51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+'30'!G53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+'30'!G62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+'30'!G66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+'30'!G67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+'30'!G70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+'30'!G71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+'30'!G72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+'30'!G73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+'30'!G74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+'30'!G75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+'30'!G76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+'30'!G77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+'30'!G78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+'30'!G79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+'30'!G80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+'30'!G81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+'30'!G82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+'30'!G83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+'30'!G84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+'30'!G85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+'30'!G86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+'30'!G87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+'30'!G88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+'30'!G89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+'30'!G90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+'30'!G91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102</v>
      </c>
      <c r="C92" s="12">
        <f>+'30'!G92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103</v>
      </c>
      <c r="C93" s="12">
        <f>+'30'!G93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104</v>
      </c>
      <c r="C94" s="12">
        <f>+'30'!G94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105</v>
      </c>
      <c r="C95" s="12">
        <f>+'30'!G95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106</v>
      </c>
      <c r="C96" s="12">
        <f>+'30'!G96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107</v>
      </c>
      <c r="C97" s="12">
        <f>+'30'!G97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108</v>
      </c>
      <c r="C98" s="12">
        <f>+'30'!G98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109</v>
      </c>
      <c r="C99" s="12">
        <f>+'30'!G99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110</v>
      </c>
      <c r="C100" s="12">
        <f>+'30'!G100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111</v>
      </c>
      <c r="C101" s="12">
        <f>+'30'!G101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112</v>
      </c>
      <c r="C102" s="12">
        <f>+'30'!G102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113</v>
      </c>
      <c r="C103" s="12">
        <f>+'30'!G103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114</v>
      </c>
      <c r="C104" s="12">
        <f>+'30'!G104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+'30'!G105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116</v>
      </c>
      <c r="C106" s="12">
        <f>+'30'!G106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117</v>
      </c>
      <c r="C107" s="12">
        <f>+'30'!G107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>
      <c r="A108" s="10">
        <v>104</v>
      </c>
      <c r="B108" s="20" t="s">
        <v>119</v>
      </c>
      <c r="C108" s="12">
        <f>+'30'!G108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120</v>
      </c>
      <c r="C109" s="12">
        <f>+'30'!G109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121</v>
      </c>
      <c r="C110" s="12">
        <f>+'30'!G110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122</v>
      </c>
      <c r="C111" s="12">
        <f>+'30'!G111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123</v>
      </c>
      <c r="C112" s="12">
        <f>+'30'!G112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124</v>
      </c>
      <c r="C113" s="12">
        <f>+'30'!G113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125</v>
      </c>
      <c r="C114" s="12">
        <f>+'30'!G114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126</v>
      </c>
      <c r="C115" s="12">
        <f>+'30'!G115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127</v>
      </c>
      <c r="C116" s="12">
        <f>+'30'!G116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128</v>
      </c>
      <c r="C117" s="12">
        <f>+'30'!G117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129</v>
      </c>
      <c r="C118" s="12">
        <f>+'30'!G118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130</v>
      </c>
      <c r="C119" s="12">
        <f>+'30'!G119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131</v>
      </c>
      <c r="C120" s="12">
        <f>+'30'!G120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132</v>
      </c>
      <c r="C121" s="12">
        <f>+'30'!G121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133</v>
      </c>
      <c r="C122" s="12">
        <f>+'30'!G122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134</v>
      </c>
      <c r="C123" s="12">
        <f>+'30'!G123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135</v>
      </c>
      <c r="C124" s="12">
        <f>+'30'!G124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136</v>
      </c>
      <c r="C125" s="12">
        <f>+'30'!G125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137</v>
      </c>
      <c r="C126" s="12">
        <f>+'30'!G126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138</v>
      </c>
      <c r="C127" s="12">
        <f>+'30'!G127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139</v>
      </c>
      <c r="C128" s="12">
        <f>+'30'!G128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140</v>
      </c>
      <c r="C129" s="12">
        <f>+'30'!G129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141</v>
      </c>
      <c r="C130" s="12">
        <f>+'30'!G130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142</v>
      </c>
      <c r="C131" s="12">
        <f>+'30'!G131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143</v>
      </c>
      <c r="C132" s="12">
        <f>+'30'!G132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144</v>
      </c>
      <c r="C133" s="12">
        <f>+'30'!G133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145</v>
      </c>
      <c r="C134" s="12">
        <f>+'30'!G134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146</v>
      </c>
      <c r="C135" s="12">
        <f>+'30'!G135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147</v>
      </c>
      <c r="C136" s="12">
        <f>+'30'!G136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148</v>
      </c>
      <c r="C137" s="12">
        <f>+'30'!G137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149</v>
      </c>
      <c r="C138" s="12">
        <f>+'30'!G138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150</v>
      </c>
      <c r="C139" s="12">
        <f>+'30'!G139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151</v>
      </c>
      <c r="C140" s="12">
        <f>+'30'!G140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152</v>
      </c>
      <c r="C141" s="12">
        <f>+'30'!G141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153</v>
      </c>
      <c r="C142" s="12">
        <f>+'30'!G142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154</v>
      </c>
      <c r="C143" s="12">
        <f>+'30'!G143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155</v>
      </c>
      <c r="C144" s="12">
        <f>+'30'!G144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156</v>
      </c>
      <c r="C145" s="12">
        <f>+'30'!G145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157</v>
      </c>
      <c r="C146" s="12">
        <f>+'30'!G146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158</v>
      </c>
      <c r="C147" s="12">
        <f>+'30'!G147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159</v>
      </c>
      <c r="C148" s="12">
        <f>+'30'!G148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160</v>
      </c>
      <c r="C149" s="12">
        <f>+'30'!G149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161</v>
      </c>
      <c r="C150" s="12">
        <f>+'30'!G150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162</v>
      </c>
      <c r="C151" s="12">
        <f>+'30'!G151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163</v>
      </c>
      <c r="C152" s="12">
        <f>+'30'!G152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164</v>
      </c>
      <c r="C153" s="12">
        <f>+'30'!G153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165</v>
      </c>
      <c r="C154" s="12">
        <f>+'30'!G154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166</v>
      </c>
      <c r="C155" s="12">
        <f>+'30'!G155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167</v>
      </c>
      <c r="C156" s="12">
        <f>+'30'!G156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168</v>
      </c>
      <c r="C157" s="12">
        <f>+'30'!G157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169</v>
      </c>
      <c r="C158" s="12">
        <f>+'30'!G158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170</v>
      </c>
      <c r="C159" s="12">
        <f>+'30'!G159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171</v>
      </c>
      <c r="C160" s="12">
        <f>+'30'!G160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172</v>
      </c>
      <c r="C161" s="12">
        <f>+'30'!G161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173</v>
      </c>
      <c r="C162" s="12">
        <f>+'30'!G162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174</v>
      </c>
      <c r="C163" s="12">
        <f>+'30'!G163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175</v>
      </c>
      <c r="C164" s="12">
        <f>+'30'!G164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176</v>
      </c>
      <c r="C165" s="12">
        <f>+'30'!G165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177</v>
      </c>
      <c r="C166" s="12">
        <f>+'30'!G166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178</v>
      </c>
      <c r="C167" s="12">
        <f>+'30'!G167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179</v>
      </c>
      <c r="C168" s="12">
        <f>+'30'!G168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180</v>
      </c>
      <c r="C169" s="12">
        <f>+'30'!G169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181</v>
      </c>
      <c r="C170" s="12">
        <f>+'30'!G170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182</v>
      </c>
      <c r="C171" s="12">
        <f>+'30'!G171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183</v>
      </c>
      <c r="C172" s="12">
        <f>+'30'!G172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184</v>
      </c>
      <c r="C173" s="12">
        <f>+'30'!G173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185</v>
      </c>
      <c r="C174" s="12">
        <f>+'30'!G174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186</v>
      </c>
      <c r="C175" s="12">
        <f>+'30'!G175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187</v>
      </c>
      <c r="C176" s="12">
        <f>+'30'!G176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188</v>
      </c>
      <c r="C177" s="12">
        <f>+'30'!G177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189</v>
      </c>
      <c r="C178" s="12">
        <f>+'30'!G178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190</v>
      </c>
      <c r="C179" s="12">
        <f>+'30'!G179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191</v>
      </c>
      <c r="C180" s="12">
        <f>+'30'!G180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192</v>
      </c>
      <c r="C181" s="12">
        <f>+'30'!G181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193</v>
      </c>
      <c r="C182" s="12">
        <f>+'30'!G182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194</v>
      </c>
      <c r="C183" s="12">
        <f>+'30'!G183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195</v>
      </c>
      <c r="C184" s="12">
        <f>+'30'!G184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196</v>
      </c>
      <c r="C185" s="12">
        <f>+'30'!G185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197</v>
      </c>
      <c r="C186" s="12">
        <f>+'30'!G186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198</v>
      </c>
      <c r="C187" s="12">
        <f>+'30'!G187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199</v>
      </c>
      <c r="C188" s="12">
        <f>+'30'!G188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200</v>
      </c>
      <c r="C189" s="12">
        <f>+'30'!G189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201</v>
      </c>
      <c r="C190" s="12">
        <f>+'30'!G190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202</v>
      </c>
      <c r="C191" s="12">
        <f>+'30'!G191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203</v>
      </c>
      <c r="C192" s="12">
        <f>+'30'!G192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204</v>
      </c>
      <c r="C193" s="12">
        <f>+'30'!G193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205</v>
      </c>
      <c r="C194" s="12">
        <f>+'30'!G194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206</v>
      </c>
      <c r="C195" s="12">
        <f>+'30'!G195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207</v>
      </c>
      <c r="C196" s="12">
        <f>+'30'!G196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208</v>
      </c>
      <c r="C197" s="12">
        <f>+'30'!G197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209</v>
      </c>
      <c r="C198" s="12">
        <f>+'30'!G198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210</v>
      </c>
      <c r="C199" s="12">
        <f>+'30'!G199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211</v>
      </c>
      <c r="C200" s="12">
        <f>+'30'!G200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212</v>
      </c>
      <c r="C201" s="12">
        <f>+'30'!G201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225</v>
      </c>
      <c r="C202" s="12">
        <f>+'30'!G202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253</v>
      </c>
      <c r="C203" s="12">
        <f>+'30'!G203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254</v>
      </c>
      <c r="C204" s="12">
        <f>+'30'!G204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255</v>
      </c>
      <c r="C205" s="12">
        <f>+'30'!G205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256</v>
      </c>
      <c r="C206" s="12">
        <f>+'30'!G206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257</v>
      </c>
      <c r="C207" s="12">
        <f>+'30'!G207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258</v>
      </c>
      <c r="C208" s="12">
        <f>+'30'!G208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259</v>
      </c>
      <c r="C209" s="12">
        <f>+'30'!G209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260</v>
      </c>
      <c r="C210" s="12">
        <f>+'30'!G210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0">
        <v>207</v>
      </c>
      <c r="B211" s="81" t="s">
        <v>261</v>
      </c>
      <c r="C211" s="12">
        <f>+'30'!G211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262</v>
      </c>
      <c r="C212" s="12">
        <f>+'30'!G212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>
      <c r="A213" s="80">
        <v>209</v>
      </c>
      <c r="B213" s="20" t="s">
        <v>264</v>
      </c>
      <c r="C213" s="12">
        <f>+'30'!G213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265</v>
      </c>
      <c r="C214" s="12">
        <f>+'30'!G214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43" t="s">
        <v>224</v>
      </c>
      <c r="N215" s="144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5" t="s">
        <v>223</v>
      </c>
      <c r="I216" s="146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7" t="s">
        <v>213</v>
      </c>
      <c r="J217" s="147"/>
      <c r="K217" s="32">
        <f>SUM(J5:J216)</f>
        <v>0</v>
      </c>
    </row>
    <row r="218" spans="1:26" ht="25.5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266</v>
      </c>
      <c r="J228" s="2">
        <f>+K217-K222+K225</f>
        <v>0</v>
      </c>
    </row>
    <row r="229" spans="1:11">
      <c r="G229" s="2"/>
      <c r="I229" s="2" t="s">
        <v>267</v>
      </c>
      <c r="J229" s="2">
        <f>SUM(K218:K221)</f>
        <v>0</v>
      </c>
    </row>
    <row r="230" spans="1:11">
      <c r="G230" s="2"/>
      <c r="I230" s="2" t="s">
        <v>268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2024-02-18T09:04:00Z</cp:lastPrinted>
  <dcterms:created xsi:type="dcterms:W3CDTF">2023-12-01T06:47:18Z</dcterms:created>
  <dcterms:modified xsi:type="dcterms:W3CDTF">2024-02-18T09:14:30Z</dcterms:modified>
</cp:coreProperties>
</file>