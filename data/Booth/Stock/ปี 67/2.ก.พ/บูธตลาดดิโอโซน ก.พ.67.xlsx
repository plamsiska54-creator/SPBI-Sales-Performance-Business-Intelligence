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งานต้นปาล์ม\งานน้องมายด์\รวมงานบูธ\ไฟล์งาน\ปี 67\ก.พ\"/>
    </mc:Choice>
  </mc:AlternateContent>
  <xr:revisionPtr revIDLastSave="0" documentId="13_ncr:1_{8AC996A2-55CE-4DDE-966A-5161B3E0BE3E}" xr6:coauthVersionLast="47" xr6:coauthVersionMax="47" xr10:uidLastSave="{00000000-0000-0000-0000-000000000000}"/>
  <bookViews>
    <workbookView xWindow="-120" yWindow="-120" windowWidth="29040" windowHeight="15720" tabRatio="811" xr2:uid="{871E644C-D1EC-4B7C-A87C-60E618512EBB}"/>
  </bookViews>
  <sheets>
    <sheet name="สรุป" sheetId="15" r:id="rId1"/>
    <sheet name="ยกมา" sheetId="33" r:id="rId2"/>
    <sheet name="1" sheetId="34" r:id="rId3"/>
    <sheet name="2" sheetId="35" r:id="rId4"/>
    <sheet name="3" sheetId="36" r:id="rId5"/>
    <sheet name="4" sheetId="37" r:id="rId6"/>
    <sheet name="5" sheetId="38" r:id="rId7"/>
    <sheet name="6" sheetId="39" r:id="rId8"/>
    <sheet name="7" sheetId="40" r:id="rId9"/>
    <sheet name="8" sheetId="41" r:id="rId10"/>
    <sheet name="9" sheetId="42" r:id="rId11"/>
    <sheet name="10" sheetId="43" r:id="rId12"/>
    <sheet name="11" sheetId="44" r:id="rId13"/>
    <sheet name="12" sheetId="45" r:id="rId14"/>
    <sheet name="13" sheetId="46" r:id="rId15"/>
    <sheet name="14" sheetId="47" r:id="rId16"/>
    <sheet name="15" sheetId="48" r:id="rId17"/>
    <sheet name="16" sheetId="49" r:id="rId18"/>
    <sheet name="17" sheetId="50" r:id="rId19"/>
    <sheet name="18" sheetId="51" r:id="rId20"/>
    <sheet name="19" sheetId="52" r:id="rId21"/>
    <sheet name="20" sheetId="53" r:id="rId22"/>
    <sheet name="21" sheetId="54" r:id="rId23"/>
    <sheet name="22" sheetId="55" r:id="rId24"/>
    <sheet name="23" sheetId="56" r:id="rId25"/>
    <sheet name="24" sheetId="57" r:id="rId26"/>
    <sheet name="25" sheetId="58" r:id="rId27"/>
    <sheet name="26" sheetId="59" r:id="rId28"/>
    <sheet name="27" sheetId="60" r:id="rId29"/>
    <sheet name="28" sheetId="61" r:id="rId30"/>
    <sheet name="29" sheetId="62" r:id="rId31"/>
    <sheet name="30" sheetId="63" r:id="rId32"/>
    <sheet name="31" sheetId="64" r:id="rId33"/>
  </sheets>
  <externalReferences>
    <externalReference r:id="rId34"/>
  </externalReferences>
  <definedNames>
    <definedName name="_xlnm._FilterDatabase" localSheetId="2" hidden="1">'1'!$A$1:$Y$216</definedName>
    <definedName name="_xlnm._FilterDatabase" localSheetId="11" hidden="1">'10'!$A$1:$Y$217</definedName>
    <definedName name="_xlnm._FilterDatabase" localSheetId="12" hidden="1">'11'!$A$1:$Y$217</definedName>
    <definedName name="_xlnm._FilterDatabase" localSheetId="13" hidden="1">'12'!$A$1:$Y$219</definedName>
    <definedName name="_xlnm._FilterDatabase" localSheetId="14" hidden="1">'13'!$A$1:$Y$219</definedName>
    <definedName name="_xlnm._FilterDatabase" localSheetId="15" hidden="1">'14'!$A$1:$Y$219</definedName>
    <definedName name="_xlnm._FilterDatabase" localSheetId="16" hidden="1">'15'!$A$1:$Y$219</definedName>
    <definedName name="_xlnm._FilterDatabase" localSheetId="17" hidden="1">'16'!$A$1:$Y$216</definedName>
    <definedName name="_xlnm._FilterDatabase" localSheetId="18" hidden="1">'17'!$A$1:$Y$216</definedName>
    <definedName name="_xlnm._FilterDatabase" localSheetId="19" hidden="1">'18'!$A$1:$Y$216</definedName>
    <definedName name="_xlnm._FilterDatabase" localSheetId="20" hidden="1">'19'!$A$1:$Y$216</definedName>
    <definedName name="_xlnm._FilterDatabase" localSheetId="3" hidden="1">'2'!$A$1:$Y$216</definedName>
    <definedName name="_xlnm._FilterDatabase" localSheetId="21" hidden="1">'20'!$A$1:$Y$216</definedName>
    <definedName name="_xlnm._FilterDatabase" localSheetId="22" hidden="1">'21'!$A$1:$Y$216</definedName>
    <definedName name="_xlnm._FilterDatabase" localSheetId="23" hidden="1">'22'!$A$1:$Y$216</definedName>
    <definedName name="_xlnm._FilterDatabase" localSheetId="24" hidden="1">'23'!$A$1:$Y$216</definedName>
    <definedName name="_xlnm._FilterDatabase" localSheetId="25" hidden="1">'24'!$A$1:$Y$216</definedName>
    <definedName name="_xlnm._FilterDatabase" localSheetId="26" hidden="1">'25'!$A$1:$Y$216</definedName>
    <definedName name="_xlnm._FilterDatabase" localSheetId="27" hidden="1">'26'!$A$1:$Y$216</definedName>
    <definedName name="_xlnm._FilterDatabase" localSheetId="28" hidden="1">'27'!$A$1:$Y$216</definedName>
    <definedName name="_xlnm._FilterDatabase" localSheetId="29" hidden="1">'28'!$A$1:$Y$216</definedName>
    <definedName name="_xlnm._FilterDatabase" localSheetId="30" hidden="1">'29'!$A$1:$Y$216</definedName>
    <definedName name="_xlnm._FilterDatabase" localSheetId="4" hidden="1">'3'!$A$1:$Y$217</definedName>
    <definedName name="_xlnm._FilterDatabase" localSheetId="31" hidden="1">'30'!$A$1:$Y$216</definedName>
    <definedName name="_xlnm._FilterDatabase" localSheetId="32" hidden="1">'31'!$A$1:$Y$216</definedName>
    <definedName name="_xlnm._FilterDatabase" localSheetId="5" hidden="1">'4'!$A$1:$Y$217</definedName>
    <definedName name="_xlnm._FilterDatabase" localSheetId="6" hidden="1">'5'!$A$1:$Y$217</definedName>
    <definedName name="_xlnm._FilterDatabase" localSheetId="7" hidden="1">'6'!$A$1:$Y$217</definedName>
    <definedName name="_xlnm._FilterDatabase" localSheetId="8" hidden="1">'7'!$A$1:$Y$217</definedName>
    <definedName name="_xlnm._FilterDatabase" localSheetId="9" hidden="1">'8'!$A$1:$Y$217</definedName>
    <definedName name="_xlnm._FilterDatabase" localSheetId="10" hidden="1">'9'!$A$1:$Y$217</definedName>
    <definedName name="_xlnm._FilterDatabase" localSheetId="1" hidden="1">ยกมา!$A$1:$Y$216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5" i="15" l="1"/>
  <c r="Q34" i="15"/>
  <c r="Q33" i="15"/>
  <c r="Q31" i="15"/>
  <c r="Q30" i="15"/>
  <c r="Q32" i="15"/>
  <c r="Q29" i="15"/>
  <c r="Q28" i="15"/>
  <c r="Q27" i="15"/>
  <c r="Q26" i="15"/>
  <c r="Q25" i="15"/>
  <c r="Q24" i="15"/>
  <c r="Q23" i="15"/>
  <c r="Q22" i="15"/>
  <c r="Q21" i="15"/>
  <c r="Q20" i="15"/>
  <c r="Q19" i="15"/>
  <c r="Q18" i="15"/>
  <c r="Q17" i="15"/>
  <c r="Q15" i="15"/>
  <c r="Q14" i="15"/>
  <c r="Q13" i="15"/>
  <c r="Q12" i="15"/>
  <c r="Q11" i="15"/>
  <c r="Q10" i="15"/>
  <c r="Q9" i="15"/>
  <c r="Q8" i="15"/>
  <c r="Q7" i="15"/>
  <c r="Q6" i="15"/>
  <c r="P16" i="15"/>
  <c r="J205" i="48" l="1"/>
  <c r="M205" i="48" s="1"/>
  <c r="J206" i="48"/>
  <c r="M206" i="48" s="1"/>
  <c r="J207" i="48"/>
  <c r="M207" i="48" s="1"/>
  <c r="J205" i="47"/>
  <c r="M205" i="47" s="1"/>
  <c r="J206" i="47"/>
  <c r="M206" i="47" s="1"/>
  <c r="J207" i="47"/>
  <c r="M207" i="47" s="1"/>
  <c r="K220" i="51"/>
  <c r="K220" i="50"/>
  <c r="K220" i="49"/>
  <c r="K223" i="48"/>
  <c r="K223" i="47"/>
  <c r="K223" i="46"/>
  <c r="K223" i="45"/>
  <c r="K221" i="44"/>
  <c r="C206" i="46"/>
  <c r="E206" i="46" s="1"/>
  <c r="G206" i="46" s="1"/>
  <c r="C206" i="47" s="1"/>
  <c r="E206" i="47" s="1"/>
  <c r="G206" i="47" s="1"/>
  <c r="C206" i="48" s="1"/>
  <c r="E206" i="48" s="1"/>
  <c r="G206" i="48" s="1"/>
  <c r="J206" i="46"/>
  <c r="M206" i="46" s="1"/>
  <c r="C207" i="46"/>
  <c r="E207" i="46" s="1"/>
  <c r="G207" i="46" s="1"/>
  <c r="C207" i="47" s="1"/>
  <c r="E207" i="47" s="1"/>
  <c r="G207" i="47" s="1"/>
  <c r="C207" i="48" s="1"/>
  <c r="E207" i="48" s="1"/>
  <c r="G207" i="48" s="1"/>
  <c r="J207" i="46"/>
  <c r="M207" i="46" s="1"/>
  <c r="K214" i="45"/>
  <c r="Q16" i="15" s="1"/>
  <c r="C206" i="45"/>
  <c r="E206" i="45" s="1"/>
  <c r="G206" i="45" s="1"/>
  <c r="J206" i="45"/>
  <c r="M206" i="45" s="1"/>
  <c r="C207" i="45"/>
  <c r="E207" i="45" s="1"/>
  <c r="G207" i="45" s="1"/>
  <c r="J207" i="45"/>
  <c r="M207" i="45" s="1"/>
  <c r="J205" i="46" l="1"/>
  <c r="M205" i="46" s="1"/>
  <c r="J205" i="45"/>
  <c r="M205" i="45" s="1"/>
  <c r="J205" i="44"/>
  <c r="M205" i="44" s="1"/>
  <c r="J205" i="43"/>
  <c r="M205" i="43" s="1"/>
  <c r="J205" i="42"/>
  <c r="M205" i="42" s="1"/>
  <c r="K213" i="41"/>
  <c r="J205" i="41"/>
  <c r="M205" i="41" s="1"/>
  <c r="J205" i="40" l="1"/>
  <c r="M205" i="40" s="1"/>
  <c r="M205" i="39"/>
  <c r="J205" i="39"/>
  <c r="J202" i="38"/>
  <c r="J203" i="38"/>
  <c r="J204" i="38"/>
  <c r="J205" i="38"/>
  <c r="K210" i="37" l="1"/>
  <c r="C204" i="37"/>
  <c r="J205" i="37"/>
  <c r="M205" i="37" s="1"/>
  <c r="K213" i="36"/>
  <c r="J204" i="36"/>
  <c r="M204" i="36" s="1"/>
  <c r="E204" i="36"/>
  <c r="G204" i="36" s="1"/>
  <c r="K221" i="43"/>
  <c r="K221" i="42"/>
  <c r="K221" i="41"/>
  <c r="K221" i="40"/>
  <c r="K221" i="39"/>
  <c r="K221" i="38"/>
  <c r="K221" i="37"/>
  <c r="K221" i="36"/>
  <c r="K220" i="35" l="1"/>
  <c r="K220" i="34"/>
  <c r="K211" i="34" l="1"/>
  <c r="Q5" i="15" s="1"/>
  <c r="C179" i="34" l="1"/>
  <c r="C180" i="34"/>
  <c r="C181" i="34"/>
  <c r="C182" i="34"/>
  <c r="C183" i="34"/>
  <c r="C184" i="34"/>
  <c r="C185" i="34"/>
  <c r="C186" i="34"/>
  <c r="C187" i="34"/>
  <c r="C188" i="34"/>
  <c r="C189" i="34"/>
  <c r="C190" i="34"/>
  <c r="C191" i="34"/>
  <c r="C192" i="34"/>
  <c r="C193" i="34"/>
  <c r="C194" i="34"/>
  <c r="C195" i="34"/>
  <c r="C196" i="34"/>
  <c r="C197" i="34"/>
  <c r="C198" i="34"/>
  <c r="C199" i="34"/>
  <c r="C200" i="34"/>
  <c r="C201" i="34"/>
  <c r="C203" i="34"/>
  <c r="C204" i="34"/>
  <c r="T35" i="15"/>
  <c r="P35" i="15"/>
  <c r="J205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H5" i="15"/>
  <c r="F5" i="15"/>
  <c r="D5" i="15"/>
  <c r="K212" i="64"/>
  <c r="N35" i="15" s="1"/>
  <c r="K209" i="64"/>
  <c r="R35" i="15" s="1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M196" i="64"/>
  <c r="J196" i="64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M154" i="64"/>
  <c r="J154" i="64"/>
  <c r="J153" i="64"/>
  <c r="M153" i="64" s="1"/>
  <c r="J152" i="64"/>
  <c r="M152" i="64" s="1"/>
  <c r="M151" i="64"/>
  <c r="J151" i="64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M136" i="64"/>
  <c r="J136" i="64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Z105" i="64"/>
  <c r="J105" i="64"/>
  <c r="M105" i="64" s="1"/>
  <c r="X104" i="64"/>
  <c r="S104" i="64"/>
  <c r="U104" i="64" s="1"/>
  <c r="Q104" i="64"/>
  <c r="J104" i="64"/>
  <c r="M104" i="64" s="1"/>
  <c r="X103" i="64"/>
  <c r="Q103" i="64"/>
  <c r="S103" i="64" s="1"/>
  <c r="U103" i="64" s="1"/>
  <c r="J103" i="64"/>
  <c r="M103" i="64" s="1"/>
  <c r="X102" i="64"/>
  <c r="Q102" i="64"/>
  <c r="S102" i="64" s="1"/>
  <c r="U102" i="64" s="1"/>
  <c r="J102" i="64"/>
  <c r="M102" i="64" s="1"/>
  <c r="X101" i="64"/>
  <c r="S101" i="64"/>
  <c r="U101" i="64" s="1"/>
  <c r="Q101" i="64"/>
  <c r="J101" i="64"/>
  <c r="M101" i="64" s="1"/>
  <c r="X100" i="64"/>
  <c r="Q100" i="64"/>
  <c r="S100" i="64" s="1"/>
  <c r="U100" i="64" s="1"/>
  <c r="J100" i="64"/>
  <c r="M100" i="64" s="1"/>
  <c r="X99" i="64"/>
  <c r="S99" i="64"/>
  <c r="U99" i="64" s="1"/>
  <c r="Q99" i="64"/>
  <c r="J99" i="64"/>
  <c r="M99" i="64" s="1"/>
  <c r="X98" i="64"/>
  <c r="S98" i="64"/>
  <c r="U98" i="64" s="1"/>
  <c r="Q98" i="64"/>
  <c r="J98" i="64"/>
  <c r="M98" i="64" s="1"/>
  <c r="X97" i="64"/>
  <c r="Q97" i="64"/>
  <c r="S97" i="64" s="1"/>
  <c r="U97" i="64" s="1"/>
  <c r="J97" i="64"/>
  <c r="M97" i="64" s="1"/>
  <c r="X96" i="64"/>
  <c r="Q96" i="64"/>
  <c r="S96" i="64" s="1"/>
  <c r="U96" i="64" s="1"/>
  <c r="J96" i="64"/>
  <c r="M96" i="64" s="1"/>
  <c r="X95" i="64"/>
  <c r="U95" i="64"/>
  <c r="S95" i="64"/>
  <c r="Q95" i="64"/>
  <c r="J95" i="64"/>
  <c r="M95" i="64" s="1"/>
  <c r="X94" i="64"/>
  <c r="Q94" i="64"/>
  <c r="S94" i="64" s="1"/>
  <c r="U94" i="64" s="1"/>
  <c r="J94" i="64"/>
  <c r="M94" i="64" s="1"/>
  <c r="X93" i="64"/>
  <c r="Q93" i="64"/>
  <c r="S93" i="64" s="1"/>
  <c r="U93" i="64" s="1"/>
  <c r="J93" i="64"/>
  <c r="M93" i="64" s="1"/>
  <c r="X92" i="64"/>
  <c r="Q92" i="64"/>
  <c r="S92" i="64" s="1"/>
  <c r="U92" i="64" s="1"/>
  <c r="J92" i="64"/>
  <c r="M92" i="64" s="1"/>
  <c r="X91" i="64"/>
  <c r="Q91" i="64"/>
  <c r="S91" i="64" s="1"/>
  <c r="U91" i="64" s="1"/>
  <c r="J91" i="64"/>
  <c r="M91" i="64" s="1"/>
  <c r="X90" i="64"/>
  <c r="Q90" i="64"/>
  <c r="S90" i="64" s="1"/>
  <c r="U90" i="64" s="1"/>
  <c r="J90" i="64"/>
  <c r="M90" i="64" s="1"/>
  <c r="X89" i="64"/>
  <c r="Q89" i="64"/>
  <c r="S89" i="64" s="1"/>
  <c r="U89" i="64" s="1"/>
  <c r="J89" i="64"/>
  <c r="M89" i="64" s="1"/>
  <c r="X88" i="64"/>
  <c r="Q88" i="64"/>
  <c r="S88" i="64" s="1"/>
  <c r="U88" i="64" s="1"/>
  <c r="M88" i="64"/>
  <c r="J88" i="64"/>
  <c r="X87" i="64"/>
  <c r="Q87" i="64"/>
  <c r="S87" i="64" s="1"/>
  <c r="U87" i="64" s="1"/>
  <c r="J87" i="64"/>
  <c r="M87" i="64" s="1"/>
  <c r="X86" i="64"/>
  <c r="Q86" i="64"/>
  <c r="S86" i="64" s="1"/>
  <c r="U86" i="64" s="1"/>
  <c r="J86" i="64"/>
  <c r="M86" i="64" s="1"/>
  <c r="X85" i="64"/>
  <c r="Q85" i="64"/>
  <c r="S85" i="64" s="1"/>
  <c r="U85" i="64" s="1"/>
  <c r="J85" i="64"/>
  <c r="M85" i="64" s="1"/>
  <c r="X84" i="64"/>
  <c r="Q84" i="64"/>
  <c r="S84" i="64" s="1"/>
  <c r="U84" i="64" s="1"/>
  <c r="J84" i="64"/>
  <c r="M84" i="64" s="1"/>
  <c r="X83" i="64"/>
  <c r="Q83" i="64"/>
  <c r="S83" i="64" s="1"/>
  <c r="U83" i="64" s="1"/>
  <c r="J83" i="64"/>
  <c r="M83" i="64" s="1"/>
  <c r="X82" i="64"/>
  <c r="Q82" i="64"/>
  <c r="S82" i="64" s="1"/>
  <c r="U82" i="64" s="1"/>
  <c r="J82" i="64"/>
  <c r="M82" i="64" s="1"/>
  <c r="X81" i="64"/>
  <c r="Q81" i="64"/>
  <c r="S81" i="64" s="1"/>
  <c r="U81" i="64" s="1"/>
  <c r="J81" i="64"/>
  <c r="M81" i="64" s="1"/>
  <c r="X80" i="64"/>
  <c r="Q80" i="64"/>
  <c r="S80" i="64" s="1"/>
  <c r="U80" i="64" s="1"/>
  <c r="J80" i="64"/>
  <c r="M80" i="64" s="1"/>
  <c r="X79" i="64"/>
  <c r="Q79" i="64"/>
  <c r="S79" i="64" s="1"/>
  <c r="U79" i="64" s="1"/>
  <c r="J79" i="64"/>
  <c r="M79" i="64" s="1"/>
  <c r="X78" i="64"/>
  <c r="Q78" i="64"/>
  <c r="S78" i="64" s="1"/>
  <c r="U78" i="64" s="1"/>
  <c r="J78" i="64"/>
  <c r="M78" i="64" s="1"/>
  <c r="X77" i="64"/>
  <c r="Q77" i="64"/>
  <c r="S77" i="64" s="1"/>
  <c r="U77" i="64" s="1"/>
  <c r="J77" i="64"/>
  <c r="M77" i="64" s="1"/>
  <c r="X76" i="64"/>
  <c r="Q76" i="64"/>
  <c r="S76" i="64" s="1"/>
  <c r="U76" i="64" s="1"/>
  <c r="J76" i="64"/>
  <c r="M76" i="64" s="1"/>
  <c r="X75" i="64"/>
  <c r="Q75" i="64"/>
  <c r="S75" i="64" s="1"/>
  <c r="U75" i="64" s="1"/>
  <c r="J75" i="64"/>
  <c r="M75" i="64" s="1"/>
  <c r="X74" i="64"/>
  <c r="S74" i="64"/>
  <c r="U74" i="64" s="1"/>
  <c r="Q74" i="64"/>
  <c r="J74" i="64"/>
  <c r="M74" i="64" s="1"/>
  <c r="X73" i="64"/>
  <c r="Q73" i="64"/>
  <c r="S73" i="64" s="1"/>
  <c r="U73" i="64" s="1"/>
  <c r="J73" i="64"/>
  <c r="M73" i="64" s="1"/>
  <c r="X72" i="64"/>
  <c r="Q72" i="64"/>
  <c r="S72" i="64" s="1"/>
  <c r="U72" i="64" s="1"/>
  <c r="J72" i="64"/>
  <c r="M72" i="64" s="1"/>
  <c r="X71" i="64"/>
  <c r="Q71" i="64"/>
  <c r="S71" i="64" s="1"/>
  <c r="U71" i="64" s="1"/>
  <c r="J71" i="64"/>
  <c r="M71" i="64" s="1"/>
  <c r="X70" i="64"/>
  <c r="Q70" i="64"/>
  <c r="S70" i="64" s="1"/>
  <c r="U70" i="64" s="1"/>
  <c r="J70" i="64"/>
  <c r="M70" i="64" s="1"/>
  <c r="X69" i="64"/>
  <c r="Q69" i="64"/>
  <c r="S69" i="64" s="1"/>
  <c r="U69" i="64" s="1"/>
  <c r="J69" i="64"/>
  <c r="M69" i="64" s="1"/>
  <c r="X68" i="64"/>
  <c r="Q68" i="64"/>
  <c r="S68" i="64" s="1"/>
  <c r="U68" i="64" s="1"/>
  <c r="J68" i="64"/>
  <c r="M68" i="64" s="1"/>
  <c r="X67" i="64"/>
  <c r="Q67" i="64"/>
  <c r="S67" i="64" s="1"/>
  <c r="U67" i="64" s="1"/>
  <c r="J67" i="64"/>
  <c r="M67" i="64" s="1"/>
  <c r="X66" i="64"/>
  <c r="U66" i="64"/>
  <c r="S66" i="64"/>
  <c r="Q66" i="64"/>
  <c r="J66" i="64"/>
  <c r="M66" i="64" s="1"/>
  <c r="X65" i="64"/>
  <c r="Q65" i="64"/>
  <c r="S65" i="64" s="1"/>
  <c r="U65" i="64" s="1"/>
  <c r="J65" i="64"/>
  <c r="M65" i="64" s="1"/>
  <c r="X64" i="64"/>
  <c r="S64" i="64"/>
  <c r="U64" i="64" s="1"/>
  <c r="Q64" i="64"/>
  <c r="J64" i="64"/>
  <c r="M64" i="64" s="1"/>
  <c r="X63" i="64"/>
  <c r="Q63" i="64"/>
  <c r="S63" i="64" s="1"/>
  <c r="U63" i="64" s="1"/>
  <c r="J63" i="64"/>
  <c r="M63" i="64" s="1"/>
  <c r="X62" i="64"/>
  <c r="S62" i="64"/>
  <c r="U62" i="64" s="1"/>
  <c r="Q62" i="64"/>
  <c r="J62" i="64"/>
  <c r="M62" i="64" s="1"/>
  <c r="X61" i="64"/>
  <c r="Q61" i="64"/>
  <c r="S61" i="64" s="1"/>
  <c r="U61" i="64" s="1"/>
  <c r="J61" i="64"/>
  <c r="M61" i="64" s="1"/>
  <c r="X60" i="64"/>
  <c r="Q60" i="64"/>
  <c r="S60" i="64" s="1"/>
  <c r="U60" i="64" s="1"/>
  <c r="J60" i="64"/>
  <c r="M60" i="64" s="1"/>
  <c r="X59" i="64"/>
  <c r="Q59" i="64"/>
  <c r="S59" i="64" s="1"/>
  <c r="U59" i="64" s="1"/>
  <c r="J59" i="64"/>
  <c r="M59" i="64" s="1"/>
  <c r="X58" i="64"/>
  <c r="Q58" i="64"/>
  <c r="S58" i="64" s="1"/>
  <c r="U58" i="64" s="1"/>
  <c r="M58" i="64"/>
  <c r="J58" i="64"/>
  <c r="X57" i="64"/>
  <c r="Q57" i="64"/>
  <c r="S57" i="64" s="1"/>
  <c r="U57" i="64" s="1"/>
  <c r="J57" i="64"/>
  <c r="M57" i="64" s="1"/>
  <c r="X56" i="64"/>
  <c r="Q56" i="64"/>
  <c r="S56" i="64" s="1"/>
  <c r="U56" i="64" s="1"/>
  <c r="J56" i="64"/>
  <c r="M56" i="64" s="1"/>
  <c r="X55" i="64"/>
  <c r="Q55" i="64"/>
  <c r="S55" i="64" s="1"/>
  <c r="U55" i="64" s="1"/>
  <c r="J55" i="64"/>
  <c r="M55" i="64" s="1"/>
  <c r="X54" i="64"/>
  <c r="Q54" i="64"/>
  <c r="S54" i="64" s="1"/>
  <c r="U54" i="64" s="1"/>
  <c r="J54" i="64"/>
  <c r="M54" i="64" s="1"/>
  <c r="X53" i="64"/>
  <c r="Q53" i="64"/>
  <c r="S53" i="64" s="1"/>
  <c r="U53" i="64" s="1"/>
  <c r="J53" i="64"/>
  <c r="M53" i="64" s="1"/>
  <c r="X52" i="64"/>
  <c r="Q52" i="64"/>
  <c r="S52" i="64" s="1"/>
  <c r="U52" i="64" s="1"/>
  <c r="J52" i="64"/>
  <c r="M52" i="64" s="1"/>
  <c r="X51" i="64"/>
  <c r="S51" i="64"/>
  <c r="U51" i="64" s="1"/>
  <c r="Q51" i="64"/>
  <c r="J51" i="64"/>
  <c r="M51" i="64" s="1"/>
  <c r="X50" i="64"/>
  <c r="Q50" i="64"/>
  <c r="S50" i="64" s="1"/>
  <c r="U50" i="64" s="1"/>
  <c r="J50" i="64"/>
  <c r="M50" i="64" s="1"/>
  <c r="X49" i="64"/>
  <c r="Q49" i="64"/>
  <c r="S49" i="64" s="1"/>
  <c r="U49" i="64" s="1"/>
  <c r="J49" i="64"/>
  <c r="M49" i="64" s="1"/>
  <c r="X48" i="64"/>
  <c r="Q48" i="64"/>
  <c r="S48" i="64" s="1"/>
  <c r="U48" i="64" s="1"/>
  <c r="J48" i="64"/>
  <c r="M48" i="64" s="1"/>
  <c r="X47" i="64"/>
  <c r="Q47" i="64"/>
  <c r="S47" i="64" s="1"/>
  <c r="U47" i="64" s="1"/>
  <c r="J47" i="64"/>
  <c r="M47" i="64" s="1"/>
  <c r="X46" i="64"/>
  <c r="S46" i="64"/>
  <c r="U46" i="64" s="1"/>
  <c r="Q46" i="64"/>
  <c r="J46" i="64"/>
  <c r="M46" i="64" s="1"/>
  <c r="X45" i="64"/>
  <c r="Q45" i="64"/>
  <c r="S45" i="64" s="1"/>
  <c r="U45" i="64" s="1"/>
  <c r="J45" i="64"/>
  <c r="M45" i="64" s="1"/>
  <c r="X44" i="64"/>
  <c r="Q44" i="64"/>
  <c r="S44" i="64" s="1"/>
  <c r="U44" i="64" s="1"/>
  <c r="J44" i="64"/>
  <c r="M44" i="64" s="1"/>
  <c r="X43" i="64"/>
  <c r="Q43" i="64"/>
  <c r="S43" i="64" s="1"/>
  <c r="U43" i="64" s="1"/>
  <c r="J43" i="64"/>
  <c r="M43" i="64" s="1"/>
  <c r="X42" i="64"/>
  <c r="Q42" i="64"/>
  <c r="S42" i="64" s="1"/>
  <c r="U42" i="64" s="1"/>
  <c r="J42" i="64"/>
  <c r="M42" i="64" s="1"/>
  <c r="X41" i="64"/>
  <c r="Q41" i="64"/>
  <c r="S41" i="64" s="1"/>
  <c r="U41" i="64" s="1"/>
  <c r="J41" i="64"/>
  <c r="M41" i="64" s="1"/>
  <c r="X40" i="64"/>
  <c r="S40" i="64"/>
  <c r="U40" i="64" s="1"/>
  <c r="Q40" i="64"/>
  <c r="J40" i="64"/>
  <c r="M40" i="64" s="1"/>
  <c r="X39" i="64"/>
  <c r="S39" i="64"/>
  <c r="U39" i="64" s="1"/>
  <c r="Q39" i="64"/>
  <c r="J39" i="64"/>
  <c r="M39" i="64" s="1"/>
  <c r="X38" i="64"/>
  <c r="Q38" i="64"/>
  <c r="S38" i="64" s="1"/>
  <c r="U38" i="64" s="1"/>
  <c r="J38" i="64"/>
  <c r="M38" i="64" s="1"/>
  <c r="X37" i="64"/>
  <c r="Q37" i="64"/>
  <c r="S37" i="64" s="1"/>
  <c r="U37" i="64" s="1"/>
  <c r="J37" i="64"/>
  <c r="M37" i="64" s="1"/>
  <c r="X36" i="64"/>
  <c r="Q36" i="64"/>
  <c r="S36" i="64" s="1"/>
  <c r="U36" i="64" s="1"/>
  <c r="J36" i="64"/>
  <c r="M36" i="64" s="1"/>
  <c r="X35" i="64"/>
  <c r="Q35" i="64"/>
  <c r="S35" i="64" s="1"/>
  <c r="U35" i="64" s="1"/>
  <c r="J35" i="64"/>
  <c r="M35" i="64" s="1"/>
  <c r="X34" i="64"/>
  <c r="Q34" i="64"/>
  <c r="S34" i="64" s="1"/>
  <c r="U34" i="64" s="1"/>
  <c r="J34" i="64"/>
  <c r="M34" i="64" s="1"/>
  <c r="X33" i="64"/>
  <c r="Q33" i="64"/>
  <c r="S33" i="64" s="1"/>
  <c r="U33" i="64" s="1"/>
  <c r="J33" i="64"/>
  <c r="M33" i="64" s="1"/>
  <c r="X32" i="64"/>
  <c r="Q32" i="64"/>
  <c r="S32" i="64" s="1"/>
  <c r="U32" i="64" s="1"/>
  <c r="J32" i="64"/>
  <c r="M32" i="64" s="1"/>
  <c r="X31" i="64"/>
  <c r="Q31" i="64"/>
  <c r="S31" i="64" s="1"/>
  <c r="U31" i="64" s="1"/>
  <c r="J31" i="64"/>
  <c r="M31" i="64" s="1"/>
  <c r="X30" i="64"/>
  <c r="Q30" i="64"/>
  <c r="S30" i="64" s="1"/>
  <c r="U30" i="64" s="1"/>
  <c r="J30" i="64"/>
  <c r="M30" i="64" s="1"/>
  <c r="X29" i="64"/>
  <c r="Q29" i="64"/>
  <c r="S29" i="64" s="1"/>
  <c r="U29" i="64" s="1"/>
  <c r="J29" i="64"/>
  <c r="M29" i="64" s="1"/>
  <c r="X28" i="64"/>
  <c r="Q28" i="64"/>
  <c r="S28" i="64" s="1"/>
  <c r="U28" i="64" s="1"/>
  <c r="J28" i="64"/>
  <c r="M28" i="64" s="1"/>
  <c r="X27" i="64"/>
  <c r="S27" i="64"/>
  <c r="U27" i="64" s="1"/>
  <c r="Q27" i="64"/>
  <c r="J27" i="64"/>
  <c r="M27" i="64" s="1"/>
  <c r="X26" i="64"/>
  <c r="Q26" i="64"/>
  <c r="S26" i="64" s="1"/>
  <c r="U26" i="64" s="1"/>
  <c r="J26" i="64"/>
  <c r="M26" i="64" s="1"/>
  <c r="X25" i="64"/>
  <c r="Q25" i="64"/>
  <c r="S25" i="64" s="1"/>
  <c r="U25" i="64" s="1"/>
  <c r="J25" i="64"/>
  <c r="M25" i="64" s="1"/>
  <c r="X24" i="64"/>
  <c r="Q24" i="64"/>
  <c r="S24" i="64" s="1"/>
  <c r="U24" i="64" s="1"/>
  <c r="J24" i="64"/>
  <c r="M24" i="64" s="1"/>
  <c r="X23" i="64"/>
  <c r="Q23" i="64"/>
  <c r="S23" i="64" s="1"/>
  <c r="U23" i="64" s="1"/>
  <c r="J23" i="64"/>
  <c r="M23" i="64" s="1"/>
  <c r="X22" i="64"/>
  <c r="S22" i="64"/>
  <c r="U22" i="64" s="1"/>
  <c r="Q22" i="64"/>
  <c r="J22" i="64"/>
  <c r="M22" i="64" s="1"/>
  <c r="X21" i="64"/>
  <c r="Q21" i="64"/>
  <c r="S21" i="64" s="1"/>
  <c r="U21" i="64" s="1"/>
  <c r="M21" i="64"/>
  <c r="J21" i="64"/>
  <c r="X20" i="64"/>
  <c r="Q20" i="64"/>
  <c r="S20" i="64" s="1"/>
  <c r="U20" i="64" s="1"/>
  <c r="J20" i="64"/>
  <c r="M20" i="64" s="1"/>
  <c r="X19" i="64"/>
  <c r="Q19" i="64"/>
  <c r="S19" i="64" s="1"/>
  <c r="U19" i="64" s="1"/>
  <c r="J19" i="64"/>
  <c r="M19" i="64" s="1"/>
  <c r="X18" i="64"/>
  <c r="S18" i="64"/>
  <c r="U18" i="64" s="1"/>
  <c r="Q18" i="64"/>
  <c r="J18" i="64"/>
  <c r="M18" i="64" s="1"/>
  <c r="X17" i="64"/>
  <c r="S17" i="64"/>
  <c r="U17" i="64" s="1"/>
  <c r="Q17" i="64"/>
  <c r="J17" i="64"/>
  <c r="M17" i="64" s="1"/>
  <c r="X16" i="64"/>
  <c r="Q16" i="64"/>
  <c r="S16" i="64" s="1"/>
  <c r="U16" i="64" s="1"/>
  <c r="J16" i="64"/>
  <c r="M16" i="64" s="1"/>
  <c r="X15" i="64"/>
  <c r="Q15" i="64"/>
  <c r="S15" i="64" s="1"/>
  <c r="U15" i="64" s="1"/>
  <c r="J15" i="64"/>
  <c r="M15" i="64" s="1"/>
  <c r="X14" i="64"/>
  <c r="Q14" i="64"/>
  <c r="S14" i="64" s="1"/>
  <c r="U14" i="64" s="1"/>
  <c r="J14" i="64"/>
  <c r="M14" i="64" s="1"/>
  <c r="X13" i="64"/>
  <c r="Q13" i="64"/>
  <c r="S13" i="64" s="1"/>
  <c r="U13" i="64" s="1"/>
  <c r="J13" i="64"/>
  <c r="M13" i="64" s="1"/>
  <c r="X12" i="64"/>
  <c r="Q12" i="64"/>
  <c r="S12" i="64" s="1"/>
  <c r="U12" i="64" s="1"/>
  <c r="M12" i="64"/>
  <c r="J12" i="64"/>
  <c r="X11" i="64"/>
  <c r="Q11" i="64"/>
  <c r="S11" i="64" s="1"/>
  <c r="U11" i="64" s="1"/>
  <c r="J11" i="64"/>
  <c r="M11" i="64" s="1"/>
  <c r="X10" i="64"/>
  <c r="S10" i="64"/>
  <c r="U10" i="64" s="1"/>
  <c r="Q10" i="64"/>
  <c r="J10" i="64"/>
  <c r="M10" i="64" s="1"/>
  <c r="X9" i="64"/>
  <c r="S9" i="64"/>
  <c r="U9" i="64" s="1"/>
  <c r="Q9" i="64"/>
  <c r="J9" i="64"/>
  <c r="M9" i="64" s="1"/>
  <c r="X8" i="64"/>
  <c r="Q8" i="64"/>
  <c r="S8" i="64" s="1"/>
  <c r="U8" i="64" s="1"/>
  <c r="J8" i="64"/>
  <c r="M8" i="64" s="1"/>
  <c r="X7" i="64"/>
  <c r="Q7" i="64"/>
  <c r="S7" i="64" s="1"/>
  <c r="U7" i="64" s="1"/>
  <c r="J7" i="64"/>
  <c r="M7" i="64" s="1"/>
  <c r="X6" i="64"/>
  <c r="U6" i="64"/>
  <c r="S6" i="64"/>
  <c r="Q6" i="64"/>
  <c r="J6" i="64"/>
  <c r="M6" i="64" s="1"/>
  <c r="X5" i="64"/>
  <c r="Q5" i="64"/>
  <c r="S5" i="64" s="1"/>
  <c r="U5" i="64" s="1"/>
  <c r="J5" i="64"/>
  <c r="M5" i="64" s="1"/>
  <c r="T34" i="15"/>
  <c r="P34" i="15"/>
  <c r="T33" i="15"/>
  <c r="P33" i="15"/>
  <c r="T32" i="15"/>
  <c r="R32" i="15"/>
  <c r="P32" i="15"/>
  <c r="T31" i="15"/>
  <c r="P31" i="15"/>
  <c r="T30" i="15"/>
  <c r="P30" i="15"/>
  <c r="T29" i="15"/>
  <c r="P29" i="15"/>
  <c r="T28" i="15"/>
  <c r="P28" i="15"/>
  <c r="T27" i="15"/>
  <c r="P27" i="15"/>
  <c r="T26" i="15"/>
  <c r="P26" i="15"/>
  <c r="T25" i="15"/>
  <c r="P25" i="15"/>
  <c r="T24" i="15"/>
  <c r="P24" i="15"/>
  <c r="T23" i="15"/>
  <c r="P23" i="15"/>
  <c r="T22" i="15"/>
  <c r="P22" i="15"/>
  <c r="T21" i="15"/>
  <c r="P21" i="15"/>
  <c r="T20" i="15"/>
  <c r="P20" i="15"/>
  <c r="T19" i="15"/>
  <c r="P19" i="15"/>
  <c r="T18" i="15"/>
  <c r="P18" i="15"/>
  <c r="T17" i="15"/>
  <c r="P17" i="15"/>
  <c r="T16" i="15"/>
  <c r="T15" i="15"/>
  <c r="P15" i="15"/>
  <c r="T14" i="15"/>
  <c r="P14" i="15"/>
  <c r="T13" i="15"/>
  <c r="P13" i="15"/>
  <c r="T12" i="15"/>
  <c r="P12" i="15"/>
  <c r="T11" i="15"/>
  <c r="P11" i="15"/>
  <c r="T10" i="15"/>
  <c r="P10" i="15"/>
  <c r="T9" i="15"/>
  <c r="P9" i="15"/>
  <c r="T8" i="15"/>
  <c r="P8" i="15"/>
  <c r="T7" i="15"/>
  <c r="P7" i="15"/>
  <c r="T6" i="15"/>
  <c r="P6" i="15"/>
  <c r="P5" i="15"/>
  <c r="T5" i="15"/>
  <c r="K212" i="63"/>
  <c r="N34" i="15" s="1"/>
  <c r="K209" i="63"/>
  <c r="R34" i="15" s="1"/>
  <c r="J204" i="63"/>
  <c r="M204" i="63" s="1"/>
  <c r="J203" i="63"/>
  <c r="M203" i="63" s="1"/>
  <c r="J202" i="63"/>
  <c r="M202" i="63" s="1"/>
  <c r="J201" i="63"/>
  <c r="M201" i="63" s="1"/>
  <c r="J200" i="63"/>
  <c r="M200" i="63" s="1"/>
  <c r="J199" i="63"/>
  <c r="M199" i="63" s="1"/>
  <c r="J198" i="63"/>
  <c r="M198" i="63" s="1"/>
  <c r="J197" i="63"/>
  <c r="M197" i="63" s="1"/>
  <c r="J196" i="63"/>
  <c r="M196" i="63" s="1"/>
  <c r="J195" i="63"/>
  <c r="M195" i="63" s="1"/>
  <c r="J194" i="63"/>
  <c r="M194" i="63" s="1"/>
  <c r="J193" i="63"/>
  <c r="M193" i="63" s="1"/>
  <c r="M192" i="63"/>
  <c r="J192" i="63"/>
  <c r="J191" i="63"/>
  <c r="M191" i="63" s="1"/>
  <c r="M190" i="63"/>
  <c r="J190" i="63"/>
  <c r="J189" i="63"/>
  <c r="M189" i="63" s="1"/>
  <c r="J188" i="63"/>
  <c r="M188" i="63" s="1"/>
  <c r="J187" i="63"/>
  <c r="M187" i="63" s="1"/>
  <c r="J186" i="63"/>
  <c r="M186" i="63" s="1"/>
  <c r="J185" i="63"/>
  <c r="M185" i="63" s="1"/>
  <c r="J184" i="63"/>
  <c r="M184" i="63" s="1"/>
  <c r="J183" i="63"/>
  <c r="M183" i="63" s="1"/>
  <c r="J182" i="63"/>
  <c r="M182" i="63" s="1"/>
  <c r="J181" i="63"/>
  <c r="M181" i="63" s="1"/>
  <c r="J180" i="63"/>
  <c r="M180" i="63" s="1"/>
  <c r="J179" i="63"/>
  <c r="M179" i="63" s="1"/>
  <c r="J178" i="63"/>
  <c r="M178" i="63" s="1"/>
  <c r="J177" i="63"/>
  <c r="M177" i="63" s="1"/>
  <c r="J176" i="63"/>
  <c r="M176" i="63" s="1"/>
  <c r="J175" i="63"/>
  <c r="M175" i="63" s="1"/>
  <c r="J174" i="63"/>
  <c r="M174" i="63" s="1"/>
  <c r="J173" i="63"/>
  <c r="M173" i="63" s="1"/>
  <c r="J172" i="63"/>
  <c r="M172" i="63" s="1"/>
  <c r="J171" i="63"/>
  <c r="M171" i="63" s="1"/>
  <c r="J170" i="63"/>
  <c r="M170" i="63" s="1"/>
  <c r="J169" i="63"/>
  <c r="M169" i="63" s="1"/>
  <c r="J168" i="63"/>
  <c r="M168" i="63" s="1"/>
  <c r="J167" i="63"/>
  <c r="M167" i="63" s="1"/>
  <c r="J166" i="63"/>
  <c r="M166" i="63" s="1"/>
  <c r="J165" i="63"/>
  <c r="M165" i="63" s="1"/>
  <c r="J164" i="63"/>
  <c r="M164" i="63" s="1"/>
  <c r="J163" i="63"/>
  <c r="M163" i="63" s="1"/>
  <c r="J162" i="63"/>
  <c r="M162" i="63" s="1"/>
  <c r="J161" i="63"/>
  <c r="M161" i="63" s="1"/>
  <c r="J160" i="63"/>
  <c r="M160" i="63" s="1"/>
  <c r="J159" i="63"/>
  <c r="M159" i="63" s="1"/>
  <c r="J158" i="63"/>
  <c r="M158" i="63" s="1"/>
  <c r="J157" i="63"/>
  <c r="M157" i="63" s="1"/>
  <c r="J156" i="63"/>
  <c r="M156" i="63" s="1"/>
  <c r="J155" i="63"/>
  <c r="M155" i="63" s="1"/>
  <c r="J154" i="63"/>
  <c r="M154" i="63" s="1"/>
  <c r="J153" i="63"/>
  <c r="M153" i="63" s="1"/>
  <c r="J152" i="63"/>
  <c r="M152" i="63" s="1"/>
  <c r="J151" i="63"/>
  <c r="M151" i="63" s="1"/>
  <c r="J150" i="63"/>
  <c r="M150" i="63" s="1"/>
  <c r="J149" i="63"/>
  <c r="M149" i="63" s="1"/>
  <c r="J148" i="63"/>
  <c r="M148" i="63" s="1"/>
  <c r="J147" i="63"/>
  <c r="M147" i="63" s="1"/>
  <c r="J146" i="63"/>
  <c r="M146" i="63" s="1"/>
  <c r="J145" i="63"/>
  <c r="M145" i="63" s="1"/>
  <c r="J144" i="63"/>
  <c r="M144" i="63" s="1"/>
  <c r="J143" i="63"/>
  <c r="M143" i="63" s="1"/>
  <c r="J142" i="63"/>
  <c r="M142" i="63" s="1"/>
  <c r="J141" i="63"/>
  <c r="M141" i="63" s="1"/>
  <c r="M140" i="63"/>
  <c r="J140" i="63"/>
  <c r="J139" i="63"/>
  <c r="M139" i="63" s="1"/>
  <c r="J138" i="63"/>
  <c r="M138" i="63" s="1"/>
  <c r="J137" i="63"/>
  <c r="M137" i="63" s="1"/>
  <c r="J136" i="63"/>
  <c r="M136" i="63" s="1"/>
  <c r="J135" i="63"/>
  <c r="M135" i="63" s="1"/>
  <c r="J134" i="63"/>
  <c r="M134" i="63" s="1"/>
  <c r="J133" i="63"/>
  <c r="M133" i="63" s="1"/>
  <c r="J132" i="63"/>
  <c r="M132" i="63" s="1"/>
  <c r="J131" i="63"/>
  <c r="M131" i="63" s="1"/>
  <c r="J130" i="63"/>
  <c r="M130" i="63" s="1"/>
  <c r="J129" i="63"/>
  <c r="M129" i="63" s="1"/>
  <c r="J128" i="63"/>
  <c r="M128" i="63" s="1"/>
  <c r="J127" i="63"/>
  <c r="M127" i="63" s="1"/>
  <c r="J126" i="63"/>
  <c r="M126" i="63" s="1"/>
  <c r="J125" i="63"/>
  <c r="M125" i="63" s="1"/>
  <c r="J124" i="63"/>
  <c r="M124" i="63" s="1"/>
  <c r="J123" i="63"/>
  <c r="M123" i="63" s="1"/>
  <c r="J122" i="63"/>
  <c r="M122" i="63" s="1"/>
  <c r="J121" i="63"/>
  <c r="M121" i="63" s="1"/>
  <c r="J120" i="63"/>
  <c r="M120" i="63" s="1"/>
  <c r="J119" i="63"/>
  <c r="M119" i="63" s="1"/>
  <c r="J118" i="63"/>
  <c r="M118" i="63" s="1"/>
  <c r="J117" i="63"/>
  <c r="M117" i="63" s="1"/>
  <c r="J116" i="63"/>
  <c r="M116" i="63" s="1"/>
  <c r="J115" i="63"/>
  <c r="M115" i="63" s="1"/>
  <c r="J114" i="63"/>
  <c r="M114" i="63" s="1"/>
  <c r="J113" i="63"/>
  <c r="M113" i="63" s="1"/>
  <c r="J112" i="63"/>
  <c r="M112" i="63" s="1"/>
  <c r="J111" i="63"/>
  <c r="M111" i="63" s="1"/>
  <c r="M110" i="63"/>
  <c r="J110" i="63"/>
  <c r="J109" i="63"/>
  <c r="M109" i="63" s="1"/>
  <c r="J108" i="63"/>
  <c r="M108" i="63" s="1"/>
  <c r="J107" i="63"/>
  <c r="M107" i="63" s="1"/>
  <c r="J106" i="63"/>
  <c r="M106" i="63" s="1"/>
  <c r="Z105" i="63"/>
  <c r="J105" i="63"/>
  <c r="M105" i="63" s="1"/>
  <c r="X104" i="63"/>
  <c r="Q104" i="63"/>
  <c r="S104" i="63" s="1"/>
  <c r="U104" i="63" s="1"/>
  <c r="J104" i="63"/>
  <c r="M104" i="63" s="1"/>
  <c r="X103" i="63"/>
  <c r="Q103" i="63"/>
  <c r="S103" i="63" s="1"/>
  <c r="U103" i="63" s="1"/>
  <c r="J103" i="63"/>
  <c r="M103" i="63" s="1"/>
  <c r="X102" i="63"/>
  <c r="Q102" i="63"/>
  <c r="S102" i="63" s="1"/>
  <c r="U102" i="63" s="1"/>
  <c r="M102" i="63"/>
  <c r="J102" i="63"/>
  <c r="X101" i="63"/>
  <c r="Q101" i="63"/>
  <c r="S101" i="63" s="1"/>
  <c r="U101" i="63" s="1"/>
  <c r="J101" i="63"/>
  <c r="M101" i="63" s="1"/>
  <c r="X100" i="63"/>
  <c r="Q100" i="63"/>
  <c r="S100" i="63" s="1"/>
  <c r="U100" i="63" s="1"/>
  <c r="J100" i="63"/>
  <c r="M100" i="63" s="1"/>
  <c r="X99" i="63"/>
  <c r="S99" i="63"/>
  <c r="U99" i="63" s="1"/>
  <c r="Q99" i="63"/>
  <c r="J99" i="63"/>
  <c r="M99" i="63" s="1"/>
  <c r="X98" i="63"/>
  <c r="S98" i="63"/>
  <c r="U98" i="63" s="1"/>
  <c r="Q98" i="63"/>
  <c r="J98" i="63"/>
  <c r="M98" i="63" s="1"/>
  <c r="X97" i="63"/>
  <c r="Q97" i="63"/>
  <c r="S97" i="63" s="1"/>
  <c r="U97" i="63" s="1"/>
  <c r="J97" i="63"/>
  <c r="M97" i="63" s="1"/>
  <c r="X96" i="63"/>
  <c r="Q96" i="63"/>
  <c r="S96" i="63" s="1"/>
  <c r="U96" i="63" s="1"/>
  <c r="J96" i="63"/>
  <c r="M96" i="63" s="1"/>
  <c r="X95" i="63"/>
  <c r="Q95" i="63"/>
  <c r="S95" i="63" s="1"/>
  <c r="U95" i="63" s="1"/>
  <c r="J95" i="63"/>
  <c r="M95" i="63" s="1"/>
  <c r="X94" i="63"/>
  <c r="Q94" i="63"/>
  <c r="S94" i="63" s="1"/>
  <c r="U94" i="63" s="1"/>
  <c r="J94" i="63"/>
  <c r="M94" i="63" s="1"/>
  <c r="X93" i="63"/>
  <c r="Q93" i="63"/>
  <c r="S93" i="63" s="1"/>
  <c r="U93" i="63" s="1"/>
  <c r="J93" i="63"/>
  <c r="M93" i="63" s="1"/>
  <c r="X92" i="63"/>
  <c r="Q92" i="63"/>
  <c r="S92" i="63" s="1"/>
  <c r="U92" i="63" s="1"/>
  <c r="M92" i="63"/>
  <c r="J92" i="63"/>
  <c r="X91" i="63"/>
  <c r="S91" i="63"/>
  <c r="U91" i="63" s="1"/>
  <c r="Q91" i="63"/>
  <c r="J91" i="63"/>
  <c r="M91" i="63" s="1"/>
  <c r="X90" i="63"/>
  <c r="U90" i="63"/>
  <c r="Q90" i="63"/>
  <c r="S90" i="63" s="1"/>
  <c r="J90" i="63"/>
  <c r="M90" i="63" s="1"/>
  <c r="X89" i="63"/>
  <c r="Q89" i="63"/>
  <c r="S89" i="63" s="1"/>
  <c r="U89" i="63" s="1"/>
  <c r="J89" i="63"/>
  <c r="M89" i="63" s="1"/>
  <c r="X88" i="63"/>
  <c r="Q88" i="63"/>
  <c r="S88" i="63" s="1"/>
  <c r="U88" i="63" s="1"/>
  <c r="J88" i="63"/>
  <c r="M88" i="63" s="1"/>
  <c r="X87" i="63"/>
  <c r="Q87" i="63"/>
  <c r="S87" i="63" s="1"/>
  <c r="U87" i="63" s="1"/>
  <c r="J87" i="63"/>
  <c r="M87" i="63" s="1"/>
  <c r="X86" i="63"/>
  <c r="Q86" i="63"/>
  <c r="S86" i="63" s="1"/>
  <c r="U86" i="63" s="1"/>
  <c r="J86" i="63"/>
  <c r="M86" i="63" s="1"/>
  <c r="X85" i="63"/>
  <c r="Q85" i="63"/>
  <c r="S85" i="63" s="1"/>
  <c r="U85" i="63" s="1"/>
  <c r="M85" i="63"/>
  <c r="J85" i="63"/>
  <c r="X84" i="63"/>
  <c r="Q84" i="63"/>
  <c r="S84" i="63" s="1"/>
  <c r="U84" i="63" s="1"/>
  <c r="J84" i="63"/>
  <c r="M84" i="63" s="1"/>
  <c r="X83" i="63"/>
  <c r="Q83" i="63"/>
  <c r="S83" i="63" s="1"/>
  <c r="U83" i="63" s="1"/>
  <c r="J83" i="63"/>
  <c r="M83" i="63" s="1"/>
  <c r="X82" i="63"/>
  <c r="Q82" i="63"/>
  <c r="S82" i="63" s="1"/>
  <c r="U82" i="63" s="1"/>
  <c r="J82" i="63"/>
  <c r="M82" i="63" s="1"/>
  <c r="X81" i="63"/>
  <c r="Q81" i="63"/>
  <c r="S81" i="63" s="1"/>
  <c r="U81" i="63" s="1"/>
  <c r="J81" i="63"/>
  <c r="M81" i="63" s="1"/>
  <c r="X80" i="63"/>
  <c r="Q80" i="63"/>
  <c r="S80" i="63" s="1"/>
  <c r="U80" i="63" s="1"/>
  <c r="J80" i="63"/>
  <c r="M80" i="63" s="1"/>
  <c r="X79" i="63"/>
  <c r="U79" i="63"/>
  <c r="S79" i="63"/>
  <c r="Q79" i="63"/>
  <c r="J79" i="63"/>
  <c r="M79" i="63" s="1"/>
  <c r="X78" i="63"/>
  <c r="U78" i="63"/>
  <c r="Q78" i="63"/>
  <c r="S78" i="63" s="1"/>
  <c r="J78" i="63"/>
  <c r="M78" i="63" s="1"/>
  <c r="X77" i="63"/>
  <c r="Q77" i="63"/>
  <c r="S77" i="63" s="1"/>
  <c r="U77" i="63" s="1"/>
  <c r="J77" i="63"/>
  <c r="M77" i="63" s="1"/>
  <c r="X76" i="63"/>
  <c r="S76" i="63"/>
  <c r="U76" i="63" s="1"/>
  <c r="Q76" i="63"/>
  <c r="J76" i="63"/>
  <c r="M76" i="63" s="1"/>
  <c r="X75" i="63"/>
  <c r="Q75" i="63"/>
  <c r="S75" i="63" s="1"/>
  <c r="U75" i="63" s="1"/>
  <c r="J75" i="63"/>
  <c r="M75" i="63" s="1"/>
  <c r="X74" i="63"/>
  <c r="Q74" i="63"/>
  <c r="S74" i="63" s="1"/>
  <c r="U74" i="63" s="1"/>
  <c r="J74" i="63"/>
  <c r="M74" i="63" s="1"/>
  <c r="X73" i="63"/>
  <c r="Q73" i="63"/>
  <c r="S73" i="63" s="1"/>
  <c r="U73" i="63" s="1"/>
  <c r="J73" i="63"/>
  <c r="M73" i="63" s="1"/>
  <c r="X72" i="63"/>
  <c r="S72" i="63"/>
  <c r="U72" i="63" s="1"/>
  <c r="Q72" i="63"/>
  <c r="J72" i="63"/>
  <c r="M72" i="63" s="1"/>
  <c r="X71" i="63"/>
  <c r="U71" i="63"/>
  <c r="S71" i="63"/>
  <c r="Q71" i="63"/>
  <c r="J71" i="63"/>
  <c r="M71" i="63" s="1"/>
  <c r="X70" i="63"/>
  <c r="Q70" i="63"/>
  <c r="S70" i="63" s="1"/>
  <c r="U70" i="63" s="1"/>
  <c r="J70" i="63"/>
  <c r="M70" i="63" s="1"/>
  <c r="X69" i="63"/>
  <c r="Q69" i="63"/>
  <c r="S69" i="63" s="1"/>
  <c r="U69" i="63" s="1"/>
  <c r="J69" i="63"/>
  <c r="M69" i="63" s="1"/>
  <c r="X68" i="63"/>
  <c r="S68" i="63"/>
  <c r="U68" i="63" s="1"/>
  <c r="Q68" i="63"/>
  <c r="J68" i="63"/>
  <c r="M68" i="63" s="1"/>
  <c r="X67" i="63"/>
  <c r="Q67" i="63"/>
  <c r="S67" i="63" s="1"/>
  <c r="U67" i="63" s="1"/>
  <c r="J67" i="63"/>
  <c r="M67" i="63" s="1"/>
  <c r="X66" i="63"/>
  <c r="Q66" i="63"/>
  <c r="S66" i="63" s="1"/>
  <c r="U66" i="63" s="1"/>
  <c r="J66" i="63"/>
  <c r="M66" i="63" s="1"/>
  <c r="X65" i="63"/>
  <c r="Q65" i="63"/>
  <c r="S65" i="63" s="1"/>
  <c r="U65" i="63" s="1"/>
  <c r="J65" i="63"/>
  <c r="M65" i="63" s="1"/>
  <c r="X64" i="63"/>
  <c r="S64" i="63"/>
  <c r="U64" i="63" s="1"/>
  <c r="Q64" i="63"/>
  <c r="J64" i="63"/>
  <c r="M64" i="63" s="1"/>
  <c r="X63" i="63"/>
  <c r="Q63" i="63"/>
  <c r="S63" i="63" s="1"/>
  <c r="U63" i="63" s="1"/>
  <c r="J63" i="63"/>
  <c r="M63" i="63" s="1"/>
  <c r="X62" i="63"/>
  <c r="Q62" i="63"/>
  <c r="S62" i="63" s="1"/>
  <c r="U62" i="63" s="1"/>
  <c r="J62" i="63"/>
  <c r="M62" i="63" s="1"/>
  <c r="X61" i="63"/>
  <c r="Q61" i="63"/>
  <c r="S61" i="63" s="1"/>
  <c r="U61" i="63" s="1"/>
  <c r="J61" i="63"/>
  <c r="M61" i="63" s="1"/>
  <c r="X60" i="63"/>
  <c r="Q60" i="63"/>
  <c r="S60" i="63" s="1"/>
  <c r="U60" i="63" s="1"/>
  <c r="J60" i="63"/>
  <c r="M60" i="63" s="1"/>
  <c r="X59" i="63"/>
  <c r="Q59" i="63"/>
  <c r="S59" i="63" s="1"/>
  <c r="U59" i="63" s="1"/>
  <c r="J59" i="63"/>
  <c r="M59" i="63" s="1"/>
  <c r="X58" i="63"/>
  <c r="Q58" i="63"/>
  <c r="S58" i="63" s="1"/>
  <c r="U58" i="63" s="1"/>
  <c r="J58" i="63"/>
  <c r="M58" i="63" s="1"/>
  <c r="X57" i="63"/>
  <c r="Q57" i="63"/>
  <c r="S57" i="63" s="1"/>
  <c r="U57" i="63" s="1"/>
  <c r="J57" i="63"/>
  <c r="M57" i="63" s="1"/>
  <c r="X56" i="63"/>
  <c r="S56" i="63"/>
  <c r="U56" i="63" s="1"/>
  <c r="Q56" i="63"/>
  <c r="J56" i="63"/>
  <c r="M56" i="63" s="1"/>
  <c r="X55" i="63"/>
  <c r="Q55" i="63"/>
  <c r="S55" i="63" s="1"/>
  <c r="U55" i="63" s="1"/>
  <c r="J55" i="63"/>
  <c r="M55" i="63" s="1"/>
  <c r="X54" i="63"/>
  <c r="Q54" i="63"/>
  <c r="S54" i="63" s="1"/>
  <c r="U54" i="63" s="1"/>
  <c r="J54" i="63"/>
  <c r="M54" i="63" s="1"/>
  <c r="X53" i="63"/>
  <c r="Q53" i="63"/>
  <c r="S53" i="63" s="1"/>
  <c r="U53" i="63" s="1"/>
  <c r="J53" i="63"/>
  <c r="M53" i="63" s="1"/>
  <c r="X52" i="63"/>
  <c r="Q52" i="63"/>
  <c r="S52" i="63" s="1"/>
  <c r="U52" i="63" s="1"/>
  <c r="J52" i="63"/>
  <c r="M52" i="63" s="1"/>
  <c r="X51" i="63"/>
  <c r="Q51" i="63"/>
  <c r="S51" i="63" s="1"/>
  <c r="U51" i="63" s="1"/>
  <c r="J51" i="63"/>
  <c r="M51" i="63" s="1"/>
  <c r="X50" i="63"/>
  <c r="Q50" i="63"/>
  <c r="S50" i="63" s="1"/>
  <c r="U50" i="63" s="1"/>
  <c r="J50" i="63"/>
  <c r="M50" i="63" s="1"/>
  <c r="X49" i="63"/>
  <c r="Q49" i="63"/>
  <c r="S49" i="63" s="1"/>
  <c r="U49" i="63" s="1"/>
  <c r="J49" i="63"/>
  <c r="M49" i="63" s="1"/>
  <c r="X48" i="63"/>
  <c r="Q48" i="63"/>
  <c r="S48" i="63" s="1"/>
  <c r="U48" i="63" s="1"/>
  <c r="J48" i="63"/>
  <c r="M48" i="63" s="1"/>
  <c r="X47" i="63"/>
  <c r="S47" i="63"/>
  <c r="U47" i="63" s="1"/>
  <c r="Q47" i="63"/>
  <c r="J47" i="63"/>
  <c r="M47" i="63" s="1"/>
  <c r="X46" i="63"/>
  <c r="U46" i="63"/>
  <c r="S46" i="63"/>
  <c r="Q46" i="63"/>
  <c r="J46" i="63"/>
  <c r="M46" i="63" s="1"/>
  <c r="X45" i="63"/>
  <c r="Q45" i="63"/>
  <c r="S45" i="63" s="1"/>
  <c r="U45" i="63" s="1"/>
  <c r="J45" i="63"/>
  <c r="M45" i="63" s="1"/>
  <c r="X44" i="63"/>
  <c r="S44" i="63"/>
  <c r="U44" i="63" s="1"/>
  <c r="Q44" i="63"/>
  <c r="J44" i="63"/>
  <c r="M44" i="63" s="1"/>
  <c r="X43" i="63"/>
  <c r="Q43" i="63"/>
  <c r="S43" i="63" s="1"/>
  <c r="U43" i="63" s="1"/>
  <c r="J43" i="63"/>
  <c r="M43" i="63" s="1"/>
  <c r="X42" i="63"/>
  <c r="U42" i="63"/>
  <c r="Q42" i="63"/>
  <c r="S42" i="63" s="1"/>
  <c r="J42" i="63"/>
  <c r="M42" i="63" s="1"/>
  <c r="X41" i="63"/>
  <c r="Q41" i="63"/>
  <c r="S41" i="63" s="1"/>
  <c r="U41" i="63" s="1"/>
  <c r="J41" i="63"/>
  <c r="M41" i="63" s="1"/>
  <c r="X40" i="63"/>
  <c r="S40" i="63"/>
  <c r="U40" i="63" s="1"/>
  <c r="Q40" i="63"/>
  <c r="J40" i="63"/>
  <c r="M40" i="63" s="1"/>
  <c r="X39" i="63"/>
  <c r="U39" i="63"/>
  <c r="S39" i="63"/>
  <c r="Q39" i="63"/>
  <c r="J39" i="63"/>
  <c r="M39" i="63" s="1"/>
  <c r="X38" i="63"/>
  <c r="U38" i="63"/>
  <c r="Q38" i="63"/>
  <c r="S38" i="63" s="1"/>
  <c r="J38" i="63"/>
  <c r="M38" i="63" s="1"/>
  <c r="X37" i="63"/>
  <c r="Q37" i="63"/>
  <c r="S37" i="63" s="1"/>
  <c r="U37" i="63" s="1"/>
  <c r="J37" i="63"/>
  <c r="M37" i="63" s="1"/>
  <c r="X36" i="63"/>
  <c r="S36" i="63"/>
  <c r="U36" i="63" s="1"/>
  <c r="Q36" i="63"/>
  <c r="J36" i="63"/>
  <c r="M36" i="63" s="1"/>
  <c r="X35" i="63"/>
  <c r="Q35" i="63"/>
  <c r="S35" i="63" s="1"/>
  <c r="U35" i="63" s="1"/>
  <c r="J35" i="63"/>
  <c r="M35" i="63" s="1"/>
  <c r="X34" i="63"/>
  <c r="Q34" i="63"/>
  <c r="S34" i="63" s="1"/>
  <c r="U34" i="63" s="1"/>
  <c r="J34" i="63"/>
  <c r="M34" i="63" s="1"/>
  <c r="X33" i="63"/>
  <c r="Q33" i="63"/>
  <c r="S33" i="63" s="1"/>
  <c r="U33" i="63" s="1"/>
  <c r="J33" i="63"/>
  <c r="M33" i="63" s="1"/>
  <c r="X32" i="63"/>
  <c r="S32" i="63"/>
  <c r="U32" i="63" s="1"/>
  <c r="Q32" i="63"/>
  <c r="J32" i="63"/>
  <c r="M32" i="63" s="1"/>
  <c r="X31" i="63"/>
  <c r="Q31" i="63"/>
  <c r="S31" i="63" s="1"/>
  <c r="U31" i="63" s="1"/>
  <c r="J31" i="63"/>
  <c r="M31" i="63" s="1"/>
  <c r="X30" i="63"/>
  <c r="Q30" i="63"/>
  <c r="S30" i="63" s="1"/>
  <c r="U30" i="63" s="1"/>
  <c r="J30" i="63"/>
  <c r="M30" i="63" s="1"/>
  <c r="X29" i="63"/>
  <c r="Q29" i="63"/>
  <c r="S29" i="63" s="1"/>
  <c r="U29" i="63" s="1"/>
  <c r="J29" i="63"/>
  <c r="M29" i="63" s="1"/>
  <c r="X28" i="63"/>
  <c r="Q28" i="63"/>
  <c r="S28" i="63" s="1"/>
  <c r="U28" i="63" s="1"/>
  <c r="J28" i="63"/>
  <c r="M28" i="63" s="1"/>
  <c r="X27" i="63"/>
  <c r="Q27" i="63"/>
  <c r="S27" i="63" s="1"/>
  <c r="U27" i="63" s="1"/>
  <c r="J27" i="63"/>
  <c r="M27" i="63" s="1"/>
  <c r="X26" i="63"/>
  <c r="Q26" i="63"/>
  <c r="S26" i="63" s="1"/>
  <c r="U26" i="63" s="1"/>
  <c r="J26" i="63"/>
  <c r="M26" i="63" s="1"/>
  <c r="X25" i="63"/>
  <c r="Q25" i="63"/>
  <c r="S25" i="63" s="1"/>
  <c r="U25" i="63" s="1"/>
  <c r="J25" i="63"/>
  <c r="M25" i="63" s="1"/>
  <c r="X24" i="63"/>
  <c r="Q24" i="63"/>
  <c r="S24" i="63" s="1"/>
  <c r="U24" i="63" s="1"/>
  <c r="J24" i="63"/>
  <c r="M24" i="63" s="1"/>
  <c r="X23" i="63"/>
  <c r="S23" i="63"/>
  <c r="U23" i="63" s="1"/>
  <c r="Q23" i="63"/>
  <c r="J23" i="63"/>
  <c r="M23" i="63" s="1"/>
  <c r="X22" i="63"/>
  <c r="Q22" i="63"/>
  <c r="S22" i="63" s="1"/>
  <c r="U22" i="63" s="1"/>
  <c r="J22" i="63"/>
  <c r="M22" i="63" s="1"/>
  <c r="X21" i="63"/>
  <c r="Q21" i="63"/>
  <c r="S21" i="63" s="1"/>
  <c r="U21" i="63" s="1"/>
  <c r="J21" i="63"/>
  <c r="M21" i="63" s="1"/>
  <c r="X20" i="63"/>
  <c r="Q20" i="63"/>
  <c r="S20" i="63" s="1"/>
  <c r="U20" i="63" s="1"/>
  <c r="J20" i="63"/>
  <c r="M20" i="63" s="1"/>
  <c r="X19" i="63"/>
  <c r="Q19" i="63"/>
  <c r="S19" i="63" s="1"/>
  <c r="U19" i="63" s="1"/>
  <c r="J19" i="63"/>
  <c r="M19" i="63" s="1"/>
  <c r="X18" i="63"/>
  <c r="Q18" i="63"/>
  <c r="S18" i="63" s="1"/>
  <c r="U18" i="63" s="1"/>
  <c r="J18" i="63"/>
  <c r="M18" i="63" s="1"/>
  <c r="X17" i="63"/>
  <c r="S17" i="63"/>
  <c r="U17" i="63" s="1"/>
  <c r="Q17" i="63"/>
  <c r="J17" i="63"/>
  <c r="M17" i="63" s="1"/>
  <c r="X16" i="63"/>
  <c r="Q16" i="63"/>
  <c r="S16" i="63" s="1"/>
  <c r="U16" i="63" s="1"/>
  <c r="J16" i="63"/>
  <c r="M16" i="63" s="1"/>
  <c r="X15" i="63"/>
  <c r="Q15" i="63"/>
  <c r="S15" i="63" s="1"/>
  <c r="U15" i="63" s="1"/>
  <c r="J15" i="63"/>
  <c r="M15" i="63" s="1"/>
  <c r="X14" i="63"/>
  <c r="Q14" i="63"/>
  <c r="S14" i="63" s="1"/>
  <c r="U14" i="63" s="1"/>
  <c r="J14" i="63"/>
  <c r="M14" i="63" s="1"/>
  <c r="X13" i="63"/>
  <c r="Q13" i="63"/>
  <c r="S13" i="63" s="1"/>
  <c r="U13" i="63" s="1"/>
  <c r="J13" i="63"/>
  <c r="M13" i="63" s="1"/>
  <c r="X12" i="63"/>
  <c r="Q12" i="63"/>
  <c r="S12" i="63" s="1"/>
  <c r="U12" i="63" s="1"/>
  <c r="J12" i="63"/>
  <c r="M12" i="63" s="1"/>
  <c r="X11" i="63"/>
  <c r="Q11" i="63"/>
  <c r="S11" i="63" s="1"/>
  <c r="U11" i="63" s="1"/>
  <c r="J11" i="63"/>
  <c r="M11" i="63" s="1"/>
  <c r="X10" i="63"/>
  <c r="Q10" i="63"/>
  <c r="S10" i="63" s="1"/>
  <c r="U10" i="63" s="1"/>
  <c r="J10" i="63"/>
  <c r="M10" i="63" s="1"/>
  <c r="X9" i="63"/>
  <c r="Q9" i="63"/>
  <c r="S9" i="63" s="1"/>
  <c r="U9" i="63" s="1"/>
  <c r="J9" i="63"/>
  <c r="M9" i="63" s="1"/>
  <c r="X8" i="63"/>
  <c r="Q8" i="63"/>
  <c r="S8" i="63" s="1"/>
  <c r="U8" i="63" s="1"/>
  <c r="J8" i="63"/>
  <c r="M8" i="63" s="1"/>
  <c r="X7" i="63"/>
  <c r="Q7" i="63"/>
  <c r="S7" i="63" s="1"/>
  <c r="U7" i="63" s="1"/>
  <c r="J7" i="63"/>
  <c r="M7" i="63" s="1"/>
  <c r="X6" i="63"/>
  <c r="Q6" i="63"/>
  <c r="S6" i="63" s="1"/>
  <c r="U6" i="63" s="1"/>
  <c r="J6" i="63"/>
  <c r="M6" i="63" s="1"/>
  <c r="X5" i="63"/>
  <c r="Q5" i="63"/>
  <c r="S5" i="63" s="1"/>
  <c r="U5" i="63" s="1"/>
  <c r="J5" i="63"/>
  <c r="K212" i="62"/>
  <c r="N33" i="15" s="1"/>
  <c r="K209" i="62"/>
  <c r="R33" i="15" s="1"/>
  <c r="J204" i="62"/>
  <c r="M204" i="62" s="1"/>
  <c r="J203" i="62"/>
  <c r="M203" i="62" s="1"/>
  <c r="J202" i="62"/>
  <c r="M202" i="62" s="1"/>
  <c r="J201" i="62"/>
  <c r="M201" i="62" s="1"/>
  <c r="J200" i="62"/>
  <c r="M200" i="62" s="1"/>
  <c r="J199" i="62"/>
  <c r="M199" i="62" s="1"/>
  <c r="M198" i="62"/>
  <c r="J198" i="62"/>
  <c r="J197" i="62"/>
  <c r="M197" i="62" s="1"/>
  <c r="J196" i="62"/>
  <c r="M196" i="62" s="1"/>
  <c r="J195" i="62"/>
  <c r="M195" i="62" s="1"/>
  <c r="J194" i="62"/>
  <c r="M194" i="62" s="1"/>
  <c r="J193" i="62"/>
  <c r="M193" i="62" s="1"/>
  <c r="J192" i="62"/>
  <c r="M192" i="62" s="1"/>
  <c r="J191" i="62"/>
  <c r="M191" i="62" s="1"/>
  <c r="J190" i="62"/>
  <c r="M190" i="62" s="1"/>
  <c r="J189" i="62"/>
  <c r="M189" i="62" s="1"/>
  <c r="J188" i="62"/>
  <c r="M188" i="62" s="1"/>
  <c r="J187" i="62"/>
  <c r="M187" i="62" s="1"/>
  <c r="J186" i="62"/>
  <c r="M186" i="62" s="1"/>
  <c r="J185" i="62"/>
  <c r="M185" i="62" s="1"/>
  <c r="M184" i="62"/>
  <c r="J184" i="62"/>
  <c r="J183" i="62"/>
  <c r="M183" i="62" s="1"/>
  <c r="J182" i="62"/>
  <c r="M182" i="62" s="1"/>
  <c r="J181" i="62"/>
  <c r="M181" i="62" s="1"/>
  <c r="J180" i="62"/>
  <c r="M180" i="62" s="1"/>
  <c r="J179" i="62"/>
  <c r="M179" i="62" s="1"/>
  <c r="J178" i="62"/>
  <c r="M178" i="62" s="1"/>
  <c r="J177" i="62"/>
  <c r="M177" i="62" s="1"/>
  <c r="J176" i="62"/>
  <c r="M176" i="62" s="1"/>
  <c r="J175" i="62"/>
  <c r="M175" i="62" s="1"/>
  <c r="J174" i="62"/>
  <c r="M174" i="62" s="1"/>
  <c r="J173" i="62"/>
  <c r="M173" i="62" s="1"/>
  <c r="J172" i="62"/>
  <c r="M172" i="62" s="1"/>
  <c r="J171" i="62"/>
  <c r="M171" i="62" s="1"/>
  <c r="J170" i="62"/>
  <c r="M170" i="62" s="1"/>
  <c r="J169" i="62"/>
  <c r="M169" i="62" s="1"/>
  <c r="J168" i="62"/>
  <c r="M168" i="62" s="1"/>
  <c r="J167" i="62"/>
  <c r="M167" i="62" s="1"/>
  <c r="J166" i="62"/>
  <c r="M166" i="62" s="1"/>
  <c r="J165" i="62"/>
  <c r="M165" i="62" s="1"/>
  <c r="J164" i="62"/>
  <c r="M164" i="62" s="1"/>
  <c r="J163" i="62"/>
  <c r="M163" i="62" s="1"/>
  <c r="J162" i="62"/>
  <c r="M162" i="62" s="1"/>
  <c r="J161" i="62"/>
  <c r="M161" i="62" s="1"/>
  <c r="J160" i="62"/>
  <c r="M160" i="62" s="1"/>
  <c r="J159" i="62"/>
  <c r="M159" i="62" s="1"/>
  <c r="J158" i="62"/>
  <c r="M158" i="62" s="1"/>
  <c r="J157" i="62"/>
  <c r="M157" i="62" s="1"/>
  <c r="J156" i="62"/>
  <c r="M156" i="62" s="1"/>
  <c r="J155" i="62"/>
  <c r="M155" i="62" s="1"/>
  <c r="J154" i="62"/>
  <c r="M154" i="62" s="1"/>
  <c r="J153" i="62"/>
  <c r="M153" i="62" s="1"/>
  <c r="J152" i="62"/>
  <c r="M152" i="62" s="1"/>
  <c r="J151" i="62"/>
  <c r="M151" i="62" s="1"/>
  <c r="J150" i="62"/>
  <c r="M150" i="62" s="1"/>
  <c r="M149" i="62"/>
  <c r="J149" i="62"/>
  <c r="J148" i="62"/>
  <c r="M148" i="62" s="1"/>
  <c r="J147" i="62"/>
  <c r="M147" i="62" s="1"/>
  <c r="J146" i="62"/>
  <c r="M146" i="62" s="1"/>
  <c r="J145" i="62"/>
  <c r="M145" i="62" s="1"/>
  <c r="J144" i="62"/>
  <c r="M144" i="62" s="1"/>
  <c r="J143" i="62"/>
  <c r="M143" i="62" s="1"/>
  <c r="M142" i="62"/>
  <c r="J142" i="62"/>
  <c r="J141" i="62"/>
  <c r="M141" i="62" s="1"/>
  <c r="J140" i="62"/>
  <c r="M140" i="62" s="1"/>
  <c r="J139" i="62"/>
  <c r="M139" i="62" s="1"/>
  <c r="J138" i="62"/>
  <c r="M138" i="62" s="1"/>
  <c r="J137" i="62"/>
  <c r="M137" i="62" s="1"/>
  <c r="J136" i="62"/>
  <c r="M136" i="62" s="1"/>
  <c r="J135" i="62"/>
  <c r="M135" i="62" s="1"/>
  <c r="J134" i="62"/>
  <c r="M134" i="62" s="1"/>
  <c r="J133" i="62"/>
  <c r="M133" i="62" s="1"/>
  <c r="J132" i="62"/>
  <c r="M132" i="62" s="1"/>
  <c r="J131" i="62"/>
  <c r="M131" i="62" s="1"/>
  <c r="J130" i="62"/>
  <c r="M130" i="62" s="1"/>
  <c r="J129" i="62"/>
  <c r="M129" i="62" s="1"/>
  <c r="J128" i="62"/>
  <c r="M128" i="62" s="1"/>
  <c r="J127" i="62"/>
  <c r="M127" i="62" s="1"/>
  <c r="J126" i="62"/>
  <c r="M126" i="62" s="1"/>
  <c r="J125" i="62"/>
  <c r="M125" i="62" s="1"/>
  <c r="J124" i="62"/>
  <c r="M124" i="62" s="1"/>
  <c r="J123" i="62"/>
  <c r="M123" i="62" s="1"/>
  <c r="J122" i="62"/>
  <c r="M122" i="62" s="1"/>
  <c r="J121" i="62"/>
  <c r="M121" i="62" s="1"/>
  <c r="J120" i="62"/>
  <c r="M120" i="62" s="1"/>
  <c r="J119" i="62"/>
  <c r="M119" i="62" s="1"/>
  <c r="J118" i="62"/>
  <c r="M118" i="62" s="1"/>
  <c r="J117" i="62"/>
  <c r="M117" i="62" s="1"/>
  <c r="M116" i="62"/>
  <c r="J116" i="62"/>
  <c r="J115" i="62"/>
  <c r="M115" i="62" s="1"/>
  <c r="J114" i="62"/>
  <c r="M114" i="62" s="1"/>
  <c r="J113" i="62"/>
  <c r="M113" i="62" s="1"/>
  <c r="J112" i="62"/>
  <c r="M112" i="62" s="1"/>
  <c r="J111" i="62"/>
  <c r="M111" i="62" s="1"/>
  <c r="J110" i="62"/>
  <c r="M110" i="62" s="1"/>
  <c r="J109" i="62"/>
  <c r="M109" i="62" s="1"/>
  <c r="J108" i="62"/>
  <c r="M108" i="62" s="1"/>
  <c r="J107" i="62"/>
  <c r="M107" i="62" s="1"/>
  <c r="J106" i="62"/>
  <c r="M106" i="62" s="1"/>
  <c r="Z105" i="62"/>
  <c r="J105" i="62"/>
  <c r="M105" i="62" s="1"/>
  <c r="X104" i="62"/>
  <c r="Q104" i="62"/>
  <c r="S104" i="62" s="1"/>
  <c r="U104" i="62" s="1"/>
  <c r="J104" i="62"/>
  <c r="M104" i="62" s="1"/>
  <c r="X103" i="62"/>
  <c r="Q103" i="62"/>
  <c r="S103" i="62" s="1"/>
  <c r="U103" i="62" s="1"/>
  <c r="J103" i="62"/>
  <c r="M103" i="62" s="1"/>
  <c r="X102" i="62"/>
  <c r="Q102" i="62"/>
  <c r="S102" i="62" s="1"/>
  <c r="U102" i="62" s="1"/>
  <c r="M102" i="62"/>
  <c r="J102" i="62"/>
  <c r="X101" i="62"/>
  <c r="Q101" i="62"/>
  <c r="S101" i="62" s="1"/>
  <c r="U101" i="62" s="1"/>
  <c r="J101" i="62"/>
  <c r="M101" i="62" s="1"/>
  <c r="X100" i="62"/>
  <c r="S100" i="62"/>
  <c r="U100" i="62" s="1"/>
  <c r="Q100" i="62"/>
  <c r="J100" i="62"/>
  <c r="M100" i="62" s="1"/>
  <c r="X99" i="62"/>
  <c r="S99" i="62"/>
  <c r="U99" i="62" s="1"/>
  <c r="Q99" i="62"/>
  <c r="J99" i="62"/>
  <c r="M99" i="62" s="1"/>
  <c r="X98" i="62"/>
  <c r="Q98" i="62"/>
  <c r="S98" i="62" s="1"/>
  <c r="U98" i="62" s="1"/>
  <c r="J98" i="62"/>
  <c r="M98" i="62" s="1"/>
  <c r="X97" i="62"/>
  <c r="Q97" i="62"/>
  <c r="S97" i="62" s="1"/>
  <c r="U97" i="62" s="1"/>
  <c r="J97" i="62"/>
  <c r="M97" i="62" s="1"/>
  <c r="X96" i="62"/>
  <c r="Q96" i="62"/>
  <c r="S96" i="62" s="1"/>
  <c r="U96" i="62" s="1"/>
  <c r="J96" i="62"/>
  <c r="M96" i="62" s="1"/>
  <c r="X95" i="62"/>
  <c r="Q95" i="62"/>
  <c r="S95" i="62" s="1"/>
  <c r="U95" i="62" s="1"/>
  <c r="J95" i="62"/>
  <c r="M95" i="62" s="1"/>
  <c r="X94" i="62"/>
  <c r="Q94" i="62"/>
  <c r="S94" i="62" s="1"/>
  <c r="U94" i="62" s="1"/>
  <c r="J94" i="62"/>
  <c r="M94" i="62" s="1"/>
  <c r="X93" i="62"/>
  <c r="Q93" i="62"/>
  <c r="S93" i="62" s="1"/>
  <c r="U93" i="62" s="1"/>
  <c r="J93" i="62"/>
  <c r="M93" i="62" s="1"/>
  <c r="X92" i="62"/>
  <c r="Q92" i="62"/>
  <c r="S92" i="62" s="1"/>
  <c r="U92" i="62" s="1"/>
  <c r="J92" i="62"/>
  <c r="M92" i="62" s="1"/>
  <c r="X91" i="62"/>
  <c r="U91" i="62"/>
  <c r="Q91" i="62"/>
  <c r="S91" i="62" s="1"/>
  <c r="J91" i="62"/>
  <c r="M91" i="62" s="1"/>
  <c r="X90" i="62"/>
  <c r="Q90" i="62"/>
  <c r="S90" i="62" s="1"/>
  <c r="U90" i="62" s="1"/>
  <c r="J90" i="62"/>
  <c r="M90" i="62" s="1"/>
  <c r="X89" i="62"/>
  <c r="Q89" i="62"/>
  <c r="S89" i="62" s="1"/>
  <c r="U89" i="62" s="1"/>
  <c r="J89" i="62"/>
  <c r="M89" i="62" s="1"/>
  <c r="X88" i="62"/>
  <c r="Q88" i="62"/>
  <c r="S88" i="62" s="1"/>
  <c r="U88" i="62" s="1"/>
  <c r="J88" i="62"/>
  <c r="M88" i="62" s="1"/>
  <c r="X87" i="62"/>
  <c r="Q87" i="62"/>
  <c r="S87" i="62" s="1"/>
  <c r="U87" i="62" s="1"/>
  <c r="J87" i="62"/>
  <c r="M87" i="62" s="1"/>
  <c r="X86" i="62"/>
  <c r="Q86" i="62"/>
  <c r="S86" i="62" s="1"/>
  <c r="U86" i="62" s="1"/>
  <c r="J86" i="62"/>
  <c r="M86" i="62" s="1"/>
  <c r="X85" i="62"/>
  <c r="Q85" i="62"/>
  <c r="S85" i="62" s="1"/>
  <c r="U85" i="62" s="1"/>
  <c r="J85" i="62"/>
  <c r="M85" i="62" s="1"/>
  <c r="X84" i="62"/>
  <c r="Q84" i="62"/>
  <c r="S84" i="62" s="1"/>
  <c r="U84" i="62" s="1"/>
  <c r="J84" i="62"/>
  <c r="M84" i="62" s="1"/>
  <c r="X83" i="62"/>
  <c r="Q83" i="62"/>
  <c r="S83" i="62" s="1"/>
  <c r="U83" i="62" s="1"/>
  <c r="J83" i="62"/>
  <c r="M83" i="62" s="1"/>
  <c r="X82" i="62"/>
  <c r="Q82" i="62"/>
  <c r="S82" i="62" s="1"/>
  <c r="U82" i="62" s="1"/>
  <c r="J82" i="62"/>
  <c r="M82" i="62" s="1"/>
  <c r="X81" i="62"/>
  <c r="Q81" i="62"/>
  <c r="S81" i="62" s="1"/>
  <c r="U81" i="62" s="1"/>
  <c r="J81" i="62"/>
  <c r="M81" i="62" s="1"/>
  <c r="X80" i="62"/>
  <c r="Q80" i="62"/>
  <c r="S80" i="62" s="1"/>
  <c r="U80" i="62" s="1"/>
  <c r="J80" i="62"/>
  <c r="M80" i="62" s="1"/>
  <c r="X79" i="62"/>
  <c r="S79" i="62"/>
  <c r="U79" i="62" s="1"/>
  <c r="Q79" i="62"/>
  <c r="J79" i="62"/>
  <c r="M79" i="62" s="1"/>
  <c r="X78" i="62"/>
  <c r="Q78" i="62"/>
  <c r="S78" i="62" s="1"/>
  <c r="U78" i="62" s="1"/>
  <c r="M78" i="62"/>
  <c r="J78" i="62"/>
  <c r="X77" i="62"/>
  <c r="Q77" i="62"/>
  <c r="S77" i="62" s="1"/>
  <c r="U77" i="62" s="1"/>
  <c r="J77" i="62"/>
  <c r="M77" i="62" s="1"/>
  <c r="X76" i="62"/>
  <c r="Q76" i="62"/>
  <c r="S76" i="62" s="1"/>
  <c r="U76" i="62" s="1"/>
  <c r="J76" i="62"/>
  <c r="M76" i="62" s="1"/>
  <c r="X75" i="62"/>
  <c r="S75" i="62"/>
  <c r="U75" i="62" s="1"/>
  <c r="Q75" i="62"/>
  <c r="J75" i="62"/>
  <c r="M75" i="62" s="1"/>
  <c r="X74" i="62"/>
  <c r="S74" i="62"/>
  <c r="U74" i="62" s="1"/>
  <c r="Q74" i="62"/>
  <c r="J74" i="62"/>
  <c r="M74" i="62" s="1"/>
  <c r="X73" i="62"/>
  <c r="Q73" i="62"/>
  <c r="S73" i="62" s="1"/>
  <c r="U73" i="62" s="1"/>
  <c r="J73" i="62"/>
  <c r="M73" i="62" s="1"/>
  <c r="X72" i="62"/>
  <c r="Q72" i="62"/>
  <c r="S72" i="62" s="1"/>
  <c r="U72" i="62" s="1"/>
  <c r="J72" i="62"/>
  <c r="M72" i="62" s="1"/>
  <c r="X71" i="62"/>
  <c r="Q71" i="62"/>
  <c r="S71" i="62" s="1"/>
  <c r="U71" i="62" s="1"/>
  <c r="J71" i="62"/>
  <c r="M71" i="62" s="1"/>
  <c r="X70" i="62"/>
  <c r="Q70" i="62"/>
  <c r="S70" i="62" s="1"/>
  <c r="U70" i="62" s="1"/>
  <c r="J70" i="62"/>
  <c r="M70" i="62" s="1"/>
  <c r="X69" i="62"/>
  <c r="Q69" i="62"/>
  <c r="S69" i="62" s="1"/>
  <c r="U69" i="62" s="1"/>
  <c r="M69" i="62"/>
  <c r="J69" i="62"/>
  <c r="X68" i="62"/>
  <c r="S68" i="62"/>
  <c r="U68" i="62" s="1"/>
  <c r="Q68" i="62"/>
  <c r="J68" i="62"/>
  <c r="M68" i="62" s="1"/>
  <c r="X67" i="62"/>
  <c r="Q67" i="62"/>
  <c r="S67" i="62" s="1"/>
  <c r="U67" i="62" s="1"/>
  <c r="J67" i="62"/>
  <c r="M67" i="62" s="1"/>
  <c r="X66" i="62"/>
  <c r="U66" i="62"/>
  <c r="Q66" i="62"/>
  <c r="S66" i="62" s="1"/>
  <c r="J66" i="62"/>
  <c r="M66" i="62" s="1"/>
  <c r="X65" i="62"/>
  <c r="Q65" i="62"/>
  <c r="S65" i="62" s="1"/>
  <c r="U65" i="62" s="1"/>
  <c r="J65" i="62"/>
  <c r="M65" i="62" s="1"/>
  <c r="X64" i="62"/>
  <c r="Q64" i="62"/>
  <c r="S64" i="62" s="1"/>
  <c r="U64" i="62" s="1"/>
  <c r="J64" i="62"/>
  <c r="M64" i="62" s="1"/>
  <c r="X63" i="62"/>
  <c r="Q63" i="62"/>
  <c r="S63" i="62" s="1"/>
  <c r="U63" i="62" s="1"/>
  <c r="J63" i="62"/>
  <c r="M63" i="62" s="1"/>
  <c r="X62" i="62"/>
  <c r="Q62" i="62"/>
  <c r="S62" i="62" s="1"/>
  <c r="U62" i="62" s="1"/>
  <c r="J62" i="62"/>
  <c r="M62" i="62" s="1"/>
  <c r="X61" i="62"/>
  <c r="Q61" i="62"/>
  <c r="S61" i="62" s="1"/>
  <c r="U61" i="62" s="1"/>
  <c r="J61" i="62"/>
  <c r="M61" i="62" s="1"/>
  <c r="X60" i="62"/>
  <c r="Q60" i="62"/>
  <c r="S60" i="62" s="1"/>
  <c r="U60" i="62" s="1"/>
  <c r="J60" i="62"/>
  <c r="M60" i="62" s="1"/>
  <c r="X59" i="62"/>
  <c r="Q59" i="62"/>
  <c r="S59" i="62" s="1"/>
  <c r="U59" i="62" s="1"/>
  <c r="J59" i="62"/>
  <c r="M59" i="62" s="1"/>
  <c r="X58" i="62"/>
  <c r="S58" i="62"/>
  <c r="U58" i="62" s="1"/>
  <c r="Q58" i="62"/>
  <c r="J58" i="62"/>
  <c r="M58" i="62" s="1"/>
  <c r="X57" i="62"/>
  <c r="Q57" i="62"/>
  <c r="S57" i="62" s="1"/>
  <c r="U57" i="62" s="1"/>
  <c r="J57" i="62"/>
  <c r="M57" i="62" s="1"/>
  <c r="X56" i="62"/>
  <c r="Q56" i="62"/>
  <c r="S56" i="62" s="1"/>
  <c r="U56" i="62" s="1"/>
  <c r="J56" i="62"/>
  <c r="M56" i="62" s="1"/>
  <c r="X55" i="62"/>
  <c r="Q55" i="62"/>
  <c r="S55" i="62" s="1"/>
  <c r="U55" i="62" s="1"/>
  <c r="J55" i="62"/>
  <c r="M55" i="62" s="1"/>
  <c r="X54" i="62"/>
  <c r="Q54" i="62"/>
  <c r="S54" i="62" s="1"/>
  <c r="U54" i="62" s="1"/>
  <c r="J54" i="62"/>
  <c r="M54" i="62" s="1"/>
  <c r="X53" i="62"/>
  <c r="Q53" i="62"/>
  <c r="S53" i="62" s="1"/>
  <c r="U53" i="62" s="1"/>
  <c r="J53" i="62"/>
  <c r="M53" i="62" s="1"/>
  <c r="X52" i="62"/>
  <c r="Q52" i="62"/>
  <c r="S52" i="62" s="1"/>
  <c r="U52" i="62" s="1"/>
  <c r="M52" i="62"/>
  <c r="J52" i="62"/>
  <c r="X51" i="62"/>
  <c r="Q51" i="62"/>
  <c r="S51" i="62" s="1"/>
  <c r="U51" i="62" s="1"/>
  <c r="J51" i="62"/>
  <c r="M51" i="62" s="1"/>
  <c r="X50" i="62"/>
  <c r="Q50" i="62"/>
  <c r="S50" i="62" s="1"/>
  <c r="U50" i="62" s="1"/>
  <c r="J50" i="62"/>
  <c r="M50" i="62" s="1"/>
  <c r="X49" i="62"/>
  <c r="Q49" i="62"/>
  <c r="S49" i="62" s="1"/>
  <c r="U49" i="62" s="1"/>
  <c r="J49" i="62"/>
  <c r="M49" i="62" s="1"/>
  <c r="X48" i="62"/>
  <c r="S48" i="62"/>
  <c r="U48" i="62" s="1"/>
  <c r="Q48" i="62"/>
  <c r="J48" i="62"/>
  <c r="M48" i="62" s="1"/>
  <c r="X47" i="62"/>
  <c r="U47" i="62"/>
  <c r="S47" i="62"/>
  <c r="Q47" i="62"/>
  <c r="J47" i="62"/>
  <c r="M47" i="62" s="1"/>
  <c r="X46" i="62"/>
  <c r="Q46" i="62"/>
  <c r="S46" i="62" s="1"/>
  <c r="U46" i="62" s="1"/>
  <c r="J46" i="62"/>
  <c r="M46" i="62" s="1"/>
  <c r="X45" i="62"/>
  <c r="Q45" i="62"/>
  <c r="S45" i="62" s="1"/>
  <c r="U45" i="62" s="1"/>
  <c r="J45" i="62"/>
  <c r="M45" i="62" s="1"/>
  <c r="X44" i="62"/>
  <c r="Q44" i="62"/>
  <c r="S44" i="62" s="1"/>
  <c r="U44" i="62" s="1"/>
  <c r="J44" i="62"/>
  <c r="M44" i="62" s="1"/>
  <c r="X43" i="62"/>
  <c r="Q43" i="62"/>
  <c r="S43" i="62" s="1"/>
  <c r="U43" i="62" s="1"/>
  <c r="J43" i="62"/>
  <c r="M43" i="62" s="1"/>
  <c r="X42" i="62"/>
  <c r="Q42" i="62"/>
  <c r="S42" i="62" s="1"/>
  <c r="U42" i="62" s="1"/>
  <c r="J42" i="62"/>
  <c r="M42" i="62" s="1"/>
  <c r="X41" i="62"/>
  <c r="Q41" i="62"/>
  <c r="S41" i="62" s="1"/>
  <c r="U41" i="62" s="1"/>
  <c r="J41" i="62"/>
  <c r="M41" i="62" s="1"/>
  <c r="X40" i="62"/>
  <c r="Q40" i="62"/>
  <c r="S40" i="62" s="1"/>
  <c r="U40" i="62" s="1"/>
  <c r="J40" i="62"/>
  <c r="M40" i="62" s="1"/>
  <c r="X39" i="62"/>
  <c r="Q39" i="62"/>
  <c r="S39" i="62" s="1"/>
  <c r="U39" i="62" s="1"/>
  <c r="J39" i="62"/>
  <c r="M39" i="62" s="1"/>
  <c r="X38" i="62"/>
  <c r="Q38" i="62"/>
  <c r="S38" i="62" s="1"/>
  <c r="U38" i="62" s="1"/>
  <c r="J38" i="62"/>
  <c r="M38" i="62" s="1"/>
  <c r="X37" i="62"/>
  <c r="Q37" i="62"/>
  <c r="S37" i="62" s="1"/>
  <c r="U37" i="62" s="1"/>
  <c r="J37" i="62"/>
  <c r="M37" i="62" s="1"/>
  <c r="X36" i="62"/>
  <c r="S36" i="62"/>
  <c r="U36" i="62" s="1"/>
  <c r="Q36" i="62"/>
  <c r="J36" i="62"/>
  <c r="M36" i="62" s="1"/>
  <c r="X35" i="62"/>
  <c r="Q35" i="62"/>
  <c r="S35" i="62" s="1"/>
  <c r="U35" i="62" s="1"/>
  <c r="J35" i="62"/>
  <c r="M35" i="62" s="1"/>
  <c r="X34" i="62"/>
  <c r="S34" i="62"/>
  <c r="U34" i="62" s="1"/>
  <c r="Q34" i="62"/>
  <c r="J34" i="62"/>
  <c r="M34" i="62" s="1"/>
  <c r="X33" i="62"/>
  <c r="Q33" i="62"/>
  <c r="S33" i="62" s="1"/>
  <c r="U33" i="62" s="1"/>
  <c r="J33" i="62"/>
  <c r="M33" i="62" s="1"/>
  <c r="X32" i="62"/>
  <c r="Q32" i="62"/>
  <c r="S32" i="62" s="1"/>
  <c r="U32" i="62" s="1"/>
  <c r="J32" i="62"/>
  <c r="M32" i="62" s="1"/>
  <c r="X31" i="62"/>
  <c r="S31" i="62"/>
  <c r="U31" i="62" s="1"/>
  <c r="Q31" i="62"/>
  <c r="J31" i="62"/>
  <c r="M31" i="62" s="1"/>
  <c r="X30" i="62"/>
  <c r="Q30" i="62"/>
  <c r="S30" i="62" s="1"/>
  <c r="U30" i="62" s="1"/>
  <c r="J30" i="62"/>
  <c r="M30" i="62" s="1"/>
  <c r="X29" i="62"/>
  <c r="Q29" i="62"/>
  <c r="S29" i="62" s="1"/>
  <c r="U29" i="62" s="1"/>
  <c r="J29" i="62"/>
  <c r="M29" i="62" s="1"/>
  <c r="X28" i="62"/>
  <c r="Q28" i="62"/>
  <c r="S28" i="62" s="1"/>
  <c r="U28" i="62" s="1"/>
  <c r="J28" i="62"/>
  <c r="M28" i="62" s="1"/>
  <c r="X27" i="62"/>
  <c r="Q27" i="62"/>
  <c r="S27" i="62" s="1"/>
  <c r="U27" i="62" s="1"/>
  <c r="J27" i="62"/>
  <c r="M27" i="62" s="1"/>
  <c r="X26" i="62"/>
  <c r="Q26" i="62"/>
  <c r="S26" i="62" s="1"/>
  <c r="U26" i="62" s="1"/>
  <c r="J26" i="62"/>
  <c r="M26" i="62" s="1"/>
  <c r="X25" i="62"/>
  <c r="S25" i="62"/>
  <c r="U25" i="62" s="1"/>
  <c r="Q25" i="62"/>
  <c r="J25" i="62"/>
  <c r="M25" i="62" s="1"/>
  <c r="X24" i="62"/>
  <c r="Q24" i="62"/>
  <c r="S24" i="62" s="1"/>
  <c r="U24" i="62" s="1"/>
  <c r="J24" i="62"/>
  <c r="M24" i="62" s="1"/>
  <c r="X23" i="62"/>
  <c r="Q23" i="62"/>
  <c r="S23" i="62" s="1"/>
  <c r="U23" i="62" s="1"/>
  <c r="J23" i="62"/>
  <c r="M23" i="62" s="1"/>
  <c r="X22" i="62"/>
  <c r="Q22" i="62"/>
  <c r="S22" i="62" s="1"/>
  <c r="U22" i="62" s="1"/>
  <c r="J22" i="62"/>
  <c r="M22" i="62" s="1"/>
  <c r="X21" i="62"/>
  <c r="Q21" i="62"/>
  <c r="S21" i="62" s="1"/>
  <c r="U21" i="62" s="1"/>
  <c r="J21" i="62"/>
  <c r="M21" i="62" s="1"/>
  <c r="X20" i="62"/>
  <c r="Q20" i="62"/>
  <c r="S20" i="62" s="1"/>
  <c r="U20" i="62" s="1"/>
  <c r="J20" i="62"/>
  <c r="M20" i="62" s="1"/>
  <c r="X19" i="62"/>
  <c r="Q19" i="62"/>
  <c r="S19" i="62" s="1"/>
  <c r="U19" i="62" s="1"/>
  <c r="J19" i="62"/>
  <c r="M19" i="62" s="1"/>
  <c r="X18" i="62"/>
  <c r="Q18" i="62"/>
  <c r="S18" i="62" s="1"/>
  <c r="U18" i="62" s="1"/>
  <c r="J18" i="62"/>
  <c r="M18" i="62" s="1"/>
  <c r="X17" i="62"/>
  <c r="Q17" i="62"/>
  <c r="S17" i="62" s="1"/>
  <c r="U17" i="62" s="1"/>
  <c r="J17" i="62"/>
  <c r="M17" i="62" s="1"/>
  <c r="X16" i="62"/>
  <c r="Q16" i="62"/>
  <c r="S16" i="62" s="1"/>
  <c r="U16" i="62" s="1"/>
  <c r="J16" i="62"/>
  <c r="M16" i="62" s="1"/>
  <c r="X15" i="62"/>
  <c r="S15" i="62"/>
  <c r="U15" i="62" s="1"/>
  <c r="Q15" i="62"/>
  <c r="J15" i="62"/>
  <c r="M15" i="62" s="1"/>
  <c r="X14" i="62"/>
  <c r="Q14" i="62"/>
  <c r="S14" i="62" s="1"/>
  <c r="U14" i="62" s="1"/>
  <c r="J14" i="62"/>
  <c r="M14" i="62" s="1"/>
  <c r="X13" i="62"/>
  <c r="Q13" i="62"/>
  <c r="S13" i="62" s="1"/>
  <c r="U13" i="62" s="1"/>
  <c r="J13" i="62"/>
  <c r="M13" i="62" s="1"/>
  <c r="X12" i="62"/>
  <c r="Q12" i="62"/>
  <c r="S12" i="62" s="1"/>
  <c r="U12" i="62" s="1"/>
  <c r="J12" i="62"/>
  <c r="M12" i="62" s="1"/>
  <c r="X11" i="62"/>
  <c r="Q11" i="62"/>
  <c r="S11" i="62" s="1"/>
  <c r="U11" i="62" s="1"/>
  <c r="J11" i="62"/>
  <c r="M11" i="62" s="1"/>
  <c r="X10" i="62"/>
  <c r="Q10" i="62"/>
  <c r="S10" i="62" s="1"/>
  <c r="U10" i="62" s="1"/>
  <c r="J10" i="62"/>
  <c r="M10" i="62" s="1"/>
  <c r="X9" i="62"/>
  <c r="Q9" i="62"/>
  <c r="S9" i="62" s="1"/>
  <c r="U9" i="62" s="1"/>
  <c r="J9" i="62"/>
  <c r="M9" i="62" s="1"/>
  <c r="X8" i="62"/>
  <c r="Q8" i="62"/>
  <c r="S8" i="62" s="1"/>
  <c r="U8" i="62" s="1"/>
  <c r="J8" i="62"/>
  <c r="M8" i="62" s="1"/>
  <c r="X7" i="62"/>
  <c r="S7" i="62"/>
  <c r="U7" i="62" s="1"/>
  <c r="Q7" i="62"/>
  <c r="J7" i="62"/>
  <c r="M7" i="62" s="1"/>
  <c r="X6" i="62"/>
  <c r="Q6" i="62"/>
  <c r="S6" i="62" s="1"/>
  <c r="U6" i="62" s="1"/>
  <c r="J6" i="62"/>
  <c r="M6" i="62" s="1"/>
  <c r="X5" i="62"/>
  <c r="Q5" i="62"/>
  <c r="S5" i="62" s="1"/>
  <c r="U5" i="62" s="1"/>
  <c r="J5" i="62"/>
  <c r="M5" i="62" s="1"/>
  <c r="K212" i="61"/>
  <c r="N32" i="15" s="1"/>
  <c r="K209" i="61"/>
  <c r="J204" i="61"/>
  <c r="M204" i="61" s="1"/>
  <c r="J203" i="61"/>
  <c r="M203" i="61" s="1"/>
  <c r="J202" i="61"/>
  <c r="M202" i="61" s="1"/>
  <c r="J201" i="61"/>
  <c r="M201" i="61" s="1"/>
  <c r="M200" i="61"/>
  <c r="J200" i="61"/>
  <c r="J199" i="61"/>
  <c r="M199" i="61" s="1"/>
  <c r="J198" i="61"/>
  <c r="M198" i="61" s="1"/>
  <c r="J197" i="61"/>
  <c r="M197" i="61" s="1"/>
  <c r="J196" i="61"/>
  <c r="M196" i="61" s="1"/>
  <c r="J195" i="61"/>
  <c r="M195" i="61" s="1"/>
  <c r="J194" i="61"/>
  <c r="M194" i="61" s="1"/>
  <c r="J193" i="61"/>
  <c r="M193" i="61" s="1"/>
  <c r="J192" i="61"/>
  <c r="M192" i="61" s="1"/>
  <c r="J191" i="61"/>
  <c r="M191" i="61" s="1"/>
  <c r="J190" i="61"/>
  <c r="M190" i="61" s="1"/>
  <c r="J189" i="61"/>
  <c r="M189" i="61" s="1"/>
  <c r="J188" i="61"/>
  <c r="M188" i="61" s="1"/>
  <c r="J187" i="61"/>
  <c r="M187" i="61" s="1"/>
  <c r="J186" i="61"/>
  <c r="M186" i="61" s="1"/>
  <c r="J185" i="61"/>
  <c r="M185" i="61" s="1"/>
  <c r="J184" i="61"/>
  <c r="M184" i="61" s="1"/>
  <c r="J183" i="61"/>
  <c r="M183" i="61" s="1"/>
  <c r="J182" i="61"/>
  <c r="M182" i="61" s="1"/>
  <c r="J181" i="61"/>
  <c r="M181" i="61" s="1"/>
  <c r="J180" i="61"/>
  <c r="M180" i="61" s="1"/>
  <c r="J179" i="61"/>
  <c r="M179" i="61" s="1"/>
  <c r="J178" i="61"/>
  <c r="M178" i="61" s="1"/>
  <c r="J177" i="61"/>
  <c r="M177" i="61" s="1"/>
  <c r="J176" i="61"/>
  <c r="M176" i="61" s="1"/>
  <c r="J175" i="61"/>
  <c r="M175" i="61" s="1"/>
  <c r="J174" i="61"/>
  <c r="M174" i="61" s="1"/>
  <c r="J173" i="61"/>
  <c r="M173" i="61" s="1"/>
  <c r="J172" i="61"/>
  <c r="M172" i="61" s="1"/>
  <c r="J171" i="61"/>
  <c r="M171" i="61" s="1"/>
  <c r="J170" i="61"/>
  <c r="M170" i="61" s="1"/>
  <c r="J169" i="61"/>
  <c r="M169" i="61" s="1"/>
  <c r="J168" i="61"/>
  <c r="M168" i="61" s="1"/>
  <c r="J167" i="61"/>
  <c r="M167" i="61" s="1"/>
  <c r="J166" i="61"/>
  <c r="M166" i="61" s="1"/>
  <c r="J165" i="61"/>
  <c r="M165" i="61" s="1"/>
  <c r="J164" i="61"/>
  <c r="M164" i="61" s="1"/>
  <c r="J163" i="61"/>
  <c r="M163" i="61" s="1"/>
  <c r="J162" i="61"/>
  <c r="M162" i="61" s="1"/>
  <c r="J161" i="61"/>
  <c r="M161" i="61" s="1"/>
  <c r="J160" i="61"/>
  <c r="M160" i="61" s="1"/>
  <c r="J159" i="61"/>
  <c r="M159" i="61" s="1"/>
  <c r="J158" i="61"/>
  <c r="M158" i="61" s="1"/>
  <c r="J157" i="61"/>
  <c r="M157" i="61" s="1"/>
  <c r="J156" i="61"/>
  <c r="M156" i="61" s="1"/>
  <c r="J155" i="61"/>
  <c r="M155" i="61" s="1"/>
  <c r="J154" i="61"/>
  <c r="M154" i="61" s="1"/>
  <c r="J153" i="61"/>
  <c r="M153" i="61" s="1"/>
  <c r="J152" i="61"/>
  <c r="M152" i="61" s="1"/>
  <c r="J151" i="61"/>
  <c r="M151" i="61" s="1"/>
  <c r="J150" i="61"/>
  <c r="M150" i="61" s="1"/>
  <c r="J149" i="61"/>
  <c r="M149" i="61" s="1"/>
  <c r="J148" i="61"/>
  <c r="M148" i="61" s="1"/>
  <c r="J147" i="61"/>
  <c r="M147" i="61" s="1"/>
  <c r="J146" i="61"/>
  <c r="M146" i="61" s="1"/>
  <c r="J145" i="61"/>
  <c r="M145" i="61" s="1"/>
  <c r="J144" i="61"/>
  <c r="M144" i="61" s="1"/>
  <c r="J143" i="61"/>
  <c r="M143" i="61" s="1"/>
  <c r="J142" i="61"/>
  <c r="M142" i="61" s="1"/>
  <c r="J141" i="61"/>
  <c r="M141" i="61" s="1"/>
  <c r="J140" i="61"/>
  <c r="M140" i="61" s="1"/>
  <c r="J139" i="61"/>
  <c r="M139" i="61" s="1"/>
  <c r="J138" i="61"/>
  <c r="M138" i="61" s="1"/>
  <c r="J137" i="61"/>
  <c r="M137" i="61" s="1"/>
  <c r="J136" i="61"/>
  <c r="M136" i="61" s="1"/>
  <c r="J135" i="61"/>
  <c r="M135" i="61" s="1"/>
  <c r="J134" i="61"/>
  <c r="M134" i="61" s="1"/>
  <c r="J133" i="61"/>
  <c r="M133" i="61" s="1"/>
  <c r="J132" i="61"/>
  <c r="M132" i="61" s="1"/>
  <c r="J131" i="61"/>
  <c r="M131" i="61" s="1"/>
  <c r="J130" i="61"/>
  <c r="M130" i="61" s="1"/>
  <c r="J129" i="61"/>
  <c r="M129" i="61" s="1"/>
  <c r="J128" i="61"/>
  <c r="M128" i="61" s="1"/>
  <c r="J127" i="61"/>
  <c r="M127" i="61" s="1"/>
  <c r="M126" i="61"/>
  <c r="J126" i="61"/>
  <c r="J125" i="61"/>
  <c r="M125" i="61" s="1"/>
  <c r="J124" i="61"/>
  <c r="M124" i="61" s="1"/>
  <c r="J123" i="61"/>
  <c r="M123" i="61" s="1"/>
  <c r="J122" i="61"/>
  <c r="M122" i="61" s="1"/>
  <c r="J121" i="61"/>
  <c r="M121" i="61" s="1"/>
  <c r="J120" i="61"/>
  <c r="M120" i="61" s="1"/>
  <c r="J119" i="61"/>
  <c r="M119" i="61" s="1"/>
  <c r="J118" i="61"/>
  <c r="M118" i="61" s="1"/>
  <c r="J117" i="61"/>
  <c r="M117" i="61" s="1"/>
  <c r="J116" i="61"/>
  <c r="M116" i="61" s="1"/>
  <c r="J115" i="61"/>
  <c r="M115" i="61" s="1"/>
  <c r="J114" i="61"/>
  <c r="M114" i="61" s="1"/>
  <c r="J113" i="61"/>
  <c r="M113" i="61" s="1"/>
  <c r="J112" i="61"/>
  <c r="M112" i="61" s="1"/>
  <c r="J111" i="61"/>
  <c r="M111" i="61" s="1"/>
  <c r="J110" i="61"/>
  <c r="M110" i="61" s="1"/>
  <c r="J109" i="61"/>
  <c r="M109" i="61" s="1"/>
  <c r="J108" i="61"/>
  <c r="M108" i="61" s="1"/>
  <c r="J107" i="61"/>
  <c r="M107" i="61" s="1"/>
  <c r="J106" i="61"/>
  <c r="M106" i="61" s="1"/>
  <c r="Z105" i="61"/>
  <c r="J105" i="61"/>
  <c r="M105" i="61" s="1"/>
  <c r="X104" i="61"/>
  <c r="Q104" i="61"/>
  <c r="S104" i="61" s="1"/>
  <c r="U104" i="61" s="1"/>
  <c r="J104" i="61"/>
  <c r="M104" i="61" s="1"/>
  <c r="X103" i="61"/>
  <c r="Q103" i="61"/>
  <c r="S103" i="61" s="1"/>
  <c r="U103" i="61" s="1"/>
  <c r="J103" i="61"/>
  <c r="M103" i="61" s="1"/>
  <c r="X102" i="61"/>
  <c r="S102" i="61"/>
  <c r="U102" i="61" s="1"/>
  <c r="Q102" i="61"/>
  <c r="J102" i="61"/>
  <c r="M102" i="61" s="1"/>
  <c r="X101" i="61"/>
  <c r="S101" i="61"/>
  <c r="U101" i="61" s="1"/>
  <c r="Q101" i="61"/>
  <c r="J101" i="61"/>
  <c r="M101" i="61" s="1"/>
  <c r="X100" i="61"/>
  <c r="Q100" i="61"/>
  <c r="S100" i="61" s="1"/>
  <c r="U100" i="61" s="1"/>
  <c r="J100" i="61"/>
  <c r="M100" i="61" s="1"/>
  <c r="X99" i="61"/>
  <c r="Q99" i="61"/>
  <c r="S99" i="61" s="1"/>
  <c r="U99" i="61" s="1"/>
  <c r="J99" i="61"/>
  <c r="M99" i="61" s="1"/>
  <c r="X98" i="61"/>
  <c r="U98" i="61"/>
  <c r="Q98" i="61"/>
  <c r="S98" i="61" s="1"/>
  <c r="J98" i="61"/>
  <c r="M98" i="61" s="1"/>
  <c r="X97" i="61"/>
  <c r="Q97" i="61"/>
  <c r="S97" i="61" s="1"/>
  <c r="U97" i="61" s="1"/>
  <c r="J97" i="61"/>
  <c r="M97" i="61" s="1"/>
  <c r="X96" i="61"/>
  <c r="Q96" i="61"/>
  <c r="S96" i="61" s="1"/>
  <c r="U96" i="61" s="1"/>
  <c r="J96" i="61"/>
  <c r="M96" i="61" s="1"/>
  <c r="X95" i="61"/>
  <c r="Q95" i="61"/>
  <c r="S95" i="61" s="1"/>
  <c r="U95" i="61" s="1"/>
  <c r="J95" i="61"/>
  <c r="M95" i="61" s="1"/>
  <c r="X94" i="61"/>
  <c r="S94" i="61"/>
  <c r="U94" i="61" s="1"/>
  <c r="Q94" i="61"/>
  <c r="J94" i="61"/>
  <c r="M94" i="61" s="1"/>
  <c r="X93" i="61"/>
  <c r="S93" i="61"/>
  <c r="U93" i="61" s="1"/>
  <c r="Q93" i="61"/>
  <c r="J93" i="61"/>
  <c r="M93" i="61" s="1"/>
  <c r="X92" i="61"/>
  <c r="S92" i="61"/>
  <c r="U92" i="61" s="1"/>
  <c r="Q92" i="61"/>
  <c r="J92" i="61"/>
  <c r="M92" i="61" s="1"/>
  <c r="X91" i="61"/>
  <c r="Q91" i="61"/>
  <c r="S91" i="61" s="1"/>
  <c r="U91" i="61" s="1"/>
  <c r="J91" i="61"/>
  <c r="M91" i="61" s="1"/>
  <c r="X90" i="61"/>
  <c r="Q90" i="61"/>
  <c r="S90" i="61" s="1"/>
  <c r="U90" i="61" s="1"/>
  <c r="J90" i="61"/>
  <c r="M90" i="61" s="1"/>
  <c r="X89" i="61"/>
  <c r="Q89" i="61"/>
  <c r="S89" i="61" s="1"/>
  <c r="U89" i="61" s="1"/>
  <c r="J89" i="61"/>
  <c r="M89" i="61" s="1"/>
  <c r="X88" i="61"/>
  <c r="Q88" i="61"/>
  <c r="S88" i="61" s="1"/>
  <c r="U88" i="61" s="1"/>
  <c r="J88" i="61"/>
  <c r="M88" i="61" s="1"/>
  <c r="X87" i="61"/>
  <c r="Q87" i="61"/>
  <c r="S87" i="61" s="1"/>
  <c r="U87" i="61" s="1"/>
  <c r="M87" i="61"/>
  <c r="J87" i="61"/>
  <c r="X86" i="61"/>
  <c r="Q86" i="61"/>
  <c r="S86" i="61" s="1"/>
  <c r="U86" i="61" s="1"/>
  <c r="J86" i="61"/>
  <c r="M86" i="61" s="1"/>
  <c r="X85" i="61"/>
  <c r="Q85" i="61"/>
  <c r="S85" i="61" s="1"/>
  <c r="U85" i="61" s="1"/>
  <c r="J85" i="61"/>
  <c r="M85" i="61" s="1"/>
  <c r="X84" i="61"/>
  <c r="S84" i="61"/>
  <c r="U84" i="61" s="1"/>
  <c r="Q84" i="61"/>
  <c r="J84" i="61"/>
  <c r="M84" i="61" s="1"/>
  <c r="X83" i="61"/>
  <c r="Q83" i="61"/>
  <c r="S83" i="61" s="1"/>
  <c r="U83" i="61" s="1"/>
  <c r="J83" i="61"/>
  <c r="M83" i="61" s="1"/>
  <c r="X82" i="61"/>
  <c r="Q82" i="61"/>
  <c r="S82" i="61" s="1"/>
  <c r="U82" i="61" s="1"/>
  <c r="J82" i="61"/>
  <c r="M82" i="61" s="1"/>
  <c r="X81" i="61"/>
  <c r="Q81" i="61"/>
  <c r="S81" i="61" s="1"/>
  <c r="U81" i="61" s="1"/>
  <c r="J81" i="61"/>
  <c r="M81" i="61" s="1"/>
  <c r="X80" i="61"/>
  <c r="Q80" i="61"/>
  <c r="S80" i="61" s="1"/>
  <c r="U80" i="61" s="1"/>
  <c r="J80" i="61"/>
  <c r="M80" i="61" s="1"/>
  <c r="X79" i="61"/>
  <c r="S79" i="61"/>
  <c r="U79" i="61" s="1"/>
  <c r="Q79" i="61"/>
  <c r="J79" i="61"/>
  <c r="M79" i="61" s="1"/>
  <c r="X78" i="61"/>
  <c r="Q78" i="61"/>
  <c r="S78" i="61" s="1"/>
  <c r="U78" i="61" s="1"/>
  <c r="J78" i="61"/>
  <c r="M78" i="61" s="1"/>
  <c r="X77" i="61"/>
  <c r="Q77" i="61"/>
  <c r="S77" i="61" s="1"/>
  <c r="U77" i="61" s="1"/>
  <c r="J77" i="61"/>
  <c r="M77" i="61" s="1"/>
  <c r="X76" i="61"/>
  <c r="S76" i="61"/>
  <c r="U76" i="61" s="1"/>
  <c r="Q76" i="61"/>
  <c r="J76" i="61"/>
  <c r="M76" i="61" s="1"/>
  <c r="X75" i="61"/>
  <c r="Q75" i="61"/>
  <c r="S75" i="61" s="1"/>
  <c r="U75" i="61" s="1"/>
  <c r="J75" i="61"/>
  <c r="M75" i="61" s="1"/>
  <c r="X74" i="61"/>
  <c r="Q74" i="61"/>
  <c r="S74" i="61" s="1"/>
  <c r="U74" i="61" s="1"/>
  <c r="J74" i="61"/>
  <c r="M74" i="61" s="1"/>
  <c r="X73" i="61"/>
  <c r="Q73" i="61"/>
  <c r="S73" i="61" s="1"/>
  <c r="U73" i="61" s="1"/>
  <c r="J73" i="61"/>
  <c r="M73" i="61" s="1"/>
  <c r="X72" i="61"/>
  <c r="Q72" i="61"/>
  <c r="S72" i="61" s="1"/>
  <c r="U72" i="61" s="1"/>
  <c r="J72" i="61"/>
  <c r="M72" i="61" s="1"/>
  <c r="X71" i="61"/>
  <c r="Q71" i="61"/>
  <c r="S71" i="61" s="1"/>
  <c r="U71" i="61" s="1"/>
  <c r="J71" i="61"/>
  <c r="M71" i="61" s="1"/>
  <c r="X70" i="61"/>
  <c r="Q70" i="61"/>
  <c r="S70" i="61" s="1"/>
  <c r="U70" i="61" s="1"/>
  <c r="J70" i="61"/>
  <c r="M70" i="61" s="1"/>
  <c r="X69" i="61"/>
  <c r="S69" i="61"/>
  <c r="U69" i="61" s="1"/>
  <c r="Q69" i="61"/>
  <c r="J69" i="61"/>
  <c r="M69" i="61" s="1"/>
  <c r="X68" i="61"/>
  <c r="S68" i="61"/>
  <c r="U68" i="61" s="1"/>
  <c r="Q68" i="61"/>
  <c r="J68" i="61"/>
  <c r="M68" i="61" s="1"/>
  <c r="X67" i="61"/>
  <c r="Q67" i="61"/>
  <c r="S67" i="61" s="1"/>
  <c r="U67" i="61" s="1"/>
  <c r="J67" i="61"/>
  <c r="M67" i="61" s="1"/>
  <c r="X66" i="61"/>
  <c r="Q66" i="61"/>
  <c r="S66" i="61" s="1"/>
  <c r="U66" i="61" s="1"/>
  <c r="J66" i="61"/>
  <c r="M66" i="61" s="1"/>
  <c r="X65" i="61"/>
  <c r="Q65" i="61"/>
  <c r="S65" i="61" s="1"/>
  <c r="U65" i="61" s="1"/>
  <c r="J65" i="61"/>
  <c r="M65" i="61" s="1"/>
  <c r="X64" i="61"/>
  <c r="Q64" i="61"/>
  <c r="S64" i="61" s="1"/>
  <c r="U64" i="61" s="1"/>
  <c r="J64" i="61"/>
  <c r="M64" i="61" s="1"/>
  <c r="X63" i="61"/>
  <c r="S63" i="61"/>
  <c r="U63" i="61" s="1"/>
  <c r="Q63" i="61"/>
  <c r="J63" i="61"/>
  <c r="M63" i="61" s="1"/>
  <c r="X62" i="61"/>
  <c r="Q62" i="61"/>
  <c r="S62" i="61" s="1"/>
  <c r="U62" i="61" s="1"/>
  <c r="J62" i="61"/>
  <c r="M62" i="61" s="1"/>
  <c r="X61" i="61"/>
  <c r="Q61" i="61"/>
  <c r="S61" i="61" s="1"/>
  <c r="U61" i="61" s="1"/>
  <c r="J61" i="61"/>
  <c r="M61" i="61" s="1"/>
  <c r="X60" i="61"/>
  <c r="Q60" i="61"/>
  <c r="S60" i="61" s="1"/>
  <c r="U60" i="61" s="1"/>
  <c r="J60" i="61"/>
  <c r="M60" i="61" s="1"/>
  <c r="X59" i="61"/>
  <c r="Q59" i="61"/>
  <c r="S59" i="61" s="1"/>
  <c r="U59" i="61" s="1"/>
  <c r="J59" i="61"/>
  <c r="M59" i="61" s="1"/>
  <c r="X58" i="61"/>
  <c r="Q58" i="61"/>
  <c r="S58" i="61" s="1"/>
  <c r="U58" i="61" s="1"/>
  <c r="J58" i="61"/>
  <c r="M58" i="61" s="1"/>
  <c r="X57" i="61"/>
  <c r="Q57" i="61"/>
  <c r="S57" i="61" s="1"/>
  <c r="U57" i="61" s="1"/>
  <c r="J57" i="61"/>
  <c r="M57" i="61" s="1"/>
  <c r="X56" i="61"/>
  <c r="Q56" i="61"/>
  <c r="S56" i="61" s="1"/>
  <c r="U56" i="61" s="1"/>
  <c r="J56" i="61"/>
  <c r="M56" i="61" s="1"/>
  <c r="X55" i="61"/>
  <c r="Q55" i="61"/>
  <c r="S55" i="61" s="1"/>
  <c r="U55" i="61" s="1"/>
  <c r="J55" i="61"/>
  <c r="M55" i="61" s="1"/>
  <c r="X54" i="61"/>
  <c r="Q54" i="61"/>
  <c r="S54" i="61" s="1"/>
  <c r="U54" i="61" s="1"/>
  <c r="J54" i="61"/>
  <c r="M54" i="61" s="1"/>
  <c r="X53" i="61"/>
  <c r="Q53" i="61"/>
  <c r="S53" i="61" s="1"/>
  <c r="U53" i="61" s="1"/>
  <c r="J53" i="61"/>
  <c r="M53" i="61" s="1"/>
  <c r="X52" i="61"/>
  <c r="Q52" i="61"/>
  <c r="S52" i="61" s="1"/>
  <c r="U52" i="61" s="1"/>
  <c r="J52" i="61"/>
  <c r="M52" i="61" s="1"/>
  <c r="X51" i="61"/>
  <c r="Q51" i="61"/>
  <c r="S51" i="61" s="1"/>
  <c r="U51" i="61" s="1"/>
  <c r="J51" i="61"/>
  <c r="M51" i="61" s="1"/>
  <c r="X50" i="61"/>
  <c r="Q50" i="61"/>
  <c r="S50" i="61" s="1"/>
  <c r="U50" i="61" s="1"/>
  <c r="J50" i="61"/>
  <c r="M50" i="61" s="1"/>
  <c r="X49" i="61"/>
  <c r="Q49" i="61"/>
  <c r="S49" i="61" s="1"/>
  <c r="U49" i="61" s="1"/>
  <c r="J49" i="61"/>
  <c r="M49" i="61" s="1"/>
  <c r="X48" i="61"/>
  <c r="Q48" i="61"/>
  <c r="S48" i="61" s="1"/>
  <c r="U48" i="61" s="1"/>
  <c r="J48" i="61"/>
  <c r="M48" i="61" s="1"/>
  <c r="X47" i="61"/>
  <c r="Q47" i="61"/>
  <c r="S47" i="61" s="1"/>
  <c r="U47" i="61" s="1"/>
  <c r="J47" i="61"/>
  <c r="M47" i="61" s="1"/>
  <c r="X46" i="61"/>
  <c r="Q46" i="61"/>
  <c r="S46" i="61" s="1"/>
  <c r="U46" i="61" s="1"/>
  <c r="J46" i="61"/>
  <c r="M46" i="61" s="1"/>
  <c r="X45" i="61"/>
  <c r="S45" i="61"/>
  <c r="U45" i="61" s="1"/>
  <c r="Q45" i="61"/>
  <c r="J45" i="61"/>
  <c r="M45" i="61" s="1"/>
  <c r="X44" i="61"/>
  <c r="S44" i="61"/>
  <c r="U44" i="61" s="1"/>
  <c r="Q44" i="61"/>
  <c r="J44" i="61"/>
  <c r="M44" i="61" s="1"/>
  <c r="X43" i="61"/>
  <c r="Q43" i="61"/>
  <c r="S43" i="61" s="1"/>
  <c r="U43" i="61" s="1"/>
  <c r="J43" i="61"/>
  <c r="M43" i="61" s="1"/>
  <c r="X42" i="61"/>
  <c r="Q42" i="61"/>
  <c r="S42" i="61" s="1"/>
  <c r="U42" i="61" s="1"/>
  <c r="J42" i="61"/>
  <c r="M42" i="61" s="1"/>
  <c r="X41" i="61"/>
  <c r="Q41" i="61"/>
  <c r="S41" i="61" s="1"/>
  <c r="U41" i="61" s="1"/>
  <c r="J41" i="61"/>
  <c r="M41" i="61" s="1"/>
  <c r="X40" i="61"/>
  <c r="Q40" i="61"/>
  <c r="S40" i="61" s="1"/>
  <c r="U40" i="61" s="1"/>
  <c r="J40" i="61"/>
  <c r="M40" i="61" s="1"/>
  <c r="X39" i="61"/>
  <c r="Q39" i="61"/>
  <c r="S39" i="61" s="1"/>
  <c r="U39" i="61" s="1"/>
  <c r="J39" i="61"/>
  <c r="M39" i="61" s="1"/>
  <c r="X38" i="61"/>
  <c r="Q38" i="61"/>
  <c r="S38" i="61" s="1"/>
  <c r="U38" i="61" s="1"/>
  <c r="J38" i="61"/>
  <c r="M38" i="61" s="1"/>
  <c r="X37" i="61"/>
  <c r="Q37" i="61"/>
  <c r="S37" i="61" s="1"/>
  <c r="U37" i="61" s="1"/>
  <c r="J37" i="61"/>
  <c r="M37" i="61" s="1"/>
  <c r="X36" i="61"/>
  <c r="S36" i="61"/>
  <c r="U36" i="61" s="1"/>
  <c r="Q36" i="61"/>
  <c r="J36" i="61"/>
  <c r="M36" i="61" s="1"/>
  <c r="X35" i="61"/>
  <c r="Q35" i="61"/>
  <c r="S35" i="61" s="1"/>
  <c r="U35" i="61" s="1"/>
  <c r="J35" i="61"/>
  <c r="M35" i="61" s="1"/>
  <c r="X34" i="61"/>
  <c r="Q34" i="61"/>
  <c r="S34" i="61" s="1"/>
  <c r="U34" i="61" s="1"/>
  <c r="J34" i="61"/>
  <c r="M34" i="61" s="1"/>
  <c r="X33" i="61"/>
  <c r="Q33" i="61"/>
  <c r="S33" i="61" s="1"/>
  <c r="U33" i="61" s="1"/>
  <c r="J33" i="61"/>
  <c r="M33" i="61" s="1"/>
  <c r="X32" i="61"/>
  <c r="Q32" i="61"/>
  <c r="S32" i="61" s="1"/>
  <c r="U32" i="61" s="1"/>
  <c r="J32" i="61"/>
  <c r="M32" i="61" s="1"/>
  <c r="X31" i="61"/>
  <c r="Q31" i="61"/>
  <c r="S31" i="61" s="1"/>
  <c r="U31" i="61" s="1"/>
  <c r="J31" i="61"/>
  <c r="M31" i="61" s="1"/>
  <c r="X30" i="61"/>
  <c r="S30" i="61"/>
  <c r="U30" i="61" s="1"/>
  <c r="Q30" i="61"/>
  <c r="J30" i="61"/>
  <c r="M30" i="61" s="1"/>
  <c r="X29" i="61"/>
  <c r="Q29" i="61"/>
  <c r="S29" i="61" s="1"/>
  <c r="U29" i="61" s="1"/>
  <c r="J29" i="61"/>
  <c r="M29" i="61" s="1"/>
  <c r="X28" i="61"/>
  <c r="Q28" i="61"/>
  <c r="S28" i="61" s="1"/>
  <c r="U28" i="61" s="1"/>
  <c r="J28" i="61"/>
  <c r="M28" i="61" s="1"/>
  <c r="X27" i="61"/>
  <c r="Q27" i="61"/>
  <c r="S27" i="61" s="1"/>
  <c r="U27" i="61" s="1"/>
  <c r="J27" i="61"/>
  <c r="M27" i="61" s="1"/>
  <c r="X26" i="61"/>
  <c r="Q26" i="61"/>
  <c r="S26" i="61" s="1"/>
  <c r="U26" i="61" s="1"/>
  <c r="J26" i="61"/>
  <c r="M26" i="61" s="1"/>
  <c r="X25" i="61"/>
  <c r="S25" i="61"/>
  <c r="U25" i="61" s="1"/>
  <c r="Q25" i="61"/>
  <c r="J25" i="61"/>
  <c r="M25" i="61" s="1"/>
  <c r="X24" i="61"/>
  <c r="Q24" i="61"/>
  <c r="S24" i="61" s="1"/>
  <c r="U24" i="61" s="1"/>
  <c r="J24" i="61"/>
  <c r="M24" i="61" s="1"/>
  <c r="X23" i="61"/>
  <c r="Q23" i="61"/>
  <c r="S23" i="61" s="1"/>
  <c r="U23" i="61" s="1"/>
  <c r="J23" i="61"/>
  <c r="M23" i="61" s="1"/>
  <c r="X22" i="61"/>
  <c r="Q22" i="61"/>
  <c r="S22" i="61" s="1"/>
  <c r="U22" i="61" s="1"/>
  <c r="J22" i="61"/>
  <c r="M22" i="61" s="1"/>
  <c r="X21" i="61"/>
  <c r="Q21" i="61"/>
  <c r="S21" i="61" s="1"/>
  <c r="U21" i="61" s="1"/>
  <c r="J21" i="61"/>
  <c r="M21" i="61" s="1"/>
  <c r="X20" i="61"/>
  <c r="Q20" i="61"/>
  <c r="S20" i="61" s="1"/>
  <c r="U20" i="61" s="1"/>
  <c r="J20" i="61"/>
  <c r="M20" i="61" s="1"/>
  <c r="X19" i="61"/>
  <c r="Q19" i="61"/>
  <c r="S19" i="61" s="1"/>
  <c r="U19" i="61" s="1"/>
  <c r="J19" i="61"/>
  <c r="M19" i="61" s="1"/>
  <c r="X18" i="61"/>
  <c r="Q18" i="61"/>
  <c r="S18" i="61" s="1"/>
  <c r="U18" i="61" s="1"/>
  <c r="J18" i="61"/>
  <c r="M18" i="61" s="1"/>
  <c r="X17" i="61"/>
  <c r="Q17" i="61"/>
  <c r="S17" i="61" s="1"/>
  <c r="U17" i="61" s="1"/>
  <c r="J17" i="61"/>
  <c r="M17" i="61" s="1"/>
  <c r="X16" i="61"/>
  <c r="Q16" i="61"/>
  <c r="S16" i="61" s="1"/>
  <c r="U16" i="61" s="1"/>
  <c r="J16" i="61"/>
  <c r="M16" i="61" s="1"/>
  <c r="X15" i="61"/>
  <c r="Q15" i="61"/>
  <c r="S15" i="61" s="1"/>
  <c r="U15" i="61" s="1"/>
  <c r="J15" i="61"/>
  <c r="M15" i="61" s="1"/>
  <c r="X14" i="61"/>
  <c r="S14" i="61"/>
  <c r="U14" i="61" s="1"/>
  <c r="Q14" i="61"/>
  <c r="J14" i="61"/>
  <c r="M14" i="61" s="1"/>
  <c r="X13" i="61"/>
  <c r="Q13" i="61"/>
  <c r="S13" i="61" s="1"/>
  <c r="U13" i="61" s="1"/>
  <c r="J13" i="61"/>
  <c r="M13" i="61" s="1"/>
  <c r="X12" i="61"/>
  <c r="Q12" i="61"/>
  <c r="S12" i="61" s="1"/>
  <c r="U12" i="61" s="1"/>
  <c r="J12" i="61"/>
  <c r="M12" i="61" s="1"/>
  <c r="X11" i="61"/>
  <c r="Q11" i="61"/>
  <c r="S11" i="61" s="1"/>
  <c r="U11" i="61" s="1"/>
  <c r="J11" i="61"/>
  <c r="M11" i="61" s="1"/>
  <c r="X10" i="61"/>
  <c r="S10" i="61"/>
  <c r="U10" i="61" s="1"/>
  <c r="Q10" i="61"/>
  <c r="J10" i="61"/>
  <c r="M10" i="61" s="1"/>
  <c r="X9" i="61"/>
  <c r="Q9" i="61"/>
  <c r="S9" i="61" s="1"/>
  <c r="U9" i="61" s="1"/>
  <c r="J9" i="61"/>
  <c r="M9" i="61" s="1"/>
  <c r="X8" i="61"/>
  <c r="Q8" i="61"/>
  <c r="S8" i="61" s="1"/>
  <c r="U8" i="61" s="1"/>
  <c r="J8" i="61"/>
  <c r="M8" i="61" s="1"/>
  <c r="X7" i="61"/>
  <c r="Q7" i="61"/>
  <c r="S7" i="61" s="1"/>
  <c r="U7" i="61" s="1"/>
  <c r="J7" i="61"/>
  <c r="M7" i="61" s="1"/>
  <c r="X6" i="61"/>
  <c r="Q6" i="61"/>
  <c r="S6" i="61" s="1"/>
  <c r="U6" i="61" s="1"/>
  <c r="J6" i="61"/>
  <c r="M6" i="61" s="1"/>
  <c r="X5" i="61"/>
  <c r="Q5" i="61"/>
  <c r="S5" i="61" s="1"/>
  <c r="U5" i="61" s="1"/>
  <c r="J5" i="61"/>
  <c r="K212" i="60"/>
  <c r="N31" i="15" s="1"/>
  <c r="K209" i="60"/>
  <c r="R31" i="15" s="1"/>
  <c r="J204" i="60"/>
  <c r="M204" i="60" s="1"/>
  <c r="J203" i="60"/>
  <c r="M203" i="60" s="1"/>
  <c r="J202" i="60"/>
  <c r="M202" i="60" s="1"/>
  <c r="J201" i="60"/>
  <c r="M201" i="60" s="1"/>
  <c r="J200" i="60"/>
  <c r="M200" i="60" s="1"/>
  <c r="J199" i="60"/>
  <c r="M199" i="60" s="1"/>
  <c r="J198" i="60"/>
  <c r="M198" i="60" s="1"/>
  <c r="J197" i="60"/>
  <c r="M197" i="60" s="1"/>
  <c r="J196" i="60"/>
  <c r="M196" i="60" s="1"/>
  <c r="J195" i="60"/>
  <c r="M195" i="60" s="1"/>
  <c r="J194" i="60"/>
  <c r="M194" i="60" s="1"/>
  <c r="J193" i="60"/>
  <c r="M193" i="60" s="1"/>
  <c r="J192" i="60"/>
  <c r="M192" i="60" s="1"/>
  <c r="J191" i="60"/>
  <c r="M191" i="60" s="1"/>
  <c r="J190" i="60"/>
  <c r="M190" i="60" s="1"/>
  <c r="J189" i="60"/>
  <c r="M189" i="60" s="1"/>
  <c r="J188" i="60"/>
  <c r="M188" i="60" s="1"/>
  <c r="J187" i="60"/>
  <c r="M187" i="60" s="1"/>
  <c r="J186" i="60"/>
  <c r="M186" i="60" s="1"/>
  <c r="J185" i="60"/>
  <c r="M185" i="60" s="1"/>
  <c r="J184" i="60"/>
  <c r="M184" i="60" s="1"/>
  <c r="J183" i="60"/>
  <c r="M183" i="60" s="1"/>
  <c r="J182" i="60"/>
  <c r="M182" i="60" s="1"/>
  <c r="J181" i="60"/>
  <c r="M181" i="60" s="1"/>
  <c r="J180" i="60"/>
  <c r="M180" i="60" s="1"/>
  <c r="J179" i="60"/>
  <c r="M179" i="60" s="1"/>
  <c r="J178" i="60"/>
  <c r="M178" i="60" s="1"/>
  <c r="J177" i="60"/>
  <c r="M177" i="60" s="1"/>
  <c r="J176" i="60"/>
  <c r="M176" i="60" s="1"/>
  <c r="J175" i="60"/>
  <c r="M175" i="60" s="1"/>
  <c r="J174" i="60"/>
  <c r="M174" i="60" s="1"/>
  <c r="J173" i="60"/>
  <c r="M173" i="60" s="1"/>
  <c r="J172" i="60"/>
  <c r="M172" i="60" s="1"/>
  <c r="J171" i="60"/>
  <c r="M171" i="60" s="1"/>
  <c r="J170" i="60"/>
  <c r="M170" i="60" s="1"/>
  <c r="J169" i="60"/>
  <c r="M169" i="60" s="1"/>
  <c r="J168" i="60"/>
  <c r="M168" i="60" s="1"/>
  <c r="J167" i="60"/>
  <c r="M167" i="60" s="1"/>
  <c r="J166" i="60"/>
  <c r="M166" i="60" s="1"/>
  <c r="J165" i="60"/>
  <c r="M165" i="60" s="1"/>
  <c r="J164" i="60"/>
  <c r="M164" i="60" s="1"/>
  <c r="J163" i="60"/>
  <c r="M163" i="60" s="1"/>
  <c r="J162" i="60"/>
  <c r="M162" i="60" s="1"/>
  <c r="J161" i="60"/>
  <c r="M161" i="60" s="1"/>
  <c r="J160" i="60"/>
  <c r="M160" i="60" s="1"/>
  <c r="J159" i="60"/>
  <c r="M159" i="60" s="1"/>
  <c r="J158" i="60"/>
  <c r="M158" i="60" s="1"/>
  <c r="J157" i="60"/>
  <c r="M157" i="60" s="1"/>
  <c r="J156" i="60"/>
  <c r="M156" i="60" s="1"/>
  <c r="J155" i="60"/>
  <c r="M155" i="60" s="1"/>
  <c r="J154" i="60"/>
  <c r="M154" i="60" s="1"/>
  <c r="J153" i="60"/>
  <c r="M153" i="60" s="1"/>
  <c r="J152" i="60"/>
  <c r="M152" i="60" s="1"/>
  <c r="J151" i="60"/>
  <c r="M151" i="60" s="1"/>
  <c r="J150" i="60"/>
  <c r="M150" i="60" s="1"/>
  <c r="J149" i="60"/>
  <c r="M149" i="60" s="1"/>
  <c r="J148" i="60"/>
  <c r="M148" i="60" s="1"/>
  <c r="J147" i="60"/>
  <c r="M147" i="60" s="1"/>
  <c r="J146" i="60"/>
  <c r="M146" i="60" s="1"/>
  <c r="J145" i="60"/>
  <c r="M145" i="60" s="1"/>
  <c r="J144" i="60"/>
  <c r="M144" i="60" s="1"/>
  <c r="J143" i="60"/>
  <c r="M143" i="60" s="1"/>
  <c r="J142" i="60"/>
  <c r="M142" i="60" s="1"/>
  <c r="J141" i="60"/>
  <c r="M141" i="60" s="1"/>
  <c r="J140" i="60"/>
  <c r="M140" i="60" s="1"/>
  <c r="J139" i="60"/>
  <c r="M139" i="60" s="1"/>
  <c r="J138" i="60"/>
  <c r="M138" i="60" s="1"/>
  <c r="J137" i="60"/>
  <c r="M137" i="60" s="1"/>
  <c r="J136" i="60"/>
  <c r="M136" i="60" s="1"/>
  <c r="J135" i="60"/>
  <c r="M135" i="60" s="1"/>
  <c r="J134" i="60"/>
  <c r="M134" i="60" s="1"/>
  <c r="J133" i="60"/>
  <c r="M133" i="60" s="1"/>
  <c r="J132" i="60"/>
  <c r="M132" i="60" s="1"/>
  <c r="J131" i="60"/>
  <c r="M131" i="60" s="1"/>
  <c r="J130" i="60"/>
  <c r="M130" i="60" s="1"/>
  <c r="J129" i="60"/>
  <c r="M129" i="60" s="1"/>
  <c r="J128" i="60"/>
  <c r="M128" i="60" s="1"/>
  <c r="J127" i="60"/>
  <c r="M127" i="60" s="1"/>
  <c r="J126" i="60"/>
  <c r="M126" i="60" s="1"/>
  <c r="J125" i="60"/>
  <c r="M125" i="60" s="1"/>
  <c r="J124" i="60"/>
  <c r="M124" i="60" s="1"/>
  <c r="M123" i="60"/>
  <c r="J123" i="60"/>
  <c r="J122" i="60"/>
  <c r="M122" i="60" s="1"/>
  <c r="J121" i="60"/>
  <c r="M121" i="60" s="1"/>
  <c r="J120" i="60"/>
  <c r="M120" i="60" s="1"/>
  <c r="J119" i="60"/>
  <c r="M119" i="60" s="1"/>
  <c r="J118" i="60"/>
  <c r="M118" i="60" s="1"/>
  <c r="J117" i="60"/>
  <c r="M117" i="60" s="1"/>
  <c r="J116" i="60"/>
  <c r="M116" i="60" s="1"/>
  <c r="J115" i="60"/>
  <c r="M115" i="60" s="1"/>
  <c r="J114" i="60"/>
  <c r="M114" i="60" s="1"/>
  <c r="J113" i="60"/>
  <c r="M113" i="60" s="1"/>
  <c r="J112" i="60"/>
  <c r="M112" i="60" s="1"/>
  <c r="J111" i="60"/>
  <c r="M111" i="60" s="1"/>
  <c r="J110" i="60"/>
  <c r="M110" i="60" s="1"/>
  <c r="J109" i="60"/>
  <c r="M109" i="60" s="1"/>
  <c r="J108" i="60"/>
  <c r="M108" i="60" s="1"/>
  <c r="J107" i="60"/>
  <c r="M107" i="60" s="1"/>
  <c r="J106" i="60"/>
  <c r="M106" i="60" s="1"/>
  <c r="Z105" i="60"/>
  <c r="J105" i="60"/>
  <c r="M105" i="60" s="1"/>
  <c r="X104" i="60"/>
  <c r="U104" i="60"/>
  <c r="Q104" i="60"/>
  <c r="S104" i="60" s="1"/>
  <c r="J104" i="60"/>
  <c r="M104" i="60" s="1"/>
  <c r="X103" i="60"/>
  <c r="Q103" i="60"/>
  <c r="S103" i="60" s="1"/>
  <c r="U103" i="60" s="1"/>
  <c r="J103" i="60"/>
  <c r="M103" i="60" s="1"/>
  <c r="X102" i="60"/>
  <c r="U102" i="60"/>
  <c r="Q102" i="60"/>
  <c r="S102" i="60" s="1"/>
  <c r="J102" i="60"/>
  <c r="M102" i="60" s="1"/>
  <c r="X101" i="60"/>
  <c r="Q101" i="60"/>
  <c r="S101" i="60" s="1"/>
  <c r="U101" i="60" s="1"/>
  <c r="M101" i="60"/>
  <c r="J101" i="60"/>
  <c r="X100" i="60"/>
  <c r="Q100" i="60"/>
  <c r="S100" i="60" s="1"/>
  <c r="U100" i="60" s="1"/>
  <c r="J100" i="60"/>
  <c r="M100" i="60" s="1"/>
  <c r="X99" i="60"/>
  <c r="Q99" i="60"/>
  <c r="S99" i="60" s="1"/>
  <c r="U99" i="60" s="1"/>
  <c r="J99" i="60"/>
  <c r="M99" i="60" s="1"/>
  <c r="X98" i="60"/>
  <c r="Q98" i="60"/>
  <c r="S98" i="60" s="1"/>
  <c r="U98" i="60" s="1"/>
  <c r="J98" i="60"/>
  <c r="M98" i="60" s="1"/>
  <c r="X97" i="60"/>
  <c r="Q97" i="60"/>
  <c r="S97" i="60" s="1"/>
  <c r="U97" i="60" s="1"/>
  <c r="J97" i="60"/>
  <c r="M97" i="60" s="1"/>
  <c r="X96" i="60"/>
  <c r="Q96" i="60"/>
  <c r="S96" i="60" s="1"/>
  <c r="U96" i="60" s="1"/>
  <c r="J96" i="60"/>
  <c r="M96" i="60" s="1"/>
  <c r="X95" i="60"/>
  <c r="Q95" i="60"/>
  <c r="S95" i="60" s="1"/>
  <c r="U95" i="60" s="1"/>
  <c r="J95" i="60"/>
  <c r="M95" i="60" s="1"/>
  <c r="X94" i="60"/>
  <c r="Q94" i="60"/>
  <c r="S94" i="60" s="1"/>
  <c r="U94" i="60" s="1"/>
  <c r="J94" i="60"/>
  <c r="M94" i="60" s="1"/>
  <c r="X93" i="60"/>
  <c r="Q93" i="60"/>
  <c r="S93" i="60" s="1"/>
  <c r="U93" i="60" s="1"/>
  <c r="J93" i="60"/>
  <c r="M93" i="60" s="1"/>
  <c r="X92" i="60"/>
  <c r="Q92" i="60"/>
  <c r="S92" i="60" s="1"/>
  <c r="U92" i="60" s="1"/>
  <c r="J92" i="60"/>
  <c r="M92" i="60" s="1"/>
  <c r="X91" i="60"/>
  <c r="Q91" i="60"/>
  <c r="S91" i="60" s="1"/>
  <c r="U91" i="60" s="1"/>
  <c r="J91" i="60"/>
  <c r="M91" i="60" s="1"/>
  <c r="X90" i="60"/>
  <c r="U90" i="60"/>
  <c r="Q90" i="60"/>
  <c r="S90" i="60" s="1"/>
  <c r="J90" i="60"/>
  <c r="M90" i="60" s="1"/>
  <c r="X89" i="60"/>
  <c r="Q89" i="60"/>
  <c r="S89" i="60" s="1"/>
  <c r="U89" i="60" s="1"/>
  <c r="J89" i="60"/>
  <c r="M89" i="60" s="1"/>
  <c r="X88" i="60"/>
  <c r="Q88" i="60"/>
  <c r="S88" i="60" s="1"/>
  <c r="U88" i="60" s="1"/>
  <c r="J88" i="60"/>
  <c r="M88" i="60" s="1"/>
  <c r="X87" i="60"/>
  <c r="S87" i="60"/>
  <c r="U87" i="60" s="1"/>
  <c r="Q87" i="60"/>
  <c r="J87" i="60"/>
  <c r="M87" i="60" s="1"/>
  <c r="X86" i="60"/>
  <c r="Q86" i="60"/>
  <c r="S86" i="60" s="1"/>
  <c r="U86" i="60" s="1"/>
  <c r="J86" i="60"/>
  <c r="M86" i="60" s="1"/>
  <c r="X85" i="60"/>
  <c r="Q85" i="60"/>
  <c r="S85" i="60" s="1"/>
  <c r="U85" i="60" s="1"/>
  <c r="J85" i="60"/>
  <c r="M85" i="60" s="1"/>
  <c r="X84" i="60"/>
  <c r="S84" i="60"/>
  <c r="U84" i="60" s="1"/>
  <c r="Q84" i="60"/>
  <c r="J84" i="60"/>
  <c r="M84" i="60" s="1"/>
  <c r="X83" i="60"/>
  <c r="Q83" i="60"/>
  <c r="S83" i="60" s="1"/>
  <c r="U83" i="60" s="1"/>
  <c r="J83" i="60"/>
  <c r="M83" i="60" s="1"/>
  <c r="X82" i="60"/>
  <c r="Q82" i="60"/>
  <c r="S82" i="60" s="1"/>
  <c r="U82" i="60" s="1"/>
  <c r="J82" i="60"/>
  <c r="M82" i="60" s="1"/>
  <c r="X81" i="60"/>
  <c r="Q81" i="60"/>
  <c r="S81" i="60" s="1"/>
  <c r="U81" i="60" s="1"/>
  <c r="J81" i="60"/>
  <c r="M81" i="60" s="1"/>
  <c r="X80" i="60"/>
  <c r="Q80" i="60"/>
  <c r="S80" i="60" s="1"/>
  <c r="U80" i="60" s="1"/>
  <c r="J80" i="60"/>
  <c r="M80" i="60" s="1"/>
  <c r="X79" i="60"/>
  <c r="Q79" i="60"/>
  <c r="S79" i="60" s="1"/>
  <c r="U79" i="60" s="1"/>
  <c r="J79" i="60"/>
  <c r="M79" i="60" s="1"/>
  <c r="X78" i="60"/>
  <c r="Q78" i="60"/>
  <c r="S78" i="60" s="1"/>
  <c r="U78" i="60" s="1"/>
  <c r="J78" i="60"/>
  <c r="M78" i="60" s="1"/>
  <c r="X77" i="60"/>
  <c r="Q77" i="60"/>
  <c r="S77" i="60" s="1"/>
  <c r="U77" i="60" s="1"/>
  <c r="J77" i="60"/>
  <c r="M77" i="60" s="1"/>
  <c r="X76" i="60"/>
  <c r="Q76" i="60"/>
  <c r="S76" i="60" s="1"/>
  <c r="U76" i="60" s="1"/>
  <c r="J76" i="60"/>
  <c r="M76" i="60" s="1"/>
  <c r="X75" i="60"/>
  <c r="S75" i="60"/>
  <c r="U75" i="60" s="1"/>
  <c r="Q75" i="60"/>
  <c r="J75" i="60"/>
  <c r="M75" i="60" s="1"/>
  <c r="X74" i="60"/>
  <c r="Q74" i="60"/>
  <c r="S74" i="60" s="1"/>
  <c r="U74" i="60" s="1"/>
  <c r="J74" i="60"/>
  <c r="M74" i="60" s="1"/>
  <c r="X73" i="60"/>
  <c r="S73" i="60"/>
  <c r="U73" i="60" s="1"/>
  <c r="Q73" i="60"/>
  <c r="J73" i="60"/>
  <c r="M73" i="60" s="1"/>
  <c r="X72" i="60"/>
  <c r="Q72" i="60"/>
  <c r="S72" i="60" s="1"/>
  <c r="U72" i="60" s="1"/>
  <c r="J72" i="60"/>
  <c r="M72" i="60" s="1"/>
  <c r="X71" i="60"/>
  <c r="S71" i="60"/>
  <c r="U71" i="60" s="1"/>
  <c r="Q71" i="60"/>
  <c r="J71" i="60"/>
  <c r="M71" i="60" s="1"/>
  <c r="X70" i="60"/>
  <c r="Q70" i="60"/>
  <c r="S70" i="60" s="1"/>
  <c r="U70" i="60" s="1"/>
  <c r="J70" i="60"/>
  <c r="M70" i="60" s="1"/>
  <c r="X69" i="60"/>
  <c r="Q69" i="60"/>
  <c r="S69" i="60" s="1"/>
  <c r="U69" i="60" s="1"/>
  <c r="J69" i="60"/>
  <c r="M69" i="60" s="1"/>
  <c r="X68" i="60"/>
  <c r="S68" i="60"/>
  <c r="U68" i="60" s="1"/>
  <c r="Q68" i="60"/>
  <c r="J68" i="60"/>
  <c r="M68" i="60" s="1"/>
  <c r="X67" i="60"/>
  <c r="Q67" i="60"/>
  <c r="S67" i="60" s="1"/>
  <c r="U67" i="60" s="1"/>
  <c r="J67" i="60"/>
  <c r="M67" i="60" s="1"/>
  <c r="X66" i="60"/>
  <c r="U66" i="60"/>
  <c r="Q66" i="60"/>
  <c r="S66" i="60" s="1"/>
  <c r="J66" i="60"/>
  <c r="M66" i="60" s="1"/>
  <c r="X65" i="60"/>
  <c r="Q65" i="60"/>
  <c r="S65" i="60" s="1"/>
  <c r="U65" i="60" s="1"/>
  <c r="J65" i="60"/>
  <c r="M65" i="60" s="1"/>
  <c r="X64" i="60"/>
  <c r="Q64" i="60"/>
  <c r="S64" i="60" s="1"/>
  <c r="U64" i="60" s="1"/>
  <c r="J64" i="60"/>
  <c r="M64" i="60" s="1"/>
  <c r="X63" i="60"/>
  <c r="S63" i="60"/>
  <c r="U63" i="60" s="1"/>
  <c r="Q63" i="60"/>
  <c r="J63" i="60"/>
  <c r="M63" i="60" s="1"/>
  <c r="X62" i="60"/>
  <c r="Q62" i="60"/>
  <c r="S62" i="60" s="1"/>
  <c r="U62" i="60" s="1"/>
  <c r="J62" i="60"/>
  <c r="M62" i="60" s="1"/>
  <c r="X61" i="60"/>
  <c r="Q61" i="60"/>
  <c r="S61" i="60" s="1"/>
  <c r="U61" i="60" s="1"/>
  <c r="J61" i="60"/>
  <c r="M61" i="60" s="1"/>
  <c r="X60" i="60"/>
  <c r="Q60" i="60"/>
  <c r="S60" i="60" s="1"/>
  <c r="U60" i="60" s="1"/>
  <c r="J60" i="60"/>
  <c r="M60" i="60" s="1"/>
  <c r="X59" i="60"/>
  <c r="Q59" i="60"/>
  <c r="S59" i="60" s="1"/>
  <c r="U59" i="60" s="1"/>
  <c r="J59" i="60"/>
  <c r="M59" i="60" s="1"/>
  <c r="X58" i="60"/>
  <c r="Q58" i="60"/>
  <c r="S58" i="60" s="1"/>
  <c r="U58" i="60" s="1"/>
  <c r="J58" i="60"/>
  <c r="M58" i="60" s="1"/>
  <c r="X57" i="60"/>
  <c r="S57" i="60"/>
  <c r="U57" i="60" s="1"/>
  <c r="Q57" i="60"/>
  <c r="J57" i="60"/>
  <c r="M57" i="60" s="1"/>
  <c r="X56" i="60"/>
  <c r="Q56" i="60"/>
  <c r="S56" i="60" s="1"/>
  <c r="U56" i="60" s="1"/>
  <c r="J56" i="60"/>
  <c r="M56" i="60" s="1"/>
  <c r="X55" i="60"/>
  <c r="S55" i="60"/>
  <c r="U55" i="60" s="1"/>
  <c r="Q55" i="60"/>
  <c r="J55" i="60"/>
  <c r="M55" i="60" s="1"/>
  <c r="X54" i="60"/>
  <c r="Q54" i="60"/>
  <c r="S54" i="60" s="1"/>
  <c r="U54" i="60" s="1"/>
  <c r="J54" i="60"/>
  <c r="M54" i="60" s="1"/>
  <c r="X53" i="60"/>
  <c r="Q53" i="60"/>
  <c r="S53" i="60" s="1"/>
  <c r="U53" i="60" s="1"/>
  <c r="J53" i="60"/>
  <c r="M53" i="60" s="1"/>
  <c r="X52" i="60"/>
  <c r="Q52" i="60"/>
  <c r="S52" i="60" s="1"/>
  <c r="U52" i="60" s="1"/>
  <c r="J52" i="60"/>
  <c r="M52" i="60" s="1"/>
  <c r="X51" i="60"/>
  <c r="S51" i="60"/>
  <c r="U51" i="60" s="1"/>
  <c r="Q51" i="60"/>
  <c r="J51" i="60"/>
  <c r="M51" i="60" s="1"/>
  <c r="X50" i="60"/>
  <c r="Q50" i="60"/>
  <c r="S50" i="60" s="1"/>
  <c r="U50" i="60" s="1"/>
  <c r="J50" i="60"/>
  <c r="M50" i="60" s="1"/>
  <c r="X49" i="60"/>
  <c r="S49" i="60"/>
  <c r="U49" i="60" s="1"/>
  <c r="Q49" i="60"/>
  <c r="J49" i="60"/>
  <c r="M49" i="60" s="1"/>
  <c r="X48" i="60"/>
  <c r="Q48" i="60"/>
  <c r="S48" i="60" s="1"/>
  <c r="U48" i="60" s="1"/>
  <c r="J48" i="60"/>
  <c r="M48" i="60" s="1"/>
  <c r="X47" i="60"/>
  <c r="Q47" i="60"/>
  <c r="S47" i="60" s="1"/>
  <c r="U47" i="60" s="1"/>
  <c r="J47" i="60"/>
  <c r="M47" i="60" s="1"/>
  <c r="X46" i="60"/>
  <c r="Q46" i="60"/>
  <c r="S46" i="60" s="1"/>
  <c r="U46" i="60" s="1"/>
  <c r="J46" i="60"/>
  <c r="M46" i="60" s="1"/>
  <c r="X45" i="60"/>
  <c r="Q45" i="60"/>
  <c r="S45" i="60" s="1"/>
  <c r="U45" i="60" s="1"/>
  <c r="J45" i="60"/>
  <c r="M45" i="60" s="1"/>
  <c r="X44" i="60"/>
  <c r="Q44" i="60"/>
  <c r="S44" i="60" s="1"/>
  <c r="U44" i="60" s="1"/>
  <c r="J44" i="60"/>
  <c r="M44" i="60" s="1"/>
  <c r="X43" i="60"/>
  <c r="Q43" i="60"/>
  <c r="S43" i="60" s="1"/>
  <c r="U43" i="60" s="1"/>
  <c r="J43" i="60"/>
  <c r="M43" i="60" s="1"/>
  <c r="X42" i="60"/>
  <c r="Q42" i="60"/>
  <c r="S42" i="60" s="1"/>
  <c r="U42" i="60" s="1"/>
  <c r="J42" i="60"/>
  <c r="M42" i="60" s="1"/>
  <c r="X41" i="60"/>
  <c r="S41" i="60"/>
  <c r="U41" i="60" s="1"/>
  <c r="Q41" i="60"/>
  <c r="J41" i="60"/>
  <c r="M41" i="60" s="1"/>
  <c r="X40" i="60"/>
  <c r="Q40" i="60"/>
  <c r="S40" i="60" s="1"/>
  <c r="U40" i="60" s="1"/>
  <c r="J40" i="60"/>
  <c r="M40" i="60" s="1"/>
  <c r="X39" i="60"/>
  <c r="Q39" i="60"/>
  <c r="S39" i="60" s="1"/>
  <c r="U39" i="60" s="1"/>
  <c r="J39" i="60"/>
  <c r="M39" i="60" s="1"/>
  <c r="X38" i="60"/>
  <c r="S38" i="60"/>
  <c r="U38" i="60" s="1"/>
  <c r="Q38" i="60"/>
  <c r="J38" i="60"/>
  <c r="M38" i="60" s="1"/>
  <c r="X37" i="60"/>
  <c r="Q37" i="60"/>
  <c r="S37" i="60" s="1"/>
  <c r="U37" i="60" s="1"/>
  <c r="J37" i="60"/>
  <c r="M37" i="60" s="1"/>
  <c r="X36" i="60"/>
  <c r="Q36" i="60"/>
  <c r="S36" i="60" s="1"/>
  <c r="U36" i="60" s="1"/>
  <c r="J36" i="60"/>
  <c r="M36" i="60" s="1"/>
  <c r="X35" i="60"/>
  <c r="S35" i="60"/>
  <c r="U35" i="60" s="1"/>
  <c r="Q35" i="60"/>
  <c r="M35" i="60"/>
  <c r="J35" i="60"/>
  <c r="X34" i="60"/>
  <c r="Q34" i="60"/>
  <c r="S34" i="60" s="1"/>
  <c r="U34" i="60" s="1"/>
  <c r="J34" i="60"/>
  <c r="M34" i="60" s="1"/>
  <c r="X33" i="60"/>
  <c r="Q33" i="60"/>
  <c r="S33" i="60" s="1"/>
  <c r="U33" i="60" s="1"/>
  <c r="J33" i="60"/>
  <c r="M33" i="60" s="1"/>
  <c r="X32" i="60"/>
  <c r="Q32" i="60"/>
  <c r="S32" i="60" s="1"/>
  <c r="U32" i="60" s="1"/>
  <c r="J32" i="60"/>
  <c r="M32" i="60" s="1"/>
  <c r="X31" i="60"/>
  <c r="Q31" i="60"/>
  <c r="S31" i="60" s="1"/>
  <c r="U31" i="60" s="1"/>
  <c r="J31" i="60"/>
  <c r="M31" i="60" s="1"/>
  <c r="X30" i="60"/>
  <c r="Q30" i="60"/>
  <c r="S30" i="60" s="1"/>
  <c r="U30" i="60" s="1"/>
  <c r="J30" i="60"/>
  <c r="M30" i="60" s="1"/>
  <c r="X29" i="60"/>
  <c r="Q29" i="60"/>
  <c r="S29" i="60" s="1"/>
  <c r="U29" i="60" s="1"/>
  <c r="J29" i="60"/>
  <c r="M29" i="60" s="1"/>
  <c r="X28" i="60"/>
  <c r="Q28" i="60"/>
  <c r="S28" i="60" s="1"/>
  <c r="U28" i="60" s="1"/>
  <c r="J28" i="60"/>
  <c r="M28" i="60" s="1"/>
  <c r="X27" i="60"/>
  <c r="Q27" i="60"/>
  <c r="S27" i="60" s="1"/>
  <c r="U27" i="60" s="1"/>
  <c r="J27" i="60"/>
  <c r="M27" i="60" s="1"/>
  <c r="X26" i="60"/>
  <c r="Q26" i="60"/>
  <c r="S26" i="60" s="1"/>
  <c r="U26" i="60" s="1"/>
  <c r="J26" i="60"/>
  <c r="M26" i="60" s="1"/>
  <c r="X25" i="60"/>
  <c r="Q25" i="60"/>
  <c r="S25" i="60" s="1"/>
  <c r="U25" i="60" s="1"/>
  <c r="J25" i="60"/>
  <c r="M25" i="60" s="1"/>
  <c r="X24" i="60"/>
  <c r="S24" i="60"/>
  <c r="U24" i="60" s="1"/>
  <c r="Q24" i="60"/>
  <c r="J24" i="60"/>
  <c r="M24" i="60" s="1"/>
  <c r="X23" i="60"/>
  <c r="Q23" i="60"/>
  <c r="S23" i="60" s="1"/>
  <c r="U23" i="60" s="1"/>
  <c r="M23" i="60"/>
  <c r="J23" i="60"/>
  <c r="X22" i="60"/>
  <c r="S22" i="60"/>
  <c r="U22" i="60" s="1"/>
  <c r="Q22" i="60"/>
  <c r="J22" i="60"/>
  <c r="M22" i="60" s="1"/>
  <c r="X21" i="60"/>
  <c r="S21" i="60"/>
  <c r="U21" i="60" s="1"/>
  <c r="Q21" i="60"/>
  <c r="M21" i="60"/>
  <c r="J21" i="60"/>
  <c r="X20" i="60"/>
  <c r="Q20" i="60"/>
  <c r="S20" i="60" s="1"/>
  <c r="U20" i="60" s="1"/>
  <c r="J20" i="60"/>
  <c r="M20" i="60" s="1"/>
  <c r="X19" i="60"/>
  <c r="S19" i="60"/>
  <c r="U19" i="60" s="1"/>
  <c r="Q19" i="60"/>
  <c r="J19" i="60"/>
  <c r="M19" i="60" s="1"/>
  <c r="X18" i="60"/>
  <c r="Q18" i="60"/>
  <c r="S18" i="60" s="1"/>
  <c r="U18" i="60" s="1"/>
  <c r="J18" i="60"/>
  <c r="M18" i="60" s="1"/>
  <c r="X17" i="60"/>
  <c r="Q17" i="60"/>
  <c r="S17" i="60" s="1"/>
  <c r="U17" i="60" s="1"/>
  <c r="J17" i="60"/>
  <c r="M17" i="60" s="1"/>
  <c r="X16" i="60"/>
  <c r="Q16" i="60"/>
  <c r="S16" i="60" s="1"/>
  <c r="U16" i="60" s="1"/>
  <c r="M16" i="60"/>
  <c r="J16" i="60"/>
  <c r="X15" i="60"/>
  <c r="Q15" i="60"/>
  <c r="S15" i="60" s="1"/>
  <c r="U15" i="60" s="1"/>
  <c r="J15" i="60"/>
  <c r="M15" i="60" s="1"/>
  <c r="X14" i="60"/>
  <c r="Q14" i="60"/>
  <c r="S14" i="60" s="1"/>
  <c r="U14" i="60" s="1"/>
  <c r="J14" i="60"/>
  <c r="M14" i="60" s="1"/>
  <c r="X13" i="60"/>
  <c r="Q13" i="60"/>
  <c r="S13" i="60" s="1"/>
  <c r="U13" i="60" s="1"/>
  <c r="J13" i="60"/>
  <c r="M13" i="60" s="1"/>
  <c r="X12" i="60"/>
  <c r="Q12" i="60"/>
  <c r="S12" i="60" s="1"/>
  <c r="U12" i="60" s="1"/>
  <c r="J12" i="60"/>
  <c r="M12" i="60" s="1"/>
  <c r="X11" i="60"/>
  <c r="Q11" i="60"/>
  <c r="S11" i="60" s="1"/>
  <c r="U11" i="60" s="1"/>
  <c r="J11" i="60"/>
  <c r="M11" i="60" s="1"/>
  <c r="X10" i="60"/>
  <c r="S10" i="60"/>
  <c r="U10" i="60" s="1"/>
  <c r="Q10" i="60"/>
  <c r="M10" i="60"/>
  <c r="J10" i="60"/>
  <c r="X9" i="60"/>
  <c r="Q9" i="60"/>
  <c r="S9" i="60" s="1"/>
  <c r="U9" i="60" s="1"/>
  <c r="J9" i="60"/>
  <c r="M9" i="60" s="1"/>
  <c r="X8" i="60"/>
  <c r="S8" i="60"/>
  <c r="U8" i="60" s="1"/>
  <c r="Q8" i="60"/>
  <c r="J8" i="60"/>
  <c r="M8" i="60" s="1"/>
  <c r="X7" i="60"/>
  <c r="Q7" i="60"/>
  <c r="S7" i="60" s="1"/>
  <c r="U7" i="60" s="1"/>
  <c r="J7" i="60"/>
  <c r="M7" i="60" s="1"/>
  <c r="X6" i="60"/>
  <c r="Q6" i="60"/>
  <c r="S6" i="60" s="1"/>
  <c r="U6" i="60" s="1"/>
  <c r="J6" i="60"/>
  <c r="M6" i="60" s="1"/>
  <c r="X5" i="60"/>
  <c r="Q5" i="60"/>
  <c r="S5" i="60" s="1"/>
  <c r="U5" i="60" s="1"/>
  <c r="J5" i="60"/>
  <c r="M5" i="60" s="1"/>
  <c r="K212" i="59"/>
  <c r="N30" i="15" s="1"/>
  <c r="K209" i="59"/>
  <c r="R30" i="15" s="1"/>
  <c r="J204" i="59"/>
  <c r="M204" i="59" s="1"/>
  <c r="J203" i="59"/>
  <c r="M203" i="59" s="1"/>
  <c r="J202" i="59"/>
  <c r="M202" i="59" s="1"/>
  <c r="J201" i="59"/>
  <c r="M201" i="59" s="1"/>
  <c r="J200" i="59"/>
  <c r="M200" i="59" s="1"/>
  <c r="J199" i="59"/>
  <c r="M199" i="59" s="1"/>
  <c r="J198" i="59"/>
  <c r="M198" i="59" s="1"/>
  <c r="J197" i="59"/>
  <c r="M197" i="59" s="1"/>
  <c r="J196" i="59"/>
  <c r="M196" i="59" s="1"/>
  <c r="J195" i="59"/>
  <c r="M195" i="59" s="1"/>
  <c r="J194" i="59"/>
  <c r="M194" i="59" s="1"/>
  <c r="J193" i="59"/>
  <c r="M193" i="59" s="1"/>
  <c r="J192" i="59"/>
  <c r="M192" i="59" s="1"/>
  <c r="J191" i="59"/>
  <c r="M191" i="59" s="1"/>
  <c r="J190" i="59"/>
  <c r="M190" i="59" s="1"/>
  <c r="J189" i="59"/>
  <c r="M189" i="59" s="1"/>
  <c r="J188" i="59"/>
  <c r="M188" i="59" s="1"/>
  <c r="J187" i="59"/>
  <c r="M187" i="59" s="1"/>
  <c r="J186" i="59"/>
  <c r="M186" i="59" s="1"/>
  <c r="J185" i="59"/>
  <c r="M185" i="59" s="1"/>
  <c r="J184" i="59"/>
  <c r="M184" i="59" s="1"/>
  <c r="J183" i="59"/>
  <c r="M183" i="59" s="1"/>
  <c r="J182" i="59"/>
  <c r="M182" i="59" s="1"/>
  <c r="J181" i="59"/>
  <c r="M181" i="59" s="1"/>
  <c r="M180" i="59"/>
  <c r="J180" i="59"/>
  <c r="J179" i="59"/>
  <c r="M179" i="59" s="1"/>
  <c r="J178" i="59"/>
  <c r="M178" i="59" s="1"/>
  <c r="J177" i="59"/>
  <c r="M177" i="59" s="1"/>
  <c r="J176" i="59"/>
  <c r="M176" i="59" s="1"/>
  <c r="M175" i="59"/>
  <c r="J175" i="59"/>
  <c r="J174" i="59"/>
  <c r="M174" i="59" s="1"/>
  <c r="J173" i="59"/>
  <c r="M173" i="59" s="1"/>
  <c r="J172" i="59"/>
  <c r="M172" i="59" s="1"/>
  <c r="J171" i="59"/>
  <c r="M171" i="59" s="1"/>
  <c r="J170" i="59"/>
  <c r="M170" i="59" s="1"/>
  <c r="J169" i="59"/>
  <c r="M169" i="59" s="1"/>
  <c r="J168" i="59"/>
  <c r="M168" i="59" s="1"/>
  <c r="J167" i="59"/>
  <c r="M167" i="59" s="1"/>
  <c r="J166" i="59"/>
  <c r="M166" i="59" s="1"/>
  <c r="J165" i="59"/>
  <c r="M165" i="59" s="1"/>
  <c r="J164" i="59"/>
  <c r="M164" i="59" s="1"/>
  <c r="J163" i="59"/>
  <c r="M163" i="59" s="1"/>
  <c r="J162" i="59"/>
  <c r="M162" i="59" s="1"/>
  <c r="J161" i="59"/>
  <c r="M161" i="59" s="1"/>
  <c r="J160" i="59"/>
  <c r="M160" i="59" s="1"/>
  <c r="J159" i="59"/>
  <c r="M159" i="59" s="1"/>
  <c r="J158" i="59"/>
  <c r="M158" i="59" s="1"/>
  <c r="J157" i="59"/>
  <c r="M157" i="59" s="1"/>
  <c r="J156" i="59"/>
  <c r="M156" i="59" s="1"/>
  <c r="J155" i="59"/>
  <c r="M155" i="59" s="1"/>
  <c r="J154" i="59"/>
  <c r="M154" i="59" s="1"/>
  <c r="J153" i="59"/>
  <c r="M153" i="59" s="1"/>
  <c r="J152" i="59"/>
  <c r="M152" i="59" s="1"/>
  <c r="J151" i="59"/>
  <c r="M151" i="59" s="1"/>
  <c r="J150" i="59"/>
  <c r="M150" i="59" s="1"/>
  <c r="J149" i="59"/>
  <c r="M149" i="59" s="1"/>
  <c r="J148" i="59"/>
  <c r="M148" i="59" s="1"/>
  <c r="J147" i="59"/>
  <c r="M147" i="59" s="1"/>
  <c r="J146" i="59"/>
  <c r="M146" i="59" s="1"/>
  <c r="J145" i="59"/>
  <c r="M145" i="59" s="1"/>
  <c r="J144" i="59"/>
  <c r="M144" i="59" s="1"/>
  <c r="J143" i="59"/>
  <c r="M143" i="59" s="1"/>
  <c r="J142" i="59"/>
  <c r="M142" i="59" s="1"/>
  <c r="J141" i="59"/>
  <c r="M141" i="59" s="1"/>
  <c r="J140" i="59"/>
  <c r="M140" i="59" s="1"/>
  <c r="J139" i="59"/>
  <c r="M139" i="59" s="1"/>
  <c r="J138" i="59"/>
  <c r="M138" i="59" s="1"/>
  <c r="J137" i="59"/>
  <c r="M137" i="59" s="1"/>
  <c r="J136" i="59"/>
  <c r="M136" i="59" s="1"/>
  <c r="J135" i="59"/>
  <c r="M135" i="59" s="1"/>
  <c r="J134" i="59"/>
  <c r="M134" i="59" s="1"/>
  <c r="J133" i="59"/>
  <c r="M133" i="59" s="1"/>
  <c r="J132" i="59"/>
  <c r="M132" i="59" s="1"/>
  <c r="J131" i="59"/>
  <c r="M131" i="59" s="1"/>
  <c r="M130" i="59"/>
  <c r="J130" i="59"/>
  <c r="J129" i="59"/>
  <c r="M129" i="59" s="1"/>
  <c r="J128" i="59"/>
  <c r="M128" i="59" s="1"/>
  <c r="J127" i="59"/>
  <c r="M127" i="59" s="1"/>
  <c r="J126" i="59"/>
  <c r="M126" i="59" s="1"/>
  <c r="J125" i="59"/>
  <c r="M125" i="59" s="1"/>
  <c r="J124" i="59"/>
  <c r="M124" i="59" s="1"/>
  <c r="J123" i="59"/>
  <c r="M123" i="59" s="1"/>
  <c r="J122" i="59"/>
  <c r="M122" i="59" s="1"/>
  <c r="J121" i="59"/>
  <c r="M121" i="59" s="1"/>
  <c r="J120" i="59"/>
  <c r="M120" i="59" s="1"/>
  <c r="J119" i="59"/>
  <c r="M119" i="59" s="1"/>
  <c r="J118" i="59"/>
  <c r="M118" i="59" s="1"/>
  <c r="J117" i="59"/>
  <c r="M117" i="59" s="1"/>
  <c r="J116" i="59"/>
  <c r="M116" i="59" s="1"/>
  <c r="J115" i="59"/>
  <c r="M115" i="59" s="1"/>
  <c r="J114" i="59"/>
  <c r="M114" i="59" s="1"/>
  <c r="J113" i="59"/>
  <c r="M113" i="59" s="1"/>
  <c r="J112" i="59"/>
  <c r="M112" i="59" s="1"/>
  <c r="J111" i="59"/>
  <c r="M111" i="59" s="1"/>
  <c r="J110" i="59"/>
  <c r="M110" i="59" s="1"/>
  <c r="J109" i="59"/>
  <c r="M109" i="59" s="1"/>
  <c r="J108" i="59"/>
  <c r="M108" i="59" s="1"/>
  <c r="J107" i="59"/>
  <c r="M107" i="59" s="1"/>
  <c r="J106" i="59"/>
  <c r="M106" i="59" s="1"/>
  <c r="Z105" i="59"/>
  <c r="J105" i="59"/>
  <c r="M105" i="59" s="1"/>
  <c r="X104" i="59"/>
  <c r="Q104" i="59"/>
  <c r="S104" i="59" s="1"/>
  <c r="U104" i="59" s="1"/>
  <c r="J104" i="59"/>
  <c r="M104" i="59" s="1"/>
  <c r="X103" i="59"/>
  <c r="Q103" i="59"/>
  <c r="S103" i="59" s="1"/>
  <c r="U103" i="59" s="1"/>
  <c r="J103" i="59"/>
  <c r="M103" i="59" s="1"/>
  <c r="X102" i="59"/>
  <c r="Q102" i="59"/>
  <c r="S102" i="59" s="1"/>
  <c r="U102" i="59" s="1"/>
  <c r="J102" i="59"/>
  <c r="M102" i="59" s="1"/>
  <c r="X101" i="59"/>
  <c r="Q101" i="59"/>
  <c r="S101" i="59" s="1"/>
  <c r="U101" i="59" s="1"/>
  <c r="J101" i="59"/>
  <c r="M101" i="59" s="1"/>
  <c r="X100" i="59"/>
  <c r="Q100" i="59"/>
  <c r="S100" i="59" s="1"/>
  <c r="U100" i="59" s="1"/>
  <c r="J100" i="59"/>
  <c r="M100" i="59" s="1"/>
  <c r="X99" i="59"/>
  <c r="Q99" i="59"/>
  <c r="S99" i="59" s="1"/>
  <c r="U99" i="59" s="1"/>
  <c r="J99" i="59"/>
  <c r="M99" i="59" s="1"/>
  <c r="X98" i="59"/>
  <c r="Q98" i="59"/>
  <c r="S98" i="59" s="1"/>
  <c r="U98" i="59" s="1"/>
  <c r="J98" i="59"/>
  <c r="M98" i="59" s="1"/>
  <c r="X97" i="59"/>
  <c r="Q97" i="59"/>
  <c r="S97" i="59" s="1"/>
  <c r="U97" i="59" s="1"/>
  <c r="J97" i="59"/>
  <c r="M97" i="59" s="1"/>
  <c r="X96" i="59"/>
  <c r="Q96" i="59"/>
  <c r="S96" i="59" s="1"/>
  <c r="U96" i="59" s="1"/>
  <c r="J96" i="59"/>
  <c r="M96" i="59" s="1"/>
  <c r="X95" i="59"/>
  <c r="U95" i="59"/>
  <c r="S95" i="59"/>
  <c r="Q95" i="59"/>
  <c r="J95" i="59"/>
  <c r="M95" i="59" s="1"/>
  <c r="X94" i="59"/>
  <c r="Q94" i="59"/>
  <c r="S94" i="59" s="1"/>
  <c r="U94" i="59" s="1"/>
  <c r="J94" i="59"/>
  <c r="M94" i="59" s="1"/>
  <c r="X93" i="59"/>
  <c r="S93" i="59"/>
  <c r="U93" i="59" s="1"/>
  <c r="Q93" i="59"/>
  <c r="J93" i="59"/>
  <c r="M93" i="59" s="1"/>
  <c r="X92" i="59"/>
  <c r="Q92" i="59"/>
  <c r="S92" i="59" s="1"/>
  <c r="U92" i="59" s="1"/>
  <c r="J92" i="59"/>
  <c r="M92" i="59" s="1"/>
  <c r="X91" i="59"/>
  <c r="S91" i="59"/>
  <c r="U91" i="59" s="1"/>
  <c r="Q91" i="59"/>
  <c r="J91" i="59"/>
  <c r="M91" i="59" s="1"/>
  <c r="X90" i="59"/>
  <c r="Q90" i="59"/>
  <c r="S90" i="59" s="1"/>
  <c r="U90" i="59" s="1"/>
  <c r="J90" i="59"/>
  <c r="M90" i="59" s="1"/>
  <c r="X89" i="59"/>
  <c r="Q89" i="59"/>
  <c r="S89" i="59" s="1"/>
  <c r="U89" i="59" s="1"/>
  <c r="M89" i="59"/>
  <c r="J89" i="59"/>
  <c r="X88" i="59"/>
  <c r="Q88" i="59"/>
  <c r="S88" i="59" s="1"/>
  <c r="U88" i="59" s="1"/>
  <c r="J88" i="59"/>
  <c r="M88" i="59" s="1"/>
  <c r="X87" i="59"/>
  <c r="S87" i="59"/>
  <c r="U87" i="59" s="1"/>
  <c r="Q87" i="59"/>
  <c r="J87" i="59"/>
  <c r="M87" i="59" s="1"/>
  <c r="X86" i="59"/>
  <c r="Q86" i="59"/>
  <c r="S86" i="59" s="1"/>
  <c r="U86" i="59" s="1"/>
  <c r="J86" i="59"/>
  <c r="M86" i="59" s="1"/>
  <c r="X85" i="59"/>
  <c r="Q85" i="59"/>
  <c r="S85" i="59" s="1"/>
  <c r="U85" i="59" s="1"/>
  <c r="J85" i="59"/>
  <c r="M85" i="59" s="1"/>
  <c r="X84" i="59"/>
  <c r="Q84" i="59"/>
  <c r="S84" i="59" s="1"/>
  <c r="U84" i="59" s="1"/>
  <c r="J84" i="59"/>
  <c r="M84" i="59" s="1"/>
  <c r="X83" i="59"/>
  <c r="S83" i="59"/>
  <c r="U83" i="59" s="1"/>
  <c r="Q83" i="59"/>
  <c r="J83" i="59"/>
  <c r="M83" i="59" s="1"/>
  <c r="X82" i="59"/>
  <c r="Q82" i="59"/>
  <c r="S82" i="59" s="1"/>
  <c r="U82" i="59" s="1"/>
  <c r="J82" i="59"/>
  <c r="M82" i="59" s="1"/>
  <c r="X81" i="59"/>
  <c r="Q81" i="59"/>
  <c r="S81" i="59" s="1"/>
  <c r="U81" i="59" s="1"/>
  <c r="J81" i="59"/>
  <c r="M81" i="59" s="1"/>
  <c r="X80" i="59"/>
  <c r="Q80" i="59"/>
  <c r="S80" i="59" s="1"/>
  <c r="U80" i="59" s="1"/>
  <c r="J80" i="59"/>
  <c r="M80" i="59" s="1"/>
  <c r="X79" i="59"/>
  <c r="U79" i="59"/>
  <c r="S79" i="59"/>
  <c r="Q79" i="59"/>
  <c r="J79" i="59"/>
  <c r="M79" i="59" s="1"/>
  <c r="X78" i="59"/>
  <c r="Q78" i="59"/>
  <c r="S78" i="59" s="1"/>
  <c r="U78" i="59" s="1"/>
  <c r="J78" i="59"/>
  <c r="M78" i="59" s="1"/>
  <c r="X77" i="59"/>
  <c r="S77" i="59"/>
  <c r="U77" i="59" s="1"/>
  <c r="Q77" i="59"/>
  <c r="J77" i="59"/>
  <c r="M77" i="59" s="1"/>
  <c r="X76" i="59"/>
  <c r="Q76" i="59"/>
  <c r="S76" i="59" s="1"/>
  <c r="U76" i="59" s="1"/>
  <c r="J76" i="59"/>
  <c r="M76" i="59" s="1"/>
  <c r="X75" i="59"/>
  <c r="Q75" i="59"/>
  <c r="S75" i="59" s="1"/>
  <c r="U75" i="59" s="1"/>
  <c r="J75" i="59"/>
  <c r="M75" i="59" s="1"/>
  <c r="X74" i="59"/>
  <c r="Q74" i="59"/>
  <c r="S74" i="59" s="1"/>
  <c r="U74" i="59" s="1"/>
  <c r="M74" i="59"/>
  <c r="J74" i="59"/>
  <c r="X73" i="59"/>
  <c r="Q73" i="59"/>
  <c r="S73" i="59" s="1"/>
  <c r="U73" i="59" s="1"/>
  <c r="J73" i="59"/>
  <c r="M73" i="59" s="1"/>
  <c r="X72" i="59"/>
  <c r="Q72" i="59"/>
  <c r="S72" i="59" s="1"/>
  <c r="U72" i="59" s="1"/>
  <c r="J72" i="59"/>
  <c r="M72" i="59" s="1"/>
  <c r="X71" i="59"/>
  <c r="S71" i="59"/>
  <c r="U71" i="59" s="1"/>
  <c r="Q71" i="59"/>
  <c r="J71" i="59"/>
  <c r="M71" i="59" s="1"/>
  <c r="X70" i="59"/>
  <c r="Q70" i="59"/>
  <c r="S70" i="59" s="1"/>
  <c r="U70" i="59" s="1"/>
  <c r="J70" i="59"/>
  <c r="M70" i="59" s="1"/>
  <c r="X69" i="59"/>
  <c r="S69" i="59"/>
  <c r="U69" i="59" s="1"/>
  <c r="Q69" i="59"/>
  <c r="J69" i="59"/>
  <c r="M69" i="59" s="1"/>
  <c r="X68" i="59"/>
  <c r="Q68" i="59"/>
  <c r="S68" i="59" s="1"/>
  <c r="U68" i="59" s="1"/>
  <c r="J68" i="59"/>
  <c r="M68" i="59" s="1"/>
  <c r="X67" i="59"/>
  <c r="Q67" i="59"/>
  <c r="S67" i="59" s="1"/>
  <c r="U67" i="59" s="1"/>
  <c r="J67" i="59"/>
  <c r="M67" i="59" s="1"/>
  <c r="X66" i="59"/>
  <c r="Q66" i="59"/>
  <c r="S66" i="59" s="1"/>
  <c r="U66" i="59" s="1"/>
  <c r="J66" i="59"/>
  <c r="M66" i="59" s="1"/>
  <c r="X65" i="59"/>
  <c r="Q65" i="59"/>
  <c r="S65" i="59" s="1"/>
  <c r="U65" i="59" s="1"/>
  <c r="J65" i="59"/>
  <c r="M65" i="59" s="1"/>
  <c r="X64" i="59"/>
  <c r="Q64" i="59"/>
  <c r="S64" i="59" s="1"/>
  <c r="U64" i="59" s="1"/>
  <c r="J64" i="59"/>
  <c r="M64" i="59" s="1"/>
  <c r="X63" i="59"/>
  <c r="U63" i="59"/>
  <c r="Q63" i="59"/>
  <c r="S63" i="59" s="1"/>
  <c r="J63" i="59"/>
  <c r="M63" i="59" s="1"/>
  <c r="X62" i="59"/>
  <c r="Q62" i="59"/>
  <c r="S62" i="59" s="1"/>
  <c r="U62" i="59" s="1"/>
  <c r="J62" i="59"/>
  <c r="M62" i="59" s="1"/>
  <c r="X61" i="59"/>
  <c r="S61" i="59"/>
  <c r="U61" i="59" s="1"/>
  <c r="Q61" i="59"/>
  <c r="J61" i="59"/>
  <c r="M61" i="59" s="1"/>
  <c r="X60" i="59"/>
  <c r="Q60" i="59"/>
  <c r="S60" i="59" s="1"/>
  <c r="U60" i="59" s="1"/>
  <c r="J60" i="59"/>
  <c r="M60" i="59" s="1"/>
  <c r="X59" i="59"/>
  <c r="S59" i="59"/>
  <c r="U59" i="59" s="1"/>
  <c r="Q59" i="59"/>
  <c r="J59" i="59"/>
  <c r="M59" i="59" s="1"/>
  <c r="X58" i="59"/>
  <c r="Q58" i="59"/>
  <c r="S58" i="59" s="1"/>
  <c r="U58" i="59" s="1"/>
  <c r="J58" i="59"/>
  <c r="M58" i="59" s="1"/>
  <c r="X57" i="59"/>
  <c r="Q57" i="59"/>
  <c r="S57" i="59" s="1"/>
  <c r="U57" i="59" s="1"/>
  <c r="J57" i="59"/>
  <c r="M57" i="59" s="1"/>
  <c r="X56" i="59"/>
  <c r="Q56" i="59"/>
  <c r="S56" i="59" s="1"/>
  <c r="U56" i="59" s="1"/>
  <c r="J56" i="59"/>
  <c r="M56" i="59" s="1"/>
  <c r="X55" i="59"/>
  <c r="U55" i="59"/>
  <c r="S55" i="59"/>
  <c r="Q55" i="59"/>
  <c r="J55" i="59"/>
  <c r="M55" i="59" s="1"/>
  <c r="X54" i="59"/>
  <c r="Q54" i="59"/>
  <c r="S54" i="59" s="1"/>
  <c r="U54" i="59" s="1"/>
  <c r="J54" i="59"/>
  <c r="M54" i="59" s="1"/>
  <c r="X53" i="59"/>
  <c r="Q53" i="59"/>
  <c r="S53" i="59" s="1"/>
  <c r="U53" i="59" s="1"/>
  <c r="M53" i="59"/>
  <c r="J53" i="59"/>
  <c r="X52" i="59"/>
  <c r="Q52" i="59"/>
  <c r="S52" i="59" s="1"/>
  <c r="U52" i="59" s="1"/>
  <c r="J52" i="59"/>
  <c r="M52" i="59" s="1"/>
  <c r="X51" i="59"/>
  <c r="Q51" i="59"/>
  <c r="S51" i="59" s="1"/>
  <c r="U51" i="59" s="1"/>
  <c r="J51" i="59"/>
  <c r="M51" i="59" s="1"/>
  <c r="X50" i="59"/>
  <c r="Q50" i="59"/>
  <c r="S50" i="59" s="1"/>
  <c r="U50" i="59" s="1"/>
  <c r="J50" i="59"/>
  <c r="M50" i="59" s="1"/>
  <c r="X49" i="59"/>
  <c r="Q49" i="59"/>
  <c r="S49" i="59" s="1"/>
  <c r="U49" i="59" s="1"/>
  <c r="J49" i="59"/>
  <c r="M49" i="59" s="1"/>
  <c r="X48" i="59"/>
  <c r="Q48" i="59"/>
  <c r="S48" i="59" s="1"/>
  <c r="U48" i="59" s="1"/>
  <c r="J48" i="59"/>
  <c r="M48" i="59" s="1"/>
  <c r="X47" i="59"/>
  <c r="Q47" i="59"/>
  <c r="S47" i="59" s="1"/>
  <c r="U47" i="59" s="1"/>
  <c r="J47" i="59"/>
  <c r="M47" i="59" s="1"/>
  <c r="X46" i="59"/>
  <c r="Q46" i="59"/>
  <c r="S46" i="59" s="1"/>
  <c r="U46" i="59" s="1"/>
  <c r="J46" i="59"/>
  <c r="M46" i="59" s="1"/>
  <c r="X45" i="59"/>
  <c r="Q45" i="59"/>
  <c r="S45" i="59" s="1"/>
  <c r="U45" i="59" s="1"/>
  <c r="J45" i="59"/>
  <c r="M45" i="59" s="1"/>
  <c r="X44" i="59"/>
  <c r="Q44" i="59"/>
  <c r="S44" i="59" s="1"/>
  <c r="U44" i="59" s="1"/>
  <c r="J44" i="59"/>
  <c r="M44" i="59" s="1"/>
  <c r="X43" i="59"/>
  <c r="S43" i="59"/>
  <c r="U43" i="59" s="1"/>
  <c r="Q43" i="59"/>
  <c r="J43" i="59"/>
  <c r="M43" i="59" s="1"/>
  <c r="X42" i="59"/>
  <c r="Q42" i="59"/>
  <c r="S42" i="59" s="1"/>
  <c r="U42" i="59" s="1"/>
  <c r="J42" i="59"/>
  <c r="M42" i="59" s="1"/>
  <c r="X41" i="59"/>
  <c r="Q41" i="59"/>
  <c r="S41" i="59" s="1"/>
  <c r="U41" i="59" s="1"/>
  <c r="J41" i="59"/>
  <c r="M41" i="59" s="1"/>
  <c r="X40" i="59"/>
  <c r="S40" i="59"/>
  <c r="U40" i="59" s="1"/>
  <c r="Q40" i="59"/>
  <c r="J40" i="59"/>
  <c r="M40" i="59" s="1"/>
  <c r="X39" i="59"/>
  <c r="Q39" i="59"/>
  <c r="S39" i="59" s="1"/>
  <c r="U39" i="59" s="1"/>
  <c r="J39" i="59"/>
  <c r="M39" i="59" s="1"/>
  <c r="X38" i="59"/>
  <c r="Q38" i="59"/>
  <c r="S38" i="59" s="1"/>
  <c r="U38" i="59" s="1"/>
  <c r="J38" i="59"/>
  <c r="M38" i="59" s="1"/>
  <c r="X37" i="59"/>
  <c r="Q37" i="59"/>
  <c r="S37" i="59" s="1"/>
  <c r="U37" i="59" s="1"/>
  <c r="J37" i="59"/>
  <c r="M37" i="59" s="1"/>
  <c r="X36" i="59"/>
  <c r="Q36" i="59"/>
  <c r="S36" i="59" s="1"/>
  <c r="U36" i="59" s="1"/>
  <c r="J36" i="59"/>
  <c r="M36" i="59" s="1"/>
  <c r="X35" i="59"/>
  <c r="Q35" i="59"/>
  <c r="S35" i="59" s="1"/>
  <c r="U35" i="59" s="1"/>
  <c r="J35" i="59"/>
  <c r="M35" i="59" s="1"/>
  <c r="X34" i="59"/>
  <c r="S34" i="59"/>
  <c r="U34" i="59" s="1"/>
  <c r="Q34" i="59"/>
  <c r="J34" i="59"/>
  <c r="M34" i="59" s="1"/>
  <c r="X33" i="59"/>
  <c r="Q33" i="59"/>
  <c r="S33" i="59" s="1"/>
  <c r="U33" i="59" s="1"/>
  <c r="J33" i="59"/>
  <c r="M33" i="59" s="1"/>
  <c r="X32" i="59"/>
  <c r="Q32" i="59"/>
  <c r="S32" i="59" s="1"/>
  <c r="U32" i="59" s="1"/>
  <c r="J32" i="59"/>
  <c r="M32" i="59" s="1"/>
  <c r="X31" i="59"/>
  <c r="S31" i="59"/>
  <c r="U31" i="59" s="1"/>
  <c r="Q31" i="59"/>
  <c r="J31" i="59"/>
  <c r="M31" i="59" s="1"/>
  <c r="X30" i="59"/>
  <c r="U30" i="59"/>
  <c r="Q30" i="59"/>
  <c r="S30" i="59" s="1"/>
  <c r="M30" i="59"/>
  <c r="J30" i="59"/>
  <c r="X29" i="59"/>
  <c r="Q29" i="59"/>
  <c r="S29" i="59" s="1"/>
  <c r="U29" i="59" s="1"/>
  <c r="J29" i="59"/>
  <c r="M29" i="59" s="1"/>
  <c r="X28" i="59"/>
  <c r="Q28" i="59"/>
  <c r="S28" i="59" s="1"/>
  <c r="U28" i="59" s="1"/>
  <c r="J28" i="59"/>
  <c r="M28" i="59" s="1"/>
  <c r="X27" i="59"/>
  <c r="Q27" i="59"/>
  <c r="S27" i="59" s="1"/>
  <c r="U27" i="59" s="1"/>
  <c r="J27" i="59"/>
  <c r="M27" i="59" s="1"/>
  <c r="X26" i="59"/>
  <c r="S26" i="59"/>
  <c r="U26" i="59" s="1"/>
  <c r="Q26" i="59"/>
  <c r="J26" i="59"/>
  <c r="M26" i="59" s="1"/>
  <c r="X25" i="59"/>
  <c r="Q25" i="59"/>
  <c r="S25" i="59" s="1"/>
  <c r="U25" i="59" s="1"/>
  <c r="M25" i="59"/>
  <c r="J25" i="59"/>
  <c r="X24" i="59"/>
  <c r="U24" i="59"/>
  <c r="S24" i="59"/>
  <c r="Q24" i="59"/>
  <c r="J24" i="59"/>
  <c r="M24" i="59" s="1"/>
  <c r="X23" i="59"/>
  <c r="U23" i="59"/>
  <c r="Q23" i="59"/>
  <c r="S23" i="59" s="1"/>
  <c r="J23" i="59"/>
  <c r="M23" i="59" s="1"/>
  <c r="X22" i="59"/>
  <c r="Q22" i="59"/>
  <c r="S22" i="59" s="1"/>
  <c r="U22" i="59" s="1"/>
  <c r="J22" i="59"/>
  <c r="M22" i="59" s="1"/>
  <c r="X21" i="59"/>
  <c r="Q21" i="59"/>
  <c r="S21" i="59" s="1"/>
  <c r="U21" i="59" s="1"/>
  <c r="J21" i="59"/>
  <c r="M21" i="59" s="1"/>
  <c r="X20" i="59"/>
  <c r="Q20" i="59"/>
  <c r="S20" i="59" s="1"/>
  <c r="U20" i="59" s="1"/>
  <c r="J20" i="59"/>
  <c r="M20" i="59" s="1"/>
  <c r="X19" i="59"/>
  <c r="Q19" i="59"/>
  <c r="S19" i="59" s="1"/>
  <c r="U19" i="59" s="1"/>
  <c r="J19" i="59"/>
  <c r="M19" i="59" s="1"/>
  <c r="X18" i="59"/>
  <c r="Q18" i="59"/>
  <c r="S18" i="59" s="1"/>
  <c r="U18" i="59" s="1"/>
  <c r="J18" i="59"/>
  <c r="M18" i="59" s="1"/>
  <c r="X17" i="59"/>
  <c r="Q17" i="59"/>
  <c r="S17" i="59" s="1"/>
  <c r="U17" i="59" s="1"/>
  <c r="J17" i="59"/>
  <c r="M17" i="59" s="1"/>
  <c r="X16" i="59"/>
  <c r="S16" i="59"/>
  <c r="U16" i="59" s="1"/>
  <c r="Q16" i="59"/>
  <c r="J16" i="59"/>
  <c r="M16" i="59" s="1"/>
  <c r="X15" i="59"/>
  <c r="S15" i="59"/>
  <c r="U15" i="59" s="1"/>
  <c r="Q15" i="59"/>
  <c r="J15" i="59"/>
  <c r="M15" i="59" s="1"/>
  <c r="X14" i="59"/>
  <c r="Q14" i="59"/>
  <c r="S14" i="59" s="1"/>
  <c r="U14" i="59" s="1"/>
  <c r="J14" i="59"/>
  <c r="M14" i="59" s="1"/>
  <c r="X13" i="59"/>
  <c r="Q13" i="59"/>
  <c r="S13" i="59" s="1"/>
  <c r="U13" i="59" s="1"/>
  <c r="J13" i="59"/>
  <c r="M13" i="59" s="1"/>
  <c r="X12" i="59"/>
  <c r="Q12" i="59"/>
  <c r="S12" i="59" s="1"/>
  <c r="U12" i="59" s="1"/>
  <c r="J12" i="59"/>
  <c r="M12" i="59" s="1"/>
  <c r="X11" i="59"/>
  <c r="Q11" i="59"/>
  <c r="S11" i="59" s="1"/>
  <c r="U11" i="59" s="1"/>
  <c r="J11" i="59"/>
  <c r="M11" i="59" s="1"/>
  <c r="X10" i="59"/>
  <c r="S10" i="59"/>
  <c r="U10" i="59" s="1"/>
  <c r="Q10" i="59"/>
  <c r="J10" i="59"/>
  <c r="M10" i="59" s="1"/>
  <c r="X9" i="59"/>
  <c r="Q9" i="59"/>
  <c r="S9" i="59" s="1"/>
  <c r="U9" i="59" s="1"/>
  <c r="J9" i="59"/>
  <c r="M9" i="59" s="1"/>
  <c r="X8" i="59"/>
  <c r="Q8" i="59"/>
  <c r="S8" i="59" s="1"/>
  <c r="U8" i="59" s="1"/>
  <c r="J8" i="59"/>
  <c r="M8" i="59" s="1"/>
  <c r="X7" i="59"/>
  <c r="Q7" i="59"/>
  <c r="S7" i="59" s="1"/>
  <c r="U7" i="59" s="1"/>
  <c r="J7" i="59"/>
  <c r="M7" i="59" s="1"/>
  <c r="X6" i="59"/>
  <c r="Q6" i="59"/>
  <c r="S6" i="59" s="1"/>
  <c r="U6" i="59" s="1"/>
  <c r="J6" i="59"/>
  <c r="M6" i="59" s="1"/>
  <c r="X5" i="59"/>
  <c r="Q5" i="59"/>
  <c r="S5" i="59" s="1"/>
  <c r="U5" i="59" s="1"/>
  <c r="J5" i="59"/>
  <c r="K212" i="58"/>
  <c r="N29" i="15" s="1"/>
  <c r="K209" i="58"/>
  <c r="R29" i="15" s="1"/>
  <c r="J204" i="58"/>
  <c r="M204" i="58" s="1"/>
  <c r="J203" i="58"/>
  <c r="M203" i="58" s="1"/>
  <c r="J202" i="58"/>
  <c r="M202" i="58" s="1"/>
  <c r="J201" i="58"/>
  <c r="M201" i="58" s="1"/>
  <c r="J200" i="58"/>
  <c r="M200" i="58" s="1"/>
  <c r="J199" i="58"/>
  <c r="M199" i="58" s="1"/>
  <c r="J198" i="58"/>
  <c r="M198" i="58" s="1"/>
  <c r="J197" i="58"/>
  <c r="M197" i="58" s="1"/>
  <c r="M196" i="58"/>
  <c r="J196" i="58"/>
  <c r="J195" i="58"/>
  <c r="M195" i="58" s="1"/>
  <c r="J194" i="58"/>
  <c r="M194" i="58" s="1"/>
  <c r="J193" i="58"/>
  <c r="M193" i="58" s="1"/>
  <c r="J192" i="58"/>
  <c r="M192" i="58" s="1"/>
  <c r="J191" i="58"/>
  <c r="M191" i="58" s="1"/>
  <c r="J190" i="58"/>
  <c r="M190" i="58" s="1"/>
  <c r="J189" i="58"/>
  <c r="M189" i="58" s="1"/>
  <c r="J188" i="58"/>
  <c r="M188" i="58" s="1"/>
  <c r="J187" i="58"/>
  <c r="M187" i="58" s="1"/>
  <c r="J186" i="58"/>
  <c r="M186" i="58" s="1"/>
  <c r="J185" i="58"/>
  <c r="M185" i="58" s="1"/>
  <c r="J184" i="58"/>
  <c r="M184" i="58" s="1"/>
  <c r="J183" i="58"/>
  <c r="M183" i="58" s="1"/>
  <c r="J182" i="58"/>
  <c r="M182" i="58" s="1"/>
  <c r="J181" i="58"/>
  <c r="M181" i="58" s="1"/>
  <c r="J180" i="58"/>
  <c r="M180" i="58" s="1"/>
  <c r="J179" i="58"/>
  <c r="M179" i="58" s="1"/>
  <c r="J178" i="58"/>
  <c r="M178" i="58" s="1"/>
  <c r="J177" i="58"/>
  <c r="M177" i="58" s="1"/>
  <c r="J176" i="58"/>
  <c r="M176" i="58" s="1"/>
  <c r="J175" i="58"/>
  <c r="M175" i="58" s="1"/>
  <c r="J174" i="58"/>
  <c r="M174" i="58" s="1"/>
  <c r="J173" i="58"/>
  <c r="M173" i="58" s="1"/>
  <c r="J172" i="58"/>
  <c r="M172" i="58" s="1"/>
  <c r="J171" i="58"/>
  <c r="M171" i="58" s="1"/>
  <c r="J170" i="58"/>
  <c r="M170" i="58" s="1"/>
  <c r="J169" i="58"/>
  <c r="M169" i="58" s="1"/>
  <c r="J168" i="58"/>
  <c r="M168" i="58" s="1"/>
  <c r="J167" i="58"/>
  <c r="M167" i="58" s="1"/>
  <c r="J166" i="58"/>
  <c r="M166" i="58" s="1"/>
  <c r="J165" i="58"/>
  <c r="M165" i="58" s="1"/>
  <c r="J164" i="58"/>
  <c r="M164" i="58" s="1"/>
  <c r="J163" i="58"/>
  <c r="M163" i="58" s="1"/>
  <c r="J162" i="58"/>
  <c r="M162" i="58" s="1"/>
  <c r="J161" i="58"/>
  <c r="M161" i="58" s="1"/>
  <c r="J160" i="58"/>
  <c r="M160" i="58" s="1"/>
  <c r="J159" i="58"/>
  <c r="M159" i="58" s="1"/>
  <c r="J158" i="58"/>
  <c r="M158" i="58" s="1"/>
  <c r="J157" i="58"/>
  <c r="M157" i="58" s="1"/>
  <c r="J156" i="58"/>
  <c r="M156" i="58" s="1"/>
  <c r="J155" i="58"/>
  <c r="M155" i="58" s="1"/>
  <c r="J154" i="58"/>
  <c r="M154" i="58" s="1"/>
  <c r="J153" i="58"/>
  <c r="M153" i="58" s="1"/>
  <c r="J152" i="58"/>
  <c r="M152" i="58" s="1"/>
  <c r="J151" i="58"/>
  <c r="M151" i="58" s="1"/>
  <c r="J150" i="58"/>
  <c r="M150" i="58" s="1"/>
  <c r="J149" i="58"/>
  <c r="M149" i="58" s="1"/>
  <c r="J148" i="58"/>
  <c r="M148" i="58" s="1"/>
  <c r="J147" i="58"/>
  <c r="M147" i="58" s="1"/>
  <c r="J146" i="58"/>
  <c r="M146" i="58" s="1"/>
  <c r="J145" i="58"/>
  <c r="M145" i="58" s="1"/>
  <c r="J144" i="58"/>
  <c r="M144" i="58" s="1"/>
  <c r="J143" i="58"/>
  <c r="M143" i="58" s="1"/>
  <c r="J142" i="58"/>
  <c r="M142" i="58" s="1"/>
  <c r="J141" i="58"/>
  <c r="M141" i="58" s="1"/>
  <c r="J140" i="58"/>
  <c r="M140" i="58" s="1"/>
  <c r="J139" i="58"/>
  <c r="M139" i="58" s="1"/>
  <c r="J138" i="58"/>
  <c r="M138" i="58" s="1"/>
  <c r="J137" i="58"/>
  <c r="M137" i="58" s="1"/>
  <c r="J136" i="58"/>
  <c r="M136" i="58" s="1"/>
  <c r="J135" i="58"/>
  <c r="M135" i="58" s="1"/>
  <c r="J134" i="58"/>
  <c r="M134" i="58" s="1"/>
  <c r="J133" i="58"/>
  <c r="M133" i="58" s="1"/>
  <c r="J132" i="58"/>
  <c r="M132" i="58" s="1"/>
  <c r="J131" i="58"/>
  <c r="M131" i="58" s="1"/>
  <c r="J130" i="58"/>
  <c r="M130" i="58" s="1"/>
  <c r="J129" i="58"/>
  <c r="M129" i="58" s="1"/>
  <c r="J128" i="58"/>
  <c r="M128" i="58" s="1"/>
  <c r="J127" i="58"/>
  <c r="M127" i="58" s="1"/>
  <c r="J126" i="58"/>
  <c r="M126" i="58" s="1"/>
  <c r="J125" i="58"/>
  <c r="M125" i="58" s="1"/>
  <c r="J124" i="58"/>
  <c r="M124" i="58" s="1"/>
  <c r="J123" i="58"/>
  <c r="M123" i="58" s="1"/>
  <c r="J122" i="58"/>
  <c r="M122" i="58" s="1"/>
  <c r="J121" i="58"/>
  <c r="M121" i="58" s="1"/>
  <c r="J120" i="58"/>
  <c r="M120" i="58" s="1"/>
  <c r="J119" i="58"/>
  <c r="M119" i="58" s="1"/>
  <c r="J118" i="58"/>
  <c r="M118" i="58" s="1"/>
  <c r="J117" i="58"/>
  <c r="M117" i="58" s="1"/>
  <c r="M116" i="58"/>
  <c r="J116" i="58"/>
  <c r="J115" i="58"/>
  <c r="M115" i="58" s="1"/>
  <c r="J114" i="58"/>
  <c r="M114" i="58" s="1"/>
  <c r="J113" i="58"/>
  <c r="M113" i="58" s="1"/>
  <c r="J112" i="58"/>
  <c r="M112" i="58" s="1"/>
  <c r="J111" i="58"/>
  <c r="M111" i="58" s="1"/>
  <c r="J110" i="58"/>
  <c r="M110" i="58" s="1"/>
  <c r="J109" i="58"/>
  <c r="M109" i="58" s="1"/>
  <c r="J108" i="58"/>
  <c r="M108" i="58" s="1"/>
  <c r="J107" i="58"/>
  <c r="M107" i="58" s="1"/>
  <c r="J106" i="58"/>
  <c r="M106" i="58" s="1"/>
  <c r="Z105" i="58"/>
  <c r="J105" i="58"/>
  <c r="M105" i="58" s="1"/>
  <c r="X104" i="58"/>
  <c r="U104" i="58"/>
  <c r="S104" i="58"/>
  <c r="Q104" i="58"/>
  <c r="J104" i="58"/>
  <c r="M104" i="58" s="1"/>
  <c r="X103" i="58"/>
  <c r="Q103" i="58"/>
  <c r="S103" i="58" s="1"/>
  <c r="U103" i="58" s="1"/>
  <c r="J103" i="58"/>
  <c r="M103" i="58" s="1"/>
  <c r="X102" i="58"/>
  <c r="S102" i="58"/>
  <c r="U102" i="58" s="1"/>
  <c r="Q102" i="58"/>
  <c r="J102" i="58"/>
  <c r="M102" i="58" s="1"/>
  <c r="X101" i="58"/>
  <c r="U101" i="58"/>
  <c r="S101" i="58"/>
  <c r="Q101" i="58"/>
  <c r="J101" i="58"/>
  <c r="M101" i="58" s="1"/>
  <c r="X100" i="58"/>
  <c r="Q100" i="58"/>
  <c r="S100" i="58" s="1"/>
  <c r="U100" i="58" s="1"/>
  <c r="J100" i="58"/>
  <c r="M100" i="58" s="1"/>
  <c r="X99" i="58"/>
  <c r="Q99" i="58"/>
  <c r="S99" i="58" s="1"/>
  <c r="U99" i="58" s="1"/>
  <c r="J99" i="58"/>
  <c r="M99" i="58" s="1"/>
  <c r="X98" i="58"/>
  <c r="Q98" i="58"/>
  <c r="S98" i="58" s="1"/>
  <c r="U98" i="58" s="1"/>
  <c r="J98" i="58"/>
  <c r="M98" i="58" s="1"/>
  <c r="X97" i="58"/>
  <c r="Q97" i="58"/>
  <c r="S97" i="58" s="1"/>
  <c r="U97" i="58" s="1"/>
  <c r="J97" i="58"/>
  <c r="M97" i="58" s="1"/>
  <c r="X96" i="58"/>
  <c r="Q96" i="58"/>
  <c r="S96" i="58" s="1"/>
  <c r="U96" i="58" s="1"/>
  <c r="J96" i="58"/>
  <c r="M96" i="58" s="1"/>
  <c r="X95" i="58"/>
  <c r="Q95" i="58"/>
  <c r="S95" i="58" s="1"/>
  <c r="U95" i="58" s="1"/>
  <c r="J95" i="58"/>
  <c r="M95" i="58" s="1"/>
  <c r="X94" i="58"/>
  <c r="Q94" i="58"/>
  <c r="S94" i="58" s="1"/>
  <c r="U94" i="58" s="1"/>
  <c r="J94" i="58"/>
  <c r="M94" i="58" s="1"/>
  <c r="X93" i="58"/>
  <c r="S93" i="58"/>
  <c r="U93" i="58" s="1"/>
  <c r="Q93" i="58"/>
  <c r="J93" i="58"/>
  <c r="M93" i="58" s="1"/>
  <c r="X92" i="58"/>
  <c r="Q92" i="58"/>
  <c r="S92" i="58" s="1"/>
  <c r="U92" i="58" s="1"/>
  <c r="J92" i="58"/>
  <c r="M92" i="58" s="1"/>
  <c r="X91" i="58"/>
  <c r="Q91" i="58"/>
  <c r="S91" i="58" s="1"/>
  <c r="U91" i="58" s="1"/>
  <c r="J91" i="58"/>
  <c r="M91" i="58" s="1"/>
  <c r="X90" i="58"/>
  <c r="S90" i="58"/>
  <c r="U90" i="58" s="1"/>
  <c r="Q90" i="58"/>
  <c r="J90" i="58"/>
  <c r="M90" i="58" s="1"/>
  <c r="X89" i="58"/>
  <c r="U89" i="58"/>
  <c r="Q89" i="58"/>
  <c r="S89" i="58" s="1"/>
  <c r="J89" i="58"/>
  <c r="M89" i="58" s="1"/>
  <c r="X88" i="58"/>
  <c r="Q88" i="58"/>
  <c r="S88" i="58" s="1"/>
  <c r="U88" i="58" s="1"/>
  <c r="J88" i="58"/>
  <c r="M88" i="58" s="1"/>
  <c r="X87" i="58"/>
  <c r="Q87" i="58"/>
  <c r="S87" i="58" s="1"/>
  <c r="U87" i="58" s="1"/>
  <c r="J87" i="58"/>
  <c r="M87" i="58" s="1"/>
  <c r="X86" i="58"/>
  <c r="Q86" i="58"/>
  <c r="S86" i="58" s="1"/>
  <c r="U86" i="58" s="1"/>
  <c r="J86" i="58"/>
  <c r="M86" i="58" s="1"/>
  <c r="X85" i="58"/>
  <c r="Q85" i="58"/>
  <c r="S85" i="58" s="1"/>
  <c r="U85" i="58" s="1"/>
  <c r="J85" i="58"/>
  <c r="M85" i="58" s="1"/>
  <c r="X84" i="58"/>
  <c r="Q84" i="58"/>
  <c r="S84" i="58" s="1"/>
  <c r="U84" i="58" s="1"/>
  <c r="J84" i="58"/>
  <c r="M84" i="58" s="1"/>
  <c r="X83" i="58"/>
  <c r="Q83" i="58"/>
  <c r="S83" i="58" s="1"/>
  <c r="U83" i="58" s="1"/>
  <c r="J83" i="58"/>
  <c r="M83" i="58" s="1"/>
  <c r="X82" i="58"/>
  <c r="Q82" i="58"/>
  <c r="S82" i="58" s="1"/>
  <c r="U82" i="58" s="1"/>
  <c r="J82" i="58"/>
  <c r="M82" i="58" s="1"/>
  <c r="X81" i="58"/>
  <c r="S81" i="58"/>
  <c r="U81" i="58" s="1"/>
  <c r="Q81" i="58"/>
  <c r="J81" i="58"/>
  <c r="M81" i="58" s="1"/>
  <c r="X80" i="58"/>
  <c r="S80" i="58"/>
  <c r="U80" i="58" s="1"/>
  <c r="Q80" i="58"/>
  <c r="J80" i="58"/>
  <c r="M80" i="58" s="1"/>
  <c r="X79" i="58"/>
  <c r="U79" i="58"/>
  <c r="Q79" i="58"/>
  <c r="S79" i="58" s="1"/>
  <c r="M79" i="58"/>
  <c r="J79" i="58"/>
  <c r="X78" i="58"/>
  <c r="Q78" i="58"/>
  <c r="S78" i="58" s="1"/>
  <c r="U78" i="58" s="1"/>
  <c r="J78" i="58"/>
  <c r="M78" i="58" s="1"/>
  <c r="X77" i="58"/>
  <c r="S77" i="58"/>
  <c r="U77" i="58" s="1"/>
  <c r="Q77" i="58"/>
  <c r="J77" i="58"/>
  <c r="M77" i="58" s="1"/>
  <c r="X76" i="58"/>
  <c r="Q76" i="58"/>
  <c r="S76" i="58" s="1"/>
  <c r="U76" i="58" s="1"/>
  <c r="J76" i="58"/>
  <c r="M76" i="58" s="1"/>
  <c r="X75" i="58"/>
  <c r="Q75" i="58"/>
  <c r="S75" i="58" s="1"/>
  <c r="U75" i="58" s="1"/>
  <c r="M75" i="58"/>
  <c r="J75" i="58"/>
  <c r="X74" i="58"/>
  <c r="Q74" i="58"/>
  <c r="S74" i="58" s="1"/>
  <c r="U74" i="58" s="1"/>
  <c r="J74" i="58"/>
  <c r="M74" i="58" s="1"/>
  <c r="X73" i="58"/>
  <c r="Q73" i="58"/>
  <c r="S73" i="58" s="1"/>
  <c r="U73" i="58" s="1"/>
  <c r="J73" i="58"/>
  <c r="M73" i="58" s="1"/>
  <c r="X72" i="58"/>
  <c r="Q72" i="58"/>
  <c r="S72" i="58" s="1"/>
  <c r="U72" i="58" s="1"/>
  <c r="M72" i="58"/>
  <c r="J72" i="58"/>
  <c r="X71" i="58"/>
  <c r="Q71" i="58"/>
  <c r="S71" i="58" s="1"/>
  <c r="U71" i="58" s="1"/>
  <c r="M71" i="58"/>
  <c r="J71" i="58"/>
  <c r="X70" i="58"/>
  <c r="S70" i="58"/>
  <c r="U70" i="58" s="1"/>
  <c r="Q70" i="58"/>
  <c r="J70" i="58"/>
  <c r="M70" i="58" s="1"/>
  <c r="X69" i="58"/>
  <c r="U69" i="58"/>
  <c r="S69" i="58"/>
  <c r="Q69" i="58"/>
  <c r="J69" i="58"/>
  <c r="M69" i="58" s="1"/>
  <c r="X68" i="58"/>
  <c r="Q68" i="58"/>
  <c r="S68" i="58" s="1"/>
  <c r="U68" i="58" s="1"/>
  <c r="J68" i="58"/>
  <c r="M68" i="58" s="1"/>
  <c r="X67" i="58"/>
  <c r="Q67" i="58"/>
  <c r="S67" i="58" s="1"/>
  <c r="U67" i="58" s="1"/>
  <c r="J67" i="58"/>
  <c r="M67" i="58" s="1"/>
  <c r="X66" i="58"/>
  <c r="Q66" i="58"/>
  <c r="S66" i="58" s="1"/>
  <c r="U66" i="58" s="1"/>
  <c r="M66" i="58"/>
  <c r="J66" i="58"/>
  <c r="X65" i="58"/>
  <c r="Q65" i="58"/>
  <c r="S65" i="58" s="1"/>
  <c r="U65" i="58" s="1"/>
  <c r="J65" i="58"/>
  <c r="M65" i="58" s="1"/>
  <c r="X64" i="58"/>
  <c r="Q64" i="58"/>
  <c r="S64" i="58" s="1"/>
  <c r="U64" i="58" s="1"/>
  <c r="J64" i="58"/>
  <c r="M64" i="58" s="1"/>
  <c r="X63" i="58"/>
  <c r="Q63" i="58"/>
  <c r="S63" i="58" s="1"/>
  <c r="U63" i="58" s="1"/>
  <c r="J63" i="58"/>
  <c r="M63" i="58" s="1"/>
  <c r="X62" i="58"/>
  <c r="S62" i="58"/>
  <c r="U62" i="58" s="1"/>
  <c r="Q62" i="58"/>
  <c r="J62" i="58"/>
  <c r="M62" i="58" s="1"/>
  <c r="X61" i="58"/>
  <c r="S61" i="58"/>
  <c r="U61" i="58" s="1"/>
  <c r="Q61" i="58"/>
  <c r="J61" i="58"/>
  <c r="M61" i="58" s="1"/>
  <c r="X60" i="58"/>
  <c r="Q60" i="58"/>
  <c r="S60" i="58" s="1"/>
  <c r="U60" i="58" s="1"/>
  <c r="J60" i="58"/>
  <c r="M60" i="58" s="1"/>
  <c r="X59" i="58"/>
  <c r="Q59" i="58"/>
  <c r="S59" i="58" s="1"/>
  <c r="U59" i="58" s="1"/>
  <c r="J59" i="58"/>
  <c r="M59" i="58" s="1"/>
  <c r="X58" i="58"/>
  <c r="S58" i="58"/>
  <c r="U58" i="58" s="1"/>
  <c r="Q58" i="58"/>
  <c r="J58" i="58"/>
  <c r="M58" i="58" s="1"/>
  <c r="X57" i="58"/>
  <c r="Q57" i="58"/>
  <c r="S57" i="58" s="1"/>
  <c r="U57" i="58" s="1"/>
  <c r="J57" i="58"/>
  <c r="M57" i="58" s="1"/>
  <c r="X56" i="58"/>
  <c r="Q56" i="58"/>
  <c r="S56" i="58" s="1"/>
  <c r="U56" i="58" s="1"/>
  <c r="J56" i="58"/>
  <c r="M56" i="58" s="1"/>
  <c r="X55" i="58"/>
  <c r="U55" i="58"/>
  <c r="Q55" i="58"/>
  <c r="S55" i="58" s="1"/>
  <c r="J55" i="58"/>
  <c r="M55" i="58" s="1"/>
  <c r="X54" i="58"/>
  <c r="Q54" i="58"/>
  <c r="S54" i="58" s="1"/>
  <c r="U54" i="58" s="1"/>
  <c r="J54" i="58"/>
  <c r="M54" i="58" s="1"/>
  <c r="X53" i="58"/>
  <c r="Q53" i="58"/>
  <c r="S53" i="58" s="1"/>
  <c r="U53" i="58" s="1"/>
  <c r="J53" i="58"/>
  <c r="M53" i="58" s="1"/>
  <c r="X52" i="58"/>
  <c r="Q52" i="58"/>
  <c r="S52" i="58" s="1"/>
  <c r="U52" i="58" s="1"/>
  <c r="J52" i="58"/>
  <c r="M52" i="58" s="1"/>
  <c r="X51" i="58"/>
  <c r="Q51" i="58"/>
  <c r="S51" i="58" s="1"/>
  <c r="U51" i="58" s="1"/>
  <c r="J51" i="58"/>
  <c r="M51" i="58" s="1"/>
  <c r="X50" i="58"/>
  <c r="Q50" i="58"/>
  <c r="S50" i="58" s="1"/>
  <c r="U50" i="58" s="1"/>
  <c r="J50" i="58"/>
  <c r="M50" i="58" s="1"/>
  <c r="X49" i="58"/>
  <c r="S49" i="58"/>
  <c r="U49" i="58" s="1"/>
  <c r="Q49" i="58"/>
  <c r="J49" i="58"/>
  <c r="M49" i="58" s="1"/>
  <c r="X48" i="58"/>
  <c r="S48" i="58"/>
  <c r="U48" i="58" s="1"/>
  <c r="Q48" i="58"/>
  <c r="J48" i="58"/>
  <c r="M48" i="58" s="1"/>
  <c r="X47" i="58"/>
  <c r="Q47" i="58"/>
  <c r="S47" i="58" s="1"/>
  <c r="U47" i="58" s="1"/>
  <c r="J47" i="58"/>
  <c r="M47" i="58" s="1"/>
  <c r="X46" i="58"/>
  <c r="Q46" i="58"/>
  <c r="S46" i="58" s="1"/>
  <c r="U46" i="58" s="1"/>
  <c r="J46" i="58"/>
  <c r="M46" i="58" s="1"/>
  <c r="X45" i="58"/>
  <c r="Q45" i="58"/>
  <c r="S45" i="58" s="1"/>
  <c r="U45" i="58" s="1"/>
  <c r="J45" i="58"/>
  <c r="M45" i="58" s="1"/>
  <c r="X44" i="58"/>
  <c r="Q44" i="58"/>
  <c r="S44" i="58" s="1"/>
  <c r="U44" i="58" s="1"/>
  <c r="J44" i="58"/>
  <c r="M44" i="58" s="1"/>
  <c r="X43" i="58"/>
  <c r="Q43" i="58"/>
  <c r="S43" i="58" s="1"/>
  <c r="U43" i="58" s="1"/>
  <c r="J43" i="58"/>
  <c r="M43" i="58" s="1"/>
  <c r="X42" i="58"/>
  <c r="Q42" i="58"/>
  <c r="S42" i="58" s="1"/>
  <c r="U42" i="58" s="1"/>
  <c r="J42" i="58"/>
  <c r="M42" i="58" s="1"/>
  <c r="X41" i="58"/>
  <c r="Q41" i="58"/>
  <c r="S41" i="58" s="1"/>
  <c r="U41" i="58" s="1"/>
  <c r="J41" i="58"/>
  <c r="M41" i="58" s="1"/>
  <c r="X40" i="58"/>
  <c r="S40" i="58"/>
  <c r="U40" i="58" s="1"/>
  <c r="Q40" i="58"/>
  <c r="J40" i="58"/>
  <c r="M40" i="58" s="1"/>
  <c r="X39" i="58"/>
  <c r="Q39" i="58"/>
  <c r="S39" i="58" s="1"/>
  <c r="U39" i="58" s="1"/>
  <c r="J39" i="58"/>
  <c r="M39" i="58" s="1"/>
  <c r="X38" i="58"/>
  <c r="Q38" i="58"/>
  <c r="S38" i="58" s="1"/>
  <c r="U38" i="58" s="1"/>
  <c r="J38" i="58"/>
  <c r="M38" i="58" s="1"/>
  <c r="X37" i="58"/>
  <c r="S37" i="58"/>
  <c r="U37" i="58" s="1"/>
  <c r="Q37" i="58"/>
  <c r="J37" i="58"/>
  <c r="M37" i="58" s="1"/>
  <c r="X36" i="58"/>
  <c r="Q36" i="58"/>
  <c r="S36" i="58" s="1"/>
  <c r="U36" i="58" s="1"/>
  <c r="J36" i="58"/>
  <c r="M36" i="58" s="1"/>
  <c r="X35" i="58"/>
  <c r="Q35" i="58"/>
  <c r="S35" i="58" s="1"/>
  <c r="U35" i="58" s="1"/>
  <c r="J35" i="58"/>
  <c r="M35" i="58" s="1"/>
  <c r="X34" i="58"/>
  <c r="Q34" i="58"/>
  <c r="S34" i="58" s="1"/>
  <c r="U34" i="58" s="1"/>
  <c r="J34" i="58"/>
  <c r="M34" i="58" s="1"/>
  <c r="X33" i="58"/>
  <c r="Q33" i="58"/>
  <c r="S33" i="58" s="1"/>
  <c r="U33" i="58" s="1"/>
  <c r="J33" i="58"/>
  <c r="M33" i="58" s="1"/>
  <c r="X32" i="58"/>
  <c r="Q32" i="58"/>
  <c r="S32" i="58" s="1"/>
  <c r="U32" i="58" s="1"/>
  <c r="J32" i="58"/>
  <c r="M32" i="58" s="1"/>
  <c r="X31" i="58"/>
  <c r="U31" i="58"/>
  <c r="Q31" i="58"/>
  <c r="S31" i="58" s="1"/>
  <c r="J31" i="58"/>
  <c r="M31" i="58" s="1"/>
  <c r="X30" i="58"/>
  <c r="Q30" i="58"/>
  <c r="S30" i="58" s="1"/>
  <c r="U30" i="58" s="1"/>
  <c r="J30" i="58"/>
  <c r="M30" i="58" s="1"/>
  <c r="X29" i="58"/>
  <c r="S29" i="58"/>
  <c r="U29" i="58" s="1"/>
  <c r="Q29" i="58"/>
  <c r="J29" i="58"/>
  <c r="M29" i="58" s="1"/>
  <c r="X28" i="58"/>
  <c r="Q28" i="58"/>
  <c r="S28" i="58" s="1"/>
  <c r="U28" i="58" s="1"/>
  <c r="J28" i="58"/>
  <c r="M28" i="58" s="1"/>
  <c r="X27" i="58"/>
  <c r="Q27" i="58"/>
  <c r="S27" i="58" s="1"/>
  <c r="U27" i="58" s="1"/>
  <c r="J27" i="58"/>
  <c r="M27" i="58" s="1"/>
  <c r="X26" i="58"/>
  <c r="Q26" i="58"/>
  <c r="S26" i="58" s="1"/>
  <c r="U26" i="58" s="1"/>
  <c r="J26" i="58"/>
  <c r="M26" i="58" s="1"/>
  <c r="X25" i="58"/>
  <c r="Q25" i="58"/>
  <c r="S25" i="58" s="1"/>
  <c r="U25" i="58" s="1"/>
  <c r="J25" i="58"/>
  <c r="M25" i="58" s="1"/>
  <c r="X24" i="58"/>
  <c r="Q24" i="58"/>
  <c r="S24" i="58" s="1"/>
  <c r="U24" i="58" s="1"/>
  <c r="J24" i="58"/>
  <c r="M24" i="58" s="1"/>
  <c r="X23" i="58"/>
  <c r="Q23" i="58"/>
  <c r="S23" i="58" s="1"/>
  <c r="U23" i="58" s="1"/>
  <c r="J23" i="58"/>
  <c r="M23" i="58" s="1"/>
  <c r="X22" i="58"/>
  <c r="Q22" i="58"/>
  <c r="S22" i="58" s="1"/>
  <c r="U22" i="58" s="1"/>
  <c r="J22" i="58"/>
  <c r="M22" i="58" s="1"/>
  <c r="X21" i="58"/>
  <c r="Q21" i="58"/>
  <c r="S21" i="58" s="1"/>
  <c r="U21" i="58" s="1"/>
  <c r="J21" i="58"/>
  <c r="M21" i="58" s="1"/>
  <c r="X20" i="58"/>
  <c r="Q20" i="58"/>
  <c r="S20" i="58" s="1"/>
  <c r="U20" i="58" s="1"/>
  <c r="J20" i="58"/>
  <c r="M20" i="58" s="1"/>
  <c r="X19" i="58"/>
  <c r="Q19" i="58"/>
  <c r="S19" i="58" s="1"/>
  <c r="U19" i="58" s="1"/>
  <c r="J19" i="58"/>
  <c r="M19" i="58" s="1"/>
  <c r="X18" i="58"/>
  <c r="Q18" i="58"/>
  <c r="S18" i="58" s="1"/>
  <c r="U18" i="58" s="1"/>
  <c r="J18" i="58"/>
  <c r="M18" i="58" s="1"/>
  <c r="X17" i="58"/>
  <c r="Q17" i="58"/>
  <c r="S17" i="58" s="1"/>
  <c r="U17" i="58" s="1"/>
  <c r="J17" i="58"/>
  <c r="M17" i="58" s="1"/>
  <c r="X16" i="58"/>
  <c r="Q16" i="58"/>
  <c r="S16" i="58" s="1"/>
  <c r="U16" i="58" s="1"/>
  <c r="J16" i="58"/>
  <c r="M16" i="58" s="1"/>
  <c r="X15" i="58"/>
  <c r="Q15" i="58"/>
  <c r="S15" i="58" s="1"/>
  <c r="U15" i="58" s="1"/>
  <c r="J15" i="58"/>
  <c r="M15" i="58" s="1"/>
  <c r="X14" i="58"/>
  <c r="Q14" i="58"/>
  <c r="S14" i="58" s="1"/>
  <c r="U14" i="58" s="1"/>
  <c r="J14" i="58"/>
  <c r="M14" i="58" s="1"/>
  <c r="X13" i="58"/>
  <c r="Q13" i="58"/>
  <c r="S13" i="58" s="1"/>
  <c r="U13" i="58" s="1"/>
  <c r="J13" i="58"/>
  <c r="M13" i="58" s="1"/>
  <c r="X12" i="58"/>
  <c r="S12" i="58"/>
  <c r="U12" i="58" s="1"/>
  <c r="Q12" i="58"/>
  <c r="J12" i="58"/>
  <c r="M12" i="58" s="1"/>
  <c r="X11" i="58"/>
  <c r="Q11" i="58"/>
  <c r="S11" i="58" s="1"/>
  <c r="U11" i="58" s="1"/>
  <c r="J11" i="58"/>
  <c r="M11" i="58" s="1"/>
  <c r="X10" i="58"/>
  <c r="Q10" i="58"/>
  <c r="S10" i="58" s="1"/>
  <c r="U10" i="58" s="1"/>
  <c r="J10" i="58"/>
  <c r="M10" i="58" s="1"/>
  <c r="X9" i="58"/>
  <c r="Q9" i="58"/>
  <c r="S9" i="58" s="1"/>
  <c r="U9" i="58" s="1"/>
  <c r="J9" i="58"/>
  <c r="M9" i="58" s="1"/>
  <c r="X8" i="58"/>
  <c r="Q8" i="58"/>
  <c r="S8" i="58" s="1"/>
  <c r="U8" i="58" s="1"/>
  <c r="J8" i="58"/>
  <c r="M8" i="58" s="1"/>
  <c r="X7" i="58"/>
  <c r="Q7" i="58"/>
  <c r="S7" i="58" s="1"/>
  <c r="U7" i="58" s="1"/>
  <c r="J7" i="58"/>
  <c r="M7" i="58" s="1"/>
  <c r="X6" i="58"/>
  <c r="S6" i="58"/>
  <c r="U6" i="58" s="1"/>
  <c r="Q6" i="58"/>
  <c r="J6" i="58"/>
  <c r="M6" i="58" s="1"/>
  <c r="X5" i="58"/>
  <c r="Q5" i="58"/>
  <c r="S5" i="58" s="1"/>
  <c r="U5" i="58" s="1"/>
  <c r="M5" i="58"/>
  <c r="J5" i="58"/>
  <c r="K212" i="57"/>
  <c r="N28" i="15" s="1"/>
  <c r="K209" i="57"/>
  <c r="R28" i="15" s="1"/>
  <c r="J204" i="57"/>
  <c r="M204" i="57" s="1"/>
  <c r="J203" i="57"/>
  <c r="M203" i="57" s="1"/>
  <c r="J202" i="57"/>
  <c r="M202" i="57" s="1"/>
  <c r="J201" i="57"/>
  <c r="M201" i="57" s="1"/>
  <c r="J200" i="57"/>
  <c r="M200" i="57" s="1"/>
  <c r="J199" i="57"/>
  <c r="M199" i="57" s="1"/>
  <c r="J198" i="57"/>
  <c r="M198" i="57" s="1"/>
  <c r="J197" i="57"/>
  <c r="M197" i="57" s="1"/>
  <c r="J196" i="57"/>
  <c r="M196" i="57" s="1"/>
  <c r="J195" i="57"/>
  <c r="M195" i="57" s="1"/>
  <c r="J194" i="57"/>
  <c r="M194" i="57" s="1"/>
  <c r="J193" i="57"/>
  <c r="M193" i="57" s="1"/>
  <c r="J192" i="57"/>
  <c r="M192" i="57" s="1"/>
  <c r="J191" i="57"/>
  <c r="M191" i="57" s="1"/>
  <c r="J190" i="57"/>
  <c r="M190" i="57" s="1"/>
  <c r="J189" i="57"/>
  <c r="M189" i="57" s="1"/>
  <c r="J188" i="57"/>
  <c r="M188" i="57" s="1"/>
  <c r="J187" i="57"/>
  <c r="M187" i="57" s="1"/>
  <c r="J186" i="57"/>
  <c r="M186" i="57" s="1"/>
  <c r="J185" i="57"/>
  <c r="M185" i="57" s="1"/>
  <c r="J184" i="57"/>
  <c r="M184" i="57" s="1"/>
  <c r="M183" i="57"/>
  <c r="J183" i="57"/>
  <c r="J182" i="57"/>
  <c r="M182" i="57" s="1"/>
  <c r="J181" i="57"/>
  <c r="M181" i="57" s="1"/>
  <c r="J180" i="57"/>
  <c r="M180" i="57" s="1"/>
  <c r="J179" i="57"/>
  <c r="M179" i="57" s="1"/>
  <c r="J178" i="57"/>
  <c r="M178" i="57" s="1"/>
  <c r="J177" i="57"/>
  <c r="M177" i="57" s="1"/>
  <c r="M176" i="57"/>
  <c r="J176" i="57"/>
  <c r="J175" i="57"/>
  <c r="M175" i="57" s="1"/>
  <c r="J174" i="57"/>
  <c r="M174" i="57" s="1"/>
  <c r="J173" i="57"/>
  <c r="M173" i="57" s="1"/>
  <c r="J172" i="57"/>
  <c r="M172" i="57" s="1"/>
  <c r="J171" i="57"/>
  <c r="M171" i="57" s="1"/>
  <c r="M170" i="57"/>
  <c r="J170" i="57"/>
  <c r="J169" i="57"/>
  <c r="M169" i="57" s="1"/>
  <c r="J168" i="57"/>
  <c r="M168" i="57" s="1"/>
  <c r="J167" i="57"/>
  <c r="M167" i="57" s="1"/>
  <c r="J166" i="57"/>
  <c r="M166" i="57" s="1"/>
  <c r="J165" i="57"/>
  <c r="M165" i="57" s="1"/>
  <c r="M164" i="57"/>
  <c r="J164" i="57"/>
  <c r="J163" i="57"/>
  <c r="M163" i="57" s="1"/>
  <c r="J162" i="57"/>
  <c r="M162" i="57" s="1"/>
  <c r="J161" i="57"/>
  <c r="M161" i="57" s="1"/>
  <c r="J160" i="57"/>
  <c r="M160" i="57" s="1"/>
  <c r="J159" i="57"/>
  <c r="M159" i="57" s="1"/>
  <c r="J158" i="57"/>
  <c r="M158" i="57" s="1"/>
  <c r="J157" i="57"/>
  <c r="M157" i="57" s="1"/>
  <c r="J156" i="57"/>
  <c r="M156" i="57" s="1"/>
  <c r="J155" i="57"/>
  <c r="M155" i="57" s="1"/>
  <c r="J154" i="57"/>
  <c r="M154" i="57" s="1"/>
  <c r="J153" i="57"/>
  <c r="M153" i="57" s="1"/>
  <c r="J152" i="57"/>
  <c r="M152" i="57" s="1"/>
  <c r="J151" i="57"/>
  <c r="M151" i="57" s="1"/>
  <c r="J150" i="57"/>
  <c r="M150" i="57" s="1"/>
  <c r="J149" i="57"/>
  <c r="M149" i="57" s="1"/>
  <c r="J148" i="57"/>
  <c r="M148" i="57" s="1"/>
  <c r="J147" i="57"/>
  <c r="M147" i="57" s="1"/>
  <c r="J146" i="57"/>
  <c r="M146" i="57" s="1"/>
  <c r="J145" i="57"/>
  <c r="M145" i="57" s="1"/>
  <c r="J144" i="57"/>
  <c r="M144" i="57" s="1"/>
  <c r="J143" i="57"/>
  <c r="M143" i="57" s="1"/>
  <c r="J142" i="57"/>
  <c r="M142" i="57" s="1"/>
  <c r="J141" i="57"/>
  <c r="M141" i="57" s="1"/>
  <c r="J140" i="57"/>
  <c r="M140" i="57" s="1"/>
  <c r="J139" i="57"/>
  <c r="M139" i="57" s="1"/>
  <c r="J138" i="57"/>
  <c r="M138" i="57" s="1"/>
  <c r="J137" i="57"/>
  <c r="M137" i="57" s="1"/>
  <c r="J136" i="57"/>
  <c r="M136" i="57" s="1"/>
  <c r="J135" i="57"/>
  <c r="M135" i="57" s="1"/>
  <c r="J134" i="57"/>
  <c r="M134" i="57" s="1"/>
  <c r="J133" i="57"/>
  <c r="M133" i="57" s="1"/>
  <c r="J132" i="57"/>
  <c r="M132" i="57" s="1"/>
  <c r="J131" i="57"/>
  <c r="M131" i="57" s="1"/>
  <c r="J130" i="57"/>
  <c r="M130" i="57" s="1"/>
  <c r="J129" i="57"/>
  <c r="M129" i="57" s="1"/>
  <c r="J128" i="57"/>
  <c r="M128" i="57" s="1"/>
  <c r="J127" i="57"/>
  <c r="M127" i="57" s="1"/>
  <c r="J126" i="57"/>
  <c r="M126" i="57" s="1"/>
  <c r="J125" i="57"/>
  <c r="M125" i="57" s="1"/>
  <c r="J124" i="57"/>
  <c r="M124" i="57" s="1"/>
  <c r="J123" i="57"/>
  <c r="M123" i="57" s="1"/>
  <c r="J122" i="57"/>
  <c r="M122" i="57" s="1"/>
  <c r="J121" i="57"/>
  <c r="M121" i="57" s="1"/>
  <c r="J120" i="57"/>
  <c r="M120" i="57" s="1"/>
  <c r="J119" i="57"/>
  <c r="M119" i="57" s="1"/>
  <c r="J118" i="57"/>
  <c r="M118" i="57" s="1"/>
  <c r="J117" i="57"/>
  <c r="M117" i="57" s="1"/>
  <c r="J116" i="57"/>
  <c r="M116" i="57" s="1"/>
  <c r="J115" i="57"/>
  <c r="M115" i="57" s="1"/>
  <c r="J114" i="57"/>
  <c r="M114" i="57" s="1"/>
  <c r="J113" i="57"/>
  <c r="M113" i="57" s="1"/>
  <c r="J112" i="57"/>
  <c r="M112" i="57" s="1"/>
  <c r="J111" i="57"/>
  <c r="M111" i="57" s="1"/>
  <c r="J110" i="57"/>
  <c r="M110" i="57" s="1"/>
  <c r="J109" i="57"/>
  <c r="M109" i="57" s="1"/>
  <c r="M108" i="57"/>
  <c r="J108" i="57"/>
  <c r="J107" i="57"/>
  <c r="M107" i="57" s="1"/>
  <c r="J106" i="57"/>
  <c r="M106" i="57" s="1"/>
  <c r="Z105" i="57"/>
  <c r="J105" i="57"/>
  <c r="M105" i="57" s="1"/>
  <c r="X104" i="57"/>
  <c r="Q104" i="57"/>
  <c r="S104" i="57" s="1"/>
  <c r="U104" i="57" s="1"/>
  <c r="J104" i="57"/>
  <c r="M104" i="57" s="1"/>
  <c r="X103" i="57"/>
  <c r="S103" i="57"/>
  <c r="U103" i="57" s="1"/>
  <c r="Q103" i="57"/>
  <c r="J103" i="57"/>
  <c r="M103" i="57" s="1"/>
  <c r="X102" i="57"/>
  <c r="Q102" i="57"/>
  <c r="S102" i="57" s="1"/>
  <c r="U102" i="57" s="1"/>
  <c r="J102" i="57"/>
  <c r="M102" i="57" s="1"/>
  <c r="X101" i="57"/>
  <c r="Q101" i="57"/>
  <c r="S101" i="57" s="1"/>
  <c r="U101" i="57" s="1"/>
  <c r="J101" i="57"/>
  <c r="M101" i="57" s="1"/>
  <c r="X100" i="57"/>
  <c r="S100" i="57"/>
  <c r="U100" i="57" s="1"/>
  <c r="Q100" i="57"/>
  <c r="J100" i="57"/>
  <c r="M100" i="57" s="1"/>
  <c r="X99" i="57"/>
  <c r="Q99" i="57"/>
  <c r="S99" i="57" s="1"/>
  <c r="U99" i="57" s="1"/>
  <c r="J99" i="57"/>
  <c r="M99" i="57" s="1"/>
  <c r="X98" i="57"/>
  <c r="S98" i="57"/>
  <c r="U98" i="57" s="1"/>
  <c r="Q98" i="57"/>
  <c r="J98" i="57"/>
  <c r="M98" i="57" s="1"/>
  <c r="X97" i="57"/>
  <c r="Q97" i="57"/>
  <c r="S97" i="57" s="1"/>
  <c r="U97" i="57" s="1"/>
  <c r="J97" i="57"/>
  <c r="M97" i="57" s="1"/>
  <c r="X96" i="57"/>
  <c r="Q96" i="57"/>
  <c r="S96" i="57" s="1"/>
  <c r="U96" i="57" s="1"/>
  <c r="J96" i="57"/>
  <c r="M96" i="57" s="1"/>
  <c r="X95" i="57"/>
  <c r="Q95" i="57"/>
  <c r="S95" i="57" s="1"/>
  <c r="U95" i="57" s="1"/>
  <c r="J95" i="57"/>
  <c r="M95" i="57" s="1"/>
  <c r="X94" i="57"/>
  <c r="Q94" i="57"/>
  <c r="S94" i="57" s="1"/>
  <c r="U94" i="57" s="1"/>
  <c r="J94" i="57"/>
  <c r="M94" i="57" s="1"/>
  <c r="X93" i="57"/>
  <c r="Q93" i="57"/>
  <c r="S93" i="57" s="1"/>
  <c r="U93" i="57" s="1"/>
  <c r="J93" i="57"/>
  <c r="M93" i="57" s="1"/>
  <c r="X92" i="57"/>
  <c r="S92" i="57"/>
  <c r="U92" i="57" s="1"/>
  <c r="Q92" i="57"/>
  <c r="M92" i="57"/>
  <c r="J92" i="57"/>
  <c r="X91" i="57"/>
  <c r="S91" i="57"/>
  <c r="U91" i="57" s="1"/>
  <c r="Q91" i="57"/>
  <c r="J91" i="57"/>
  <c r="M91" i="57" s="1"/>
  <c r="X90" i="57"/>
  <c r="Q90" i="57"/>
  <c r="S90" i="57" s="1"/>
  <c r="U90" i="57" s="1"/>
  <c r="J90" i="57"/>
  <c r="M90" i="57" s="1"/>
  <c r="X89" i="57"/>
  <c r="Q89" i="57"/>
  <c r="S89" i="57" s="1"/>
  <c r="U89" i="57" s="1"/>
  <c r="J89" i="57"/>
  <c r="M89" i="57" s="1"/>
  <c r="X88" i="57"/>
  <c r="S88" i="57"/>
  <c r="U88" i="57" s="1"/>
  <c r="Q88" i="57"/>
  <c r="J88" i="57"/>
  <c r="M88" i="57" s="1"/>
  <c r="X87" i="57"/>
  <c r="S87" i="57"/>
  <c r="U87" i="57" s="1"/>
  <c r="Q87" i="57"/>
  <c r="J87" i="57"/>
  <c r="M87" i="57" s="1"/>
  <c r="X86" i="57"/>
  <c r="Q86" i="57"/>
  <c r="S86" i="57" s="1"/>
  <c r="U86" i="57" s="1"/>
  <c r="J86" i="57"/>
  <c r="M86" i="57" s="1"/>
  <c r="X85" i="57"/>
  <c r="Q85" i="57"/>
  <c r="S85" i="57" s="1"/>
  <c r="U85" i="57" s="1"/>
  <c r="J85" i="57"/>
  <c r="M85" i="57" s="1"/>
  <c r="X84" i="57"/>
  <c r="Q84" i="57"/>
  <c r="S84" i="57" s="1"/>
  <c r="U84" i="57" s="1"/>
  <c r="J84" i="57"/>
  <c r="M84" i="57" s="1"/>
  <c r="X83" i="57"/>
  <c r="U83" i="57"/>
  <c r="S83" i="57"/>
  <c r="Q83" i="57"/>
  <c r="J83" i="57"/>
  <c r="M83" i="57" s="1"/>
  <c r="X82" i="57"/>
  <c r="Q82" i="57"/>
  <c r="S82" i="57" s="1"/>
  <c r="U82" i="57" s="1"/>
  <c r="M82" i="57"/>
  <c r="J82" i="57"/>
  <c r="X81" i="57"/>
  <c r="Q81" i="57"/>
  <c r="S81" i="57" s="1"/>
  <c r="U81" i="57" s="1"/>
  <c r="J81" i="57"/>
  <c r="M81" i="57" s="1"/>
  <c r="X80" i="57"/>
  <c r="Q80" i="57"/>
  <c r="S80" i="57" s="1"/>
  <c r="U80" i="57" s="1"/>
  <c r="J80" i="57"/>
  <c r="M80" i="57" s="1"/>
  <c r="X79" i="57"/>
  <c r="S79" i="57"/>
  <c r="U79" i="57" s="1"/>
  <c r="Q79" i="57"/>
  <c r="J79" i="57"/>
  <c r="M79" i="57" s="1"/>
  <c r="X78" i="57"/>
  <c r="U78" i="57"/>
  <c r="S78" i="57"/>
  <c r="Q78" i="57"/>
  <c r="J78" i="57"/>
  <c r="M78" i="57" s="1"/>
  <c r="X77" i="57"/>
  <c r="Q77" i="57"/>
  <c r="S77" i="57" s="1"/>
  <c r="U77" i="57" s="1"/>
  <c r="J77" i="57"/>
  <c r="M77" i="57" s="1"/>
  <c r="X76" i="57"/>
  <c r="S76" i="57"/>
  <c r="U76" i="57" s="1"/>
  <c r="Q76" i="57"/>
  <c r="J76" i="57"/>
  <c r="M76" i="57" s="1"/>
  <c r="X75" i="57"/>
  <c r="U75" i="57"/>
  <c r="S75" i="57"/>
  <c r="Q75" i="57"/>
  <c r="J75" i="57"/>
  <c r="M75" i="57" s="1"/>
  <c r="X74" i="57"/>
  <c r="U74" i="57"/>
  <c r="S74" i="57"/>
  <c r="Q74" i="57"/>
  <c r="J74" i="57"/>
  <c r="M74" i="57" s="1"/>
  <c r="X73" i="57"/>
  <c r="Q73" i="57"/>
  <c r="S73" i="57" s="1"/>
  <c r="U73" i="57" s="1"/>
  <c r="J73" i="57"/>
  <c r="M73" i="57" s="1"/>
  <c r="X72" i="57"/>
  <c r="S72" i="57"/>
  <c r="U72" i="57" s="1"/>
  <c r="Q72" i="57"/>
  <c r="J72" i="57"/>
  <c r="M72" i="57" s="1"/>
  <c r="X71" i="57"/>
  <c r="Q71" i="57"/>
  <c r="S71" i="57" s="1"/>
  <c r="U71" i="57" s="1"/>
  <c r="J71" i="57"/>
  <c r="M71" i="57" s="1"/>
  <c r="X70" i="57"/>
  <c r="S70" i="57"/>
  <c r="U70" i="57" s="1"/>
  <c r="Q70" i="57"/>
  <c r="J70" i="57"/>
  <c r="M70" i="57" s="1"/>
  <c r="X69" i="57"/>
  <c r="Q69" i="57"/>
  <c r="S69" i="57" s="1"/>
  <c r="U69" i="57" s="1"/>
  <c r="J69" i="57"/>
  <c r="M69" i="57" s="1"/>
  <c r="X68" i="57"/>
  <c r="S68" i="57"/>
  <c r="U68" i="57" s="1"/>
  <c r="Q68" i="57"/>
  <c r="J68" i="57"/>
  <c r="M68" i="57" s="1"/>
  <c r="X67" i="57"/>
  <c r="U67" i="57"/>
  <c r="S67" i="57"/>
  <c r="Q67" i="57"/>
  <c r="J67" i="57"/>
  <c r="M67" i="57" s="1"/>
  <c r="X66" i="57"/>
  <c r="Q66" i="57"/>
  <c r="S66" i="57" s="1"/>
  <c r="U66" i="57" s="1"/>
  <c r="M66" i="57"/>
  <c r="J66" i="57"/>
  <c r="X65" i="57"/>
  <c r="Q65" i="57"/>
  <c r="S65" i="57" s="1"/>
  <c r="U65" i="57" s="1"/>
  <c r="J65" i="57"/>
  <c r="M65" i="57" s="1"/>
  <c r="X64" i="57"/>
  <c r="Q64" i="57"/>
  <c r="S64" i="57" s="1"/>
  <c r="U64" i="57" s="1"/>
  <c r="J64" i="57"/>
  <c r="M64" i="57" s="1"/>
  <c r="X63" i="57"/>
  <c r="S63" i="57"/>
  <c r="U63" i="57" s="1"/>
  <c r="Q63" i="57"/>
  <c r="J63" i="57"/>
  <c r="M63" i="57" s="1"/>
  <c r="X62" i="57"/>
  <c r="Q62" i="57"/>
  <c r="S62" i="57" s="1"/>
  <c r="U62" i="57" s="1"/>
  <c r="J62" i="57"/>
  <c r="M62" i="57" s="1"/>
  <c r="X61" i="57"/>
  <c r="Q61" i="57"/>
  <c r="S61" i="57" s="1"/>
  <c r="U61" i="57" s="1"/>
  <c r="J61" i="57"/>
  <c r="M61" i="57" s="1"/>
  <c r="X60" i="57"/>
  <c r="Q60" i="57"/>
  <c r="S60" i="57" s="1"/>
  <c r="U60" i="57" s="1"/>
  <c r="J60" i="57"/>
  <c r="M60" i="57" s="1"/>
  <c r="X59" i="57"/>
  <c r="U59" i="57"/>
  <c r="S59" i="57"/>
  <c r="Q59" i="57"/>
  <c r="J59" i="57"/>
  <c r="M59" i="57" s="1"/>
  <c r="X58" i="57"/>
  <c r="S58" i="57"/>
  <c r="U58" i="57" s="1"/>
  <c r="Q58" i="57"/>
  <c r="J58" i="57"/>
  <c r="M58" i="57" s="1"/>
  <c r="X57" i="57"/>
  <c r="Q57" i="57"/>
  <c r="S57" i="57" s="1"/>
  <c r="U57" i="57" s="1"/>
  <c r="J57" i="57"/>
  <c r="M57" i="57" s="1"/>
  <c r="X56" i="57"/>
  <c r="Q56" i="57"/>
  <c r="S56" i="57" s="1"/>
  <c r="U56" i="57" s="1"/>
  <c r="J56" i="57"/>
  <c r="M56" i="57" s="1"/>
  <c r="X55" i="57"/>
  <c r="Q55" i="57"/>
  <c r="S55" i="57" s="1"/>
  <c r="U55" i="57" s="1"/>
  <c r="J55" i="57"/>
  <c r="M55" i="57" s="1"/>
  <c r="X54" i="57"/>
  <c r="Q54" i="57"/>
  <c r="S54" i="57" s="1"/>
  <c r="U54" i="57" s="1"/>
  <c r="J54" i="57"/>
  <c r="M54" i="57" s="1"/>
  <c r="X53" i="57"/>
  <c r="Q53" i="57"/>
  <c r="S53" i="57" s="1"/>
  <c r="U53" i="57" s="1"/>
  <c r="J53" i="57"/>
  <c r="M53" i="57" s="1"/>
  <c r="X52" i="57"/>
  <c r="S52" i="57"/>
  <c r="U52" i="57" s="1"/>
  <c r="Q52" i="57"/>
  <c r="J52" i="57"/>
  <c r="M52" i="57" s="1"/>
  <c r="X51" i="57"/>
  <c r="Q51" i="57"/>
  <c r="S51" i="57" s="1"/>
  <c r="U51" i="57" s="1"/>
  <c r="J51" i="57"/>
  <c r="M51" i="57" s="1"/>
  <c r="X50" i="57"/>
  <c r="S50" i="57"/>
  <c r="U50" i="57" s="1"/>
  <c r="Q50" i="57"/>
  <c r="J50" i="57"/>
  <c r="M50" i="57" s="1"/>
  <c r="X49" i="57"/>
  <c r="Q49" i="57"/>
  <c r="S49" i="57" s="1"/>
  <c r="U49" i="57" s="1"/>
  <c r="J49" i="57"/>
  <c r="M49" i="57" s="1"/>
  <c r="X48" i="57"/>
  <c r="Q48" i="57"/>
  <c r="S48" i="57" s="1"/>
  <c r="U48" i="57" s="1"/>
  <c r="J48" i="57"/>
  <c r="M48" i="57" s="1"/>
  <c r="X47" i="57"/>
  <c r="Q47" i="57"/>
  <c r="S47" i="57" s="1"/>
  <c r="U47" i="57" s="1"/>
  <c r="J47" i="57"/>
  <c r="M47" i="57" s="1"/>
  <c r="X46" i="57"/>
  <c r="U46" i="57"/>
  <c r="S46" i="57"/>
  <c r="Q46" i="57"/>
  <c r="J46" i="57"/>
  <c r="M46" i="57" s="1"/>
  <c r="X45" i="57"/>
  <c r="Q45" i="57"/>
  <c r="S45" i="57" s="1"/>
  <c r="U45" i="57" s="1"/>
  <c r="M45" i="57"/>
  <c r="J45" i="57"/>
  <c r="X44" i="57"/>
  <c r="Q44" i="57"/>
  <c r="S44" i="57" s="1"/>
  <c r="U44" i="57" s="1"/>
  <c r="J44" i="57"/>
  <c r="M44" i="57" s="1"/>
  <c r="X43" i="57"/>
  <c r="Q43" i="57"/>
  <c r="S43" i="57" s="1"/>
  <c r="U43" i="57" s="1"/>
  <c r="J43" i="57"/>
  <c r="M43" i="57" s="1"/>
  <c r="X42" i="57"/>
  <c r="U42" i="57"/>
  <c r="S42" i="57"/>
  <c r="Q42" i="57"/>
  <c r="J42" i="57"/>
  <c r="M42" i="57" s="1"/>
  <c r="X41" i="57"/>
  <c r="Q41" i="57"/>
  <c r="S41" i="57" s="1"/>
  <c r="U41" i="57" s="1"/>
  <c r="J41" i="57"/>
  <c r="M41" i="57" s="1"/>
  <c r="X40" i="57"/>
  <c r="Q40" i="57"/>
  <c r="S40" i="57" s="1"/>
  <c r="U40" i="57" s="1"/>
  <c r="J40" i="57"/>
  <c r="M40" i="57" s="1"/>
  <c r="X39" i="57"/>
  <c r="Q39" i="57"/>
  <c r="S39" i="57" s="1"/>
  <c r="U39" i="57" s="1"/>
  <c r="J39" i="57"/>
  <c r="M39" i="57" s="1"/>
  <c r="X38" i="57"/>
  <c r="Q38" i="57"/>
  <c r="S38" i="57" s="1"/>
  <c r="U38" i="57" s="1"/>
  <c r="J38" i="57"/>
  <c r="M38" i="57" s="1"/>
  <c r="X37" i="57"/>
  <c r="Q37" i="57"/>
  <c r="S37" i="57" s="1"/>
  <c r="U37" i="57" s="1"/>
  <c r="J37" i="57"/>
  <c r="M37" i="57" s="1"/>
  <c r="X36" i="57"/>
  <c r="Q36" i="57"/>
  <c r="S36" i="57" s="1"/>
  <c r="U36" i="57" s="1"/>
  <c r="J36" i="57"/>
  <c r="M36" i="57" s="1"/>
  <c r="X35" i="57"/>
  <c r="Q35" i="57"/>
  <c r="S35" i="57" s="1"/>
  <c r="U35" i="57" s="1"/>
  <c r="J35" i="57"/>
  <c r="M35" i="57" s="1"/>
  <c r="X34" i="57"/>
  <c r="S34" i="57"/>
  <c r="U34" i="57" s="1"/>
  <c r="Q34" i="57"/>
  <c r="J34" i="57"/>
  <c r="M34" i="57" s="1"/>
  <c r="X33" i="57"/>
  <c r="Q33" i="57"/>
  <c r="S33" i="57" s="1"/>
  <c r="U33" i="57" s="1"/>
  <c r="J33" i="57"/>
  <c r="M33" i="57" s="1"/>
  <c r="X32" i="57"/>
  <c r="Q32" i="57"/>
  <c r="S32" i="57" s="1"/>
  <c r="U32" i="57" s="1"/>
  <c r="J32" i="57"/>
  <c r="M32" i="57" s="1"/>
  <c r="X31" i="57"/>
  <c r="Q31" i="57"/>
  <c r="S31" i="57" s="1"/>
  <c r="U31" i="57" s="1"/>
  <c r="J31" i="57"/>
  <c r="M31" i="57" s="1"/>
  <c r="X30" i="57"/>
  <c r="Q30" i="57"/>
  <c r="S30" i="57" s="1"/>
  <c r="U30" i="57" s="1"/>
  <c r="J30" i="57"/>
  <c r="M30" i="57" s="1"/>
  <c r="X29" i="57"/>
  <c r="S29" i="57"/>
  <c r="U29" i="57" s="1"/>
  <c r="Q29" i="57"/>
  <c r="J29" i="57"/>
  <c r="M29" i="57" s="1"/>
  <c r="X28" i="57"/>
  <c r="Q28" i="57"/>
  <c r="S28" i="57" s="1"/>
  <c r="U28" i="57" s="1"/>
  <c r="J28" i="57"/>
  <c r="M28" i="57" s="1"/>
  <c r="X27" i="57"/>
  <c r="Q27" i="57"/>
  <c r="S27" i="57" s="1"/>
  <c r="U27" i="57" s="1"/>
  <c r="J27" i="57"/>
  <c r="M27" i="57" s="1"/>
  <c r="X26" i="57"/>
  <c r="S26" i="57"/>
  <c r="U26" i="57" s="1"/>
  <c r="Q26" i="57"/>
  <c r="J26" i="57"/>
  <c r="M26" i="57" s="1"/>
  <c r="X25" i="57"/>
  <c r="Q25" i="57"/>
  <c r="S25" i="57" s="1"/>
  <c r="U25" i="57" s="1"/>
  <c r="J25" i="57"/>
  <c r="M25" i="57" s="1"/>
  <c r="X24" i="57"/>
  <c r="Q24" i="57"/>
  <c r="S24" i="57" s="1"/>
  <c r="U24" i="57" s="1"/>
  <c r="J24" i="57"/>
  <c r="M24" i="57" s="1"/>
  <c r="X23" i="57"/>
  <c r="Q23" i="57"/>
  <c r="S23" i="57" s="1"/>
  <c r="U23" i="57" s="1"/>
  <c r="J23" i="57"/>
  <c r="M23" i="57" s="1"/>
  <c r="X22" i="57"/>
  <c r="Q22" i="57"/>
  <c r="S22" i="57" s="1"/>
  <c r="U22" i="57" s="1"/>
  <c r="J22" i="57"/>
  <c r="M22" i="57" s="1"/>
  <c r="X21" i="57"/>
  <c r="Q21" i="57"/>
  <c r="S21" i="57" s="1"/>
  <c r="U21" i="57" s="1"/>
  <c r="J21" i="57"/>
  <c r="M21" i="57" s="1"/>
  <c r="X20" i="57"/>
  <c r="Q20" i="57"/>
  <c r="S20" i="57" s="1"/>
  <c r="U20" i="57" s="1"/>
  <c r="J20" i="57"/>
  <c r="M20" i="57" s="1"/>
  <c r="X19" i="57"/>
  <c r="Q19" i="57"/>
  <c r="S19" i="57" s="1"/>
  <c r="U19" i="57" s="1"/>
  <c r="J19" i="57"/>
  <c r="M19" i="57" s="1"/>
  <c r="X18" i="57"/>
  <c r="Q18" i="57"/>
  <c r="S18" i="57" s="1"/>
  <c r="U18" i="57" s="1"/>
  <c r="J18" i="57"/>
  <c r="M18" i="57" s="1"/>
  <c r="X17" i="57"/>
  <c r="Q17" i="57"/>
  <c r="S17" i="57" s="1"/>
  <c r="U17" i="57" s="1"/>
  <c r="J17" i="57"/>
  <c r="M17" i="57" s="1"/>
  <c r="X16" i="57"/>
  <c r="Q16" i="57"/>
  <c r="S16" i="57" s="1"/>
  <c r="U16" i="57" s="1"/>
  <c r="J16" i="57"/>
  <c r="M16" i="57" s="1"/>
  <c r="X15" i="57"/>
  <c r="Q15" i="57"/>
  <c r="S15" i="57" s="1"/>
  <c r="U15" i="57" s="1"/>
  <c r="J15" i="57"/>
  <c r="M15" i="57" s="1"/>
  <c r="X14" i="57"/>
  <c r="Q14" i="57"/>
  <c r="S14" i="57" s="1"/>
  <c r="U14" i="57" s="1"/>
  <c r="J14" i="57"/>
  <c r="M14" i="57" s="1"/>
  <c r="X13" i="57"/>
  <c r="Q13" i="57"/>
  <c r="S13" i="57" s="1"/>
  <c r="U13" i="57" s="1"/>
  <c r="J13" i="57"/>
  <c r="M13" i="57" s="1"/>
  <c r="X12" i="57"/>
  <c r="Q12" i="57"/>
  <c r="S12" i="57" s="1"/>
  <c r="U12" i="57" s="1"/>
  <c r="M12" i="57"/>
  <c r="J12" i="57"/>
  <c r="X11" i="57"/>
  <c r="Q11" i="57"/>
  <c r="S11" i="57" s="1"/>
  <c r="U11" i="57" s="1"/>
  <c r="J11" i="57"/>
  <c r="M11" i="57" s="1"/>
  <c r="X10" i="57"/>
  <c r="Q10" i="57"/>
  <c r="S10" i="57" s="1"/>
  <c r="U10" i="57" s="1"/>
  <c r="J10" i="57"/>
  <c r="M10" i="57" s="1"/>
  <c r="X9" i="57"/>
  <c r="Q9" i="57"/>
  <c r="S9" i="57" s="1"/>
  <c r="U9" i="57" s="1"/>
  <c r="J9" i="57"/>
  <c r="M9" i="57" s="1"/>
  <c r="X8" i="57"/>
  <c r="S8" i="57"/>
  <c r="U8" i="57" s="1"/>
  <c r="Q8" i="57"/>
  <c r="J8" i="57"/>
  <c r="M8" i="57" s="1"/>
  <c r="X7" i="57"/>
  <c r="Q7" i="57"/>
  <c r="S7" i="57" s="1"/>
  <c r="U7" i="57" s="1"/>
  <c r="J7" i="57"/>
  <c r="M7" i="57" s="1"/>
  <c r="X6" i="57"/>
  <c r="Q6" i="57"/>
  <c r="S6" i="57" s="1"/>
  <c r="U6" i="57" s="1"/>
  <c r="J6" i="57"/>
  <c r="M6" i="57" s="1"/>
  <c r="X5" i="57"/>
  <c r="S5" i="57"/>
  <c r="U5" i="57" s="1"/>
  <c r="Q5" i="57"/>
  <c r="J5" i="57"/>
  <c r="K212" i="56"/>
  <c r="N27" i="15" s="1"/>
  <c r="K209" i="56"/>
  <c r="R27" i="15" s="1"/>
  <c r="J204" i="56"/>
  <c r="M204" i="56" s="1"/>
  <c r="J203" i="56"/>
  <c r="M203" i="56" s="1"/>
  <c r="J202" i="56"/>
  <c r="M202" i="56" s="1"/>
  <c r="J201" i="56"/>
  <c r="M201" i="56" s="1"/>
  <c r="J200" i="56"/>
  <c r="M200" i="56" s="1"/>
  <c r="J199" i="56"/>
  <c r="M199" i="56" s="1"/>
  <c r="J198" i="56"/>
  <c r="M198" i="56" s="1"/>
  <c r="J197" i="56"/>
  <c r="M197" i="56" s="1"/>
  <c r="J196" i="56"/>
  <c r="M196" i="56" s="1"/>
  <c r="J195" i="56"/>
  <c r="M195" i="56" s="1"/>
  <c r="J194" i="56"/>
  <c r="M194" i="56" s="1"/>
  <c r="J193" i="56"/>
  <c r="M193" i="56" s="1"/>
  <c r="J192" i="56"/>
  <c r="M192" i="56" s="1"/>
  <c r="J191" i="56"/>
  <c r="M191" i="56" s="1"/>
  <c r="J190" i="56"/>
  <c r="M190" i="56" s="1"/>
  <c r="J189" i="56"/>
  <c r="M189" i="56" s="1"/>
  <c r="J188" i="56"/>
  <c r="M188" i="56" s="1"/>
  <c r="J187" i="56"/>
  <c r="M187" i="56" s="1"/>
  <c r="J186" i="56"/>
  <c r="M186" i="56" s="1"/>
  <c r="J185" i="56"/>
  <c r="M185" i="56" s="1"/>
  <c r="J184" i="56"/>
  <c r="M184" i="56" s="1"/>
  <c r="J183" i="56"/>
  <c r="M183" i="56" s="1"/>
  <c r="J182" i="56"/>
  <c r="M182" i="56" s="1"/>
  <c r="J181" i="56"/>
  <c r="M181" i="56" s="1"/>
  <c r="J180" i="56"/>
  <c r="M180" i="56" s="1"/>
  <c r="J179" i="56"/>
  <c r="M179" i="56" s="1"/>
  <c r="J178" i="56"/>
  <c r="M178" i="56" s="1"/>
  <c r="J177" i="56"/>
  <c r="M177" i="56" s="1"/>
  <c r="J176" i="56"/>
  <c r="M176" i="56" s="1"/>
  <c r="J175" i="56"/>
  <c r="M175" i="56" s="1"/>
  <c r="J174" i="56"/>
  <c r="M174" i="56" s="1"/>
  <c r="J173" i="56"/>
  <c r="M173" i="56" s="1"/>
  <c r="J172" i="56"/>
  <c r="M172" i="56" s="1"/>
  <c r="J171" i="56"/>
  <c r="M171" i="56" s="1"/>
  <c r="J170" i="56"/>
  <c r="M170" i="56" s="1"/>
  <c r="J169" i="56"/>
  <c r="M169" i="56" s="1"/>
  <c r="J168" i="56"/>
  <c r="M168" i="56" s="1"/>
  <c r="J167" i="56"/>
  <c r="M167" i="56" s="1"/>
  <c r="J166" i="56"/>
  <c r="M166" i="56" s="1"/>
  <c r="J165" i="56"/>
  <c r="M165" i="56" s="1"/>
  <c r="J164" i="56"/>
  <c r="M164" i="56" s="1"/>
  <c r="J163" i="56"/>
  <c r="M163" i="56" s="1"/>
  <c r="J162" i="56"/>
  <c r="M162" i="56" s="1"/>
  <c r="J161" i="56"/>
  <c r="M161" i="56" s="1"/>
  <c r="J160" i="56"/>
  <c r="M160" i="56" s="1"/>
  <c r="J159" i="56"/>
  <c r="M159" i="56" s="1"/>
  <c r="J158" i="56"/>
  <c r="M158" i="56" s="1"/>
  <c r="J157" i="56"/>
  <c r="M157" i="56" s="1"/>
  <c r="J156" i="56"/>
  <c r="M156" i="56" s="1"/>
  <c r="J155" i="56"/>
  <c r="M155" i="56" s="1"/>
  <c r="J154" i="56"/>
  <c r="M154" i="56" s="1"/>
  <c r="J153" i="56"/>
  <c r="M153" i="56" s="1"/>
  <c r="J152" i="56"/>
  <c r="M152" i="56" s="1"/>
  <c r="J151" i="56"/>
  <c r="M151" i="56" s="1"/>
  <c r="J150" i="56"/>
  <c r="M150" i="56" s="1"/>
  <c r="J149" i="56"/>
  <c r="M149" i="56" s="1"/>
  <c r="J148" i="56"/>
  <c r="M148" i="56" s="1"/>
  <c r="J147" i="56"/>
  <c r="M147" i="56" s="1"/>
  <c r="J146" i="56"/>
  <c r="M146" i="56" s="1"/>
  <c r="J145" i="56"/>
  <c r="M145" i="56" s="1"/>
  <c r="J144" i="56"/>
  <c r="M144" i="56" s="1"/>
  <c r="J143" i="56"/>
  <c r="M143" i="56" s="1"/>
  <c r="J142" i="56"/>
  <c r="M142" i="56" s="1"/>
  <c r="J141" i="56"/>
  <c r="M141" i="56" s="1"/>
  <c r="J140" i="56"/>
  <c r="M140" i="56" s="1"/>
  <c r="J139" i="56"/>
  <c r="M139" i="56" s="1"/>
  <c r="J138" i="56"/>
  <c r="M138" i="56" s="1"/>
  <c r="J137" i="56"/>
  <c r="M137" i="56" s="1"/>
  <c r="J136" i="56"/>
  <c r="M136" i="56" s="1"/>
  <c r="J135" i="56"/>
  <c r="M135" i="56" s="1"/>
  <c r="J134" i="56"/>
  <c r="M134" i="56" s="1"/>
  <c r="J133" i="56"/>
  <c r="M133" i="56" s="1"/>
  <c r="J132" i="56"/>
  <c r="M132" i="56" s="1"/>
  <c r="J131" i="56"/>
  <c r="M131" i="56" s="1"/>
  <c r="J130" i="56"/>
  <c r="M130" i="56" s="1"/>
  <c r="J129" i="56"/>
  <c r="M129" i="56" s="1"/>
  <c r="J128" i="56"/>
  <c r="M128" i="56" s="1"/>
  <c r="J127" i="56"/>
  <c r="M127" i="56" s="1"/>
  <c r="J126" i="56"/>
  <c r="M126" i="56" s="1"/>
  <c r="J125" i="56"/>
  <c r="M125" i="56" s="1"/>
  <c r="J124" i="56"/>
  <c r="M124" i="56" s="1"/>
  <c r="J123" i="56"/>
  <c r="M123" i="56" s="1"/>
  <c r="J122" i="56"/>
  <c r="M122" i="56" s="1"/>
  <c r="J121" i="56"/>
  <c r="M121" i="56" s="1"/>
  <c r="M120" i="56"/>
  <c r="J120" i="56"/>
  <c r="J119" i="56"/>
  <c r="M119" i="56" s="1"/>
  <c r="J118" i="56"/>
  <c r="M118" i="56" s="1"/>
  <c r="J117" i="56"/>
  <c r="M117" i="56" s="1"/>
  <c r="J116" i="56"/>
  <c r="M116" i="56" s="1"/>
  <c r="J115" i="56"/>
  <c r="M115" i="56" s="1"/>
  <c r="J114" i="56"/>
  <c r="M114" i="56" s="1"/>
  <c r="J113" i="56"/>
  <c r="M113" i="56" s="1"/>
  <c r="J112" i="56"/>
  <c r="M112" i="56" s="1"/>
  <c r="J111" i="56"/>
  <c r="M111" i="56" s="1"/>
  <c r="J110" i="56"/>
  <c r="M110" i="56" s="1"/>
  <c r="J109" i="56"/>
  <c r="M109" i="56" s="1"/>
  <c r="J108" i="56"/>
  <c r="M108" i="56" s="1"/>
  <c r="J107" i="56"/>
  <c r="M107" i="56" s="1"/>
  <c r="J106" i="56"/>
  <c r="M106" i="56" s="1"/>
  <c r="Z105" i="56"/>
  <c r="J105" i="56"/>
  <c r="M105" i="56" s="1"/>
  <c r="X104" i="56"/>
  <c r="Q104" i="56"/>
  <c r="S104" i="56" s="1"/>
  <c r="U104" i="56" s="1"/>
  <c r="J104" i="56"/>
  <c r="M104" i="56" s="1"/>
  <c r="X103" i="56"/>
  <c r="Q103" i="56"/>
  <c r="S103" i="56" s="1"/>
  <c r="U103" i="56" s="1"/>
  <c r="J103" i="56"/>
  <c r="M103" i="56" s="1"/>
  <c r="X102" i="56"/>
  <c r="Q102" i="56"/>
  <c r="S102" i="56" s="1"/>
  <c r="U102" i="56" s="1"/>
  <c r="J102" i="56"/>
  <c r="M102" i="56" s="1"/>
  <c r="X101" i="56"/>
  <c r="Q101" i="56"/>
  <c r="S101" i="56" s="1"/>
  <c r="U101" i="56" s="1"/>
  <c r="J101" i="56"/>
  <c r="M101" i="56" s="1"/>
  <c r="X100" i="56"/>
  <c r="Q100" i="56"/>
  <c r="S100" i="56" s="1"/>
  <c r="U100" i="56" s="1"/>
  <c r="J100" i="56"/>
  <c r="M100" i="56" s="1"/>
  <c r="X99" i="56"/>
  <c r="S99" i="56"/>
  <c r="U99" i="56" s="1"/>
  <c r="Q99" i="56"/>
  <c r="J99" i="56"/>
  <c r="M99" i="56" s="1"/>
  <c r="X98" i="56"/>
  <c r="S98" i="56"/>
  <c r="U98" i="56" s="1"/>
  <c r="Q98" i="56"/>
  <c r="J98" i="56"/>
  <c r="M98" i="56" s="1"/>
  <c r="X97" i="56"/>
  <c r="Q97" i="56"/>
  <c r="S97" i="56" s="1"/>
  <c r="U97" i="56" s="1"/>
  <c r="J97" i="56"/>
  <c r="M97" i="56" s="1"/>
  <c r="X96" i="56"/>
  <c r="Q96" i="56"/>
  <c r="S96" i="56" s="1"/>
  <c r="U96" i="56" s="1"/>
  <c r="J96" i="56"/>
  <c r="M96" i="56" s="1"/>
  <c r="X95" i="56"/>
  <c r="S95" i="56"/>
  <c r="U95" i="56" s="1"/>
  <c r="Q95" i="56"/>
  <c r="J95" i="56"/>
  <c r="M95" i="56" s="1"/>
  <c r="X94" i="56"/>
  <c r="Q94" i="56"/>
  <c r="S94" i="56" s="1"/>
  <c r="U94" i="56" s="1"/>
  <c r="J94" i="56"/>
  <c r="M94" i="56" s="1"/>
  <c r="X93" i="56"/>
  <c r="Q93" i="56"/>
  <c r="S93" i="56" s="1"/>
  <c r="U93" i="56" s="1"/>
  <c r="J93" i="56"/>
  <c r="M93" i="56" s="1"/>
  <c r="X92" i="56"/>
  <c r="Q92" i="56"/>
  <c r="S92" i="56" s="1"/>
  <c r="U92" i="56" s="1"/>
  <c r="J92" i="56"/>
  <c r="M92" i="56" s="1"/>
  <c r="X91" i="56"/>
  <c r="Q91" i="56"/>
  <c r="S91" i="56" s="1"/>
  <c r="U91" i="56" s="1"/>
  <c r="J91" i="56"/>
  <c r="M91" i="56" s="1"/>
  <c r="X90" i="56"/>
  <c r="S90" i="56"/>
  <c r="U90" i="56" s="1"/>
  <c r="Q90" i="56"/>
  <c r="J90" i="56"/>
  <c r="M90" i="56" s="1"/>
  <c r="X89" i="56"/>
  <c r="U89" i="56"/>
  <c r="Q89" i="56"/>
  <c r="S89" i="56" s="1"/>
  <c r="J89" i="56"/>
  <c r="M89" i="56" s="1"/>
  <c r="X88" i="56"/>
  <c r="Q88" i="56"/>
  <c r="S88" i="56" s="1"/>
  <c r="U88" i="56" s="1"/>
  <c r="J88" i="56"/>
  <c r="M88" i="56" s="1"/>
  <c r="X87" i="56"/>
  <c r="Q87" i="56"/>
  <c r="S87" i="56" s="1"/>
  <c r="U87" i="56" s="1"/>
  <c r="J87" i="56"/>
  <c r="M87" i="56" s="1"/>
  <c r="X86" i="56"/>
  <c r="Q86" i="56"/>
  <c r="S86" i="56" s="1"/>
  <c r="U86" i="56" s="1"/>
  <c r="J86" i="56"/>
  <c r="M86" i="56" s="1"/>
  <c r="X85" i="56"/>
  <c r="Q85" i="56"/>
  <c r="S85" i="56" s="1"/>
  <c r="U85" i="56" s="1"/>
  <c r="J85" i="56"/>
  <c r="M85" i="56" s="1"/>
  <c r="X84" i="56"/>
  <c r="S84" i="56"/>
  <c r="U84" i="56" s="1"/>
  <c r="Q84" i="56"/>
  <c r="J84" i="56"/>
  <c r="M84" i="56" s="1"/>
  <c r="X83" i="56"/>
  <c r="Q83" i="56"/>
  <c r="S83" i="56" s="1"/>
  <c r="U83" i="56" s="1"/>
  <c r="J83" i="56"/>
  <c r="M83" i="56" s="1"/>
  <c r="X82" i="56"/>
  <c r="S82" i="56"/>
  <c r="U82" i="56" s="1"/>
  <c r="Q82" i="56"/>
  <c r="J82" i="56"/>
  <c r="M82" i="56" s="1"/>
  <c r="X81" i="56"/>
  <c r="Q81" i="56"/>
  <c r="S81" i="56" s="1"/>
  <c r="U81" i="56" s="1"/>
  <c r="J81" i="56"/>
  <c r="M81" i="56" s="1"/>
  <c r="X80" i="56"/>
  <c r="Q80" i="56"/>
  <c r="S80" i="56" s="1"/>
  <c r="U80" i="56" s="1"/>
  <c r="J80" i="56"/>
  <c r="M80" i="56" s="1"/>
  <c r="X79" i="56"/>
  <c r="S79" i="56"/>
  <c r="U79" i="56" s="1"/>
  <c r="Q79" i="56"/>
  <c r="J79" i="56"/>
  <c r="M79" i="56" s="1"/>
  <c r="X78" i="56"/>
  <c r="U78" i="56"/>
  <c r="Q78" i="56"/>
  <c r="S78" i="56" s="1"/>
  <c r="J78" i="56"/>
  <c r="M78" i="56" s="1"/>
  <c r="X77" i="56"/>
  <c r="Q77" i="56"/>
  <c r="S77" i="56" s="1"/>
  <c r="U77" i="56" s="1"/>
  <c r="J77" i="56"/>
  <c r="M77" i="56" s="1"/>
  <c r="X76" i="56"/>
  <c r="Q76" i="56"/>
  <c r="S76" i="56" s="1"/>
  <c r="U76" i="56" s="1"/>
  <c r="J76" i="56"/>
  <c r="M76" i="56" s="1"/>
  <c r="X75" i="56"/>
  <c r="Q75" i="56"/>
  <c r="S75" i="56" s="1"/>
  <c r="U75" i="56" s="1"/>
  <c r="J75" i="56"/>
  <c r="M75" i="56" s="1"/>
  <c r="X74" i="56"/>
  <c r="Q74" i="56"/>
  <c r="S74" i="56" s="1"/>
  <c r="U74" i="56" s="1"/>
  <c r="J74" i="56"/>
  <c r="M74" i="56" s="1"/>
  <c r="X73" i="56"/>
  <c r="U73" i="56"/>
  <c r="Q73" i="56"/>
  <c r="S73" i="56" s="1"/>
  <c r="J73" i="56"/>
  <c r="M73" i="56" s="1"/>
  <c r="X72" i="56"/>
  <c r="Q72" i="56"/>
  <c r="S72" i="56" s="1"/>
  <c r="U72" i="56" s="1"/>
  <c r="J72" i="56"/>
  <c r="M72" i="56" s="1"/>
  <c r="X71" i="56"/>
  <c r="Q71" i="56"/>
  <c r="S71" i="56" s="1"/>
  <c r="U71" i="56" s="1"/>
  <c r="J71" i="56"/>
  <c r="M71" i="56" s="1"/>
  <c r="X70" i="56"/>
  <c r="Q70" i="56"/>
  <c r="S70" i="56" s="1"/>
  <c r="U70" i="56" s="1"/>
  <c r="J70" i="56"/>
  <c r="M70" i="56" s="1"/>
  <c r="X69" i="56"/>
  <c r="Q69" i="56"/>
  <c r="S69" i="56" s="1"/>
  <c r="U69" i="56" s="1"/>
  <c r="J69" i="56"/>
  <c r="M69" i="56" s="1"/>
  <c r="X68" i="56"/>
  <c r="Q68" i="56"/>
  <c r="S68" i="56" s="1"/>
  <c r="U68" i="56" s="1"/>
  <c r="J68" i="56"/>
  <c r="M68" i="56" s="1"/>
  <c r="X67" i="56"/>
  <c r="S67" i="56"/>
  <c r="U67" i="56" s="1"/>
  <c r="Q67" i="56"/>
  <c r="J67" i="56"/>
  <c r="M67" i="56" s="1"/>
  <c r="X66" i="56"/>
  <c r="S66" i="56"/>
  <c r="U66" i="56" s="1"/>
  <c r="Q66" i="56"/>
  <c r="J66" i="56"/>
  <c r="M66" i="56" s="1"/>
  <c r="X65" i="56"/>
  <c r="Q65" i="56"/>
  <c r="S65" i="56" s="1"/>
  <c r="U65" i="56" s="1"/>
  <c r="M65" i="56"/>
  <c r="J65" i="56"/>
  <c r="X64" i="56"/>
  <c r="Q64" i="56"/>
  <c r="S64" i="56" s="1"/>
  <c r="U64" i="56" s="1"/>
  <c r="J64" i="56"/>
  <c r="M64" i="56" s="1"/>
  <c r="X63" i="56"/>
  <c r="Q63" i="56"/>
  <c r="S63" i="56" s="1"/>
  <c r="U63" i="56" s="1"/>
  <c r="J63" i="56"/>
  <c r="M63" i="56" s="1"/>
  <c r="X62" i="56"/>
  <c r="Q62" i="56"/>
  <c r="S62" i="56" s="1"/>
  <c r="U62" i="56" s="1"/>
  <c r="J62" i="56"/>
  <c r="M62" i="56" s="1"/>
  <c r="X61" i="56"/>
  <c r="Q61" i="56"/>
  <c r="S61" i="56" s="1"/>
  <c r="U61" i="56" s="1"/>
  <c r="J61" i="56"/>
  <c r="M61" i="56" s="1"/>
  <c r="X60" i="56"/>
  <c r="Q60" i="56"/>
  <c r="S60" i="56" s="1"/>
  <c r="U60" i="56" s="1"/>
  <c r="J60" i="56"/>
  <c r="M60" i="56" s="1"/>
  <c r="X59" i="56"/>
  <c r="Q59" i="56"/>
  <c r="S59" i="56" s="1"/>
  <c r="U59" i="56" s="1"/>
  <c r="J59" i="56"/>
  <c r="M59" i="56" s="1"/>
  <c r="X58" i="56"/>
  <c r="Q58" i="56"/>
  <c r="S58" i="56" s="1"/>
  <c r="U58" i="56" s="1"/>
  <c r="J58" i="56"/>
  <c r="M58" i="56" s="1"/>
  <c r="X57" i="56"/>
  <c r="U57" i="56"/>
  <c r="Q57" i="56"/>
  <c r="S57" i="56" s="1"/>
  <c r="J57" i="56"/>
  <c r="M57" i="56" s="1"/>
  <c r="X56" i="56"/>
  <c r="Q56" i="56"/>
  <c r="S56" i="56" s="1"/>
  <c r="U56" i="56" s="1"/>
  <c r="J56" i="56"/>
  <c r="M56" i="56" s="1"/>
  <c r="X55" i="56"/>
  <c r="S55" i="56"/>
  <c r="U55" i="56" s="1"/>
  <c r="Q55" i="56"/>
  <c r="J55" i="56"/>
  <c r="M55" i="56" s="1"/>
  <c r="X54" i="56"/>
  <c r="Q54" i="56"/>
  <c r="S54" i="56" s="1"/>
  <c r="U54" i="56" s="1"/>
  <c r="J54" i="56"/>
  <c r="M54" i="56" s="1"/>
  <c r="X53" i="56"/>
  <c r="Q53" i="56"/>
  <c r="S53" i="56" s="1"/>
  <c r="U53" i="56" s="1"/>
  <c r="J53" i="56"/>
  <c r="M53" i="56" s="1"/>
  <c r="X52" i="56"/>
  <c r="Q52" i="56"/>
  <c r="S52" i="56" s="1"/>
  <c r="U52" i="56" s="1"/>
  <c r="J52" i="56"/>
  <c r="M52" i="56" s="1"/>
  <c r="X51" i="56"/>
  <c r="Q51" i="56"/>
  <c r="S51" i="56" s="1"/>
  <c r="U51" i="56" s="1"/>
  <c r="J51" i="56"/>
  <c r="M51" i="56" s="1"/>
  <c r="X50" i="56"/>
  <c r="Q50" i="56"/>
  <c r="S50" i="56" s="1"/>
  <c r="U50" i="56" s="1"/>
  <c r="J50" i="56"/>
  <c r="M50" i="56" s="1"/>
  <c r="X49" i="56"/>
  <c r="Q49" i="56"/>
  <c r="S49" i="56" s="1"/>
  <c r="U49" i="56" s="1"/>
  <c r="J49" i="56"/>
  <c r="M49" i="56" s="1"/>
  <c r="X48" i="56"/>
  <c r="Q48" i="56"/>
  <c r="S48" i="56" s="1"/>
  <c r="U48" i="56" s="1"/>
  <c r="J48" i="56"/>
  <c r="M48" i="56" s="1"/>
  <c r="X47" i="56"/>
  <c r="Q47" i="56"/>
  <c r="S47" i="56" s="1"/>
  <c r="U47" i="56" s="1"/>
  <c r="J47" i="56"/>
  <c r="M47" i="56" s="1"/>
  <c r="X46" i="56"/>
  <c r="Q46" i="56"/>
  <c r="S46" i="56" s="1"/>
  <c r="U46" i="56" s="1"/>
  <c r="J46" i="56"/>
  <c r="M46" i="56" s="1"/>
  <c r="X45" i="56"/>
  <c r="Q45" i="56"/>
  <c r="S45" i="56" s="1"/>
  <c r="U45" i="56" s="1"/>
  <c r="J45" i="56"/>
  <c r="M45" i="56" s="1"/>
  <c r="X44" i="56"/>
  <c r="Q44" i="56"/>
  <c r="S44" i="56" s="1"/>
  <c r="U44" i="56" s="1"/>
  <c r="J44" i="56"/>
  <c r="M44" i="56" s="1"/>
  <c r="X43" i="56"/>
  <c r="S43" i="56"/>
  <c r="U43" i="56" s="1"/>
  <c r="Q43" i="56"/>
  <c r="J43" i="56"/>
  <c r="M43" i="56" s="1"/>
  <c r="X42" i="56"/>
  <c r="U42" i="56"/>
  <c r="Q42" i="56"/>
  <c r="S42" i="56" s="1"/>
  <c r="J42" i="56"/>
  <c r="M42" i="56" s="1"/>
  <c r="X41" i="56"/>
  <c r="U41" i="56"/>
  <c r="Q41" i="56"/>
  <c r="S41" i="56" s="1"/>
  <c r="M41" i="56"/>
  <c r="J41" i="56"/>
  <c r="X40" i="56"/>
  <c r="Q40" i="56"/>
  <c r="S40" i="56" s="1"/>
  <c r="U40" i="56" s="1"/>
  <c r="J40" i="56"/>
  <c r="M40" i="56" s="1"/>
  <c r="X39" i="56"/>
  <c r="U39" i="56"/>
  <c r="Q39" i="56"/>
  <c r="S39" i="56" s="1"/>
  <c r="J39" i="56"/>
  <c r="M39" i="56" s="1"/>
  <c r="X38" i="56"/>
  <c r="Q38" i="56"/>
  <c r="S38" i="56" s="1"/>
  <c r="U38" i="56" s="1"/>
  <c r="J38" i="56"/>
  <c r="M38" i="56" s="1"/>
  <c r="X37" i="56"/>
  <c r="Q37" i="56"/>
  <c r="S37" i="56" s="1"/>
  <c r="U37" i="56" s="1"/>
  <c r="J37" i="56"/>
  <c r="M37" i="56" s="1"/>
  <c r="X36" i="56"/>
  <c r="Q36" i="56"/>
  <c r="S36" i="56" s="1"/>
  <c r="U36" i="56" s="1"/>
  <c r="M36" i="56"/>
  <c r="J36" i="56"/>
  <c r="X35" i="56"/>
  <c r="S35" i="56"/>
  <c r="U35" i="56" s="1"/>
  <c r="Q35" i="56"/>
  <c r="J35" i="56"/>
  <c r="M35" i="56" s="1"/>
  <c r="X34" i="56"/>
  <c r="Q34" i="56"/>
  <c r="S34" i="56" s="1"/>
  <c r="U34" i="56" s="1"/>
  <c r="J34" i="56"/>
  <c r="M34" i="56" s="1"/>
  <c r="X33" i="56"/>
  <c r="U33" i="56"/>
  <c r="Q33" i="56"/>
  <c r="S33" i="56" s="1"/>
  <c r="J33" i="56"/>
  <c r="M33" i="56" s="1"/>
  <c r="X32" i="56"/>
  <c r="Q32" i="56"/>
  <c r="S32" i="56" s="1"/>
  <c r="U32" i="56" s="1"/>
  <c r="J32" i="56"/>
  <c r="M32" i="56" s="1"/>
  <c r="X31" i="56"/>
  <c r="S31" i="56"/>
  <c r="U31" i="56" s="1"/>
  <c r="Q31" i="56"/>
  <c r="J31" i="56"/>
  <c r="M31" i="56" s="1"/>
  <c r="X30" i="56"/>
  <c r="Q30" i="56"/>
  <c r="S30" i="56" s="1"/>
  <c r="U30" i="56" s="1"/>
  <c r="J30" i="56"/>
  <c r="M30" i="56" s="1"/>
  <c r="X29" i="56"/>
  <c r="U29" i="56"/>
  <c r="Q29" i="56"/>
  <c r="S29" i="56" s="1"/>
  <c r="J29" i="56"/>
  <c r="M29" i="56" s="1"/>
  <c r="X28" i="56"/>
  <c r="Q28" i="56"/>
  <c r="S28" i="56" s="1"/>
  <c r="U28" i="56" s="1"/>
  <c r="J28" i="56"/>
  <c r="M28" i="56" s="1"/>
  <c r="X27" i="56"/>
  <c r="Q27" i="56"/>
  <c r="S27" i="56" s="1"/>
  <c r="U27" i="56" s="1"/>
  <c r="J27" i="56"/>
  <c r="M27" i="56" s="1"/>
  <c r="X26" i="56"/>
  <c r="U26" i="56"/>
  <c r="S26" i="56"/>
  <c r="Q26" i="56"/>
  <c r="J26" i="56"/>
  <c r="M26" i="56" s="1"/>
  <c r="X25" i="56"/>
  <c r="Q25" i="56"/>
  <c r="S25" i="56" s="1"/>
  <c r="U25" i="56" s="1"/>
  <c r="J25" i="56"/>
  <c r="M25" i="56" s="1"/>
  <c r="X24" i="56"/>
  <c r="S24" i="56"/>
  <c r="U24" i="56" s="1"/>
  <c r="Q24" i="56"/>
  <c r="J24" i="56"/>
  <c r="M24" i="56" s="1"/>
  <c r="X23" i="56"/>
  <c r="Q23" i="56"/>
  <c r="S23" i="56" s="1"/>
  <c r="U23" i="56" s="1"/>
  <c r="J23" i="56"/>
  <c r="M23" i="56" s="1"/>
  <c r="X22" i="56"/>
  <c r="S22" i="56"/>
  <c r="U22" i="56" s="1"/>
  <c r="Q22" i="56"/>
  <c r="J22" i="56"/>
  <c r="M22" i="56" s="1"/>
  <c r="X21" i="56"/>
  <c r="U21" i="56"/>
  <c r="Q21" i="56"/>
  <c r="S21" i="56" s="1"/>
  <c r="J21" i="56"/>
  <c r="M21" i="56" s="1"/>
  <c r="X20" i="56"/>
  <c r="Q20" i="56"/>
  <c r="S20" i="56" s="1"/>
  <c r="U20" i="56" s="1"/>
  <c r="J20" i="56"/>
  <c r="M20" i="56" s="1"/>
  <c r="X19" i="56"/>
  <c r="S19" i="56"/>
  <c r="U19" i="56" s="1"/>
  <c r="Q19" i="56"/>
  <c r="J19" i="56"/>
  <c r="M19" i="56" s="1"/>
  <c r="X18" i="56"/>
  <c r="U18" i="56"/>
  <c r="S18" i="56"/>
  <c r="Q18" i="56"/>
  <c r="J18" i="56"/>
  <c r="M18" i="56" s="1"/>
  <c r="X17" i="56"/>
  <c r="Q17" i="56"/>
  <c r="S17" i="56" s="1"/>
  <c r="U17" i="56" s="1"/>
  <c r="J17" i="56"/>
  <c r="M17" i="56" s="1"/>
  <c r="X16" i="56"/>
  <c r="S16" i="56"/>
  <c r="U16" i="56" s="1"/>
  <c r="Q16" i="56"/>
  <c r="J16" i="56"/>
  <c r="M16" i="56" s="1"/>
  <c r="X15" i="56"/>
  <c r="Q15" i="56"/>
  <c r="S15" i="56" s="1"/>
  <c r="U15" i="56" s="1"/>
  <c r="J15" i="56"/>
  <c r="M15" i="56" s="1"/>
  <c r="X14" i="56"/>
  <c r="Q14" i="56"/>
  <c r="S14" i="56" s="1"/>
  <c r="U14" i="56" s="1"/>
  <c r="J14" i="56"/>
  <c r="M14" i="56" s="1"/>
  <c r="X13" i="56"/>
  <c r="U13" i="56"/>
  <c r="S13" i="56"/>
  <c r="Q13" i="56"/>
  <c r="J13" i="56"/>
  <c r="M13" i="56" s="1"/>
  <c r="X12" i="56"/>
  <c r="Q12" i="56"/>
  <c r="S12" i="56" s="1"/>
  <c r="U12" i="56" s="1"/>
  <c r="J12" i="56"/>
  <c r="M12" i="56" s="1"/>
  <c r="X11" i="56"/>
  <c r="Q11" i="56"/>
  <c r="S11" i="56" s="1"/>
  <c r="U11" i="56" s="1"/>
  <c r="J11" i="56"/>
  <c r="M11" i="56" s="1"/>
  <c r="X10" i="56"/>
  <c r="U10" i="56"/>
  <c r="Q10" i="56"/>
  <c r="S10" i="56" s="1"/>
  <c r="J10" i="56"/>
  <c r="M10" i="56" s="1"/>
  <c r="X9" i="56"/>
  <c r="Q9" i="56"/>
  <c r="S9" i="56" s="1"/>
  <c r="U9" i="56" s="1"/>
  <c r="J9" i="56"/>
  <c r="M9" i="56" s="1"/>
  <c r="X8" i="56"/>
  <c r="S8" i="56"/>
  <c r="U8" i="56" s="1"/>
  <c r="Q8" i="56"/>
  <c r="J8" i="56"/>
  <c r="M8" i="56" s="1"/>
  <c r="X7" i="56"/>
  <c r="Q7" i="56"/>
  <c r="S7" i="56" s="1"/>
  <c r="U7" i="56" s="1"/>
  <c r="J7" i="56"/>
  <c r="M7" i="56" s="1"/>
  <c r="X6" i="56"/>
  <c r="Q6" i="56"/>
  <c r="S6" i="56" s="1"/>
  <c r="U6" i="56" s="1"/>
  <c r="J6" i="56"/>
  <c r="M6" i="56" s="1"/>
  <c r="X5" i="56"/>
  <c r="Q5" i="56"/>
  <c r="S5" i="56" s="1"/>
  <c r="U5" i="56" s="1"/>
  <c r="J5" i="56"/>
  <c r="M5" i="56" s="1"/>
  <c r="K212" i="55"/>
  <c r="N26" i="15" s="1"/>
  <c r="K209" i="55"/>
  <c r="R26" i="15" s="1"/>
  <c r="J204" i="55"/>
  <c r="M204" i="55" s="1"/>
  <c r="J203" i="55"/>
  <c r="M203" i="55" s="1"/>
  <c r="J202" i="55"/>
  <c r="M202" i="55" s="1"/>
  <c r="J201" i="55"/>
  <c r="M201" i="55" s="1"/>
  <c r="J200" i="55"/>
  <c r="M200" i="55" s="1"/>
  <c r="J199" i="55"/>
  <c r="M199" i="55" s="1"/>
  <c r="J198" i="55"/>
  <c r="M198" i="55" s="1"/>
  <c r="J197" i="55"/>
  <c r="M197" i="55" s="1"/>
  <c r="J196" i="55"/>
  <c r="M196" i="55" s="1"/>
  <c r="J195" i="55"/>
  <c r="M195" i="55" s="1"/>
  <c r="J194" i="55"/>
  <c r="M194" i="55" s="1"/>
  <c r="J193" i="55"/>
  <c r="M193" i="55" s="1"/>
  <c r="J192" i="55"/>
  <c r="M192" i="55" s="1"/>
  <c r="J191" i="55"/>
  <c r="M191" i="55" s="1"/>
  <c r="J190" i="55"/>
  <c r="M190" i="55" s="1"/>
  <c r="J189" i="55"/>
  <c r="M189" i="55" s="1"/>
  <c r="J188" i="55"/>
  <c r="M188" i="55" s="1"/>
  <c r="J187" i="55"/>
  <c r="M187" i="55" s="1"/>
  <c r="J186" i="55"/>
  <c r="M186" i="55" s="1"/>
  <c r="J185" i="55"/>
  <c r="M185" i="55" s="1"/>
  <c r="J184" i="55"/>
  <c r="M184" i="55" s="1"/>
  <c r="J183" i="55"/>
  <c r="M183" i="55" s="1"/>
  <c r="J182" i="55"/>
  <c r="M182" i="55" s="1"/>
  <c r="J181" i="55"/>
  <c r="M181" i="55" s="1"/>
  <c r="J180" i="55"/>
  <c r="M180" i="55" s="1"/>
  <c r="J179" i="55"/>
  <c r="M179" i="55" s="1"/>
  <c r="J178" i="55"/>
  <c r="M178" i="55" s="1"/>
  <c r="J177" i="55"/>
  <c r="M177" i="55" s="1"/>
  <c r="J176" i="55"/>
  <c r="M176" i="55" s="1"/>
  <c r="J175" i="55"/>
  <c r="M175" i="55" s="1"/>
  <c r="M174" i="55"/>
  <c r="J174" i="55"/>
  <c r="J173" i="55"/>
  <c r="M173" i="55" s="1"/>
  <c r="J172" i="55"/>
  <c r="M172" i="55" s="1"/>
  <c r="J171" i="55"/>
  <c r="M171" i="55" s="1"/>
  <c r="J170" i="55"/>
  <c r="M170" i="55" s="1"/>
  <c r="J169" i="55"/>
  <c r="M169" i="55" s="1"/>
  <c r="M168" i="55"/>
  <c r="J168" i="55"/>
  <c r="J167" i="55"/>
  <c r="M167" i="55" s="1"/>
  <c r="J166" i="55"/>
  <c r="M166" i="55" s="1"/>
  <c r="J165" i="55"/>
  <c r="M165" i="55" s="1"/>
  <c r="J164" i="55"/>
  <c r="M164" i="55" s="1"/>
  <c r="J163" i="55"/>
  <c r="M163" i="55" s="1"/>
  <c r="J162" i="55"/>
  <c r="M162" i="55" s="1"/>
  <c r="J161" i="55"/>
  <c r="M161" i="55" s="1"/>
  <c r="J160" i="55"/>
  <c r="M160" i="55" s="1"/>
  <c r="J159" i="55"/>
  <c r="M159" i="55" s="1"/>
  <c r="J158" i="55"/>
  <c r="M158" i="55" s="1"/>
  <c r="J157" i="55"/>
  <c r="M157" i="55" s="1"/>
  <c r="J156" i="55"/>
  <c r="M156" i="55" s="1"/>
  <c r="J155" i="55"/>
  <c r="M155" i="55" s="1"/>
  <c r="J154" i="55"/>
  <c r="M154" i="55" s="1"/>
  <c r="J153" i="55"/>
  <c r="M153" i="55" s="1"/>
  <c r="M152" i="55"/>
  <c r="J152" i="55"/>
  <c r="J151" i="55"/>
  <c r="M151" i="55" s="1"/>
  <c r="J150" i="55"/>
  <c r="M150" i="55" s="1"/>
  <c r="J149" i="55"/>
  <c r="M149" i="55" s="1"/>
  <c r="M148" i="55"/>
  <c r="J148" i="55"/>
  <c r="J147" i="55"/>
  <c r="M147" i="55" s="1"/>
  <c r="J146" i="55"/>
  <c r="M146" i="55" s="1"/>
  <c r="J145" i="55"/>
  <c r="M145" i="55" s="1"/>
  <c r="J144" i="55"/>
  <c r="M144" i="55" s="1"/>
  <c r="J143" i="55"/>
  <c r="M143" i="55" s="1"/>
  <c r="J142" i="55"/>
  <c r="M142" i="55" s="1"/>
  <c r="J141" i="55"/>
  <c r="M141" i="55" s="1"/>
  <c r="J140" i="55"/>
  <c r="M140" i="55" s="1"/>
  <c r="J139" i="55"/>
  <c r="M139" i="55" s="1"/>
  <c r="J138" i="55"/>
  <c r="M138" i="55" s="1"/>
  <c r="J137" i="55"/>
  <c r="M137" i="55" s="1"/>
  <c r="J136" i="55"/>
  <c r="M136" i="55" s="1"/>
  <c r="J135" i="55"/>
  <c r="M135" i="55" s="1"/>
  <c r="J134" i="55"/>
  <c r="M134" i="55" s="1"/>
  <c r="J133" i="55"/>
  <c r="M133" i="55" s="1"/>
  <c r="J132" i="55"/>
  <c r="M132" i="55" s="1"/>
  <c r="J131" i="55"/>
  <c r="M131" i="55" s="1"/>
  <c r="J130" i="55"/>
  <c r="M130" i="55" s="1"/>
  <c r="J129" i="55"/>
  <c r="M129" i="55" s="1"/>
  <c r="J128" i="55"/>
  <c r="M128" i="55" s="1"/>
  <c r="J127" i="55"/>
  <c r="M127" i="55" s="1"/>
  <c r="J126" i="55"/>
  <c r="M126" i="55" s="1"/>
  <c r="J125" i="55"/>
  <c r="M125" i="55" s="1"/>
  <c r="J124" i="55"/>
  <c r="M124" i="55" s="1"/>
  <c r="J123" i="55"/>
  <c r="M123" i="55" s="1"/>
  <c r="J122" i="55"/>
  <c r="M122" i="55" s="1"/>
  <c r="J121" i="55"/>
  <c r="M121" i="55" s="1"/>
  <c r="J120" i="55"/>
  <c r="M120" i="55" s="1"/>
  <c r="J119" i="55"/>
  <c r="M119" i="55" s="1"/>
  <c r="J118" i="55"/>
  <c r="M118" i="55" s="1"/>
  <c r="J117" i="55"/>
  <c r="M117" i="55" s="1"/>
  <c r="J116" i="55"/>
  <c r="M116" i="55" s="1"/>
  <c r="J115" i="55"/>
  <c r="M115" i="55" s="1"/>
  <c r="J114" i="55"/>
  <c r="M114" i="55" s="1"/>
  <c r="J113" i="55"/>
  <c r="M113" i="55" s="1"/>
  <c r="M112" i="55"/>
  <c r="J112" i="55"/>
  <c r="M111" i="55"/>
  <c r="J111" i="55"/>
  <c r="J110" i="55"/>
  <c r="M110" i="55" s="1"/>
  <c r="J109" i="55"/>
  <c r="M109" i="55" s="1"/>
  <c r="J108" i="55"/>
  <c r="M108" i="55" s="1"/>
  <c r="J107" i="55"/>
  <c r="M107" i="55" s="1"/>
  <c r="J106" i="55"/>
  <c r="M106" i="55" s="1"/>
  <c r="Z105" i="55"/>
  <c r="J105" i="55"/>
  <c r="M105" i="55" s="1"/>
  <c r="X104" i="55"/>
  <c r="Q104" i="55"/>
  <c r="S104" i="55" s="1"/>
  <c r="U104" i="55" s="1"/>
  <c r="J104" i="55"/>
  <c r="M104" i="55" s="1"/>
  <c r="X103" i="55"/>
  <c r="S103" i="55"/>
  <c r="U103" i="55" s="1"/>
  <c r="Q103" i="55"/>
  <c r="J103" i="55"/>
  <c r="M103" i="55" s="1"/>
  <c r="X102" i="55"/>
  <c r="U102" i="55"/>
  <c r="Q102" i="55"/>
  <c r="S102" i="55" s="1"/>
  <c r="J102" i="55"/>
  <c r="M102" i="55" s="1"/>
  <c r="X101" i="55"/>
  <c r="Q101" i="55"/>
  <c r="S101" i="55" s="1"/>
  <c r="U101" i="55" s="1"/>
  <c r="J101" i="55"/>
  <c r="M101" i="55" s="1"/>
  <c r="X100" i="55"/>
  <c r="Q100" i="55"/>
  <c r="S100" i="55" s="1"/>
  <c r="U100" i="55" s="1"/>
  <c r="J100" i="55"/>
  <c r="M100" i="55" s="1"/>
  <c r="X99" i="55"/>
  <c r="Q99" i="55"/>
  <c r="S99" i="55" s="1"/>
  <c r="U99" i="55" s="1"/>
  <c r="J99" i="55"/>
  <c r="M99" i="55" s="1"/>
  <c r="X98" i="55"/>
  <c r="Q98" i="55"/>
  <c r="S98" i="55" s="1"/>
  <c r="U98" i="55" s="1"/>
  <c r="J98" i="55"/>
  <c r="M98" i="55" s="1"/>
  <c r="X97" i="55"/>
  <c r="Q97" i="55"/>
  <c r="S97" i="55" s="1"/>
  <c r="U97" i="55" s="1"/>
  <c r="J97" i="55"/>
  <c r="M97" i="55" s="1"/>
  <c r="X96" i="55"/>
  <c r="Q96" i="55"/>
  <c r="S96" i="55" s="1"/>
  <c r="U96" i="55" s="1"/>
  <c r="J96" i="55"/>
  <c r="M96" i="55" s="1"/>
  <c r="X95" i="55"/>
  <c r="Q95" i="55"/>
  <c r="S95" i="55" s="1"/>
  <c r="U95" i="55" s="1"/>
  <c r="J95" i="55"/>
  <c r="M95" i="55" s="1"/>
  <c r="X94" i="55"/>
  <c r="Q94" i="55"/>
  <c r="S94" i="55" s="1"/>
  <c r="U94" i="55" s="1"/>
  <c r="J94" i="55"/>
  <c r="M94" i="55" s="1"/>
  <c r="X93" i="55"/>
  <c r="Q93" i="55"/>
  <c r="S93" i="55" s="1"/>
  <c r="U93" i="55" s="1"/>
  <c r="J93" i="55"/>
  <c r="M93" i="55" s="1"/>
  <c r="X92" i="55"/>
  <c r="U92" i="55"/>
  <c r="Q92" i="55"/>
  <c r="S92" i="55" s="1"/>
  <c r="J92" i="55"/>
  <c r="M92" i="55" s="1"/>
  <c r="X91" i="55"/>
  <c r="Q91" i="55"/>
  <c r="S91" i="55" s="1"/>
  <c r="U91" i="55" s="1"/>
  <c r="J91" i="55"/>
  <c r="M91" i="55" s="1"/>
  <c r="X90" i="55"/>
  <c r="S90" i="55"/>
  <c r="U90" i="55" s="1"/>
  <c r="Q90" i="55"/>
  <c r="J90" i="55"/>
  <c r="M90" i="55" s="1"/>
  <c r="X89" i="55"/>
  <c r="Q89" i="55"/>
  <c r="S89" i="55" s="1"/>
  <c r="U89" i="55" s="1"/>
  <c r="J89" i="55"/>
  <c r="M89" i="55" s="1"/>
  <c r="X88" i="55"/>
  <c r="S88" i="55"/>
  <c r="U88" i="55" s="1"/>
  <c r="Q88" i="55"/>
  <c r="J88" i="55"/>
  <c r="M88" i="55" s="1"/>
  <c r="X87" i="55"/>
  <c r="S87" i="55"/>
  <c r="U87" i="55" s="1"/>
  <c r="Q87" i="55"/>
  <c r="J87" i="55"/>
  <c r="M87" i="55" s="1"/>
  <c r="X86" i="55"/>
  <c r="Q86" i="55"/>
  <c r="S86" i="55" s="1"/>
  <c r="U86" i="55" s="1"/>
  <c r="J86" i="55"/>
  <c r="M86" i="55" s="1"/>
  <c r="X85" i="55"/>
  <c r="Q85" i="55"/>
  <c r="S85" i="55" s="1"/>
  <c r="U85" i="55" s="1"/>
  <c r="J85" i="55"/>
  <c r="M85" i="55" s="1"/>
  <c r="X84" i="55"/>
  <c r="U84" i="55"/>
  <c r="Q84" i="55"/>
  <c r="S84" i="55" s="1"/>
  <c r="J84" i="55"/>
  <c r="M84" i="55" s="1"/>
  <c r="X83" i="55"/>
  <c r="Q83" i="55"/>
  <c r="S83" i="55" s="1"/>
  <c r="U83" i="55" s="1"/>
  <c r="J83" i="55"/>
  <c r="M83" i="55" s="1"/>
  <c r="X82" i="55"/>
  <c r="S82" i="55"/>
  <c r="U82" i="55" s="1"/>
  <c r="Q82" i="55"/>
  <c r="J82" i="55"/>
  <c r="M82" i="55" s="1"/>
  <c r="X81" i="55"/>
  <c r="Q81" i="55"/>
  <c r="S81" i="55" s="1"/>
  <c r="U81" i="55" s="1"/>
  <c r="J81" i="55"/>
  <c r="M81" i="55" s="1"/>
  <c r="X80" i="55"/>
  <c r="S80" i="55"/>
  <c r="U80" i="55" s="1"/>
  <c r="Q80" i="55"/>
  <c r="J80" i="55"/>
  <c r="M80" i="55" s="1"/>
  <c r="X79" i="55"/>
  <c r="Q79" i="55"/>
  <c r="S79" i="55" s="1"/>
  <c r="U79" i="55" s="1"/>
  <c r="J79" i="55"/>
  <c r="M79" i="55" s="1"/>
  <c r="X78" i="55"/>
  <c r="Q78" i="55"/>
  <c r="S78" i="55" s="1"/>
  <c r="U78" i="55" s="1"/>
  <c r="J78" i="55"/>
  <c r="M78" i="55" s="1"/>
  <c r="X77" i="55"/>
  <c r="Q77" i="55"/>
  <c r="S77" i="55" s="1"/>
  <c r="U77" i="55" s="1"/>
  <c r="J77" i="55"/>
  <c r="M77" i="55" s="1"/>
  <c r="X76" i="55"/>
  <c r="U76" i="55"/>
  <c r="S76" i="55"/>
  <c r="Q76" i="55"/>
  <c r="M76" i="55"/>
  <c r="J76" i="55"/>
  <c r="X75" i="55"/>
  <c r="Q75" i="55"/>
  <c r="S75" i="55" s="1"/>
  <c r="U75" i="55" s="1"/>
  <c r="J75" i="55"/>
  <c r="M75" i="55" s="1"/>
  <c r="X74" i="55"/>
  <c r="S74" i="55"/>
  <c r="U74" i="55" s="1"/>
  <c r="Q74" i="55"/>
  <c r="M74" i="55"/>
  <c r="J74" i="55"/>
  <c r="X73" i="55"/>
  <c r="Q73" i="55"/>
  <c r="S73" i="55" s="1"/>
  <c r="U73" i="55" s="1"/>
  <c r="J73" i="55"/>
  <c r="M73" i="55" s="1"/>
  <c r="X72" i="55"/>
  <c r="S72" i="55"/>
  <c r="U72" i="55" s="1"/>
  <c r="Q72" i="55"/>
  <c r="J72" i="55"/>
  <c r="M72" i="55" s="1"/>
  <c r="X71" i="55"/>
  <c r="S71" i="55"/>
  <c r="U71" i="55" s="1"/>
  <c r="Q71" i="55"/>
  <c r="J71" i="55"/>
  <c r="M71" i="55" s="1"/>
  <c r="X70" i="55"/>
  <c r="Q70" i="55"/>
  <c r="S70" i="55" s="1"/>
  <c r="U70" i="55" s="1"/>
  <c r="J70" i="55"/>
  <c r="M70" i="55" s="1"/>
  <c r="X69" i="55"/>
  <c r="Q69" i="55"/>
  <c r="S69" i="55" s="1"/>
  <c r="U69" i="55" s="1"/>
  <c r="J69" i="55"/>
  <c r="M69" i="55" s="1"/>
  <c r="X68" i="55"/>
  <c r="Q68" i="55"/>
  <c r="S68" i="55" s="1"/>
  <c r="U68" i="55" s="1"/>
  <c r="J68" i="55"/>
  <c r="M68" i="55" s="1"/>
  <c r="X67" i="55"/>
  <c r="Q67" i="55"/>
  <c r="S67" i="55" s="1"/>
  <c r="U67" i="55" s="1"/>
  <c r="J67" i="55"/>
  <c r="M67" i="55" s="1"/>
  <c r="X66" i="55"/>
  <c r="S66" i="55"/>
  <c r="U66" i="55" s="1"/>
  <c r="Q66" i="55"/>
  <c r="J66" i="55"/>
  <c r="M66" i="55" s="1"/>
  <c r="X65" i="55"/>
  <c r="Q65" i="55"/>
  <c r="S65" i="55" s="1"/>
  <c r="U65" i="55" s="1"/>
  <c r="M65" i="55"/>
  <c r="J65" i="55"/>
  <c r="X64" i="55"/>
  <c r="S64" i="55"/>
  <c r="U64" i="55" s="1"/>
  <c r="Q64" i="55"/>
  <c r="J64" i="55"/>
  <c r="M64" i="55" s="1"/>
  <c r="X63" i="55"/>
  <c r="Q63" i="55"/>
  <c r="S63" i="55" s="1"/>
  <c r="U63" i="55" s="1"/>
  <c r="J63" i="55"/>
  <c r="M63" i="55" s="1"/>
  <c r="X62" i="55"/>
  <c r="Q62" i="55"/>
  <c r="S62" i="55" s="1"/>
  <c r="U62" i="55" s="1"/>
  <c r="J62" i="55"/>
  <c r="M62" i="55" s="1"/>
  <c r="X61" i="55"/>
  <c r="Q61" i="55"/>
  <c r="S61" i="55" s="1"/>
  <c r="U61" i="55" s="1"/>
  <c r="J61" i="55"/>
  <c r="M61" i="55" s="1"/>
  <c r="X60" i="55"/>
  <c r="U60" i="55"/>
  <c r="Q60" i="55"/>
  <c r="S60" i="55" s="1"/>
  <c r="J60" i="55"/>
  <c r="M60" i="55" s="1"/>
  <c r="X59" i="55"/>
  <c r="Q59" i="55"/>
  <c r="S59" i="55" s="1"/>
  <c r="U59" i="55" s="1"/>
  <c r="J59" i="55"/>
  <c r="M59" i="55" s="1"/>
  <c r="X58" i="55"/>
  <c r="S58" i="55"/>
  <c r="U58" i="55" s="1"/>
  <c r="Q58" i="55"/>
  <c r="M58" i="55"/>
  <c r="J58" i="55"/>
  <c r="X57" i="55"/>
  <c r="Q57" i="55"/>
  <c r="S57" i="55" s="1"/>
  <c r="U57" i="55" s="1"/>
  <c r="J57" i="55"/>
  <c r="M57" i="55" s="1"/>
  <c r="X56" i="55"/>
  <c r="S56" i="55"/>
  <c r="U56" i="55" s="1"/>
  <c r="Q56" i="55"/>
  <c r="J56" i="55"/>
  <c r="M56" i="55" s="1"/>
  <c r="X55" i="55"/>
  <c r="Q55" i="55"/>
  <c r="S55" i="55" s="1"/>
  <c r="U55" i="55" s="1"/>
  <c r="M55" i="55"/>
  <c r="J55" i="55"/>
  <c r="X54" i="55"/>
  <c r="Q54" i="55"/>
  <c r="S54" i="55" s="1"/>
  <c r="U54" i="55" s="1"/>
  <c r="J54" i="55"/>
  <c r="M54" i="55" s="1"/>
  <c r="X53" i="55"/>
  <c r="Q53" i="55"/>
  <c r="S53" i="55" s="1"/>
  <c r="U53" i="55" s="1"/>
  <c r="J53" i="55"/>
  <c r="M53" i="55" s="1"/>
  <c r="X52" i="55"/>
  <c r="S52" i="55"/>
  <c r="U52" i="55" s="1"/>
  <c r="Q52" i="55"/>
  <c r="J52" i="55"/>
  <c r="M52" i="55" s="1"/>
  <c r="X51" i="55"/>
  <c r="Q51" i="55"/>
  <c r="S51" i="55" s="1"/>
  <c r="U51" i="55" s="1"/>
  <c r="J51" i="55"/>
  <c r="M51" i="55" s="1"/>
  <c r="X50" i="55"/>
  <c r="Q50" i="55"/>
  <c r="S50" i="55" s="1"/>
  <c r="U50" i="55" s="1"/>
  <c r="J50" i="55"/>
  <c r="M50" i="55" s="1"/>
  <c r="X49" i="55"/>
  <c r="U49" i="55"/>
  <c r="Q49" i="55"/>
  <c r="S49" i="55" s="1"/>
  <c r="J49" i="55"/>
  <c r="M49" i="55" s="1"/>
  <c r="X48" i="55"/>
  <c r="Q48" i="55"/>
  <c r="S48" i="55" s="1"/>
  <c r="U48" i="55" s="1"/>
  <c r="J48" i="55"/>
  <c r="M48" i="55" s="1"/>
  <c r="X47" i="55"/>
  <c r="U47" i="55"/>
  <c r="S47" i="55"/>
  <c r="Q47" i="55"/>
  <c r="J47" i="55"/>
  <c r="M47" i="55" s="1"/>
  <c r="X46" i="55"/>
  <c r="Q46" i="55"/>
  <c r="S46" i="55" s="1"/>
  <c r="U46" i="55" s="1"/>
  <c r="J46" i="55"/>
  <c r="M46" i="55" s="1"/>
  <c r="X45" i="55"/>
  <c r="S45" i="55"/>
  <c r="U45" i="55" s="1"/>
  <c r="Q45" i="55"/>
  <c r="J45" i="55"/>
  <c r="M45" i="55" s="1"/>
  <c r="X44" i="55"/>
  <c r="S44" i="55"/>
  <c r="U44" i="55" s="1"/>
  <c r="Q44" i="55"/>
  <c r="J44" i="55"/>
  <c r="M44" i="55" s="1"/>
  <c r="X43" i="55"/>
  <c r="Q43" i="55"/>
  <c r="S43" i="55" s="1"/>
  <c r="U43" i="55" s="1"/>
  <c r="J43" i="55"/>
  <c r="M43" i="55" s="1"/>
  <c r="X42" i="55"/>
  <c r="Q42" i="55"/>
  <c r="S42" i="55" s="1"/>
  <c r="U42" i="55" s="1"/>
  <c r="J42" i="55"/>
  <c r="M42" i="55" s="1"/>
  <c r="X41" i="55"/>
  <c r="Q41" i="55"/>
  <c r="S41" i="55" s="1"/>
  <c r="U41" i="55" s="1"/>
  <c r="J41" i="55"/>
  <c r="M41" i="55" s="1"/>
  <c r="X40" i="55"/>
  <c r="Q40" i="55"/>
  <c r="S40" i="55" s="1"/>
  <c r="U40" i="55" s="1"/>
  <c r="J40" i="55"/>
  <c r="M40" i="55" s="1"/>
  <c r="X39" i="55"/>
  <c r="Q39" i="55"/>
  <c r="S39" i="55" s="1"/>
  <c r="U39" i="55" s="1"/>
  <c r="J39" i="55"/>
  <c r="M39" i="55" s="1"/>
  <c r="X38" i="55"/>
  <c r="Q38" i="55"/>
  <c r="S38" i="55" s="1"/>
  <c r="U38" i="55" s="1"/>
  <c r="J38" i="55"/>
  <c r="M38" i="55" s="1"/>
  <c r="X37" i="55"/>
  <c r="S37" i="55"/>
  <c r="U37" i="55" s="1"/>
  <c r="Q37" i="55"/>
  <c r="J37" i="55"/>
  <c r="M37" i="55" s="1"/>
  <c r="X36" i="55"/>
  <c r="Q36" i="55"/>
  <c r="S36" i="55" s="1"/>
  <c r="U36" i="55" s="1"/>
  <c r="J36" i="55"/>
  <c r="M36" i="55" s="1"/>
  <c r="X35" i="55"/>
  <c r="U35" i="55"/>
  <c r="Q35" i="55"/>
  <c r="S35" i="55" s="1"/>
  <c r="J35" i="55"/>
  <c r="M35" i="55" s="1"/>
  <c r="X34" i="55"/>
  <c r="Q34" i="55"/>
  <c r="S34" i="55" s="1"/>
  <c r="U34" i="55" s="1"/>
  <c r="J34" i="55"/>
  <c r="M34" i="55" s="1"/>
  <c r="X33" i="55"/>
  <c r="Q33" i="55"/>
  <c r="S33" i="55" s="1"/>
  <c r="U33" i="55" s="1"/>
  <c r="J33" i="55"/>
  <c r="M33" i="55" s="1"/>
  <c r="X32" i="55"/>
  <c r="Q32" i="55"/>
  <c r="S32" i="55" s="1"/>
  <c r="U32" i="55" s="1"/>
  <c r="J32" i="55"/>
  <c r="M32" i="55" s="1"/>
  <c r="X31" i="55"/>
  <c r="Q31" i="55"/>
  <c r="S31" i="55" s="1"/>
  <c r="U31" i="55" s="1"/>
  <c r="J31" i="55"/>
  <c r="M31" i="55" s="1"/>
  <c r="X30" i="55"/>
  <c r="Q30" i="55"/>
  <c r="S30" i="55" s="1"/>
  <c r="U30" i="55" s="1"/>
  <c r="J30" i="55"/>
  <c r="M30" i="55" s="1"/>
  <c r="X29" i="55"/>
  <c r="Q29" i="55"/>
  <c r="S29" i="55" s="1"/>
  <c r="U29" i="55" s="1"/>
  <c r="J29" i="55"/>
  <c r="M29" i="55" s="1"/>
  <c r="X28" i="55"/>
  <c r="Q28" i="55"/>
  <c r="S28" i="55" s="1"/>
  <c r="U28" i="55" s="1"/>
  <c r="J28" i="55"/>
  <c r="M28" i="55" s="1"/>
  <c r="X27" i="55"/>
  <c r="Q27" i="55"/>
  <c r="S27" i="55" s="1"/>
  <c r="U27" i="55" s="1"/>
  <c r="J27" i="55"/>
  <c r="M27" i="55" s="1"/>
  <c r="X26" i="55"/>
  <c r="S26" i="55"/>
  <c r="U26" i="55" s="1"/>
  <c r="Q26" i="55"/>
  <c r="J26" i="55"/>
  <c r="M26" i="55" s="1"/>
  <c r="X25" i="55"/>
  <c r="Q25" i="55"/>
  <c r="S25" i="55" s="1"/>
  <c r="U25" i="55" s="1"/>
  <c r="J25" i="55"/>
  <c r="M25" i="55" s="1"/>
  <c r="X24" i="55"/>
  <c r="S24" i="55"/>
  <c r="U24" i="55" s="1"/>
  <c r="Q24" i="55"/>
  <c r="J24" i="55"/>
  <c r="M24" i="55" s="1"/>
  <c r="X23" i="55"/>
  <c r="U23" i="55"/>
  <c r="S23" i="55"/>
  <c r="Q23" i="55"/>
  <c r="J23" i="55"/>
  <c r="M23" i="55" s="1"/>
  <c r="X22" i="55"/>
  <c r="Q22" i="55"/>
  <c r="S22" i="55" s="1"/>
  <c r="U22" i="55" s="1"/>
  <c r="J22" i="55"/>
  <c r="M22" i="55" s="1"/>
  <c r="X21" i="55"/>
  <c r="U21" i="55"/>
  <c r="Q21" i="55"/>
  <c r="S21" i="55" s="1"/>
  <c r="J21" i="55"/>
  <c r="M21" i="55" s="1"/>
  <c r="X20" i="55"/>
  <c r="Q20" i="55"/>
  <c r="S20" i="55" s="1"/>
  <c r="U20" i="55" s="1"/>
  <c r="M20" i="55"/>
  <c r="J20" i="55"/>
  <c r="X19" i="55"/>
  <c r="Q19" i="55"/>
  <c r="S19" i="55" s="1"/>
  <c r="U19" i="55" s="1"/>
  <c r="J19" i="55"/>
  <c r="M19" i="55" s="1"/>
  <c r="X18" i="55"/>
  <c r="Q18" i="55"/>
  <c r="S18" i="55" s="1"/>
  <c r="U18" i="55" s="1"/>
  <c r="J18" i="55"/>
  <c r="M18" i="55" s="1"/>
  <c r="X17" i="55"/>
  <c r="Q17" i="55"/>
  <c r="S17" i="55" s="1"/>
  <c r="U17" i="55" s="1"/>
  <c r="J17" i="55"/>
  <c r="M17" i="55" s="1"/>
  <c r="X16" i="55"/>
  <c r="Q16" i="55"/>
  <c r="S16" i="55" s="1"/>
  <c r="U16" i="55" s="1"/>
  <c r="J16" i="55"/>
  <c r="M16" i="55" s="1"/>
  <c r="X15" i="55"/>
  <c r="Q15" i="55"/>
  <c r="S15" i="55" s="1"/>
  <c r="U15" i="55" s="1"/>
  <c r="J15" i="55"/>
  <c r="M15" i="55" s="1"/>
  <c r="X14" i="55"/>
  <c r="Q14" i="55"/>
  <c r="S14" i="55" s="1"/>
  <c r="U14" i="55" s="1"/>
  <c r="J14" i="55"/>
  <c r="M14" i="55" s="1"/>
  <c r="X13" i="55"/>
  <c r="U13" i="55"/>
  <c r="S13" i="55"/>
  <c r="Q13" i="55"/>
  <c r="J13" i="55"/>
  <c r="M13" i="55" s="1"/>
  <c r="X12" i="55"/>
  <c r="Q12" i="55"/>
  <c r="S12" i="55" s="1"/>
  <c r="U12" i="55" s="1"/>
  <c r="J12" i="55"/>
  <c r="M12" i="55" s="1"/>
  <c r="X11" i="55"/>
  <c r="Q11" i="55"/>
  <c r="S11" i="55" s="1"/>
  <c r="U11" i="55" s="1"/>
  <c r="J11" i="55"/>
  <c r="M11" i="55" s="1"/>
  <c r="X10" i="55"/>
  <c r="Q10" i="55"/>
  <c r="S10" i="55" s="1"/>
  <c r="U10" i="55" s="1"/>
  <c r="J10" i="55"/>
  <c r="M10" i="55" s="1"/>
  <c r="X9" i="55"/>
  <c r="Q9" i="55"/>
  <c r="S9" i="55" s="1"/>
  <c r="U9" i="55" s="1"/>
  <c r="M9" i="55"/>
  <c r="J9" i="55"/>
  <c r="X8" i="55"/>
  <c r="Q8" i="55"/>
  <c r="S8" i="55" s="1"/>
  <c r="U8" i="55" s="1"/>
  <c r="J8" i="55"/>
  <c r="M8" i="55" s="1"/>
  <c r="X7" i="55"/>
  <c r="S7" i="55"/>
  <c r="U7" i="55" s="1"/>
  <c r="Q7" i="55"/>
  <c r="J7" i="55"/>
  <c r="M7" i="55" s="1"/>
  <c r="X6" i="55"/>
  <c r="Q6" i="55"/>
  <c r="S6" i="55" s="1"/>
  <c r="U6" i="55" s="1"/>
  <c r="J6" i="55"/>
  <c r="M6" i="55" s="1"/>
  <c r="X5" i="55"/>
  <c r="Q5" i="55"/>
  <c r="S5" i="55" s="1"/>
  <c r="U5" i="55" s="1"/>
  <c r="J5" i="55"/>
  <c r="K212" i="54"/>
  <c r="N25" i="15" s="1"/>
  <c r="K209" i="54"/>
  <c r="R25" i="15" s="1"/>
  <c r="J204" i="54"/>
  <c r="M204" i="54" s="1"/>
  <c r="J203" i="54"/>
  <c r="M203" i="54" s="1"/>
  <c r="J202" i="54"/>
  <c r="M202" i="54" s="1"/>
  <c r="J201" i="54"/>
  <c r="M201" i="54" s="1"/>
  <c r="J200" i="54"/>
  <c r="M200" i="54" s="1"/>
  <c r="J199" i="54"/>
  <c r="M199" i="54" s="1"/>
  <c r="J198" i="54"/>
  <c r="M198" i="54" s="1"/>
  <c r="J197" i="54"/>
  <c r="M197" i="54" s="1"/>
  <c r="J196" i="54"/>
  <c r="M196" i="54" s="1"/>
  <c r="J195" i="54"/>
  <c r="M195" i="54" s="1"/>
  <c r="M194" i="54"/>
  <c r="J194" i="54"/>
  <c r="J193" i="54"/>
  <c r="M193" i="54" s="1"/>
  <c r="J192" i="54"/>
  <c r="M192" i="54" s="1"/>
  <c r="J191" i="54"/>
  <c r="M191" i="54" s="1"/>
  <c r="J190" i="54"/>
  <c r="M190" i="54" s="1"/>
  <c r="J189" i="54"/>
  <c r="M189" i="54" s="1"/>
  <c r="J188" i="54"/>
  <c r="M188" i="54" s="1"/>
  <c r="J187" i="54"/>
  <c r="M187" i="54" s="1"/>
  <c r="J186" i="54"/>
  <c r="M186" i="54" s="1"/>
  <c r="J185" i="54"/>
  <c r="M185" i="54" s="1"/>
  <c r="J184" i="54"/>
  <c r="M184" i="54" s="1"/>
  <c r="J183" i="54"/>
  <c r="M183" i="54" s="1"/>
  <c r="J182" i="54"/>
  <c r="M182" i="54" s="1"/>
  <c r="J181" i="54"/>
  <c r="M181" i="54" s="1"/>
  <c r="J180" i="54"/>
  <c r="M180" i="54" s="1"/>
  <c r="J179" i="54"/>
  <c r="M179" i="54" s="1"/>
  <c r="J178" i="54"/>
  <c r="M178" i="54" s="1"/>
  <c r="J177" i="54"/>
  <c r="M177" i="54" s="1"/>
  <c r="J176" i="54"/>
  <c r="M176" i="54" s="1"/>
  <c r="J175" i="54"/>
  <c r="M175" i="54" s="1"/>
  <c r="J174" i="54"/>
  <c r="M174" i="54" s="1"/>
  <c r="J173" i="54"/>
  <c r="M173" i="54" s="1"/>
  <c r="J172" i="54"/>
  <c r="M172" i="54" s="1"/>
  <c r="J171" i="54"/>
  <c r="M171" i="54" s="1"/>
  <c r="J170" i="54"/>
  <c r="M170" i="54" s="1"/>
  <c r="J169" i="54"/>
  <c r="M169" i="54" s="1"/>
  <c r="M168" i="54"/>
  <c r="J168" i="54"/>
  <c r="J167" i="54"/>
  <c r="M167" i="54" s="1"/>
  <c r="J166" i="54"/>
  <c r="M166" i="54" s="1"/>
  <c r="J165" i="54"/>
  <c r="M165" i="54" s="1"/>
  <c r="J164" i="54"/>
  <c r="M164" i="54" s="1"/>
  <c r="J163" i="54"/>
  <c r="M163" i="54" s="1"/>
  <c r="J162" i="54"/>
  <c r="M162" i="54" s="1"/>
  <c r="J161" i="54"/>
  <c r="M161" i="54" s="1"/>
  <c r="J160" i="54"/>
  <c r="M160" i="54" s="1"/>
  <c r="J159" i="54"/>
  <c r="M159" i="54" s="1"/>
  <c r="J158" i="54"/>
  <c r="M158" i="54" s="1"/>
  <c r="J157" i="54"/>
  <c r="M157" i="54" s="1"/>
  <c r="J156" i="54"/>
  <c r="M156" i="54" s="1"/>
  <c r="J155" i="54"/>
  <c r="M155" i="54" s="1"/>
  <c r="M154" i="54"/>
  <c r="J154" i="54"/>
  <c r="J153" i="54"/>
  <c r="M153" i="54" s="1"/>
  <c r="J152" i="54"/>
  <c r="M152" i="54" s="1"/>
  <c r="J151" i="54"/>
  <c r="M151" i="54" s="1"/>
  <c r="J150" i="54"/>
  <c r="M150" i="54" s="1"/>
  <c r="J149" i="54"/>
  <c r="M149" i="54" s="1"/>
  <c r="J148" i="54"/>
  <c r="M148" i="54" s="1"/>
  <c r="M147" i="54"/>
  <c r="J147" i="54"/>
  <c r="J146" i="54"/>
  <c r="M146" i="54" s="1"/>
  <c r="J145" i="54"/>
  <c r="M145" i="54" s="1"/>
  <c r="J144" i="54"/>
  <c r="M144" i="54" s="1"/>
  <c r="J143" i="54"/>
  <c r="M143" i="54" s="1"/>
  <c r="J142" i="54"/>
  <c r="M142" i="54" s="1"/>
  <c r="J141" i="54"/>
  <c r="M141" i="54" s="1"/>
  <c r="J140" i="54"/>
  <c r="M140" i="54" s="1"/>
  <c r="J139" i="54"/>
  <c r="M139" i="54" s="1"/>
  <c r="J138" i="54"/>
  <c r="M138" i="54" s="1"/>
  <c r="J137" i="54"/>
  <c r="M137" i="54" s="1"/>
  <c r="J136" i="54"/>
  <c r="M136" i="54" s="1"/>
  <c r="J135" i="54"/>
  <c r="M135" i="54" s="1"/>
  <c r="J134" i="54"/>
  <c r="M134" i="54" s="1"/>
  <c r="J133" i="54"/>
  <c r="M133" i="54" s="1"/>
  <c r="J132" i="54"/>
  <c r="M132" i="54" s="1"/>
  <c r="J131" i="54"/>
  <c r="M131" i="54" s="1"/>
  <c r="J130" i="54"/>
  <c r="M130" i="54" s="1"/>
  <c r="J129" i="54"/>
  <c r="M129" i="54" s="1"/>
  <c r="J128" i="54"/>
  <c r="M128" i="54" s="1"/>
  <c r="J127" i="54"/>
  <c r="M127" i="54" s="1"/>
  <c r="J126" i="54"/>
  <c r="M126" i="54" s="1"/>
  <c r="J125" i="54"/>
  <c r="M125" i="54" s="1"/>
  <c r="J124" i="54"/>
  <c r="M124" i="54" s="1"/>
  <c r="J123" i="54"/>
  <c r="M123" i="54" s="1"/>
  <c r="J122" i="54"/>
  <c r="M122" i="54" s="1"/>
  <c r="J121" i="54"/>
  <c r="M121" i="54" s="1"/>
  <c r="J120" i="54"/>
  <c r="M120" i="54" s="1"/>
  <c r="J119" i="54"/>
  <c r="M119" i="54" s="1"/>
  <c r="J118" i="54"/>
  <c r="M118" i="54" s="1"/>
  <c r="J117" i="54"/>
  <c r="M117" i="54" s="1"/>
  <c r="J116" i="54"/>
  <c r="M116" i="54" s="1"/>
  <c r="J115" i="54"/>
  <c r="M115" i="54" s="1"/>
  <c r="J114" i="54"/>
  <c r="M114" i="54" s="1"/>
  <c r="J113" i="54"/>
  <c r="M113" i="54" s="1"/>
  <c r="J112" i="54"/>
  <c r="M112" i="54" s="1"/>
  <c r="J111" i="54"/>
  <c r="M111" i="54" s="1"/>
  <c r="J110" i="54"/>
  <c r="M110" i="54" s="1"/>
  <c r="J109" i="54"/>
  <c r="M109" i="54" s="1"/>
  <c r="J108" i="54"/>
  <c r="M108" i="54" s="1"/>
  <c r="J107" i="54"/>
  <c r="M107" i="54" s="1"/>
  <c r="J106" i="54"/>
  <c r="M106" i="54" s="1"/>
  <c r="Z105" i="54"/>
  <c r="J105" i="54"/>
  <c r="M105" i="54" s="1"/>
  <c r="X104" i="54"/>
  <c r="Q104" i="54"/>
  <c r="S104" i="54" s="1"/>
  <c r="U104" i="54" s="1"/>
  <c r="J104" i="54"/>
  <c r="M104" i="54" s="1"/>
  <c r="X103" i="54"/>
  <c r="Q103" i="54"/>
  <c r="S103" i="54" s="1"/>
  <c r="U103" i="54" s="1"/>
  <c r="J103" i="54"/>
  <c r="M103" i="54" s="1"/>
  <c r="X102" i="54"/>
  <c r="Q102" i="54"/>
  <c r="S102" i="54" s="1"/>
  <c r="U102" i="54" s="1"/>
  <c r="J102" i="54"/>
  <c r="M102" i="54" s="1"/>
  <c r="X101" i="54"/>
  <c r="Q101" i="54"/>
  <c r="S101" i="54" s="1"/>
  <c r="U101" i="54" s="1"/>
  <c r="J101" i="54"/>
  <c r="M101" i="54" s="1"/>
  <c r="X100" i="54"/>
  <c r="Q100" i="54"/>
  <c r="S100" i="54" s="1"/>
  <c r="U100" i="54" s="1"/>
  <c r="J100" i="54"/>
  <c r="M100" i="54" s="1"/>
  <c r="X99" i="54"/>
  <c r="Q99" i="54"/>
  <c r="S99" i="54" s="1"/>
  <c r="U99" i="54" s="1"/>
  <c r="J99" i="54"/>
  <c r="M99" i="54" s="1"/>
  <c r="X98" i="54"/>
  <c r="Q98" i="54"/>
  <c r="S98" i="54" s="1"/>
  <c r="U98" i="54" s="1"/>
  <c r="J98" i="54"/>
  <c r="M98" i="54" s="1"/>
  <c r="X97" i="54"/>
  <c r="Q97" i="54"/>
  <c r="S97" i="54" s="1"/>
  <c r="U97" i="54" s="1"/>
  <c r="J97" i="54"/>
  <c r="M97" i="54" s="1"/>
  <c r="X96" i="54"/>
  <c r="Q96" i="54"/>
  <c r="S96" i="54" s="1"/>
  <c r="U96" i="54" s="1"/>
  <c r="J96" i="54"/>
  <c r="M96" i="54" s="1"/>
  <c r="X95" i="54"/>
  <c r="U95" i="54"/>
  <c r="Q95" i="54"/>
  <c r="S95" i="54" s="1"/>
  <c r="J95" i="54"/>
  <c r="M95" i="54" s="1"/>
  <c r="X94" i="54"/>
  <c r="Q94" i="54"/>
  <c r="S94" i="54" s="1"/>
  <c r="U94" i="54" s="1"/>
  <c r="J94" i="54"/>
  <c r="M94" i="54" s="1"/>
  <c r="X93" i="54"/>
  <c r="Q93" i="54"/>
  <c r="S93" i="54" s="1"/>
  <c r="U93" i="54" s="1"/>
  <c r="M93" i="54"/>
  <c r="J93" i="54"/>
  <c r="X92" i="54"/>
  <c r="Q92" i="54"/>
  <c r="S92" i="54" s="1"/>
  <c r="U92" i="54" s="1"/>
  <c r="J92" i="54"/>
  <c r="M92" i="54" s="1"/>
  <c r="X91" i="54"/>
  <c r="U91" i="54"/>
  <c r="S91" i="54"/>
  <c r="Q91" i="54"/>
  <c r="J91" i="54"/>
  <c r="M91" i="54" s="1"/>
  <c r="X90" i="54"/>
  <c r="Q90" i="54"/>
  <c r="S90" i="54" s="1"/>
  <c r="U90" i="54" s="1"/>
  <c r="J90" i="54"/>
  <c r="M90" i="54" s="1"/>
  <c r="X89" i="54"/>
  <c r="Q89" i="54"/>
  <c r="S89" i="54" s="1"/>
  <c r="U89" i="54" s="1"/>
  <c r="J89" i="54"/>
  <c r="M89" i="54" s="1"/>
  <c r="X88" i="54"/>
  <c r="S88" i="54"/>
  <c r="U88" i="54" s="1"/>
  <c r="Q88" i="54"/>
  <c r="J88" i="54"/>
  <c r="M88" i="54" s="1"/>
  <c r="X87" i="54"/>
  <c r="U87" i="54"/>
  <c r="Q87" i="54"/>
  <c r="S87" i="54" s="1"/>
  <c r="J87" i="54"/>
  <c r="M87" i="54" s="1"/>
  <c r="X86" i="54"/>
  <c r="S86" i="54"/>
  <c r="U86" i="54" s="1"/>
  <c r="Q86" i="54"/>
  <c r="J86" i="54"/>
  <c r="M86" i="54" s="1"/>
  <c r="X85" i="54"/>
  <c r="U85" i="54"/>
  <c r="Q85" i="54"/>
  <c r="S85" i="54" s="1"/>
  <c r="J85" i="54"/>
  <c r="M85" i="54" s="1"/>
  <c r="X84" i="54"/>
  <c r="S84" i="54"/>
  <c r="U84" i="54" s="1"/>
  <c r="Q84" i="54"/>
  <c r="J84" i="54"/>
  <c r="M84" i="54" s="1"/>
  <c r="X83" i="54"/>
  <c r="U83" i="54"/>
  <c r="Q83" i="54"/>
  <c r="S83" i="54" s="1"/>
  <c r="J83" i="54"/>
  <c r="M83" i="54" s="1"/>
  <c r="X82" i="54"/>
  <c r="Q82" i="54"/>
  <c r="S82" i="54" s="1"/>
  <c r="U82" i="54" s="1"/>
  <c r="J82" i="54"/>
  <c r="M82" i="54" s="1"/>
  <c r="X81" i="54"/>
  <c r="Q81" i="54"/>
  <c r="S81" i="54" s="1"/>
  <c r="U81" i="54" s="1"/>
  <c r="J81" i="54"/>
  <c r="M81" i="54" s="1"/>
  <c r="X80" i="54"/>
  <c r="Q80" i="54"/>
  <c r="S80" i="54" s="1"/>
  <c r="U80" i="54" s="1"/>
  <c r="J80" i="54"/>
  <c r="M80" i="54" s="1"/>
  <c r="X79" i="54"/>
  <c r="Q79" i="54"/>
  <c r="S79" i="54" s="1"/>
  <c r="U79" i="54" s="1"/>
  <c r="J79" i="54"/>
  <c r="M79" i="54" s="1"/>
  <c r="X78" i="54"/>
  <c r="Q78" i="54"/>
  <c r="S78" i="54" s="1"/>
  <c r="U78" i="54" s="1"/>
  <c r="J78" i="54"/>
  <c r="M78" i="54" s="1"/>
  <c r="X77" i="54"/>
  <c r="Q77" i="54"/>
  <c r="S77" i="54" s="1"/>
  <c r="U77" i="54" s="1"/>
  <c r="M77" i="54"/>
  <c r="J77" i="54"/>
  <c r="X76" i="54"/>
  <c r="Q76" i="54"/>
  <c r="S76" i="54" s="1"/>
  <c r="U76" i="54" s="1"/>
  <c r="J76" i="54"/>
  <c r="M76" i="54" s="1"/>
  <c r="X75" i="54"/>
  <c r="U75" i="54"/>
  <c r="S75" i="54"/>
  <c r="Q75" i="54"/>
  <c r="J75" i="54"/>
  <c r="M75" i="54" s="1"/>
  <c r="X74" i="54"/>
  <c r="Q74" i="54"/>
  <c r="S74" i="54" s="1"/>
  <c r="U74" i="54" s="1"/>
  <c r="J74" i="54"/>
  <c r="M74" i="54" s="1"/>
  <c r="X73" i="54"/>
  <c r="Q73" i="54"/>
  <c r="S73" i="54" s="1"/>
  <c r="U73" i="54" s="1"/>
  <c r="J73" i="54"/>
  <c r="M73" i="54" s="1"/>
  <c r="X72" i="54"/>
  <c r="Q72" i="54"/>
  <c r="S72" i="54" s="1"/>
  <c r="U72" i="54" s="1"/>
  <c r="J72" i="54"/>
  <c r="M72" i="54" s="1"/>
  <c r="X71" i="54"/>
  <c r="Q71" i="54"/>
  <c r="S71" i="54" s="1"/>
  <c r="U71" i="54" s="1"/>
  <c r="J71" i="54"/>
  <c r="M71" i="54" s="1"/>
  <c r="X70" i="54"/>
  <c r="Q70" i="54"/>
  <c r="S70" i="54" s="1"/>
  <c r="U70" i="54" s="1"/>
  <c r="J70" i="54"/>
  <c r="M70" i="54" s="1"/>
  <c r="X69" i="54"/>
  <c r="U69" i="54"/>
  <c r="Q69" i="54"/>
  <c r="S69" i="54" s="1"/>
  <c r="J69" i="54"/>
  <c r="M69" i="54" s="1"/>
  <c r="X68" i="54"/>
  <c r="Q68" i="54"/>
  <c r="S68" i="54" s="1"/>
  <c r="U68" i="54" s="1"/>
  <c r="J68" i="54"/>
  <c r="M68" i="54" s="1"/>
  <c r="X67" i="54"/>
  <c r="S67" i="54"/>
  <c r="U67" i="54" s="1"/>
  <c r="Q67" i="54"/>
  <c r="J67" i="54"/>
  <c r="M67" i="54" s="1"/>
  <c r="X66" i="54"/>
  <c r="Q66" i="54"/>
  <c r="S66" i="54" s="1"/>
  <c r="U66" i="54" s="1"/>
  <c r="J66" i="54"/>
  <c r="M66" i="54" s="1"/>
  <c r="X65" i="54"/>
  <c r="Q65" i="54"/>
  <c r="S65" i="54" s="1"/>
  <c r="U65" i="54" s="1"/>
  <c r="J65" i="54"/>
  <c r="M65" i="54" s="1"/>
  <c r="X64" i="54"/>
  <c r="Q64" i="54"/>
  <c r="S64" i="54" s="1"/>
  <c r="U64" i="54" s="1"/>
  <c r="M64" i="54"/>
  <c r="J64" i="54"/>
  <c r="X63" i="54"/>
  <c r="Q63" i="54"/>
  <c r="S63" i="54" s="1"/>
  <c r="U63" i="54" s="1"/>
  <c r="J63" i="54"/>
  <c r="M63" i="54" s="1"/>
  <c r="X62" i="54"/>
  <c r="S62" i="54"/>
  <c r="U62" i="54" s="1"/>
  <c r="Q62" i="54"/>
  <c r="J62" i="54"/>
  <c r="M62" i="54" s="1"/>
  <c r="X61" i="54"/>
  <c r="Q61" i="54"/>
  <c r="S61" i="54" s="1"/>
  <c r="U61" i="54" s="1"/>
  <c r="J61" i="54"/>
  <c r="M61" i="54" s="1"/>
  <c r="X60" i="54"/>
  <c r="Q60" i="54"/>
  <c r="S60" i="54" s="1"/>
  <c r="U60" i="54" s="1"/>
  <c r="J60" i="54"/>
  <c r="M60" i="54" s="1"/>
  <c r="X59" i="54"/>
  <c r="S59" i="54"/>
  <c r="U59" i="54" s="1"/>
  <c r="Q59" i="54"/>
  <c r="J59" i="54"/>
  <c r="M59" i="54" s="1"/>
  <c r="X58" i="54"/>
  <c r="Q58" i="54"/>
  <c r="S58" i="54" s="1"/>
  <c r="U58" i="54" s="1"/>
  <c r="M58" i="54"/>
  <c r="J58" i="54"/>
  <c r="X57" i="54"/>
  <c r="Q57" i="54"/>
  <c r="S57" i="54" s="1"/>
  <c r="U57" i="54" s="1"/>
  <c r="J57" i="54"/>
  <c r="M57" i="54" s="1"/>
  <c r="X56" i="54"/>
  <c r="Q56" i="54"/>
  <c r="S56" i="54" s="1"/>
  <c r="U56" i="54" s="1"/>
  <c r="J56" i="54"/>
  <c r="M56" i="54" s="1"/>
  <c r="X55" i="54"/>
  <c r="Q55" i="54"/>
  <c r="S55" i="54" s="1"/>
  <c r="U55" i="54" s="1"/>
  <c r="J55" i="54"/>
  <c r="M55" i="54" s="1"/>
  <c r="X54" i="54"/>
  <c r="Q54" i="54"/>
  <c r="S54" i="54" s="1"/>
  <c r="U54" i="54" s="1"/>
  <c r="J54" i="54"/>
  <c r="M54" i="54" s="1"/>
  <c r="X53" i="54"/>
  <c r="Q53" i="54"/>
  <c r="S53" i="54" s="1"/>
  <c r="U53" i="54" s="1"/>
  <c r="J53" i="54"/>
  <c r="M53" i="54" s="1"/>
  <c r="X52" i="54"/>
  <c r="Q52" i="54"/>
  <c r="S52" i="54" s="1"/>
  <c r="U52" i="54" s="1"/>
  <c r="J52" i="54"/>
  <c r="M52" i="54" s="1"/>
  <c r="X51" i="54"/>
  <c r="S51" i="54"/>
  <c r="U51" i="54" s="1"/>
  <c r="Q51" i="54"/>
  <c r="J51" i="54"/>
  <c r="M51" i="54" s="1"/>
  <c r="X50" i="54"/>
  <c r="Q50" i="54"/>
  <c r="S50" i="54" s="1"/>
  <c r="U50" i="54" s="1"/>
  <c r="J50" i="54"/>
  <c r="M50" i="54" s="1"/>
  <c r="X49" i="54"/>
  <c r="Q49" i="54"/>
  <c r="S49" i="54" s="1"/>
  <c r="U49" i="54" s="1"/>
  <c r="J49" i="54"/>
  <c r="M49" i="54" s="1"/>
  <c r="X48" i="54"/>
  <c r="Q48" i="54"/>
  <c r="S48" i="54" s="1"/>
  <c r="U48" i="54" s="1"/>
  <c r="J48" i="54"/>
  <c r="M48" i="54" s="1"/>
  <c r="X47" i="54"/>
  <c r="Q47" i="54"/>
  <c r="S47" i="54" s="1"/>
  <c r="U47" i="54" s="1"/>
  <c r="J47" i="54"/>
  <c r="M47" i="54" s="1"/>
  <c r="X46" i="54"/>
  <c r="Q46" i="54"/>
  <c r="S46" i="54" s="1"/>
  <c r="U46" i="54" s="1"/>
  <c r="J46" i="54"/>
  <c r="M46" i="54" s="1"/>
  <c r="X45" i="54"/>
  <c r="Q45" i="54"/>
  <c r="S45" i="54" s="1"/>
  <c r="U45" i="54" s="1"/>
  <c r="J45" i="54"/>
  <c r="M45" i="54" s="1"/>
  <c r="X44" i="54"/>
  <c r="Q44" i="54"/>
  <c r="S44" i="54" s="1"/>
  <c r="U44" i="54" s="1"/>
  <c r="J44" i="54"/>
  <c r="M44" i="54" s="1"/>
  <c r="X43" i="54"/>
  <c r="Q43" i="54"/>
  <c r="S43" i="54" s="1"/>
  <c r="U43" i="54" s="1"/>
  <c r="J43" i="54"/>
  <c r="M43" i="54" s="1"/>
  <c r="X42" i="54"/>
  <c r="Q42" i="54"/>
  <c r="S42" i="54" s="1"/>
  <c r="U42" i="54" s="1"/>
  <c r="J42" i="54"/>
  <c r="M42" i="54" s="1"/>
  <c r="X41" i="54"/>
  <c r="Q41" i="54"/>
  <c r="S41" i="54" s="1"/>
  <c r="U41" i="54" s="1"/>
  <c r="J41" i="54"/>
  <c r="M41" i="54" s="1"/>
  <c r="X40" i="54"/>
  <c r="Q40" i="54"/>
  <c r="S40" i="54" s="1"/>
  <c r="U40" i="54" s="1"/>
  <c r="J40" i="54"/>
  <c r="M40" i="54" s="1"/>
  <c r="X39" i="54"/>
  <c r="Q39" i="54"/>
  <c r="S39" i="54" s="1"/>
  <c r="U39" i="54" s="1"/>
  <c r="J39" i="54"/>
  <c r="M39" i="54" s="1"/>
  <c r="X38" i="54"/>
  <c r="Q38" i="54"/>
  <c r="S38" i="54" s="1"/>
  <c r="U38" i="54" s="1"/>
  <c r="J38" i="54"/>
  <c r="M38" i="54" s="1"/>
  <c r="X37" i="54"/>
  <c r="Q37" i="54"/>
  <c r="S37" i="54" s="1"/>
  <c r="U37" i="54" s="1"/>
  <c r="J37" i="54"/>
  <c r="M37" i="54" s="1"/>
  <c r="X36" i="54"/>
  <c r="Q36" i="54"/>
  <c r="S36" i="54" s="1"/>
  <c r="U36" i="54" s="1"/>
  <c r="J36" i="54"/>
  <c r="M36" i="54" s="1"/>
  <c r="X35" i="54"/>
  <c r="Q35" i="54"/>
  <c r="S35" i="54" s="1"/>
  <c r="U35" i="54" s="1"/>
  <c r="J35" i="54"/>
  <c r="M35" i="54" s="1"/>
  <c r="X34" i="54"/>
  <c r="Q34" i="54"/>
  <c r="S34" i="54" s="1"/>
  <c r="U34" i="54" s="1"/>
  <c r="J34" i="54"/>
  <c r="M34" i="54" s="1"/>
  <c r="X33" i="54"/>
  <c r="Q33" i="54"/>
  <c r="S33" i="54" s="1"/>
  <c r="U33" i="54" s="1"/>
  <c r="J33" i="54"/>
  <c r="M33" i="54" s="1"/>
  <c r="X32" i="54"/>
  <c r="Q32" i="54"/>
  <c r="S32" i="54" s="1"/>
  <c r="U32" i="54" s="1"/>
  <c r="J32" i="54"/>
  <c r="M32" i="54" s="1"/>
  <c r="X31" i="54"/>
  <c r="Q31" i="54"/>
  <c r="S31" i="54" s="1"/>
  <c r="U31" i="54" s="1"/>
  <c r="J31" i="54"/>
  <c r="M31" i="54" s="1"/>
  <c r="X30" i="54"/>
  <c r="Q30" i="54"/>
  <c r="S30" i="54" s="1"/>
  <c r="U30" i="54" s="1"/>
  <c r="J30" i="54"/>
  <c r="M30" i="54" s="1"/>
  <c r="X29" i="54"/>
  <c r="Q29" i="54"/>
  <c r="S29" i="54" s="1"/>
  <c r="U29" i="54" s="1"/>
  <c r="J29" i="54"/>
  <c r="M29" i="54" s="1"/>
  <c r="X28" i="54"/>
  <c r="Q28" i="54"/>
  <c r="S28" i="54" s="1"/>
  <c r="U28" i="54" s="1"/>
  <c r="J28" i="54"/>
  <c r="M28" i="54" s="1"/>
  <c r="X27" i="54"/>
  <c r="Q27" i="54"/>
  <c r="S27" i="54" s="1"/>
  <c r="U27" i="54" s="1"/>
  <c r="J27" i="54"/>
  <c r="M27" i="54" s="1"/>
  <c r="X26" i="54"/>
  <c r="Q26" i="54"/>
  <c r="S26" i="54" s="1"/>
  <c r="U26" i="54" s="1"/>
  <c r="J26" i="54"/>
  <c r="M26" i="54" s="1"/>
  <c r="X25" i="54"/>
  <c r="S25" i="54"/>
  <c r="U25" i="54" s="1"/>
  <c r="Q25" i="54"/>
  <c r="J25" i="54"/>
  <c r="M25" i="54" s="1"/>
  <c r="X24" i="54"/>
  <c r="Q24" i="54"/>
  <c r="S24" i="54" s="1"/>
  <c r="U24" i="54" s="1"/>
  <c r="J24" i="54"/>
  <c r="M24" i="54" s="1"/>
  <c r="X23" i="54"/>
  <c r="Q23" i="54"/>
  <c r="S23" i="54" s="1"/>
  <c r="U23" i="54" s="1"/>
  <c r="J23" i="54"/>
  <c r="M23" i="54" s="1"/>
  <c r="X22" i="54"/>
  <c r="S22" i="54"/>
  <c r="U22" i="54" s="1"/>
  <c r="Q22" i="54"/>
  <c r="J22" i="54"/>
  <c r="M22" i="54" s="1"/>
  <c r="X21" i="54"/>
  <c r="S21" i="54"/>
  <c r="U21" i="54" s="1"/>
  <c r="Q21" i="54"/>
  <c r="J21" i="54"/>
  <c r="M21" i="54" s="1"/>
  <c r="X20" i="54"/>
  <c r="S20" i="54"/>
  <c r="U20" i="54" s="1"/>
  <c r="Q20" i="54"/>
  <c r="J20" i="54"/>
  <c r="M20" i="54" s="1"/>
  <c r="X19" i="54"/>
  <c r="Q19" i="54"/>
  <c r="S19" i="54" s="1"/>
  <c r="U19" i="54" s="1"/>
  <c r="J19" i="54"/>
  <c r="M19" i="54" s="1"/>
  <c r="X18" i="54"/>
  <c r="Q18" i="54"/>
  <c r="S18" i="54" s="1"/>
  <c r="U18" i="54" s="1"/>
  <c r="J18" i="54"/>
  <c r="M18" i="54" s="1"/>
  <c r="X17" i="54"/>
  <c r="Q17" i="54"/>
  <c r="S17" i="54" s="1"/>
  <c r="U17" i="54" s="1"/>
  <c r="J17" i="54"/>
  <c r="M17" i="54" s="1"/>
  <c r="X16" i="54"/>
  <c r="Q16" i="54"/>
  <c r="S16" i="54" s="1"/>
  <c r="U16" i="54" s="1"/>
  <c r="J16" i="54"/>
  <c r="M16" i="54" s="1"/>
  <c r="X15" i="54"/>
  <c r="Q15" i="54"/>
  <c r="S15" i="54" s="1"/>
  <c r="U15" i="54" s="1"/>
  <c r="J15" i="54"/>
  <c r="M15" i="54" s="1"/>
  <c r="X14" i="54"/>
  <c r="S14" i="54"/>
  <c r="U14" i="54" s="1"/>
  <c r="Q14" i="54"/>
  <c r="J14" i="54"/>
  <c r="M14" i="54" s="1"/>
  <c r="X13" i="54"/>
  <c r="Q13" i="54"/>
  <c r="S13" i="54" s="1"/>
  <c r="U13" i="54" s="1"/>
  <c r="J13" i="54"/>
  <c r="M13" i="54" s="1"/>
  <c r="X12" i="54"/>
  <c r="Q12" i="54"/>
  <c r="S12" i="54" s="1"/>
  <c r="U12" i="54" s="1"/>
  <c r="J12" i="54"/>
  <c r="M12" i="54" s="1"/>
  <c r="X11" i="54"/>
  <c r="Q11" i="54"/>
  <c r="S11" i="54" s="1"/>
  <c r="U11" i="54" s="1"/>
  <c r="M11" i="54"/>
  <c r="J11" i="54"/>
  <c r="X10" i="54"/>
  <c r="Q10" i="54"/>
  <c r="S10" i="54" s="1"/>
  <c r="U10" i="54" s="1"/>
  <c r="J10" i="54"/>
  <c r="M10" i="54" s="1"/>
  <c r="X9" i="54"/>
  <c r="S9" i="54"/>
  <c r="U9" i="54" s="1"/>
  <c r="Q9" i="54"/>
  <c r="J9" i="54"/>
  <c r="M9" i="54" s="1"/>
  <c r="X8" i="54"/>
  <c r="Q8" i="54"/>
  <c r="S8" i="54" s="1"/>
  <c r="U8" i="54" s="1"/>
  <c r="J8" i="54"/>
  <c r="M8" i="54" s="1"/>
  <c r="X7" i="54"/>
  <c r="Q7" i="54"/>
  <c r="S7" i="54" s="1"/>
  <c r="U7" i="54" s="1"/>
  <c r="J7" i="54"/>
  <c r="M7" i="54" s="1"/>
  <c r="X6" i="54"/>
  <c r="S6" i="54"/>
  <c r="U6" i="54" s="1"/>
  <c r="Q6" i="54"/>
  <c r="J6" i="54"/>
  <c r="M6" i="54" s="1"/>
  <c r="X5" i="54"/>
  <c r="Q5" i="54"/>
  <c r="S5" i="54" s="1"/>
  <c r="U5" i="54" s="1"/>
  <c r="J5" i="54"/>
  <c r="K212" i="53"/>
  <c r="N24" i="15" s="1"/>
  <c r="K209" i="53"/>
  <c r="R24" i="15" s="1"/>
  <c r="J204" i="53"/>
  <c r="M204" i="53" s="1"/>
  <c r="J203" i="53"/>
  <c r="M203" i="53" s="1"/>
  <c r="J202" i="53"/>
  <c r="M202" i="53" s="1"/>
  <c r="J201" i="53"/>
  <c r="M201" i="53" s="1"/>
  <c r="J200" i="53"/>
  <c r="M200" i="53" s="1"/>
  <c r="J199" i="53"/>
  <c r="M199" i="53" s="1"/>
  <c r="J198" i="53"/>
  <c r="M198" i="53" s="1"/>
  <c r="J197" i="53"/>
  <c r="M197" i="53" s="1"/>
  <c r="J196" i="53"/>
  <c r="M196" i="53" s="1"/>
  <c r="J195" i="53"/>
  <c r="M195" i="53" s="1"/>
  <c r="J194" i="53"/>
  <c r="M194" i="53" s="1"/>
  <c r="J193" i="53"/>
  <c r="M193" i="53" s="1"/>
  <c r="J192" i="53"/>
  <c r="M192" i="53" s="1"/>
  <c r="J191" i="53"/>
  <c r="M191" i="53" s="1"/>
  <c r="J190" i="53"/>
  <c r="M190" i="53" s="1"/>
  <c r="J189" i="53"/>
  <c r="M189" i="53" s="1"/>
  <c r="J188" i="53"/>
  <c r="M188" i="53" s="1"/>
  <c r="J187" i="53"/>
  <c r="M187" i="53" s="1"/>
  <c r="J186" i="53"/>
  <c r="M186" i="53" s="1"/>
  <c r="J185" i="53"/>
  <c r="M185" i="53" s="1"/>
  <c r="J184" i="53"/>
  <c r="M184" i="53" s="1"/>
  <c r="J183" i="53"/>
  <c r="M183" i="53" s="1"/>
  <c r="J182" i="53"/>
  <c r="M182" i="53" s="1"/>
  <c r="J181" i="53"/>
  <c r="M181" i="53" s="1"/>
  <c r="J180" i="53"/>
  <c r="M180" i="53" s="1"/>
  <c r="J179" i="53"/>
  <c r="M179" i="53" s="1"/>
  <c r="J178" i="53"/>
  <c r="M178" i="53" s="1"/>
  <c r="J177" i="53"/>
  <c r="M177" i="53" s="1"/>
  <c r="J176" i="53"/>
  <c r="M176" i="53" s="1"/>
  <c r="J175" i="53"/>
  <c r="M175" i="53" s="1"/>
  <c r="J174" i="53"/>
  <c r="M174" i="53" s="1"/>
  <c r="J173" i="53"/>
  <c r="M173" i="53" s="1"/>
  <c r="J172" i="53"/>
  <c r="M172" i="53" s="1"/>
  <c r="J171" i="53"/>
  <c r="M171" i="53" s="1"/>
  <c r="J170" i="53"/>
  <c r="M170" i="53" s="1"/>
  <c r="J169" i="53"/>
  <c r="M169" i="53" s="1"/>
  <c r="J168" i="53"/>
  <c r="M168" i="53" s="1"/>
  <c r="J167" i="53"/>
  <c r="M167" i="53" s="1"/>
  <c r="J166" i="53"/>
  <c r="M166" i="53" s="1"/>
  <c r="J165" i="53"/>
  <c r="M165" i="53" s="1"/>
  <c r="J164" i="53"/>
  <c r="M164" i="53" s="1"/>
  <c r="J163" i="53"/>
  <c r="M163" i="53" s="1"/>
  <c r="J162" i="53"/>
  <c r="M162" i="53" s="1"/>
  <c r="J161" i="53"/>
  <c r="M161" i="53" s="1"/>
  <c r="J160" i="53"/>
  <c r="M160" i="53" s="1"/>
  <c r="J159" i="53"/>
  <c r="M159" i="53" s="1"/>
  <c r="J158" i="53"/>
  <c r="M158" i="53" s="1"/>
  <c r="J157" i="53"/>
  <c r="M157" i="53" s="1"/>
  <c r="J156" i="53"/>
  <c r="M156" i="53" s="1"/>
  <c r="J155" i="53"/>
  <c r="M155" i="53" s="1"/>
  <c r="J154" i="53"/>
  <c r="M154" i="53" s="1"/>
  <c r="J153" i="53"/>
  <c r="M153" i="53" s="1"/>
  <c r="J152" i="53"/>
  <c r="M152" i="53" s="1"/>
  <c r="J151" i="53"/>
  <c r="M151" i="53" s="1"/>
  <c r="J150" i="53"/>
  <c r="M150" i="53" s="1"/>
  <c r="J149" i="53"/>
  <c r="M149" i="53" s="1"/>
  <c r="J148" i="53"/>
  <c r="M148" i="53" s="1"/>
  <c r="J147" i="53"/>
  <c r="M147" i="53" s="1"/>
  <c r="J146" i="53"/>
  <c r="M146" i="53" s="1"/>
  <c r="J145" i="53"/>
  <c r="M145" i="53" s="1"/>
  <c r="J144" i="53"/>
  <c r="M144" i="53" s="1"/>
  <c r="J143" i="53"/>
  <c r="M143" i="53" s="1"/>
  <c r="M142" i="53"/>
  <c r="J142" i="53"/>
  <c r="J141" i="53"/>
  <c r="M141" i="53" s="1"/>
  <c r="J140" i="53"/>
  <c r="M140" i="53" s="1"/>
  <c r="J139" i="53"/>
  <c r="M139" i="53" s="1"/>
  <c r="J138" i="53"/>
  <c r="M138" i="53" s="1"/>
  <c r="J137" i="53"/>
  <c r="M137" i="53" s="1"/>
  <c r="J136" i="53"/>
  <c r="M136" i="53" s="1"/>
  <c r="J135" i="53"/>
  <c r="M135" i="53" s="1"/>
  <c r="J134" i="53"/>
  <c r="M134" i="53" s="1"/>
  <c r="J133" i="53"/>
  <c r="M133" i="53" s="1"/>
  <c r="J132" i="53"/>
  <c r="M132" i="53" s="1"/>
  <c r="J131" i="53"/>
  <c r="M131" i="53" s="1"/>
  <c r="J130" i="53"/>
  <c r="M130" i="53" s="1"/>
  <c r="J129" i="53"/>
  <c r="M129" i="53" s="1"/>
  <c r="J128" i="53"/>
  <c r="M128" i="53" s="1"/>
  <c r="J127" i="53"/>
  <c r="M127" i="53" s="1"/>
  <c r="J126" i="53"/>
  <c r="M126" i="53" s="1"/>
  <c r="J125" i="53"/>
  <c r="M125" i="53" s="1"/>
  <c r="J124" i="53"/>
  <c r="M124" i="53" s="1"/>
  <c r="J123" i="53"/>
  <c r="M123" i="53" s="1"/>
  <c r="J122" i="53"/>
  <c r="M122" i="53" s="1"/>
  <c r="J121" i="53"/>
  <c r="M121" i="53" s="1"/>
  <c r="J120" i="53"/>
  <c r="M120" i="53" s="1"/>
  <c r="J119" i="53"/>
  <c r="M119" i="53" s="1"/>
  <c r="J118" i="53"/>
  <c r="M118" i="53" s="1"/>
  <c r="J117" i="53"/>
  <c r="M117" i="53" s="1"/>
  <c r="J116" i="53"/>
  <c r="M116" i="53" s="1"/>
  <c r="J115" i="53"/>
  <c r="M115" i="53" s="1"/>
  <c r="J114" i="53"/>
  <c r="M114" i="53" s="1"/>
  <c r="J113" i="53"/>
  <c r="M113" i="53" s="1"/>
  <c r="J112" i="53"/>
  <c r="M112" i="53" s="1"/>
  <c r="J111" i="53"/>
  <c r="M111" i="53" s="1"/>
  <c r="J110" i="53"/>
  <c r="M110" i="53" s="1"/>
  <c r="J109" i="53"/>
  <c r="M109" i="53" s="1"/>
  <c r="J108" i="53"/>
  <c r="M108" i="53" s="1"/>
  <c r="J107" i="53"/>
  <c r="M107" i="53" s="1"/>
  <c r="J106" i="53"/>
  <c r="M106" i="53" s="1"/>
  <c r="Z105" i="53"/>
  <c r="J105" i="53"/>
  <c r="M105" i="53" s="1"/>
  <c r="X104" i="53"/>
  <c r="Q104" i="53"/>
  <c r="S104" i="53" s="1"/>
  <c r="U104" i="53" s="1"/>
  <c r="J104" i="53"/>
  <c r="M104" i="53" s="1"/>
  <c r="X103" i="53"/>
  <c r="Q103" i="53"/>
  <c r="S103" i="53" s="1"/>
  <c r="U103" i="53" s="1"/>
  <c r="J103" i="53"/>
  <c r="M103" i="53" s="1"/>
  <c r="X102" i="53"/>
  <c r="S102" i="53"/>
  <c r="U102" i="53" s="1"/>
  <c r="Q102" i="53"/>
  <c r="J102" i="53"/>
  <c r="M102" i="53" s="1"/>
  <c r="X101" i="53"/>
  <c r="Q101" i="53"/>
  <c r="S101" i="53" s="1"/>
  <c r="U101" i="53" s="1"/>
  <c r="J101" i="53"/>
  <c r="M101" i="53" s="1"/>
  <c r="X100" i="53"/>
  <c r="Q100" i="53"/>
  <c r="S100" i="53" s="1"/>
  <c r="U100" i="53" s="1"/>
  <c r="J100" i="53"/>
  <c r="M100" i="53" s="1"/>
  <c r="X99" i="53"/>
  <c r="Q99" i="53"/>
  <c r="S99" i="53" s="1"/>
  <c r="U99" i="53" s="1"/>
  <c r="J99" i="53"/>
  <c r="M99" i="53" s="1"/>
  <c r="X98" i="53"/>
  <c r="S98" i="53"/>
  <c r="U98" i="53" s="1"/>
  <c r="Q98" i="53"/>
  <c r="J98" i="53"/>
  <c r="M98" i="53" s="1"/>
  <c r="X97" i="53"/>
  <c r="U97" i="53"/>
  <c r="Q97" i="53"/>
  <c r="S97" i="53" s="1"/>
  <c r="J97" i="53"/>
  <c r="M97" i="53" s="1"/>
  <c r="X96" i="53"/>
  <c r="S96" i="53"/>
  <c r="U96" i="53" s="1"/>
  <c r="Q96" i="53"/>
  <c r="J96" i="53"/>
  <c r="M96" i="53" s="1"/>
  <c r="X95" i="53"/>
  <c r="Q95" i="53"/>
  <c r="S95" i="53" s="1"/>
  <c r="U95" i="53" s="1"/>
  <c r="J95" i="53"/>
  <c r="M95" i="53" s="1"/>
  <c r="X94" i="53"/>
  <c r="Q94" i="53"/>
  <c r="S94" i="53" s="1"/>
  <c r="U94" i="53" s="1"/>
  <c r="J94" i="53"/>
  <c r="M94" i="53" s="1"/>
  <c r="X93" i="53"/>
  <c r="Q93" i="53"/>
  <c r="S93" i="53" s="1"/>
  <c r="U93" i="53" s="1"/>
  <c r="J93" i="53"/>
  <c r="M93" i="53" s="1"/>
  <c r="X92" i="53"/>
  <c r="Q92" i="53"/>
  <c r="S92" i="53" s="1"/>
  <c r="U92" i="53" s="1"/>
  <c r="J92" i="53"/>
  <c r="M92" i="53" s="1"/>
  <c r="X91" i="53"/>
  <c r="Q91" i="53"/>
  <c r="S91" i="53" s="1"/>
  <c r="U91" i="53" s="1"/>
  <c r="J91" i="53"/>
  <c r="M91" i="53" s="1"/>
  <c r="X90" i="53"/>
  <c r="S90" i="53"/>
  <c r="U90" i="53" s="1"/>
  <c r="Q90" i="53"/>
  <c r="J90" i="53"/>
  <c r="M90" i="53" s="1"/>
  <c r="X89" i="53"/>
  <c r="Q89" i="53"/>
  <c r="S89" i="53" s="1"/>
  <c r="U89" i="53" s="1"/>
  <c r="M89" i="53"/>
  <c r="J89" i="53"/>
  <c r="X88" i="53"/>
  <c r="S88" i="53"/>
  <c r="U88" i="53" s="1"/>
  <c r="Q88" i="53"/>
  <c r="J88" i="53"/>
  <c r="M88" i="53" s="1"/>
  <c r="X87" i="53"/>
  <c r="S87" i="53"/>
  <c r="U87" i="53" s="1"/>
  <c r="Q87" i="53"/>
  <c r="J87" i="53"/>
  <c r="M87" i="53" s="1"/>
  <c r="X86" i="53"/>
  <c r="S86" i="53"/>
  <c r="U86" i="53" s="1"/>
  <c r="Q86" i="53"/>
  <c r="J86" i="53"/>
  <c r="M86" i="53" s="1"/>
  <c r="X85" i="53"/>
  <c r="Q85" i="53"/>
  <c r="S85" i="53" s="1"/>
  <c r="U85" i="53" s="1"/>
  <c r="J85" i="53"/>
  <c r="M85" i="53" s="1"/>
  <c r="X84" i="53"/>
  <c r="Q84" i="53"/>
  <c r="S84" i="53" s="1"/>
  <c r="U84" i="53" s="1"/>
  <c r="J84" i="53"/>
  <c r="M84" i="53" s="1"/>
  <c r="X83" i="53"/>
  <c r="Q83" i="53"/>
  <c r="S83" i="53" s="1"/>
  <c r="U83" i="53" s="1"/>
  <c r="J83" i="53"/>
  <c r="M83" i="53" s="1"/>
  <c r="X82" i="53"/>
  <c r="S82" i="53"/>
  <c r="U82" i="53" s="1"/>
  <c r="Q82" i="53"/>
  <c r="J82" i="53"/>
  <c r="M82" i="53" s="1"/>
  <c r="X81" i="53"/>
  <c r="U81" i="53"/>
  <c r="Q81" i="53"/>
  <c r="S81" i="53" s="1"/>
  <c r="J81" i="53"/>
  <c r="M81" i="53" s="1"/>
  <c r="X80" i="53"/>
  <c r="S80" i="53"/>
  <c r="U80" i="53" s="1"/>
  <c r="Q80" i="53"/>
  <c r="J80" i="53"/>
  <c r="M80" i="53" s="1"/>
  <c r="X79" i="53"/>
  <c r="Q79" i="53"/>
  <c r="S79" i="53" s="1"/>
  <c r="U79" i="53" s="1"/>
  <c r="J79" i="53"/>
  <c r="M79" i="53" s="1"/>
  <c r="X78" i="53"/>
  <c r="Q78" i="53"/>
  <c r="S78" i="53" s="1"/>
  <c r="U78" i="53" s="1"/>
  <c r="J78" i="53"/>
  <c r="M78" i="53" s="1"/>
  <c r="X77" i="53"/>
  <c r="Q77" i="53"/>
  <c r="S77" i="53" s="1"/>
  <c r="U77" i="53" s="1"/>
  <c r="J77" i="53"/>
  <c r="M77" i="53" s="1"/>
  <c r="X76" i="53"/>
  <c r="Q76" i="53"/>
  <c r="S76" i="53" s="1"/>
  <c r="U76" i="53" s="1"/>
  <c r="J76" i="53"/>
  <c r="M76" i="53" s="1"/>
  <c r="X75" i="53"/>
  <c r="Q75" i="53"/>
  <c r="S75" i="53" s="1"/>
  <c r="U75" i="53" s="1"/>
  <c r="J75" i="53"/>
  <c r="M75" i="53" s="1"/>
  <c r="X74" i="53"/>
  <c r="Q74" i="53"/>
  <c r="S74" i="53" s="1"/>
  <c r="U74" i="53" s="1"/>
  <c r="J74" i="53"/>
  <c r="M74" i="53" s="1"/>
  <c r="X73" i="53"/>
  <c r="Q73" i="53"/>
  <c r="S73" i="53" s="1"/>
  <c r="U73" i="53" s="1"/>
  <c r="J73" i="53"/>
  <c r="M73" i="53" s="1"/>
  <c r="X72" i="53"/>
  <c r="Q72" i="53"/>
  <c r="S72" i="53" s="1"/>
  <c r="U72" i="53" s="1"/>
  <c r="J72" i="53"/>
  <c r="M72" i="53" s="1"/>
  <c r="X71" i="53"/>
  <c r="S71" i="53"/>
  <c r="U71" i="53" s="1"/>
  <c r="Q71" i="53"/>
  <c r="J71" i="53"/>
  <c r="M71" i="53" s="1"/>
  <c r="X70" i="53"/>
  <c r="Q70" i="53"/>
  <c r="S70" i="53" s="1"/>
  <c r="U70" i="53" s="1"/>
  <c r="J70" i="53"/>
  <c r="M70" i="53" s="1"/>
  <c r="X69" i="53"/>
  <c r="Q69" i="53"/>
  <c r="S69" i="53" s="1"/>
  <c r="U69" i="53" s="1"/>
  <c r="J69" i="53"/>
  <c r="M69" i="53" s="1"/>
  <c r="X68" i="53"/>
  <c r="Q68" i="53"/>
  <c r="S68" i="53" s="1"/>
  <c r="U68" i="53" s="1"/>
  <c r="J68" i="53"/>
  <c r="M68" i="53" s="1"/>
  <c r="X67" i="53"/>
  <c r="Q67" i="53"/>
  <c r="S67" i="53" s="1"/>
  <c r="U67" i="53" s="1"/>
  <c r="J67" i="53"/>
  <c r="M67" i="53" s="1"/>
  <c r="X66" i="53"/>
  <c r="U66" i="53"/>
  <c r="S66" i="53"/>
  <c r="Q66" i="53"/>
  <c r="J66" i="53"/>
  <c r="M66" i="53" s="1"/>
  <c r="X65" i="53"/>
  <c r="Q65" i="53"/>
  <c r="S65" i="53" s="1"/>
  <c r="U65" i="53" s="1"/>
  <c r="J65" i="53"/>
  <c r="M65" i="53" s="1"/>
  <c r="X64" i="53"/>
  <c r="S64" i="53"/>
  <c r="U64" i="53" s="1"/>
  <c r="Q64" i="53"/>
  <c r="M64" i="53"/>
  <c r="J64" i="53"/>
  <c r="X63" i="53"/>
  <c r="Q63" i="53"/>
  <c r="S63" i="53" s="1"/>
  <c r="U63" i="53" s="1"/>
  <c r="J63" i="53"/>
  <c r="M63" i="53" s="1"/>
  <c r="X62" i="53"/>
  <c r="Q62" i="53"/>
  <c r="S62" i="53" s="1"/>
  <c r="U62" i="53" s="1"/>
  <c r="J62" i="53"/>
  <c r="M62" i="53" s="1"/>
  <c r="X61" i="53"/>
  <c r="Q61" i="53"/>
  <c r="S61" i="53" s="1"/>
  <c r="U61" i="53" s="1"/>
  <c r="J61" i="53"/>
  <c r="M61" i="53" s="1"/>
  <c r="X60" i="53"/>
  <c r="Q60" i="53"/>
  <c r="S60" i="53" s="1"/>
  <c r="U60" i="53" s="1"/>
  <c r="J60" i="53"/>
  <c r="M60" i="53" s="1"/>
  <c r="X59" i="53"/>
  <c r="S59" i="53"/>
  <c r="U59" i="53" s="1"/>
  <c r="Q59" i="53"/>
  <c r="J59" i="53"/>
  <c r="M59" i="53" s="1"/>
  <c r="X58" i="53"/>
  <c r="Q58" i="53"/>
  <c r="S58" i="53" s="1"/>
  <c r="U58" i="53" s="1"/>
  <c r="J58" i="53"/>
  <c r="M58" i="53" s="1"/>
  <c r="X57" i="53"/>
  <c r="U57" i="53"/>
  <c r="Q57" i="53"/>
  <c r="S57" i="53" s="1"/>
  <c r="J57" i="53"/>
  <c r="M57" i="53" s="1"/>
  <c r="X56" i="53"/>
  <c r="Q56" i="53"/>
  <c r="S56" i="53" s="1"/>
  <c r="U56" i="53" s="1"/>
  <c r="J56" i="53"/>
  <c r="M56" i="53" s="1"/>
  <c r="X55" i="53"/>
  <c r="U55" i="53"/>
  <c r="S55" i="53"/>
  <c r="Q55" i="53"/>
  <c r="J55" i="53"/>
  <c r="M55" i="53" s="1"/>
  <c r="X54" i="53"/>
  <c r="U54" i="53"/>
  <c r="Q54" i="53"/>
  <c r="S54" i="53" s="1"/>
  <c r="J54" i="53"/>
  <c r="M54" i="53" s="1"/>
  <c r="X53" i="53"/>
  <c r="Q53" i="53"/>
  <c r="S53" i="53" s="1"/>
  <c r="U53" i="53" s="1"/>
  <c r="J53" i="53"/>
  <c r="M53" i="53" s="1"/>
  <c r="X52" i="53"/>
  <c r="Q52" i="53"/>
  <c r="S52" i="53" s="1"/>
  <c r="U52" i="53" s="1"/>
  <c r="J52" i="53"/>
  <c r="M52" i="53" s="1"/>
  <c r="X51" i="53"/>
  <c r="Q51" i="53"/>
  <c r="S51" i="53" s="1"/>
  <c r="U51" i="53" s="1"/>
  <c r="J51" i="53"/>
  <c r="M51" i="53" s="1"/>
  <c r="X50" i="53"/>
  <c r="Q50" i="53"/>
  <c r="S50" i="53" s="1"/>
  <c r="U50" i="53" s="1"/>
  <c r="J50" i="53"/>
  <c r="M50" i="53" s="1"/>
  <c r="X49" i="53"/>
  <c r="Q49" i="53"/>
  <c r="S49" i="53" s="1"/>
  <c r="U49" i="53" s="1"/>
  <c r="J49" i="53"/>
  <c r="M49" i="53" s="1"/>
  <c r="X48" i="53"/>
  <c r="S48" i="53"/>
  <c r="U48" i="53" s="1"/>
  <c r="Q48" i="53"/>
  <c r="J48" i="53"/>
  <c r="M48" i="53" s="1"/>
  <c r="X47" i="53"/>
  <c r="S47" i="53"/>
  <c r="U47" i="53" s="1"/>
  <c r="Q47" i="53"/>
  <c r="J47" i="53"/>
  <c r="M47" i="53" s="1"/>
  <c r="X46" i="53"/>
  <c r="Q46" i="53"/>
  <c r="S46" i="53" s="1"/>
  <c r="U46" i="53" s="1"/>
  <c r="J46" i="53"/>
  <c r="M46" i="53" s="1"/>
  <c r="X45" i="53"/>
  <c r="Q45" i="53"/>
  <c r="S45" i="53" s="1"/>
  <c r="U45" i="53" s="1"/>
  <c r="J45" i="53"/>
  <c r="M45" i="53" s="1"/>
  <c r="X44" i="53"/>
  <c r="Q44" i="53"/>
  <c r="S44" i="53" s="1"/>
  <c r="U44" i="53" s="1"/>
  <c r="J44" i="53"/>
  <c r="M44" i="53" s="1"/>
  <c r="X43" i="53"/>
  <c r="S43" i="53"/>
  <c r="U43" i="53" s="1"/>
  <c r="Q43" i="53"/>
  <c r="J43" i="53"/>
  <c r="M43" i="53" s="1"/>
  <c r="X42" i="53"/>
  <c r="Q42" i="53"/>
  <c r="S42" i="53" s="1"/>
  <c r="U42" i="53" s="1"/>
  <c r="J42" i="53"/>
  <c r="M42" i="53" s="1"/>
  <c r="X41" i="53"/>
  <c r="Q41" i="53"/>
  <c r="S41" i="53" s="1"/>
  <c r="U41" i="53" s="1"/>
  <c r="J41" i="53"/>
  <c r="M41" i="53" s="1"/>
  <c r="X40" i="53"/>
  <c r="Q40" i="53"/>
  <c r="S40" i="53" s="1"/>
  <c r="U40" i="53" s="1"/>
  <c r="J40" i="53"/>
  <c r="M40" i="53" s="1"/>
  <c r="X39" i="53"/>
  <c r="Q39" i="53"/>
  <c r="S39" i="53" s="1"/>
  <c r="U39" i="53" s="1"/>
  <c r="J39" i="53"/>
  <c r="M39" i="53" s="1"/>
  <c r="X38" i="53"/>
  <c r="Q38" i="53"/>
  <c r="S38" i="53" s="1"/>
  <c r="U38" i="53" s="1"/>
  <c r="J38" i="53"/>
  <c r="M38" i="53" s="1"/>
  <c r="X37" i="53"/>
  <c r="Q37" i="53"/>
  <c r="S37" i="53" s="1"/>
  <c r="U37" i="53" s="1"/>
  <c r="J37" i="53"/>
  <c r="M37" i="53" s="1"/>
  <c r="X36" i="53"/>
  <c r="Q36" i="53"/>
  <c r="S36" i="53" s="1"/>
  <c r="U36" i="53" s="1"/>
  <c r="J36" i="53"/>
  <c r="M36" i="53" s="1"/>
  <c r="X35" i="53"/>
  <c r="Q35" i="53"/>
  <c r="S35" i="53" s="1"/>
  <c r="U35" i="53" s="1"/>
  <c r="J35" i="53"/>
  <c r="M35" i="53" s="1"/>
  <c r="X34" i="53"/>
  <c r="Q34" i="53"/>
  <c r="S34" i="53" s="1"/>
  <c r="U34" i="53" s="1"/>
  <c r="J34" i="53"/>
  <c r="M34" i="53" s="1"/>
  <c r="X33" i="53"/>
  <c r="Q33" i="53"/>
  <c r="S33" i="53" s="1"/>
  <c r="U33" i="53" s="1"/>
  <c r="J33" i="53"/>
  <c r="M33" i="53" s="1"/>
  <c r="X32" i="53"/>
  <c r="Q32" i="53"/>
  <c r="S32" i="53" s="1"/>
  <c r="U32" i="53" s="1"/>
  <c r="J32" i="53"/>
  <c r="M32" i="53" s="1"/>
  <c r="X31" i="53"/>
  <c r="S31" i="53"/>
  <c r="U31" i="53" s="1"/>
  <c r="Q31" i="53"/>
  <c r="J31" i="53"/>
  <c r="M31" i="53" s="1"/>
  <c r="X30" i="53"/>
  <c r="Q30" i="53"/>
  <c r="S30" i="53" s="1"/>
  <c r="U30" i="53" s="1"/>
  <c r="J30" i="53"/>
  <c r="M30" i="53" s="1"/>
  <c r="X29" i="53"/>
  <c r="Q29" i="53"/>
  <c r="S29" i="53" s="1"/>
  <c r="U29" i="53" s="1"/>
  <c r="J29" i="53"/>
  <c r="M29" i="53" s="1"/>
  <c r="X28" i="53"/>
  <c r="Q28" i="53"/>
  <c r="S28" i="53" s="1"/>
  <c r="U28" i="53" s="1"/>
  <c r="J28" i="53"/>
  <c r="M28" i="53" s="1"/>
  <c r="X27" i="53"/>
  <c r="Q27" i="53"/>
  <c r="S27" i="53" s="1"/>
  <c r="U27" i="53" s="1"/>
  <c r="J27" i="53"/>
  <c r="M27" i="53" s="1"/>
  <c r="X26" i="53"/>
  <c r="S26" i="53"/>
  <c r="U26" i="53" s="1"/>
  <c r="Q26" i="53"/>
  <c r="J26" i="53"/>
  <c r="M26" i="53" s="1"/>
  <c r="X25" i="53"/>
  <c r="U25" i="53"/>
  <c r="S25" i="53"/>
  <c r="Q25" i="53"/>
  <c r="J25" i="53"/>
  <c r="M25" i="53" s="1"/>
  <c r="X24" i="53"/>
  <c r="Q24" i="53"/>
  <c r="S24" i="53" s="1"/>
  <c r="U24" i="53" s="1"/>
  <c r="J24" i="53"/>
  <c r="M24" i="53" s="1"/>
  <c r="X23" i="53"/>
  <c r="S23" i="53"/>
  <c r="U23" i="53" s="1"/>
  <c r="Q23" i="53"/>
  <c r="J23" i="53"/>
  <c r="M23" i="53" s="1"/>
  <c r="X22" i="53"/>
  <c r="Q22" i="53"/>
  <c r="S22" i="53" s="1"/>
  <c r="U22" i="53" s="1"/>
  <c r="J22" i="53"/>
  <c r="M22" i="53" s="1"/>
  <c r="X21" i="53"/>
  <c r="S21" i="53"/>
  <c r="U21" i="53" s="1"/>
  <c r="Q21" i="53"/>
  <c r="J21" i="53"/>
  <c r="M21" i="53" s="1"/>
  <c r="X20" i="53"/>
  <c r="Q20" i="53"/>
  <c r="S20" i="53" s="1"/>
  <c r="U20" i="53" s="1"/>
  <c r="J20" i="53"/>
  <c r="M20" i="53" s="1"/>
  <c r="X19" i="53"/>
  <c r="Q19" i="53"/>
  <c r="S19" i="53" s="1"/>
  <c r="U19" i="53" s="1"/>
  <c r="J19" i="53"/>
  <c r="M19" i="53" s="1"/>
  <c r="X18" i="53"/>
  <c r="Q18" i="53"/>
  <c r="S18" i="53" s="1"/>
  <c r="U18" i="53" s="1"/>
  <c r="J18" i="53"/>
  <c r="M18" i="53" s="1"/>
  <c r="X17" i="53"/>
  <c r="U17" i="53"/>
  <c r="S17" i="53"/>
  <c r="Q17" i="53"/>
  <c r="J17" i="53"/>
  <c r="M17" i="53" s="1"/>
  <c r="X16" i="53"/>
  <c r="Q16" i="53"/>
  <c r="S16" i="53" s="1"/>
  <c r="U16" i="53" s="1"/>
  <c r="J16" i="53"/>
  <c r="M16" i="53" s="1"/>
  <c r="X15" i="53"/>
  <c r="S15" i="53"/>
  <c r="U15" i="53" s="1"/>
  <c r="Q15" i="53"/>
  <c r="J15" i="53"/>
  <c r="M15" i="53" s="1"/>
  <c r="X14" i="53"/>
  <c r="Q14" i="53"/>
  <c r="S14" i="53" s="1"/>
  <c r="U14" i="53" s="1"/>
  <c r="J14" i="53"/>
  <c r="M14" i="53" s="1"/>
  <c r="X13" i="53"/>
  <c r="Q13" i="53"/>
  <c r="S13" i="53" s="1"/>
  <c r="U13" i="53" s="1"/>
  <c r="J13" i="53"/>
  <c r="M13" i="53" s="1"/>
  <c r="X12" i="53"/>
  <c r="Q12" i="53"/>
  <c r="S12" i="53" s="1"/>
  <c r="U12" i="53" s="1"/>
  <c r="J12" i="53"/>
  <c r="M12" i="53" s="1"/>
  <c r="X11" i="53"/>
  <c r="Q11" i="53"/>
  <c r="S11" i="53" s="1"/>
  <c r="U11" i="53" s="1"/>
  <c r="J11" i="53"/>
  <c r="M11" i="53" s="1"/>
  <c r="X10" i="53"/>
  <c r="S10" i="53"/>
  <c r="U10" i="53" s="1"/>
  <c r="Q10" i="53"/>
  <c r="J10" i="53"/>
  <c r="M10" i="53" s="1"/>
  <c r="X9" i="53"/>
  <c r="Q9" i="53"/>
  <c r="S9" i="53" s="1"/>
  <c r="U9" i="53" s="1"/>
  <c r="J9" i="53"/>
  <c r="M9" i="53" s="1"/>
  <c r="X8" i="53"/>
  <c r="Q8" i="53"/>
  <c r="S8" i="53" s="1"/>
  <c r="U8" i="53" s="1"/>
  <c r="J8" i="53"/>
  <c r="M8" i="53" s="1"/>
  <c r="X7" i="53"/>
  <c r="S7" i="53"/>
  <c r="U7" i="53" s="1"/>
  <c r="Q7" i="53"/>
  <c r="J7" i="53"/>
  <c r="M7" i="53" s="1"/>
  <c r="X6" i="53"/>
  <c r="Q6" i="53"/>
  <c r="S6" i="53" s="1"/>
  <c r="U6" i="53" s="1"/>
  <c r="J6" i="53"/>
  <c r="M6" i="53" s="1"/>
  <c r="X5" i="53"/>
  <c r="S5" i="53"/>
  <c r="U5" i="53" s="1"/>
  <c r="Q5" i="53"/>
  <c r="J5" i="53"/>
  <c r="K212" i="52"/>
  <c r="N23" i="15" s="1"/>
  <c r="K209" i="52"/>
  <c r="R23" i="15" s="1"/>
  <c r="J204" i="52"/>
  <c r="M204" i="52" s="1"/>
  <c r="J203" i="52"/>
  <c r="M203" i="52" s="1"/>
  <c r="J202" i="52"/>
  <c r="M202" i="52" s="1"/>
  <c r="J201" i="52"/>
  <c r="M201" i="52" s="1"/>
  <c r="J200" i="52"/>
  <c r="M200" i="52" s="1"/>
  <c r="J199" i="52"/>
  <c r="M199" i="52" s="1"/>
  <c r="M198" i="52"/>
  <c r="J198" i="52"/>
  <c r="J197" i="52"/>
  <c r="M197" i="52" s="1"/>
  <c r="J196" i="52"/>
  <c r="M196" i="52" s="1"/>
  <c r="J195" i="52"/>
  <c r="M195" i="52" s="1"/>
  <c r="J194" i="52"/>
  <c r="M194" i="52" s="1"/>
  <c r="J193" i="52"/>
  <c r="M193" i="52" s="1"/>
  <c r="J192" i="52"/>
  <c r="M192" i="52" s="1"/>
  <c r="J191" i="52"/>
  <c r="M191" i="52" s="1"/>
  <c r="J190" i="52"/>
  <c r="M190" i="52" s="1"/>
  <c r="J189" i="52"/>
  <c r="M189" i="52" s="1"/>
  <c r="J188" i="52"/>
  <c r="M188" i="52" s="1"/>
  <c r="J187" i="52"/>
  <c r="M187" i="52" s="1"/>
  <c r="J186" i="52"/>
  <c r="M186" i="52" s="1"/>
  <c r="J185" i="52"/>
  <c r="M185" i="52" s="1"/>
  <c r="J184" i="52"/>
  <c r="M184" i="52" s="1"/>
  <c r="J183" i="52"/>
  <c r="M183" i="52" s="1"/>
  <c r="J182" i="52"/>
  <c r="M182" i="52" s="1"/>
  <c r="J181" i="52"/>
  <c r="M181" i="52" s="1"/>
  <c r="J180" i="52"/>
  <c r="M180" i="52" s="1"/>
  <c r="J179" i="52"/>
  <c r="M179" i="52" s="1"/>
  <c r="J178" i="52"/>
  <c r="M178" i="52" s="1"/>
  <c r="J177" i="52"/>
  <c r="M177" i="52" s="1"/>
  <c r="J176" i="52"/>
  <c r="M176" i="52" s="1"/>
  <c r="J175" i="52"/>
  <c r="M175" i="52" s="1"/>
  <c r="J174" i="52"/>
  <c r="M174" i="52" s="1"/>
  <c r="J173" i="52"/>
  <c r="M173" i="52" s="1"/>
  <c r="J172" i="52"/>
  <c r="M172" i="52" s="1"/>
  <c r="J171" i="52"/>
  <c r="M171" i="52" s="1"/>
  <c r="J170" i="52"/>
  <c r="M170" i="52" s="1"/>
  <c r="J169" i="52"/>
  <c r="M169" i="52" s="1"/>
  <c r="J168" i="52"/>
  <c r="M168" i="52" s="1"/>
  <c r="J167" i="52"/>
  <c r="M167" i="52" s="1"/>
  <c r="J166" i="52"/>
  <c r="M166" i="52" s="1"/>
  <c r="J165" i="52"/>
  <c r="M165" i="52" s="1"/>
  <c r="J164" i="52"/>
  <c r="M164" i="52" s="1"/>
  <c r="J163" i="52"/>
  <c r="M163" i="52" s="1"/>
  <c r="J162" i="52"/>
  <c r="M162" i="52" s="1"/>
  <c r="J161" i="52"/>
  <c r="M161" i="52" s="1"/>
  <c r="J160" i="52"/>
  <c r="M160" i="52" s="1"/>
  <c r="J159" i="52"/>
  <c r="M159" i="52" s="1"/>
  <c r="J158" i="52"/>
  <c r="M158" i="52" s="1"/>
  <c r="J157" i="52"/>
  <c r="M157" i="52" s="1"/>
  <c r="J156" i="52"/>
  <c r="M156" i="52" s="1"/>
  <c r="J155" i="52"/>
  <c r="M155" i="52" s="1"/>
  <c r="J154" i="52"/>
  <c r="M154" i="52" s="1"/>
  <c r="J153" i="52"/>
  <c r="M153" i="52" s="1"/>
  <c r="J152" i="52"/>
  <c r="M152" i="52" s="1"/>
  <c r="J151" i="52"/>
  <c r="M151" i="52" s="1"/>
  <c r="J150" i="52"/>
  <c r="M150" i="52" s="1"/>
  <c r="J149" i="52"/>
  <c r="M149" i="52" s="1"/>
  <c r="J148" i="52"/>
  <c r="M148" i="52" s="1"/>
  <c r="J147" i="52"/>
  <c r="M147" i="52" s="1"/>
  <c r="J146" i="52"/>
  <c r="M146" i="52" s="1"/>
  <c r="J145" i="52"/>
  <c r="M145" i="52" s="1"/>
  <c r="J144" i="52"/>
  <c r="M144" i="52" s="1"/>
  <c r="J143" i="52"/>
  <c r="M143" i="52" s="1"/>
  <c r="J142" i="52"/>
  <c r="M142" i="52" s="1"/>
  <c r="J141" i="52"/>
  <c r="M141" i="52" s="1"/>
  <c r="J140" i="52"/>
  <c r="M140" i="52" s="1"/>
  <c r="J139" i="52"/>
  <c r="M139" i="52" s="1"/>
  <c r="J138" i="52"/>
  <c r="M138" i="52" s="1"/>
  <c r="J137" i="52"/>
  <c r="M137" i="52" s="1"/>
  <c r="M136" i="52"/>
  <c r="J136" i="52"/>
  <c r="J135" i="52"/>
  <c r="M135" i="52" s="1"/>
  <c r="J134" i="52"/>
  <c r="M134" i="52" s="1"/>
  <c r="J133" i="52"/>
  <c r="M133" i="52" s="1"/>
  <c r="J132" i="52"/>
  <c r="M132" i="52" s="1"/>
  <c r="J131" i="52"/>
  <c r="M131" i="52" s="1"/>
  <c r="J130" i="52"/>
  <c r="M130" i="52" s="1"/>
  <c r="J129" i="52"/>
  <c r="M129" i="52" s="1"/>
  <c r="J128" i="52"/>
  <c r="M128" i="52" s="1"/>
  <c r="J127" i="52"/>
  <c r="M127" i="52" s="1"/>
  <c r="M126" i="52"/>
  <c r="J126" i="52"/>
  <c r="J125" i="52"/>
  <c r="M125" i="52" s="1"/>
  <c r="J124" i="52"/>
  <c r="M124" i="52" s="1"/>
  <c r="J123" i="52"/>
  <c r="M123" i="52" s="1"/>
  <c r="M122" i="52"/>
  <c r="J122" i="52"/>
  <c r="J121" i="52"/>
  <c r="M121" i="52" s="1"/>
  <c r="J120" i="52"/>
  <c r="M120" i="52" s="1"/>
  <c r="J119" i="52"/>
  <c r="M119" i="52" s="1"/>
  <c r="J118" i="52"/>
  <c r="M118" i="52" s="1"/>
  <c r="J117" i="52"/>
  <c r="M117" i="52" s="1"/>
  <c r="J116" i="52"/>
  <c r="M116" i="52" s="1"/>
  <c r="J115" i="52"/>
  <c r="M115" i="52" s="1"/>
  <c r="J114" i="52"/>
  <c r="M114" i="52" s="1"/>
  <c r="J113" i="52"/>
  <c r="M113" i="52" s="1"/>
  <c r="J112" i="52"/>
  <c r="M112" i="52" s="1"/>
  <c r="J111" i="52"/>
  <c r="M111" i="52" s="1"/>
  <c r="J110" i="52"/>
  <c r="M110" i="52" s="1"/>
  <c r="J109" i="52"/>
  <c r="M109" i="52" s="1"/>
  <c r="J108" i="52"/>
  <c r="M108" i="52" s="1"/>
  <c r="J107" i="52"/>
  <c r="M107" i="52" s="1"/>
  <c r="J106" i="52"/>
  <c r="M106" i="52" s="1"/>
  <c r="Z105" i="52"/>
  <c r="J105" i="52"/>
  <c r="M105" i="52" s="1"/>
  <c r="X104" i="52"/>
  <c r="Q104" i="52"/>
  <c r="S104" i="52" s="1"/>
  <c r="U104" i="52" s="1"/>
  <c r="J104" i="52"/>
  <c r="M104" i="52" s="1"/>
  <c r="X103" i="52"/>
  <c r="U103" i="52"/>
  <c r="S103" i="52"/>
  <c r="Q103" i="52"/>
  <c r="J103" i="52"/>
  <c r="M103" i="52" s="1"/>
  <c r="X102" i="52"/>
  <c r="U102" i="52"/>
  <c r="S102" i="52"/>
  <c r="Q102" i="52"/>
  <c r="J102" i="52"/>
  <c r="M102" i="52" s="1"/>
  <c r="X101" i="52"/>
  <c r="Q101" i="52"/>
  <c r="S101" i="52" s="1"/>
  <c r="U101" i="52" s="1"/>
  <c r="J101" i="52"/>
  <c r="M101" i="52" s="1"/>
  <c r="X100" i="52"/>
  <c r="S100" i="52"/>
  <c r="U100" i="52" s="1"/>
  <c r="Q100" i="52"/>
  <c r="J100" i="52"/>
  <c r="M100" i="52" s="1"/>
  <c r="X99" i="52"/>
  <c r="U99" i="52"/>
  <c r="Q99" i="52"/>
  <c r="S99" i="52" s="1"/>
  <c r="J99" i="52"/>
  <c r="M99" i="52" s="1"/>
  <c r="X98" i="52"/>
  <c r="S98" i="52"/>
  <c r="U98" i="52" s="1"/>
  <c r="Q98" i="52"/>
  <c r="J98" i="52"/>
  <c r="M98" i="52" s="1"/>
  <c r="X97" i="52"/>
  <c r="Q97" i="52"/>
  <c r="S97" i="52" s="1"/>
  <c r="U97" i="52" s="1"/>
  <c r="J97" i="52"/>
  <c r="M97" i="52" s="1"/>
  <c r="X96" i="52"/>
  <c r="Q96" i="52"/>
  <c r="S96" i="52" s="1"/>
  <c r="U96" i="52" s="1"/>
  <c r="M96" i="52"/>
  <c r="J96" i="52"/>
  <c r="X95" i="52"/>
  <c r="Q95" i="52"/>
  <c r="S95" i="52" s="1"/>
  <c r="U95" i="52" s="1"/>
  <c r="J95" i="52"/>
  <c r="M95" i="52" s="1"/>
  <c r="X94" i="52"/>
  <c r="Q94" i="52"/>
  <c r="S94" i="52" s="1"/>
  <c r="U94" i="52" s="1"/>
  <c r="J94" i="52"/>
  <c r="M94" i="52" s="1"/>
  <c r="X93" i="52"/>
  <c r="Q93" i="52"/>
  <c r="S93" i="52" s="1"/>
  <c r="U93" i="52" s="1"/>
  <c r="J93" i="52"/>
  <c r="M93" i="52" s="1"/>
  <c r="X92" i="52"/>
  <c r="Q92" i="52"/>
  <c r="S92" i="52" s="1"/>
  <c r="U92" i="52" s="1"/>
  <c r="M92" i="52"/>
  <c r="J92" i="52"/>
  <c r="X91" i="52"/>
  <c r="U91" i="52"/>
  <c r="Q91" i="52"/>
  <c r="S91" i="52" s="1"/>
  <c r="J91" i="52"/>
  <c r="M91" i="52" s="1"/>
  <c r="X90" i="52"/>
  <c r="Q90" i="52"/>
  <c r="S90" i="52" s="1"/>
  <c r="U90" i="52" s="1"/>
  <c r="J90" i="52"/>
  <c r="M90" i="52" s="1"/>
  <c r="X89" i="52"/>
  <c r="Q89" i="52"/>
  <c r="S89" i="52" s="1"/>
  <c r="U89" i="52" s="1"/>
  <c r="J89" i="52"/>
  <c r="M89" i="52" s="1"/>
  <c r="X88" i="52"/>
  <c r="Q88" i="52"/>
  <c r="S88" i="52" s="1"/>
  <c r="U88" i="52" s="1"/>
  <c r="J88" i="52"/>
  <c r="M88" i="52" s="1"/>
  <c r="X87" i="52"/>
  <c r="U87" i="52"/>
  <c r="Q87" i="52"/>
  <c r="S87" i="52" s="1"/>
  <c r="J87" i="52"/>
  <c r="M87" i="52" s="1"/>
  <c r="X86" i="52"/>
  <c r="Q86" i="52"/>
  <c r="S86" i="52" s="1"/>
  <c r="U86" i="52" s="1"/>
  <c r="M86" i="52"/>
  <c r="J86" i="52"/>
  <c r="X85" i="52"/>
  <c r="Q85" i="52"/>
  <c r="S85" i="52" s="1"/>
  <c r="U85" i="52" s="1"/>
  <c r="J85" i="52"/>
  <c r="M85" i="52" s="1"/>
  <c r="X84" i="52"/>
  <c r="Q84" i="52"/>
  <c r="S84" i="52" s="1"/>
  <c r="U84" i="52" s="1"/>
  <c r="J84" i="52"/>
  <c r="M84" i="52" s="1"/>
  <c r="X83" i="52"/>
  <c r="U83" i="52"/>
  <c r="Q83" i="52"/>
  <c r="S83" i="52" s="1"/>
  <c r="J83" i="52"/>
  <c r="M83" i="52" s="1"/>
  <c r="X82" i="52"/>
  <c r="Q82" i="52"/>
  <c r="S82" i="52" s="1"/>
  <c r="U82" i="52" s="1"/>
  <c r="J82" i="52"/>
  <c r="M82" i="52" s="1"/>
  <c r="X81" i="52"/>
  <c r="Q81" i="52"/>
  <c r="S81" i="52" s="1"/>
  <c r="U81" i="52" s="1"/>
  <c r="J81" i="52"/>
  <c r="M81" i="52" s="1"/>
  <c r="X80" i="52"/>
  <c r="Q80" i="52"/>
  <c r="S80" i="52" s="1"/>
  <c r="U80" i="52" s="1"/>
  <c r="J80" i="52"/>
  <c r="M80" i="52" s="1"/>
  <c r="X79" i="52"/>
  <c r="S79" i="52"/>
  <c r="U79" i="52" s="1"/>
  <c r="Q79" i="52"/>
  <c r="J79" i="52"/>
  <c r="M79" i="52" s="1"/>
  <c r="X78" i="52"/>
  <c r="Q78" i="52"/>
  <c r="S78" i="52" s="1"/>
  <c r="U78" i="52" s="1"/>
  <c r="J78" i="52"/>
  <c r="M78" i="52" s="1"/>
  <c r="X77" i="52"/>
  <c r="Q77" i="52"/>
  <c r="S77" i="52" s="1"/>
  <c r="U77" i="52" s="1"/>
  <c r="J77" i="52"/>
  <c r="M77" i="52" s="1"/>
  <c r="X76" i="52"/>
  <c r="Q76" i="52"/>
  <c r="S76" i="52" s="1"/>
  <c r="U76" i="52" s="1"/>
  <c r="M76" i="52"/>
  <c r="J76" i="52"/>
  <c r="X75" i="52"/>
  <c r="Q75" i="52"/>
  <c r="S75" i="52" s="1"/>
  <c r="U75" i="52" s="1"/>
  <c r="J75" i="52"/>
  <c r="M75" i="52" s="1"/>
  <c r="X74" i="52"/>
  <c r="Q74" i="52"/>
  <c r="S74" i="52" s="1"/>
  <c r="U74" i="52" s="1"/>
  <c r="M74" i="52"/>
  <c r="J74" i="52"/>
  <c r="X73" i="52"/>
  <c r="Q73" i="52"/>
  <c r="S73" i="52" s="1"/>
  <c r="U73" i="52" s="1"/>
  <c r="J73" i="52"/>
  <c r="M73" i="52" s="1"/>
  <c r="X72" i="52"/>
  <c r="Q72" i="52"/>
  <c r="S72" i="52" s="1"/>
  <c r="U72" i="52" s="1"/>
  <c r="M72" i="52"/>
  <c r="J72" i="52"/>
  <c r="X71" i="52"/>
  <c r="Q71" i="52"/>
  <c r="S71" i="52" s="1"/>
  <c r="U71" i="52" s="1"/>
  <c r="J71" i="52"/>
  <c r="M71" i="52" s="1"/>
  <c r="X70" i="52"/>
  <c r="Q70" i="52"/>
  <c r="S70" i="52" s="1"/>
  <c r="U70" i="52" s="1"/>
  <c r="J70" i="52"/>
  <c r="M70" i="52" s="1"/>
  <c r="X69" i="52"/>
  <c r="Q69" i="52"/>
  <c r="S69" i="52" s="1"/>
  <c r="U69" i="52" s="1"/>
  <c r="J69" i="52"/>
  <c r="M69" i="52" s="1"/>
  <c r="X68" i="52"/>
  <c r="Q68" i="52"/>
  <c r="S68" i="52" s="1"/>
  <c r="U68" i="52" s="1"/>
  <c r="J68" i="52"/>
  <c r="M68" i="52" s="1"/>
  <c r="X67" i="52"/>
  <c r="Q67" i="52"/>
  <c r="S67" i="52" s="1"/>
  <c r="U67" i="52" s="1"/>
  <c r="J67" i="52"/>
  <c r="M67" i="52" s="1"/>
  <c r="X66" i="52"/>
  <c r="Q66" i="52"/>
  <c r="S66" i="52" s="1"/>
  <c r="U66" i="52" s="1"/>
  <c r="J66" i="52"/>
  <c r="M66" i="52" s="1"/>
  <c r="X65" i="52"/>
  <c r="Q65" i="52"/>
  <c r="S65" i="52" s="1"/>
  <c r="U65" i="52" s="1"/>
  <c r="J65" i="52"/>
  <c r="M65" i="52" s="1"/>
  <c r="X64" i="52"/>
  <c r="Q64" i="52"/>
  <c r="S64" i="52" s="1"/>
  <c r="U64" i="52" s="1"/>
  <c r="J64" i="52"/>
  <c r="M64" i="52" s="1"/>
  <c r="X63" i="52"/>
  <c r="Q63" i="52"/>
  <c r="S63" i="52" s="1"/>
  <c r="U63" i="52" s="1"/>
  <c r="J63" i="52"/>
  <c r="M63" i="52" s="1"/>
  <c r="X62" i="52"/>
  <c r="S62" i="52"/>
  <c r="U62" i="52" s="1"/>
  <c r="Q62" i="52"/>
  <c r="M62" i="52"/>
  <c r="J62" i="52"/>
  <c r="X61" i="52"/>
  <c r="Q61" i="52"/>
  <c r="S61" i="52" s="1"/>
  <c r="U61" i="52" s="1"/>
  <c r="J61" i="52"/>
  <c r="M61" i="52" s="1"/>
  <c r="X60" i="52"/>
  <c r="S60" i="52"/>
  <c r="U60" i="52" s="1"/>
  <c r="Q60" i="52"/>
  <c r="J60" i="52"/>
  <c r="M60" i="52" s="1"/>
  <c r="X59" i="52"/>
  <c r="Q59" i="52"/>
  <c r="S59" i="52" s="1"/>
  <c r="U59" i="52" s="1"/>
  <c r="J59" i="52"/>
  <c r="M59" i="52" s="1"/>
  <c r="X58" i="52"/>
  <c r="Q58" i="52"/>
  <c r="S58" i="52" s="1"/>
  <c r="U58" i="52" s="1"/>
  <c r="J58" i="52"/>
  <c r="M58" i="52" s="1"/>
  <c r="X57" i="52"/>
  <c r="Q57" i="52"/>
  <c r="S57" i="52" s="1"/>
  <c r="U57" i="52" s="1"/>
  <c r="J57" i="52"/>
  <c r="M57" i="52" s="1"/>
  <c r="X56" i="52"/>
  <c r="Q56" i="52"/>
  <c r="S56" i="52" s="1"/>
  <c r="U56" i="52" s="1"/>
  <c r="J56" i="52"/>
  <c r="M56" i="52" s="1"/>
  <c r="X55" i="52"/>
  <c r="Q55" i="52"/>
  <c r="S55" i="52" s="1"/>
  <c r="U55" i="52" s="1"/>
  <c r="J55" i="52"/>
  <c r="M55" i="52" s="1"/>
  <c r="X54" i="52"/>
  <c r="U54" i="52"/>
  <c r="Q54" i="52"/>
  <c r="S54" i="52" s="1"/>
  <c r="J54" i="52"/>
  <c r="M54" i="52" s="1"/>
  <c r="X53" i="52"/>
  <c r="Q53" i="52"/>
  <c r="S53" i="52" s="1"/>
  <c r="U53" i="52" s="1"/>
  <c r="J53" i="52"/>
  <c r="M53" i="52" s="1"/>
  <c r="X52" i="52"/>
  <c r="S52" i="52"/>
  <c r="U52" i="52" s="1"/>
  <c r="Q52" i="52"/>
  <c r="J52" i="52"/>
  <c r="M52" i="52" s="1"/>
  <c r="X51" i="52"/>
  <c r="Q51" i="52"/>
  <c r="S51" i="52" s="1"/>
  <c r="U51" i="52" s="1"/>
  <c r="J51" i="52"/>
  <c r="M51" i="52" s="1"/>
  <c r="X50" i="52"/>
  <c r="S50" i="52"/>
  <c r="U50" i="52" s="1"/>
  <c r="Q50" i="52"/>
  <c r="J50" i="52"/>
  <c r="M50" i="52" s="1"/>
  <c r="X49" i="52"/>
  <c r="Q49" i="52"/>
  <c r="S49" i="52" s="1"/>
  <c r="U49" i="52" s="1"/>
  <c r="J49" i="52"/>
  <c r="M49" i="52" s="1"/>
  <c r="X48" i="52"/>
  <c r="Q48" i="52"/>
  <c r="S48" i="52" s="1"/>
  <c r="U48" i="52" s="1"/>
  <c r="J48" i="52"/>
  <c r="M48" i="52" s="1"/>
  <c r="X47" i="52"/>
  <c r="Q47" i="52"/>
  <c r="S47" i="52" s="1"/>
  <c r="U47" i="52" s="1"/>
  <c r="J47" i="52"/>
  <c r="M47" i="52" s="1"/>
  <c r="X46" i="52"/>
  <c r="Q46" i="52"/>
  <c r="S46" i="52" s="1"/>
  <c r="U46" i="52" s="1"/>
  <c r="J46" i="52"/>
  <c r="M46" i="52" s="1"/>
  <c r="X45" i="52"/>
  <c r="Q45" i="52"/>
  <c r="S45" i="52" s="1"/>
  <c r="U45" i="52" s="1"/>
  <c r="J45" i="52"/>
  <c r="M45" i="52" s="1"/>
  <c r="X44" i="52"/>
  <c r="Q44" i="52"/>
  <c r="S44" i="52" s="1"/>
  <c r="U44" i="52" s="1"/>
  <c r="J44" i="52"/>
  <c r="M44" i="52" s="1"/>
  <c r="X43" i="52"/>
  <c r="Q43" i="52"/>
  <c r="S43" i="52" s="1"/>
  <c r="U43" i="52" s="1"/>
  <c r="J43" i="52"/>
  <c r="M43" i="52" s="1"/>
  <c r="X42" i="52"/>
  <c r="S42" i="52"/>
  <c r="U42" i="52" s="1"/>
  <c r="Q42" i="52"/>
  <c r="J42" i="52"/>
  <c r="M42" i="52" s="1"/>
  <c r="X41" i="52"/>
  <c r="Q41" i="52"/>
  <c r="S41" i="52" s="1"/>
  <c r="U41" i="52" s="1"/>
  <c r="J41" i="52"/>
  <c r="M41" i="52" s="1"/>
  <c r="X40" i="52"/>
  <c r="S40" i="52"/>
  <c r="U40" i="52" s="1"/>
  <c r="Q40" i="52"/>
  <c r="J40" i="52"/>
  <c r="M40" i="52" s="1"/>
  <c r="X39" i="52"/>
  <c r="Q39" i="52"/>
  <c r="S39" i="52" s="1"/>
  <c r="U39" i="52" s="1"/>
  <c r="J39" i="52"/>
  <c r="M39" i="52" s="1"/>
  <c r="X38" i="52"/>
  <c r="S38" i="52"/>
  <c r="U38" i="52" s="1"/>
  <c r="Q38" i="52"/>
  <c r="J38" i="52"/>
  <c r="M38" i="52" s="1"/>
  <c r="X37" i="52"/>
  <c r="Q37" i="52"/>
  <c r="S37" i="52" s="1"/>
  <c r="U37" i="52" s="1"/>
  <c r="J37" i="52"/>
  <c r="M37" i="52" s="1"/>
  <c r="X36" i="52"/>
  <c r="Q36" i="52"/>
  <c r="S36" i="52" s="1"/>
  <c r="U36" i="52" s="1"/>
  <c r="J36" i="52"/>
  <c r="M36" i="52" s="1"/>
  <c r="X35" i="52"/>
  <c r="S35" i="52"/>
  <c r="U35" i="52" s="1"/>
  <c r="Q35" i="52"/>
  <c r="J35" i="52"/>
  <c r="M35" i="52" s="1"/>
  <c r="X34" i="52"/>
  <c r="Q34" i="52"/>
  <c r="S34" i="52" s="1"/>
  <c r="U34" i="52" s="1"/>
  <c r="J34" i="52"/>
  <c r="M34" i="52" s="1"/>
  <c r="X33" i="52"/>
  <c r="Q33" i="52"/>
  <c r="S33" i="52" s="1"/>
  <c r="U33" i="52" s="1"/>
  <c r="J33" i="52"/>
  <c r="M33" i="52" s="1"/>
  <c r="X32" i="52"/>
  <c r="Q32" i="52"/>
  <c r="S32" i="52" s="1"/>
  <c r="U32" i="52" s="1"/>
  <c r="J32" i="52"/>
  <c r="M32" i="52" s="1"/>
  <c r="X31" i="52"/>
  <c r="Q31" i="52"/>
  <c r="S31" i="52" s="1"/>
  <c r="U31" i="52" s="1"/>
  <c r="J31" i="52"/>
  <c r="M31" i="52" s="1"/>
  <c r="X30" i="52"/>
  <c r="Q30" i="52"/>
  <c r="S30" i="52" s="1"/>
  <c r="U30" i="52" s="1"/>
  <c r="J30" i="52"/>
  <c r="M30" i="52" s="1"/>
  <c r="X29" i="52"/>
  <c r="Q29" i="52"/>
  <c r="S29" i="52" s="1"/>
  <c r="U29" i="52" s="1"/>
  <c r="J29" i="52"/>
  <c r="M29" i="52" s="1"/>
  <c r="X28" i="52"/>
  <c r="S28" i="52"/>
  <c r="U28" i="52" s="1"/>
  <c r="Q28" i="52"/>
  <c r="J28" i="52"/>
  <c r="M28" i="52" s="1"/>
  <c r="X27" i="52"/>
  <c r="Q27" i="52"/>
  <c r="S27" i="52" s="1"/>
  <c r="U27" i="52" s="1"/>
  <c r="M27" i="52"/>
  <c r="J27" i="52"/>
  <c r="X26" i="52"/>
  <c r="Q26" i="52"/>
  <c r="S26" i="52" s="1"/>
  <c r="U26" i="52" s="1"/>
  <c r="J26" i="52"/>
  <c r="M26" i="52" s="1"/>
  <c r="X25" i="52"/>
  <c r="Q25" i="52"/>
  <c r="S25" i="52" s="1"/>
  <c r="U25" i="52" s="1"/>
  <c r="M25" i="52"/>
  <c r="J25" i="52"/>
  <c r="X24" i="52"/>
  <c r="Q24" i="52"/>
  <c r="S24" i="52" s="1"/>
  <c r="U24" i="52" s="1"/>
  <c r="J24" i="52"/>
  <c r="M24" i="52" s="1"/>
  <c r="X23" i="52"/>
  <c r="Q23" i="52"/>
  <c r="S23" i="52" s="1"/>
  <c r="U23" i="52" s="1"/>
  <c r="J23" i="52"/>
  <c r="M23" i="52" s="1"/>
  <c r="X22" i="52"/>
  <c r="Q22" i="52"/>
  <c r="S22" i="52" s="1"/>
  <c r="U22" i="52" s="1"/>
  <c r="J22" i="52"/>
  <c r="M22" i="52" s="1"/>
  <c r="X21" i="52"/>
  <c r="Q21" i="52"/>
  <c r="S21" i="52" s="1"/>
  <c r="U21" i="52" s="1"/>
  <c r="J21" i="52"/>
  <c r="M21" i="52" s="1"/>
  <c r="X20" i="52"/>
  <c r="S20" i="52"/>
  <c r="U20" i="52" s="1"/>
  <c r="Q20" i="52"/>
  <c r="J20" i="52"/>
  <c r="M20" i="52" s="1"/>
  <c r="X19" i="52"/>
  <c r="S19" i="52"/>
  <c r="U19" i="52" s="1"/>
  <c r="Q19" i="52"/>
  <c r="J19" i="52"/>
  <c r="M19" i="52" s="1"/>
  <c r="X18" i="52"/>
  <c r="Q18" i="52"/>
  <c r="S18" i="52" s="1"/>
  <c r="U18" i="52" s="1"/>
  <c r="J18" i="52"/>
  <c r="M18" i="52" s="1"/>
  <c r="X17" i="52"/>
  <c r="Q17" i="52"/>
  <c r="S17" i="52" s="1"/>
  <c r="U17" i="52" s="1"/>
  <c r="J17" i="52"/>
  <c r="M17" i="52" s="1"/>
  <c r="X16" i="52"/>
  <c r="Q16" i="52"/>
  <c r="S16" i="52" s="1"/>
  <c r="U16" i="52" s="1"/>
  <c r="J16" i="52"/>
  <c r="M16" i="52" s="1"/>
  <c r="X15" i="52"/>
  <c r="S15" i="52"/>
  <c r="U15" i="52" s="1"/>
  <c r="Q15" i="52"/>
  <c r="J15" i="52"/>
  <c r="M15" i="52" s="1"/>
  <c r="X14" i="52"/>
  <c r="Q14" i="52"/>
  <c r="S14" i="52" s="1"/>
  <c r="U14" i="52" s="1"/>
  <c r="J14" i="52"/>
  <c r="M14" i="52" s="1"/>
  <c r="X13" i="52"/>
  <c r="Q13" i="52"/>
  <c r="S13" i="52" s="1"/>
  <c r="U13" i="52" s="1"/>
  <c r="J13" i="52"/>
  <c r="M13" i="52" s="1"/>
  <c r="X12" i="52"/>
  <c r="Q12" i="52"/>
  <c r="S12" i="52" s="1"/>
  <c r="U12" i="52" s="1"/>
  <c r="J12" i="52"/>
  <c r="M12" i="52" s="1"/>
  <c r="X11" i="52"/>
  <c r="S11" i="52"/>
  <c r="U11" i="52" s="1"/>
  <c r="Q11" i="52"/>
  <c r="J11" i="52"/>
  <c r="M11" i="52" s="1"/>
  <c r="X10" i="52"/>
  <c r="Q10" i="52"/>
  <c r="S10" i="52" s="1"/>
  <c r="U10" i="52" s="1"/>
  <c r="J10" i="52"/>
  <c r="M10" i="52" s="1"/>
  <c r="X9" i="52"/>
  <c r="Q9" i="52"/>
  <c r="S9" i="52" s="1"/>
  <c r="U9" i="52" s="1"/>
  <c r="J9" i="52"/>
  <c r="M9" i="52" s="1"/>
  <c r="X8" i="52"/>
  <c r="Q8" i="52"/>
  <c r="S8" i="52" s="1"/>
  <c r="U8" i="52" s="1"/>
  <c r="J8" i="52"/>
  <c r="M8" i="52" s="1"/>
  <c r="X7" i="52"/>
  <c r="Q7" i="52"/>
  <c r="S7" i="52" s="1"/>
  <c r="U7" i="52" s="1"/>
  <c r="J7" i="52"/>
  <c r="M7" i="52" s="1"/>
  <c r="X6" i="52"/>
  <c r="Q6" i="52"/>
  <c r="S6" i="52" s="1"/>
  <c r="U6" i="52" s="1"/>
  <c r="J6" i="52"/>
  <c r="M6" i="52" s="1"/>
  <c r="X5" i="52"/>
  <c r="Q5" i="52"/>
  <c r="S5" i="52" s="1"/>
  <c r="U5" i="52" s="1"/>
  <c r="J5" i="52"/>
  <c r="M5" i="52" s="1"/>
  <c r="K212" i="51"/>
  <c r="N22" i="15" s="1"/>
  <c r="K209" i="51"/>
  <c r="J204" i="51"/>
  <c r="M204" i="51" s="1"/>
  <c r="J203" i="51"/>
  <c r="M203" i="51" s="1"/>
  <c r="J202" i="51"/>
  <c r="M202" i="51" s="1"/>
  <c r="J201" i="51"/>
  <c r="M201" i="51" s="1"/>
  <c r="J200" i="51"/>
  <c r="M200" i="51" s="1"/>
  <c r="J199" i="51"/>
  <c r="M199" i="51" s="1"/>
  <c r="J198" i="51"/>
  <c r="M198" i="51" s="1"/>
  <c r="J197" i="51"/>
  <c r="M197" i="51" s="1"/>
  <c r="J196" i="51"/>
  <c r="M196" i="51" s="1"/>
  <c r="J195" i="51"/>
  <c r="M195" i="51" s="1"/>
  <c r="J194" i="51"/>
  <c r="M194" i="51" s="1"/>
  <c r="J193" i="51"/>
  <c r="M193" i="51" s="1"/>
  <c r="J192" i="51"/>
  <c r="M192" i="51" s="1"/>
  <c r="J191" i="51"/>
  <c r="M191" i="51" s="1"/>
  <c r="J190" i="51"/>
  <c r="M190" i="51" s="1"/>
  <c r="J189" i="51"/>
  <c r="M189" i="51" s="1"/>
  <c r="J188" i="51"/>
  <c r="M188" i="51" s="1"/>
  <c r="J187" i="51"/>
  <c r="M187" i="51" s="1"/>
  <c r="J186" i="51"/>
  <c r="M186" i="51" s="1"/>
  <c r="J185" i="51"/>
  <c r="M185" i="51" s="1"/>
  <c r="J184" i="51"/>
  <c r="M184" i="51" s="1"/>
  <c r="J183" i="51"/>
  <c r="M183" i="51" s="1"/>
  <c r="J182" i="51"/>
  <c r="M182" i="51" s="1"/>
  <c r="J181" i="51"/>
  <c r="M181" i="51" s="1"/>
  <c r="J180" i="51"/>
  <c r="M180" i="51" s="1"/>
  <c r="J179" i="51"/>
  <c r="M179" i="51" s="1"/>
  <c r="J178" i="51"/>
  <c r="M178" i="51" s="1"/>
  <c r="J177" i="51"/>
  <c r="M177" i="51" s="1"/>
  <c r="J176" i="51"/>
  <c r="M176" i="51" s="1"/>
  <c r="J175" i="51"/>
  <c r="M175" i="51" s="1"/>
  <c r="J174" i="51"/>
  <c r="M174" i="51" s="1"/>
  <c r="J173" i="51"/>
  <c r="M173" i="51" s="1"/>
  <c r="J172" i="51"/>
  <c r="M172" i="51" s="1"/>
  <c r="J171" i="51"/>
  <c r="M171" i="51" s="1"/>
  <c r="J170" i="51"/>
  <c r="M170" i="51" s="1"/>
  <c r="J169" i="51"/>
  <c r="M169" i="51" s="1"/>
  <c r="J168" i="51"/>
  <c r="M168" i="51" s="1"/>
  <c r="J167" i="51"/>
  <c r="M167" i="51" s="1"/>
  <c r="J166" i="51"/>
  <c r="M166" i="51" s="1"/>
  <c r="J165" i="51"/>
  <c r="M165" i="51" s="1"/>
  <c r="J164" i="51"/>
  <c r="M164" i="51" s="1"/>
  <c r="J163" i="51"/>
  <c r="M163" i="51" s="1"/>
  <c r="J162" i="51"/>
  <c r="M162" i="51" s="1"/>
  <c r="J161" i="51"/>
  <c r="M161" i="51" s="1"/>
  <c r="J160" i="51"/>
  <c r="M160" i="51" s="1"/>
  <c r="J159" i="51"/>
  <c r="M159" i="51" s="1"/>
  <c r="M158" i="51"/>
  <c r="J158" i="51"/>
  <c r="J157" i="51"/>
  <c r="M157" i="51" s="1"/>
  <c r="J156" i="51"/>
  <c r="M156" i="51" s="1"/>
  <c r="J155" i="51"/>
  <c r="M155" i="51" s="1"/>
  <c r="J154" i="51"/>
  <c r="M154" i="51" s="1"/>
  <c r="J153" i="51"/>
  <c r="M153" i="51" s="1"/>
  <c r="J152" i="51"/>
  <c r="M152" i="51" s="1"/>
  <c r="J151" i="51"/>
  <c r="M151" i="51" s="1"/>
  <c r="J150" i="51"/>
  <c r="M150" i="51" s="1"/>
  <c r="J149" i="51"/>
  <c r="M149" i="51" s="1"/>
  <c r="J148" i="51"/>
  <c r="M148" i="51" s="1"/>
  <c r="J147" i="51"/>
  <c r="M147" i="51" s="1"/>
  <c r="J146" i="51"/>
  <c r="M146" i="51" s="1"/>
  <c r="J145" i="51"/>
  <c r="M145" i="51" s="1"/>
  <c r="J144" i="51"/>
  <c r="M144" i="51" s="1"/>
  <c r="J143" i="51"/>
  <c r="M143" i="51" s="1"/>
  <c r="J142" i="51"/>
  <c r="M142" i="51" s="1"/>
  <c r="J141" i="51"/>
  <c r="M141" i="51" s="1"/>
  <c r="J140" i="51"/>
  <c r="M140" i="51" s="1"/>
  <c r="J139" i="51"/>
  <c r="M139" i="51" s="1"/>
  <c r="J138" i="51"/>
  <c r="M138" i="51" s="1"/>
  <c r="J137" i="51"/>
  <c r="M137" i="51" s="1"/>
  <c r="J136" i="51"/>
  <c r="M136" i="51" s="1"/>
  <c r="J135" i="51"/>
  <c r="M135" i="51" s="1"/>
  <c r="J134" i="51"/>
  <c r="M134" i="51" s="1"/>
  <c r="J133" i="51"/>
  <c r="M133" i="51" s="1"/>
  <c r="J132" i="51"/>
  <c r="M132" i="51" s="1"/>
  <c r="J131" i="51"/>
  <c r="M131" i="51" s="1"/>
  <c r="J130" i="51"/>
  <c r="M130" i="51" s="1"/>
  <c r="J129" i="51"/>
  <c r="M129" i="51" s="1"/>
  <c r="J128" i="51"/>
  <c r="M128" i="51" s="1"/>
  <c r="J127" i="51"/>
  <c r="M127" i="51" s="1"/>
  <c r="J126" i="51"/>
  <c r="M126" i="51" s="1"/>
  <c r="J125" i="51"/>
  <c r="M125" i="51" s="1"/>
  <c r="J124" i="51"/>
  <c r="M124" i="51" s="1"/>
  <c r="J123" i="51"/>
  <c r="M123" i="51" s="1"/>
  <c r="J122" i="51"/>
  <c r="M122" i="51" s="1"/>
  <c r="J121" i="51"/>
  <c r="M121" i="51" s="1"/>
  <c r="J120" i="51"/>
  <c r="M120" i="51" s="1"/>
  <c r="J119" i="51"/>
  <c r="M119" i="51" s="1"/>
  <c r="J118" i="51"/>
  <c r="M118" i="51" s="1"/>
  <c r="J117" i="51"/>
  <c r="M117" i="51" s="1"/>
  <c r="J116" i="51"/>
  <c r="M116" i="51" s="1"/>
  <c r="J115" i="51"/>
  <c r="M115" i="51" s="1"/>
  <c r="J114" i="51"/>
  <c r="M114" i="51" s="1"/>
  <c r="J113" i="51"/>
  <c r="M113" i="51" s="1"/>
  <c r="J112" i="51"/>
  <c r="M112" i="51" s="1"/>
  <c r="J111" i="51"/>
  <c r="M111" i="51" s="1"/>
  <c r="J110" i="51"/>
  <c r="M110" i="51" s="1"/>
  <c r="J109" i="51"/>
  <c r="M109" i="51" s="1"/>
  <c r="J108" i="51"/>
  <c r="M108" i="51" s="1"/>
  <c r="J107" i="51"/>
  <c r="M107" i="51" s="1"/>
  <c r="J106" i="51"/>
  <c r="M106" i="51" s="1"/>
  <c r="Z105" i="51"/>
  <c r="M105" i="51"/>
  <c r="J105" i="51"/>
  <c r="X104" i="51"/>
  <c r="Q104" i="51"/>
  <c r="S104" i="51" s="1"/>
  <c r="U104" i="51" s="1"/>
  <c r="J104" i="51"/>
  <c r="M104" i="51" s="1"/>
  <c r="X103" i="51"/>
  <c r="Q103" i="51"/>
  <c r="S103" i="51" s="1"/>
  <c r="U103" i="51" s="1"/>
  <c r="J103" i="51"/>
  <c r="M103" i="51" s="1"/>
  <c r="X102" i="51"/>
  <c r="Q102" i="51"/>
  <c r="S102" i="51" s="1"/>
  <c r="U102" i="51" s="1"/>
  <c r="J102" i="51"/>
  <c r="M102" i="51" s="1"/>
  <c r="X101" i="51"/>
  <c r="Q101" i="51"/>
  <c r="S101" i="51" s="1"/>
  <c r="U101" i="51" s="1"/>
  <c r="J101" i="51"/>
  <c r="M101" i="51" s="1"/>
  <c r="X100" i="51"/>
  <c r="Q100" i="51"/>
  <c r="S100" i="51" s="1"/>
  <c r="U100" i="51" s="1"/>
  <c r="J100" i="51"/>
  <c r="M100" i="51" s="1"/>
  <c r="X99" i="51"/>
  <c r="Q99" i="51"/>
  <c r="S99" i="51" s="1"/>
  <c r="U99" i="51" s="1"/>
  <c r="J99" i="51"/>
  <c r="M99" i="51" s="1"/>
  <c r="X98" i="51"/>
  <c r="S98" i="51"/>
  <c r="U98" i="51" s="1"/>
  <c r="Q98" i="51"/>
  <c r="J98" i="51"/>
  <c r="M98" i="51" s="1"/>
  <c r="X97" i="51"/>
  <c r="Q97" i="51"/>
  <c r="S97" i="51" s="1"/>
  <c r="U97" i="51" s="1"/>
  <c r="J97" i="51"/>
  <c r="M97" i="51" s="1"/>
  <c r="X96" i="51"/>
  <c r="Q96" i="51"/>
  <c r="S96" i="51" s="1"/>
  <c r="U96" i="51" s="1"/>
  <c r="J96" i="51"/>
  <c r="M96" i="51" s="1"/>
  <c r="X95" i="51"/>
  <c r="S95" i="51"/>
  <c r="U95" i="51" s="1"/>
  <c r="Q95" i="51"/>
  <c r="J95" i="51"/>
  <c r="M95" i="51" s="1"/>
  <c r="X94" i="51"/>
  <c r="Q94" i="51"/>
  <c r="S94" i="51" s="1"/>
  <c r="U94" i="51" s="1"/>
  <c r="J94" i="51"/>
  <c r="M94" i="51" s="1"/>
  <c r="X93" i="51"/>
  <c r="S93" i="51"/>
  <c r="U93" i="51" s="1"/>
  <c r="Q93" i="51"/>
  <c r="J93" i="51"/>
  <c r="M93" i="51" s="1"/>
  <c r="X92" i="51"/>
  <c r="Q92" i="51"/>
  <c r="S92" i="51" s="1"/>
  <c r="U92" i="51" s="1"/>
  <c r="J92" i="51"/>
  <c r="M92" i="51" s="1"/>
  <c r="X91" i="51"/>
  <c r="S91" i="51"/>
  <c r="U91" i="51" s="1"/>
  <c r="Q91" i="51"/>
  <c r="J91" i="51"/>
  <c r="M91" i="51" s="1"/>
  <c r="X90" i="51"/>
  <c r="S90" i="51"/>
  <c r="U90" i="51" s="1"/>
  <c r="Q90" i="51"/>
  <c r="J90" i="51"/>
  <c r="M90" i="51" s="1"/>
  <c r="X89" i="51"/>
  <c r="U89" i="51"/>
  <c r="Q89" i="51"/>
  <c r="S89" i="51" s="1"/>
  <c r="J89" i="51"/>
  <c r="M89" i="51" s="1"/>
  <c r="X88" i="51"/>
  <c r="Q88" i="51"/>
  <c r="S88" i="51" s="1"/>
  <c r="U88" i="51" s="1"/>
  <c r="J88" i="51"/>
  <c r="M88" i="51" s="1"/>
  <c r="X87" i="51"/>
  <c r="Q87" i="51"/>
  <c r="S87" i="51" s="1"/>
  <c r="U87" i="51" s="1"/>
  <c r="J87" i="51"/>
  <c r="M87" i="51" s="1"/>
  <c r="X86" i="51"/>
  <c r="Q86" i="51"/>
  <c r="S86" i="51" s="1"/>
  <c r="U86" i="51" s="1"/>
  <c r="J86" i="51"/>
  <c r="M86" i="51" s="1"/>
  <c r="X85" i="51"/>
  <c r="Q85" i="51"/>
  <c r="S85" i="51" s="1"/>
  <c r="U85" i="51" s="1"/>
  <c r="J85" i="51"/>
  <c r="M85" i="51" s="1"/>
  <c r="X84" i="51"/>
  <c r="Q84" i="51"/>
  <c r="S84" i="51" s="1"/>
  <c r="U84" i="51" s="1"/>
  <c r="J84" i="51"/>
  <c r="M84" i="51" s="1"/>
  <c r="X83" i="51"/>
  <c r="Q83" i="51"/>
  <c r="S83" i="51" s="1"/>
  <c r="U83" i="51" s="1"/>
  <c r="J83" i="51"/>
  <c r="M83" i="51" s="1"/>
  <c r="X82" i="51"/>
  <c r="S82" i="51"/>
  <c r="U82" i="51" s="1"/>
  <c r="Q82" i="51"/>
  <c r="J82" i="51"/>
  <c r="M82" i="51" s="1"/>
  <c r="X81" i="51"/>
  <c r="Q81" i="51"/>
  <c r="S81" i="51" s="1"/>
  <c r="U81" i="51" s="1"/>
  <c r="J81" i="51"/>
  <c r="M81" i="51" s="1"/>
  <c r="X80" i="51"/>
  <c r="Q80" i="51"/>
  <c r="S80" i="51" s="1"/>
  <c r="U80" i="51" s="1"/>
  <c r="J80" i="51"/>
  <c r="M80" i="51" s="1"/>
  <c r="X79" i="51"/>
  <c r="S79" i="51"/>
  <c r="U79" i="51" s="1"/>
  <c r="Q79" i="51"/>
  <c r="J79" i="51"/>
  <c r="M79" i="51" s="1"/>
  <c r="X78" i="51"/>
  <c r="Q78" i="51"/>
  <c r="S78" i="51" s="1"/>
  <c r="U78" i="51" s="1"/>
  <c r="J78" i="51"/>
  <c r="M78" i="51" s="1"/>
  <c r="X77" i="51"/>
  <c r="S77" i="51"/>
  <c r="U77" i="51" s="1"/>
  <c r="Q77" i="51"/>
  <c r="J77" i="51"/>
  <c r="M77" i="51" s="1"/>
  <c r="X76" i="51"/>
  <c r="Q76" i="51"/>
  <c r="S76" i="51" s="1"/>
  <c r="U76" i="51" s="1"/>
  <c r="J76" i="51"/>
  <c r="M76" i="51" s="1"/>
  <c r="X75" i="51"/>
  <c r="S75" i="51"/>
  <c r="U75" i="51" s="1"/>
  <c r="Q75" i="51"/>
  <c r="J75" i="51"/>
  <c r="M75" i="51" s="1"/>
  <c r="X74" i="51"/>
  <c r="S74" i="51"/>
  <c r="U74" i="51" s="1"/>
  <c r="Q74" i="51"/>
  <c r="J74" i="51"/>
  <c r="M74" i="51" s="1"/>
  <c r="X73" i="51"/>
  <c r="Q73" i="51"/>
  <c r="S73" i="51" s="1"/>
  <c r="U73" i="51" s="1"/>
  <c r="M73" i="51"/>
  <c r="J73" i="51"/>
  <c r="X72" i="51"/>
  <c r="Q72" i="51"/>
  <c r="S72" i="51" s="1"/>
  <c r="U72" i="51" s="1"/>
  <c r="J72" i="51"/>
  <c r="M72" i="51" s="1"/>
  <c r="X71" i="51"/>
  <c r="Q71" i="51"/>
  <c r="S71" i="51" s="1"/>
  <c r="U71" i="51" s="1"/>
  <c r="J71" i="51"/>
  <c r="M71" i="51" s="1"/>
  <c r="X70" i="51"/>
  <c r="Q70" i="51"/>
  <c r="S70" i="51" s="1"/>
  <c r="U70" i="51" s="1"/>
  <c r="J70" i="51"/>
  <c r="M70" i="51" s="1"/>
  <c r="X69" i="51"/>
  <c r="Q69" i="51"/>
  <c r="S69" i="51" s="1"/>
  <c r="U69" i="51" s="1"/>
  <c r="J69" i="51"/>
  <c r="M69" i="51" s="1"/>
  <c r="X68" i="51"/>
  <c r="Q68" i="51"/>
  <c r="S68" i="51" s="1"/>
  <c r="U68" i="51" s="1"/>
  <c r="J68" i="51"/>
  <c r="M68" i="51" s="1"/>
  <c r="X67" i="51"/>
  <c r="Q67" i="51"/>
  <c r="S67" i="51" s="1"/>
  <c r="U67" i="51" s="1"/>
  <c r="J67" i="51"/>
  <c r="M67" i="51" s="1"/>
  <c r="X66" i="51"/>
  <c r="S66" i="51"/>
  <c r="U66" i="51" s="1"/>
  <c r="Q66" i="51"/>
  <c r="J66" i="51"/>
  <c r="M66" i="51" s="1"/>
  <c r="X65" i="51"/>
  <c r="Q65" i="51"/>
  <c r="S65" i="51" s="1"/>
  <c r="U65" i="51" s="1"/>
  <c r="J65" i="51"/>
  <c r="M65" i="51" s="1"/>
  <c r="X64" i="51"/>
  <c r="Q64" i="51"/>
  <c r="S64" i="51" s="1"/>
  <c r="U64" i="51" s="1"/>
  <c r="J64" i="51"/>
  <c r="M64" i="51" s="1"/>
  <c r="X63" i="51"/>
  <c r="S63" i="51"/>
  <c r="U63" i="51" s="1"/>
  <c r="Q63" i="51"/>
  <c r="J63" i="51"/>
  <c r="M63" i="51" s="1"/>
  <c r="X62" i="51"/>
  <c r="Q62" i="51"/>
  <c r="S62" i="51" s="1"/>
  <c r="U62" i="51" s="1"/>
  <c r="M62" i="51"/>
  <c r="J62" i="51"/>
  <c r="X61" i="51"/>
  <c r="Q61" i="51"/>
  <c r="S61" i="51" s="1"/>
  <c r="U61" i="51" s="1"/>
  <c r="J61" i="51"/>
  <c r="M61" i="51" s="1"/>
  <c r="X60" i="51"/>
  <c r="Q60" i="51"/>
  <c r="S60" i="51" s="1"/>
  <c r="U60" i="51" s="1"/>
  <c r="J60" i="51"/>
  <c r="M60" i="51" s="1"/>
  <c r="X59" i="51"/>
  <c r="Q59" i="51"/>
  <c r="S59" i="51" s="1"/>
  <c r="U59" i="51" s="1"/>
  <c r="J59" i="51"/>
  <c r="M59" i="51" s="1"/>
  <c r="X58" i="51"/>
  <c r="Q58" i="51"/>
  <c r="S58" i="51" s="1"/>
  <c r="U58" i="51" s="1"/>
  <c r="J58" i="51"/>
  <c r="M58" i="51" s="1"/>
  <c r="X57" i="51"/>
  <c r="Q57" i="51"/>
  <c r="S57" i="51" s="1"/>
  <c r="U57" i="51" s="1"/>
  <c r="J57" i="51"/>
  <c r="M57" i="51" s="1"/>
  <c r="X56" i="51"/>
  <c r="Q56" i="51"/>
  <c r="S56" i="51" s="1"/>
  <c r="U56" i="51" s="1"/>
  <c r="J56" i="51"/>
  <c r="M56" i="51" s="1"/>
  <c r="X55" i="51"/>
  <c r="Q55" i="51"/>
  <c r="S55" i="51" s="1"/>
  <c r="U55" i="51" s="1"/>
  <c r="J55" i="51"/>
  <c r="M55" i="51" s="1"/>
  <c r="X54" i="51"/>
  <c r="Q54" i="51"/>
  <c r="S54" i="51" s="1"/>
  <c r="U54" i="51" s="1"/>
  <c r="J54" i="51"/>
  <c r="M54" i="51" s="1"/>
  <c r="X53" i="51"/>
  <c r="Q53" i="51"/>
  <c r="S53" i="51" s="1"/>
  <c r="U53" i="51" s="1"/>
  <c r="J53" i="51"/>
  <c r="M53" i="51" s="1"/>
  <c r="X52" i="51"/>
  <c r="Q52" i="51"/>
  <c r="S52" i="51" s="1"/>
  <c r="U52" i="51" s="1"/>
  <c r="M52" i="51"/>
  <c r="J52" i="51"/>
  <c r="X51" i="51"/>
  <c r="Q51" i="51"/>
  <c r="S51" i="51" s="1"/>
  <c r="U51" i="51" s="1"/>
  <c r="J51" i="51"/>
  <c r="M51" i="51" s="1"/>
  <c r="X50" i="51"/>
  <c r="Q50" i="51"/>
  <c r="S50" i="51" s="1"/>
  <c r="U50" i="51" s="1"/>
  <c r="J50" i="51"/>
  <c r="M50" i="51" s="1"/>
  <c r="X49" i="51"/>
  <c r="Q49" i="51"/>
  <c r="S49" i="51" s="1"/>
  <c r="U49" i="51" s="1"/>
  <c r="J49" i="51"/>
  <c r="M49" i="51" s="1"/>
  <c r="X48" i="51"/>
  <c r="Q48" i="51"/>
  <c r="S48" i="51" s="1"/>
  <c r="U48" i="51" s="1"/>
  <c r="J48" i="51"/>
  <c r="M48" i="51" s="1"/>
  <c r="X47" i="51"/>
  <c r="S47" i="51"/>
  <c r="U47" i="51" s="1"/>
  <c r="Q47" i="51"/>
  <c r="J47" i="51"/>
  <c r="M47" i="51" s="1"/>
  <c r="X46" i="51"/>
  <c r="Q46" i="51"/>
  <c r="S46" i="51" s="1"/>
  <c r="U46" i="51" s="1"/>
  <c r="J46" i="51"/>
  <c r="M46" i="51" s="1"/>
  <c r="X45" i="51"/>
  <c r="Q45" i="51"/>
  <c r="S45" i="51" s="1"/>
  <c r="U45" i="51" s="1"/>
  <c r="J45" i="51"/>
  <c r="M45" i="51" s="1"/>
  <c r="X44" i="51"/>
  <c r="Q44" i="51"/>
  <c r="S44" i="51" s="1"/>
  <c r="U44" i="51" s="1"/>
  <c r="J44" i="51"/>
  <c r="M44" i="51" s="1"/>
  <c r="X43" i="51"/>
  <c r="Q43" i="51"/>
  <c r="S43" i="51" s="1"/>
  <c r="U43" i="51" s="1"/>
  <c r="J43" i="51"/>
  <c r="M43" i="51" s="1"/>
  <c r="X42" i="51"/>
  <c r="Q42" i="51"/>
  <c r="S42" i="51" s="1"/>
  <c r="U42" i="51" s="1"/>
  <c r="J42" i="51"/>
  <c r="M42" i="51" s="1"/>
  <c r="X41" i="51"/>
  <c r="Q41" i="51"/>
  <c r="S41" i="51" s="1"/>
  <c r="U41" i="51" s="1"/>
  <c r="J41" i="51"/>
  <c r="M41" i="51" s="1"/>
  <c r="X40" i="51"/>
  <c r="Q40" i="51"/>
  <c r="S40" i="51" s="1"/>
  <c r="U40" i="51" s="1"/>
  <c r="J40" i="51"/>
  <c r="M40" i="51" s="1"/>
  <c r="X39" i="51"/>
  <c r="Q39" i="51"/>
  <c r="S39" i="51" s="1"/>
  <c r="U39" i="51" s="1"/>
  <c r="J39" i="51"/>
  <c r="M39" i="51" s="1"/>
  <c r="X38" i="51"/>
  <c r="Q38" i="51"/>
  <c r="S38" i="51" s="1"/>
  <c r="U38" i="51" s="1"/>
  <c r="J38" i="51"/>
  <c r="M38" i="51" s="1"/>
  <c r="X37" i="51"/>
  <c r="Q37" i="51"/>
  <c r="S37" i="51" s="1"/>
  <c r="U37" i="51" s="1"/>
  <c r="J37" i="51"/>
  <c r="M37" i="51" s="1"/>
  <c r="X36" i="51"/>
  <c r="Q36" i="51"/>
  <c r="S36" i="51" s="1"/>
  <c r="U36" i="51" s="1"/>
  <c r="J36" i="51"/>
  <c r="M36" i="51" s="1"/>
  <c r="X35" i="51"/>
  <c r="Q35" i="51"/>
  <c r="S35" i="51" s="1"/>
  <c r="U35" i="51" s="1"/>
  <c r="J35" i="51"/>
  <c r="M35" i="51" s="1"/>
  <c r="X34" i="51"/>
  <c r="Q34" i="51"/>
  <c r="S34" i="51" s="1"/>
  <c r="U34" i="51" s="1"/>
  <c r="J34" i="51"/>
  <c r="M34" i="51" s="1"/>
  <c r="X33" i="51"/>
  <c r="Q33" i="51"/>
  <c r="S33" i="51" s="1"/>
  <c r="U33" i="51" s="1"/>
  <c r="J33" i="51"/>
  <c r="M33" i="51" s="1"/>
  <c r="X32" i="51"/>
  <c r="Q32" i="51"/>
  <c r="S32" i="51" s="1"/>
  <c r="U32" i="51" s="1"/>
  <c r="J32" i="51"/>
  <c r="M32" i="51" s="1"/>
  <c r="X31" i="51"/>
  <c r="Q31" i="51"/>
  <c r="S31" i="51" s="1"/>
  <c r="U31" i="51" s="1"/>
  <c r="J31" i="51"/>
  <c r="M31" i="51" s="1"/>
  <c r="X30" i="51"/>
  <c r="Q30" i="51"/>
  <c r="S30" i="51" s="1"/>
  <c r="U30" i="51" s="1"/>
  <c r="J30" i="51"/>
  <c r="M30" i="51" s="1"/>
  <c r="X29" i="51"/>
  <c r="Q29" i="51"/>
  <c r="S29" i="51" s="1"/>
  <c r="U29" i="51" s="1"/>
  <c r="J29" i="51"/>
  <c r="M29" i="51" s="1"/>
  <c r="X28" i="51"/>
  <c r="Q28" i="51"/>
  <c r="S28" i="51" s="1"/>
  <c r="U28" i="51" s="1"/>
  <c r="J28" i="51"/>
  <c r="M28" i="51" s="1"/>
  <c r="X27" i="51"/>
  <c r="Q27" i="51"/>
  <c r="S27" i="51" s="1"/>
  <c r="U27" i="51" s="1"/>
  <c r="J27" i="51"/>
  <c r="M27" i="51" s="1"/>
  <c r="X26" i="51"/>
  <c r="Q26" i="51"/>
  <c r="S26" i="51" s="1"/>
  <c r="U26" i="51" s="1"/>
  <c r="J26" i="51"/>
  <c r="M26" i="51" s="1"/>
  <c r="X25" i="51"/>
  <c r="Q25" i="51"/>
  <c r="S25" i="51" s="1"/>
  <c r="U25" i="51" s="1"/>
  <c r="J25" i="51"/>
  <c r="M25" i="51" s="1"/>
  <c r="X24" i="51"/>
  <c r="Q24" i="51"/>
  <c r="S24" i="51" s="1"/>
  <c r="U24" i="51" s="1"/>
  <c r="J24" i="51"/>
  <c r="M24" i="51" s="1"/>
  <c r="X23" i="51"/>
  <c r="Q23" i="51"/>
  <c r="S23" i="51" s="1"/>
  <c r="U23" i="51" s="1"/>
  <c r="J23" i="51"/>
  <c r="M23" i="51" s="1"/>
  <c r="X22" i="51"/>
  <c r="S22" i="51"/>
  <c r="U22" i="51" s="1"/>
  <c r="Q22" i="51"/>
  <c r="J22" i="51"/>
  <c r="M22" i="51" s="1"/>
  <c r="X21" i="51"/>
  <c r="Q21" i="51"/>
  <c r="S21" i="51" s="1"/>
  <c r="U21" i="51" s="1"/>
  <c r="J21" i="51"/>
  <c r="M21" i="51" s="1"/>
  <c r="X20" i="51"/>
  <c r="Q20" i="51"/>
  <c r="S20" i="51" s="1"/>
  <c r="U20" i="51" s="1"/>
  <c r="J20" i="51"/>
  <c r="M20" i="51" s="1"/>
  <c r="X19" i="51"/>
  <c r="Q19" i="51"/>
  <c r="S19" i="51" s="1"/>
  <c r="U19" i="51" s="1"/>
  <c r="J19" i="51"/>
  <c r="M19" i="51" s="1"/>
  <c r="X18" i="51"/>
  <c r="S18" i="51"/>
  <c r="U18" i="51" s="1"/>
  <c r="Q18" i="51"/>
  <c r="J18" i="51"/>
  <c r="M18" i="51" s="1"/>
  <c r="X17" i="51"/>
  <c r="U17" i="51"/>
  <c r="S17" i="51"/>
  <c r="Q17" i="51"/>
  <c r="J17" i="51"/>
  <c r="M17" i="51" s="1"/>
  <c r="X16" i="51"/>
  <c r="Q16" i="51"/>
  <c r="S16" i="51" s="1"/>
  <c r="U16" i="51" s="1"/>
  <c r="J16" i="51"/>
  <c r="M16" i="51" s="1"/>
  <c r="X15" i="51"/>
  <c r="Q15" i="51"/>
  <c r="S15" i="51" s="1"/>
  <c r="U15" i="51" s="1"/>
  <c r="J15" i="51"/>
  <c r="M15" i="51" s="1"/>
  <c r="X14" i="51"/>
  <c r="S14" i="51"/>
  <c r="U14" i="51" s="1"/>
  <c r="Q14" i="51"/>
  <c r="J14" i="51"/>
  <c r="M14" i="51" s="1"/>
  <c r="X13" i="51"/>
  <c r="S13" i="51"/>
  <c r="U13" i="51" s="1"/>
  <c r="Q13" i="51"/>
  <c r="J13" i="51"/>
  <c r="M13" i="51" s="1"/>
  <c r="X12" i="51"/>
  <c r="Q12" i="51"/>
  <c r="S12" i="51" s="1"/>
  <c r="U12" i="51" s="1"/>
  <c r="J12" i="51"/>
  <c r="M12" i="51" s="1"/>
  <c r="X11" i="51"/>
  <c r="Q11" i="51"/>
  <c r="S11" i="51" s="1"/>
  <c r="U11" i="51" s="1"/>
  <c r="J11" i="51"/>
  <c r="M11" i="51" s="1"/>
  <c r="X10" i="51"/>
  <c r="Q10" i="51"/>
  <c r="S10" i="51" s="1"/>
  <c r="U10" i="51" s="1"/>
  <c r="J10" i="51"/>
  <c r="M10" i="51" s="1"/>
  <c r="X9" i="51"/>
  <c r="Q9" i="51"/>
  <c r="S9" i="51" s="1"/>
  <c r="U9" i="51" s="1"/>
  <c r="J9" i="51"/>
  <c r="M9" i="51" s="1"/>
  <c r="X8" i="51"/>
  <c r="Q8" i="51"/>
  <c r="S8" i="51" s="1"/>
  <c r="U8" i="51" s="1"/>
  <c r="J8" i="51"/>
  <c r="M8" i="51" s="1"/>
  <c r="X7" i="51"/>
  <c r="Q7" i="51"/>
  <c r="S7" i="51" s="1"/>
  <c r="U7" i="51" s="1"/>
  <c r="J7" i="51"/>
  <c r="M7" i="51" s="1"/>
  <c r="X6" i="51"/>
  <c r="S6" i="51"/>
  <c r="U6" i="51" s="1"/>
  <c r="Q6" i="51"/>
  <c r="J6" i="51"/>
  <c r="M6" i="51" s="1"/>
  <c r="X5" i="51"/>
  <c r="U5" i="51"/>
  <c r="Q5" i="51"/>
  <c r="S5" i="51" s="1"/>
  <c r="J5" i="51"/>
  <c r="K212" i="50"/>
  <c r="N21" i="15" s="1"/>
  <c r="K209" i="50"/>
  <c r="J204" i="50"/>
  <c r="M204" i="50" s="1"/>
  <c r="J203" i="50"/>
  <c r="M203" i="50" s="1"/>
  <c r="J202" i="50"/>
  <c r="M202" i="50" s="1"/>
  <c r="J201" i="50"/>
  <c r="M201" i="50" s="1"/>
  <c r="J200" i="50"/>
  <c r="M200" i="50" s="1"/>
  <c r="M199" i="50"/>
  <c r="J199" i="50"/>
  <c r="J198" i="50"/>
  <c r="M198" i="50" s="1"/>
  <c r="J197" i="50"/>
  <c r="M197" i="50" s="1"/>
  <c r="J196" i="50"/>
  <c r="M196" i="50" s="1"/>
  <c r="J195" i="50"/>
  <c r="M195" i="50" s="1"/>
  <c r="J194" i="50"/>
  <c r="M194" i="50" s="1"/>
  <c r="J193" i="50"/>
  <c r="M193" i="50" s="1"/>
  <c r="J192" i="50"/>
  <c r="M192" i="50" s="1"/>
  <c r="J191" i="50"/>
  <c r="M191" i="50" s="1"/>
  <c r="J190" i="50"/>
  <c r="M190" i="50" s="1"/>
  <c r="J189" i="50"/>
  <c r="M189" i="50" s="1"/>
  <c r="J188" i="50"/>
  <c r="M188" i="50" s="1"/>
  <c r="J187" i="50"/>
  <c r="M187" i="50" s="1"/>
  <c r="J186" i="50"/>
  <c r="M186" i="50" s="1"/>
  <c r="J185" i="50"/>
  <c r="M185" i="50" s="1"/>
  <c r="J184" i="50"/>
  <c r="M184" i="50" s="1"/>
  <c r="J183" i="50"/>
  <c r="M183" i="50" s="1"/>
  <c r="J182" i="50"/>
  <c r="M182" i="50" s="1"/>
  <c r="J181" i="50"/>
  <c r="M181" i="50" s="1"/>
  <c r="J180" i="50"/>
  <c r="M180" i="50" s="1"/>
  <c r="J179" i="50"/>
  <c r="M179" i="50" s="1"/>
  <c r="J178" i="50"/>
  <c r="M178" i="50" s="1"/>
  <c r="J177" i="50"/>
  <c r="M177" i="50" s="1"/>
  <c r="J176" i="50"/>
  <c r="M176" i="50" s="1"/>
  <c r="J175" i="50"/>
  <c r="M175" i="50" s="1"/>
  <c r="J174" i="50"/>
  <c r="M174" i="50" s="1"/>
  <c r="J173" i="50"/>
  <c r="M173" i="50" s="1"/>
  <c r="J172" i="50"/>
  <c r="M172" i="50" s="1"/>
  <c r="J171" i="50"/>
  <c r="M171" i="50" s="1"/>
  <c r="J170" i="50"/>
  <c r="M170" i="50" s="1"/>
  <c r="J169" i="50"/>
  <c r="M169" i="50" s="1"/>
  <c r="J168" i="50"/>
  <c r="M168" i="50" s="1"/>
  <c r="J167" i="50"/>
  <c r="M167" i="50" s="1"/>
  <c r="J166" i="50"/>
  <c r="M166" i="50" s="1"/>
  <c r="J165" i="50"/>
  <c r="M165" i="50" s="1"/>
  <c r="J164" i="50"/>
  <c r="M164" i="50" s="1"/>
  <c r="J163" i="50"/>
  <c r="M163" i="50" s="1"/>
  <c r="J162" i="50"/>
  <c r="M162" i="50" s="1"/>
  <c r="J161" i="50"/>
  <c r="M161" i="50" s="1"/>
  <c r="J160" i="50"/>
  <c r="M160" i="50" s="1"/>
  <c r="J159" i="50"/>
  <c r="M159" i="50" s="1"/>
  <c r="J158" i="50"/>
  <c r="M158" i="50" s="1"/>
  <c r="J157" i="50"/>
  <c r="M157" i="50" s="1"/>
  <c r="J156" i="50"/>
  <c r="M156" i="50" s="1"/>
  <c r="J155" i="50"/>
  <c r="M155" i="50" s="1"/>
  <c r="J154" i="50"/>
  <c r="M154" i="50" s="1"/>
  <c r="J153" i="50"/>
  <c r="M153" i="50" s="1"/>
  <c r="J152" i="50"/>
  <c r="M152" i="50" s="1"/>
  <c r="J151" i="50"/>
  <c r="M151" i="50" s="1"/>
  <c r="J150" i="50"/>
  <c r="M150" i="50" s="1"/>
  <c r="J149" i="50"/>
  <c r="M149" i="50" s="1"/>
  <c r="J148" i="50"/>
  <c r="M148" i="50" s="1"/>
  <c r="J147" i="50"/>
  <c r="M147" i="50" s="1"/>
  <c r="J146" i="50"/>
  <c r="M146" i="50" s="1"/>
  <c r="J145" i="50"/>
  <c r="M145" i="50" s="1"/>
  <c r="J144" i="50"/>
  <c r="M144" i="50" s="1"/>
  <c r="J143" i="50"/>
  <c r="M143" i="50" s="1"/>
  <c r="J142" i="50"/>
  <c r="M142" i="50" s="1"/>
  <c r="J141" i="50"/>
  <c r="M141" i="50" s="1"/>
  <c r="J140" i="50"/>
  <c r="M140" i="50" s="1"/>
  <c r="J139" i="50"/>
  <c r="M139" i="50" s="1"/>
  <c r="J138" i="50"/>
  <c r="M138" i="50" s="1"/>
  <c r="J137" i="50"/>
  <c r="M137" i="50" s="1"/>
  <c r="J136" i="50"/>
  <c r="M136" i="50" s="1"/>
  <c r="J135" i="50"/>
  <c r="M135" i="50" s="1"/>
  <c r="J134" i="50"/>
  <c r="M134" i="50" s="1"/>
  <c r="J133" i="50"/>
  <c r="M133" i="50" s="1"/>
  <c r="J132" i="50"/>
  <c r="M132" i="50" s="1"/>
  <c r="J131" i="50"/>
  <c r="M131" i="50" s="1"/>
  <c r="M130" i="50"/>
  <c r="J130" i="50"/>
  <c r="J129" i="50"/>
  <c r="M129" i="50" s="1"/>
  <c r="J128" i="50"/>
  <c r="M128" i="50" s="1"/>
  <c r="J127" i="50"/>
  <c r="M127" i="50" s="1"/>
  <c r="J126" i="50"/>
  <c r="M126" i="50" s="1"/>
  <c r="J125" i="50"/>
  <c r="M125" i="50" s="1"/>
  <c r="J124" i="50"/>
  <c r="M124" i="50" s="1"/>
  <c r="J123" i="50"/>
  <c r="M123" i="50" s="1"/>
  <c r="J122" i="50"/>
  <c r="M122" i="50" s="1"/>
  <c r="J121" i="50"/>
  <c r="M121" i="50" s="1"/>
  <c r="J120" i="50"/>
  <c r="M120" i="50" s="1"/>
  <c r="J119" i="50"/>
  <c r="M119" i="50" s="1"/>
  <c r="J118" i="50"/>
  <c r="M118" i="50" s="1"/>
  <c r="J117" i="50"/>
  <c r="M117" i="50" s="1"/>
  <c r="J116" i="50"/>
  <c r="M116" i="50" s="1"/>
  <c r="J115" i="50"/>
  <c r="M115" i="50" s="1"/>
  <c r="M114" i="50"/>
  <c r="J114" i="50"/>
  <c r="J113" i="50"/>
  <c r="M113" i="50" s="1"/>
  <c r="J112" i="50"/>
  <c r="M112" i="50" s="1"/>
  <c r="J111" i="50"/>
  <c r="M111" i="50" s="1"/>
  <c r="J110" i="50"/>
  <c r="M110" i="50" s="1"/>
  <c r="J109" i="50"/>
  <c r="M109" i="50" s="1"/>
  <c r="J108" i="50"/>
  <c r="M108" i="50" s="1"/>
  <c r="M107" i="50"/>
  <c r="J107" i="50"/>
  <c r="J106" i="50"/>
  <c r="M106" i="50" s="1"/>
  <c r="Z105" i="50"/>
  <c r="J105" i="50"/>
  <c r="M105" i="50" s="1"/>
  <c r="X104" i="50"/>
  <c r="Q104" i="50"/>
  <c r="S104" i="50" s="1"/>
  <c r="U104" i="50" s="1"/>
  <c r="J104" i="50"/>
  <c r="M104" i="50" s="1"/>
  <c r="X103" i="50"/>
  <c r="Q103" i="50"/>
  <c r="S103" i="50" s="1"/>
  <c r="U103" i="50" s="1"/>
  <c r="J103" i="50"/>
  <c r="M103" i="50" s="1"/>
  <c r="X102" i="50"/>
  <c r="Q102" i="50"/>
  <c r="S102" i="50" s="1"/>
  <c r="U102" i="50" s="1"/>
  <c r="J102" i="50"/>
  <c r="M102" i="50" s="1"/>
  <c r="X101" i="50"/>
  <c r="Q101" i="50"/>
  <c r="S101" i="50" s="1"/>
  <c r="U101" i="50" s="1"/>
  <c r="J101" i="50"/>
  <c r="M101" i="50" s="1"/>
  <c r="X100" i="50"/>
  <c r="Q100" i="50"/>
  <c r="S100" i="50" s="1"/>
  <c r="U100" i="50" s="1"/>
  <c r="M100" i="50"/>
  <c r="J100" i="50"/>
  <c r="X99" i="50"/>
  <c r="Q99" i="50"/>
  <c r="S99" i="50" s="1"/>
  <c r="U99" i="50" s="1"/>
  <c r="J99" i="50"/>
  <c r="M99" i="50" s="1"/>
  <c r="X98" i="50"/>
  <c r="S98" i="50"/>
  <c r="U98" i="50" s="1"/>
  <c r="Q98" i="50"/>
  <c r="J98" i="50"/>
  <c r="M98" i="50" s="1"/>
  <c r="X97" i="50"/>
  <c r="S97" i="50"/>
  <c r="U97" i="50" s="1"/>
  <c r="Q97" i="50"/>
  <c r="J97" i="50"/>
  <c r="M97" i="50" s="1"/>
  <c r="X96" i="50"/>
  <c r="Q96" i="50"/>
  <c r="S96" i="50" s="1"/>
  <c r="U96" i="50" s="1"/>
  <c r="J96" i="50"/>
  <c r="M96" i="50" s="1"/>
  <c r="X95" i="50"/>
  <c r="S95" i="50"/>
  <c r="U95" i="50" s="1"/>
  <c r="Q95" i="50"/>
  <c r="J95" i="50"/>
  <c r="M95" i="50" s="1"/>
  <c r="X94" i="50"/>
  <c r="Q94" i="50"/>
  <c r="S94" i="50" s="1"/>
  <c r="U94" i="50" s="1"/>
  <c r="J94" i="50"/>
  <c r="M94" i="50" s="1"/>
  <c r="X93" i="50"/>
  <c r="Q93" i="50"/>
  <c r="S93" i="50" s="1"/>
  <c r="U93" i="50" s="1"/>
  <c r="J93" i="50"/>
  <c r="M93" i="50" s="1"/>
  <c r="X92" i="50"/>
  <c r="Q92" i="50"/>
  <c r="S92" i="50" s="1"/>
  <c r="U92" i="50" s="1"/>
  <c r="J92" i="50"/>
  <c r="M92" i="50" s="1"/>
  <c r="X91" i="50"/>
  <c r="Q91" i="50"/>
  <c r="S91" i="50" s="1"/>
  <c r="U91" i="50" s="1"/>
  <c r="J91" i="50"/>
  <c r="M91" i="50" s="1"/>
  <c r="X90" i="50"/>
  <c r="Q90" i="50"/>
  <c r="S90" i="50" s="1"/>
  <c r="U90" i="50" s="1"/>
  <c r="J90" i="50"/>
  <c r="M90" i="50" s="1"/>
  <c r="X89" i="50"/>
  <c r="Q89" i="50"/>
  <c r="S89" i="50" s="1"/>
  <c r="U89" i="50" s="1"/>
  <c r="J89" i="50"/>
  <c r="M89" i="50" s="1"/>
  <c r="X88" i="50"/>
  <c r="Q88" i="50"/>
  <c r="S88" i="50" s="1"/>
  <c r="U88" i="50" s="1"/>
  <c r="M88" i="50"/>
  <c r="J88" i="50"/>
  <c r="X87" i="50"/>
  <c r="Q87" i="50"/>
  <c r="S87" i="50" s="1"/>
  <c r="U87" i="50" s="1"/>
  <c r="J87" i="50"/>
  <c r="M87" i="50" s="1"/>
  <c r="X86" i="50"/>
  <c r="Q86" i="50"/>
  <c r="S86" i="50" s="1"/>
  <c r="U86" i="50" s="1"/>
  <c r="J86" i="50"/>
  <c r="M86" i="50" s="1"/>
  <c r="X85" i="50"/>
  <c r="Q85" i="50"/>
  <c r="S85" i="50" s="1"/>
  <c r="U85" i="50" s="1"/>
  <c r="J85" i="50"/>
  <c r="M85" i="50" s="1"/>
  <c r="X84" i="50"/>
  <c r="Q84" i="50"/>
  <c r="S84" i="50" s="1"/>
  <c r="U84" i="50" s="1"/>
  <c r="J84" i="50"/>
  <c r="M84" i="50" s="1"/>
  <c r="X83" i="50"/>
  <c r="Q83" i="50"/>
  <c r="S83" i="50" s="1"/>
  <c r="U83" i="50" s="1"/>
  <c r="J83" i="50"/>
  <c r="M83" i="50" s="1"/>
  <c r="X82" i="50"/>
  <c r="Q82" i="50"/>
  <c r="S82" i="50" s="1"/>
  <c r="U82" i="50" s="1"/>
  <c r="J82" i="50"/>
  <c r="M82" i="50" s="1"/>
  <c r="X81" i="50"/>
  <c r="Q81" i="50"/>
  <c r="S81" i="50" s="1"/>
  <c r="U81" i="50" s="1"/>
  <c r="J81" i="50"/>
  <c r="M81" i="50" s="1"/>
  <c r="X80" i="50"/>
  <c r="Q80" i="50"/>
  <c r="S80" i="50" s="1"/>
  <c r="U80" i="50" s="1"/>
  <c r="J80" i="50"/>
  <c r="M80" i="50" s="1"/>
  <c r="X79" i="50"/>
  <c r="Q79" i="50"/>
  <c r="S79" i="50" s="1"/>
  <c r="U79" i="50" s="1"/>
  <c r="J79" i="50"/>
  <c r="M79" i="50" s="1"/>
  <c r="X78" i="50"/>
  <c r="Q78" i="50"/>
  <c r="S78" i="50" s="1"/>
  <c r="U78" i="50" s="1"/>
  <c r="J78" i="50"/>
  <c r="M78" i="50" s="1"/>
  <c r="X77" i="50"/>
  <c r="S77" i="50"/>
  <c r="U77" i="50" s="1"/>
  <c r="Q77" i="50"/>
  <c r="J77" i="50"/>
  <c r="M77" i="50" s="1"/>
  <c r="X76" i="50"/>
  <c r="Q76" i="50"/>
  <c r="S76" i="50" s="1"/>
  <c r="U76" i="50" s="1"/>
  <c r="M76" i="50"/>
  <c r="J76" i="50"/>
  <c r="X75" i="50"/>
  <c r="S75" i="50"/>
  <c r="U75" i="50" s="1"/>
  <c r="Q75" i="50"/>
  <c r="J75" i="50"/>
  <c r="M75" i="50" s="1"/>
  <c r="X74" i="50"/>
  <c r="S74" i="50"/>
  <c r="U74" i="50" s="1"/>
  <c r="Q74" i="50"/>
  <c r="J74" i="50"/>
  <c r="M74" i="50" s="1"/>
  <c r="X73" i="50"/>
  <c r="Q73" i="50"/>
  <c r="S73" i="50" s="1"/>
  <c r="U73" i="50" s="1"/>
  <c r="J73" i="50"/>
  <c r="M73" i="50" s="1"/>
  <c r="X72" i="50"/>
  <c r="Q72" i="50"/>
  <c r="S72" i="50" s="1"/>
  <c r="U72" i="50" s="1"/>
  <c r="J72" i="50"/>
  <c r="M72" i="50" s="1"/>
  <c r="X71" i="50"/>
  <c r="Q71" i="50"/>
  <c r="S71" i="50" s="1"/>
  <c r="U71" i="50" s="1"/>
  <c r="J71" i="50"/>
  <c r="M71" i="50" s="1"/>
  <c r="X70" i="50"/>
  <c r="S70" i="50"/>
  <c r="U70" i="50" s="1"/>
  <c r="Q70" i="50"/>
  <c r="J70" i="50"/>
  <c r="M70" i="50" s="1"/>
  <c r="X69" i="50"/>
  <c r="Q69" i="50"/>
  <c r="S69" i="50" s="1"/>
  <c r="U69" i="50" s="1"/>
  <c r="M69" i="50"/>
  <c r="J69" i="50"/>
  <c r="X68" i="50"/>
  <c r="Q68" i="50"/>
  <c r="S68" i="50" s="1"/>
  <c r="U68" i="50" s="1"/>
  <c r="J68" i="50"/>
  <c r="M68" i="50" s="1"/>
  <c r="X67" i="50"/>
  <c r="Q67" i="50"/>
  <c r="S67" i="50" s="1"/>
  <c r="U67" i="50" s="1"/>
  <c r="J67" i="50"/>
  <c r="M67" i="50" s="1"/>
  <c r="X66" i="50"/>
  <c r="S66" i="50"/>
  <c r="U66" i="50" s="1"/>
  <c r="Q66" i="50"/>
  <c r="J66" i="50"/>
  <c r="M66" i="50" s="1"/>
  <c r="X65" i="50"/>
  <c r="Q65" i="50"/>
  <c r="S65" i="50" s="1"/>
  <c r="U65" i="50" s="1"/>
  <c r="J65" i="50"/>
  <c r="M65" i="50" s="1"/>
  <c r="X64" i="50"/>
  <c r="Q64" i="50"/>
  <c r="S64" i="50" s="1"/>
  <c r="U64" i="50" s="1"/>
  <c r="J64" i="50"/>
  <c r="M64" i="50" s="1"/>
  <c r="X63" i="50"/>
  <c r="S63" i="50"/>
  <c r="U63" i="50" s="1"/>
  <c r="Q63" i="50"/>
  <c r="J63" i="50"/>
  <c r="M63" i="50" s="1"/>
  <c r="X62" i="50"/>
  <c r="Q62" i="50"/>
  <c r="S62" i="50" s="1"/>
  <c r="U62" i="50" s="1"/>
  <c r="J62" i="50"/>
  <c r="M62" i="50" s="1"/>
  <c r="X61" i="50"/>
  <c r="Q61" i="50"/>
  <c r="S61" i="50" s="1"/>
  <c r="U61" i="50" s="1"/>
  <c r="J61" i="50"/>
  <c r="M61" i="50" s="1"/>
  <c r="X60" i="50"/>
  <c r="Q60" i="50"/>
  <c r="S60" i="50" s="1"/>
  <c r="U60" i="50" s="1"/>
  <c r="M60" i="50"/>
  <c r="J60" i="50"/>
  <c r="X59" i="50"/>
  <c r="Q59" i="50"/>
  <c r="S59" i="50" s="1"/>
  <c r="U59" i="50" s="1"/>
  <c r="J59" i="50"/>
  <c r="M59" i="50" s="1"/>
  <c r="X58" i="50"/>
  <c r="Q58" i="50"/>
  <c r="S58" i="50" s="1"/>
  <c r="U58" i="50" s="1"/>
  <c r="J58" i="50"/>
  <c r="M58" i="50" s="1"/>
  <c r="X57" i="50"/>
  <c r="Q57" i="50"/>
  <c r="S57" i="50" s="1"/>
  <c r="U57" i="50" s="1"/>
  <c r="J57" i="50"/>
  <c r="M57" i="50" s="1"/>
  <c r="X56" i="50"/>
  <c r="Q56" i="50"/>
  <c r="S56" i="50" s="1"/>
  <c r="U56" i="50" s="1"/>
  <c r="J56" i="50"/>
  <c r="M56" i="50" s="1"/>
  <c r="X55" i="50"/>
  <c r="Q55" i="50"/>
  <c r="S55" i="50" s="1"/>
  <c r="U55" i="50" s="1"/>
  <c r="J55" i="50"/>
  <c r="M55" i="50" s="1"/>
  <c r="X54" i="50"/>
  <c r="Q54" i="50"/>
  <c r="S54" i="50" s="1"/>
  <c r="U54" i="50" s="1"/>
  <c r="J54" i="50"/>
  <c r="M54" i="50" s="1"/>
  <c r="X53" i="50"/>
  <c r="U53" i="50"/>
  <c r="S53" i="50"/>
  <c r="Q53" i="50"/>
  <c r="J53" i="50"/>
  <c r="M53" i="50" s="1"/>
  <c r="X52" i="50"/>
  <c r="Q52" i="50"/>
  <c r="S52" i="50" s="1"/>
  <c r="U52" i="50" s="1"/>
  <c r="J52" i="50"/>
  <c r="M52" i="50" s="1"/>
  <c r="X51" i="50"/>
  <c r="Q51" i="50"/>
  <c r="S51" i="50" s="1"/>
  <c r="U51" i="50" s="1"/>
  <c r="J51" i="50"/>
  <c r="M51" i="50" s="1"/>
  <c r="X50" i="50"/>
  <c r="Q50" i="50"/>
  <c r="S50" i="50" s="1"/>
  <c r="U50" i="50" s="1"/>
  <c r="J50" i="50"/>
  <c r="M50" i="50" s="1"/>
  <c r="X49" i="50"/>
  <c r="S49" i="50"/>
  <c r="U49" i="50" s="1"/>
  <c r="Q49" i="50"/>
  <c r="J49" i="50"/>
  <c r="M49" i="50" s="1"/>
  <c r="X48" i="50"/>
  <c r="Q48" i="50"/>
  <c r="S48" i="50" s="1"/>
  <c r="U48" i="50" s="1"/>
  <c r="J48" i="50"/>
  <c r="M48" i="50" s="1"/>
  <c r="X47" i="50"/>
  <c r="Q47" i="50"/>
  <c r="S47" i="50" s="1"/>
  <c r="U47" i="50" s="1"/>
  <c r="M47" i="50"/>
  <c r="J47" i="50"/>
  <c r="X46" i="50"/>
  <c r="S46" i="50"/>
  <c r="U46" i="50" s="1"/>
  <c r="Q46" i="50"/>
  <c r="J46" i="50"/>
  <c r="M46" i="50" s="1"/>
  <c r="X45" i="50"/>
  <c r="S45" i="50"/>
  <c r="U45" i="50" s="1"/>
  <c r="Q45" i="50"/>
  <c r="J45" i="50"/>
  <c r="M45" i="50" s="1"/>
  <c r="X44" i="50"/>
  <c r="Q44" i="50"/>
  <c r="S44" i="50" s="1"/>
  <c r="U44" i="50" s="1"/>
  <c r="J44" i="50"/>
  <c r="M44" i="50" s="1"/>
  <c r="X43" i="50"/>
  <c r="Q43" i="50"/>
  <c r="S43" i="50" s="1"/>
  <c r="U43" i="50" s="1"/>
  <c r="J43" i="50"/>
  <c r="M43" i="50" s="1"/>
  <c r="X42" i="50"/>
  <c r="Q42" i="50"/>
  <c r="S42" i="50" s="1"/>
  <c r="U42" i="50" s="1"/>
  <c r="J42" i="50"/>
  <c r="M42" i="50" s="1"/>
  <c r="X41" i="50"/>
  <c r="Q41" i="50"/>
  <c r="S41" i="50" s="1"/>
  <c r="U41" i="50" s="1"/>
  <c r="J41" i="50"/>
  <c r="M41" i="50" s="1"/>
  <c r="X40" i="50"/>
  <c r="U40" i="50"/>
  <c r="Q40" i="50"/>
  <c r="S40" i="50" s="1"/>
  <c r="J40" i="50"/>
  <c r="M40" i="50" s="1"/>
  <c r="X39" i="50"/>
  <c r="Q39" i="50"/>
  <c r="S39" i="50" s="1"/>
  <c r="U39" i="50" s="1"/>
  <c r="J39" i="50"/>
  <c r="M39" i="50" s="1"/>
  <c r="X38" i="50"/>
  <c r="U38" i="50"/>
  <c r="S38" i="50"/>
  <c r="Q38" i="50"/>
  <c r="J38" i="50"/>
  <c r="M38" i="50" s="1"/>
  <c r="X37" i="50"/>
  <c r="U37" i="50"/>
  <c r="Q37" i="50"/>
  <c r="S37" i="50" s="1"/>
  <c r="J37" i="50"/>
  <c r="M37" i="50" s="1"/>
  <c r="X36" i="50"/>
  <c r="Q36" i="50"/>
  <c r="S36" i="50" s="1"/>
  <c r="U36" i="50" s="1"/>
  <c r="J36" i="50"/>
  <c r="M36" i="50" s="1"/>
  <c r="X35" i="50"/>
  <c r="Q35" i="50"/>
  <c r="S35" i="50" s="1"/>
  <c r="U35" i="50" s="1"/>
  <c r="J35" i="50"/>
  <c r="M35" i="50" s="1"/>
  <c r="X34" i="50"/>
  <c r="S34" i="50"/>
  <c r="U34" i="50" s="1"/>
  <c r="Q34" i="50"/>
  <c r="J34" i="50"/>
  <c r="M34" i="50" s="1"/>
  <c r="X33" i="50"/>
  <c r="S33" i="50"/>
  <c r="U33" i="50" s="1"/>
  <c r="Q33" i="50"/>
  <c r="J33" i="50"/>
  <c r="M33" i="50" s="1"/>
  <c r="X32" i="50"/>
  <c r="Q32" i="50"/>
  <c r="S32" i="50" s="1"/>
  <c r="U32" i="50" s="1"/>
  <c r="J32" i="50"/>
  <c r="M32" i="50" s="1"/>
  <c r="X31" i="50"/>
  <c r="Q31" i="50"/>
  <c r="S31" i="50" s="1"/>
  <c r="U31" i="50" s="1"/>
  <c r="J31" i="50"/>
  <c r="M31" i="50" s="1"/>
  <c r="X30" i="50"/>
  <c r="Q30" i="50"/>
  <c r="S30" i="50" s="1"/>
  <c r="U30" i="50" s="1"/>
  <c r="M30" i="50"/>
  <c r="J30" i="50"/>
  <c r="X29" i="50"/>
  <c r="Q29" i="50"/>
  <c r="S29" i="50" s="1"/>
  <c r="U29" i="50" s="1"/>
  <c r="J29" i="50"/>
  <c r="M29" i="50" s="1"/>
  <c r="X28" i="50"/>
  <c r="U28" i="50"/>
  <c r="S28" i="50"/>
  <c r="Q28" i="50"/>
  <c r="J28" i="50"/>
  <c r="M28" i="50" s="1"/>
  <c r="X27" i="50"/>
  <c r="Q27" i="50"/>
  <c r="S27" i="50" s="1"/>
  <c r="U27" i="50" s="1"/>
  <c r="J27" i="50"/>
  <c r="M27" i="50" s="1"/>
  <c r="X26" i="50"/>
  <c r="Q26" i="50"/>
  <c r="S26" i="50" s="1"/>
  <c r="U26" i="50" s="1"/>
  <c r="J26" i="50"/>
  <c r="M26" i="50" s="1"/>
  <c r="X25" i="50"/>
  <c r="S25" i="50"/>
  <c r="U25" i="50" s="1"/>
  <c r="Q25" i="50"/>
  <c r="J25" i="50"/>
  <c r="M25" i="50" s="1"/>
  <c r="X24" i="50"/>
  <c r="Q24" i="50"/>
  <c r="S24" i="50" s="1"/>
  <c r="U24" i="50" s="1"/>
  <c r="J24" i="50"/>
  <c r="M24" i="50" s="1"/>
  <c r="X23" i="50"/>
  <c r="Q23" i="50"/>
  <c r="S23" i="50" s="1"/>
  <c r="U23" i="50" s="1"/>
  <c r="J23" i="50"/>
  <c r="M23" i="50" s="1"/>
  <c r="X22" i="50"/>
  <c r="Q22" i="50"/>
  <c r="S22" i="50" s="1"/>
  <c r="U22" i="50" s="1"/>
  <c r="J22" i="50"/>
  <c r="M22" i="50" s="1"/>
  <c r="X21" i="50"/>
  <c r="S21" i="50"/>
  <c r="U21" i="50" s="1"/>
  <c r="Q21" i="50"/>
  <c r="J21" i="50"/>
  <c r="M21" i="50" s="1"/>
  <c r="X20" i="50"/>
  <c r="S20" i="50"/>
  <c r="U20" i="50" s="1"/>
  <c r="Q20" i="50"/>
  <c r="J20" i="50"/>
  <c r="M20" i="50" s="1"/>
  <c r="X19" i="50"/>
  <c r="Q19" i="50"/>
  <c r="S19" i="50" s="1"/>
  <c r="U19" i="50" s="1"/>
  <c r="J19" i="50"/>
  <c r="M19" i="50" s="1"/>
  <c r="X18" i="50"/>
  <c r="Q18" i="50"/>
  <c r="S18" i="50" s="1"/>
  <c r="U18" i="50" s="1"/>
  <c r="J18" i="50"/>
  <c r="M18" i="50" s="1"/>
  <c r="X17" i="50"/>
  <c r="S17" i="50"/>
  <c r="U17" i="50" s="1"/>
  <c r="Q17" i="50"/>
  <c r="J17" i="50"/>
  <c r="M17" i="50" s="1"/>
  <c r="X16" i="50"/>
  <c r="U16" i="50"/>
  <c r="S16" i="50"/>
  <c r="Q16" i="50"/>
  <c r="J16" i="50"/>
  <c r="M16" i="50" s="1"/>
  <c r="X15" i="50"/>
  <c r="Q15" i="50"/>
  <c r="S15" i="50" s="1"/>
  <c r="U15" i="50" s="1"/>
  <c r="J15" i="50"/>
  <c r="M15" i="50" s="1"/>
  <c r="X14" i="50"/>
  <c r="Q14" i="50"/>
  <c r="S14" i="50" s="1"/>
  <c r="U14" i="50" s="1"/>
  <c r="J14" i="50"/>
  <c r="M14" i="50" s="1"/>
  <c r="X13" i="50"/>
  <c r="Q13" i="50"/>
  <c r="S13" i="50" s="1"/>
  <c r="U13" i="50" s="1"/>
  <c r="J13" i="50"/>
  <c r="M13" i="50" s="1"/>
  <c r="X12" i="50"/>
  <c r="S12" i="50"/>
  <c r="U12" i="50" s="1"/>
  <c r="Q12" i="50"/>
  <c r="J12" i="50"/>
  <c r="M12" i="50" s="1"/>
  <c r="X11" i="50"/>
  <c r="Q11" i="50"/>
  <c r="S11" i="50" s="1"/>
  <c r="U11" i="50" s="1"/>
  <c r="J11" i="50"/>
  <c r="M11" i="50" s="1"/>
  <c r="X10" i="50"/>
  <c r="Q10" i="50"/>
  <c r="S10" i="50" s="1"/>
  <c r="U10" i="50" s="1"/>
  <c r="J10" i="50"/>
  <c r="M10" i="50" s="1"/>
  <c r="X9" i="50"/>
  <c r="Q9" i="50"/>
  <c r="S9" i="50" s="1"/>
  <c r="U9" i="50" s="1"/>
  <c r="J9" i="50"/>
  <c r="M9" i="50" s="1"/>
  <c r="X8" i="50"/>
  <c r="Q8" i="50"/>
  <c r="S8" i="50" s="1"/>
  <c r="U8" i="50" s="1"/>
  <c r="J8" i="50"/>
  <c r="M8" i="50" s="1"/>
  <c r="X7" i="50"/>
  <c r="Q7" i="50"/>
  <c r="S7" i="50" s="1"/>
  <c r="U7" i="50" s="1"/>
  <c r="J7" i="50"/>
  <c r="M7" i="50" s="1"/>
  <c r="X6" i="50"/>
  <c r="Q6" i="50"/>
  <c r="S6" i="50" s="1"/>
  <c r="U6" i="50" s="1"/>
  <c r="J6" i="50"/>
  <c r="M6" i="50" s="1"/>
  <c r="X5" i="50"/>
  <c r="X107" i="50" s="1"/>
  <c r="J206" i="50" s="1"/>
  <c r="S5" i="50"/>
  <c r="U5" i="50" s="1"/>
  <c r="Q5" i="50"/>
  <c r="J5" i="50"/>
  <c r="M5" i="50" s="1"/>
  <c r="K212" i="49"/>
  <c r="N20" i="15" s="1"/>
  <c r="K209" i="49"/>
  <c r="J204" i="49"/>
  <c r="M204" i="49" s="1"/>
  <c r="J203" i="49"/>
  <c r="M203" i="49" s="1"/>
  <c r="J202" i="49"/>
  <c r="M202" i="49" s="1"/>
  <c r="J201" i="49"/>
  <c r="M201" i="49" s="1"/>
  <c r="J200" i="49"/>
  <c r="M200" i="49" s="1"/>
  <c r="J199" i="49"/>
  <c r="M199" i="49" s="1"/>
  <c r="J198" i="49"/>
  <c r="M198" i="49" s="1"/>
  <c r="J197" i="49"/>
  <c r="M197" i="49" s="1"/>
  <c r="J196" i="49"/>
  <c r="M196" i="49" s="1"/>
  <c r="J195" i="49"/>
  <c r="M195" i="49" s="1"/>
  <c r="J194" i="49"/>
  <c r="M194" i="49" s="1"/>
  <c r="J193" i="49"/>
  <c r="M193" i="49" s="1"/>
  <c r="J192" i="49"/>
  <c r="M192" i="49" s="1"/>
  <c r="M191" i="49"/>
  <c r="J191" i="49"/>
  <c r="J190" i="49"/>
  <c r="M190" i="49" s="1"/>
  <c r="J189" i="49"/>
  <c r="M189" i="49" s="1"/>
  <c r="J188" i="49"/>
  <c r="M188" i="49" s="1"/>
  <c r="J187" i="49"/>
  <c r="M187" i="49" s="1"/>
  <c r="J186" i="49"/>
  <c r="M186" i="49" s="1"/>
  <c r="J185" i="49"/>
  <c r="M185" i="49" s="1"/>
  <c r="J184" i="49"/>
  <c r="M184" i="49" s="1"/>
  <c r="J183" i="49"/>
  <c r="M183" i="49" s="1"/>
  <c r="J182" i="49"/>
  <c r="M182" i="49" s="1"/>
  <c r="J181" i="49"/>
  <c r="M181" i="49" s="1"/>
  <c r="J180" i="49"/>
  <c r="M180" i="49" s="1"/>
  <c r="J179" i="49"/>
  <c r="M179" i="49" s="1"/>
  <c r="J178" i="49"/>
  <c r="M178" i="49" s="1"/>
  <c r="J177" i="49"/>
  <c r="M177" i="49" s="1"/>
  <c r="J176" i="49"/>
  <c r="M176" i="49" s="1"/>
  <c r="J175" i="49"/>
  <c r="M175" i="49" s="1"/>
  <c r="J174" i="49"/>
  <c r="M174" i="49" s="1"/>
  <c r="J173" i="49"/>
  <c r="M173" i="49" s="1"/>
  <c r="J172" i="49"/>
  <c r="M172" i="49" s="1"/>
  <c r="J171" i="49"/>
  <c r="M171" i="49" s="1"/>
  <c r="J170" i="49"/>
  <c r="M170" i="49" s="1"/>
  <c r="J169" i="49"/>
  <c r="M169" i="49" s="1"/>
  <c r="J168" i="49"/>
  <c r="M168" i="49" s="1"/>
  <c r="J167" i="49"/>
  <c r="M167" i="49" s="1"/>
  <c r="J166" i="49"/>
  <c r="M166" i="49" s="1"/>
  <c r="J165" i="49"/>
  <c r="M165" i="49" s="1"/>
  <c r="M164" i="49"/>
  <c r="J164" i="49"/>
  <c r="J163" i="49"/>
  <c r="M163" i="49" s="1"/>
  <c r="J162" i="49"/>
  <c r="M162" i="49" s="1"/>
  <c r="J161" i="49"/>
  <c r="M161" i="49" s="1"/>
  <c r="J160" i="49"/>
  <c r="M160" i="49" s="1"/>
  <c r="J159" i="49"/>
  <c r="M159" i="49" s="1"/>
  <c r="J158" i="49"/>
  <c r="M158" i="49" s="1"/>
  <c r="J157" i="49"/>
  <c r="M157" i="49" s="1"/>
  <c r="J156" i="49"/>
  <c r="M156" i="49" s="1"/>
  <c r="J155" i="49"/>
  <c r="M155" i="49" s="1"/>
  <c r="J154" i="49"/>
  <c r="M154" i="49" s="1"/>
  <c r="J153" i="49"/>
  <c r="M153" i="49" s="1"/>
  <c r="J152" i="49"/>
  <c r="M152" i="49" s="1"/>
  <c r="J151" i="49"/>
  <c r="M151" i="49" s="1"/>
  <c r="J150" i="49"/>
  <c r="M150" i="49" s="1"/>
  <c r="J149" i="49"/>
  <c r="M149" i="49" s="1"/>
  <c r="J148" i="49"/>
  <c r="M148" i="49" s="1"/>
  <c r="J147" i="49"/>
  <c r="M147" i="49" s="1"/>
  <c r="J146" i="49"/>
  <c r="M146" i="49" s="1"/>
  <c r="J145" i="49"/>
  <c r="M145" i="49" s="1"/>
  <c r="J144" i="49"/>
  <c r="M144" i="49" s="1"/>
  <c r="J143" i="49"/>
  <c r="M143" i="49" s="1"/>
  <c r="M142" i="49"/>
  <c r="J142" i="49"/>
  <c r="J141" i="49"/>
  <c r="M141" i="49" s="1"/>
  <c r="J140" i="49"/>
  <c r="M140" i="49" s="1"/>
  <c r="J139" i="49"/>
  <c r="M139" i="49" s="1"/>
  <c r="M138" i="49"/>
  <c r="J138" i="49"/>
  <c r="J137" i="49"/>
  <c r="M137" i="49" s="1"/>
  <c r="J136" i="49"/>
  <c r="M136" i="49" s="1"/>
  <c r="J135" i="49"/>
  <c r="M135" i="49" s="1"/>
  <c r="J134" i="49"/>
  <c r="M134" i="49" s="1"/>
  <c r="J133" i="49"/>
  <c r="M133" i="49" s="1"/>
  <c r="J132" i="49"/>
  <c r="M132" i="49" s="1"/>
  <c r="J131" i="49"/>
  <c r="M131" i="49" s="1"/>
  <c r="J130" i="49"/>
  <c r="M130" i="49" s="1"/>
  <c r="J129" i="49"/>
  <c r="M129" i="49" s="1"/>
  <c r="J128" i="49"/>
  <c r="M128" i="49" s="1"/>
  <c r="M127" i="49"/>
  <c r="J127" i="49"/>
  <c r="J126" i="49"/>
  <c r="M126" i="49" s="1"/>
  <c r="J125" i="49"/>
  <c r="M125" i="49" s="1"/>
  <c r="J124" i="49"/>
  <c r="M124" i="49" s="1"/>
  <c r="J123" i="49"/>
  <c r="M123" i="49" s="1"/>
  <c r="J122" i="49"/>
  <c r="M122" i="49" s="1"/>
  <c r="J121" i="49"/>
  <c r="M121" i="49" s="1"/>
  <c r="J120" i="49"/>
  <c r="M120" i="49" s="1"/>
  <c r="J119" i="49"/>
  <c r="M119" i="49" s="1"/>
  <c r="M118" i="49"/>
  <c r="J118" i="49"/>
  <c r="J117" i="49"/>
  <c r="M117" i="49" s="1"/>
  <c r="J116" i="49"/>
  <c r="M116" i="49" s="1"/>
  <c r="J115" i="49"/>
  <c r="M115" i="49" s="1"/>
  <c r="J114" i="49"/>
  <c r="M114" i="49" s="1"/>
  <c r="J113" i="49"/>
  <c r="M113" i="49" s="1"/>
  <c r="M112" i="49"/>
  <c r="J112" i="49"/>
  <c r="J111" i="49"/>
  <c r="M111" i="49" s="1"/>
  <c r="M110" i="49"/>
  <c r="J110" i="49"/>
  <c r="J109" i="49"/>
  <c r="M109" i="49" s="1"/>
  <c r="J108" i="49"/>
  <c r="M108" i="49" s="1"/>
  <c r="J107" i="49"/>
  <c r="M107" i="49" s="1"/>
  <c r="J106" i="49"/>
  <c r="M106" i="49" s="1"/>
  <c r="Z105" i="49"/>
  <c r="J105" i="49"/>
  <c r="M105" i="49" s="1"/>
  <c r="X104" i="49"/>
  <c r="S104" i="49"/>
  <c r="U104" i="49" s="1"/>
  <c r="Q104" i="49"/>
  <c r="J104" i="49"/>
  <c r="M104" i="49" s="1"/>
  <c r="X103" i="49"/>
  <c r="U103" i="49"/>
  <c r="S103" i="49"/>
  <c r="Q103" i="49"/>
  <c r="J103" i="49"/>
  <c r="M103" i="49" s="1"/>
  <c r="X102" i="49"/>
  <c r="S102" i="49"/>
  <c r="U102" i="49" s="1"/>
  <c r="Q102" i="49"/>
  <c r="J102" i="49"/>
  <c r="M102" i="49" s="1"/>
  <c r="X101" i="49"/>
  <c r="Q101" i="49"/>
  <c r="S101" i="49" s="1"/>
  <c r="U101" i="49" s="1"/>
  <c r="J101" i="49"/>
  <c r="M101" i="49" s="1"/>
  <c r="X100" i="49"/>
  <c r="Q100" i="49"/>
  <c r="S100" i="49" s="1"/>
  <c r="U100" i="49" s="1"/>
  <c r="J100" i="49"/>
  <c r="M100" i="49" s="1"/>
  <c r="X99" i="49"/>
  <c r="Q99" i="49"/>
  <c r="S99" i="49" s="1"/>
  <c r="U99" i="49" s="1"/>
  <c r="J99" i="49"/>
  <c r="M99" i="49" s="1"/>
  <c r="X98" i="49"/>
  <c r="S98" i="49"/>
  <c r="U98" i="49" s="1"/>
  <c r="Q98" i="49"/>
  <c r="J98" i="49"/>
  <c r="M98" i="49" s="1"/>
  <c r="X97" i="49"/>
  <c r="Q97" i="49"/>
  <c r="S97" i="49" s="1"/>
  <c r="U97" i="49" s="1"/>
  <c r="J97" i="49"/>
  <c r="M97" i="49" s="1"/>
  <c r="X96" i="49"/>
  <c r="S96" i="49"/>
  <c r="U96" i="49" s="1"/>
  <c r="Q96" i="49"/>
  <c r="J96" i="49"/>
  <c r="M96" i="49" s="1"/>
  <c r="X95" i="49"/>
  <c r="U95" i="49"/>
  <c r="S95" i="49"/>
  <c r="Q95" i="49"/>
  <c r="J95" i="49"/>
  <c r="M95" i="49" s="1"/>
  <c r="X94" i="49"/>
  <c r="Q94" i="49"/>
  <c r="S94" i="49" s="1"/>
  <c r="U94" i="49" s="1"/>
  <c r="J94" i="49"/>
  <c r="M94" i="49" s="1"/>
  <c r="X93" i="49"/>
  <c r="Q93" i="49"/>
  <c r="S93" i="49" s="1"/>
  <c r="U93" i="49" s="1"/>
  <c r="J93" i="49"/>
  <c r="M93" i="49" s="1"/>
  <c r="X92" i="49"/>
  <c r="Q92" i="49"/>
  <c r="S92" i="49" s="1"/>
  <c r="U92" i="49" s="1"/>
  <c r="J92" i="49"/>
  <c r="M92" i="49" s="1"/>
  <c r="X91" i="49"/>
  <c r="Q91" i="49"/>
  <c r="S91" i="49" s="1"/>
  <c r="U91" i="49" s="1"/>
  <c r="J91" i="49"/>
  <c r="M91" i="49" s="1"/>
  <c r="X90" i="49"/>
  <c r="S90" i="49"/>
  <c r="U90" i="49" s="1"/>
  <c r="Q90" i="49"/>
  <c r="J90" i="49"/>
  <c r="M90" i="49" s="1"/>
  <c r="X89" i="49"/>
  <c r="Q89" i="49"/>
  <c r="S89" i="49" s="1"/>
  <c r="U89" i="49" s="1"/>
  <c r="J89" i="49"/>
  <c r="M89" i="49" s="1"/>
  <c r="X88" i="49"/>
  <c r="S88" i="49"/>
  <c r="U88" i="49" s="1"/>
  <c r="Q88" i="49"/>
  <c r="J88" i="49"/>
  <c r="M88" i="49" s="1"/>
  <c r="X87" i="49"/>
  <c r="Q87" i="49"/>
  <c r="S87" i="49" s="1"/>
  <c r="U87" i="49" s="1"/>
  <c r="J87" i="49"/>
  <c r="M87" i="49" s="1"/>
  <c r="X86" i="49"/>
  <c r="Q86" i="49"/>
  <c r="S86" i="49" s="1"/>
  <c r="U86" i="49" s="1"/>
  <c r="M86" i="49"/>
  <c r="J86" i="49"/>
  <c r="X85" i="49"/>
  <c r="Q85" i="49"/>
  <c r="S85" i="49" s="1"/>
  <c r="U85" i="49" s="1"/>
  <c r="J85" i="49"/>
  <c r="M85" i="49" s="1"/>
  <c r="X84" i="49"/>
  <c r="S84" i="49"/>
  <c r="U84" i="49" s="1"/>
  <c r="Q84" i="49"/>
  <c r="M84" i="49"/>
  <c r="J84" i="49"/>
  <c r="X83" i="49"/>
  <c r="Q83" i="49"/>
  <c r="S83" i="49" s="1"/>
  <c r="U83" i="49" s="1"/>
  <c r="J83" i="49"/>
  <c r="M83" i="49" s="1"/>
  <c r="X82" i="49"/>
  <c r="S82" i="49"/>
  <c r="U82" i="49" s="1"/>
  <c r="Q82" i="49"/>
  <c r="J82" i="49"/>
  <c r="M82" i="49" s="1"/>
  <c r="X81" i="49"/>
  <c r="Q81" i="49"/>
  <c r="S81" i="49" s="1"/>
  <c r="U81" i="49" s="1"/>
  <c r="J81" i="49"/>
  <c r="M81" i="49" s="1"/>
  <c r="X80" i="49"/>
  <c r="Q80" i="49"/>
  <c r="S80" i="49" s="1"/>
  <c r="U80" i="49" s="1"/>
  <c r="J80" i="49"/>
  <c r="M80" i="49" s="1"/>
  <c r="X79" i="49"/>
  <c r="Q79" i="49"/>
  <c r="S79" i="49" s="1"/>
  <c r="U79" i="49" s="1"/>
  <c r="J79" i="49"/>
  <c r="M79" i="49" s="1"/>
  <c r="X78" i="49"/>
  <c r="Q78" i="49"/>
  <c r="S78" i="49" s="1"/>
  <c r="U78" i="49" s="1"/>
  <c r="J78" i="49"/>
  <c r="M78" i="49" s="1"/>
  <c r="X77" i="49"/>
  <c r="Q77" i="49"/>
  <c r="S77" i="49" s="1"/>
  <c r="U77" i="49" s="1"/>
  <c r="J77" i="49"/>
  <c r="M77" i="49" s="1"/>
  <c r="X76" i="49"/>
  <c r="Q76" i="49"/>
  <c r="S76" i="49" s="1"/>
  <c r="U76" i="49" s="1"/>
  <c r="J76" i="49"/>
  <c r="M76" i="49" s="1"/>
  <c r="X75" i="49"/>
  <c r="Q75" i="49"/>
  <c r="S75" i="49" s="1"/>
  <c r="U75" i="49" s="1"/>
  <c r="J75" i="49"/>
  <c r="M75" i="49" s="1"/>
  <c r="X74" i="49"/>
  <c r="S74" i="49"/>
  <c r="U74" i="49" s="1"/>
  <c r="Q74" i="49"/>
  <c r="J74" i="49"/>
  <c r="M74" i="49" s="1"/>
  <c r="X73" i="49"/>
  <c r="Q73" i="49"/>
  <c r="S73" i="49" s="1"/>
  <c r="U73" i="49" s="1"/>
  <c r="J73" i="49"/>
  <c r="M73" i="49" s="1"/>
  <c r="X72" i="49"/>
  <c r="S72" i="49"/>
  <c r="U72" i="49" s="1"/>
  <c r="Q72" i="49"/>
  <c r="J72" i="49"/>
  <c r="M72" i="49" s="1"/>
  <c r="X71" i="49"/>
  <c r="Q71" i="49"/>
  <c r="S71" i="49" s="1"/>
  <c r="U71" i="49" s="1"/>
  <c r="J71" i="49"/>
  <c r="M71" i="49" s="1"/>
  <c r="X70" i="49"/>
  <c r="Q70" i="49"/>
  <c r="S70" i="49" s="1"/>
  <c r="U70" i="49" s="1"/>
  <c r="J70" i="49"/>
  <c r="M70" i="49" s="1"/>
  <c r="X69" i="49"/>
  <c r="Q69" i="49"/>
  <c r="S69" i="49" s="1"/>
  <c r="U69" i="49" s="1"/>
  <c r="J69" i="49"/>
  <c r="M69" i="49" s="1"/>
  <c r="X68" i="49"/>
  <c r="Q68" i="49"/>
  <c r="S68" i="49" s="1"/>
  <c r="U68" i="49" s="1"/>
  <c r="J68" i="49"/>
  <c r="M68" i="49" s="1"/>
  <c r="X67" i="49"/>
  <c r="Q67" i="49"/>
  <c r="S67" i="49" s="1"/>
  <c r="U67" i="49" s="1"/>
  <c r="J67" i="49"/>
  <c r="M67" i="49" s="1"/>
  <c r="X66" i="49"/>
  <c r="S66" i="49"/>
  <c r="U66" i="49" s="1"/>
  <c r="Q66" i="49"/>
  <c r="J66" i="49"/>
  <c r="M66" i="49" s="1"/>
  <c r="X65" i="49"/>
  <c r="Q65" i="49"/>
  <c r="S65" i="49" s="1"/>
  <c r="U65" i="49" s="1"/>
  <c r="J65" i="49"/>
  <c r="M65" i="49" s="1"/>
  <c r="X64" i="49"/>
  <c r="Q64" i="49"/>
  <c r="S64" i="49" s="1"/>
  <c r="U64" i="49" s="1"/>
  <c r="J64" i="49"/>
  <c r="M64" i="49" s="1"/>
  <c r="X63" i="49"/>
  <c r="Q63" i="49"/>
  <c r="S63" i="49" s="1"/>
  <c r="U63" i="49" s="1"/>
  <c r="J63" i="49"/>
  <c r="M63" i="49" s="1"/>
  <c r="X62" i="49"/>
  <c r="Q62" i="49"/>
  <c r="S62" i="49" s="1"/>
  <c r="U62" i="49" s="1"/>
  <c r="J62" i="49"/>
  <c r="M62" i="49" s="1"/>
  <c r="X61" i="49"/>
  <c r="Q61" i="49"/>
  <c r="S61" i="49" s="1"/>
  <c r="U61" i="49" s="1"/>
  <c r="J61" i="49"/>
  <c r="M61" i="49" s="1"/>
  <c r="X60" i="49"/>
  <c r="Q60" i="49"/>
  <c r="S60" i="49" s="1"/>
  <c r="U60" i="49" s="1"/>
  <c r="J60" i="49"/>
  <c r="M60" i="49" s="1"/>
  <c r="X59" i="49"/>
  <c r="Q59" i="49"/>
  <c r="S59" i="49" s="1"/>
  <c r="U59" i="49" s="1"/>
  <c r="J59" i="49"/>
  <c r="M59" i="49" s="1"/>
  <c r="X58" i="49"/>
  <c r="Q58" i="49"/>
  <c r="S58" i="49" s="1"/>
  <c r="U58" i="49" s="1"/>
  <c r="J58" i="49"/>
  <c r="M58" i="49" s="1"/>
  <c r="X57" i="49"/>
  <c r="Q57" i="49"/>
  <c r="S57" i="49" s="1"/>
  <c r="U57" i="49" s="1"/>
  <c r="J57" i="49"/>
  <c r="M57" i="49" s="1"/>
  <c r="X56" i="49"/>
  <c r="Q56" i="49"/>
  <c r="S56" i="49" s="1"/>
  <c r="U56" i="49" s="1"/>
  <c r="J56" i="49"/>
  <c r="M56" i="49" s="1"/>
  <c r="X55" i="49"/>
  <c r="Q55" i="49"/>
  <c r="S55" i="49" s="1"/>
  <c r="U55" i="49" s="1"/>
  <c r="J55" i="49"/>
  <c r="M55" i="49" s="1"/>
  <c r="X54" i="49"/>
  <c r="Q54" i="49"/>
  <c r="S54" i="49" s="1"/>
  <c r="U54" i="49" s="1"/>
  <c r="J54" i="49"/>
  <c r="M54" i="49" s="1"/>
  <c r="X53" i="49"/>
  <c r="Q53" i="49"/>
  <c r="S53" i="49" s="1"/>
  <c r="U53" i="49" s="1"/>
  <c r="J53" i="49"/>
  <c r="M53" i="49" s="1"/>
  <c r="X52" i="49"/>
  <c r="S52" i="49"/>
  <c r="U52" i="49" s="1"/>
  <c r="Q52" i="49"/>
  <c r="J52" i="49"/>
  <c r="M52" i="49" s="1"/>
  <c r="X51" i="49"/>
  <c r="Q51" i="49"/>
  <c r="S51" i="49" s="1"/>
  <c r="U51" i="49" s="1"/>
  <c r="J51" i="49"/>
  <c r="M51" i="49" s="1"/>
  <c r="X50" i="49"/>
  <c r="S50" i="49"/>
  <c r="U50" i="49" s="1"/>
  <c r="Q50" i="49"/>
  <c r="J50" i="49"/>
  <c r="M50" i="49" s="1"/>
  <c r="X49" i="49"/>
  <c r="Q49" i="49"/>
  <c r="S49" i="49" s="1"/>
  <c r="U49" i="49" s="1"/>
  <c r="J49" i="49"/>
  <c r="M49" i="49" s="1"/>
  <c r="X48" i="49"/>
  <c r="Q48" i="49"/>
  <c r="S48" i="49" s="1"/>
  <c r="U48" i="49" s="1"/>
  <c r="J48" i="49"/>
  <c r="M48" i="49" s="1"/>
  <c r="X47" i="49"/>
  <c r="Q47" i="49"/>
  <c r="S47" i="49" s="1"/>
  <c r="U47" i="49" s="1"/>
  <c r="J47" i="49"/>
  <c r="M47" i="49" s="1"/>
  <c r="X46" i="49"/>
  <c r="Q46" i="49"/>
  <c r="S46" i="49" s="1"/>
  <c r="U46" i="49" s="1"/>
  <c r="J46" i="49"/>
  <c r="M46" i="49" s="1"/>
  <c r="X45" i="49"/>
  <c r="Q45" i="49"/>
  <c r="S45" i="49" s="1"/>
  <c r="U45" i="49" s="1"/>
  <c r="J45" i="49"/>
  <c r="M45" i="49" s="1"/>
  <c r="X44" i="49"/>
  <c r="Q44" i="49"/>
  <c r="S44" i="49" s="1"/>
  <c r="U44" i="49" s="1"/>
  <c r="J44" i="49"/>
  <c r="M44" i="49" s="1"/>
  <c r="X43" i="49"/>
  <c r="Q43" i="49"/>
  <c r="S43" i="49" s="1"/>
  <c r="U43" i="49" s="1"/>
  <c r="J43" i="49"/>
  <c r="M43" i="49" s="1"/>
  <c r="X42" i="49"/>
  <c r="Q42" i="49"/>
  <c r="S42" i="49" s="1"/>
  <c r="U42" i="49" s="1"/>
  <c r="J42" i="49"/>
  <c r="M42" i="49" s="1"/>
  <c r="X41" i="49"/>
  <c r="Q41" i="49"/>
  <c r="S41" i="49" s="1"/>
  <c r="U41" i="49" s="1"/>
  <c r="J41" i="49"/>
  <c r="M41" i="49" s="1"/>
  <c r="X40" i="49"/>
  <c r="Q40" i="49"/>
  <c r="S40" i="49" s="1"/>
  <c r="U40" i="49" s="1"/>
  <c r="J40" i="49"/>
  <c r="M40" i="49" s="1"/>
  <c r="X39" i="49"/>
  <c r="Q39" i="49"/>
  <c r="S39" i="49" s="1"/>
  <c r="U39" i="49" s="1"/>
  <c r="J39" i="49"/>
  <c r="M39" i="49" s="1"/>
  <c r="X38" i="49"/>
  <c r="Q38" i="49"/>
  <c r="S38" i="49" s="1"/>
  <c r="U38" i="49" s="1"/>
  <c r="J38" i="49"/>
  <c r="M38" i="49" s="1"/>
  <c r="X37" i="49"/>
  <c r="Q37" i="49"/>
  <c r="S37" i="49" s="1"/>
  <c r="U37" i="49" s="1"/>
  <c r="J37" i="49"/>
  <c r="M37" i="49" s="1"/>
  <c r="X36" i="49"/>
  <c r="S36" i="49"/>
  <c r="U36" i="49" s="1"/>
  <c r="Q36" i="49"/>
  <c r="J36" i="49"/>
  <c r="M36" i="49" s="1"/>
  <c r="X35" i="49"/>
  <c r="Q35" i="49"/>
  <c r="S35" i="49" s="1"/>
  <c r="U35" i="49" s="1"/>
  <c r="J35" i="49"/>
  <c r="M35" i="49" s="1"/>
  <c r="X34" i="49"/>
  <c r="S34" i="49"/>
  <c r="U34" i="49" s="1"/>
  <c r="Q34" i="49"/>
  <c r="J34" i="49"/>
  <c r="M34" i="49" s="1"/>
  <c r="X33" i="49"/>
  <c r="S33" i="49"/>
  <c r="U33" i="49" s="1"/>
  <c r="Q33" i="49"/>
  <c r="J33" i="49"/>
  <c r="M33" i="49" s="1"/>
  <c r="X32" i="49"/>
  <c r="Q32" i="49"/>
  <c r="S32" i="49" s="1"/>
  <c r="U32" i="49" s="1"/>
  <c r="J32" i="49"/>
  <c r="M32" i="49" s="1"/>
  <c r="X31" i="49"/>
  <c r="Q31" i="49"/>
  <c r="S31" i="49" s="1"/>
  <c r="U31" i="49" s="1"/>
  <c r="J31" i="49"/>
  <c r="M31" i="49" s="1"/>
  <c r="X30" i="49"/>
  <c r="Q30" i="49"/>
  <c r="S30" i="49" s="1"/>
  <c r="U30" i="49" s="1"/>
  <c r="J30" i="49"/>
  <c r="M30" i="49" s="1"/>
  <c r="X29" i="49"/>
  <c r="Q29" i="49"/>
  <c r="S29" i="49" s="1"/>
  <c r="U29" i="49" s="1"/>
  <c r="J29" i="49"/>
  <c r="M29" i="49" s="1"/>
  <c r="X28" i="49"/>
  <c r="Q28" i="49"/>
  <c r="S28" i="49" s="1"/>
  <c r="U28" i="49" s="1"/>
  <c r="J28" i="49"/>
  <c r="M28" i="49" s="1"/>
  <c r="X27" i="49"/>
  <c r="Q27" i="49"/>
  <c r="S27" i="49" s="1"/>
  <c r="U27" i="49" s="1"/>
  <c r="J27" i="49"/>
  <c r="M27" i="49" s="1"/>
  <c r="X26" i="49"/>
  <c r="Q26" i="49"/>
  <c r="S26" i="49" s="1"/>
  <c r="U26" i="49" s="1"/>
  <c r="J26" i="49"/>
  <c r="M26" i="49" s="1"/>
  <c r="X25" i="49"/>
  <c r="Q25" i="49"/>
  <c r="S25" i="49" s="1"/>
  <c r="U25" i="49" s="1"/>
  <c r="J25" i="49"/>
  <c r="M25" i="49" s="1"/>
  <c r="X24" i="49"/>
  <c r="Q24" i="49"/>
  <c r="S24" i="49" s="1"/>
  <c r="U24" i="49" s="1"/>
  <c r="J24" i="49"/>
  <c r="M24" i="49" s="1"/>
  <c r="X23" i="49"/>
  <c r="U23" i="49"/>
  <c r="S23" i="49"/>
  <c r="Q23" i="49"/>
  <c r="J23" i="49"/>
  <c r="M23" i="49" s="1"/>
  <c r="X22" i="49"/>
  <c r="Q22" i="49"/>
  <c r="S22" i="49" s="1"/>
  <c r="U22" i="49" s="1"/>
  <c r="J22" i="49"/>
  <c r="M22" i="49" s="1"/>
  <c r="X21" i="49"/>
  <c r="S21" i="49"/>
  <c r="U21" i="49" s="1"/>
  <c r="Q21" i="49"/>
  <c r="J21" i="49"/>
  <c r="M21" i="49" s="1"/>
  <c r="X20" i="49"/>
  <c r="Q20" i="49"/>
  <c r="S20" i="49" s="1"/>
  <c r="U20" i="49" s="1"/>
  <c r="J20" i="49"/>
  <c r="M20" i="49" s="1"/>
  <c r="X19" i="49"/>
  <c r="Q19" i="49"/>
  <c r="S19" i="49" s="1"/>
  <c r="U19" i="49" s="1"/>
  <c r="J19" i="49"/>
  <c r="M19" i="49" s="1"/>
  <c r="X18" i="49"/>
  <c r="Q18" i="49"/>
  <c r="S18" i="49" s="1"/>
  <c r="U18" i="49" s="1"/>
  <c r="J18" i="49"/>
  <c r="M18" i="49" s="1"/>
  <c r="X17" i="49"/>
  <c r="Q17" i="49"/>
  <c r="S17" i="49" s="1"/>
  <c r="U17" i="49" s="1"/>
  <c r="J17" i="49"/>
  <c r="M17" i="49" s="1"/>
  <c r="X16" i="49"/>
  <c r="S16" i="49"/>
  <c r="U16" i="49" s="1"/>
  <c r="Q16" i="49"/>
  <c r="J16" i="49"/>
  <c r="M16" i="49" s="1"/>
  <c r="X15" i="49"/>
  <c r="S15" i="49"/>
  <c r="U15" i="49" s="1"/>
  <c r="Q15" i="49"/>
  <c r="M15" i="49"/>
  <c r="J15" i="49"/>
  <c r="X14" i="49"/>
  <c r="Q14" i="49"/>
  <c r="S14" i="49" s="1"/>
  <c r="U14" i="49" s="1"/>
  <c r="J14" i="49"/>
  <c r="M14" i="49" s="1"/>
  <c r="X13" i="49"/>
  <c r="S13" i="49"/>
  <c r="U13" i="49" s="1"/>
  <c r="Q13" i="49"/>
  <c r="M13" i="49"/>
  <c r="J13" i="49"/>
  <c r="X12" i="49"/>
  <c r="Q12" i="49"/>
  <c r="S12" i="49" s="1"/>
  <c r="U12" i="49" s="1"/>
  <c r="J12" i="49"/>
  <c r="M12" i="49" s="1"/>
  <c r="X11" i="49"/>
  <c r="S11" i="49"/>
  <c r="U11" i="49" s="1"/>
  <c r="Q11" i="49"/>
  <c r="J11" i="49"/>
  <c r="M11" i="49" s="1"/>
  <c r="X10" i="49"/>
  <c r="Q10" i="49"/>
  <c r="S10" i="49" s="1"/>
  <c r="U10" i="49" s="1"/>
  <c r="J10" i="49"/>
  <c r="M10" i="49" s="1"/>
  <c r="X9" i="49"/>
  <c r="Q9" i="49"/>
  <c r="S9" i="49" s="1"/>
  <c r="U9" i="49" s="1"/>
  <c r="J9" i="49"/>
  <c r="M9" i="49" s="1"/>
  <c r="X8" i="49"/>
  <c r="S8" i="49"/>
  <c r="U8" i="49" s="1"/>
  <c r="Q8" i="49"/>
  <c r="J8" i="49"/>
  <c r="M8" i="49" s="1"/>
  <c r="X7" i="49"/>
  <c r="Q7" i="49"/>
  <c r="S7" i="49" s="1"/>
  <c r="U7" i="49" s="1"/>
  <c r="J7" i="49"/>
  <c r="M7" i="49" s="1"/>
  <c r="X6" i="49"/>
  <c r="Q6" i="49"/>
  <c r="S6" i="49" s="1"/>
  <c r="U6" i="49" s="1"/>
  <c r="J6" i="49"/>
  <c r="M6" i="49" s="1"/>
  <c r="X5" i="49"/>
  <c r="Q5" i="49"/>
  <c r="S5" i="49" s="1"/>
  <c r="U5" i="49" s="1"/>
  <c r="J5" i="49"/>
  <c r="M5" i="49" s="1"/>
  <c r="K215" i="48"/>
  <c r="N19" i="15" s="1"/>
  <c r="K212" i="48"/>
  <c r="J204" i="48"/>
  <c r="M204" i="48" s="1"/>
  <c r="J203" i="48"/>
  <c r="M203" i="48" s="1"/>
  <c r="J202" i="48"/>
  <c r="M202" i="48" s="1"/>
  <c r="J201" i="48"/>
  <c r="M201" i="48" s="1"/>
  <c r="J200" i="48"/>
  <c r="M200" i="48" s="1"/>
  <c r="J199" i="48"/>
  <c r="M199" i="48" s="1"/>
  <c r="J198" i="48"/>
  <c r="M198" i="48" s="1"/>
  <c r="J197" i="48"/>
  <c r="M197" i="48" s="1"/>
  <c r="J196" i="48"/>
  <c r="M196" i="48" s="1"/>
  <c r="J195" i="48"/>
  <c r="M195" i="48" s="1"/>
  <c r="J194" i="48"/>
  <c r="M194" i="48" s="1"/>
  <c r="J193" i="48"/>
  <c r="M193" i="48" s="1"/>
  <c r="J192" i="48"/>
  <c r="M192" i="48" s="1"/>
  <c r="J191" i="48"/>
  <c r="M191" i="48" s="1"/>
  <c r="J190" i="48"/>
  <c r="M190" i="48" s="1"/>
  <c r="J189" i="48"/>
  <c r="M189" i="48" s="1"/>
  <c r="J188" i="48"/>
  <c r="M188" i="48" s="1"/>
  <c r="J187" i="48"/>
  <c r="M187" i="48" s="1"/>
  <c r="J186" i="48"/>
  <c r="M186" i="48" s="1"/>
  <c r="J185" i="48"/>
  <c r="M185" i="48" s="1"/>
  <c r="J184" i="48"/>
  <c r="M184" i="48" s="1"/>
  <c r="J183" i="48"/>
  <c r="M183" i="48" s="1"/>
  <c r="J182" i="48"/>
  <c r="M182" i="48" s="1"/>
  <c r="J181" i="48"/>
  <c r="M181" i="48" s="1"/>
  <c r="J180" i="48"/>
  <c r="M180" i="48" s="1"/>
  <c r="J179" i="48"/>
  <c r="M179" i="48" s="1"/>
  <c r="J178" i="48"/>
  <c r="M178" i="48" s="1"/>
  <c r="J177" i="48"/>
  <c r="M177" i="48" s="1"/>
  <c r="J176" i="48"/>
  <c r="M176" i="48" s="1"/>
  <c r="J175" i="48"/>
  <c r="M175" i="48" s="1"/>
  <c r="J174" i="48"/>
  <c r="M174" i="48" s="1"/>
  <c r="J173" i="48"/>
  <c r="M173" i="48" s="1"/>
  <c r="J172" i="48"/>
  <c r="M172" i="48" s="1"/>
  <c r="J171" i="48"/>
  <c r="M171" i="48" s="1"/>
  <c r="J170" i="48"/>
  <c r="M170" i="48" s="1"/>
  <c r="J169" i="48"/>
  <c r="M169" i="48" s="1"/>
  <c r="J168" i="48"/>
  <c r="M168" i="48" s="1"/>
  <c r="J167" i="48"/>
  <c r="M167" i="48" s="1"/>
  <c r="J166" i="48"/>
  <c r="M166" i="48" s="1"/>
  <c r="J165" i="48"/>
  <c r="M165" i="48" s="1"/>
  <c r="J164" i="48"/>
  <c r="M164" i="48" s="1"/>
  <c r="J163" i="48"/>
  <c r="M163" i="48" s="1"/>
  <c r="J162" i="48"/>
  <c r="M162" i="48" s="1"/>
  <c r="J161" i="48"/>
  <c r="M161" i="48" s="1"/>
  <c r="J160" i="48"/>
  <c r="M160" i="48" s="1"/>
  <c r="J159" i="48"/>
  <c r="M159" i="48" s="1"/>
  <c r="J158" i="48"/>
  <c r="M158" i="48" s="1"/>
  <c r="J157" i="48"/>
  <c r="M157" i="48" s="1"/>
  <c r="J156" i="48"/>
  <c r="M156" i="48" s="1"/>
  <c r="J155" i="48"/>
  <c r="M155" i="48" s="1"/>
  <c r="J154" i="48"/>
  <c r="M154" i="48" s="1"/>
  <c r="J153" i="48"/>
  <c r="M153" i="48" s="1"/>
  <c r="J152" i="48"/>
  <c r="M152" i="48" s="1"/>
  <c r="J151" i="48"/>
  <c r="M151" i="48" s="1"/>
  <c r="J150" i="48"/>
  <c r="M150" i="48" s="1"/>
  <c r="J149" i="48"/>
  <c r="M149" i="48" s="1"/>
  <c r="J148" i="48"/>
  <c r="M148" i="48" s="1"/>
  <c r="J147" i="48"/>
  <c r="M147" i="48" s="1"/>
  <c r="J146" i="48"/>
  <c r="M146" i="48" s="1"/>
  <c r="J145" i="48"/>
  <c r="M145" i="48" s="1"/>
  <c r="J144" i="48"/>
  <c r="M144" i="48" s="1"/>
  <c r="J143" i="48"/>
  <c r="M143" i="48" s="1"/>
  <c r="J142" i="48"/>
  <c r="M142" i="48" s="1"/>
  <c r="J141" i="48"/>
  <c r="M141" i="48" s="1"/>
  <c r="J140" i="48"/>
  <c r="M140" i="48" s="1"/>
  <c r="J139" i="48"/>
  <c r="M139" i="48" s="1"/>
  <c r="J138" i="48"/>
  <c r="M138" i="48" s="1"/>
  <c r="J137" i="48"/>
  <c r="M137" i="48" s="1"/>
  <c r="J136" i="48"/>
  <c r="M136" i="48" s="1"/>
  <c r="J135" i="48"/>
  <c r="M135" i="48" s="1"/>
  <c r="J134" i="48"/>
  <c r="M134" i="48" s="1"/>
  <c r="J133" i="48"/>
  <c r="M133" i="48" s="1"/>
  <c r="J132" i="48"/>
  <c r="M132" i="48" s="1"/>
  <c r="J131" i="48"/>
  <c r="M131" i="48" s="1"/>
  <c r="J130" i="48"/>
  <c r="M130" i="48" s="1"/>
  <c r="J129" i="48"/>
  <c r="M129" i="48" s="1"/>
  <c r="J128" i="48"/>
  <c r="M128" i="48" s="1"/>
  <c r="J127" i="48"/>
  <c r="M127" i="48" s="1"/>
  <c r="J126" i="48"/>
  <c r="M126" i="48" s="1"/>
  <c r="J125" i="48"/>
  <c r="M125" i="48" s="1"/>
  <c r="J124" i="48"/>
  <c r="M124" i="48" s="1"/>
  <c r="J123" i="48"/>
  <c r="M123" i="48" s="1"/>
  <c r="J122" i="48"/>
  <c r="M122" i="48" s="1"/>
  <c r="J121" i="48"/>
  <c r="M121" i="48" s="1"/>
  <c r="J120" i="48"/>
  <c r="M120" i="48" s="1"/>
  <c r="J119" i="48"/>
  <c r="M119" i="48" s="1"/>
  <c r="J118" i="48"/>
  <c r="M118" i="48" s="1"/>
  <c r="J117" i="48"/>
  <c r="M117" i="48" s="1"/>
  <c r="J116" i="48"/>
  <c r="M116" i="48" s="1"/>
  <c r="J115" i="48"/>
  <c r="M115" i="48" s="1"/>
  <c r="J114" i="48"/>
  <c r="M114" i="48" s="1"/>
  <c r="J113" i="48"/>
  <c r="M113" i="48" s="1"/>
  <c r="J112" i="48"/>
  <c r="M112" i="48" s="1"/>
  <c r="J111" i="48"/>
  <c r="M111" i="48" s="1"/>
  <c r="J110" i="48"/>
  <c r="M110" i="48" s="1"/>
  <c r="J109" i="48"/>
  <c r="M109" i="48" s="1"/>
  <c r="J108" i="48"/>
  <c r="M108" i="48" s="1"/>
  <c r="J107" i="48"/>
  <c r="M107" i="48" s="1"/>
  <c r="J106" i="48"/>
  <c r="M106" i="48" s="1"/>
  <c r="Z105" i="48"/>
  <c r="J105" i="48"/>
  <c r="M105" i="48" s="1"/>
  <c r="X104" i="48"/>
  <c r="Q104" i="48"/>
  <c r="S104" i="48" s="1"/>
  <c r="U104" i="48" s="1"/>
  <c r="J104" i="48"/>
  <c r="M104" i="48" s="1"/>
  <c r="X103" i="48"/>
  <c r="Q103" i="48"/>
  <c r="S103" i="48" s="1"/>
  <c r="U103" i="48" s="1"/>
  <c r="J103" i="48"/>
  <c r="M103" i="48" s="1"/>
  <c r="X102" i="48"/>
  <c r="Q102" i="48"/>
  <c r="S102" i="48" s="1"/>
  <c r="U102" i="48" s="1"/>
  <c r="J102" i="48"/>
  <c r="M102" i="48" s="1"/>
  <c r="X101" i="48"/>
  <c r="Q101" i="48"/>
  <c r="S101" i="48" s="1"/>
  <c r="U101" i="48" s="1"/>
  <c r="J101" i="48"/>
  <c r="M101" i="48" s="1"/>
  <c r="X100" i="48"/>
  <c r="Q100" i="48"/>
  <c r="S100" i="48" s="1"/>
  <c r="U100" i="48" s="1"/>
  <c r="J100" i="48"/>
  <c r="M100" i="48" s="1"/>
  <c r="X99" i="48"/>
  <c r="Q99" i="48"/>
  <c r="S99" i="48" s="1"/>
  <c r="U99" i="48" s="1"/>
  <c r="J99" i="48"/>
  <c r="M99" i="48" s="1"/>
  <c r="X98" i="48"/>
  <c r="Q98" i="48"/>
  <c r="S98" i="48" s="1"/>
  <c r="U98" i="48" s="1"/>
  <c r="J98" i="48"/>
  <c r="M98" i="48" s="1"/>
  <c r="X97" i="48"/>
  <c r="Q97" i="48"/>
  <c r="S97" i="48" s="1"/>
  <c r="U97" i="48" s="1"/>
  <c r="J97" i="48"/>
  <c r="M97" i="48" s="1"/>
  <c r="X96" i="48"/>
  <c r="Q96" i="48"/>
  <c r="S96" i="48" s="1"/>
  <c r="U96" i="48" s="1"/>
  <c r="J96" i="48"/>
  <c r="M96" i="48" s="1"/>
  <c r="X95" i="48"/>
  <c r="Q95" i="48"/>
  <c r="S95" i="48" s="1"/>
  <c r="U95" i="48" s="1"/>
  <c r="J95" i="48"/>
  <c r="M95" i="48" s="1"/>
  <c r="X94" i="48"/>
  <c r="Q94" i="48"/>
  <c r="S94" i="48" s="1"/>
  <c r="U94" i="48" s="1"/>
  <c r="J94" i="48"/>
  <c r="M94" i="48" s="1"/>
  <c r="X93" i="48"/>
  <c r="Q93" i="48"/>
  <c r="S93" i="48" s="1"/>
  <c r="U93" i="48" s="1"/>
  <c r="J93" i="48"/>
  <c r="M93" i="48" s="1"/>
  <c r="X92" i="48"/>
  <c r="Q92" i="48"/>
  <c r="S92" i="48" s="1"/>
  <c r="U92" i="48" s="1"/>
  <c r="J92" i="48"/>
  <c r="M92" i="48" s="1"/>
  <c r="X91" i="48"/>
  <c r="Q91" i="48"/>
  <c r="S91" i="48" s="1"/>
  <c r="U91" i="48" s="1"/>
  <c r="J91" i="48"/>
  <c r="M91" i="48" s="1"/>
  <c r="X90" i="48"/>
  <c r="Q90" i="48"/>
  <c r="S90" i="48" s="1"/>
  <c r="U90" i="48" s="1"/>
  <c r="J90" i="48"/>
  <c r="M90" i="48" s="1"/>
  <c r="X89" i="48"/>
  <c r="Q89" i="48"/>
  <c r="S89" i="48" s="1"/>
  <c r="U89" i="48" s="1"/>
  <c r="J89" i="48"/>
  <c r="M89" i="48" s="1"/>
  <c r="X88" i="48"/>
  <c r="Q88" i="48"/>
  <c r="S88" i="48" s="1"/>
  <c r="U88" i="48" s="1"/>
  <c r="J88" i="48"/>
  <c r="M88" i="48" s="1"/>
  <c r="X87" i="48"/>
  <c r="Q87" i="48"/>
  <c r="S87" i="48" s="1"/>
  <c r="U87" i="48" s="1"/>
  <c r="J87" i="48"/>
  <c r="M87" i="48" s="1"/>
  <c r="X86" i="48"/>
  <c r="Q86" i="48"/>
  <c r="S86" i="48" s="1"/>
  <c r="U86" i="48" s="1"/>
  <c r="J86" i="48"/>
  <c r="M86" i="48" s="1"/>
  <c r="X85" i="48"/>
  <c r="Q85" i="48"/>
  <c r="S85" i="48" s="1"/>
  <c r="U85" i="48" s="1"/>
  <c r="J85" i="48"/>
  <c r="M85" i="48" s="1"/>
  <c r="X84" i="48"/>
  <c r="Q84" i="48"/>
  <c r="S84" i="48" s="1"/>
  <c r="U84" i="48" s="1"/>
  <c r="J84" i="48"/>
  <c r="M84" i="48" s="1"/>
  <c r="X83" i="48"/>
  <c r="Q83" i="48"/>
  <c r="S83" i="48" s="1"/>
  <c r="U83" i="48" s="1"/>
  <c r="J83" i="48"/>
  <c r="M83" i="48" s="1"/>
  <c r="X82" i="48"/>
  <c r="Q82" i="48"/>
  <c r="S82" i="48" s="1"/>
  <c r="U82" i="48" s="1"/>
  <c r="J82" i="48"/>
  <c r="M82" i="48" s="1"/>
  <c r="X81" i="48"/>
  <c r="Q81" i="48"/>
  <c r="S81" i="48" s="1"/>
  <c r="U81" i="48" s="1"/>
  <c r="J81" i="48"/>
  <c r="M81" i="48" s="1"/>
  <c r="X80" i="48"/>
  <c r="Q80" i="48"/>
  <c r="S80" i="48" s="1"/>
  <c r="U80" i="48" s="1"/>
  <c r="J80" i="48"/>
  <c r="M80" i="48" s="1"/>
  <c r="X79" i="48"/>
  <c r="Q79" i="48"/>
  <c r="S79" i="48" s="1"/>
  <c r="U79" i="48" s="1"/>
  <c r="J79" i="48"/>
  <c r="M79" i="48" s="1"/>
  <c r="X78" i="48"/>
  <c r="Q78" i="48"/>
  <c r="S78" i="48" s="1"/>
  <c r="U78" i="48" s="1"/>
  <c r="J78" i="48"/>
  <c r="M78" i="48" s="1"/>
  <c r="X77" i="48"/>
  <c r="Q77" i="48"/>
  <c r="S77" i="48" s="1"/>
  <c r="U77" i="48" s="1"/>
  <c r="J77" i="48"/>
  <c r="M77" i="48" s="1"/>
  <c r="X76" i="48"/>
  <c r="Q76" i="48"/>
  <c r="S76" i="48" s="1"/>
  <c r="U76" i="48" s="1"/>
  <c r="J76" i="48"/>
  <c r="M76" i="48" s="1"/>
  <c r="X75" i="48"/>
  <c r="Q75" i="48"/>
  <c r="S75" i="48" s="1"/>
  <c r="U75" i="48" s="1"/>
  <c r="J75" i="48"/>
  <c r="M75" i="48" s="1"/>
  <c r="X74" i="48"/>
  <c r="Q74" i="48"/>
  <c r="S74" i="48" s="1"/>
  <c r="U74" i="48" s="1"/>
  <c r="J74" i="48"/>
  <c r="M74" i="48" s="1"/>
  <c r="X73" i="48"/>
  <c r="Q73" i="48"/>
  <c r="S73" i="48" s="1"/>
  <c r="U73" i="48" s="1"/>
  <c r="J73" i="48"/>
  <c r="M73" i="48" s="1"/>
  <c r="X72" i="48"/>
  <c r="S72" i="48"/>
  <c r="U72" i="48" s="1"/>
  <c r="Q72" i="48"/>
  <c r="J72" i="48"/>
  <c r="M72" i="48" s="1"/>
  <c r="X71" i="48"/>
  <c r="Q71" i="48"/>
  <c r="S71" i="48" s="1"/>
  <c r="U71" i="48" s="1"/>
  <c r="J71" i="48"/>
  <c r="M71" i="48" s="1"/>
  <c r="X70" i="48"/>
  <c r="Q70" i="48"/>
  <c r="S70" i="48" s="1"/>
  <c r="U70" i="48" s="1"/>
  <c r="J70" i="48"/>
  <c r="M70" i="48" s="1"/>
  <c r="X69" i="48"/>
  <c r="Q69" i="48"/>
  <c r="S69" i="48" s="1"/>
  <c r="U69" i="48" s="1"/>
  <c r="J69" i="48"/>
  <c r="M69" i="48" s="1"/>
  <c r="X68" i="48"/>
  <c r="Q68" i="48"/>
  <c r="S68" i="48" s="1"/>
  <c r="U68" i="48" s="1"/>
  <c r="J68" i="48"/>
  <c r="M68" i="48" s="1"/>
  <c r="X67" i="48"/>
  <c r="S67" i="48"/>
  <c r="U67" i="48" s="1"/>
  <c r="Q67" i="48"/>
  <c r="J67" i="48"/>
  <c r="M67" i="48" s="1"/>
  <c r="X66" i="48"/>
  <c r="Q66" i="48"/>
  <c r="S66" i="48" s="1"/>
  <c r="U66" i="48" s="1"/>
  <c r="J66" i="48"/>
  <c r="M66" i="48" s="1"/>
  <c r="X65" i="48"/>
  <c r="S65" i="48"/>
  <c r="U65" i="48" s="1"/>
  <c r="Q65" i="48"/>
  <c r="J65" i="48"/>
  <c r="M65" i="48" s="1"/>
  <c r="X64" i="48"/>
  <c r="Q64" i="48"/>
  <c r="S64" i="48" s="1"/>
  <c r="U64" i="48" s="1"/>
  <c r="J64" i="48"/>
  <c r="M64" i="48" s="1"/>
  <c r="X63" i="48"/>
  <c r="Q63" i="48"/>
  <c r="S63" i="48" s="1"/>
  <c r="U63" i="48" s="1"/>
  <c r="J63" i="48"/>
  <c r="M63" i="48" s="1"/>
  <c r="X62" i="48"/>
  <c r="Q62" i="48"/>
  <c r="S62" i="48" s="1"/>
  <c r="U62" i="48" s="1"/>
  <c r="J62" i="48"/>
  <c r="M62" i="48" s="1"/>
  <c r="X61" i="48"/>
  <c r="Q61" i="48"/>
  <c r="S61" i="48" s="1"/>
  <c r="U61" i="48" s="1"/>
  <c r="J61" i="48"/>
  <c r="M61" i="48" s="1"/>
  <c r="X60" i="48"/>
  <c r="Q60" i="48"/>
  <c r="S60" i="48" s="1"/>
  <c r="U60" i="48" s="1"/>
  <c r="J60" i="48"/>
  <c r="M60" i="48" s="1"/>
  <c r="X59" i="48"/>
  <c r="Q59" i="48"/>
  <c r="S59" i="48" s="1"/>
  <c r="U59" i="48" s="1"/>
  <c r="J59" i="48"/>
  <c r="M59" i="48" s="1"/>
  <c r="X58" i="48"/>
  <c r="Q58" i="48"/>
  <c r="S58" i="48" s="1"/>
  <c r="U58" i="48" s="1"/>
  <c r="J58" i="48"/>
  <c r="M58" i="48" s="1"/>
  <c r="X57" i="48"/>
  <c r="Q57" i="48"/>
  <c r="S57" i="48" s="1"/>
  <c r="U57" i="48" s="1"/>
  <c r="J57" i="48"/>
  <c r="M57" i="48" s="1"/>
  <c r="X56" i="48"/>
  <c r="Q56" i="48"/>
  <c r="S56" i="48" s="1"/>
  <c r="U56" i="48" s="1"/>
  <c r="J56" i="48"/>
  <c r="M56" i="48" s="1"/>
  <c r="X55" i="48"/>
  <c r="Q55" i="48"/>
  <c r="S55" i="48" s="1"/>
  <c r="U55" i="48" s="1"/>
  <c r="J55" i="48"/>
  <c r="M55" i="48" s="1"/>
  <c r="X54" i="48"/>
  <c r="S54" i="48"/>
  <c r="U54" i="48" s="1"/>
  <c r="Q54" i="48"/>
  <c r="J54" i="48"/>
  <c r="M54" i="48" s="1"/>
  <c r="X53" i="48"/>
  <c r="Q53" i="48"/>
  <c r="S53" i="48" s="1"/>
  <c r="U53" i="48" s="1"/>
  <c r="J53" i="48"/>
  <c r="M53" i="48" s="1"/>
  <c r="X52" i="48"/>
  <c r="Q52" i="48"/>
  <c r="S52" i="48" s="1"/>
  <c r="U52" i="48" s="1"/>
  <c r="J52" i="48"/>
  <c r="M52" i="48" s="1"/>
  <c r="X51" i="48"/>
  <c r="Q51" i="48"/>
  <c r="S51" i="48" s="1"/>
  <c r="U51" i="48" s="1"/>
  <c r="J51" i="48"/>
  <c r="M51" i="48" s="1"/>
  <c r="X50" i="48"/>
  <c r="Q50" i="48"/>
  <c r="S50" i="48" s="1"/>
  <c r="U50" i="48" s="1"/>
  <c r="J50" i="48"/>
  <c r="M50" i="48" s="1"/>
  <c r="X49" i="48"/>
  <c r="Q49" i="48"/>
  <c r="S49" i="48" s="1"/>
  <c r="U49" i="48" s="1"/>
  <c r="J49" i="48"/>
  <c r="M49" i="48" s="1"/>
  <c r="X48" i="48"/>
  <c r="Q48" i="48"/>
  <c r="S48" i="48" s="1"/>
  <c r="U48" i="48" s="1"/>
  <c r="J48" i="48"/>
  <c r="M48" i="48" s="1"/>
  <c r="X47" i="48"/>
  <c r="Q47" i="48"/>
  <c r="S47" i="48" s="1"/>
  <c r="U47" i="48" s="1"/>
  <c r="J47" i="48"/>
  <c r="M47" i="48" s="1"/>
  <c r="X46" i="48"/>
  <c r="Q46" i="48"/>
  <c r="S46" i="48" s="1"/>
  <c r="U46" i="48" s="1"/>
  <c r="J46" i="48"/>
  <c r="M46" i="48" s="1"/>
  <c r="X45" i="48"/>
  <c r="Q45" i="48"/>
  <c r="S45" i="48" s="1"/>
  <c r="U45" i="48" s="1"/>
  <c r="J45" i="48"/>
  <c r="M45" i="48" s="1"/>
  <c r="X44" i="48"/>
  <c r="Q44" i="48"/>
  <c r="S44" i="48" s="1"/>
  <c r="U44" i="48" s="1"/>
  <c r="J44" i="48"/>
  <c r="M44" i="48" s="1"/>
  <c r="X43" i="48"/>
  <c r="Q43" i="48"/>
  <c r="S43" i="48" s="1"/>
  <c r="U43" i="48" s="1"/>
  <c r="J43" i="48"/>
  <c r="M43" i="48" s="1"/>
  <c r="X42" i="48"/>
  <c r="Q42" i="48"/>
  <c r="S42" i="48" s="1"/>
  <c r="U42" i="48" s="1"/>
  <c r="J42" i="48"/>
  <c r="M42" i="48" s="1"/>
  <c r="X41" i="48"/>
  <c r="Q41" i="48"/>
  <c r="S41" i="48" s="1"/>
  <c r="U41" i="48" s="1"/>
  <c r="J41" i="48"/>
  <c r="M41" i="48" s="1"/>
  <c r="X40" i="48"/>
  <c r="Q40" i="48"/>
  <c r="S40" i="48" s="1"/>
  <c r="U40" i="48" s="1"/>
  <c r="J40" i="48"/>
  <c r="M40" i="48" s="1"/>
  <c r="X39" i="48"/>
  <c r="Q39" i="48"/>
  <c r="S39" i="48" s="1"/>
  <c r="U39" i="48" s="1"/>
  <c r="J39" i="48"/>
  <c r="M39" i="48" s="1"/>
  <c r="X38" i="48"/>
  <c r="Q38" i="48"/>
  <c r="S38" i="48" s="1"/>
  <c r="U38" i="48" s="1"/>
  <c r="J38" i="48"/>
  <c r="M38" i="48" s="1"/>
  <c r="X37" i="48"/>
  <c r="Q37" i="48"/>
  <c r="S37" i="48" s="1"/>
  <c r="U37" i="48" s="1"/>
  <c r="J37" i="48"/>
  <c r="M37" i="48" s="1"/>
  <c r="X36" i="48"/>
  <c r="Q36" i="48"/>
  <c r="S36" i="48" s="1"/>
  <c r="U36" i="48" s="1"/>
  <c r="J36" i="48"/>
  <c r="M36" i="48" s="1"/>
  <c r="X35" i="48"/>
  <c r="Q35" i="48"/>
  <c r="S35" i="48" s="1"/>
  <c r="U35" i="48" s="1"/>
  <c r="J35" i="48"/>
  <c r="M35" i="48" s="1"/>
  <c r="X34" i="48"/>
  <c r="Q34" i="48"/>
  <c r="S34" i="48" s="1"/>
  <c r="U34" i="48" s="1"/>
  <c r="J34" i="48"/>
  <c r="M34" i="48" s="1"/>
  <c r="X33" i="48"/>
  <c r="Q33" i="48"/>
  <c r="S33" i="48" s="1"/>
  <c r="U33" i="48" s="1"/>
  <c r="J33" i="48"/>
  <c r="M33" i="48" s="1"/>
  <c r="X32" i="48"/>
  <c r="Q32" i="48"/>
  <c r="S32" i="48" s="1"/>
  <c r="U32" i="48" s="1"/>
  <c r="J32" i="48"/>
  <c r="M32" i="48" s="1"/>
  <c r="X31" i="48"/>
  <c r="Q31" i="48"/>
  <c r="S31" i="48" s="1"/>
  <c r="U31" i="48" s="1"/>
  <c r="J31" i="48"/>
  <c r="M31" i="48" s="1"/>
  <c r="X30" i="48"/>
  <c r="Q30" i="48"/>
  <c r="S30" i="48" s="1"/>
  <c r="U30" i="48" s="1"/>
  <c r="J30" i="48"/>
  <c r="M30" i="48" s="1"/>
  <c r="X29" i="48"/>
  <c r="Q29" i="48"/>
  <c r="S29" i="48" s="1"/>
  <c r="U29" i="48" s="1"/>
  <c r="J29" i="48"/>
  <c r="M29" i="48" s="1"/>
  <c r="X28" i="48"/>
  <c r="Q28" i="48"/>
  <c r="S28" i="48" s="1"/>
  <c r="U28" i="48" s="1"/>
  <c r="J28" i="48"/>
  <c r="M28" i="48" s="1"/>
  <c r="X27" i="48"/>
  <c r="Q27" i="48"/>
  <c r="S27" i="48" s="1"/>
  <c r="U27" i="48" s="1"/>
  <c r="J27" i="48"/>
  <c r="M27" i="48" s="1"/>
  <c r="X26" i="48"/>
  <c r="Q26" i="48"/>
  <c r="S26" i="48" s="1"/>
  <c r="U26" i="48" s="1"/>
  <c r="J26" i="48"/>
  <c r="M26" i="48" s="1"/>
  <c r="X25" i="48"/>
  <c r="Q25" i="48"/>
  <c r="S25" i="48" s="1"/>
  <c r="U25" i="48" s="1"/>
  <c r="J25" i="48"/>
  <c r="M25" i="48" s="1"/>
  <c r="X24" i="48"/>
  <c r="Q24" i="48"/>
  <c r="S24" i="48" s="1"/>
  <c r="U24" i="48" s="1"/>
  <c r="J24" i="48"/>
  <c r="M24" i="48" s="1"/>
  <c r="X23" i="48"/>
  <c r="Q23" i="48"/>
  <c r="S23" i="48" s="1"/>
  <c r="U23" i="48" s="1"/>
  <c r="J23" i="48"/>
  <c r="M23" i="48" s="1"/>
  <c r="X22" i="48"/>
  <c r="Q22" i="48"/>
  <c r="S22" i="48" s="1"/>
  <c r="U22" i="48" s="1"/>
  <c r="J22" i="48"/>
  <c r="M22" i="48" s="1"/>
  <c r="X21" i="48"/>
  <c r="Q21" i="48"/>
  <c r="S21" i="48" s="1"/>
  <c r="U21" i="48" s="1"/>
  <c r="J21" i="48"/>
  <c r="M21" i="48" s="1"/>
  <c r="X20" i="48"/>
  <c r="Q20" i="48"/>
  <c r="S20" i="48" s="1"/>
  <c r="U20" i="48" s="1"/>
  <c r="J20" i="48"/>
  <c r="M20" i="48" s="1"/>
  <c r="X19" i="48"/>
  <c r="Q19" i="48"/>
  <c r="S19" i="48" s="1"/>
  <c r="U19" i="48" s="1"/>
  <c r="J19" i="48"/>
  <c r="M19" i="48" s="1"/>
  <c r="X18" i="48"/>
  <c r="Q18" i="48"/>
  <c r="S18" i="48" s="1"/>
  <c r="U18" i="48" s="1"/>
  <c r="J18" i="48"/>
  <c r="M18" i="48" s="1"/>
  <c r="X17" i="48"/>
  <c r="Q17" i="48"/>
  <c r="S17" i="48" s="1"/>
  <c r="U17" i="48" s="1"/>
  <c r="J17" i="48"/>
  <c r="M17" i="48" s="1"/>
  <c r="X16" i="48"/>
  <c r="Q16" i="48"/>
  <c r="S16" i="48" s="1"/>
  <c r="U16" i="48" s="1"/>
  <c r="J16" i="48"/>
  <c r="M16" i="48" s="1"/>
  <c r="X15" i="48"/>
  <c r="Q15" i="48"/>
  <c r="S15" i="48" s="1"/>
  <c r="U15" i="48" s="1"/>
  <c r="J15" i="48"/>
  <c r="M15" i="48" s="1"/>
  <c r="X14" i="48"/>
  <c r="Q14" i="48"/>
  <c r="S14" i="48" s="1"/>
  <c r="U14" i="48" s="1"/>
  <c r="J14" i="48"/>
  <c r="M14" i="48" s="1"/>
  <c r="X13" i="48"/>
  <c r="Q13" i="48"/>
  <c r="S13" i="48" s="1"/>
  <c r="U13" i="48" s="1"/>
  <c r="J13" i="48"/>
  <c r="M13" i="48" s="1"/>
  <c r="X12" i="48"/>
  <c r="Q12" i="48"/>
  <c r="S12" i="48" s="1"/>
  <c r="U12" i="48" s="1"/>
  <c r="J12" i="48"/>
  <c r="M12" i="48" s="1"/>
  <c r="X11" i="48"/>
  <c r="Q11" i="48"/>
  <c r="S11" i="48" s="1"/>
  <c r="U11" i="48" s="1"/>
  <c r="J11" i="48"/>
  <c r="M11" i="48" s="1"/>
  <c r="X10" i="48"/>
  <c r="Q10" i="48"/>
  <c r="S10" i="48" s="1"/>
  <c r="U10" i="48" s="1"/>
  <c r="J10" i="48"/>
  <c r="M10" i="48" s="1"/>
  <c r="X9" i="48"/>
  <c r="Q9" i="48"/>
  <c r="S9" i="48" s="1"/>
  <c r="U9" i="48" s="1"/>
  <c r="J9" i="48"/>
  <c r="M9" i="48" s="1"/>
  <c r="X8" i="48"/>
  <c r="Q8" i="48"/>
  <c r="S8" i="48" s="1"/>
  <c r="U8" i="48" s="1"/>
  <c r="J8" i="48"/>
  <c r="M8" i="48" s="1"/>
  <c r="X7" i="48"/>
  <c r="Q7" i="48"/>
  <c r="S7" i="48" s="1"/>
  <c r="U7" i="48" s="1"/>
  <c r="J7" i="48"/>
  <c r="M7" i="48" s="1"/>
  <c r="X6" i="48"/>
  <c r="Q6" i="48"/>
  <c r="S6" i="48" s="1"/>
  <c r="U6" i="48" s="1"/>
  <c r="J6" i="48"/>
  <c r="M6" i="48" s="1"/>
  <c r="X5" i="48"/>
  <c r="Q5" i="48"/>
  <c r="S5" i="48" s="1"/>
  <c r="U5" i="48" s="1"/>
  <c r="J5" i="48"/>
  <c r="M5" i="48" s="1"/>
  <c r="K215" i="47"/>
  <c r="N18" i="15" s="1"/>
  <c r="K212" i="47"/>
  <c r="J204" i="47"/>
  <c r="M204" i="47" s="1"/>
  <c r="J203" i="47"/>
  <c r="M203" i="47" s="1"/>
  <c r="J202" i="47"/>
  <c r="M202" i="47" s="1"/>
  <c r="J201" i="47"/>
  <c r="M201" i="47" s="1"/>
  <c r="J200" i="47"/>
  <c r="M200" i="47" s="1"/>
  <c r="J199" i="47"/>
  <c r="M199" i="47" s="1"/>
  <c r="J198" i="47"/>
  <c r="M198" i="47" s="1"/>
  <c r="J197" i="47"/>
  <c r="M197" i="47" s="1"/>
  <c r="J196" i="47"/>
  <c r="M196" i="47" s="1"/>
  <c r="J195" i="47"/>
  <c r="M195" i="47" s="1"/>
  <c r="J194" i="47"/>
  <c r="M194" i="47" s="1"/>
  <c r="J193" i="47"/>
  <c r="M193" i="47" s="1"/>
  <c r="J192" i="47"/>
  <c r="M192" i="47" s="1"/>
  <c r="J191" i="47"/>
  <c r="M191" i="47" s="1"/>
  <c r="J190" i="47"/>
  <c r="M190" i="47" s="1"/>
  <c r="J189" i="47"/>
  <c r="M189" i="47" s="1"/>
  <c r="J188" i="47"/>
  <c r="M188" i="47" s="1"/>
  <c r="J187" i="47"/>
  <c r="M187" i="47" s="1"/>
  <c r="J186" i="47"/>
  <c r="M186" i="47" s="1"/>
  <c r="J185" i="47"/>
  <c r="M185" i="47" s="1"/>
  <c r="J184" i="47"/>
  <c r="M184" i="47" s="1"/>
  <c r="J183" i="47"/>
  <c r="M183" i="47" s="1"/>
  <c r="J182" i="47"/>
  <c r="M182" i="47" s="1"/>
  <c r="J181" i="47"/>
  <c r="M181" i="47" s="1"/>
  <c r="J180" i="47"/>
  <c r="M180" i="47" s="1"/>
  <c r="J179" i="47"/>
  <c r="M179" i="47" s="1"/>
  <c r="J178" i="47"/>
  <c r="M178" i="47" s="1"/>
  <c r="J177" i="47"/>
  <c r="M177" i="47" s="1"/>
  <c r="J176" i="47"/>
  <c r="M176" i="47" s="1"/>
  <c r="J175" i="47"/>
  <c r="M175" i="47" s="1"/>
  <c r="J174" i="47"/>
  <c r="M174" i="47" s="1"/>
  <c r="J173" i="47"/>
  <c r="M173" i="47" s="1"/>
  <c r="J172" i="47"/>
  <c r="M172" i="47" s="1"/>
  <c r="J171" i="47"/>
  <c r="M171" i="47" s="1"/>
  <c r="J170" i="47"/>
  <c r="M170" i="47" s="1"/>
  <c r="J169" i="47"/>
  <c r="M169" i="47" s="1"/>
  <c r="J168" i="47"/>
  <c r="M168" i="47" s="1"/>
  <c r="J167" i="47"/>
  <c r="M167" i="47" s="1"/>
  <c r="J166" i="47"/>
  <c r="M166" i="47" s="1"/>
  <c r="J165" i="47"/>
  <c r="M165" i="47" s="1"/>
  <c r="J164" i="47"/>
  <c r="M164" i="47" s="1"/>
  <c r="J163" i="47"/>
  <c r="M163" i="47" s="1"/>
  <c r="J162" i="47"/>
  <c r="M162" i="47" s="1"/>
  <c r="J161" i="47"/>
  <c r="M161" i="47" s="1"/>
  <c r="J160" i="47"/>
  <c r="M160" i="47" s="1"/>
  <c r="J159" i="47"/>
  <c r="M159" i="47" s="1"/>
  <c r="J158" i="47"/>
  <c r="M158" i="47" s="1"/>
  <c r="J157" i="47"/>
  <c r="M157" i="47" s="1"/>
  <c r="J156" i="47"/>
  <c r="M156" i="47" s="1"/>
  <c r="J155" i="47"/>
  <c r="M155" i="47" s="1"/>
  <c r="J154" i="47"/>
  <c r="M154" i="47" s="1"/>
  <c r="J153" i="47"/>
  <c r="M153" i="47" s="1"/>
  <c r="J152" i="47"/>
  <c r="M152" i="47" s="1"/>
  <c r="J151" i="47"/>
  <c r="M151" i="47" s="1"/>
  <c r="J150" i="47"/>
  <c r="M150" i="47" s="1"/>
  <c r="J149" i="47"/>
  <c r="M149" i="47" s="1"/>
  <c r="J148" i="47"/>
  <c r="M148" i="47" s="1"/>
  <c r="J147" i="47"/>
  <c r="M147" i="47" s="1"/>
  <c r="J146" i="47"/>
  <c r="M146" i="47" s="1"/>
  <c r="J145" i="47"/>
  <c r="M145" i="47" s="1"/>
  <c r="J144" i="47"/>
  <c r="M144" i="47" s="1"/>
  <c r="J143" i="47"/>
  <c r="M143" i="47" s="1"/>
  <c r="J142" i="47"/>
  <c r="M142" i="47" s="1"/>
  <c r="J141" i="47"/>
  <c r="M141" i="47" s="1"/>
  <c r="J140" i="47"/>
  <c r="M140" i="47" s="1"/>
  <c r="J139" i="47"/>
  <c r="M139" i="47" s="1"/>
  <c r="J138" i="47"/>
  <c r="M138" i="47" s="1"/>
  <c r="J137" i="47"/>
  <c r="M137" i="47" s="1"/>
  <c r="J136" i="47"/>
  <c r="M136" i="47" s="1"/>
  <c r="J135" i="47"/>
  <c r="M135" i="47" s="1"/>
  <c r="J134" i="47"/>
  <c r="M134" i="47" s="1"/>
  <c r="J133" i="47"/>
  <c r="M133" i="47" s="1"/>
  <c r="J132" i="47"/>
  <c r="M132" i="47" s="1"/>
  <c r="J131" i="47"/>
  <c r="M131" i="47" s="1"/>
  <c r="J130" i="47"/>
  <c r="M130" i="47" s="1"/>
  <c r="J129" i="47"/>
  <c r="M129" i="47" s="1"/>
  <c r="J128" i="47"/>
  <c r="M128" i="47" s="1"/>
  <c r="J127" i="47"/>
  <c r="M127" i="47" s="1"/>
  <c r="J126" i="47"/>
  <c r="M126" i="47" s="1"/>
  <c r="J125" i="47"/>
  <c r="M125" i="47" s="1"/>
  <c r="J124" i="47"/>
  <c r="M124" i="47" s="1"/>
  <c r="J123" i="47"/>
  <c r="M123" i="47" s="1"/>
  <c r="J122" i="47"/>
  <c r="M122" i="47" s="1"/>
  <c r="J121" i="47"/>
  <c r="M121" i="47" s="1"/>
  <c r="J120" i="47"/>
  <c r="M120" i="47" s="1"/>
  <c r="J119" i="47"/>
  <c r="M119" i="47" s="1"/>
  <c r="J118" i="47"/>
  <c r="M118" i="47" s="1"/>
  <c r="J117" i="47"/>
  <c r="M117" i="47" s="1"/>
  <c r="J116" i="47"/>
  <c r="M116" i="47" s="1"/>
  <c r="J115" i="47"/>
  <c r="M115" i="47" s="1"/>
  <c r="J114" i="47"/>
  <c r="M114" i="47" s="1"/>
  <c r="J113" i="47"/>
  <c r="M113" i="47" s="1"/>
  <c r="J112" i="47"/>
  <c r="M112" i="47" s="1"/>
  <c r="J111" i="47"/>
  <c r="M111" i="47" s="1"/>
  <c r="J110" i="47"/>
  <c r="M110" i="47" s="1"/>
  <c r="J109" i="47"/>
  <c r="M109" i="47" s="1"/>
  <c r="J108" i="47"/>
  <c r="M108" i="47" s="1"/>
  <c r="J107" i="47"/>
  <c r="M107" i="47" s="1"/>
  <c r="J106" i="47"/>
  <c r="M106" i="47" s="1"/>
  <c r="Z105" i="47"/>
  <c r="J105" i="47"/>
  <c r="M105" i="47" s="1"/>
  <c r="X104" i="47"/>
  <c r="Q104" i="47"/>
  <c r="S104" i="47" s="1"/>
  <c r="U104" i="47" s="1"/>
  <c r="J104" i="47"/>
  <c r="M104" i="47" s="1"/>
  <c r="X103" i="47"/>
  <c r="Q103" i="47"/>
  <c r="S103" i="47" s="1"/>
  <c r="U103" i="47" s="1"/>
  <c r="J103" i="47"/>
  <c r="M103" i="47" s="1"/>
  <c r="X102" i="47"/>
  <c r="Q102" i="47"/>
  <c r="S102" i="47" s="1"/>
  <c r="U102" i="47" s="1"/>
  <c r="J102" i="47"/>
  <c r="M102" i="47" s="1"/>
  <c r="X101" i="47"/>
  <c r="Q101" i="47"/>
  <c r="S101" i="47" s="1"/>
  <c r="U101" i="47" s="1"/>
  <c r="J101" i="47"/>
  <c r="M101" i="47" s="1"/>
  <c r="X100" i="47"/>
  <c r="Q100" i="47"/>
  <c r="S100" i="47" s="1"/>
  <c r="U100" i="47" s="1"/>
  <c r="J100" i="47"/>
  <c r="M100" i="47" s="1"/>
  <c r="X99" i="47"/>
  <c r="Q99" i="47"/>
  <c r="S99" i="47" s="1"/>
  <c r="U99" i="47" s="1"/>
  <c r="J99" i="47"/>
  <c r="M99" i="47" s="1"/>
  <c r="X98" i="47"/>
  <c r="Q98" i="47"/>
  <c r="S98" i="47" s="1"/>
  <c r="U98" i="47" s="1"/>
  <c r="J98" i="47"/>
  <c r="M98" i="47" s="1"/>
  <c r="X97" i="47"/>
  <c r="Q97" i="47"/>
  <c r="S97" i="47" s="1"/>
  <c r="U97" i="47" s="1"/>
  <c r="J97" i="47"/>
  <c r="M97" i="47" s="1"/>
  <c r="X96" i="47"/>
  <c r="Q96" i="47"/>
  <c r="S96" i="47" s="1"/>
  <c r="U96" i="47" s="1"/>
  <c r="J96" i="47"/>
  <c r="M96" i="47" s="1"/>
  <c r="X95" i="47"/>
  <c r="Q95" i="47"/>
  <c r="S95" i="47" s="1"/>
  <c r="U95" i="47" s="1"/>
  <c r="J95" i="47"/>
  <c r="M95" i="47" s="1"/>
  <c r="X94" i="47"/>
  <c r="Q94" i="47"/>
  <c r="S94" i="47" s="1"/>
  <c r="U94" i="47" s="1"/>
  <c r="J94" i="47"/>
  <c r="M94" i="47" s="1"/>
  <c r="X93" i="47"/>
  <c r="Q93" i="47"/>
  <c r="S93" i="47" s="1"/>
  <c r="U93" i="47" s="1"/>
  <c r="J93" i="47"/>
  <c r="M93" i="47" s="1"/>
  <c r="X92" i="47"/>
  <c r="Q92" i="47"/>
  <c r="S92" i="47" s="1"/>
  <c r="U92" i="47" s="1"/>
  <c r="J92" i="47"/>
  <c r="M92" i="47" s="1"/>
  <c r="X91" i="47"/>
  <c r="Q91" i="47"/>
  <c r="S91" i="47" s="1"/>
  <c r="U91" i="47" s="1"/>
  <c r="J91" i="47"/>
  <c r="M91" i="47" s="1"/>
  <c r="X90" i="47"/>
  <c r="Q90" i="47"/>
  <c r="S90" i="47" s="1"/>
  <c r="U90" i="47" s="1"/>
  <c r="J90" i="47"/>
  <c r="M90" i="47" s="1"/>
  <c r="X89" i="47"/>
  <c r="Q89" i="47"/>
  <c r="S89" i="47" s="1"/>
  <c r="U89" i="47" s="1"/>
  <c r="J89" i="47"/>
  <c r="M89" i="47" s="1"/>
  <c r="X88" i="47"/>
  <c r="Q88" i="47"/>
  <c r="S88" i="47" s="1"/>
  <c r="U88" i="47" s="1"/>
  <c r="J88" i="47"/>
  <c r="M88" i="47" s="1"/>
  <c r="X87" i="47"/>
  <c r="Q87" i="47"/>
  <c r="S87" i="47" s="1"/>
  <c r="U87" i="47" s="1"/>
  <c r="J87" i="47"/>
  <c r="M87" i="47" s="1"/>
  <c r="X86" i="47"/>
  <c r="Q86" i="47"/>
  <c r="S86" i="47" s="1"/>
  <c r="U86" i="47" s="1"/>
  <c r="J86" i="47"/>
  <c r="M86" i="47" s="1"/>
  <c r="X85" i="47"/>
  <c r="Q85" i="47"/>
  <c r="S85" i="47" s="1"/>
  <c r="U85" i="47" s="1"/>
  <c r="J85" i="47"/>
  <c r="M85" i="47" s="1"/>
  <c r="X84" i="47"/>
  <c r="Q84" i="47"/>
  <c r="S84" i="47" s="1"/>
  <c r="U84" i="47" s="1"/>
  <c r="J84" i="47"/>
  <c r="M84" i="47" s="1"/>
  <c r="X83" i="47"/>
  <c r="Q83" i="47"/>
  <c r="S83" i="47" s="1"/>
  <c r="U83" i="47" s="1"/>
  <c r="J83" i="47"/>
  <c r="M83" i="47" s="1"/>
  <c r="X82" i="47"/>
  <c r="Q82" i="47"/>
  <c r="S82" i="47" s="1"/>
  <c r="U82" i="47" s="1"/>
  <c r="J82" i="47"/>
  <c r="M82" i="47" s="1"/>
  <c r="X81" i="47"/>
  <c r="Q81" i="47"/>
  <c r="S81" i="47" s="1"/>
  <c r="U81" i="47" s="1"/>
  <c r="J81" i="47"/>
  <c r="M81" i="47" s="1"/>
  <c r="X80" i="47"/>
  <c r="S80" i="47"/>
  <c r="U80" i="47" s="1"/>
  <c r="Q80" i="47"/>
  <c r="J80" i="47"/>
  <c r="M80" i="47" s="1"/>
  <c r="X79" i="47"/>
  <c r="Q79" i="47"/>
  <c r="S79" i="47" s="1"/>
  <c r="U79" i="47" s="1"/>
  <c r="J79" i="47"/>
  <c r="M79" i="47" s="1"/>
  <c r="X78" i="47"/>
  <c r="Q78" i="47"/>
  <c r="S78" i="47" s="1"/>
  <c r="U78" i="47" s="1"/>
  <c r="J78" i="47"/>
  <c r="M78" i="47" s="1"/>
  <c r="X77" i="47"/>
  <c r="Q77" i="47"/>
  <c r="S77" i="47" s="1"/>
  <c r="U77" i="47" s="1"/>
  <c r="J77" i="47"/>
  <c r="M77" i="47" s="1"/>
  <c r="X76" i="47"/>
  <c r="Q76" i="47"/>
  <c r="S76" i="47" s="1"/>
  <c r="U76" i="47" s="1"/>
  <c r="J76" i="47"/>
  <c r="M76" i="47" s="1"/>
  <c r="X75" i="47"/>
  <c r="Q75" i="47"/>
  <c r="S75" i="47" s="1"/>
  <c r="U75" i="47" s="1"/>
  <c r="J75" i="47"/>
  <c r="M75" i="47" s="1"/>
  <c r="X74" i="47"/>
  <c r="Q74" i="47"/>
  <c r="S74" i="47" s="1"/>
  <c r="U74" i="47" s="1"/>
  <c r="J74" i="47"/>
  <c r="M74" i="47" s="1"/>
  <c r="X73" i="47"/>
  <c r="Q73" i="47"/>
  <c r="S73" i="47" s="1"/>
  <c r="U73" i="47" s="1"/>
  <c r="J73" i="47"/>
  <c r="M73" i="47" s="1"/>
  <c r="X72" i="47"/>
  <c r="Q72" i="47"/>
  <c r="S72" i="47" s="1"/>
  <c r="U72" i="47" s="1"/>
  <c r="J72" i="47"/>
  <c r="M72" i="47" s="1"/>
  <c r="X71" i="47"/>
  <c r="Q71" i="47"/>
  <c r="S71" i="47" s="1"/>
  <c r="U71" i="47" s="1"/>
  <c r="J71" i="47"/>
  <c r="M71" i="47" s="1"/>
  <c r="X70" i="47"/>
  <c r="Q70" i="47"/>
  <c r="S70" i="47" s="1"/>
  <c r="U70" i="47" s="1"/>
  <c r="J70" i="47"/>
  <c r="M70" i="47" s="1"/>
  <c r="X69" i="47"/>
  <c r="Q69" i="47"/>
  <c r="S69" i="47" s="1"/>
  <c r="U69" i="47" s="1"/>
  <c r="J69" i="47"/>
  <c r="M69" i="47" s="1"/>
  <c r="X68" i="47"/>
  <c r="Q68" i="47"/>
  <c r="S68" i="47" s="1"/>
  <c r="U68" i="47" s="1"/>
  <c r="J68" i="47"/>
  <c r="M68" i="47" s="1"/>
  <c r="X67" i="47"/>
  <c r="Q67" i="47"/>
  <c r="S67" i="47" s="1"/>
  <c r="U67" i="47" s="1"/>
  <c r="J67" i="47"/>
  <c r="M67" i="47" s="1"/>
  <c r="X66" i="47"/>
  <c r="Q66" i="47"/>
  <c r="S66" i="47" s="1"/>
  <c r="U66" i="47" s="1"/>
  <c r="J66" i="47"/>
  <c r="M66" i="47" s="1"/>
  <c r="X65" i="47"/>
  <c r="Q65" i="47"/>
  <c r="S65" i="47" s="1"/>
  <c r="U65" i="47" s="1"/>
  <c r="J65" i="47"/>
  <c r="M65" i="47" s="1"/>
  <c r="X64" i="47"/>
  <c r="Q64" i="47"/>
  <c r="S64" i="47" s="1"/>
  <c r="U64" i="47" s="1"/>
  <c r="J64" i="47"/>
  <c r="M64" i="47" s="1"/>
  <c r="X63" i="47"/>
  <c r="Q63" i="47"/>
  <c r="S63" i="47" s="1"/>
  <c r="U63" i="47" s="1"/>
  <c r="J63" i="47"/>
  <c r="M63" i="47" s="1"/>
  <c r="X62" i="47"/>
  <c r="Q62" i="47"/>
  <c r="S62" i="47" s="1"/>
  <c r="U62" i="47" s="1"/>
  <c r="J62" i="47"/>
  <c r="M62" i="47" s="1"/>
  <c r="X61" i="47"/>
  <c r="Q61" i="47"/>
  <c r="S61" i="47" s="1"/>
  <c r="U61" i="47" s="1"/>
  <c r="J61" i="47"/>
  <c r="M61" i="47" s="1"/>
  <c r="X60" i="47"/>
  <c r="Q60" i="47"/>
  <c r="S60" i="47" s="1"/>
  <c r="U60" i="47" s="1"/>
  <c r="J60" i="47"/>
  <c r="M60" i="47" s="1"/>
  <c r="X59" i="47"/>
  <c r="Q59" i="47"/>
  <c r="S59" i="47" s="1"/>
  <c r="U59" i="47" s="1"/>
  <c r="J59" i="47"/>
  <c r="M59" i="47" s="1"/>
  <c r="X58" i="47"/>
  <c r="Q58" i="47"/>
  <c r="S58" i="47" s="1"/>
  <c r="U58" i="47" s="1"/>
  <c r="J58" i="47"/>
  <c r="M58" i="47" s="1"/>
  <c r="X57" i="47"/>
  <c r="Q57" i="47"/>
  <c r="S57" i="47" s="1"/>
  <c r="U57" i="47" s="1"/>
  <c r="J57" i="47"/>
  <c r="M57" i="47" s="1"/>
  <c r="X56" i="47"/>
  <c r="Q56" i="47"/>
  <c r="S56" i="47" s="1"/>
  <c r="U56" i="47" s="1"/>
  <c r="J56" i="47"/>
  <c r="M56" i="47" s="1"/>
  <c r="X55" i="47"/>
  <c r="U55" i="47"/>
  <c r="Q55" i="47"/>
  <c r="S55" i="47" s="1"/>
  <c r="J55" i="47"/>
  <c r="M55" i="47" s="1"/>
  <c r="X54" i="47"/>
  <c r="Q54" i="47"/>
  <c r="S54" i="47" s="1"/>
  <c r="U54" i="47" s="1"/>
  <c r="J54" i="47"/>
  <c r="M54" i="47" s="1"/>
  <c r="X53" i="47"/>
  <c r="Q53" i="47"/>
  <c r="S53" i="47" s="1"/>
  <c r="U53" i="47" s="1"/>
  <c r="J53" i="47"/>
  <c r="M53" i="47" s="1"/>
  <c r="X52" i="47"/>
  <c r="Q52" i="47"/>
  <c r="S52" i="47" s="1"/>
  <c r="U52" i="47" s="1"/>
  <c r="J52" i="47"/>
  <c r="M52" i="47" s="1"/>
  <c r="X51" i="47"/>
  <c r="Q51" i="47"/>
  <c r="S51" i="47" s="1"/>
  <c r="U51" i="47" s="1"/>
  <c r="J51" i="47"/>
  <c r="M51" i="47" s="1"/>
  <c r="X50" i="47"/>
  <c r="Q50" i="47"/>
  <c r="S50" i="47" s="1"/>
  <c r="U50" i="47" s="1"/>
  <c r="J50" i="47"/>
  <c r="M50" i="47" s="1"/>
  <c r="X49" i="47"/>
  <c r="Q49" i="47"/>
  <c r="S49" i="47" s="1"/>
  <c r="U49" i="47" s="1"/>
  <c r="J49" i="47"/>
  <c r="M49" i="47" s="1"/>
  <c r="X48" i="47"/>
  <c r="Q48" i="47"/>
  <c r="S48" i="47" s="1"/>
  <c r="U48" i="47" s="1"/>
  <c r="J48" i="47"/>
  <c r="M48" i="47" s="1"/>
  <c r="X47" i="47"/>
  <c r="Q47" i="47"/>
  <c r="S47" i="47" s="1"/>
  <c r="U47" i="47" s="1"/>
  <c r="J47" i="47"/>
  <c r="M47" i="47" s="1"/>
  <c r="X46" i="47"/>
  <c r="Q46" i="47"/>
  <c r="S46" i="47" s="1"/>
  <c r="U46" i="47" s="1"/>
  <c r="J46" i="47"/>
  <c r="M46" i="47" s="1"/>
  <c r="X45" i="47"/>
  <c r="Q45" i="47"/>
  <c r="S45" i="47" s="1"/>
  <c r="U45" i="47" s="1"/>
  <c r="J45" i="47"/>
  <c r="M45" i="47" s="1"/>
  <c r="X44" i="47"/>
  <c r="Q44" i="47"/>
  <c r="S44" i="47" s="1"/>
  <c r="U44" i="47" s="1"/>
  <c r="J44" i="47"/>
  <c r="M44" i="47" s="1"/>
  <c r="X43" i="47"/>
  <c r="Q43" i="47"/>
  <c r="S43" i="47" s="1"/>
  <c r="U43" i="47" s="1"/>
  <c r="J43" i="47"/>
  <c r="M43" i="47" s="1"/>
  <c r="X42" i="47"/>
  <c r="Q42" i="47"/>
  <c r="S42" i="47" s="1"/>
  <c r="U42" i="47" s="1"/>
  <c r="J42" i="47"/>
  <c r="M42" i="47" s="1"/>
  <c r="X41" i="47"/>
  <c r="Q41" i="47"/>
  <c r="S41" i="47" s="1"/>
  <c r="U41" i="47" s="1"/>
  <c r="J41" i="47"/>
  <c r="M41" i="47" s="1"/>
  <c r="X40" i="47"/>
  <c r="Q40" i="47"/>
  <c r="S40" i="47" s="1"/>
  <c r="U40" i="47" s="1"/>
  <c r="J40" i="47"/>
  <c r="M40" i="47" s="1"/>
  <c r="X39" i="47"/>
  <c r="Q39" i="47"/>
  <c r="S39" i="47" s="1"/>
  <c r="U39" i="47" s="1"/>
  <c r="J39" i="47"/>
  <c r="M39" i="47" s="1"/>
  <c r="X38" i="47"/>
  <c r="Q38" i="47"/>
  <c r="S38" i="47" s="1"/>
  <c r="U38" i="47" s="1"/>
  <c r="J38" i="47"/>
  <c r="M38" i="47" s="1"/>
  <c r="X37" i="47"/>
  <c r="Q37" i="47"/>
  <c r="S37" i="47" s="1"/>
  <c r="U37" i="47" s="1"/>
  <c r="J37" i="47"/>
  <c r="M37" i="47" s="1"/>
  <c r="X36" i="47"/>
  <c r="Q36" i="47"/>
  <c r="S36" i="47" s="1"/>
  <c r="U36" i="47" s="1"/>
  <c r="J36" i="47"/>
  <c r="M36" i="47" s="1"/>
  <c r="X35" i="47"/>
  <c r="Q35" i="47"/>
  <c r="S35" i="47" s="1"/>
  <c r="U35" i="47" s="1"/>
  <c r="J35" i="47"/>
  <c r="M35" i="47" s="1"/>
  <c r="X34" i="47"/>
  <c r="Q34" i="47"/>
  <c r="S34" i="47" s="1"/>
  <c r="U34" i="47" s="1"/>
  <c r="J34" i="47"/>
  <c r="M34" i="47" s="1"/>
  <c r="X33" i="47"/>
  <c r="Q33" i="47"/>
  <c r="S33" i="47" s="1"/>
  <c r="U33" i="47" s="1"/>
  <c r="J33" i="47"/>
  <c r="M33" i="47" s="1"/>
  <c r="X32" i="47"/>
  <c r="Q32" i="47"/>
  <c r="S32" i="47" s="1"/>
  <c r="U32" i="47" s="1"/>
  <c r="J32" i="47"/>
  <c r="M32" i="47" s="1"/>
  <c r="X31" i="47"/>
  <c r="Q31" i="47"/>
  <c r="S31" i="47" s="1"/>
  <c r="U31" i="47" s="1"/>
  <c r="J31" i="47"/>
  <c r="M31" i="47" s="1"/>
  <c r="X30" i="47"/>
  <c r="Q30" i="47"/>
  <c r="S30" i="47" s="1"/>
  <c r="U30" i="47" s="1"/>
  <c r="J30" i="47"/>
  <c r="M30" i="47" s="1"/>
  <c r="X29" i="47"/>
  <c r="Q29" i="47"/>
  <c r="S29" i="47" s="1"/>
  <c r="U29" i="47" s="1"/>
  <c r="J29" i="47"/>
  <c r="M29" i="47" s="1"/>
  <c r="X28" i="47"/>
  <c r="Q28" i="47"/>
  <c r="S28" i="47" s="1"/>
  <c r="U28" i="47" s="1"/>
  <c r="J28" i="47"/>
  <c r="M28" i="47" s="1"/>
  <c r="X27" i="47"/>
  <c r="Q27" i="47"/>
  <c r="S27" i="47" s="1"/>
  <c r="U27" i="47" s="1"/>
  <c r="J27" i="47"/>
  <c r="M27" i="47" s="1"/>
  <c r="X26" i="47"/>
  <c r="Q26" i="47"/>
  <c r="S26" i="47" s="1"/>
  <c r="U26" i="47" s="1"/>
  <c r="J26" i="47"/>
  <c r="M26" i="47" s="1"/>
  <c r="X25" i="47"/>
  <c r="Q25" i="47"/>
  <c r="S25" i="47" s="1"/>
  <c r="U25" i="47" s="1"/>
  <c r="J25" i="47"/>
  <c r="M25" i="47" s="1"/>
  <c r="X24" i="47"/>
  <c r="Q24" i="47"/>
  <c r="S24" i="47" s="1"/>
  <c r="U24" i="47" s="1"/>
  <c r="J24" i="47"/>
  <c r="M24" i="47" s="1"/>
  <c r="X23" i="47"/>
  <c r="Q23" i="47"/>
  <c r="S23" i="47" s="1"/>
  <c r="U23" i="47" s="1"/>
  <c r="J23" i="47"/>
  <c r="M23" i="47" s="1"/>
  <c r="X22" i="47"/>
  <c r="Q22" i="47"/>
  <c r="S22" i="47" s="1"/>
  <c r="U22" i="47" s="1"/>
  <c r="J22" i="47"/>
  <c r="M22" i="47" s="1"/>
  <c r="X21" i="47"/>
  <c r="Q21" i="47"/>
  <c r="S21" i="47" s="1"/>
  <c r="U21" i="47" s="1"/>
  <c r="J21" i="47"/>
  <c r="M21" i="47" s="1"/>
  <c r="X20" i="47"/>
  <c r="Q20" i="47"/>
  <c r="S20" i="47" s="1"/>
  <c r="U20" i="47" s="1"/>
  <c r="J20" i="47"/>
  <c r="M20" i="47" s="1"/>
  <c r="X19" i="47"/>
  <c r="Q19" i="47"/>
  <c r="S19" i="47" s="1"/>
  <c r="U19" i="47" s="1"/>
  <c r="J19" i="47"/>
  <c r="M19" i="47" s="1"/>
  <c r="X18" i="47"/>
  <c r="Q18" i="47"/>
  <c r="S18" i="47" s="1"/>
  <c r="U18" i="47" s="1"/>
  <c r="J18" i="47"/>
  <c r="M18" i="47" s="1"/>
  <c r="X17" i="47"/>
  <c r="Q17" i="47"/>
  <c r="S17" i="47" s="1"/>
  <c r="U17" i="47" s="1"/>
  <c r="J17" i="47"/>
  <c r="M17" i="47" s="1"/>
  <c r="X16" i="47"/>
  <c r="Q16" i="47"/>
  <c r="S16" i="47" s="1"/>
  <c r="U16" i="47" s="1"/>
  <c r="J16" i="47"/>
  <c r="M16" i="47" s="1"/>
  <c r="X15" i="47"/>
  <c r="Q15" i="47"/>
  <c r="S15" i="47" s="1"/>
  <c r="U15" i="47" s="1"/>
  <c r="J15" i="47"/>
  <c r="M15" i="47" s="1"/>
  <c r="X14" i="47"/>
  <c r="Q14" i="47"/>
  <c r="S14" i="47" s="1"/>
  <c r="U14" i="47" s="1"/>
  <c r="J14" i="47"/>
  <c r="M14" i="47" s="1"/>
  <c r="X13" i="47"/>
  <c r="Q13" i="47"/>
  <c r="S13" i="47" s="1"/>
  <c r="U13" i="47" s="1"/>
  <c r="J13" i="47"/>
  <c r="M13" i="47" s="1"/>
  <c r="X12" i="47"/>
  <c r="Q12" i="47"/>
  <c r="S12" i="47" s="1"/>
  <c r="U12" i="47" s="1"/>
  <c r="J12" i="47"/>
  <c r="M12" i="47" s="1"/>
  <c r="X11" i="47"/>
  <c r="Q11" i="47"/>
  <c r="S11" i="47" s="1"/>
  <c r="U11" i="47" s="1"/>
  <c r="J11" i="47"/>
  <c r="M11" i="47" s="1"/>
  <c r="X10" i="47"/>
  <c r="Q10" i="47"/>
  <c r="S10" i="47" s="1"/>
  <c r="U10" i="47" s="1"/>
  <c r="J10" i="47"/>
  <c r="M10" i="47" s="1"/>
  <c r="X9" i="47"/>
  <c r="Q9" i="47"/>
  <c r="S9" i="47" s="1"/>
  <c r="U9" i="47" s="1"/>
  <c r="J9" i="47"/>
  <c r="M9" i="47" s="1"/>
  <c r="X8" i="47"/>
  <c r="Q8" i="47"/>
  <c r="S8" i="47" s="1"/>
  <c r="U8" i="47" s="1"/>
  <c r="J8" i="47"/>
  <c r="M8" i="47" s="1"/>
  <c r="X7" i="47"/>
  <c r="Q7" i="47"/>
  <c r="S7" i="47" s="1"/>
  <c r="U7" i="47" s="1"/>
  <c r="J7" i="47"/>
  <c r="M7" i="47" s="1"/>
  <c r="X6" i="47"/>
  <c r="Q6" i="47"/>
  <c r="S6" i="47" s="1"/>
  <c r="U6" i="47" s="1"/>
  <c r="J6" i="47"/>
  <c r="M6" i="47" s="1"/>
  <c r="X5" i="47"/>
  <c r="Q5" i="47"/>
  <c r="S5" i="47" s="1"/>
  <c r="U5" i="47" s="1"/>
  <c r="J5" i="47"/>
  <c r="M5" i="47" s="1"/>
  <c r="K215" i="46"/>
  <c r="N17" i="15" s="1"/>
  <c r="K212" i="46"/>
  <c r="J204" i="46"/>
  <c r="M204" i="46" s="1"/>
  <c r="J203" i="46"/>
  <c r="M203" i="46" s="1"/>
  <c r="J202" i="46"/>
  <c r="M202" i="46" s="1"/>
  <c r="J201" i="46"/>
  <c r="M201" i="46" s="1"/>
  <c r="J200" i="46"/>
  <c r="M200" i="46" s="1"/>
  <c r="J199" i="46"/>
  <c r="M199" i="46" s="1"/>
  <c r="J198" i="46"/>
  <c r="M198" i="46" s="1"/>
  <c r="M197" i="46"/>
  <c r="J197" i="46"/>
  <c r="J196" i="46"/>
  <c r="M196" i="46" s="1"/>
  <c r="J195" i="46"/>
  <c r="M195" i="46" s="1"/>
  <c r="J194" i="46"/>
  <c r="M194" i="46" s="1"/>
  <c r="J193" i="46"/>
  <c r="M193" i="46" s="1"/>
  <c r="J192" i="46"/>
  <c r="M192" i="46" s="1"/>
  <c r="J191" i="46"/>
  <c r="M191" i="46" s="1"/>
  <c r="J190" i="46"/>
  <c r="M190" i="46" s="1"/>
  <c r="J189" i="46"/>
  <c r="M189" i="46" s="1"/>
  <c r="J188" i="46"/>
  <c r="M188" i="46" s="1"/>
  <c r="J187" i="46"/>
  <c r="M187" i="46" s="1"/>
  <c r="J186" i="46"/>
  <c r="M186" i="46" s="1"/>
  <c r="J185" i="46"/>
  <c r="M185" i="46" s="1"/>
  <c r="J184" i="46"/>
  <c r="M184" i="46" s="1"/>
  <c r="J183" i="46"/>
  <c r="M183" i="46" s="1"/>
  <c r="J182" i="46"/>
  <c r="M182" i="46" s="1"/>
  <c r="J181" i="46"/>
  <c r="M181" i="46" s="1"/>
  <c r="J180" i="46"/>
  <c r="M180" i="46" s="1"/>
  <c r="J179" i="46"/>
  <c r="M179" i="46" s="1"/>
  <c r="J178" i="46"/>
  <c r="M178" i="46" s="1"/>
  <c r="J177" i="46"/>
  <c r="M177" i="46" s="1"/>
  <c r="J176" i="46"/>
  <c r="M176" i="46" s="1"/>
  <c r="J175" i="46"/>
  <c r="M175" i="46" s="1"/>
  <c r="J174" i="46"/>
  <c r="M174" i="46" s="1"/>
  <c r="J173" i="46"/>
  <c r="M173" i="46" s="1"/>
  <c r="J172" i="46"/>
  <c r="M172" i="46" s="1"/>
  <c r="J171" i="46"/>
  <c r="M171" i="46" s="1"/>
  <c r="J170" i="46"/>
  <c r="M170" i="46" s="1"/>
  <c r="J169" i="46"/>
  <c r="M169" i="46" s="1"/>
  <c r="J168" i="46"/>
  <c r="M168" i="46" s="1"/>
  <c r="J167" i="46"/>
  <c r="M167" i="46" s="1"/>
  <c r="J166" i="46"/>
  <c r="M166" i="46" s="1"/>
  <c r="J165" i="46"/>
  <c r="M165" i="46" s="1"/>
  <c r="J164" i="46"/>
  <c r="M164" i="46" s="1"/>
  <c r="J163" i="46"/>
  <c r="M163" i="46" s="1"/>
  <c r="J162" i="46"/>
  <c r="M162" i="46" s="1"/>
  <c r="J161" i="46"/>
  <c r="M161" i="46" s="1"/>
  <c r="J160" i="46"/>
  <c r="M160" i="46" s="1"/>
  <c r="J159" i="46"/>
  <c r="M159" i="46" s="1"/>
  <c r="J158" i="46"/>
  <c r="M158" i="46" s="1"/>
  <c r="J157" i="46"/>
  <c r="M157" i="46" s="1"/>
  <c r="J156" i="46"/>
  <c r="M156" i="46" s="1"/>
  <c r="J155" i="46"/>
  <c r="M155" i="46" s="1"/>
  <c r="J154" i="46"/>
  <c r="M154" i="46" s="1"/>
  <c r="J153" i="46"/>
  <c r="M153" i="46" s="1"/>
  <c r="J152" i="46"/>
  <c r="M152" i="46" s="1"/>
  <c r="J151" i="46"/>
  <c r="M151" i="46" s="1"/>
  <c r="J150" i="46"/>
  <c r="M150" i="46" s="1"/>
  <c r="J149" i="46"/>
  <c r="M149" i="46" s="1"/>
  <c r="J148" i="46"/>
  <c r="M148" i="46" s="1"/>
  <c r="J147" i="46"/>
  <c r="M147" i="46" s="1"/>
  <c r="J146" i="46"/>
  <c r="M146" i="46" s="1"/>
  <c r="J145" i="46"/>
  <c r="M145" i="46" s="1"/>
  <c r="J144" i="46"/>
  <c r="M144" i="46" s="1"/>
  <c r="J143" i="46"/>
  <c r="M143" i="46" s="1"/>
  <c r="J142" i="46"/>
  <c r="M142" i="46" s="1"/>
  <c r="J141" i="46"/>
  <c r="M141" i="46" s="1"/>
  <c r="J140" i="46"/>
  <c r="M140" i="46" s="1"/>
  <c r="J139" i="46"/>
  <c r="M139" i="46" s="1"/>
  <c r="J138" i="46"/>
  <c r="M138" i="46" s="1"/>
  <c r="J137" i="46"/>
  <c r="M137" i="46" s="1"/>
  <c r="J136" i="46"/>
  <c r="M136" i="46" s="1"/>
  <c r="J135" i="46"/>
  <c r="M135" i="46" s="1"/>
  <c r="J134" i="46"/>
  <c r="M134" i="46" s="1"/>
  <c r="J133" i="46"/>
  <c r="M133" i="46" s="1"/>
  <c r="J132" i="46"/>
  <c r="M132" i="46" s="1"/>
  <c r="J131" i="46"/>
  <c r="M131" i="46" s="1"/>
  <c r="J130" i="46"/>
  <c r="M130" i="46" s="1"/>
  <c r="J129" i="46"/>
  <c r="M129" i="46" s="1"/>
  <c r="J128" i="46"/>
  <c r="M128" i="46" s="1"/>
  <c r="J127" i="46"/>
  <c r="M127" i="46" s="1"/>
  <c r="J126" i="46"/>
  <c r="M126" i="46" s="1"/>
  <c r="J125" i="46"/>
  <c r="M125" i="46" s="1"/>
  <c r="J124" i="46"/>
  <c r="M124" i="46" s="1"/>
  <c r="J123" i="46"/>
  <c r="M123" i="46" s="1"/>
  <c r="J122" i="46"/>
  <c r="M122" i="46" s="1"/>
  <c r="J121" i="46"/>
  <c r="M121" i="46" s="1"/>
  <c r="J120" i="46"/>
  <c r="M120" i="46" s="1"/>
  <c r="J119" i="46"/>
  <c r="M119" i="46" s="1"/>
  <c r="J118" i="46"/>
  <c r="M118" i="46" s="1"/>
  <c r="J117" i="46"/>
  <c r="M117" i="46" s="1"/>
  <c r="J116" i="46"/>
  <c r="M116" i="46" s="1"/>
  <c r="J115" i="46"/>
  <c r="M115" i="46" s="1"/>
  <c r="J114" i="46"/>
  <c r="M114" i="46" s="1"/>
  <c r="J113" i="46"/>
  <c r="M113" i="46" s="1"/>
  <c r="J112" i="46"/>
  <c r="M112" i="46" s="1"/>
  <c r="J111" i="46"/>
  <c r="M111" i="46" s="1"/>
  <c r="J110" i="46"/>
  <c r="M110" i="46" s="1"/>
  <c r="J109" i="46"/>
  <c r="M109" i="46" s="1"/>
  <c r="J108" i="46"/>
  <c r="M108" i="46" s="1"/>
  <c r="J107" i="46"/>
  <c r="M107" i="46" s="1"/>
  <c r="J106" i="46"/>
  <c r="M106" i="46" s="1"/>
  <c r="Z105" i="46"/>
  <c r="J105" i="46"/>
  <c r="M105" i="46" s="1"/>
  <c r="X104" i="46"/>
  <c r="Q104" i="46"/>
  <c r="S104" i="46" s="1"/>
  <c r="U104" i="46" s="1"/>
  <c r="J104" i="46"/>
  <c r="M104" i="46" s="1"/>
  <c r="X103" i="46"/>
  <c r="Q103" i="46"/>
  <c r="S103" i="46" s="1"/>
  <c r="U103" i="46" s="1"/>
  <c r="J103" i="46"/>
  <c r="M103" i="46" s="1"/>
  <c r="X102" i="46"/>
  <c r="Q102" i="46"/>
  <c r="S102" i="46" s="1"/>
  <c r="U102" i="46" s="1"/>
  <c r="J102" i="46"/>
  <c r="M102" i="46" s="1"/>
  <c r="X101" i="46"/>
  <c r="Q101" i="46"/>
  <c r="S101" i="46" s="1"/>
  <c r="U101" i="46" s="1"/>
  <c r="J101" i="46"/>
  <c r="M101" i="46" s="1"/>
  <c r="X100" i="46"/>
  <c r="Q100" i="46"/>
  <c r="S100" i="46" s="1"/>
  <c r="U100" i="46" s="1"/>
  <c r="J100" i="46"/>
  <c r="M100" i="46" s="1"/>
  <c r="X99" i="46"/>
  <c r="Q99" i="46"/>
  <c r="S99" i="46" s="1"/>
  <c r="U99" i="46" s="1"/>
  <c r="J99" i="46"/>
  <c r="M99" i="46" s="1"/>
  <c r="X98" i="46"/>
  <c r="Q98" i="46"/>
  <c r="S98" i="46" s="1"/>
  <c r="U98" i="46" s="1"/>
  <c r="J98" i="46"/>
  <c r="M98" i="46" s="1"/>
  <c r="X97" i="46"/>
  <c r="S97" i="46"/>
  <c r="U97" i="46" s="1"/>
  <c r="Q97" i="46"/>
  <c r="J97" i="46"/>
  <c r="M97" i="46" s="1"/>
  <c r="X96" i="46"/>
  <c r="Q96" i="46"/>
  <c r="S96" i="46" s="1"/>
  <c r="U96" i="46" s="1"/>
  <c r="J96" i="46"/>
  <c r="M96" i="46" s="1"/>
  <c r="X95" i="46"/>
  <c r="Q95" i="46"/>
  <c r="S95" i="46" s="1"/>
  <c r="U95" i="46" s="1"/>
  <c r="J95" i="46"/>
  <c r="M95" i="46" s="1"/>
  <c r="X94" i="46"/>
  <c r="Q94" i="46"/>
  <c r="S94" i="46" s="1"/>
  <c r="U94" i="46" s="1"/>
  <c r="J94" i="46"/>
  <c r="M94" i="46" s="1"/>
  <c r="X93" i="46"/>
  <c r="Q93" i="46"/>
  <c r="S93" i="46" s="1"/>
  <c r="U93" i="46" s="1"/>
  <c r="J93" i="46"/>
  <c r="M93" i="46" s="1"/>
  <c r="X92" i="46"/>
  <c r="Q92" i="46"/>
  <c r="S92" i="46" s="1"/>
  <c r="U92" i="46" s="1"/>
  <c r="J92" i="46"/>
  <c r="M92" i="46" s="1"/>
  <c r="X91" i="46"/>
  <c r="Q91" i="46"/>
  <c r="S91" i="46" s="1"/>
  <c r="U91" i="46" s="1"/>
  <c r="J91" i="46"/>
  <c r="M91" i="46" s="1"/>
  <c r="X90" i="46"/>
  <c r="Q90" i="46"/>
  <c r="S90" i="46" s="1"/>
  <c r="U90" i="46" s="1"/>
  <c r="J90" i="46"/>
  <c r="M90" i="46" s="1"/>
  <c r="X89" i="46"/>
  <c r="Q89" i="46"/>
  <c r="S89" i="46" s="1"/>
  <c r="U89" i="46" s="1"/>
  <c r="J89" i="46"/>
  <c r="M89" i="46" s="1"/>
  <c r="X88" i="46"/>
  <c r="Q88" i="46"/>
  <c r="S88" i="46" s="1"/>
  <c r="U88" i="46" s="1"/>
  <c r="J88" i="46"/>
  <c r="M88" i="46" s="1"/>
  <c r="X87" i="46"/>
  <c r="Q87" i="46"/>
  <c r="S87" i="46" s="1"/>
  <c r="U87" i="46" s="1"/>
  <c r="J87" i="46"/>
  <c r="M87" i="46" s="1"/>
  <c r="X86" i="46"/>
  <c r="Q86" i="46"/>
  <c r="S86" i="46" s="1"/>
  <c r="U86" i="46" s="1"/>
  <c r="J86" i="46"/>
  <c r="M86" i="46" s="1"/>
  <c r="X85" i="46"/>
  <c r="Q85" i="46"/>
  <c r="S85" i="46" s="1"/>
  <c r="U85" i="46" s="1"/>
  <c r="J85" i="46"/>
  <c r="M85" i="46" s="1"/>
  <c r="X84" i="46"/>
  <c r="Q84" i="46"/>
  <c r="S84" i="46" s="1"/>
  <c r="U84" i="46" s="1"/>
  <c r="J84" i="46"/>
  <c r="M84" i="46" s="1"/>
  <c r="X83" i="46"/>
  <c r="Q83" i="46"/>
  <c r="S83" i="46" s="1"/>
  <c r="U83" i="46" s="1"/>
  <c r="J83" i="46"/>
  <c r="M83" i="46" s="1"/>
  <c r="X82" i="46"/>
  <c r="Q82" i="46"/>
  <c r="S82" i="46" s="1"/>
  <c r="U82" i="46" s="1"/>
  <c r="J82" i="46"/>
  <c r="M82" i="46" s="1"/>
  <c r="X81" i="46"/>
  <c r="Q81" i="46"/>
  <c r="S81" i="46" s="1"/>
  <c r="U81" i="46" s="1"/>
  <c r="J81" i="46"/>
  <c r="M81" i="46" s="1"/>
  <c r="X80" i="46"/>
  <c r="Q80" i="46"/>
  <c r="S80" i="46" s="1"/>
  <c r="U80" i="46" s="1"/>
  <c r="J80" i="46"/>
  <c r="M80" i="46" s="1"/>
  <c r="X79" i="46"/>
  <c r="Q79" i="46"/>
  <c r="S79" i="46" s="1"/>
  <c r="U79" i="46" s="1"/>
  <c r="J79" i="46"/>
  <c r="M79" i="46" s="1"/>
  <c r="X78" i="46"/>
  <c r="Q78" i="46"/>
  <c r="S78" i="46" s="1"/>
  <c r="U78" i="46" s="1"/>
  <c r="J78" i="46"/>
  <c r="M78" i="46" s="1"/>
  <c r="X77" i="46"/>
  <c r="Q77" i="46"/>
  <c r="S77" i="46" s="1"/>
  <c r="U77" i="46" s="1"/>
  <c r="J77" i="46"/>
  <c r="M77" i="46" s="1"/>
  <c r="X76" i="46"/>
  <c r="Q76" i="46"/>
  <c r="S76" i="46" s="1"/>
  <c r="U76" i="46" s="1"/>
  <c r="J76" i="46"/>
  <c r="M76" i="46" s="1"/>
  <c r="X75" i="46"/>
  <c r="Q75" i="46"/>
  <c r="S75" i="46" s="1"/>
  <c r="U75" i="46" s="1"/>
  <c r="J75" i="46"/>
  <c r="M75" i="46" s="1"/>
  <c r="X74" i="46"/>
  <c r="Q74" i="46"/>
  <c r="S74" i="46" s="1"/>
  <c r="U74" i="46" s="1"/>
  <c r="J74" i="46"/>
  <c r="M74" i="46" s="1"/>
  <c r="X73" i="46"/>
  <c r="Q73" i="46"/>
  <c r="S73" i="46" s="1"/>
  <c r="U73" i="46" s="1"/>
  <c r="J73" i="46"/>
  <c r="M73" i="46" s="1"/>
  <c r="X72" i="46"/>
  <c r="Q72" i="46"/>
  <c r="S72" i="46" s="1"/>
  <c r="U72" i="46" s="1"/>
  <c r="J72" i="46"/>
  <c r="M72" i="46" s="1"/>
  <c r="X71" i="46"/>
  <c r="Q71" i="46"/>
  <c r="S71" i="46" s="1"/>
  <c r="U71" i="46" s="1"/>
  <c r="J71" i="46"/>
  <c r="M71" i="46" s="1"/>
  <c r="X70" i="46"/>
  <c r="Q70" i="46"/>
  <c r="S70" i="46" s="1"/>
  <c r="U70" i="46" s="1"/>
  <c r="J70" i="46"/>
  <c r="M70" i="46" s="1"/>
  <c r="X69" i="46"/>
  <c r="Q69" i="46"/>
  <c r="S69" i="46" s="1"/>
  <c r="U69" i="46" s="1"/>
  <c r="J69" i="46"/>
  <c r="M69" i="46" s="1"/>
  <c r="X68" i="46"/>
  <c r="Q68" i="46"/>
  <c r="S68" i="46" s="1"/>
  <c r="U68" i="46" s="1"/>
  <c r="J68" i="46"/>
  <c r="M68" i="46" s="1"/>
  <c r="X67" i="46"/>
  <c r="Q67" i="46"/>
  <c r="S67" i="46" s="1"/>
  <c r="U67" i="46" s="1"/>
  <c r="J67" i="46"/>
  <c r="M67" i="46" s="1"/>
  <c r="X66" i="46"/>
  <c r="Q66" i="46"/>
  <c r="S66" i="46" s="1"/>
  <c r="U66" i="46" s="1"/>
  <c r="J66" i="46"/>
  <c r="M66" i="46" s="1"/>
  <c r="X65" i="46"/>
  <c r="Q65" i="46"/>
  <c r="S65" i="46" s="1"/>
  <c r="U65" i="46" s="1"/>
  <c r="J65" i="46"/>
  <c r="M65" i="46" s="1"/>
  <c r="X64" i="46"/>
  <c r="Q64" i="46"/>
  <c r="S64" i="46" s="1"/>
  <c r="U64" i="46" s="1"/>
  <c r="J64" i="46"/>
  <c r="M64" i="46" s="1"/>
  <c r="X63" i="46"/>
  <c r="Q63" i="46"/>
  <c r="S63" i="46" s="1"/>
  <c r="U63" i="46" s="1"/>
  <c r="J63" i="46"/>
  <c r="M63" i="46" s="1"/>
  <c r="X62" i="46"/>
  <c r="Q62" i="46"/>
  <c r="S62" i="46" s="1"/>
  <c r="U62" i="46" s="1"/>
  <c r="J62" i="46"/>
  <c r="M62" i="46" s="1"/>
  <c r="X61" i="46"/>
  <c r="Q61" i="46"/>
  <c r="S61" i="46" s="1"/>
  <c r="U61" i="46" s="1"/>
  <c r="J61" i="46"/>
  <c r="M61" i="46" s="1"/>
  <c r="X60" i="46"/>
  <c r="Q60" i="46"/>
  <c r="S60" i="46" s="1"/>
  <c r="U60" i="46" s="1"/>
  <c r="J60" i="46"/>
  <c r="M60" i="46" s="1"/>
  <c r="X59" i="46"/>
  <c r="Q59" i="46"/>
  <c r="S59" i="46" s="1"/>
  <c r="U59" i="46" s="1"/>
  <c r="J59" i="46"/>
  <c r="M59" i="46" s="1"/>
  <c r="X58" i="46"/>
  <c r="Q58" i="46"/>
  <c r="S58" i="46" s="1"/>
  <c r="U58" i="46" s="1"/>
  <c r="J58" i="46"/>
  <c r="M58" i="46" s="1"/>
  <c r="X57" i="46"/>
  <c r="Q57" i="46"/>
  <c r="S57" i="46" s="1"/>
  <c r="U57" i="46" s="1"/>
  <c r="J57" i="46"/>
  <c r="M57" i="46" s="1"/>
  <c r="X56" i="46"/>
  <c r="Q56" i="46"/>
  <c r="S56" i="46" s="1"/>
  <c r="U56" i="46" s="1"/>
  <c r="J56" i="46"/>
  <c r="M56" i="46" s="1"/>
  <c r="X55" i="46"/>
  <c r="Q55" i="46"/>
  <c r="S55" i="46" s="1"/>
  <c r="U55" i="46" s="1"/>
  <c r="J55" i="46"/>
  <c r="M55" i="46" s="1"/>
  <c r="X54" i="46"/>
  <c r="Q54" i="46"/>
  <c r="S54" i="46" s="1"/>
  <c r="U54" i="46" s="1"/>
  <c r="J54" i="46"/>
  <c r="M54" i="46" s="1"/>
  <c r="X53" i="46"/>
  <c r="Q53" i="46"/>
  <c r="S53" i="46" s="1"/>
  <c r="U53" i="46" s="1"/>
  <c r="J53" i="46"/>
  <c r="M53" i="46" s="1"/>
  <c r="X52" i="46"/>
  <c r="Q52" i="46"/>
  <c r="S52" i="46" s="1"/>
  <c r="U52" i="46" s="1"/>
  <c r="J52" i="46"/>
  <c r="M52" i="46" s="1"/>
  <c r="X51" i="46"/>
  <c r="Q51" i="46"/>
  <c r="S51" i="46" s="1"/>
  <c r="U51" i="46" s="1"/>
  <c r="J51" i="46"/>
  <c r="M51" i="46" s="1"/>
  <c r="X50" i="46"/>
  <c r="Q50" i="46"/>
  <c r="S50" i="46" s="1"/>
  <c r="U50" i="46" s="1"/>
  <c r="J50" i="46"/>
  <c r="M50" i="46" s="1"/>
  <c r="X49" i="46"/>
  <c r="Q49" i="46"/>
  <c r="S49" i="46" s="1"/>
  <c r="U49" i="46" s="1"/>
  <c r="J49" i="46"/>
  <c r="M49" i="46" s="1"/>
  <c r="X48" i="46"/>
  <c r="Q48" i="46"/>
  <c r="S48" i="46" s="1"/>
  <c r="U48" i="46" s="1"/>
  <c r="J48" i="46"/>
  <c r="M48" i="46" s="1"/>
  <c r="X47" i="46"/>
  <c r="Q47" i="46"/>
  <c r="S47" i="46" s="1"/>
  <c r="U47" i="46" s="1"/>
  <c r="J47" i="46"/>
  <c r="M47" i="46" s="1"/>
  <c r="X46" i="46"/>
  <c r="Q46" i="46"/>
  <c r="S46" i="46" s="1"/>
  <c r="U46" i="46" s="1"/>
  <c r="J46" i="46"/>
  <c r="M46" i="46" s="1"/>
  <c r="X45" i="46"/>
  <c r="Q45" i="46"/>
  <c r="S45" i="46" s="1"/>
  <c r="U45" i="46" s="1"/>
  <c r="J45" i="46"/>
  <c r="M45" i="46" s="1"/>
  <c r="X44" i="46"/>
  <c r="Q44" i="46"/>
  <c r="S44" i="46" s="1"/>
  <c r="U44" i="46" s="1"/>
  <c r="J44" i="46"/>
  <c r="M44" i="46" s="1"/>
  <c r="X43" i="46"/>
  <c r="Q43" i="46"/>
  <c r="S43" i="46" s="1"/>
  <c r="U43" i="46" s="1"/>
  <c r="J43" i="46"/>
  <c r="M43" i="46" s="1"/>
  <c r="X42" i="46"/>
  <c r="Q42" i="46"/>
  <c r="S42" i="46" s="1"/>
  <c r="U42" i="46" s="1"/>
  <c r="J42" i="46"/>
  <c r="M42" i="46" s="1"/>
  <c r="X41" i="46"/>
  <c r="Q41" i="46"/>
  <c r="S41" i="46" s="1"/>
  <c r="U41" i="46" s="1"/>
  <c r="J41" i="46"/>
  <c r="M41" i="46" s="1"/>
  <c r="X40" i="46"/>
  <c r="Q40" i="46"/>
  <c r="S40" i="46" s="1"/>
  <c r="U40" i="46" s="1"/>
  <c r="J40" i="46"/>
  <c r="M40" i="46" s="1"/>
  <c r="X39" i="46"/>
  <c r="Q39" i="46"/>
  <c r="S39" i="46" s="1"/>
  <c r="U39" i="46" s="1"/>
  <c r="J39" i="46"/>
  <c r="M39" i="46" s="1"/>
  <c r="X38" i="46"/>
  <c r="Q38" i="46"/>
  <c r="S38" i="46" s="1"/>
  <c r="U38" i="46" s="1"/>
  <c r="J38" i="46"/>
  <c r="M38" i="46" s="1"/>
  <c r="X37" i="46"/>
  <c r="Q37" i="46"/>
  <c r="S37" i="46" s="1"/>
  <c r="U37" i="46" s="1"/>
  <c r="J37" i="46"/>
  <c r="M37" i="46" s="1"/>
  <c r="X36" i="46"/>
  <c r="Q36" i="46"/>
  <c r="S36" i="46" s="1"/>
  <c r="U36" i="46" s="1"/>
  <c r="J36" i="46"/>
  <c r="M36" i="46" s="1"/>
  <c r="X35" i="46"/>
  <c r="Q35" i="46"/>
  <c r="S35" i="46" s="1"/>
  <c r="U35" i="46" s="1"/>
  <c r="J35" i="46"/>
  <c r="M35" i="46" s="1"/>
  <c r="X34" i="46"/>
  <c r="Q34" i="46"/>
  <c r="S34" i="46" s="1"/>
  <c r="U34" i="46" s="1"/>
  <c r="J34" i="46"/>
  <c r="M34" i="46" s="1"/>
  <c r="X33" i="46"/>
  <c r="Q33" i="46"/>
  <c r="S33" i="46" s="1"/>
  <c r="U33" i="46" s="1"/>
  <c r="J33" i="46"/>
  <c r="M33" i="46" s="1"/>
  <c r="X32" i="46"/>
  <c r="Q32" i="46"/>
  <c r="S32" i="46" s="1"/>
  <c r="U32" i="46" s="1"/>
  <c r="J32" i="46"/>
  <c r="M32" i="46" s="1"/>
  <c r="X31" i="46"/>
  <c r="Q31" i="46"/>
  <c r="S31" i="46" s="1"/>
  <c r="U31" i="46" s="1"/>
  <c r="J31" i="46"/>
  <c r="M31" i="46" s="1"/>
  <c r="X30" i="46"/>
  <c r="Q30" i="46"/>
  <c r="S30" i="46" s="1"/>
  <c r="U30" i="46" s="1"/>
  <c r="J30" i="46"/>
  <c r="M30" i="46" s="1"/>
  <c r="X29" i="46"/>
  <c r="Q29" i="46"/>
  <c r="S29" i="46" s="1"/>
  <c r="U29" i="46" s="1"/>
  <c r="J29" i="46"/>
  <c r="M29" i="46" s="1"/>
  <c r="X28" i="46"/>
  <c r="Q28" i="46"/>
  <c r="S28" i="46" s="1"/>
  <c r="U28" i="46" s="1"/>
  <c r="J28" i="46"/>
  <c r="M28" i="46" s="1"/>
  <c r="X27" i="46"/>
  <c r="Q27" i="46"/>
  <c r="S27" i="46" s="1"/>
  <c r="U27" i="46" s="1"/>
  <c r="J27" i="46"/>
  <c r="M27" i="46" s="1"/>
  <c r="X26" i="46"/>
  <c r="Q26" i="46"/>
  <c r="S26" i="46" s="1"/>
  <c r="U26" i="46" s="1"/>
  <c r="J26" i="46"/>
  <c r="M26" i="46" s="1"/>
  <c r="X25" i="46"/>
  <c r="Q25" i="46"/>
  <c r="S25" i="46" s="1"/>
  <c r="U25" i="46" s="1"/>
  <c r="J25" i="46"/>
  <c r="M25" i="46" s="1"/>
  <c r="X24" i="46"/>
  <c r="Q24" i="46"/>
  <c r="S24" i="46" s="1"/>
  <c r="U24" i="46" s="1"/>
  <c r="J24" i="46"/>
  <c r="M24" i="46" s="1"/>
  <c r="X23" i="46"/>
  <c r="Q23" i="46"/>
  <c r="S23" i="46" s="1"/>
  <c r="U23" i="46" s="1"/>
  <c r="J23" i="46"/>
  <c r="M23" i="46" s="1"/>
  <c r="X22" i="46"/>
  <c r="Q22" i="46"/>
  <c r="S22" i="46" s="1"/>
  <c r="U22" i="46" s="1"/>
  <c r="J22" i="46"/>
  <c r="M22" i="46" s="1"/>
  <c r="X21" i="46"/>
  <c r="Q21" i="46"/>
  <c r="S21" i="46" s="1"/>
  <c r="U21" i="46" s="1"/>
  <c r="J21" i="46"/>
  <c r="M21" i="46" s="1"/>
  <c r="X20" i="46"/>
  <c r="Q20" i="46"/>
  <c r="S20" i="46" s="1"/>
  <c r="U20" i="46" s="1"/>
  <c r="J20" i="46"/>
  <c r="M20" i="46" s="1"/>
  <c r="X19" i="46"/>
  <c r="Q19" i="46"/>
  <c r="S19" i="46" s="1"/>
  <c r="U19" i="46" s="1"/>
  <c r="J19" i="46"/>
  <c r="M19" i="46" s="1"/>
  <c r="X18" i="46"/>
  <c r="Q18" i="46"/>
  <c r="S18" i="46" s="1"/>
  <c r="U18" i="46" s="1"/>
  <c r="J18" i="46"/>
  <c r="M18" i="46" s="1"/>
  <c r="X17" i="46"/>
  <c r="Q17" i="46"/>
  <c r="S17" i="46" s="1"/>
  <c r="U17" i="46" s="1"/>
  <c r="J17" i="46"/>
  <c r="M17" i="46" s="1"/>
  <c r="X16" i="46"/>
  <c r="Q16" i="46"/>
  <c r="S16" i="46" s="1"/>
  <c r="U16" i="46" s="1"/>
  <c r="J16" i="46"/>
  <c r="M16" i="46" s="1"/>
  <c r="X15" i="46"/>
  <c r="Q15" i="46"/>
  <c r="S15" i="46" s="1"/>
  <c r="U15" i="46" s="1"/>
  <c r="J15" i="46"/>
  <c r="M15" i="46" s="1"/>
  <c r="X14" i="46"/>
  <c r="Q14" i="46"/>
  <c r="S14" i="46" s="1"/>
  <c r="U14" i="46" s="1"/>
  <c r="J14" i="46"/>
  <c r="M14" i="46" s="1"/>
  <c r="X13" i="46"/>
  <c r="Q13" i="46"/>
  <c r="S13" i="46" s="1"/>
  <c r="U13" i="46" s="1"/>
  <c r="J13" i="46"/>
  <c r="M13" i="46" s="1"/>
  <c r="X12" i="46"/>
  <c r="Q12" i="46"/>
  <c r="S12" i="46" s="1"/>
  <c r="U12" i="46" s="1"/>
  <c r="J12" i="46"/>
  <c r="M12" i="46" s="1"/>
  <c r="X11" i="46"/>
  <c r="Q11" i="46"/>
  <c r="S11" i="46" s="1"/>
  <c r="U11" i="46" s="1"/>
  <c r="J11" i="46"/>
  <c r="M11" i="46" s="1"/>
  <c r="X10" i="46"/>
  <c r="Q10" i="46"/>
  <c r="S10" i="46" s="1"/>
  <c r="U10" i="46" s="1"/>
  <c r="J10" i="46"/>
  <c r="M10" i="46" s="1"/>
  <c r="X9" i="46"/>
  <c r="Q9" i="46"/>
  <c r="S9" i="46" s="1"/>
  <c r="U9" i="46" s="1"/>
  <c r="J9" i="46"/>
  <c r="M9" i="46" s="1"/>
  <c r="X8" i="46"/>
  <c r="Q8" i="46"/>
  <c r="S8" i="46" s="1"/>
  <c r="U8" i="46" s="1"/>
  <c r="J8" i="46"/>
  <c r="M8" i="46" s="1"/>
  <c r="X7" i="46"/>
  <c r="Q7" i="46"/>
  <c r="S7" i="46" s="1"/>
  <c r="U7" i="46" s="1"/>
  <c r="J7" i="46"/>
  <c r="M7" i="46" s="1"/>
  <c r="X6" i="46"/>
  <c r="Q6" i="46"/>
  <c r="S6" i="46" s="1"/>
  <c r="U6" i="46" s="1"/>
  <c r="J6" i="46"/>
  <c r="M6" i="46" s="1"/>
  <c r="X5" i="46"/>
  <c r="Q5" i="46"/>
  <c r="S5" i="46" s="1"/>
  <c r="U5" i="46" s="1"/>
  <c r="J5" i="46"/>
  <c r="K215" i="45"/>
  <c r="N16" i="15" s="1"/>
  <c r="K212" i="45"/>
  <c r="J204" i="45"/>
  <c r="M204" i="45" s="1"/>
  <c r="J203" i="45"/>
  <c r="M203" i="45" s="1"/>
  <c r="J202" i="45"/>
  <c r="M202" i="45" s="1"/>
  <c r="J201" i="45"/>
  <c r="M201" i="45" s="1"/>
  <c r="J200" i="45"/>
  <c r="M200" i="45" s="1"/>
  <c r="J199" i="45"/>
  <c r="M199" i="45" s="1"/>
  <c r="J198" i="45"/>
  <c r="M198" i="45" s="1"/>
  <c r="J197" i="45"/>
  <c r="M197" i="45" s="1"/>
  <c r="J196" i="45"/>
  <c r="M196" i="45" s="1"/>
  <c r="J195" i="45"/>
  <c r="M195" i="45" s="1"/>
  <c r="J194" i="45"/>
  <c r="M194" i="45" s="1"/>
  <c r="J193" i="45"/>
  <c r="M193" i="45" s="1"/>
  <c r="J192" i="45"/>
  <c r="M192" i="45" s="1"/>
  <c r="J191" i="45"/>
  <c r="M191" i="45" s="1"/>
  <c r="J190" i="45"/>
  <c r="M190" i="45" s="1"/>
  <c r="J189" i="45"/>
  <c r="M189" i="45" s="1"/>
  <c r="J188" i="45"/>
  <c r="M188" i="45" s="1"/>
  <c r="J187" i="45"/>
  <c r="M187" i="45" s="1"/>
  <c r="J186" i="45"/>
  <c r="M186" i="45" s="1"/>
  <c r="J185" i="45"/>
  <c r="M185" i="45" s="1"/>
  <c r="J184" i="45"/>
  <c r="M184" i="45" s="1"/>
  <c r="J183" i="45"/>
  <c r="M183" i="45" s="1"/>
  <c r="J182" i="45"/>
  <c r="M182" i="45" s="1"/>
  <c r="J181" i="45"/>
  <c r="M181" i="45" s="1"/>
  <c r="J180" i="45"/>
  <c r="M180" i="45" s="1"/>
  <c r="J179" i="45"/>
  <c r="M179" i="45" s="1"/>
  <c r="J178" i="45"/>
  <c r="M178" i="45" s="1"/>
  <c r="J177" i="45"/>
  <c r="M177" i="45" s="1"/>
  <c r="J176" i="45"/>
  <c r="M176" i="45" s="1"/>
  <c r="J175" i="45"/>
  <c r="M175" i="45" s="1"/>
  <c r="J174" i="45"/>
  <c r="M174" i="45" s="1"/>
  <c r="J173" i="45"/>
  <c r="M173" i="45" s="1"/>
  <c r="J172" i="45"/>
  <c r="M172" i="45" s="1"/>
  <c r="J171" i="45"/>
  <c r="M171" i="45" s="1"/>
  <c r="J170" i="45"/>
  <c r="M170" i="45" s="1"/>
  <c r="J169" i="45"/>
  <c r="M169" i="45" s="1"/>
  <c r="J168" i="45"/>
  <c r="M168" i="45" s="1"/>
  <c r="J167" i="45"/>
  <c r="M167" i="45" s="1"/>
  <c r="J166" i="45"/>
  <c r="M166" i="45" s="1"/>
  <c r="J165" i="45"/>
  <c r="M165" i="45" s="1"/>
  <c r="J164" i="45"/>
  <c r="M164" i="45" s="1"/>
  <c r="J163" i="45"/>
  <c r="M163" i="45" s="1"/>
  <c r="J162" i="45"/>
  <c r="M162" i="45" s="1"/>
  <c r="J161" i="45"/>
  <c r="M161" i="45" s="1"/>
  <c r="J160" i="45"/>
  <c r="M160" i="45" s="1"/>
  <c r="J159" i="45"/>
  <c r="M159" i="45" s="1"/>
  <c r="J158" i="45"/>
  <c r="M158" i="45" s="1"/>
  <c r="J157" i="45"/>
  <c r="M157" i="45" s="1"/>
  <c r="J156" i="45"/>
  <c r="M156" i="45" s="1"/>
  <c r="J155" i="45"/>
  <c r="M155" i="45" s="1"/>
  <c r="J154" i="45"/>
  <c r="M154" i="45" s="1"/>
  <c r="J153" i="45"/>
  <c r="M153" i="45" s="1"/>
  <c r="J152" i="45"/>
  <c r="M152" i="45" s="1"/>
  <c r="J151" i="45"/>
  <c r="M151" i="45" s="1"/>
  <c r="J150" i="45"/>
  <c r="M150" i="45" s="1"/>
  <c r="J149" i="45"/>
  <c r="M149" i="45" s="1"/>
  <c r="J148" i="45"/>
  <c r="M148" i="45" s="1"/>
  <c r="J147" i="45"/>
  <c r="M147" i="45" s="1"/>
  <c r="J146" i="45"/>
  <c r="M146" i="45" s="1"/>
  <c r="J145" i="45"/>
  <c r="M145" i="45" s="1"/>
  <c r="J144" i="45"/>
  <c r="M144" i="45" s="1"/>
  <c r="J143" i="45"/>
  <c r="M143" i="45" s="1"/>
  <c r="J142" i="45"/>
  <c r="M142" i="45" s="1"/>
  <c r="J141" i="45"/>
  <c r="M141" i="45" s="1"/>
  <c r="J140" i="45"/>
  <c r="M140" i="45" s="1"/>
  <c r="J139" i="45"/>
  <c r="M139" i="45" s="1"/>
  <c r="J138" i="45"/>
  <c r="M138" i="45" s="1"/>
  <c r="J137" i="45"/>
  <c r="M137" i="45" s="1"/>
  <c r="J136" i="45"/>
  <c r="M136" i="45" s="1"/>
  <c r="J135" i="45"/>
  <c r="M135" i="45" s="1"/>
  <c r="J134" i="45"/>
  <c r="M134" i="45" s="1"/>
  <c r="J133" i="45"/>
  <c r="M133" i="45" s="1"/>
  <c r="J132" i="45"/>
  <c r="M132" i="45" s="1"/>
  <c r="J131" i="45"/>
  <c r="M131" i="45" s="1"/>
  <c r="J130" i="45"/>
  <c r="M130" i="45" s="1"/>
  <c r="J129" i="45"/>
  <c r="M129" i="45" s="1"/>
  <c r="J128" i="45"/>
  <c r="M128" i="45" s="1"/>
  <c r="J127" i="45"/>
  <c r="M127" i="45" s="1"/>
  <c r="J126" i="45"/>
  <c r="M126" i="45" s="1"/>
  <c r="J125" i="45"/>
  <c r="M125" i="45" s="1"/>
  <c r="J124" i="45"/>
  <c r="M124" i="45" s="1"/>
  <c r="J123" i="45"/>
  <c r="M123" i="45" s="1"/>
  <c r="J122" i="45"/>
  <c r="M122" i="45" s="1"/>
  <c r="J121" i="45"/>
  <c r="M121" i="45" s="1"/>
  <c r="J120" i="45"/>
  <c r="M120" i="45" s="1"/>
  <c r="J119" i="45"/>
  <c r="M119" i="45" s="1"/>
  <c r="J118" i="45"/>
  <c r="M118" i="45" s="1"/>
  <c r="J117" i="45"/>
  <c r="M117" i="45" s="1"/>
  <c r="J116" i="45"/>
  <c r="M116" i="45" s="1"/>
  <c r="J115" i="45"/>
  <c r="M115" i="45" s="1"/>
  <c r="J114" i="45"/>
  <c r="M114" i="45" s="1"/>
  <c r="J113" i="45"/>
  <c r="M113" i="45" s="1"/>
  <c r="J112" i="45"/>
  <c r="M112" i="45" s="1"/>
  <c r="J111" i="45"/>
  <c r="M111" i="45" s="1"/>
  <c r="J110" i="45"/>
  <c r="M110" i="45" s="1"/>
  <c r="J109" i="45"/>
  <c r="M109" i="45" s="1"/>
  <c r="J108" i="45"/>
  <c r="M108" i="45" s="1"/>
  <c r="J107" i="45"/>
  <c r="M107" i="45" s="1"/>
  <c r="J106" i="45"/>
  <c r="M106" i="45" s="1"/>
  <c r="Z105" i="45"/>
  <c r="J105" i="45"/>
  <c r="M105" i="45" s="1"/>
  <c r="X104" i="45"/>
  <c r="Q104" i="45"/>
  <c r="S104" i="45" s="1"/>
  <c r="U104" i="45" s="1"/>
  <c r="J104" i="45"/>
  <c r="M104" i="45" s="1"/>
  <c r="X103" i="45"/>
  <c r="Q103" i="45"/>
  <c r="S103" i="45" s="1"/>
  <c r="U103" i="45" s="1"/>
  <c r="J103" i="45"/>
  <c r="M103" i="45" s="1"/>
  <c r="X102" i="45"/>
  <c r="Q102" i="45"/>
  <c r="S102" i="45" s="1"/>
  <c r="U102" i="45" s="1"/>
  <c r="J102" i="45"/>
  <c r="M102" i="45" s="1"/>
  <c r="X101" i="45"/>
  <c r="Q101" i="45"/>
  <c r="S101" i="45" s="1"/>
  <c r="U101" i="45" s="1"/>
  <c r="J101" i="45"/>
  <c r="M101" i="45" s="1"/>
  <c r="X100" i="45"/>
  <c r="Q100" i="45"/>
  <c r="S100" i="45" s="1"/>
  <c r="U100" i="45" s="1"/>
  <c r="J100" i="45"/>
  <c r="M100" i="45" s="1"/>
  <c r="X99" i="45"/>
  <c r="Q99" i="45"/>
  <c r="S99" i="45" s="1"/>
  <c r="U99" i="45" s="1"/>
  <c r="J99" i="45"/>
  <c r="M99" i="45" s="1"/>
  <c r="X98" i="45"/>
  <c r="Q98" i="45"/>
  <c r="S98" i="45" s="1"/>
  <c r="U98" i="45" s="1"/>
  <c r="J98" i="45"/>
  <c r="M98" i="45" s="1"/>
  <c r="X97" i="45"/>
  <c r="Q97" i="45"/>
  <c r="S97" i="45" s="1"/>
  <c r="U97" i="45" s="1"/>
  <c r="J97" i="45"/>
  <c r="M97" i="45" s="1"/>
  <c r="X96" i="45"/>
  <c r="Q96" i="45"/>
  <c r="S96" i="45" s="1"/>
  <c r="U96" i="45" s="1"/>
  <c r="J96" i="45"/>
  <c r="M96" i="45" s="1"/>
  <c r="X95" i="45"/>
  <c r="Q95" i="45"/>
  <c r="S95" i="45" s="1"/>
  <c r="U95" i="45" s="1"/>
  <c r="J95" i="45"/>
  <c r="M95" i="45" s="1"/>
  <c r="X94" i="45"/>
  <c r="Q94" i="45"/>
  <c r="S94" i="45" s="1"/>
  <c r="U94" i="45" s="1"/>
  <c r="J94" i="45"/>
  <c r="M94" i="45" s="1"/>
  <c r="X93" i="45"/>
  <c r="Q93" i="45"/>
  <c r="S93" i="45" s="1"/>
  <c r="U93" i="45" s="1"/>
  <c r="J93" i="45"/>
  <c r="M93" i="45" s="1"/>
  <c r="X92" i="45"/>
  <c r="Q92" i="45"/>
  <c r="S92" i="45" s="1"/>
  <c r="U92" i="45" s="1"/>
  <c r="J92" i="45"/>
  <c r="M92" i="45" s="1"/>
  <c r="X91" i="45"/>
  <c r="Q91" i="45"/>
  <c r="S91" i="45" s="1"/>
  <c r="U91" i="45" s="1"/>
  <c r="J91" i="45"/>
  <c r="M91" i="45" s="1"/>
  <c r="X90" i="45"/>
  <c r="Q90" i="45"/>
  <c r="S90" i="45" s="1"/>
  <c r="U90" i="45" s="1"/>
  <c r="J90" i="45"/>
  <c r="M90" i="45" s="1"/>
  <c r="X89" i="45"/>
  <c r="Q89" i="45"/>
  <c r="S89" i="45" s="1"/>
  <c r="U89" i="45" s="1"/>
  <c r="J89" i="45"/>
  <c r="M89" i="45" s="1"/>
  <c r="X88" i="45"/>
  <c r="Q88" i="45"/>
  <c r="S88" i="45" s="1"/>
  <c r="U88" i="45" s="1"/>
  <c r="J88" i="45"/>
  <c r="M88" i="45" s="1"/>
  <c r="X87" i="45"/>
  <c r="Q87" i="45"/>
  <c r="S87" i="45" s="1"/>
  <c r="U87" i="45" s="1"/>
  <c r="J87" i="45"/>
  <c r="M87" i="45" s="1"/>
  <c r="X86" i="45"/>
  <c r="Q86" i="45"/>
  <c r="S86" i="45" s="1"/>
  <c r="U86" i="45" s="1"/>
  <c r="J86" i="45"/>
  <c r="M86" i="45" s="1"/>
  <c r="X85" i="45"/>
  <c r="Q85" i="45"/>
  <c r="S85" i="45" s="1"/>
  <c r="U85" i="45" s="1"/>
  <c r="J85" i="45"/>
  <c r="M85" i="45" s="1"/>
  <c r="X84" i="45"/>
  <c r="Q84" i="45"/>
  <c r="S84" i="45" s="1"/>
  <c r="U84" i="45" s="1"/>
  <c r="J84" i="45"/>
  <c r="M84" i="45" s="1"/>
  <c r="X83" i="45"/>
  <c r="Q83" i="45"/>
  <c r="S83" i="45" s="1"/>
  <c r="U83" i="45" s="1"/>
  <c r="J83" i="45"/>
  <c r="M83" i="45" s="1"/>
  <c r="X82" i="45"/>
  <c r="Q82" i="45"/>
  <c r="S82" i="45" s="1"/>
  <c r="U82" i="45" s="1"/>
  <c r="J82" i="45"/>
  <c r="M82" i="45" s="1"/>
  <c r="X81" i="45"/>
  <c r="Q81" i="45"/>
  <c r="S81" i="45" s="1"/>
  <c r="U81" i="45" s="1"/>
  <c r="J81" i="45"/>
  <c r="M81" i="45" s="1"/>
  <c r="X80" i="45"/>
  <c r="Q80" i="45"/>
  <c r="S80" i="45" s="1"/>
  <c r="U80" i="45" s="1"/>
  <c r="J80" i="45"/>
  <c r="M80" i="45" s="1"/>
  <c r="X79" i="45"/>
  <c r="Q79" i="45"/>
  <c r="S79" i="45" s="1"/>
  <c r="U79" i="45" s="1"/>
  <c r="J79" i="45"/>
  <c r="M79" i="45" s="1"/>
  <c r="X78" i="45"/>
  <c r="Q78" i="45"/>
  <c r="S78" i="45" s="1"/>
  <c r="U78" i="45" s="1"/>
  <c r="J78" i="45"/>
  <c r="M78" i="45" s="1"/>
  <c r="X77" i="45"/>
  <c r="Q77" i="45"/>
  <c r="S77" i="45" s="1"/>
  <c r="U77" i="45" s="1"/>
  <c r="J77" i="45"/>
  <c r="M77" i="45" s="1"/>
  <c r="X76" i="45"/>
  <c r="Q76" i="45"/>
  <c r="S76" i="45" s="1"/>
  <c r="U76" i="45" s="1"/>
  <c r="J76" i="45"/>
  <c r="M76" i="45" s="1"/>
  <c r="X75" i="45"/>
  <c r="Q75" i="45"/>
  <c r="S75" i="45" s="1"/>
  <c r="U75" i="45" s="1"/>
  <c r="J75" i="45"/>
  <c r="M75" i="45" s="1"/>
  <c r="X74" i="45"/>
  <c r="Q74" i="45"/>
  <c r="S74" i="45" s="1"/>
  <c r="U74" i="45" s="1"/>
  <c r="J74" i="45"/>
  <c r="M74" i="45" s="1"/>
  <c r="X73" i="45"/>
  <c r="Q73" i="45"/>
  <c r="S73" i="45" s="1"/>
  <c r="U73" i="45" s="1"/>
  <c r="J73" i="45"/>
  <c r="M73" i="45" s="1"/>
  <c r="X72" i="45"/>
  <c r="Q72" i="45"/>
  <c r="S72" i="45" s="1"/>
  <c r="U72" i="45" s="1"/>
  <c r="J72" i="45"/>
  <c r="M72" i="45" s="1"/>
  <c r="X71" i="45"/>
  <c r="Q71" i="45"/>
  <c r="S71" i="45" s="1"/>
  <c r="U71" i="45" s="1"/>
  <c r="J71" i="45"/>
  <c r="M71" i="45" s="1"/>
  <c r="X70" i="45"/>
  <c r="Q70" i="45"/>
  <c r="S70" i="45" s="1"/>
  <c r="U70" i="45" s="1"/>
  <c r="J70" i="45"/>
  <c r="M70" i="45" s="1"/>
  <c r="X69" i="45"/>
  <c r="Q69" i="45"/>
  <c r="S69" i="45" s="1"/>
  <c r="U69" i="45" s="1"/>
  <c r="J69" i="45"/>
  <c r="M69" i="45" s="1"/>
  <c r="X68" i="45"/>
  <c r="Q68" i="45"/>
  <c r="S68" i="45" s="1"/>
  <c r="U68" i="45" s="1"/>
  <c r="J68" i="45"/>
  <c r="M68" i="45" s="1"/>
  <c r="X67" i="45"/>
  <c r="Q67" i="45"/>
  <c r="S67" i="45" s="1"/>
  <c r="U67" i="45" s="1"/>
  <c r="J67" i="45"/>
  <c r="M67" i="45" s="1"/>
  <c r="X66" i="45"/>
  <c r="Q66" i="45"/>
  <c r="S66" i="45" s="1"/>
  <c r="U66" i="45" s="1"/>
  <c r="J66" i="45"/>
  <c r="M66" i="45" s="1"/>
  <c r="X65" i="45"/>
  <c r="Q65" i="45"/>
  <c r="S65" i="45" s="1"/>
  <c r="U65" i="45" s="1"/>
  <c r="J65" i="45"/>
  <c r="M65" i="45" s="1"/>
  <c r="X64" i="45"/>
  <c r="Q64" i="45"/>
  <c r="S64" i="45" s="1"/>
  <c r="U64" i="45" s="1"/>
  <c r="J64" i="45"/>
  <c r="M64" i="45" s="1"/>
  <c r="X63" i="45"/>
  <c r="Q63" i="45"/>
  <c r="S63" i="45" s="1"/>
  <c r="U63" i="45" s="1"/>
  <c r="J63" i="45"/>
  <c r="M63" i="45" s="1"/>
  <c r="X62" i="45"/>
  <c r="Q62" i="45"/>
  <c r="S62" i="45" s="1"/>
  <c r="U62" i="45" s="1"/>
  <c r="J62" i="45"/>
  <c r="M62" i="45" s="1"/>
  <c r="X61" i="45"/>
  <c r="Q61" i="45"/>
  <c r="S61" i="45" s="1"/>
  <c r="U61" i="45" s="1"/>
  <c r="J61" i="45"/>
  <c r="M61" i="45" s="1"/>
  <c r="X60" i="45"/>
  <c r="Q60" i="45"/>
  <c r="S60" i="45" s="1"/>
  <c r="U60" i="45" s="1"/>
  <c r="J60" i="45"/>
  <c r="M60" i="45" s="1"/>
  <c r="X59" i="45"/>
  <c r="Q59" i="45"/>
  <c r="S59" i="45" s="1"/>
  <c r="U59" i="45" s="1"/>
  <c r="J59" i="45"/>
  <c r="M59" i="45" s="1"/>
  <c r="X58" i="45"/>
  <c r="Q58" i="45"/>
  <c r="S58" i="45" s="1"/>
  <c r="U58" i="45" s="1"/>
  <c r="J58" i="45"/>
  <c r="M58" i="45" s="1"/>
  <c r="X57" i="45"/>
  <c r="Q57" i="45"/>
  <c r="S57" i="45" s="1"/>
  <c r="U57" i="45" s="1"/>
  <c r="M57" i="45"/>
  <c r="J57" i="45"/>
  <c r="X56" i="45"/>
  <c r="Q56" i="45"/>
  <c r="S56" i="45" s="1"/>
  <c r="U56" i="45" s="1"/>
  <c r="J56" i="45"/>
  <c r="M56" i="45" s="1"/>
  <c r="X55" i="45"/>
  <c r="Q55" i="45"/>
  <c r="S55" i="45" s="1"/>
  <c r="U55" i="45" s="1"/>
  <c r="J55" i="45"/>
  <c r="M55" i="45" s="1"/>
  <c r="X54" i="45"/>
  <c r="Q54" i="45"/>
  <c r="S54" i="45" s="1"/>
  <c r="U54" i="45" s="1"/>
  <c r="J54" i="45"/>
  <c r="M54" i="45" s="1"/>
  <c r="X53" i="45"/>
  <c r="Q53" i="45"/>
  <c r="S53" i="45" s="1"/>
  <c r="U53" i="45" s="1"/>
  <c r="J53" i="45"/>
  <c r="M53" i="45" s="1"/>
  <c r="X52" i="45"/>
  <c r="Q52" i="45"/>
  <c r="S52" i="45" s="1"/>
  <c r="U52" i="45" s="1"/>
  <c r="J52" i="45"/>
  <c r="M52" i="45" s="1"/>
  <c r="X51" i="45"/>
  <c r="Q51" i="45"/>
  <c r="S51" i="45" s="1"/>
  <c r="U51" i="45" s="1"/>
  <c r="J51" i="45"/>
  <c r="M51" i="45" s="1"/>
  <c r="X50" i="45"/>
  <c r="Q50" i="45"/>
  <c r="S50" i="45" s="1"/>
  <c r="U50" i="45" s="1"/>
  <c r="J50" i="45"/>
  <c r="M50" i="45" s="1"/>
  <c r="X49" i="45"/>
  <c r="Q49" i="45"/>
  <c r="S49" i="45" s="1"/>
  <c r="U49" i="45" s="1"/>
  <c r="J49" i="45"/>
  <c r="M49" i="45" s="1"/>
  <c r="X48" i="45"/>
  <c r="Q48" i="45"/>
  <c r="S48" i="45" s="1"/>
  <c r="U48" i="45" s="1"/>
  <c r="J48" i="45"/>
  <c r="M48" i="45" s="1"/>
  <c r="X47" i="45"/>
  <c r="Q47" i="45"/>
  <c r="S47" i="45" s="1"/>
  <c r="U47" i="45" s="1"/>
  <c r="J47" i="45"/>
  <c r="M47" i="45" s="1"/>
  <c r="X46" i="45"/>
  <c r="Q46" i="45"/>
  <c r="S46" i="45" s="1"/>
  <c r="U46" i="45" s="1"/>
  <c r="J46" i="45"/>
  <c r="M46" i="45" s="1"/>
  <c r="X45" i="45"/>
  <c r="Q45" i="45"/>
  <c r="S45" i="45" s="1"/>
  <c r="U45" i="45" s="1"/>
  <c r="J45" i="45"/>
  <c r="M45" i="45" s="1"/>
  <c r="X44" i="45"/>
  <c r="Q44" i="45"/>
  <c r="S44" i="45" s="1"/>
  <c r="U44" i="45" s="1"/>
  <c r="J44" i="45"/>
  <c r="M44" i="45" s="1"/>
  <c r="X43" i="45"/>
  <c r="Q43" i="45"/>
  <c r="S43" i="45" s="1"/>
  <c r="U43" i="45" s="1"/>
  <c r="J43" i="45"/>
  <c r="M43" i="45" s="1"/>
  <c r="X42" i="45"/>
  <c r="Q42" i="45"/>
  <c r="S42" i="45" s="1"/>
  <c r="U42" i="45" s="1"/>
  <c r="J42" i="45"/>
  <c r="M42" i="45" s="1"/>
  <c r="X41" i="45"/>
  <c r="Q41" i="45"/>
  <c r="S41" i="45" s="1"/>
  <c r="U41" i="45" s="1"/>
  <c r="J41" i="45"/>
  <c r="M41" i="45" s="1"/>
  <c r="X40" i="45"/>
  <c r="Q40" i="45"/>
  <c r="S40" i="45" s="1"/>
  <c r="U40" i="45" s="1"/>
  <c r="J40" i="45"/>
  <c r="M40" i="45" s="1"/>
  <c r="X39" i="45"/>
  <c r="Q39" i="45"/>
  <c r="S39" i="45" s="1"/>
  <c r="U39" i="45" s="1"/>
  <c r="J39" i="45"/>
  <c r="M39" i="45" s="1"/>
  <c r="X38" i="45"/>
  <c r="Q38" i="45"/>
  <c r="S38" i="45" s="1"/>
  <c r="U38" i="45" s="1"/>
  <c r="J38" i="45"/>
  <c r="M38" i="45" s="1"/>
  <c r="X37" i="45"/>
  <c r="Q37" i="45"/>
  <c r="S37" i="45" s="1"/>
  <c r="U37" i="45" s="1"/>
  <c r="J37" i="45"/>
  <c r="M37" i="45" s="1"/>
  <c r="X36" i="45"/>
  <c r="Q36" i="45"/>
  <c r="S36" i="45" s="1"/>
  <c r="U36" i="45" s="1"/>
  <c r="J36" i="45"/>
  <c r="M36" i="45" s="1"/>
  <c r="X35" i="45"/>
  <c r="Q35" i="45"/>
  <c r="S35" i="45" s="1"/>
  <c r="U35" i="45" s="1"/>
  <c r="J35" i="45"/>
  <c r="M35" i="45" s="1"/>
  <c r="X34" i="45"/>
  <c r="Q34" i="45"/>
  <c r="S34" i="45" s="1"/>
  <c r="U34" i="45" s="1"/>
  <c r="J34" i="45"/>
  <c r="M34" i="45" s="1"/>
  <c r="X33" i="45"/>
  <c r="Q33" i="45"/>
  <c r="S33" i="45" s="1"/>
  <c r="U33" i="45" s="1"/>
  <c r="J33" i="45"/>
  <c r="M33" i="45" s="1"/>
  <c r="X32" i="45"/>
  <c r="Q32" i="45"/>
  <c r="S32" i="45" s="1"/>
  <c r="U32" i="45" s="1"/>
  <c r="J32" i="45"/>
  <c r="M32" i="45" s="1"/>
  <c r="X31" i="45"/>
  <c r="Q31" i="45"/>
  <c r="S31" i="45" s="1"/>
  <c r="U31" i="45" s="1"/>
  <c r="J31" i="45"/>
  <c r="M31" i="45" s="1"/>
  <c r="X30" i="45"/>
  <c r="Q30" i="45"/>
  <c r="S30" i="45" s="1"/>
  <c r="U30" i="45" s="1"/>
  <c r="J30" i="45"/>
  <c r="M30" i="45" s="1"/>
  <c r="X29" i="45"/>
  <c r="Q29" i="45"/>
  <c r="S29" i="45" s="1"/>
  <c r="U29" i="45" s="1"/>
  <c r="J29" i="45"/>
  <c r="M29" i="45" s="1"/>
  <c r="X28" i="45"/>
  <c r="Q28" i="45"/>
  <c r="S28" i="45" s="1"/>
  <c r="U28" i="45" s="1"/>
  <c r="J28" i="45"/>
  <c r="M28" i="45" s="1"/>
  <c r="X27" i="45"/>
  <c r="Q27" i="45"/>
  <c r="S27" i="45" s="1"/>
  <c r="U27" i="45" s="1"/>
  <c r="J27" i="45"/>
  <c r="M27" i="45" s="1"/>
  <c r="X26" i="45"/>
  <c r="Q26" i="45"/>
  <c r="S26" i="45" s="1"/>
  <c r="U26" i="45" s="1"/>
  <c r="J26" i="45"/>
  <c r="M26" i="45" s="1"/>
  <c r="X25" i="45"/>
  <c r="Q25" i="45"/>
  <c r="S25" i="45" s="1"/>
  <c r="U25" i="45" s="1"/>
  <c r="J25" i="45"/>
  <c r="M25" i="45" s="1"/>
  <c r="X24" i="45"/>
  <c r="Q24" i="45"/>
  <c r="S24" i="45" s="1"/>
  <c r="U24" i="45" s="1"/>
  <c r="J24" i="45"/>
  <c r="M24" i="45" s="1"/>
  <c r="X23" i="45"/>
  <c r="Q23" i="45"/>
  <c r="S23" i="45" s="1"/>
  <c r="U23" i="45" s="1"/>
  <c r="J23" i="45"/>
  <c r="M23" i="45" s="1"/>
  <c r="X22" i="45"/>
  <c r="Q22" i="45"/>
  <c r="S22" i="45" s="1"/>
  <c r="U22" i="45" s="1"/>
  <c r="J22" i="45"/>
  <c r="M22" i="45" s="1"/>
  <c r="X21" i="45"/>
  <c r="Q21" i="45"/>
  <c r="S21" i="45" s="1"/>
  <c r="U21" i="45" s="1"/>
  <c r="J21" i="45"/>
  <c r="M21" i="45" s="1"/>
  <c r="X20" i="45"/>
  <c r="Q20" i="45"/>
  <c r="S20" i="45" s="1"/>
  <c r="U20" i="45" s="1"/>
  <c r="J20" i="45"/>
  <c r="M20" i="45" s="1"/>
  <c r="X19" i="45"/>
  <c r="Q19" i="45"/>
  <c r="S19" i="45" s="1"/>
  <c r="U19" i="45" s="1"/>
  <c r="J19" i="45"/>
  <c r="M19" i="45" s="1"/>
  <c r="X18" i="45"/>
  <c r="Q18" i="45"/>
  <c r="S18" i="45" s="1"/>
  <c r="U18" i="45" s="1"/>
  <c r="J18" i="45"/>
  <c r="M18" i="45" s="1"/>
  <c r="X17" i="45"/>
  <c r="Q17" i="45"/>
  <c r="S17" i="45" s="1"/>
  <c r="U17" i="45" s="1"/>
  <c r="J17" i="45"/>
  <c r="M17" i="45" s="1"/>
  <c r="X16" i="45"/>
  <c r="Q16" i="45"/>
  <c r="S16" i="45" s="1"/>
  <c r="U16" i="45" s="1"/>
  <c r="J16" i="45"/>
  <c r="M16" i="45" s="1"/>
  <c r="X15" i="45"/>
  <c r="Q15" i="45"/>
  <c r="S15" i="45" s="1"/>
  <c r="U15" i="45" s="1"/>
  <c r="J15" i="45"/>
  <c r="M15" i="45" s="1"/>
  <c r="X14" i="45"/>
  <c r="Q14" i="45"/>
  <c r="S14" i="45" s="1"/>
  <c r="U14" i="45" s="1"/>
  <c r="J14" i="45"/>
  <c r="M14" i="45" s="1"/>
  <c r="X13" i="45"/>
  <c r="Q13" i="45"/>
  <c r="S13" i="45" s="1"/>
  <c r="U13" i="45" s="1"/>
  <c r="J13" i="45"/>
  <c r="M13" i="45" s="1"/>
  <c r="X12" i="45"/>
  <c r="Q12" i="45"/>
  <c r="S12" i="45" s="1"/>
  <c r="U12" i="45" s="1"/>
  <c r="J12" i="45"/>
  <c r="M12" i="45" s="1"/>
  <c r="X11" i="45"/>
  <c r="Q11" i="45"/>
  <c r="S11" i="45" s="1"/>
  <c r="U11" i="45" s="1"/>
  <c r="J11" i="45"/>
  <c r="M11" i="45" s="1"/>
  <c r="X10" i="45"/>
  <c r="Q10" i="45"/>
  <c r="S10" i="45" s="1"/>
  <c r="U10" i="45" s="1"/>
  <c r="J10" i="45"/>
  <c r="M10" i="45" s="1"/>
  <c r="X9" i="45"/>
  <c r="Q9" i="45"/>
  <c r="S9" i="45" s="1"/>
  <c r="U9" i="45" s="1"/>
  <c r="J9" i="45"/>
  <c r="M9" i="45" s="1"/>
  <c r="X8" i="45"/>
  <c r="Q8" i="45"/>
  <c r="S8" i="45" s="1"/>
  <c r="U8" i="45" s="1"/>
  <c r="J8" i="45"/>
  <c r="M8" i="45" s="1"/>
  <c r="X7" i="45"/>
  <c r="Q7" i="45"/>
  <c r="S7" i="45" s="1"/>
  <c r="U7" i="45" s="1"/>
  <c r="J7" i="45"/>
  <c r="M7" i="45" s="1"/>
  <c r="X6" i="45"/>
  <c r="Q6" i="45"/>
  <c r="S6" i="45" s="1"/>
  <c r="U6" i="45" s="1"/>
  <c r="J6" i="45"/>
  <c r="M6" i="45" s="1"/>
  <c r="X5" i="45"/>
  <c r="Q5" i="45"/>
  <c r="S5" i="45" s="1"/>
  <c r="U5" i="45" s="1"/>
  <c r="J5" i="45"/>
  <c r="M5" i="45" s="1"/>
  <c r="K213" i="44"/>
  <c r="N15" i="15" s="1"/>
  <c r="K210" i="44"/>
  <c r="J204" i="44"/>
  <c r="M204" i="44" s="1"/>
  <c r="J203" i="44"/>
  <c r="M203" i="44" s="1"/>
  <c r="J202" i="44"/>
  <c r="M202" i="44" s="1"/>
  <c r="J201" i="44"/>
  <c r="M201" i="44" s="1"/>
  <c r="J200" i="44"/>
  <c r="M200" i="44" s="1"/>
  <c r="J199" i="44"/>
  <c r="M199" i="44" s="1"/>
  <c r="J198" i="44"/>
  <c r="M198" i="44" s="1"/>
  <c r="J197" i="44"/>
  <c r="M197" i="44" s="1"/>
  <c r="J196" i="44"/>
  <c r="M196" i="44" s="1"/>
  <c r="J195" i="44"/>
  <c r="M195" i="44" s="1"/>
  <c r="J194" i="44"/>
  <c r="M194" i="44" s="1"/>
  <c r="J193" i="44"/>
  <c r="M193" i="44" s="1"/>
  <c r="J192" i="44"/>
  <c r="M192" i="44" s="1"/>
  <c r="J191" i="44"/>
  <c r="M191" i="44" s="1"/>
  <c r="J190" i="44"/>
  <c r="M190" i="44" s="1"/>
  <c r="J189" i="44"/>
  <c r="M189" i="44" s="1"/>
  <c r="J188" i="44"/>
  <c r="M188" i="44" s="1"/>
  <c r="J187" i="44"/>
  <c r="M187" i="44" s="1"/>
  <c r="J186" i="44"/>
  <c r="M186" i="44" s="1"/>
  <c r="J185" i="44"/>
  <c r="M185" i="44" s="1"/>
  <c r="J184" i="44"/>
  <c r="M184" i="44" s="1"/>
  <c r="J183" i="44"/>
  <c r="M183" i="44" s="1"/>
  <c r="J182" i="44"/>
  <c r="M182" i="44" s="1"/>
  <c r="J181" i="44"/>
  <c r="M181" i="44" s="1"/>
  <c r="J180" i="44"/>
  <c r="M180" i="44" s="1"/>
  <c r="J179" i="44"/>
  <c r="M179" i="44" s="1"/>
  <c r="J178" i="44"/>
  <c r="M178" i="44" s="1"/>
  <c r="J177" i="44"/>
  <c r="M177" i="44" s="1"/>
  <c r="J176" i="44"/>
  <c r="M176" i="44" s="1"/>
  <c r="J175" i="44"/>
  <c r="M175" i="44" s="1"/>
  <c r="J174" i="44"/>
  <c r="M174" i="44" s="1"/>
  <c r="J173" i="44"/>
  <c r="M173" i="44" s="1"/>
  <c r="J172" i="44"/>
  <c r="M172" i="44" s="1"/>
  <c r="J171" i="44"/>
  <c r="M171" i="44" s="1"/>
  <c r="J170" i="44"/>
  <c r="M170" i="44" s="1"/>
  <c r="J169" i="44"/>
  <c r="M169" i="44" s="1"/>
  <c r="J168" i="44"/>
  <c r="M168" i="44" s="1"/>
  <c r="J167" i="44"/>
  <c r="M167" i="44" s="1"/>
  <c r="J166" i="44"/>
  <c r="M166" i="44" s="1"/>
  <c r="M165" i="44"/>
  <c r="J165" i="44"/>
  <c r="J164" i="44"/>
  <c r="M164" i="44" s="1"/>
  <c r="J163" i="44"/>
  <c r="M163" i="44" s="1"/>
  <c r="J162" i="44"/>
  <c r="M162" i="44" s="1"/>
  <c r="J161" i="44"/>
  <c r="M161" i="44" s="1"/>
  <c r="J160" i="44"/>
  <c r="M160" i="44" s="1"/>
  <c r="J159" i="44"/>
  <c r="M159" i="44" s="1"/>
  <c r="J158" i="44"/>
  <c r="M158" i="44" s="1"/>
  <c r="J157" i="44"/>
  <c r="M157" i="44" s="1"/>
  <c r="J156" i="44"/>
  <c r="M156" i="44" s="1"/>
  <c r="J155" i="44"/>
  <c r="M155" i="44" s="1"/>
  <c r="J154" i="44"/>
  <c r="M154" i="44" s="1"/>
  <c r="J153" i="44"/>
  <c r="M153" i="44" s="1"/>
  <c r="J152" i="44"/>
  <c r="M152" i="44" s="1"/>
  <c r="J151" i="44"/>
  <c r="M151" i="44" s="1"/>
  <c r="J150" i="44"/>
  <c r="M150" i="44" s="1"/>
  <c r="J149" i="44"/>
  <c r="M149" i="44" s="1"/>
  <c r="J148" i="44"/>
  <c r="M148" i="44" s="1"/>
  <c r="J147" i="44"/>
  <c r="M147" i="44" s="1"/>
  <c r="J146" i="44"/>
  <c r="M146" i="44" s="1"/>
  <c r="J145" i="44"/>
  <c r="M145" i="44" s="1"/>
  <c r="J144" i="44"/>
  <c r="M144" i="44" s="1"/>
  <c r="J143" i="44"/>
  <c r="M143" i="44" s="1"/>
  <c r="J142" i="44"/>
  <c r="M142" i="44" s="1"/>
  <c r="J141" i="44"/>
  <c r="M141" i="44" s="1"/>
  <c r="J140" i="44"/>
  <c r="M140" i="44" s="1"/>
  <c r="J139" i="44"/>
  <c r="M139" i="44" s="1"/>
  <c r="J138" i="44"/>
  <c r="M138" i="44" s="1"/>
  <c r="J137" i="44"/>
  <c r="M137" i="44" s="1"/>
  <c r="J136" i="44"/>
  <c r="M136" i="44" s="1"/>
  <c r="J135" i="44"/>
  <c r="M135" i="44" s="1"/>
  <c r="J134" i="44"/>
  <c r="M134" i="44" s="1"/>
  <c r="J133" i="44"/>
  <c r="M133" i="44" s="1"/>
  <c r="J132" i="44"/>
  <c r="M132" i="44" s="1"/>
  <c r="J131" i="44"/>
  <c r="M131" i="44" s="1"/>
  <c r="J130" i="44"/>
  <c r="M130" i="44" s="1"/>
  <c r="J129" i="44"/>
  <c r="M129" i="44" s="1"/>
  <c r="J128" i="44"/>
  <c r="M128" i="44" s="1"/>
  <c r="J127" i="44"/>
  <c r="M127" i="44" s="1"/>
  <c r="J126" i="44"/>
  <c r="M126" i="44" s="1"/>
  <c r="J125" i="44"/>
  <c r="M125" i="44" s="1"/>
  <c r="J124" i="44"/>
  <c r="M124" i="44" s="1"/>
  <c r="J123" i="44"/>
  <c r="M123" i="44" s="1"/>
  <c r="J122" i="44"/>
  <c r="M122" i="44" s="1"/>
  <c r="J121" i="44"/>
  <c r="M121" i="44" s="1"/>
  <c r="J120" i="44"/>
  <c r="M120" i="44" s="1"/>
  <c r="J119" i="44"/>
  <c r="M119" i="44" s="1"/>
  <c r="J118" i="44"/>
  <c r="M118" i="44" s="1"/>
  <c r="J117" i="44"/>
  <c r="M117" i="44" s="1"/>
  <c r="J116" i="44"/>
  <c r="M116" i="44" s="1"/>
  <c r="J115" i="44"/>
  <c r="M115" i="44" s="1"/>
  <c r="J114" i="44"/>
  <c r="M114" i="44" s="1"/>
  <c r="J113" i="44"/>
  <c r="M113" i="44" s="1"/>
  <c r="J112" i="44"/>
  <c r="M112" i="44" s="1"/>
  <c r="J111" i="44"/>
  <c r="M111" i="44" s="1"/>
  <c r="J110" i="44"/>
  <c r="M110" i="44" s="1"/>
  <c r="J109" i="44"/>
  <c r="M109" i="44" s="1"/>
  <c r="J108" i="44"/>
  <c r="M108" i="44" s="1"/>
  <c r="J107" i="44"/>
  <c r="M107" i="44" s="1"/>
  <c r="J106" i="44"/>
  <c r="M106" i="44" s="1"/>
  <c r="Z105" i="44"/>
  <c r="J105" i="44"/>
  <c r="M105" i="44" s="1"/>
  <c r="X104" i="44"/>
  <c r="Q104" i="44"/>
  <c r="S104" i="44" s="1"/>
  <c r="U104" i="44" s="1"/>
  <c r="J104" i="44"/>
  <c r="M104" i="44" s="1"/>
  <c r="X103" i="44"/>
  <c r="Q103" i="44"/>
  <c r="S103" i="44" s="1"/>
  <c r="U103" i="44" s="1"/>
  <c r="J103" i="44"/>
  <c r="M103" i="44" s="1"/>
  <c r="X102" i="44"/>
  <c r="Q102" i="44"/>
  <c r="S102" i="44" s="1"/>
  <c r="U102" i="44" s="1"/>
  <c r="J102" i="44"/>
  <c r="M102" i="44" s="1"/>
  <c r="X101" i="44"/>
  <c r="Q101" i="44"/>
  <c r="S101" i="44" s="1"/>
  <c r="U101" i="44" s="1"/>
  <c r="J101" i="44"/>
  <c r="M101" i="44" s="1"/>
  <c r="X100" i="44"/>
  <c r="S100" i="44"/>
  <c r="U100" i="44" s="1"/>
  <c r="Q100" i="44"/>
  <c r="J100" i="44"/>
  <c r="M100" i="44" s="1"/>
  <c r="X99" i="44"/>
  <c r="Q99" i="44"/>
  <c r="S99" i="44" s="1"/>
  <c r="U99" i="44" s="1"/>
  <c r="J99" i="44"/>
  <c r="M99" i="44" s="1"/>
  <c r="X98" i="44"/>
  <c r="Q98" i="44"/>
  <c r="S98" i="44" s="1"/>
  <c r="U98" i="44" s="1"/>
  <c r="M98" i="44"/>
  <c r="J98" i="44"/>
  <c r="X97" i="44"/>
  <c r="Q97" i="44"/>
  <c r="S97" i="44" s="1"/>
  <c r="U97" i="44" s="1"/>
  <c r="M97" i="44"/>
  <c r="J97" i="44"/>
  <c r="X96" i="44"/>
  <c r="Q96" i="44"/>
  <c r="S96" i="44" s="1"/>
  <c r="U96" i="44" s="1"/>
  <c r="J96" i="44"/>
  <c r="M96" i="44" s="1"/>
  <c r="X95" i="44"/>
  <c r="Q95" i="44"/>
  <c r="S95" i="44" s="1"/>
  <c r="U95" i="44" s="1"/>
  <c r="J95" i="44"/>
  <c r="M95" i="44" s="1"/>
  <c r="X94" i="44"/>
  <c r="Q94" i="44"/>
  <c r="S94" i="44" s="1"/>
  <c r="U94" i="44" s="1"/>
  <c r="J94" i="44"/>
  <c r="M94" i="44" s="1"/>
  <c r="X93" i="44"/>
  <c r="Q93" i="44"/>
  <c r="S93" i="44" s="1"/>
  <c r="U93" i="44" s="1"/>
  <c r="J93" i="44"/>
  <c r="M93" i="44" s="1"/>
  <c r="X92" i="44"/>
  <c r="Q92" i="44"/>
  <c r="S92" i="44" s="1"/>
  <c r="U92" i="44" s="1"/>
  <c r="J92" i="44"/>
  <c r="M92" i="44" s="1"/>
  <c r="X91" i="44"/>
  <c r="U91" i="44"/>
  <c r="Q91" i="44"/>
  <c r="S91" i="44" s="1"/>
  <c r="J91" i="44"/>
  <c r="M91" i="44" s="1"/>
  <c r="X90" i="44"/>
  <c r="Q90" i="44"/>
  <c r="S90" i="44" s="1"/>
  <c r="U90" i="44" s="1"/>
  <c r="J90" i="44"/>
  <c r="M90" i="44" s="1"/>
  <c r="X89" i="44"/>
  <c r="Q89" i="44"/>
  <c r="S89" i="44" s="1"/>
  <c r="U89" i="44" s="1"/>
  <c r="J89" i="44"/>
  <c r="M89" i="44" s="1"/>
  <c r="X88" i="44"/>
  <c r="Q88" i="44"/>
  <c r="S88" i="44" s="1"/>
  <c r="U88" i="44" s="1"/>
  <c r="J88" i="44"/>
  <c r="M88" i="44" s="1"/>
  <c r="X87" i="44"/>
  <c r="Q87" i="44"/>
  <c r="S87" i="44" s="1"/>
  <c r="U87" i="44" s="1"/>
  <c r="J87" i="44"/>
  <c r="M87" i="44" s="1"/>
  <c r="X86" i="44"/>
  <c r="Q86" i="44"/>
  <c r="S86" i="44" s="1"/>
  <c r="U86" i="44" s="1"/>
  <c r="J86" i="44"/>
  <c r="M86" i="44" s="1"/>
  <c r="X85" i="44"/>
  <c r="Q85" i="44"/>
  <c r="S85" i="44" s="1"/>
  <c r="U85" i="44" s="1"/>
  <c r="J85" i="44"/>
  <c r="M85" i="44" s="1"/>
  <c r="X84" i="44"/>
  <c r="Q84" i="44"/>
  <c r="S84" i="44" s="1"/>
  <c r="U84" i="44" s="1"/>
  <c r="J84" i="44"/>
  <c r="M84" i="44" s="1"/>
  <c r="X83" i="44"/>
  <c r="S83" i="44"/>
  <c r="U83" i="44" s="1"/>
  <c r="Q83" i="44"/>
  <c r="J83" i="44"/>
  <c r="M83" i="44" s="1"/>
  <c r="X82" i="44"/>
  <c r="Q82" i="44"/>
  <c r="S82" i="44" s="1"/>
  <c r="U82" i="44" s="1"/>
  <c r="J82" i="44"/>
  <c r="M82" i="44" s="1"/>
  <c r="X81" i="44"/>
  <c r="Q81" i="44"/>
  <c r="S81" i="44" s="1"/>
  <c r="U81" i="44" s="1"/>
  <c r="J81" i="44"/>
  <c r="M81" i="44" s="1"/>
  <c r="X80" i="44"/>
  <c r="Q80" i="44"/>
  <c r="S80" i="44" s="1"/>
  <c r="U80" i="44" s="1"/>
  <c r="J80" i="44"/>
  <c r="M80" i="44" s="1"/>
  <c r="X79" i="44"/>
  <c r="Q79" i="44"/>
  <c r="S79" i="44" s="1"/>
  <c r="U79" i="44" s="1"/>
  <c r="J79" i="44"/>
  <c r="M79" i="44" s="1"/>
  <c r="X78" i="44"/>
  <c r="Q78" i="44"/>
  <c r="S78" i="44" s="1"/>
  <c r="U78" i="44" s="1"/>
  <c r="J78" i="44"/>
  <c r="M78" i="44" s="1"/>
  <c r="X77" i="44"/>
  <c r="Q77" i="44"/>
  <c r="S77" i="44" s="1"/>
  <c r="U77" i="44" s="1"/>
  <c r="J77" i="44"/>
  <c r="M77" i="44" s="1"/>
  <c r="X76" i="44"/>
  <c r="Q76" i="44"/>
  <c r="S76" i="44" s="1"/>
  <c r="U76" i="44" s="1"/>
  <c r="J76" i="44"/>
  <c r="M76" i="44" s="1"/>
  <c r="X75" i="44"/>
  <c r="Q75" i="44"/>
  <c r="S75" i="44" s="1"/>
  <c r="U75" i="44" s="1"/>
  <c r="J75" i="44"/>
  <c r="M75" i="44" s="1"/>
  <c r="X74" i="44"/>
  <c r="Q74" i="44"/>
  <c r="S74" i="44" s="1"/>
  <c r="U74" i="44" s="1"/>
  <c r="J74" i="44"/>
  <c r="M74" i="44" s="1"/>
  <c r="X73" i="44"/>
  <c r="Q73" i="44"/>
  <c r="S73" i="44" s="1"/>
  <c r="U73" i="44" s="1"/>
  <c r="J73" i="44"/>
  <c r="M73" i="44" s="1"/>
  <c r="X72" i="44"/>
  <c r="Q72" i="44"/>
  <c r="S72" i="44" s="1"/>
  <c r="U72" i="44" s="1"/>
  <c r="J72" i="44"/>
  <c r="M72" i="44" s="1"/>
  <c r="X71" i="44"/>
  <c r="Q71" i="44"/>
  <c r="S71" i="44" s="1"/>
  <c r="U71" i="44" s="1"/>
  <c r="J71" i="44"/>
  <c r="M71" i="44" s="1"/>
  <c r="X70" i="44"/>
  <c r="Q70" i="44"/>
  <c r="S70" i="44" s="1"/>
  <c r="U70" i="44" s="1"/>
  <c r="J70" i="44"/>
  <c r="M70" i="44" s="1"/>
  <c r="X69" i="44"/>
  <c r="S69" i="44"/>
  <c r="U69" i="44" s="1"/>
  <c r="Q69" i="44"/>
  <c r="J69" i="44"/>
  <c r="M69" i="44" s="1"/>
  <c r="X68" i="44"/>
  <c r="Q68" i="44"/>
  <c r="S68" i="44" s="1"/>
  <c r="U68" i="44" s="1"/>
  <c r="J68" i="44"/>
  <c r="M68" i="44" s="1"/>
  <c r="X67" i="44"/>
  <c r="Q67" i="44"/>
  <c r="S67" i="44" s="1"/>
  <c r="U67" i="44" s="1"/>
  <c r="J67" i="44"/>
  <c r="M67" i="44" s="1"/>
  <c r="X66" i="44"/>
  <c r="Q66" i="44"/>
  <c r="S66" i="44" s="1"/>
  <c r="U66" i="44" s="1"/>
  <c r="J66" i="44"/>
  <c r="M66" i="44" s="1"/>
  <c r="X65" i="44"/>
  <c r="Q65" i="44"/>
  <c r="S65" i="44" s="1"/>
  <c r="U65" i="44" s="1"/>
  <c r="J65" i="44"/>
  <c r="M65" i="44" s="1"/>
  <c r="X64" i="44"/>
  <c r="Q64" i="44"/>
  <c r="S64" i="44" s="1"/>
  <c r="U64" i="44" s="1"/>
  <c r="J64" i="44"/>
  <c r="M64" i="44" s="1"/>
  <c r="X63" i="44"/>
  <c r="Q63" i="44"/>
  <c r="S63" i="44" s="1"/>
  <c r="U63" i="44" s="1"/>
  <c r="J63" i="44"/>
  <c r="M63" i="44" s="1"/>
  <c r="X62" i="44"/>
  <c r="Q62" i="44"/>
  <c r="S62" i="44" s="1"/>
  <c r="U62" i="44" s="1"/>
  <c r="J62" i="44"/>
  <c r="M62" i="44" s="1"/>
  <c r="X61" i="44"/>
  <c r="Q61" i="44"/>
  <c r="S61" i="44" s="1"/>
  <c r="U61" i="44" s="1"/>
  <c r="J61" i="44"/>
  <c r="M61" i="44" s="1"/>
  <c r="X60" i="44"/>
  <c r="Q60" i="44"/>
  <c r="S60" i="44" s="1"/>
  <c r="U60" i="44" s="1"/>
  <c r="J60" i="44"/>
  <c r="M60" i="44" s="1"/>
  <c r="X59" i="44"/>
  <c r="S59" i="44"/>
  <c r="U59" i="44" s="1"/>
  <c r="Q59" i="44"/>
  <c r="J59" i="44"/>
  <c r="M59" i="44" s="1"/>
  <c r="X58" i="44"/>
  <c r="Q58" i="44"/>
  <c r="S58" i="44" s="1"/>
  <c r="U58" i="44" s="1"/>
  <c r="J58" i="44"/>
  <c r="M58" i="44" s="1"/>
  <c r="X57" i="44"/>
  <c r="Q57" i="44"/>
  <c r="S57" i="44" s="1"/>
  <c r="U57" i="44" s="1"/>
  <c r="J57" i="44"/>
  <c r="M57" i="44" s="1"/>
  <c r="X56" i="44"/>
  <c r="Q56" i="44"/>
  <c r="S56" i="44" s="1"/>
  <c r="U56" i="44" s="1"/>
  <c r="J56" i="44"/>
  <c r="M56" i="44" s="1"/>
  <c r="X55" i="44"/>
  <c r="Q55" i="44"/>
  <c r="S55" i="44" s="1"/>
  <c r="U55" i="44" s="1"/>
  <c r="J55" i="44"/>
  <c r="M55" i="44" s="1"/>
  <c r="X54" i="44"/>
  <c r="Q54" i="44"/>
  <c r="S54" i="44" s="1"/>
  <c r="U54" i="44" s="1"/>
  <c r="J54" i="44"/>
  <c r="M54" i="44" s="1"/>
  <c r="X53" i="44"/>
  <c r="Q53" i="44"/>
  <c r="S53" i="44" s="1"/>
  <c r="U53" i="44" s="1"/>
  <c r="J53" i="44"/>
  <c r="M53" i="44" s="1"/>
  <c r="X52" i="44"/>
  <c r="Q52" i="44"/>
  <c r="S52" i="44" s="1"/>
  <c r="U52" i="44" s="1"/>
  <c r="J52" i="44"/>
  <c r="M52" i="44" s="1"/>
  <c r="X51" i="44"/>
  <c r="Q51" i="44"/>
  <c r="S51" i="44" s="1"/>
  <c r="U51" i="44" s="1"/>
  <c r="J51" i="44"/>
  <c r="M51" i="44" s="1"/>
  <c r="X50" i="44"/>
  <c r="Q50" i="44"/>
  <c r="S50" i="44" s="1"/>
  <c r="U50" i="44" s="1"/>
  <c r="J50" i="44"/>
  <c r="M50" i="44" s="1"/>
  <c r="X49" i="44"/>
  <c r="Q49" i="44"/>
  <c r="S49" i="44" s="1"/>
  <c r="U49" i="44" s="1"/>
  <c r="J49" i="44"/>
  <c r="M49" i="44" s="1"/>
  <c r="X48" i="44"/>
  <c r="Q48" i="44"/>
  <c r="S48" i="44" s="1"/>
  <c r="U48" i="44" s="1"/>
  <c r="J48" i="44"/>
  <c r="M48" i="44" s="1"/>
  <c r="X47" i="44"/>
  <c r="Q47" i="44"/>
  <c r="S47" i="44" s="1"/>
  <c r="U47" i="44" s="1"/>
  <c r="J47" i="44"/>
  <c r="M47" i="44" s="1"/>
  <c r="X46" i="44"/>
  <c r="Q46" i="44"/>
  <c r="S46" i="44" s="1"/>
  <c r="U46" i="44" s="1"/>
  <c r="J46" i="44"/>
  <c r="M46" i="44" s="1"/>
  <c r="X45" i="44"/>
  <c r="Q45" i="44"/>
  <c r="S45" i="44" s="1"/>
  <c r="U45" i="44" s="1"/>
  <c r="J45" i="44"/>
  <c r="M45" i="44" s="1"/>
  <c r="X44" i="44"/>
  <c r="Q44" i="44"/>
  <c r="S44" i="44" s="1"/>
  <c r="U44" i="44" s="1"/>
  <c r="J44" i="44"/>
  <c r="M44" i="44" s="1"/>
  <c r="X43" i="44"/>
  <c r="Q43" i="44"/>
  <c r="S43" i="44" s="1"/>
  <c r="U43" i="44" s="1"/>
  <c r="J43" i="44"/>
  <c r="M43" i="44" s="1"/>
  <c r="X42" i="44"/>
  <c r="Q42" i="44"/>
  <c r="S42" i="44" s="1"/>
  <c r="U42" i="44" s="1"/>
  <c r="J42" i="44"/>
  <c r="M42" i="44" s="1"/>
  <c r="X41" i="44"/>
  <c r="Q41" i="44"/>
  <c r="S41" i="44" s="1"/>
  <c r="U41" i="44" s="1"/>
  <c r="J41" i="44"/>
  <c r="M41" i="44" s="1"/>
  <c r="X40" i="44"/>
  <c r="Q40" i="44"/>
  <c r="S40" i="44" s="1"/>
  <c r="U40" i="44" s="1"/>
  <c r="J40" i="44"/>
  <c r="M40" i="44" s="1"/>
  <c r="X39" i="44"/>
  <c r="U39" i="44"/>
  <c r="S39" i="44"/>
  <c r="Q39" i="44"/>
  <c r="J39" i="44"/>
  <c r="M39" i="44" s="1"/>
  <c r="X38" i="44"/>
  <c r="Q38" i="44"/>
  <c r="S38" i="44" s="1"/>
  <c r="U38" i="44" s="1"/>
  <c r="J38" i="44"/>
  <c r="M38" i="44" s="1"/>
  <c r="X37" i="44"/>
  <c r="S37" i="44"/>
  <c r="U37" i="44" s="1"/>
  <c r="Q37" i="44"/>
  <c r="J37" i="44"/>
  <c r="M37" i="44" s="1"/>
  <c r="X36" i="44"/>
  <c r="Q36" i="44"/>
  <c r="S36" i="44" s="1"/>
  <c r="U36" i="44" s="1"/>
  <c r="J36" i="44"/>
  <c r="M36" i="44" s="1"/>
  <c r="X35" i="44"/>
  <c r="S35" i="44"/>
  <c r="U35" i="44" s="1"/>
  <c r="Q35" i="44"/>
  <c r="J35" i="44"/>
  <c r="M35" i="44" s="1"/>
  <c r="X34" i="44"/>
  <c r="Q34" i="44"/>
  <c r="S34" i="44" s="1"/>
  <c r="U34" i="44" s="1"/>
  <c r="J34" i="44"/>
  <c r="M34" i="44" s="1"/>
  <c r="X33" i="44"/>
  <c r="Q33" i="44"/>
  <c r="S33" i="44" s="1"/>
  <c r="U33" i="44" s="1"/>
  <c r="J33" i="44"/>
  <c r="M33" i="44" s="1"/>
  <c r="X32" i="44"/>
  <c r="Q32" i="44"/>
  <c r="S32" i="44" s="1"/>
  <c r="U32" i="44" s="1"/>
  <c r="J32" i="44"/>
  <c r="M32" i="44" s="1"/>
  <c r="X31" i="44"/>
  <c r="S31" i="44"/>
  <c r="U31" i="44" s="1"/>
  <c r="Q31" i="44"/>
  <c r="J31" i="44"/>
  <c r="M31" i="44" s="1"/>
  <c r="X30" i="44"/>
  <c r="Q30" i="44"/>
  <c r="S30" i="44" s="1"/>
  <c r="U30" i="44" s="1"/>
  <c r="J30" i="44"/>
  <c r="M30" i="44" s="1"/>
  <c r="X29" i="44"/>
  <c r="Q29" i="44"/>
  <c r="S29" i="44" s="1"/>
  <c r="U29" i="44" s="1"/>
  <c r="J29" i="44"/>
  <c r="M29" i="44" s="1"/>
  <c r="X28" i="44"/>
  <c r="Q28" i="44"/>
  <c r="S28" i="44" s="1"/>
  <c r="U28" i="44" s="1"/>
  <c r="J28" i="44"/>
  <c r="M28" i="44" s="1"/>
  <c r="X27" i="44"/>
  <c r="Q27" i="44"/>
  <c r="S27" i="44" s="1"/>
  <c r="U27" i="44" s="1"/>
  <c r="J27" i="44"/>
  <c r="M27" i="44" s="1"/>
  <c r="X26" i="44"/>
  <c r="S26" i="44"/>
  <c r="U26" i="44" s="1"/>
  <c r="Q26" i="44"/>
  <c r="J26" i="44"/>
  <c r="M26" i="44" s="1"/>
  <c r="X25" i="44"/>
  <c r="Q25" i="44"/>
  <c r="S25" i="44" s="1"/>
  <c r="U25" i="44" s="1"/>
  <c r="J25" i="44"/>
  <c r="M25" i="44" s="1"/>
  <c r="X24" i="44"/>
  <c r="Q24" i="44"/>
  <c r="S24" i="44" s="1"/>
  <c r="U24" i="44" s="1"/>
  <c r="J24" i="44"/>
  <c r="M24" i="44" s="1"/>
  <c r="X23" i="44"/>
  <c r="Q23" i="44"/>
  <c r="S23" i="44" s="1"/>
  <c r="U23" i="44" s="1"/>
  <c r="J23" i="44"/>
  <c r="M23" i="44" s="1"/>
  <c r="X22" i="44"/>
  <c r="Q22" i="44"/>
  <c r="S22" i="44" s="1"/>
  <c r="U22" i="44" s="1"/>
  <c r="J22" i="44"/>
  <c r="M22" i="44" s="1"/>
  <c r="X21" i="44"/>
  <c r="Q21" i="44"/>
  <c r="S21" i="44" s="1"/>
  <c r="U21" i="44" s="1"/>
  <c r="J21" i="44"/>
  <c r="M21" i="44" s="1"/>
  <c r="X20" i="44"/>
  <c r="Q20" i="44"/>
  <c r="S20" i="44" s="1"/>
  <c r="U20" i="44" s="1"/>
  <c r="J20" i="44"/>
  <c r="M20" i="44" s="1"/>
  <c r="X19" i="44"/>
  <c r="Q19" i="44"/>
  <c r="S19" i="44" s="1"/>
  <c r="U19" i="44" s="1"/>
  <c r="J19" i="44"/>
  <c r="M19" i="44" s="1"/>
  <c r="X18" i="44"/>
  <c r="Q18" i="44"/>
  <c r="S18" i="44" s="1"/>
  <c r="U18" i="44" s="1"/>
  <c r="J18" i="44"/>
  <c r="M18" i="44" s="1"/>
  <c r="X17" i="44"/>
  <c r="Q17" i="44"/>
  <c r="S17" i="44" s="1"/>
  <c r="U17" i="44" s="1"/>
  <c r="J17" i="44"/>
  <c r="M17" i="44" s="1"/>
  <c r="X16" i="44"/>
  <c r="Q16" i="44"/>
  <c r="S16" i="44" s="1"/>
  <c r="U16" i="44" s="1"/>
  <c r="J16" i="44"/>
  <c r="M16" i="44" s="1"/>
  <c r="X15" i="44"/>
  <c r="Q15" i="44"/>
  <c r="S15" i="44" s="1"/>
  <c r="U15" i="44" s="1"/>
  <c r="J15" i="44"/>
  <c r="M15" i="44" s="1"/>
  <c r="X14" i="44"/>
  <c r="Q14" i="44"/>
  <c r="S14" i="44" s="1"/>
  <c r="U14" i="44" s="1"/>
  <c r="J14" i="44"/>
  <c r="M14" i="44" s="1"/>
  <c r="X13" i="44"/>
  <c r="Q13" i="44"/>
  <c r="S13" i="44" s="1"/>
  <c r="U13" i="44" s="1"/>
  <c r="J13" i="44"/>
  <c r="M13" i="44" s="1"/>
  <c r="X12" i="44"/>
  <c r="Q12" i="44"/>
  <c r="S12" i="44" s="1"/>
  <c r="U12" i="44" s="1"/>
  <c r="J12" i="44"/>
  <c r="M12" i="44" s="1"/>
  <c r="X11" i="44"/>
  <c r="Q11" i="44"/>
  <c r="S11" i="44" s="1"/>
  <c r="U11" i="44" s="1"/>
  <c r="J11" i="44"/>
  <c r="M11" i="44" s="1"/>
  <c r="X10" i="44"/>
  <c r="Q10" i="44"/>
  <c r="S10" i="44" s="1"/>
  <c r="U10" i="44" s="1"/>
  <c r="J10" i="44"/>
  <c r="M10" i="44" s="1"/>
  <c r="X9" i="44"/>
  <c r="Q9" i="44"/>
  <c r="S9" i="44" s="1"/>
  <c r="U9" i="44" s="1"/>
  <c r="J9" i="44"/>
  <c r="M9" i="44" s="1"/>
  <c r="X8" i="44"/>
  <c r="Q8" i="44"/>
  <c r="S8" i="44" s="1"/>
  <c r="U8" i="44" s="1"/>
  <c r="J8" i="44"/>
  <c r="M8" i="44" s="1"/>
  <c r="X7" i="44"/>
  <c r="Q7" i="44"/>
  <c r="S7" i="44" s="1"/>
  <c r="U7" i="44" s="1"/>
  <c r="J7" i="44"/>
  <c r="M7" i="44" s="1"/>
  <c r="X6" i="44"/>
  <c r="Q6" i="44"/>
  <c r="S6" i="44" s="1"/>
  <c r="U6" i="44" s="1"/>
  <c r="J6" i="44"/>
  <c r="M6" i="44" s="1"/>
  <c r="X5" i="44"/>
  <c r="Q5" i="44"/>
  <c r="S5" i="44" s="1"/>
  <c r="U5" i="44" s="1"/>
  <c r="J5" i="44"/>
  <c r="K213" i="43"/>
  <c r="N14" i="15" s="1"/>
  <c r="K210" i="43"/>
  <c r="J204" i="43"/>
  <c r="M204" i="43" s="1"/>
  <c r="J203" i="43"/>
  <c r="M203" i="43" s="1"/>
  <c r="J202" i="43"/>
  <c r="M202" i="43" s="1"/>
  <c r="J201" i="43"/>
  <c r="M201" i="43" s="1"/>
  <c r="J200" i="43"/>
  <c r="M200" i="43" s="1"/>
  <c r="J199" i="43"/>
  <c r="M199" i="43" s="1"/>
  <c r="J198" i="43"/>
  <c r="M198" i="43" s="1"/>
  <c r="J197" i="43"/>
  <c r="M197" i="43" s="1"/>
  <c r="J196" i="43"/>
  <c r="M196" i="43" s="1"/>
  <c r="J195" i="43"/>
  <c r="M195" i="43" s="1"/>
  <c r="J194" i="43"/>
  <c r="M194" i="43" s="1"/>
  <c r="J193" i="43"/>
  <c r="M193" i="43" s="1"/>
  <c r="J192" i="43"/>
  <c r="M192" i="43" s="1"/>
  <c r="J191" i="43"/>
  <c r="M191" i="43" s="1"/>
  <c r="J190" i="43"/>
  <c r="M190" i="43" s="1"/>
  <c r="J189" i="43"/>
  <c r="M189" i="43" s="1"/>
  <c r="J188" i="43"/>
  <c r="M188" i="43" s="1"/>
  <c r="J187" i="43"/>
  <c r="M187" i="43" s="1"/>
  <c r="J186" i="43"/>
  <c r="M186" i="43" s="1"/>
  <c r="J185" i="43"/>
  <c r="M185" i="43" s="1"/>
  <c r="J184" i="43"/>
  <c r="M184" i="43" s="1"/>
  <c r="J183" i="43"/>
  <c r="M183" i="43" s="1"/>
  <c r="J182" i="43"/>
  <c r="M182" i="43" s="1"/>
  <c r="J181" i="43"/>
  <c r="M181" i="43" s="1"/>
  <c r="J180" i="43"/>
  <c r="M180" i="43" s="1"/>
  <c r="J179" i="43"/>
  <c r="M179" i="43" s="1"/>
  <c r="J178" i="43"/>
  <c r="M178" i="43" s="1"/>
  <c r="J177" i="43"/>
  <c r="M177" i="43" s="1"/>
  <c r="J176" i="43"/>
  <c r="M176" i="43" s="1"/>
  <c r="J175" i="43"/>
  <c r="M175" i="43" s="1"/>
  <c r="J174" i="43"/>
  <c r="M174" i="43" s="1"/>
  <c r="J173" i="43"/>
  <c r="M173" i="43" s="1"/>
  <c r="J172" i="43"/>
  <c r="M172" i="43" s="1"/>
  <c r="J171" i="43"/>
  <c r="M171" i="43" s="1"/>
  <c r="J170" i="43"/>
  <c r="M170" i="43" s="1"/>
  <c r="J169" i="43"/>
  <c r="M169" i="43" s="1"/>
  <c r="J168" i="43"/>
  <c r="M168" i="43" s="1"/>
  <c r="J167" i="43"/>
  <c r="M167" i="43" s="1"/>
  <c r="J166" i="43"/>
  <c r="M166" i="43" s="1"/>
  <c r="J165" i="43"/>
  <c r="M165" i="43" s="1"/>
  <c r="J164" i="43"/>
  <c r="M164" i="43" s="1"/>
  <c r="J163" i="43"/>
  <c r="M163" i="43" s="1"/>
  <c r="J162" i="43"/>
  <c r="M162" i="43" s="1"/>
  <c r="J161" i="43"/>
  <c r="M161" i="43" s="1"/>
  <c r="J160" i="43"/>
  <c r="M160" i="43" s="1"/>
  <c r="J159" i="43"/>
  <c r="M159" i="43" s="1"/>
  <c r="J158" i="43"/>
  <c r="M158" i="43" s="1"/>
  <c r="J157" i="43"/>
  <c r="M157" i="43" s="1"/>
  <c r="J156" i="43"/>
  <c r="M156" i="43" s="1"/>
  <c r="J155" i="43"/>
  <c r="M155" i="43" s="1"/>
  <c r="J154" i="43"/>
  <c r="M154" i="43" s="1"/>
  <c r="J153" i="43"/>
  <c r="M153" i="43" s="1"/>
  <c r="J152" i="43"/>
  <c r="M152" i="43" s="1"/>
  <c r="J151" i="43"/>
  <c r="M151" i="43" s="1"/>
  <c r="J150" i="43"/>
  <c r="M150" i="43" s="1"/>
  <c r="J149" i="43"/>
  <c r="M149" i="43" s="1"/>
  <c r="J148" i="43"/>
  <c r="M148" i="43" s="1"/>
  <c r="J147" i="43"/>
  <c r="M147" i="43" s="1"/>
  <c r="J146" i="43"/>
  <c r="M146" i="43" s="1"/>
  <c r="J145" i="43"/>
  <c r="M145" i="43" s="1"/>
  <c r="J144" i="43"/>
  <c r="M144" i="43" s="1"/>
  <c r="J143" i="43"/>
  <c r="M143" i="43" s="1"/>
  <c r="J142" i="43"/>
  <c r="M142" i="43" s="1"/>
  <c r="J141" i="43"/>
  <c r="M141" i="43" s="1"/>
  <c r="M140" i="43"/>
  <c r="J140" i="43"/>
  <c r="J139" i="43"/>
  <c r="M139" i="43" s="1"/>
  <c r="J138" i="43"/>
  <c r="M138" i="43" s="1"/>
  <c r="J137" i="43"/>
  <c r="M137" i="43" s="1"/>
  <c r="J136" i="43"/>
  <c r="M136" i="43" s="1"/>
  <c r="J135" i="43"/>
  <c r="M135" i="43" s="1"/>
  <c r="J134" i="43"/>
  <c r="M134" i="43" s="1"/>
  <c r="J133" i="43"/>
  <c r="M133" i="43" s="1"/>
  <c r="J132" i="43"/>
  <c r="M132" i="43" s="1"/>
  <c r="J131" i="43"/>
  <c r="M131" i="43" s="1"/>
  <c r="J130" i="43"/>
  <c r="M130" i="43" s="1"/>
  <c r="J129" i="43"/>
  <c r="M129" i="43" s="1"/>
  <c r="J128" i="43"/>
  <c r="M128" i="43" s="1"/>
  <c r="J127" i="43"/>
  <c r="M127" i="43" s="1"/>
  <c r="J126" i="43"/>
  <c r="M126" i="43" s="1"/>
  <c r="J125" i="43"/>
  <c r="M125" i="43" s="1"/>
  <c r="J124" i="43"/>
  <c r="M124" i="43" s="1"/>
  <c r="J123" i="43"/>
  <c r="M123" i="43" s="1"/>
  <c r="J122" i="43"/>
  <c r="M122" i="43" s="1"/>
  <c r="J121" i="43"/>
  <c r="M121" i="43" s="1"/>
  <c r="J120" i="43"/>
  <c r="M120" i="43" s="1"/>
  <c r="J119" i="43"/>
  <c r="M119" i="43" s="1"/>
  <c r="J118" i="43"/>
  <c r="M118" i="43" s="1"/>
  <c r="J117" i="43"/>
  <c r="M117" i="43" s="1"/>
  <c r="J116" i="43"/>
  <c r="M116" i="43" s="1"/>
  <c r="J115" i="43"/>
  <c r="M115" i="43" s="1"/>
  <c r="J114" i="43"/>
  <c r="M114" i="43" s="1"/>
  <c r="J113" i="43"/>
  <c r="M113" i="43" s="1"/>
  <c r="J112" i="43"/>
  <c r="M112" i="43" s="1"/>
  <c r="J111" i="43"/>
  <c r="M111" i="43" s="1"/>
  <c r="J110" i="43"/>
  <c r="M110" i="43" s="1"/>
  <c r="J109" i="43"/>
  <c r="M109" i="43" s="1"/>
  <c r="J108" i="43"/>
  <c r="M108" i="43" s="1"/>
  <c r="J107" i="43"/>
  <c r="M107" i="43" s="1"/>
  <c r="J106" i="43"/>
  <c r="M106" i="43" s="1"/>
  <c r="Z105" i="43"/>
  <c r="J105" i="43"/>
  <c r="M105" i="43" s="1"/>
  <c r="X104" i="43"/>
  <c r="Q104" i="43"/>
  <c r="S104" i="43" s="1"/>
  <c r="U104" i="43" s="1"/>
  <c r="J104" i="43"/>
  <c r="M104" i="43" s="1"/>
  <c r="X103" i="43"/>
  <c r="Q103" i="43"/>
  <c r="S103" i="43" s="1"/>
  <c r="U103" i="43" s="1"/>
  <c r="J103" i="43"/>
  <c r="M103" i="43" s="1"/>
  <c r="X102" i="43"/>
  <c r="Q102" i="43"/>
  <c r="S102" i="43" s="1"/>
  <c r="U102" i="43" s="1"/>
  <c r="J102" i="43"/>
  <c r="M102" i="43" s="1"/>
  <c r="X101" i="43"/>
  <c r="Q101" i="43"/>
  <c r="S101" i="43" s="1"/>
  <c r="U101" i="43" s="1"/>
  <c r="J101" i="43"/>
  <c r="M101" i="43" s="1"/>
  <c r="X100" i="43"/>
  <c r="Q100" i="43"/>
  <c r="S100" i="43" s="1"/>
  <c r="U100" i="43" s="1"/>
  <c r="J100" i="43"/>
  <c r="M100" i="43" s="1"/>
  <c r="X99" i="43"/>
  <c r="Q99" i="43"/>
  <c r="S99" i="43" s="1"/>
  <c r="U99" i="43" s="1"/>
  <c r="J99" i="43"/>
  <c r="M99" i="43" s="1"/>
  <c r="X98" i="43"/>
  <c r="Q98" i="43"/>
  <c r="S98" i="43" s="1"/>
  <c r="U98" i="43" s="1"/>
  <c r="J98" i="43"/>
  <c r="M98" i="43" s="1"/>
  <c r="X97" i="43"/>
  <c r="Q97" i="43"/>
  <c r="S97" i="43" s="1"/>
  <c r="U97" i="43" s="1"/>
  <c r="J97" i="43"/>
  <c r="M97" i="43" s="1"/>
  <c r="X96" i="43"/>
  <c r="S96" i="43"/>
  <c r="U96" i="43" s="1"/>
  <c r="Q96" i="43"/>
  <c r="J96" i="43"/>
  <c r="M96" i="43" s="1"/>
  <c r="X95" i="43"/>
  <c r="Q95" i="43"/>
  <c r="S95" i="43" s="1"/>
  <c r="U95" i="43" s="1"/>
  <c r="J95" i="43"/>
  <c r="M95" i="43" s="1"/>
  <c r="X94" i="43"/>
  <c r="Q94" i="43"/>
  <c r="S94" i="43" s="1"/>
  <c r="U94" i="43" s="1"/>
  <c r="J94" i="43"/>
  <c r="M94" i="43" s="1"/>
  <c r="X93" i="43"/>
  <c r="Q93" i="43"/>
  <c r="S93" i="43" s="1"/>
  <c r="U93" i="43" s="1"/>
  <c r="J93" i="43"/>
  <c r="M93" i="43" s="1"/>
  <c r="X92" i="43"/>
  <c r="S92" i="43"/>
  <c r="U92" i="43" s="1"/>
  <c r="Q92" i="43"/>
  <c r="J92" i="43"/>
  <c r="M92" i="43" s="1"/>
  <c r="X91" i="43"/>
  <c r="Q91" i="43"/>
  <c r="S91" i="43" s="1"/>
  <c r="U91" i="43" s="1"/>
  <c r="J91" i="43"/>
  <c r="M91" i="43" s="1"/>
  <c r="X90" i="43"/>
  <c r="S90" i="43"/>
  <c r="U90" i="43" s="1"/>
  <c r="Q90" i="43"/>
  <c r="J90" i="43"/>
  <c r="M90" i="43" s="1"/>
  <c r="X89" i="43"/>
  <c r="Q89" i="43"/>
  <c r="S89" i="43" s="1"/>
  <c r="U89" i="43" s="1"/>
  <c r="J89" i="43"/>
  <c r="M89" i="43" s="1"/>
  <c r="X88" i="43"/>
  <c r="S88" i="43"/>
  <c r="U88" i="43" s="1"/>
  <c r="Q88" i="43"/>
  <c r="J88" i="43"/>
  <c r="M88" i="43" s="1"/>
  <c r="X87" i="43"/>
  <c r="Q87" i="43"/>
  <c r="S87" i="43" s="1"/>
  <c r="U87" i="43" s="1"/>
  <c r="J87" i="43"/>
  <c r="M87" i="43" s="1"/>
  <c r="X86" i="43"/>
  <c r="Q86" i="43"/>
  <c r="S86" i="43" s="1"/>
  <c r="U86" i="43" s="1"/>
  <c r="J86" i="43"/>
  <c r="M86" i="43" s="1"/>
  <c r="X85" i="43"/>
  <c r="Q85" i="43"/>
  <c r="S85" i="43" s="1"/>
  <c r="U85" i="43" s="1"/>
  <c r="J85" i="43"/>
  <c r="M85" i="43" s="1"/>
  <c r="X84" i="43"/>
  <c r="S84" i="43"/>
  <c r="U84" i="43" s="1"/>
  <c r="Q84" i="43"/>
  <c r="J84" i="43"/>
  <c r="M84" i="43" s="1"/>
  <c r="X83" i="43"/>
  <c r="U83" i="43"/>
  <c r="S83" i="43"/>
  <c r="Q83" i="43"/>
  <c r="J83" i="43"/>
  <c r="M83" i="43" s="1"/>
  <c r="X82" i="43"/>
  <c r="Q82" i="43"/>
  <c r="S82" i="43" s="1"/>
  <c r="U82" i="43" s="1"/>
  <c r="J82" i="43"/>
  <c r="M82" i="43" s="1"/>
  <c r="X81" i="43"/>
  <c r="Q81" i="43"/>
  <c r="S81" i="43" s="1"/>
  <c r="U81" i="43" s="1"/>
  <c r="J81" i="43"/>
  <c r="M81" i="43" s="1"/>
  <c r="X80" i="43"/>
  <c r="Q80" i="43"/>
  <c r="S80" i="43" s="1"/>
  <c r="U80" i="43" s="1"/>
  <c r="J80" i="43"/>
  <c r="M80" i="43" s="1"/>
  <c r="X79" i="43"/>
  <c r="Q79" i="43"/>
  <c r="S79" i="43" s="1"/>
  <c r="U79" i="43" s="1"/>
  <c r="J79" i="43"/>
  <c r="M79" i="43" s="1"/>
  <c r="X78" i="43"/>
  <c r="Q78" i="43"/>
  <c r="S78" i="43" s="1"/>
  <c r="U78" i="43" s="1"/>
  <c r="J78" i="43"/>
  <c r="M78" i="43" s="1"/>
  <c r="X77" i="43"/>
  <c r="Q77" i="43"/>
  <c r="S77" i="43" s="1"/>
  <c r="U77" i="43" s="1"/>
  <c r="J77" i="43"/>
  <c r="M77" i="43" s="1"/>
  <c r="X76" i="43"/>
  <c r="Q76" i="43"/>
  <c r="S76" i="43" s="1"/>
  <c r="U76" i="43" s="1"/>
  <c r="J76" i="43"/>
  <c r="M76" i="43" s="1"/>
  <c r="X75" i="43"/>
  <c r="Q75" i="43"/>
  <c r="S75" i="43" s="1"/>
  <c r="U75" i="43" s="1"/>
  <c r="J75" i="43"/>
  <c r="M75" i="43" s="1"/>
  <c r="X74" i="43"/>
  <c r="Q74" i="43"/>
  <c r="S74" i="43" s="1"/>
  <c r="U74" i="43" s="1"/>
  <c r="J74" i="43"/>
  <c r="M74" i="43" s="1"/>
  <c r="X73" i="43"/>
  <c r="Q73" i="43"/>
  <c r="S73" i="43" s="1"/>
  <c r="U73" i="43" s="1"/>
  <c r="J73" i="43"/>
  <c r="M73" i="43" s="1"/>
  <c r="X72" i="43"/>
  <c r="Q72" i="43"/>
  <c r="S72" i="43" s="1"/>
  <c r="U72" i="43" s="1"/>
  <c r="J72" i="43"/>
  <c r="M72" i="43" s="1"/>
  <c r="X71" i="43"/>
  <c r="U71" i="43"/>
  <c r="S71" i="43"/>
  <c r="Q71" i="43"/>
  <c r="J71" i="43"/>
  <c r="M71" i="43" s="1"/>
  <c r="X70" i="43"/>
  <c r="Q70" i="43"/>
  <c r="S70" i="43" s="1"/>
  <c r="U70" i="43" s="1"/>
  <c r="J70" i="43"/>
  <c r="M70" i="43" s="1"/>
  <c r="X69" i="43"/>
  <c r="Q69" i="43"/>
  <c r="S69" i="43" s="1"/>
  <c r="U69" i="43" s="1"/>
  <c r="J69" i="43"/>
  <c r="M69" i="43" s="1"/>
  <c r="X68" i="43"/>
  <c r="Q68" i="43"/>
  <c r="S68" i="43" s="1"/>
  <c r="U68" i="43" s="1"/>
  <c r="J68" i="43"/>
  <c r="M68" i="43" s="1"/>
  <c r="X67" i="43"/>
  <c r="Q67" i="43"/>
  <c r="S67" i="43" s="1"/>
  <c r="U67" i="43" s="1"/>
  <c r="J67" i="43"/>
  <c r="M67" i="43" s="1"/>
  <c r="X66" i="43"/>
  <c r="Q66" i="43"/>
  <c r="S66" i="43" s="1"/>
  <c r="U66" i="43" s="1"/>
  <c r="J66" i="43"/>
  <c r="M66" i="43" s="1"/>
  <c r="X65" i="43"/>
  <c r="Q65" i="43"/>
  <c r="S65" i="43" s="1"/>
  <c r="U65" i="43" s="1"/>
  <c r="J65" i="43"/>
  <c r="M65" i="43" s="1"/>
  <c r="X64" i="43"/>
  <c r="S64" i="43"/>
  <c r="U64" i="43" s="1"/>
  <c r="Q64" i="43"/>
  <c r="J64" i="43"/>
  <c r="M64" i="43" s="1"/>
  <c r="X63" i="43"/>
  <c r="Q63" i="43"/>
  <c r="S63" i="43" s="1"/>
  <c r="U63" i="43" s="1"/>
  <c r="J63" i="43"/>
  <c r="M63" i="43" s="1"/>
  <c r="X62" i="43"/>
  <c r="Q62" i="43"/>
  <c r="S62" i="43" s="1"/>
  <c r="U62" i="43" s="1"/>
  <c r="J62" i="43"/>
  <c r="M62" i="43" s="1"/>
  <c r="X61" i="43"/>
  <c r="Q61" i="43"/>
  <c r="S61" i="43" s="1"/>
  <c r="U61" i="43" s="1"/>
  <c r="M61" i="43"/>
  <c r="J61" i="43"/>
  <c r="X60" i="43"/>
  <c r="Q60" i="43"/>
  <c r="S60" i="43" s="1"/>
  <c r="U60" i="43" s="1"/>
  <c r="J60" i="43"/>
  <c r="M60" i="43" s="1"/>
  <c r="X59" i="43"/>
  <c r="S59" i="43"/>
  <c r="U59" i="43" s="1"/>
  <c r="Q59" i="43"/>
  <c r="J59" i="43"/>
  <c r="M59" i="43" s="1"/>
  <c r="X58" i="43"/>
  <c r="Q58" i="43"/>
  <c r="S58" i="43" s="1"/>
  <c r="U58" i="43" s="1"/>
  <c r="J58" i="43"/>
  <c r="M58" i="43" s="1"/>
  <c r="X57" i="43"/>
  <c r="Q57" i="43"/>
  <c r="S57" i="43" s="1"/>
  <c r="U57" i="43" s="1"/>
  <c r="M57" i="43"/>
  <c r="J57" i="43"/>
  <c r="X56" i="43"/>
  <c r="Q56" i="43"/>
  <c r="S56" i="43" s="1"/>
  <c r="U56" i="43" s="1"/>
  <c r="J56" i="43"/>
  <c r="M56" i="43" s="1"/>
  <c r="X55" i="43"/>
  <c r="S55" i="43"/>
  <c r="U55" i="43" s="1"/>
  <c r="Q55" i="43"/>
  <c r="J55" i="43"/>
  <c r="M55" i="43" s="1"/>
  <c r="X54" i="43"/>
  <c r="Q54" i="43"/>
  <c r="S54" i="43" s="1"/>
  <c r="U54" i="43" s="1"/>
  <c r="J54" i="43"/>
  <c r="M54" i="43" s="1"/>
  <c r="X53" i="43"/>
  <c r="Q53" i="43"/>
  <c r="S53" i="43" s="1"/>
  <c r="U53" i="43" s="1"/>
  <c r="J53" i="43"/>
  <c r="M53" i="43" s="1"/>
  <c r="X52" i="43"/>
  <c r="Q52" i="43"/>
  <c r="S52" i="43" s="1"/>
  <c r="U52" i="43" s="1"/>
  <c r="J52" i="43"/>
  <c r="M52" i="43" s="1"/>
  <c r="X51" i="43"/>
  <c r="Q51" i="43"/>
  <c r="S51" i="43" s="1"/>
  <c r="U51" i="43" s="1"/>
  <c r="J51" i="43"/>
  <c r="M51" i="43" s="1"/>
  <c r="X50" i="43"/>
  <c r="Q50" i="43"/>
  <c r="S50" i="43" s="1"/>
  <c r="U50" i="43" s="1"/>
  <c r="J50" i="43"/>
  <c r="M50" i="43" s="1"/>
  <c r="X49" i="43"/>
  <c r="Q49" i="43"/>
  <c r="S49" i="43" s="1"/>
  <c r="U49" i="43" s="1"/>
  <c r="J49" i="43"/>
  <c r="M49" i="43" s="1"/>
  <c r="X48" i="43"/>
  <c r="Q48" i="43"/>
  <c r="S48" i="43" s="1"/>
  <c r="U48" i="43" s="1"/>
  <c r="J48" i="43"/>
  <c r="M48" i="43" s="1"/>
  <c r="X47" i="43"/>
  <c r="Q47" i="43"/>
  <c r="S47" i="43" s="1"/>
  <c r="U47" i="43" s="1"/>
  <c r="J47" i="43"/>
  <c r="M47" i="43" s="1"/>
  <c r="X46" i="43"/>
  <c r="S46" i="43"/>
  <c r="U46" i="43" s="1"/>
  <c r="Q46" i="43"/>
  <c r="J46" i="43"/>
  <c r="M46" i="43" s="1"/>
  <c r="X45" i="43"/>
  <c r="Q45" i="43"/>
  <c r="S45" i="43" s="1"/>
  <c r="U45" i="43" s="1"/>
  <c r="J45" i="43"/>
  <c r="M45" i="43" s="1"/>
  <c r="X44" i="43"/>
  <c r="Q44" i="43"/>
  <c r="S44" i="43" s="1"/>
  <c r="U44" i="43" s="1"/>
  <c r="J44" i="43"/>
  <c r="M44" i="43" s="1"/>
  <c r="X43" i="43"/>
  <c r="Q43" i="43"/>
  <c r="S43" i="43" s="1"/>
  <c r="U43" i="43" s="1"/>
  <c r="J43" i="43"/>
  <c r="M43" i="43" s="1"/>
  <c r="X42" i="43"/>
  <c r="Q42" i="43"/>
  <c r="S42" i="43" s="1"/>
  <c r="U42" i="43" s="1"/>
  <c r="J42" i="43"/>
  <c r="M42" i="43" s="1"/>
  <c r="X41" i="43"/>
  <c r="Q41" i="43"/>
  <c r="S41" i="43" s="1"/>
  <c r="U41" i="43" s="1"/>
  <c r="J41" i="43"/>
  <c r="M41" i="43" s="1"/>
  <c r="X40" i="43"/>
  <c r="Q40" i="43"/>
  <c r="S40" i="43" s="1"/>
  <c r="U40" i="43" s="1"/>
  <c r="J40" i="43"/>
  <c r="M40" i="43" s="1"/>
  <c r="X39" i="43"/>
  <c r="S39" i="43"/>
  <c r="U39" i="43" s="1"/>
  <c r="Q39" i="43"/>
  <c r="J39" i="43"/>
  <c r="M39" i="43" s="1"/>
  <c r="X38" i="43"/>
  <c r="Q38" i="43"/>
  <c r="S38" i="43" s="1"/>
  <c r="U38" i="43" s="1"/>
  <c r="J38" i="43"/>
  <c r="M38" i="43" s="1"/>
  <c r="X37" i="43"/>
  <c r="Q37" i="43"/>
  <c r="S37" i="43" s="1"/>
  <c r="U37" i="43" s="1"/>
  <c r="J37" i="43"/>
  <c r="M37" i="43" s="1"/>
  <c r="X36" i="43"/>
  <c r="Q36" i="43"/>
  <c r="S36" i="43" s="1"/>
  <c r="U36" i="43" s="1"/>
  <c r="J36" i="43"/>
  <c r="M36" i="43" s="1"/>
  <c r="X35" i="43"/>
  <c r="Q35" i="43"/>
  <c r="S35" i="43" s="1"/>
  <c r="U35" i="43" s="1"/>
  <c r="J35" i="43"/>
  <c r="M35" i="43" s="1"/>
  <c r="X34" i="43"/>
  <c r="Q34" i="43"/>
  <c r="S34" i="43" s="1"/>
  <c r="U34" i="43" s="1"/>
  <c r="J34" i="43"/>
  <c r="M34" i="43" s="1"/>
  <c r="X33" i="43"/>
  <c r="Q33" i="43"/>
  <c r="S33" i="43" s="1"/>
  <c r="U33" i="43" s="1"/>
  <c r="J33" i="43"/>
  <c r="M33" i="43" s="1"/>
  <c r="X32" i="43"/>
  <c r="Q32" i="43"/>
  <c r="S32" i="43" s="1"/>
  <c r="U32" i="43" s="1"/>
  <c r="J32" i="43"/>
  <c r="M32" i="43" s="1"/>
  <c r="X31" i="43"/>
  <c r="Q31" i="43"/>
  <c r="S31" i="43" s="1"/>
  <c r="U31" i="43" s="1"/>
  <c r="J31" i="43"/>
  <c r="M31" i="43" s="1"/>
  <c r="X30" i="43"/>
  <c r="Q30" i="43"/>
  <c r="S30" i="43" s="1"/>
  <c r="U30" i="43" s="1"/>
  <c r="J30" i="43"/>
  <c r="M30" i="43" s="1"/>
  <c r="X29" i="43"/>
  <c r="Q29" i="43"/>
  <c r="S29" i="43" s="1"/>
  <c r="U29" i="43" s="1"/>
  <c r="J29" i="43"/>
  <c r="M29" i="43" s="1"/>
  <c r="X28" i="43"/>
  <c r="Q28" i="43"/>
  <c r="S28" i="43" s="1"/>
  <c r="U28" i="43" s="1"/>
  <c r="J28" i="43"/>
  <c r="M28" i="43" s="1"/>
  <c r="X27" i="43"/>
  <c r="Q27" i="43"/>
  <c r="S27" i="43" s="1"/>
  <c r="U27" i="43" s="1"/>
  <c r="J27" i="43"/>
  <c r="M27" i="43" s="1"/>
  <c r="X26" i="43"/>
  <c r="Q26" i="43"/>
  <c r="S26" i="43" s="1"/>
  <c r="U26" i="43" s="1"/>
  <c r="J26" i="43"/>
  <c r="M26" i="43" s="1"/>
  <c r="X25" i="43"/>
  <c r="Q25" i="43"/>
  <c r="S25" i="43" s="1"/>
  <c r="U25" i="43" s="1"/>
  <c r="J25" i="43"/>
  <c r="M25" i="43" s="1"/>
  <c r="X24" i="43"/>
  <c r="S24" i="43"/>
  <c r="U24" i="43" s="1"/>
  <c r="Q24" i="43"/>
  <c r="J24" i="43"/>
  <c r="M24" i="43" s="1"/>
  <c r="X23" i="43"/>
  <c r="Q23" i="43"/>
  <c r="S23" i="43" s="1"/>
  <c r="U23" i="43" s="1"/>
  <c r="J23" i="43"/>
  <c r="M23" i="43" s="1"/>
  <c r="X22" i="43"/>
  <c r="Q22" i="43"/>
  <c r="S22" i="43" s="1"/>
  <c r="U22" i="43" s="1"/>
  <c r="J22" i="43"/>
  <c r="M22" i="43" s="1"/>
  <c r="X21" i="43"/>
  <c r="S21" i="43"/>
  <c r="U21" i="43" s="1"/>
  <c r="Q21" i="43"/>
  <c r="J21" i="43"/>
  <c r="M21" i="43" s="1"/>
  <c r="X20" i="43"/>
  <c r="Q20" i="43"/>
  <c r="S20" i="43" s="1"/>
  <c r="U20" i="43" s="1"/>
  <c r="J20" i="43"/>
  <c r="M20" i="43" s="1"/>
  <c r="X19" i="43"/>
  <c r="Q19" i="43"/>
  <c r="S19" i="43" s="1"/>
  <c r="U19" i="43" s="1"/>
  <c r="J19" i="43"/>
  <c r="M19" i="43" s="1"/>
  <c r="X18" i="43"/>
  <c r="Q18" i="43"/>
  <c r="S18" i="43" s="1"/>
  <c r="U18" i="43" s="1"/>
  <c r="J18" i="43"/>
  <c r="M18" i="43" s="1"/>
  <c r="X17" i="43"/>
  <c r="Q17" i="43"/>
  <c r="S17" i="43" s="1"/>
  <c r="U17" i="43" s="1"/>
  <c r="J17" i="43"/>
  <c r="M17" i="43" s="1"/>
  <c r="X16" i="43"/>
  <c r="Q16" i="43"/>
  <c r="S16" i="43" s="1"/>
  <c r="U16" i="43" s="1"/>
  <c r="J16" i="43"/>
  <c r="M16" i="43" s="1"/>
  <c r="X15" i="43"/>
  <c r="Q15" i="43"/>
  <c r="S15" i="43" s="1"/>
  <c r="U15" i="43" s="1"/>
  <c r="J15" i="43"/>
  <c r="M15" i="43" s="1"/>
  <c r="X14" i="43"/>
  <c r="Q14" i="43"/>
  <c r="S14" i="43" s="1"/>
  <c r="U14" i="43" s="1"/>
  <c r="J14" i="43"/>
  <c r="M14" i="43" s="1"/>
  <c r="X13" i="43"/>
  <c r="Q13" i="43"/>
  <c r="S13" i="43" s="1"/>
  <c r="U13" i="43" s="1"/>
  <c r="J13" i="43"/>
  <c r="M13" i="43" s="1"/>
  <c r="X12" i="43"/>
  <c r="Q12" i="43"/>
  <c r="S12" i="43" s="1"/>
  <c r="U12" i="43" s="1"/>
  <c r="J12" i="43"/>
  <c r="M12" i="43" s="1"/>
  <c r="X11" i="43"/>
  <c r="Q11" i="43"/>
  <c r="S11" i="43" s="1"/>
  <c r="U11" i="43" s="1"/>
  <c r="J11" i="43"/>
  <c r="M11" i="43" s="1"/>
  <c r="X10" i="43"/>
  <c r="Q10" i="43"/>
  <c r="S10" i="43" s="1"/>
  <c r="U10" i="43" s="1"/>
  <c r="J10" i="43"/>
  <c r="M10" i="43" s="1"/>
  <c r="X9" i="43"/>
  <c r="Q9" i="43"/>
  <c r="S9" i="43" s="1"/>
  <c r="U9" i="43" s="1"/>
  <c r="J9" i="43"/>
  <c r="M9" i="43" s="1"/>
  <c r="X8" i="43"/>
  <c r="Q8" i="43"/>
  <c r="S8" i="43" s="1"/>
  <c r="U8" i="43" s="1"/>
  <c r="J8" i="43"/>
  <c r="M8" i="43" s="1"/>
  <c r="X7" i="43"/>
  <c r="Q7" i="43"/>
  <c r="S7" i="43" s="1"/>
  <c r="U7" i="43" s="1"/>
  <c r="J7" i="43"/>
  <c r="M7" i="43" s="1"/>
  <c r="X6" i="43"/>
  <c r="Q6" i="43"/>
  <c r="S6" i="43" s="1"/>
  <c r="U6" i="43" s="1"/>
  <c r="J6" i="43"/>
  <c r="M6" i="43" s="1"/>
  <c r="X5" i="43"/>
  <c r="S5" i="43"/>
  <c r="U5" i="43" s="1"/>
  <c r="Q5" i="43"/>
  <c r="J5" i="43"/>
  <c r="K213" i="42"/>
  <c r="N13" i="15" s="1"/>
  <c r="K210" i="42"/>
  <c r="J204" i="42"/>
  <c r="M204" i="42" s="1"/>
  <c r="J203" i="42"/>
  <c r="M203" i="42" s="1"/>
  <c r="J202" i="42"/>
  <c r="M202" i="42" s="1"/>
  <c r="J201" i="42"/>
  <c r="M201" i="42" s="1"/>
  <c r="J200" i="42"/>
  <c r="M200" i="42" s="1"/>
  <c r="J199" i="42"/>
  <c r="M199" i="42" s="1"/>
  <c r="J198" i="42"/>
  <c r="M198" i="42" s="1"/>
  <c r="J197" i="42"/>
  <c r="M197" i="42" s="1"/>
  <c r="J196" i="42"/>
  <c r="M196" i="42" s="1"/>
  <c r="J195" i="42"/>
  <c r="M195" i="42" s="1"/>
  <c r="J194" i="42"/>
  <c r="M194" i="42" s="1"/>
  <c r="J193" i="42"/>
  <c r="M193" i="42" s="1"/>
  <c r="J192" i="42"/>
  <c r="M192" i="42" s="1"/>
  <c r="J191" i="42"/>
  <c r="M191" i="42" s="1"/>
  <c r="J190" i="42"/>
  <c r="M190" i="42" s="1"/>
  <c r="J189" i="42"/>
  <c r="M189" i="42" s="1"/>
  <c r="J188" i="42"/>
  <c r="M188" i="42" s="1"/>
  <c r="J187" i="42"/>
  <c r="M187" i="42" s="1"/>
  <c r="J186" i="42"/>
  <c r="M186" i="42" s="1"/>
  <c r="J185" i="42"/>
  <c r="M185" i="42" s="1"/>
  <c r="J184" i="42"/>
  <c r="M184" i="42" s="1"/>
  <c r="J183" i="42"/>
  <c r="M183" i="42" s="1"/>
  <c r="J182" i="42"/>
  <c r="M182" i="42" s="1"/>
  <c r="J181" i="42"/>
  <c r="M181" i="42" s="1"/>
  <c r="J180" i="42"/>
  <c r="M180" i="42" s="1"/>
  <c r="J179" i="42"/>
  <c r="M179" i="42" s="1"/>
  <c r="J178" i="42"/>
  <c r="M178" i="42" s="1"/>
  <c r="J177" i="42"/>
  <c r="M177" i="42" s="1"/>
  <c r="J176" i="42"/>
  <c r="M176" i="42" s="1"/>
  <c r="J175" i="42"/>
  <c r="M175" i="42" s="1"/>
  <c r="J174" i="42"/>
  <c r="M174" i="42" s="1"/>
  <c r="J173" i="42"/>
  <c r="M173" i="42" s="1"/>
  <c r="J172" i="42"/>
  <c r="M172" i="42" s="1"/>
  <c r="J171" i="42"/>
  <c r="M171" i="42" s="1"/>
  <c r="J170" i="42"/>
  <c r="M170" i="42" s="1"/>
  <c r="J169" i="42"/>
  <c r="M169" i="42" s="1"/>
  <c r="J168" i="42"/>
  <c r="M168" i="42" s="1"/>
  <c r="J167" i="42"/>
  <c r="M167" i="42" s="1"/>
  <c r="J166" i="42"/>
  <c r="M166" i="42" s="1"/>
  <c r="J165" i="42"/>
  <c r="M165" i="42" s="1"/>
  <c r="J164" i="42"/>
  <c r="M164" i="42" s="1"/>
  <c r="J163" i="42"/>
  <c r="M163" i="42" s="1"/>
  <c r="J162" i="42"/>
  <c r="M162" i="42" s="1"/>
  <c r="J161" i="42"/>
  <c r="M161" i="42" s="1"/>
  <c r="J160" i="42"/>
  <c r="M160" i="42" s="1"/>
  <c r="J159" i="42"/>
  <c r="M159" i="42" s="1"/>
  <c r="J158" i="42"/>
  <c r="M158" i="42" s="1"/>
  <c r="M157" i="42"/>
  <c r="J157" i="42"/>
  <c r="J156" i="42"/>
  <c r="M156" i="42" s="1"/>
  <c r="J155" i="42"/>
  <c r="M155" i="42" s="1"/>
  <c r="J154" i="42"/>
  <c r="M154" i="42" s="1"/>
  <c r="J153" i="42"/>
  <c r="M153" i="42" s="1"/>
  <c r="M152" i="42"/>
  <c r="J152" i="42"/>
  <c r="J151" i="42"/>
  <c r="M151" i="42" s="1"/>
  <c r="J150" i="42"/>
  <c r="M150" i="42" s="1"/>
  <c r="J149" i="42"/>
  <c r="M149" i="42" s="1"/>
  <c r="J148" i="42"/>
  <c r="M148" i="42" s="1"/>
  <c r="J147" i="42"/>
  <c r="M147" i="42" s="1"/>
  <c r="J146" i="42"/>
  <c r="M146" i="42" s="1"/>
  <c r="J145" i="42"/>
  <c r="M145" i="42" s="1"/>
  <c r="J144" i="42"/>
  <c r="M144" i="42" s="1"/>
  <c r="J143" i="42"/>
  <c r="M143" i="42" s="1"/>
  <c r="J142" i="42"/>
  <c r="M142" i="42" s="1"/>
  <c r="J141" i="42"/>
  <c r="M141" i="42" s="1"/>
  <c r="J140" i="42"/>
  <c r="M140" i="42" s="1"/>
  <c r="J139" i="42"/>
  <c r="M139" i="42" s="1"/>
  <c r="J138" i="42"/>
  <c r="M138" i="42" s="1"/>
  <c r="J137" i="42"/>
  <c r="M137" i="42" s="1"/>
  <c r="J136" i="42"/>
  <c r="M136" i="42" s="1"/>
  <c r="J135" i="42"/>
  <c r="M135" i="42" s="1"/>
  <c r="J134" i="42"/>
  <c r="M134" i="42" s="1"/>
  <c r="J133" i="42"/>
  <c r="M133" i="42" s="1"/>
  <c r="J132" i="42"/>
  <c r="M132" i="42" s="1"/>
  <c r="J131" i="42"/>
  <c r="M131" i="42" s="1"/>
  <c r="J130" i="42"/>
  <c r="M130" i="42" s="1"/>
  <c r="J129" i="42"/>
  <c r="M129" i="42" s="1"/>
  <c r="J128" i="42"/>
  <c r="M128" i="42" s="1"/>
  <c r="J127" i="42"/>
  <c r="M127" i="42" s="1"/>
  <c r="J126" i="42"/>
  <c r="M126" i="42" s="1"/>
  <c r="J125" i="42"/>
  <c r="M125" i="42" s="1"/>
  <c r="J124" i="42"/>
  <c r="M124" i="42" s="1"/>
  <c r="J123" i="42"/>
  <c r="M123" i="42" s="1"/>
  <c r="J122" i="42"/>
  <c r="M122" i="42" s="1"/>
  <c r="J121" i="42"/>
  <c r="M121" i="42" s="1"/>
  <c r="J120" i="42"/>
  <c r="M120" i="42" s="1"/>
  <c r="J119" i="42"/>
  <c r="M119" i="42" s="1"/>
  <c r="J118" i="42"/>
  <c r="M118" i="42" s="1"/>
  <c r="J117" i="42"/>
  <c r="M117" i="42" s="1"/>
  <c r="J116" i="42"/>
  <c r="M116" i="42" s="1"/>
  <c r="J115" i="42"/>
  <c r="M115" i="42" s="1"/>
  <c r="J114" i="42"/>
  <c r="M114" i="42" s="1"/>
  <c r="J113" i="42"/>
  <c r="M113" i="42" s="1"/>
  <c r="J112" i="42"/>
  <c r="M112" i="42" s="1"/>
  <c r="J111" i="42"/>
  <c r="M111" i="42" s="1"/>
  <c r="J110" i="42"/>
  <c r="M110" i="42" s="1"/>
  <c r="J109" i="42"/>
  <c r="M109" i="42" s="1"/>
  <c r="J108" i="42"/>
  <c r="M108" i="42" s="1"/>
  <c r="J107" i="42"/>
  <c r="M107" i="42" s="1"/>
  <c r="J106" i="42"/>
  <c r="M106" i="42" s="1"/>
  <c r="Z105" i="42"/>
  <c r="J105" i="42"/>
  <c r="M105" i="42" s="1"/>
  <c r="X104" i="42"/>
  <c r="Q104" i="42"/>
  <c r="S104" i="42" s="1"/>
  <c r="U104" i="42" s="1"/>
  <c r="J104" i="42"/>
  <c r="M104" i="42" s="1"/>
  <c r="X103" i="42"/>
  <c r="Q103" i="42"/>
  <c r="S103" i="42" s="1"/>
  <c r="U103" i="42" s="1"/>
  <c r="J103" i="42"/>
  <c r="M103" i="42" s="1"/>
  <c r="X102" i="42"/>
  <c r="Q102" i="42"/>
  <c r="S102" i="42" s="1"/>
  <c r="U102" i="42" s="1"/>
  <c r="J102" i="42"/>
  <c r="M102" i="42" s="1"/>
  <c r="X101" i="42"/>
  <c r="Q101" i="42"/>
  <c r="S101" i="42" s="1"/>
  <c r="U101" i="42" s="1"/>
  <c r="J101" i="42"/>
  <c r="M101" i="42" s="1"/>
  <c r="X100" i="42"/>
  <c r="Q100" i="42"/>
  <c r="S100" i="42" s="1"/>
  <c r="U100" i="42" s="1"/>
  <c r="J100" i="42"/>
  <c r="M100" i="42" s="1"/>
  <c r="X99" i="42"/>
  <c r="Q99" i="42"/>
  <c r="S99" i="42" s="1"/>
  <c r="U99" i="42" s="1"/>
  <c r="J99" i="42"/>
  <c r="M99" i="42" s="1"/>
  <c r="X98" i="42"/>
  <c r="Q98" i="42"/>
  <c r="S98" i="42" s="1"/>
  <c r="U98" i="42" s="1"/>
  <c r="J98" i="42"/>
  <c r="M98" i="42" s="1"/>
  <c r="X97" i="42"/>
  <c r="Q97" i="42"/>
  <c r="S97" i="42" s="1"/>
  <c r="U97" i="42" s="1"/>
  <c r="J97" i="42"/>
  <c r="M97" i="42" s="1"/>
  <c r="X96" i="42"/>
  <c r="Q96" i="42"/>
  <c r="S96" i="42" s="1"/>
  <c r="U96" i="42" s="1"/>
  <c r="J96" i="42"/>
  <c r="M96" i="42" s="1"/>
  <c r="X95" i="42"/>
  <c r="Q95" i="42"/>
  <c r="S95" i="42" s="1"/>
  <c r="U95" i="42" s="1"/>
  <c r="J95" i="42"/>
  <c r="M95" i="42" s="1"/>
  <c r="X94" i="42"/>
  <c r="Q94" i="42"/>
  <c r="S94" i="42" s="1"/>
  <c r="U94" i="42" s="1"/>
  <c r="J94" i="42"/>
  <c r="M94" i="42" s="1"/>
  <c r="X93" i="42"/>
  <c r="S93" i="42"/>
  <c r="U93" i="42" s="1"/>
  <c r="Q93" i="42"/>
  <c r="J93" i="42"/>
  <c r="M93" i="42" s="1"/>
  <c r="X92" i="42"/>
  <c r="Q92" i="42"/>
  <c r="S92" i="42" s="1"/>
  <c r="U92" i="42" s="1"/>
  <c r="J92" i="42"/>
  <c r="M92" i="42" s="1"/>
  <c r="X91" i="42"/>
  <c r="Q91" i="42"/>
  <c r="S91" i="42" s="1"/>
  <c r="U91" i="42" s="1"/>
  <c r="J91" i="42"/>
  <c r="M91" i="42" s="1"/>
  <c r="X90" i="42"/>
  <c r="Q90" i="42"/>
  <c r="S90" i="42" s="1"/>
  <c r="U90" i="42" s="1"/>
  <c r="J90" i="42"/>
  <c r="M90" i="42" s="1"/>
  <c r="X89" i="42"/>
  <c r="Q89" i="42"/>
  <c r="S89" i="42" s="1"/>
  <c r="U89" i="42" s="1"/>
  <c r="J89" i="42"/>
  <c r="M89" i="42" s="1"/>
  <c r="X88" i="42"/>
  <c r="Q88" i="42"/>
  <c r="S88" i="42" s="1"/>
  <c r="U88" i="42" s="1"/>
  <c r="J88" i="42"/>
  <c r="M88" i="42" s="1"/>
  <c r="X87" i="42"/>
  <c r="Q87" i="42"/>
  <c r="S87" i="42" s="1"/>
  <c r="U87" i="42" s="1"/>
  <c r="J87" i="42"/>
  <c r="M87" i="42" s="1"/>
  <c r="X86" i="42"/>
  <c r="Q86" i="42"/>
  <c r="S86" i="42" s="1"/>
  <c r="U86" i="42" s="1"/>
  <c r="J86" i="42"/>
  <c r="M86" i="42" s="1"/>
  <c r="X85" i="42"/>
  <c r="Q85" i="42"/>
  <c r="S85" i="42" s="1"/>
  <c r="U85" i="42" s="1"/>
  <c r="J85" i="42"/>
  <c r="M85" i="42" s="1"/>
  <c r="X84" i="42"/>
  <c r="Q84" i="42"/>
  <c r="S84" i="42" s="1"/>
  <c r="U84" i="42" s="1"/>
  <c r="J84" i="42"/>
  <c r="M84" i="42" s="1"/>
  <c r="X83" i="42"/>
  <c r="Q83" i="42"/>
  <c r="S83" i="42" s="1"/>
  <c r="U83" i="42" s="1"/>
  <c r="J83" i="42"/>
  <c r="M83" i="42" s="1"/>
  <c r="X82" i="42"/>
  <c r="Q82" i="42"/>
  <c r="S82" i="42" s="1"/>
  <c r="U82" i="42" s="1"/>
  <c r="J82" i="42"/>
  <c r="M82" i="42" s="1"/>
  <c r="X81" i="42"/>
  <c r="Q81" i="42"/>
  <c r="S81" i="42" s="1"/>
  <c r="U81" i="42" s="1"/>
  <c r="J81" i="42"/>
  <c r="M81" i="42" s="1"/>
  <c r="X80" i="42"/>
  <c r="S80" i="42"/>
  <c r="U80" i="42" s="1"/>
  <c r="Q80" i="42"/>
  <c r="J80" i="42"/>
  <c r="M80" i="42" s="1"/>
  <c r="X79" i="42"/>
  <c r="Q79" i="42"/>
  <c r="S79" i="42" s="1"/>
  <c r="U79" i="42" s="1"/>
  <c r="J79" i="42"/>
  <c r="M79" i="42" s="1"/>
  <c r="X78" i="42"/>
  <c r="Q78" i="42"/>
  <c r="S78" i="42" s="1"/>
  <c r="U78" i="42" s="1"/>
  <c r="J78" i="42"/>
  <c r="M78" i="42" s="1"/>
  <c r="X77" i="42"/>
  <c r="Q77" i="42"/>
  <c r="S77" i="42" s="1"/>
  <c r="U77" i="42" s="1"/>
  <c r="J77" i="42"/>
  <c r="M77" i="42" s="1"/>
  <c r="X76" i="42"/>
  <c r="Q76" i="42"/>
  <c r="S76" i="42" s="1"/>
  <c r="U76" i="42" s="1"/>
  <c r="J76" i="42"/>
  <c r="M76" i="42" s="1"/>
  <c r="X75" i="42"/>
  <c r="Q75" i="42"/>
  <c r="S75" i="42" s="1"/>
  <c r="U75" i="42" s="1"/>
  <c r="J75" i="42"/>
  <c r="M75" i="42" s="1"/>
  <c r="X74" i="42"/>
  <c r="Q74" i="42"/>
  <c r="S74" i="42" s="1"/>
  <c r="U74" i="42" s="1"/>
  <c r="J74" i="42"/>
  <c r="M74" i="42" s="1"/>
  <c r="X73" i="42"/>
  <c r="Q73" i="42"/>
  <c r="S73" i="42" s="1"/>
  <c r="U73" i="42" s="1"/>
  <c r="J73" i="42"/>
  <c r="M73" i="42" s="1"/>
  <c r="X72" i="42"/>
  <c r="Q72" i="42"/>
  <c r="S72" i="42" s="1"/>
  <c r="U72" i="42" s="1"/>
  <c r="J72" i="42"/>
  <c r="M72" i="42" s="1"/>
  <c r="X71" i="42"/>
  <c r="Q71" i="42"/>
  <c r="S71" i="42" s="1"/>
  <c r="U71" i="42" s="1"/>
  <c r="J71" i="42"/>
  <c r="M71" i="42" s="1"/>
  <c r="X70" i="42"/>
  <c r="Q70" i="42"/>
  <c r="S70" i="42" s="1"/>
  <c r="U70" i="42" s="1"/>
  <c r="J70" i="42"/>
  <c r="M70" i="42" s="1"/>
  <c r="X69" i="42"/>
  <c r="Q69" i="42"/>
  <c r="S69" i="42" s="1"/>
  <c r="U69" i="42" s="1"/>
  <c r="J69" i="42"/>
  <c r="M69" i="42" s="1"/>
  <c r="X68" i="42"/>
  <c r="Q68" i="42"/>
  <c r="S68" i="42" s="1"/>
  <c r="U68" i="42" s="1"/>
  <c r="J68" i="42"/>
  <c r="M68" i="42" s="1"/>
  <c r="X67" i="42"/>
  <c r="Q67" i="42"/>
  <c r="S67" i="42" s="1"/>
  <c r="U67" i="42" s="1"/>
  <c r="J67" i="42"/>
  <c r="M67" i="42" s="1"/>
  <c r="X66" i="42"/>
  <c r="Q66" i="42"/>
  <c r="S66" i="42" s="1"/>
  <c r="U66" i="42" s="1"/>
  <c r="J66" i="42"/>
  <c r="M66" i="42" s="1"/>
  <c r="X65" i="42"/>
  <c r="Q65" i="42"/>
  <c r="S65" i="42" s="1"/>
  <c r="U65" i="42" s="1"/>
  <c r="J65" i="42"/>
  <c r="M65" i="42" s="1"/>
  <c r="X64" i="42"/>
  <c r="Q64" i="42"/>
  <c r="S64" i="42" s="1"/>
  <c r="U64" i="42" s="1"/>
  <c r="J64" i="42"/>
  <c r="M64" i="42" s="1"/>
  <c r="X63" i="42"/>
  <c r="Q63" i="42"/>
  <c r="S63" i="42" s="1"/>
  <c r="U63" i="42" s="1"/>
  <c r="J63" i="42"/>
  <c r="M63" i="42" s="1"/>
  <c r="X62" i="42"/>
  <c r="Q62" i="42"/>
  <c r="S62" i="42" s="1"/>
  <c r="U62" i="42" s="1"/>
  <c r="J62" i="42"/>
  <c r="M62" i="42" s="1"/>
  <c r="X61" i="42"/>
  <c r="Q61" i="42"/>
  <c r="S61" i="42" s="1"/>
  <c r="U61" i="42" s="1"/>
  <c r="J61" i="42"/>
  <c r="M61" i="42" s="1"/>
  <c r="X60" i="42"/>
  <c r="Q60" i="42"/>
  <c r="S60" i="42" s="1"/>
  <c r="U60" i="42" s="1"/>
  <c r="J60" i="42"/>
  <c r="M60" i="42" s="1"/>
  <c r="X59" i="42"/>
  <c r="Q59" i="42"/>
  <c r="S59" i="42" s="1"/>
  <c r="U59" i="42" s="1"/>
  <c r="J59" i="42"/>
  <c r="M59" i="42" s="1"/>
  <c r="X58" i="42"/>
  <c r="Q58" i="42"/>
  <c r="S58" i="42" s="1"/>
  <c r="U58" i="42" s="1"/>
  <c r="J58" i="42"/>
  <c r="M58" i="42" s="1"/>
  <c r="X57" i="42"/>
  <c r="Q57" i="42"/>
  <c r="S57" i="42" s="1"/>
  <c r="U57" i="42" s="1"/>
  <c r="J57" i="42"/>
  <c r="M57" i="42" s="1"/>
  <c r="X56" i="42"/>
  <c r="Q56" i="42"/>
  <c r="S56" i="42" s="1"/>
  <c r="U56" i="42" s="1"/>
  <c r="J56" i="42"/>
  <c r="M56" i="42" s="1"/>
  <c r="X55" i="42"/>
  <c r="Q55" i="42"/>
  <c r="S55" i="42" s="1"/>
  <c r="U55" i="42" s="1"/>
  <c r="J55" i="42"/>
  <c r="M55" i="42" s="1"/>
  <c r="X54" i="42"/>
  <c r="Q54" i="42"/>
  <c r="S54" i="42" s="1"/>
  <c r="U54" i="42" s="1"/>
  <c r="J54" i="42"/>
  <c r="M54" i="42" s="1"/>
  <c r="X53" i="42"/>
  <c r="Q53" i="42"/>
  <c r="S53" i="42" s="1"/>
  <c r="U53" i="42" s="1"/>
  <c r="J53" i="42"/>
  <c r="M53" i="42" s="1"/>
  <c r="X52" i="42"/>
  <c r="U52" i="42"/>
  <c r="S52" i="42"/>
  <c r="Q52" i="42"/>
  <c r="J52" i="42"/>
  <c r="M52" i="42" s="1"/>
  <c r="X51" i="42"/>
  <c r="Q51" i="42"/>
  <c r="S51" i="42" s="1"/>
  <c r="U51" i="42" s="1"/>
  <c r="J51" i="42"/>
  <c r="M51" i="42" s="1"/>
  <c r="X50" i="42"/>
  <c r="Q50" i="42"/>
  <c r="S50" i="42" s="1"/>
  <c r="U50" i="42" s="1"/>
  <c r="J50" i="42"/>
  <c r="M50" i="42" s="1"/>
  <c r="X49" i="42"/>
  <c r="Q49" i="42"/>
  <c r="S49" i="42" s="1"/>
  <c r="U49" i="42" s="1"/>
  <c r="J49" i="42"/>
  <c r="M49" i="42" s="1"/>
  <c r="X48" i="42"/>
  <c r="Q48" i="42"/>
  <c r="S48" i="42" s="1"/>
  <c r="U48" i="42" s="1"/>
  <c r="J48" i="42"/>
  <c r="M48" i="42" s="1"/>
  <c r="X47" i="42"/>
  <c r="Q47" i="42"/>
  <c r="S47" i="42" s="1"/>
  <c r="U47" i="42" s="1"/>
  <c r="J47" i="42"/>
  <c r="M47" i="42" s="1"/>
  <c r="X46" i="42"/>
  <c r="Q46" i="42"/>
  <c r="S46" i="42" s="1"/>
  <c r="U46" i="42" s="1"/>
  <c r="J46" i="42"/>
  <c r="M46" i="42" s="1"/>
  <c r="X45" i="42"/>
  <c r="Q45" i="42"/>
  <c r="S45" i="42" s="1"/>
  <c r="U45" i="42" s="1"/>
  <c r="J45" i="42"/>
  <c r="M45" i="42" s="1"/>
  <c r="X44" i="42"/>
  <c r="Q44" i="42"/>
  <c r="S44" i="42" s="1"/>
  <c r="U44" i="42" s="1"/>
  <c r="J44" i="42"/>
  <c r="M44" i="42" s="1"/>
  <c r="X43" i="42"/>
  <c r="Q43" i="42"/>
  <c r="S43" i="42" s="1"/>
  <c r="U43" i="42" s="1"/>
  <c r="J43" i="42"/>
  <c r="M43" i="42" s="1"/>
  <c r="X42" i="42"/>
  <c r="Q42" i="42"/>
  <c r="S42" i="42" s="1"/>
  <c r="U42" i="42" s="1"/>
  <c r="J42" i="42"/>
  <c r="M42" i="42" s="1"/>
  <c r="X41" i="42"/>
  <c r="Q41" i="42"/>
  <c r="S41" i="42" s="1"/>
  <c r="U41" i="42" s="1"/>
  <c r="J41" i="42"/>
  <c r="M41" i="42" s="1"/>
  <c r="X40" i="42"/>
  <c r="S40" i="42"/>
  <c r="U40" i="42" s="1"/>
  <c r="Q40" i="42"/>
  <c r="J40" i="42"/>
  <c r="M40" i="42" s="1"/>
  <c r="X39" i="42"/>
  <c r="Q39" i="42"/>
  <c r="S39" i="42" s="1"/>
  <c r="U39" i="42" s="1"/>
  <c r="J39" i="42"/>
  <c r="M39" i="42" s="1"/>
  <c r="X38" i="42"/>
  <c r="Q38" i="42"/>
  <c r="S38" i="42" s="1"/>
  <c r="U38" i="42" s="1"/>
  <c r="J38" i="42"/>
  <c r="M38" i="42" s="1"/>
  <c r="X37" i="42"/>
  <c r="Q37" i="42"/>
  <c r="S37" i="42" s="1"/>
  <c r="U37" i="42" s="1"/>
  <c r="J37" i="42"/>
  <c r="M37" i="42" s="1"/>
  <c r="X36" i="42"/>
  <c r="Q36" i="42"/>
  <c r="S36" i="42" s="1"/>
  <c r="U36" i="42" s="1"/>
  <c r="J36" i="42"/>
  <c r="M36" i="42" s="1"/>
  <c r="X35" i="42"/>
  <c r="Q35" i="42"/>
  <c r="S35" i="42" s="1"/>
  <c r="U35" i="42" s="1"/>
  <c r="J35" i="42"/>
  <c r="M35" i="42" s="1"/>
  <c r="X34" i="42"/>
  <c r="Q34" i="42"/>
  <c r="S34" i="42" s="1"/>
  <c r="U34" i="42" s="1"/>
  <c r="J34" i="42"/>
  <c r="M34" i="42" s="1"/>
  <c r="X33" i="42"/>
  <c r="Q33" i="42"/>
  <c r="S33" i="42" s="1"/>
  <c r="U33" i="42" s="1"/>
  <c r="J33" i="42"/>
  <c r="M33" i="42" s="1"/>
  <c r="X32" i="42"/>
  <c r="Q32" i="42"/>
  <c r="S32" i="42" s="1"/>
  <c r="U32" i="42" s="1"/>
  <c r="J32" i="42"/>
  <c r="M32" i="42" s="1"/>
  <c r="X31" i="42"/>
  <c r="Q31" i="42"/>
  <c r="S31" i="42" s="1"/>
  <c r="U31" i="42" s="1"/>
  <c r="J31" i="42"/>
  <c r="M31" i="42" s="1"/>
  <c r="X30" i="42"/>
  <c r="Q30" i="42"/>
  <c r="S30" i="42" s="1"/>
  <c r="U30" i="42" s="1"/>
  <c r="J30" i="42"/>
  <c r="M30" i="42" s="1"/>
  <c r="X29" i="42"/>
  <c r="Q29" i="42"/>
  <c r="S29" i="42" s="1"/>
  <c r="U29" i="42" s="1"/>
  <c r="J29" i="42"/>
  <c r="M29" i="42" s="1"/>
  <c r="X28" i="42"/>
  <c r="Q28" i="42"/>
  <c r="S28" i="42" s="1"/>
  <c r="U28" i="42" s="1"/>
  <c r="J28" i="42"/>
  <c r="M28" i="42" s="1"/>
  <c r="X27" i="42"/>
  <c r="Q27" i="42"/>
  <c r="S27" i="42" s="1"/>
  <c r="U27" i="42" s="1"/>
  <c r="J27" i="42"/>
  <c r="M27" i="42" s="1"/>
  <c r="X26" i="42"/>
  <c r="Q26" i="42"/>
  <c r="S26" i="42" s="1"/>
  <c r="U26" i="42" s="1"/>
  <c r="J26" i="42"/>
  <c r="M26" i="42" s="1"/>
  <c r="X25" i="42"/>
  <c r="Q25" i="42"/>
  <c r="S25" i="42" s="1"/>
  <c r="U25" i="42" s="1"/>
  <c r="J25" i="42"/>
  <c r="M25" i="42" s="1"/>
  <c r="X24" i="42"/>
  <c r="Q24" i="42"/>
  <c r="S24" i="42" s="1"/>
  <c r="U24" i="42" s="1"/>
  <c r="J24" i="42"/>
  <c r="M24" i="42" s="1"/>
  <c r="X23" i="42"/>
  <c r="Q23" i="42"/>
  <c r="S23" i="42" s="1"/>
  <c r="U23" i="42" s="1"/>
  <c r="J23" i="42"/>
  <c r="M23" i="42" s="1"/>
  <c r="X22" i="42"/>
  <c r="Q22" i="42"/>
  <c r="S22" i="42" s="1"/>
  <c r="U22" i="42" s="1"/>
  <c r="J22" i="42"/>
  <c r="M22" i="42" s="1"/>
  <c r="X21" i="42"/>
  <c r="Q21" i="42"/>
  <c r="S21" i="42" s="1"/>
  <c r="U21" i="42" s="1"/>
  <c r="J21" i="42"/>
  <c r="M21" i="42" s="1"/>
  <c r="X20" i="42"/>
  <c r="Q20" i="42"/>
  <c r="S20" i="42" s="1"/>
  <c r="U20" i="42" s="1"/>
  <c r="J20" i="42"/>
  <c r="M20" i="42" s="1"/>
  <c r="X19" i="42"/>
  <c r="Q19" i="42"/>
  <c r="S19" i="42" s="1"/>
  <c r="U19" i="42" s="1"/>
  <c r="J19" i="42"/>
  <c r="M19" i="42" s="1"/>
  <c r="X18" i="42"/>
  <c r="Q18" i="42"/>
  <c r="S18" i="42" s="1"/>
  <c r="U18" i="42" s="1"/>
  <c r="J18" i="42"/>
  <c r="M18" i="42" s="1"/>
  <c r="X17" i="42"/>
  <c r="Q17" i="42"/>
  <c r="S17" i="42" s="1"/>
  <c r="U17" i="42" s="1"/>
  <c r="J17" i="42"/>
  <c r="M17" i="42" s="1"/>
  <c r="X16" i="42"/>
  <c r="Q16" i="42"/>
  <c r="S16" i="42" s="1"/>
  <c r="U16" i="42" s="1"/>
  <c r="J16" i="42"/>
  <c r="M16" i="42" s="1"/>
  <c r="X15" i="42"/>
  <c r="Q15" i="42"/>
  <c r="S15" i="42" s="1"/>
  <c r="U15" i="42" s="1"/>
  <c r="J15" i="42"/>
  <c r="M15" i="42" s="1"/>
  <c r="X14" i="42"/>
  <c r="Q14" i="42"/>
  <c r="S14" i="42" s="1"/>
  <c r="U14" i="42" s="1"/>
  <c r="J14" i="42"/>
  <c r="M14" i="42" s="1"/>
  <c r="X13" i="42"/>
  <c r="Q13" i="42"/>
  <c r="S13" i="42" s="1"/>
  <c r="U13" i="42" s="1"/>
  <c r="J13" i="42"/>
  <c r="M13" i="42" s="1"/>
  <c r="X12" i="42"/>
  <c r="Q12" i="42"/>
  <c r="S12" i="42" s="1"/>
  <c r="U12" i="42" s="1"/>
  <c r="J12" i="42"/>
  <c r="M12" i="42" s="1"/>
  <c r="X11" i="42"/>
  <c r="S11" i="42"/>
  <c r="U11" i="42" s="1"/>
  <c r="Q11" i="42"/>
  <c r="J11" i="42"/>
  <c r="M11" i="42" s="1"/>
  <c r="X10" i="42"/>
  <c r="Q10" i="42"/>
  <c r="S10" i="42" s="1"/>
  <c r="U10" i="42" s="1"/>
  <c r="J10" i="42"/>
  <c r="M10" i="42" s="1"/>
  <c r="X9" i="42"/>
  <c r="Q9" i="42"/>
  <c r="S9" i="42" s="1"/>
  <c r="U9" i="42" s="1"/>
  <c r="J9" i="42"/>
  <c r="M9" i="42" s="1"/>
  <c r="X8" i="42"/>
  <c r="Q8" i="42"/>
  <c r="S8" i="42" s="1"/>
  <c r="U8" i="42" s="1"/>
  <c r="J8" i="42"/>
  <c r="M8" i="42" s="1"/>
  <c r="X7" i="42"/>
  <c r="Q7" i="42"/>
  <c r="S7" i="42" s="1"/>
  <c r="U7" i="42" s="1"/>
  <c r="J7" i="42"/>
  <c r="M7" i="42" s="1"/>
  <c r="X6" i="42"/>
  <c r="Q6" i="42"/>
  <c r="S6" i="42" s="1"/>
  <c r="U6" i="42" s="1"/>
  <c r="J6" i="42"/>
  <c r="M6" i="42" s="1"/>
  <c r="X5" i="42"/>
  <c r="Q5" i="42"/>
  <c r="S5" i="42" s="1"/>
  <c r="U5" i="42" s="1"/>
  <c r="J5" i="42"/>
  <c r="M5" i="42" s="1"/>
  <c r="N12" i="15"/>
  <c r="K210" i="41"/>
  <c r="J204" i="41"/>
  <c r="M204" i="41" s="1"/>
  <c r="J203" i="41"/>
  <c r="M203" i="41" s="1"/>
  <c r="J202" i="41"/>
  <c r="M202" i="41" s="1"/>
  <c r="J201" i="41"/>
  <c r="M201" i="41" s="1"/>
  <c r="J200" i="41"/>
  <c r="M200" i="41" s="1"/>
  <c r="J199" i="41"/>
  <c r="M199" i="41" s="1"/>
  <c r="J198" i="41"/>
  <c r="M198" i="41" s="1"/>
  <c r="J197" i="41"/>
  <c r="M197" i="41" s="1"/>
  <c r="J196" i="41"/>
  <c r="M196" i="41" s="1"/>
  <c r="J195" i="41"/>
  <c r="M195" i="41" s="1"/>
  <c r="J194" i="41"/>
  <c r="M194" i="41" s="1"/>
  <c r="J193" i="41"/>
  <c r="M193" i="41" s="1"/>
  <c r="J192" i="41"/>
  <c r="M192" i="41" s="1"/>
  <c r="J191" i="41"/>
  <c r="M191" i="41" s="1"/>
  <c r="J190" i="41"/>
  <c r="M190" i="41" s="1"/>
  <c r="J189" i="41"/>
  <c r="M189" i="41" s="1"/>
  <c r="J188" i="41"/>
  <c r="M188" i="41" s="1"/>
  <c r="J187" i="41"/>
  <c r="M187" i="41" s="1"/>
  <c r="J186" i="41"/>
  <c r="M186" i="41" s="1"/>
  <c r="J185" i="41"/>
  <c r="M185" i="41" s="1"/>
  <c r="J184" i="41"/>
  <c r="M184" i="41" s="1"/>
  <c r="J183" i="41"/>
  <c r="M183" i="41" s="1"/>
  <c r="J182" i="41"/>
  <c r="M182" i="41" s="1"/>
  <c r="J181" i="41"/>
  <c r="M181" i="41" s="1"/>
  <c r="J180" i="41"/>
  <c r="M180" i="41" s="1"/>
  <c r="J179" i="41"/>
  <c r="M179" i="41" s="1"/>
  <c r="J178" i="41"/>
  <c r="M178" i="41" s="1"/>
  <c r="J177" i="41"/>
  <c r="M177" i="41" s="1"/>
  <c r="J176" i="41"/>
  <c r="M176" i="41" s="1"/>
  <c r="J175" i="41"/>
  <c r="M175" i="41" s="1"/>
  <c r="J174" i="41"/>
  <c r="M174" i="41" s="1"/>
  <c r="J173" i="41"/>
  <c r="M173" i="41" s="1"/>
  <c r="J172" i="41"/>
  <c r="M172" i="41" s="1"/>
  <c r="J171" i="41"/>
  <c r="M171" i="41" s="1"/>
  <c r="J170" i="41"/>
  <c r="M170" i="41" s="1"/>
  <c r="J169" i="41"/>
  <c r="M169" i="41" s="1"/>
  <c r="J168" i="41"/>
  <c r="M168" i="41" s="1"/>
  <c r="J167" i="41"/>
  <c r="M167" i="41" s="1"/>
  <c r="J166" i="41"/>
  <c r="M166" i="41" s="1"/>
  <c r="J165" i="41"/>
  <c r="M165" i="41" s="1"/>
  <c r="J164" i="41"/>
  <c r="M164" i="41" s="1"/>
  <c r="J163" i="41"/>
  <c r="M163" i="41" s="1"/>
  <c r="J162" i="41"/>
  <c r="M162" i="41" s="1"/>
  <c r="J161" i="41"/>
  <c r="M161" i="41" s="1"/>
  <c r="J160" i="41"/>
  <c r="M160" i="41" s="1"/>
  <c r="J159" i="41"/>
  <c r="M159" i="41" s="1"/>
  <c r="J158" i="41"/>
  <c r="M158" i="41" s="1"/>
  <c r="J157" i="41"/>
  <c r="M157" i="41" s="1"/>
  <c r="J156" i="41"/>
  <c r="M156" i="41" s="1"/>
  <c r="J155" i="41"/>
  <c r="M155" i="41" s="1"/>
  <c r="J154" i="41"/>
  <c r="M154" i="41" s="1"/>
  <c r="J153" i="41"/>
  <c r="M153" i="41" s="1"/>
  <c r="J152" i="41"/>
  <c r="M152" i="41" s="1"/>
  <c r="J151" i="41"/>
  <c r="M151" i="41" s="1"/>
  <c r="J150" i="41"/>
  <c r="M150" i="41" s="1"/>
  <c r="J149" i="41"/>
  <c r="M149" i="41" s="1"/>
  <c r="J148" i="41"/>
  <c r="M148" i="41" s="1"/>
  <c r="J147" i="41"/>
  <c r="M147" i="41" s="1"/>
  <c r="J146" i="41"/>
  <c r="M146" i="41" s="1"/>
  <c r="J145" i="41"/>
  <c r="M145" i="41" s="1"/>
  <c r="J144" i="41"/>
  <c r="M144" i="41" s="1"/>
  <c r="J143" i="41"/>
  <c r="M143" i="41" s="1"/>
  <c r="J142" i="41"/>
  <c r="M142" i="41" s="1"/>
  <c r="J141" i="41"/>
  <c r="M141" i="41" s="1"/>
  <c r="J140" i="41"/>
  <c r="M140" i="41" s="1"/>
  <c r="J139" i="41"/>
  <c r="M139" i="41" s="1"/>
  <c r="J138" i="41"/>
  <c r="M138" i="41" s="1"/>
  <c r="J137" i="41"/>
  <c r="M137" i="41" s="1"/>
  <c r="J136" i="41"/>
  <c r="M136" i="41" s="1"/>
  <c r="J135" i="41"/>
  <c r="M135" i="41" s="1"/>
  <c r="J134" i="41"/>
  <c r="M134" i="41" s="1"/>
  <c r="J133" i="41"/>
  <c r="M133" i="41" s="1"/>
  <c r="J132" i="41"/>
  <c r="M132" i="41" s="1"/>
  <c r="J131" i="41"/>
  <c r="M131" i="41" s="1"/>
  <c r="J130" i="41"/>
  <c r="M130" i="41" s="1"/>
  <c r="J129" i="41"/>
  <c r="M129" i="41" s="1"/>
  <c r="J128" i="41"/>
  <c r="M128" i="41" s="1"/>
  <c r="J127" i="41"/>
  <c r="M127" i="41" s="1"/>
  <c r="J126" i="41"/>
  <c r="M126" i="41" s="1"/>
  <c r="J125" i="41"/>
  <c r="M125" i="41" s="1"/>
  <c r="J124" i="41"/>
  <c r="M124" i="41" s="1"/>
  <c r="J123" i="41"/>
  <c r="M123" i="41" s="1"/>
  <c r="J122" i="41"/>
  <c r="M122" i="41" s="1"/>
  <c r="J121" i="41"/>
  <c r="M121" i="41" s="1"/>
  <c r="J120" i="41"/>
  <c r="M120" i="41" s="1"/>
  <c r="J119" i="41"/>
  <c r="M119" i="41" s="1"/>
  <c r="J118" i="41"/>
  <c r="M118" i="41" s="1"/>
  <c r="J117" i="41"/>
  <c r="M117" i="41" s="1"/>
  <c r="J116" i="41"/>
  <c r="M116" i="41" s="1"/>
  <c r="J115" i="41"/>
  <c r="M115" i="41" s="1"/>
  <c r="J114" i="41"/>
  <c r="M114" i="41" s="1"/>
  <c r="J113" i="41"/>
  <c r="M113" i="41" s="1"/>
  <c r="J112" i="41"/>
  <c r="M112" i="41" s="1"/>
  <c r="J111" i="41"/>
  <c r="M111" i="41" s="1"/>
  <c r="J110" i="41"/>
  <c r="M110" i="41" s="1"/>
  <c r="J109" i="41"/>
  <c r="M109" i="41" s="1"/>
  <c r="J108" i="41"/>
  <c r="M108" i="41" s="1"/>
  <c r="J107" i="41"/>
  <c r="M107" i="41" s="1"/>
  <c r="J106" i="41"/>
  <c r="M106" i="41" s="1"/>
  <c r="Z105" i="41"/>
  <c r="J105" i="41"/>
  <c r="M105" i="41" s="1"/>
  <c r="X104" i="41"/>
  <c r="U104" i="41"/>
  <c r="Q104" i="41"/>
  <c r="S104" i="41" s="1"/>
  <c r="J104" i="41"/>
  <c r="M104" i="41" s="1"/>
  <c r="X103" i="41"/>
  <c r="Q103" i="41"/>
  <c r="S103" i="41" s="1"/>
  <c r="U103" i="41" s="1"/>
  <c r="J103" i="41"/>
  <c r="M103" i="41" s="1"/>
  <c r="X102" i="41"/>
  <c r="S102" i="41"/>
  <c r="U102" i="41" s="1"/>
  <c r="Q102" i="41"/>
  <c r="J102" i="41"/>
  <c r="M102" i="41" s="1"/>
  <c r="X101" i="41"/>
  <c r="Q101" i="41"/>
  <c r="S101" i="41" s="1"/>
  <c r="U101" i="41" s="1"/>
  <c r="J101" i="41"/>
  <c r="M101" i="41" s="1"/>
  <c r="X100" i="41"/>
  <c r="Q100" i="41"/>
  <c r="S100" i="41" s="1"/>
  <c r="U100" i="41" s="1"/>
  <c r="J100" i="41"/>
  <c r="M100" i="41" s="1"/>
  <c r="X99" i="41"/>
  <c r="Q99" i="41"/>
  <c r="S99" i="41" s="1"/>
  <c r="U99" i="41" s="1"/>
  <c r="J99" i="41"/>
  <c r="M99" i="41" s="1"/>
  <c r="X98" i="41"/>
  <c r="Q98" i="41"/>
  <c r="S98" i="41" s="1"/>
  <c r="U98" i="41" s="1"/>
  <c r="J98" i="41"/>
  <c r="M98" i="41" s="1"/>
  <c r="X97" i="41"/>
  <c r="Q97" i="41"/>
  <c r="S97" i="41" s="1"/>
  <c r="U97" i="41" s="1"/>
  <c r="J97" i="41"/>
  <c r="M97" i="41" s="1"/>
  <c r="X96" i="41"/>
  <c r="U96" i="41"/>
  <c r="Q96" i="41"/>
  <c r="S96" i="41" s="1"/>
  <c r="J96" i="41"/>
  <c r="M96" i="41" s="1"/>
  <c r="X95" i="41"/>
  <c r="Q95" i="41"/>
  <c r="S95" i="41" s="1"/>
  <c r="U95" i="41" s="1"/>
  <c r="J95" i="41"/>
  <c r="M95" i="41" s="1"/>
  <c r="X94" i="41"/>
  <c r="Q94" i="41"/>
  <c r="S94" i="41" s="1"/>
  <c r="U94" i="41" s="1"/>
  <c r="J94" i="41"/>
  <c r="M94" i="41" s="1"/>
  <c r="X93" i="41"/>
  <c r="Q93" i="41"/>
  <c r="S93" i="41" s="1"/>
  <c r="U93" i="41" s="1"/>
  <c r="J93" i="41"/>
  <c r="M93" i="41" s="1"/>
  <c r="X92" i="41"/>
  <c r="S92" i="41"/>
  <c r="U92" i="41" s="1"/>
  <c r="Q92" i="41"/>
  <c r="J92" i="41"/>
  <c r="M92" i="41" s="1"/>
  <c r="X91" i="41"/>
  <c r="Q91" i="41"/>
  <c r="S91" i="41" s="1"/>
  <c r="U91" i="41" s="1"/>
  <c r="J91" i="41"/>
  <c r="M91" i="41" s="1"/>
  <c r="X90" i="41"/>
  <c r="Q90" i="41"/>
  <c r="S90" i="41" s="1"/>
  <c r="U90" i="41" s="1"/>
  <c r="J90" i="41"/>
  <c r="M90" i="41" s="1"/>
  <c r="X89" i="41"/>
  <c r="Q89" i="41"/>
  <c r="S89" i="41" s="1"/>
  <c r="U89" i="41" s="1"/>
  <c r="J89" i="41"/>
  <c r="M89" i="41" s="1"/>
  <c r="X88" i="41"/>
  <c r="Q88" i="41"/>
  <c r="S88" i="41" s="1"/>
  <c r="U88" i="41" s="1"/>
  <c r="J88" i="41"/>
  <c r="M88" i="41" s="1"/>
  <c r="X87" i="41"/>
  <c r="Q87" i="41"/>
  <c r="S87" i="41" s="1"/>
  <c r="U87" i="41" s="1"/>
  <c r="J87" i="41"/>
  <c r="M87" i="41" s="1"/>
  <c r="X86" i="41"/>
  <c r="Q86" i="41"/>
  <c r="S86" i="41" s="1"/>
  <c r="U86" i="41" s="1"/>
  <c r="J86" i="41"/>
  <c r="M86" i="41" s="1"/>
  <c r="X85" i="41"/>
  <c r="Q85" i="41"/>
  <c r="S85" i="41" s="1"/>
  <c r="U85" i="41" s="1"/>
  <c r="J85" i="41"/>
  <c r="M85" i="41" s="1"/>
  <c r="X84" i="41"/>
  <c r="Q84" i="41"/>
  <c r="S84" i="41" s="1"/>
  <c r="U84" i="41" s="1"/>
  <c r="J84" i="41"/>
  <c r="M84" i="41" s="1"/>
  <c r="X83" i="41"/>
  <c r="Q83" i="41"/>
  <c r="S83" i="41" s="1"/>
  <c r="U83" i="41" s="1"/>
  <c r="J83" i="41"/>
  <c r="M83" i="41" s="1"/>
  <c r="X82" i="41"/>
  <c r="Q82" i="41"/>
  <c r="S82" i="41" s="1"/>
  <c r="U82" i="41" s="1"/>
  <c r="J82" i="41"/>
  <c r="M82" i="41" s="1"/>
  <c r="X81" i="41"/>
  <c r="Q81" i="41"/>
  <c r="S81" i="41" s="1"/>
  <c r="U81" i="41" s="1"/>
  <c r="J81" i="41"/>
  <c r="M81" i="41" s="1"/>
  <c r="X80" i="41"/>
  <c r="Q80" i="41"/>
  <c r="S80" i="41" s="1"/>
  <c r="U80" i="41" s="1"/>
  <c r="J80" i="41"/>
  <c r="M80" i="41" s="1"/>
  <c r="X79" i="41"/>
  <c r="Q79" i="41"/>
  <c r="S79" i="41" s="1"/>
  <c r="U79" i="41" s="1"/>
  <c r="J79" i="41"/>
  <c r="M79" i="41" s="1"/>
  <c r="X78" i="41"/>
  <c r="S78" i="41"/>
  <c r="U78" i="41" s="1"/>
  <c r="Q78" i="41"/>
  <c r="J78" i="41"/>
  <c r="M78" i="41" s="1"/>
  <c r="X77" i="41"/>
  <c r="Q77" i="41"/>
  <c r="S77" i="41" s="1"/>
  <c r="U77" i="41" s="1"/>
  <c r="J77" i="41"/>
  <c r="M77" i="41" s="1"/>
  <c r="X76" i="41"/>
  <c r="Q76" i="41"/>
  <c r="S76" i="41" s="1"/>
  <c r="U76" i="41" s="1"/>
  <c r="J76" i="41"/>
  <c r="M76" i="41" s="1"/>
  <c r="X75" i="41"/>
  <c r="Q75" i="41"/>
  <c r="S75" i="41" s="1"/>
  <c r="U75" i="41" s="1"/>
  <c r="J75" i="41"/>
  <c r="M75" i="41" s="1"/>
  <c r="X74" i="41"/>
  <c r="Q74" i="41"/>
  <c r="S74" i="41" s="1"/>
  <c r="U74" i="41" s="1"/>
  <c r="J74" i="41"/>
  <c r="M74" i="41" s="1"/>
  <c r="X73" i="41"/>
  <c r="Q73" i="41"/>
  <c r="S73" i="41" s="1"/>
  <c r="U73" i="41" s="1"/>
  <c r="J73" i="41"/>
  <c r="M73" i="41" s="1"/>
  <c r="X72" i="41"/>
  <c r="Q72" i="41"/>
  <c r="S72" i="41" s="1"/>
  <c r="U72" i="41" s="1"/>
  <c r="J72" i="41"/>
  <c r="M72" i="41" s="1"/>
  <c r="X71" i="41"/>
  <c r="Q71" i="41"/>
  <c r="S71" i="41" s="1"/>
  <c r="U71" i="41" s="1"/>
  <c r="J71" i="41"/>
  <c r="M71" i="41" s="1"/>
  <c r="X70" i="41"/>
  <c r="Q70" i="41"/>
  <c r="S70" i="41" s="1"/>
  <c r="U70" i="41" s="1"/>
  <c r="J70" i="41"/>
  <c r="M70" i="41" s="1"/>
  <c r="X69" i="41"/>
  <c r="Q69" i="41"/>
  <c r="S69" i="41" s="1"/>
  <c r="U69" i="41" s="1"/>
  <c r="J69" i="41"/>
  <c r="M69" i="41" s="1"/>
  <c r="X68" i="41"/>
  <c r="Q68" i="41"/>
  <c r="S68" i="41" s="1"/>
  <c r="U68" i="41" s="1"/>
  <c r="J68" i="41"/>
  <c r="M68" i="41" s="1"/>
  <c r="X67" i="41"/>
  <c r="Q67" i="41"/>
  <c r="S67" i="41" s="1"/>
  <c r="U67" i="41" s="1"/>
  <c r="J67" i="41"/>
  <c r="M67" i="41" s="1"/>
  <c r="X66" i="41"/>
  <c r="Q66" i="41"/>
  <c r="S66" i="41" s="1"/>
  <c r="U66" i="41" s="1"/>
  <c r="J66" i="41"/>
  <c r="M66" i="41" s="1"/>
  <c r="X65" i="41"/>
  <c r="Q65" i="41"/>
  <c r="S65" i="41" s="1"/>
  <c r="U65" i="41" s="1"/>
  <c r="J65" i="41"/>
  <c r="M65" i="41" s="1"/>
  <c r="X64" i="41"/>
  <c r="Q64" i="41"/>
  <c r="S64" i="41" s="1"/>
  <c r="U64" i="41" s="1"/>
  <c r="J64" i="41"/>
  <c r="M64" i="41" s="1"/>
  <c r="X63" i="41"/>
  <c r="Q63" i="41"/>
  <c r="S63" i="41" s="1"/>
  <c r="U63" i="41" s="1"/>
  <c r="J63" i="41"/>
  <c r="M63" i="41" s="1"/>
  <c r="X62" i="41"/>
  <c r="Q62" i="41"/>
  <c r="S62" i="41" s="1"/>
  <c r="U62" i="41" s="1"/>
  <c r="J62" i="41"/>
  <c r="M62" i="41" s="1"/>
  <c r="X61" i="41"/>
  <c r="U61" i="41"/>
  <c r="Q61" i="41"/>
  <c r="S61" i="41" s="1"/>
  <c r="J61" i="41"/>
  <c r="M61" i="41" s="1"/>
  <c r="X60" i="41"/>
  <c r="Q60" i="41"/>
  <c r="S60" i="41" s="1"/>
  <c r="U60" i="41" s="1"/>
  <c r="J60" i="41"/>
  <c r="M60" i="41" s="1"/>
  <c r="X59" i="41"/>
  <c r="Q59" i="41"/>
  <c r="S59" i="41" s="1"/>
  <c r="U59" i="41" s="1"/>
  <c r="J59" i="41"/>
  <c r="M59" i="41" s="1"/>
  <c r="X58" i="41"/>
  <c r="Q58" i="41"/>
  <c r="S58" i="41" s="1"/>
  <c r="U58" i="41" s="1"/>
  <c r="J58" i="41"/>
  <c r="M58" i="41" s="1"/>
  <c r="X57" i="41"/>
  <c r="Q57" i="41"/>
  <c r="S57" i="41" s="1"/>
  <c r="U57" i="41" s="1"/>
  <c r="J57" i="41"/>
  <c r="M57" i="41" s="1"/>
  <c r="X56" i="41"/>
  <c r="Q56" i="41"/>
  <c r="S56" i="41" s="1"/>
  <c r="U56" i="41" s="1"/>
  <c r="J56" i="41"/>
  <c r="M56" i="41" s="1"/>
  <c r="X55" i="41"/>
  <c r="Q55" i="41"/>
  <c r="S55" i="41" s="1"/>
  <c r="U55" i="41" s="1"/>
  <c r="J55" i="41"/>
  <c r="M55" i="41" s="1"/>
  <c r="X54" i="41"/>
  <c r="Q54" i="41"/>
  <c r="S54" i="41" s="1"/>
  <c r="U54" i="41" s="1"/>
  <c r="J54" i="41"/>
  <c r="M54" i="41" s="1"/>
  <c r="X53" i="41"/>
  <c r="Q53" i="41"/>
  <c r="S53" i="41" s="1"/>
  <c r="U53" i="41" s="1"/>
  <c r="J53" i="41"/>
  <c r="M53" i="41" s="1"/>
  <c r="X52" i="41"/>
  <c r="Q52" i="41"/>
  <c r="S52" i="41" s="1"/>
  <c r="U52" i="41" s="1"/>
  <c r="J52" i="41"/>
  <c r="M52" i="41" s="1"/>
  <c r="X51" i="41"/>
  <c r="Q51" i="41"/>
  <c r="S51" i="41" s="1"/>
  <c r="U51" i="41" s="1"/>
  <c r="J51" i="41"/>
  <c r="M51" i="41" s="1"/>
  <c r="X50" i="41"/>
  <c r="Q50" i="41"/>
  <c r="S50" i="41" s="1"/>
  <c r="U50" i="41" s="1"/>
  <c r="J50" i="41"/>
  <c r="M50" i="41" s="1"/>
  <c r="X49" i="41"/>
  <c r="Q49" i="41"/>
  <c r="S49" i="41" s="1"/>
  <c r="U49" i="41" s="1"/>
  <c r="J49" i="41"/>
  <c r="M49" i="41" s="1"/>
  <c r="X48" i="41"/>
  <c r="Q48" i="41"/>
  <c r="S48" i="41" s="1"/>
  <c r="U48" i="41" s="1"/>
  <c r="J48" i="41"/>
  <c r="M48" i="41" s="1"/>
  <c r="X47" i="41"/>
  <c r="Q47" i="41"/>
  <c r="S47" i="41" s="1"/>
  <c r="U47" i="41" s="1"/>
  <c r="J47" i="41"/>
  <c r="M47" i="41" s="1"/>
  <c r="X46" i="41"/>
  <c r="Q46" i="41"/>
  <c r="S46" i="41" s="1"/>
  <c r="U46" i="41" s="1"/>
  <c r="J46" i="41"/>
  <c r="M46" i="41" s="1"/>
  <c r="X45" i="41"/>
  <c r="Q45" i="41"/>
  <c r="S45" i="41" s="1"/>
  <c r="U45" i="41" s="1"/>
  <c r="J45" i="41"/>
  <c r="M45" i="41" s="1"/>
  <c r="X44" i="41"/>
  <c r="Q44" i="41"/>
  <c r="S44" i="41" s="1"/>
  <c r="U44" i="41" s="1"/>
  <c r="J44" i="41"/>
  <c r="M44" i="41" s="1"/>
  <c r="X43" i="41"/>
  <c r="Q43" i="41"/>
  <c r="S43" i="41" s="1"/>
  <c r="U43" i="41" s="1"/>
  <c r="J43" i="41"/>
  <c r="M43" i="41" s="1"/>
  <c r="X42" i="41"/>
  <c r="Q42" i="41"/>
  <c r="S42" i="41" s="1"/>
  <c r="U42" i="41" s="1"/>
  <c r="J42" i="41"/>
  <c r="M42" i="41" s="1"/>
  <c r="X41" i="41"/>
  <c r="Q41" i="41"/>
  <c r="S41" i="41" s="1"/>
  <c r="U41" i="41" s="1"/>
  <c r="J41" i="41"/>
  <c r="M41" i="41" s="1"/>
  <c r="X40" i="41"/>
  <c r="Q40" i="41"/>
  <c r="S40" i="41" s="1"/>
  <c r="U40" i="41" s="1"/>
  <c r="J40" i="41"/>
  <c r="M40" i="41" s="1"/>
  <c r="X39" i="41"/>
  <c r="Q39" i="41"/>
  <c r="S39" i="41" s="1"/>
  <c r="U39" i="41" s="1"/>
  <c r="J39" i="41"/>
  <c r="M39" i="41" s="1"/>
  <c r="X38" i="41"/>
  <c r="S38" i="41"/>
  <c r="U38" i="41" s="1"/>
  <c r="Q38" i="41"/>
  <c r="J38" i="41"/>
  <c r="M38" i="41" s="1"/>
  <c r="X37" i="41"/>
  <c r="Q37" i="41"/>
  <c r="S37" i="41" s="1"/>
  <c r="U37" i="41" s="1"/>
  <c r="J37" i="41"/>
  <c r="M37" i="41" s="1"/>
  <c r="X36" i="41"/>
  <c r="Q36" i="41"/>
  <c r="S36" i="41" s="1"/>
  <c r="U36" i="41" s="1"/>
  <c r="J36" i="41"/>
  <c r="M36" i="41" s="1"/>
  <c r="X35" i="41"/>
  <c r="Q35" i="41"/>
  <c r="S35" i="41" s="1"/>
  <c r="U35" i="41" s="1"/>
  <c r="J35" i="41"/>
  <c r="M35" i="41" s="1"/>
  <c r="X34" i="41"/>
  <c r="Q34" i="41"/>
  <c r="S34" i="41" s="1"/>
  <c r="U34" i="41" s="1"/>
  <c r="J34" i="41"/>
  <c r="M34" i="41" s="1"/>
  <c r="X33" i="41"/>
  <c r="Q33" i="41"/>
  <c r="S33" i="41" s="1"/>
  <c r="U33" i="41" s="1"/>
  <c r="J33" i="41"/>
  <c r="M33" i="41" s="1"/>
  <c r="X32" i="41"/>
  <c r="Q32" i="41"/>
  <c r="S32" i="41" s="1"/>
  <c r="U32" i="41" s="1"/>
  <c r="J32" i="41"/>
  <c r="M32" i="41" s="1"/>
  <c r="X31" i="41"/>
  <c r="Q31" i="41"/>
  <c r="S31" i="41" s="1"/>
  <c r="U31" i="41" s="1"/>
  <c r="J31" i="41"/>
  <c r="M31" i="41" s="1"/>
  <c r="X30" i="41"/>
  <c r="Q30" i="41"/>
  <c r="S30" i="41" s="1"/>
  <c r="U30" i="41" s="1"/>
  <c r="J30" i="41"/>
  <c r="M30" i="41" s="1"/>
  <c r="X29" i="41"/>
  <c r="Q29" i="41"/>
  <c r="S29" i="41" s="1"/>
  <c r="U29" i="41" s="1"/>
  <c r="J29" i="41"/>
  <c r="M29" i="41" s="1"/>
  <c r="X28" i="41"/>
  <c r="Q28" i="41"/>
  <c r="S28" i="41" s="1"/>
  <c r="U28" i="41" s="1"/>
  <c r="J28" i="41"/>
  <c r="M28" i="41" s="1"/>
  <c r="X27" i="41"/>
  <c r="Q27" i="41"/>
  <c r="S27" i="41" s="1"/>
  <c r="U27" i="41" s="1"/>
  <c r="J27" i="41"/>
  <c r="M27" i="41" s="1"/>
  <c r="X26" i="41"/>
  <c r="S26" i="41"/>
  <c r="U26" i="41" s="1"/>
  <c r="Q26" i="41"/>
  <c r="J26" i="41"/>
  <c r="M26" i="41" s="1"/>
  <c r="X25" i="41"/>
  <c r="Q25" i="41"/>
  <c r="S25" i="41" s="1"/>
  <c r="U25" i="41" s="1"/>
  <c r="J25" i="41"/>
  <c r="M25" i="41" s="1"/>
  <c r="X24" i="41"/>
  <c r="Q24" i="41"/>
  <c r="S24" i="41" s="1"/>
  <c r="U24" i="41" s="1"/>
  <c r="J24" i="41"/>
  <c r="M24" i="41" s="1"/>
  <c r="X23" i="41"/>
  <c r="Q23" i="41"/>
  <c r="S23" i="41" s="1"/>
  <c r="U23" i="41" s="1"/>
  <c r="J23" i="41"/>
  <c r="M23" i="41" s="1"/>
  <c r="X22" i="41"/>
  <c r="Q22" i="41"/>
  <c r="S22" i="41" s="1"/>
  <c r="U22" i="41" s="1"/>
  <c r="J22" i="41"/>
  <c r="M22" i="41" s="1"/>
  <c r="X21" i="41"/>
  <c r="Q21" i="41"/>
  <c r="S21" i="41" s="1"/>
  <c r="U21" i="41" s="1"/>
  <c r="J21" i="41"/>
  <c r="M21" i="41" s="1"/>
  <c r="X20" i="41"/>
  <c r="Q20" i="41"/>
  <c r="S20" i="41" s="1"/>
  <c r="U20" i="41" s="1"/>
  <c r="J20" i="41"/>
  <c r="M20" i="41" s="1"/>
  <c r="X19" i="41"/>
  <c r="Q19" i="41"/>
  <c r="S19" i="41" s="1"/>
  <c r="U19" i="41" s="1"/>
  <c r="J19" i="41"/>
  <c r="M19" i="41" s="1"/>
  <c r="X18" i="41"/>
  <c r="Q18" i="41"/>
  <c r="S18" i="41" s="1"/>
  <c r="U18" i="41" s="1"/>
  <c r="J18" i="41"/>
  <c r="M18" i="41" s="1"/>
  <c r="X17" i="41"/>
  <c r="Q17" i="41"/>
  <c r="S17" i="41" s="1"/>
  <c r="U17" i="41" s="1"/>
  <c r="J17" i="41"/>
  <c r="M17" i="41" s="1"/>
  <c r="X16" i="41"/>
  <c r="Q16" i="41"/>
  <c r="S16" i="41" s="1"/>
  <c r="U16" i="41" s="1"/>
  <c r="J16" i="41"/>
  <c r="M16" i="41" s="1"/>
  <c r="X15" i="41"/>
  <c r="Q15" i="41"/>
  <c r="S15" i="41" s="1"/>
  <c r="U15" i="41" s="1"/>
  <c r="J15" i="41"/>
  <c r="M15" i="41" s="1"/>
  <c r="X14" i="41"/>
  <c r="S14" i="41"/>
  <c r="U14" i="41" s="1"/>
  <c r="Q14" i="41"/>
  <c r="J14" i="41"/>
  <c r="M14" i="41" s="1"/>
  <c r="X13" i="41"/>
  <c r="Q13" i="41"/>
  <c r="S13" i="41" s="1"/>
  <c r="U13" i="41" s="1"/>
  <c r="J13" i="41"/>
  <c r="M13" i="41" s="1"/>
  <c r="X12" i="41"/>
  <c r="Q12" i="41"/>
  <c r="S12" i="41" s="1"/>
  <c r="U12" i="41" s="1"/>
  <c r="J12" i="41"/>
  <c r="M12" i="41" s="1"/>
  <c r="X11" i="41"/>
  <c r="Q11" i="41"/>
  <c r="S11" i="41" s="1"/>
  <c r="U11" i="41" s="1"/>
  <c r="J11" i="41"/>
  <c r="M11" i="41" s="1"/>
  <c r="X10" i="41"/>
  <c r="S10" i="41"/>
  <c r="U10" i="41" s="1"/>
  <c r="Q10" i="41"/>
  <c r="J10" i="41"/>
  <c r="M10" i="41" s="1"/>
  <c r="X9" i="41"/>
  <c r="Q9" i="41"/>
  <c r="S9" i="41" s="1"/>
  <c r="U9" i="41" s="1"/>
  <c r="J9" i="41"/>
  <c r="M9" i="41" s="1"/>
  <c r="X8" i="41"/>
  <c r="Q8" i="41"/>
  <c r="S8" i="41" s="1"/>
  <c r="U8" i="41" s="1"/>
  <c r="J8" i="41"/>
  <c r="M8" i="41" s="1"/>
  <c r="X7" i="41"/>
  <c r="Q7" i="41"/>
  <c r="S7" i="41" s="1"/>
  <c r="U7" i="41" s="1"/>
  <c r="J7" i="41"/>
  <c r="M7" i="41" s="1"/>
  <c r="X6" i="41"/>
  <c r="Q6" i="41"/>
  <c r="S6" i="41" s="1"/>
  <c r="U6" i="41" s="1"/>
  <c r="J6" i="41"/>
  <c r="M6" i="41" s="1"/>
  <c r="X5" i="41"/>
  <c r="Q5" i="41"/>
  <c r="S5" i="41" s="1"/>
  <c r="U5" i="41" s="1"/>
  <c r="J5" i="41"/>
  <c r="K213" i="40"/>
  <c r="N11" i="15" s="1"/>
  <c r="K210" i="40"/>
  <c r="J204" i="40"/>
  <c r="M204" i="40" s="1"/>
  <c r="J203" i="40"/>
  <c r="M203" i="40" s="1"/>
  <c r="J202" i="40"/>
  <c r="M202" i="40" s="1"/>
  <c r="J201" i="40"/>
  <c r="M201" i="40" s="1"/>
  <c r="J200" i="40"/>
  <c r="M200" i="40" s="1"/>
  <c r="J199" i="40"/>
  <c r="M199" i="40" s="1"/>
  <c r="M198" i="40"/>
  <c r="J198" i="40"/>
  <c r="J197" i="40"/>
  <c r="M197" i="40" s="1"/>
  <c r="J196" i="40"/>
  <c r="M196" i="40" s="1"/>
  <c r="J195" i="40"/>
  <c r="M195" i="40" s="1"/>
  <c r="J194" i="40"/>
  <c r="M194" i="40" s="1"/>
  <c r="J193" i="40"/>
  <c r="M193" i="40" s="1"/>
  <c r="J192" i="40"/>
  <c r="M192" i="40" s="1"/>
  <c r="J191" i="40"/>
  <c r="M191" i="40" s="1"/>
  <c r="J190" i="40"/>
  <c r="M190" i="40" s="1"/>
  <c r="J189" i="40"/>
  <c r="M189" i="40" s="1"/>
  <c r="J188" i="40"/>
  <c r="M188" i="40" s="1"/>
  <c r="J187" i="40"/>
  <c r="M187" i="40" s="1"/>
  <c r="J186" i="40"/>
  <c r="M186" i="40" s="1"/>
  <c r="J185" i="40"/>
  <c r="M185" i="40" s="1"/>
  <c r="J184" i="40"/>
  <c r="M184" i="40" s="1"/>
  <c r="J183" i="40"/>
  <c r="M183" i="40" s="1"/>
  <c r="J182" i="40"/>
  <c r="M182" i="40" s="1"/>
  <c r="J181" i="40"/>
  <c r="M181" i="40" s="1"/>
  <c r="J180" i="40"/>
  <c r="M180" i="40" s="1"/>
  <c r="J179" i="40"/>
  <c r="M179" i="40" s="1"/>
  <c r="J178" i="40"/>
  <c r="M178" i="40" s="1"/>
  <c r="J177" i="40"/>
  <c r="M177" i="40" s="1"/>
  <c r="J176" i="40"/>
  <c r="M176" i="40" s="1"/>
  <c r="J175" i="40"/>
  <c r="M175" i="40" s="1"/>
  <c r="J174" i="40"/>
  <c r="M174" i="40" s="1"/>
  <c r="J173" i="40"/>
  <c r="M173" i="40" s="1"/>
  <c r="J172" i="40"/>
  <c r="M172" i="40" s="1"/>
  <c r="J171" i="40"/>
  <c r="M171" i="40" s="1"/>
  <c r="J170" i="40"/>
  <c r="M170" i="40" s="1"/>
  <c r="J169" i="40"/>
  <c r="M169" i="40" s="1"/>
  <c r="J168" i="40"/>
  <c r="M168" i="40" s="1"/>
  <c r="M167" i="40"/>
  <c r="J167" i="40"/>
  <c r="J166" i="40"/>
  <c r="M166" i="40" s="1"/>
  <c r="J165" i="40"/>
  <c r="M165" i="40" s="1"/>
  <c r="J164" i="40"/>
  <c r="M164" i="40" s="1"/>
  <c r="J163" i="40"/>
  <c r="M163" i="40" s="1"/>
  <c r="J162" i="40"/>
  <c r="M162" i="40" s="1"/>
  <c r="J161" i="40"/>
  <c r="M161" i="40" s="1"/>
  <c r="J160" i="40"/>
  <c r="M160" i="40" s="1"/>
  <c r="J159" i="40"/>
  <c r="M159" i="40" s="1"/>
  <c r="J158" i="40"/>
  <c r="M158" i="40" s="1"/>
  <c r="J157" i="40"/>
  <c r="M157" i="40" s="1"/>
  <c r="J156" i="40"/>
  <c r="M156" i="40" s="1"/>
  <c r="J155" i="40"/>
  <c r="M155" i="40" s="1"/>
  <c r="J154" i="40"/>
  <c r="M154" i="40" s="1"/>
  <c r="J153" i="40"/>
  <c r="M153" i="40" s="1"/>
  <c r="J152" i="40"/>
  <c r="M152" i="40" s="1"/>
  <c r="J151" i="40"/>
  <c r="M151" i="40" s="1"/>
  <c r="J150" i="40"/>
  <c r="M150" i="40" s="1"/>
  <c r="J149" i="40"/>
  <c r="M149" i="40" s="1"/>
  <c r="J148" i="40"/>
  <c r="M148" i="40" s="1"/>
  <c r="J147" i="40"/>
  <c r="M147" i="40" s="1"/>
  <c r="J146" i="40"/>
  <c r="M146" i="40" s="1"/>
  <c r="J145" i="40"/>
  <c r="M145" i="40" s="1"/>
  <c r="J144" i="40"/>
  <c r="M144" i="40" s="1"/>
  <c r="J143" i="40"/>
  <c r="M143" i="40" s="1"/>
  <c r="J142" i="40"/>
  <c r="M142" i="40" s="1"/>
  <c r="J141" i="40"/>
  <c r="M141" i="40" s="1"/>
  <c r="J140" i="40"/>
  <c r="M140" i="40" s="1"/>
  <c r="J139" i="40"/>
  <c r="M139" i="40" s="1"/>
  <c r="J138" i="40"/>
  <c r="M138" i="40" s="1"/>
  <c r="J137" i="40"/>
  <c r="M137" i="40" s="1"/>
  <c r="J136" i="40"/>
  <c r="M136" i="40" s="1"/>
  <c r="J135" i="40"/>
  <c r="M135" i="40" s="1"/>
  <c r="J134" i="40"/>
  <c r="M134" i="40" s="1"/>
  <c r="J133" i="40"/>
  <c r="M133" i="40" s="1"/>
  <c r="J132" i="40"/>
  <c r="M132" i="40" s="1"/>
  <c r="J131" i="40"/>
  <c r="M131" i="40" s="1"/>
  <c r="J130" i="40"/>
  <c r="M130" i="40" s="1"/>
  <c r="J129" i="40"/>
  <c r="M129" i="40" s="1"/>
  <c r="J128" i="40"/>
  <c r="M128" i="40" s="1"/>
  <c r="J127" i="40"/>
  <c r="M127" i="40" s="1"/>
  <c r="J126" i="40"/>
  <c r="M126" i="40" s="1"/>
  <c r="J125" i="40"/>
  <c r="M125" i="40" s="1"/>
  <c r="J124" i="40"/>
  <c r="M124" i="40" s="1"/>
  <c r="J123" i="40"/>
  <c r="M123" i="40" s="1"/>
  <c r="J122" i="40"/>
  <c r="M122" i="40" s="1"/>
  <c r="J121" i="40"/>
  <c r="M121" i="40" s="1"/>
  <c r="J120" i="40"/>
  <c r="M120" i="40" s="1"/>
  <c r="J119" i="40"/>
  <c r="M119" i="40" s="1"/>
  <c r="J118" i="40"/>
  <c r="M118" i="40" s="1"/>
  <c r="J117" i="40"/>
  <c r="M117" i="40" s="1"/>
  <c r="J116" i="40"/>
  <c r="M116" i="40" s="1"/>
  <c r="J115" i="40"/>
  <c r="M115" i="40" s="1"/>
  <c r="J114" i="40"/>
  <c r="M114" i="40" s="1"/>
  <c r="J113" i="40"/>
  <c r="M113" i="40" s="1"/>
  <c r="J112" i="40"/>
  <c r="M112" i="40" s="1"/>
  <c r="J111" i="40"/>
  <c r="M111" i="40" s="1"/>
  <c r="J110" i="40"/>
  <c r="M110" i="40" s="1"/>
  <c r="J109" i="40"/>
  <c r="M109" i="40" s="1"/>
  <c r="J108" i="40"/>
  <c r="M108" i="40" s="1"/>
  <c r="J107" i="40"/>
  <c r="M107" i="40" s="1"/>
  <c r="J106" i="40"/>
  <c r="M106" i="40" s="1"/>
  <c r="Z105" i="40"/>
  <c r="J105" i="40"/>
  <c r="M105" i="40" s="1"/>
  <c r="X104" i="40"/>
  <c r="Q104" i="40"/>
  <c r="S104" i="40" s="1"/>
  <c r="U104" i="40" s="1"/>
  <c r="J104" i="40"/>
  <c r="M104" i="40" s="1"/>
  <c r="X103" i="40"/>
  <c r="Q103" i="40"/>
  <c r="S103" i="40" s="1"/>
  <c r="U103" i="40" s="1"/>
  <c r="J103" i="40"/>
  <c r="M103" i="40" s="1"/>
  <c r="X102" i="40"/>
  <c r="Q102" i="40"/>
  <c r="S102" i="40" s="1"/>
  <c r="U102" i="40" s="1"/>
  <c r="J102" i="40"/>
  <c r="M102" i="40" s="1"/>
  <c r="X101" i="40"/>
  <c r="Q101" i="40"/>
  <c r="S101" i="40" s="1"/>
  <c r="U101" i="40" s="1"/>
  <c r="J101" i="40"/>
  <c r="M101" i="40" s="1"/>
  <c r="X100" i="40"/>
  <c r="Q100" i="40"/>
  <c r="S100" i="40" s="1"/>
  <c r="U100" i="40" s="1"/>
  <c r="J100" i="40"/>
  <c r="M100" i="40" s="1"/>
  <c r="X99" i="40"/>
  <c r="Q99" i="40"/>
  <c r="S99" i="40" s="1"/>
  <c r="U99" i="40" s="1"/>
  <c r="J99" i="40"/>
  <c r="M99" i="40" s="1"/>
  <c r="X98" i="40"/>
  <c r="Q98" i="40"/>
  <c r="S98" i="40" s="1"/>
  <c r="U98" i="40" s="1"/>
  <c r="J98" i="40"/>
  <c r="M98" i="40" s="1"/>
  <c r="X97" i="40"/>
  <c r="Q97" i="40"/>
  <c r="S97" i="40" s="1"/>
  <c r="U97" i="40" s="1"/>
  <c r="J97" i="40"/>
  <c r="M97" i="40" s="1"/>
  <c r="X96" i="40"/>
  <c r="Q96" i="40"/>
  <c r="S96" i="40" s="1"/>
  <c r="U96" i="40" s="1"/>
  <c r="J96" i="40"/>
  <c r="M96" i="40" s="1"/>
  <c r="X95" i="40"/>
  <c r="Q95" i="40"/>
  <c r="S95" i="40" s="1"/>
  <c r="U95" i="40" s="1"/>
  <c r="J95" i="40"/>
  <c r="M95" i="40" s="1"/>
  <c r="X94" i="40"/>
  <c r="Q94" i="40"/>
  <c r="S94" i="40" s="1"/>
  <c r="U94" i="40" s="1"/>
  <c r="J94" i="40"/>
  <c r="M94" i="40" s="1"/>
  <c r="X93" i="40"/>
  <c r="Q93" i="40"/>
  <c r="S93" i="40" s="1"/>
  <c r="U93" i="40" s="1"/>
  <c r="J93" i="40"/>
  <c r="M93" i="40" s="1"/>
  <c r="X92" i="40"/>
  <c r="Q92" i="40"/>
  <c r="S92" i="40" s="1"/>
  <c r="U92" i="40" s="1"/>
  <c r="J92" i="40"/>
  <c r="M92" i="40" s="1"/>
  <c r="X91" i="40"/>
  <c r="Q91" i="40"/>
  <c r="S91" i="40" s="1"/>
  <c r="U91" i="40" s="1"/>
  <c r="J91" i="40"/>
  <c r="M91" i="40" s="1"/>
  <c r="X90" i="40"/>
  <c r="Q90" i="40"/>
  <c r="S90" i="40" s="1"/>
  <c r="U90" i="40" s="1"/>
  <c r="J90" i="40"/>
  <c r="M90" i="40" s="1"/>
  <c r="X89" i="40"/>
  <c r="Q89" i="40"/>
  <c r="S89" i="40" s="1"/>
  <c r="U89" i="40" s="1"/>
  <c r="J89" i="40"/>
  <c r="M89" i="40" s="1"/>
  <c r="X88" i="40"/>
  <c r="Q88" i="40"/>
  <c r="S88" i="40" s="1"/>
  <c r="U88" i="40" s="1"/>
  <c r="J88" i="40"/>
  <c r="M88" i="40" s="1"/>
  <c r="X87" i="40"/>
  <c r="Q87" i="40"/>
  <c r="S87" i="40" s="1"/>
  <c r="U87" i="40" s="1"/>
  <c r="J87" i="40"/>
  <c r="M87" i="40" s="1"/>
  <c r="X86" i="40"/>
  <c r="Q86" i="40"/>
  <c r="S86" i="40" s="1"/>
  <c r="U86" i="40" s="1"/>
  <c r="J86" i="40"/>
  <c r="M86" i="40" s="1"/>
  <c r="X85" i="40"/>
  <c r="Q85" i="40"/>
  <c r="S85" i="40" s="1"/>
  <c r="U85" i="40" s="1"/>
  <c r="J85" i="40"/>
  <c r="M85" i="40" s="1"/>
  <c r="X84" i="40"/>
  <c r="Q84" i="40"/>
  <c r="S84" i="40" s="1"/>
  <c r="U84" i="40" s="1"/>
  <c r="J84" i="40"/>
  <c r="M84" i="40" s="1"/>
  <c r="X83" i="40"/>
  <c r="Q83" i="40"/>
  <c r="S83" i="40" s="1"/>
  <c r="U83" i="40" s="1"/>
  <c r="J83" i="40"/>
  <c r="M83" i="40" s="1"/>
  <c r="X82" i="40"/>
  <c r="Q82" i="40"/>
  <c r="S82" i="40" s="1"/>
  <c r="U82" i="40" s="1"/>
  <c r="J82" i="40"/>
  <c r="M82" i="40" s="1"/>
  <c r="X81" i="40"/>
  <c r="Q81" i="40"/>
  <c r="S81" i="40" s="1"/>
  <c r="U81" i="40" s="1"/>
  <c r="J81" i="40"/>
  <c r="M81" i="40" s="1"/>
  <c r="X80" i="40"/>
  <c r="Q80" i="40"/>
  <c r="S80" i="40" s="1"/>
  <c r="U80" i="40" s="1"/>
  <c r="J80" i="40"/>
  <c r="M80" i="40" s="1"/>
  <c r="X79" i="40"/>
  <c r="Q79" i="40"/>
  <c r="S79" i="40" s="1"/>
  <c r="U79" i="40" s="1"/>
  <c r="J79" i="40"/>
  <c r="M79" i="40" s="1"/>
  <c r="X78" i="40"/>
  <c r="Q78" i="40"/>
  <c r="S78" i="40" s="1"/>
  <c r="U78" i="40" s="1"/>
  <c r="J78" i="40"/>
  <c r="M78" i="40" s="1"/>
  <c r="X77" i="40"/>
  <c r="Q77" i="40"/>
  <c r="S77" i="40" s="1"/>
  <c r="U77" i="40" s="1"/>
  <c r="J77" i="40"/>
  <c r="M77" i="40" s="1"/>
  <c r="X76" i="40"/>
  <c r="Q76" i="40"/>
  <c r="S76" i="40" s="1"/>
  <c r="U76" i="40" s="1"/>
  <c r="J76" i="40"/>
  <c r="M76" i="40" s="1"/>
  <c r="X75" i="40"/>
  <c r="Q75" i="40"/>
  <c r="S75" i="40" s="1"/>
  <c r="U75" i="40" s="1"/>
  <c r="J75" i="40"/>
  <c r="M75" i="40" s="1"/>
  <c r="X74" i="40"/>
  <c r="Q74" i="40"/>
  <c r="S74" i="40" s="1"/>
  <c r="U74" i="40" s="1"/>
  <c r="J74" i="40"/>
  <c r="M74" i="40" s="1"/>
  <c r="X73" i="40"/>
  <c r="Q73" i="40"/>
  <c r="S73" i="40" s="1"/>
  <c r="U73" i="40" s="1"/>
  <c r="J73" i="40"/>
  <c r="M73" i="40" s="1"/>
  <c r="X72" i="40"/>
  <c r="Q72" i="40"/>
  <c r="S72" i="40" s="1"/>
  <c r="U72" i="40" s="1"/>
  <c r="J72" i="40"/>
  <c r="M72" i="40" s="1"/>
  <c r="X71" i="40"/>
  <c r="Q71" i="40"/>
  <c r="S71" i="40" s="1"/>
  <c r="U71" i="40" s="1"/>
  <c r="J71" i="40"/>
  <c r="M71" i="40" s="1"/>
  <c r="X70" i="40"/>
  <c r="Q70" i="40"/>
  <c r="S70" i="40" s="1"/>
  <c r="U70" i="40" s="1"/>
  <c r="J70" i="40"/>
  <c r="M70" i="40" s="1"/>
  <c r="X69" i="40"/>
  <c r="Q69" i="40"/>
  <c r="S69" i="40" s="1"/>
  <c r="U69" i="40" s="1"/>
  <c r="J69" i="40"/>
  <c r="M69" i="40" s="1"/>
  <c r="X68" i="40"/>
  <c r="Q68" i="40"/>
  <c r="S68" i="40" s="1"/>
  <c r="U68" i="40" s="1"/>
  <c r="J68" i="40"/>
  <c r="M68" i="40" s="1"/>
  <c r="X67" i="40"/>
  <c r="Q67" i="40"/>
  <c r="S67" i="40" s="1"/>
  <c r="U67" i="40" s="1"/>
  <c r="J67" i="40"/>
  <c r="M67" i="40" s="1"/>
  <c r="X66" i="40"/>
  <c r="Q66" i="40"/>
  <c r="S66" i="40" s="1"/>
  <c r="U66" i="40" s="1"/>
  <c r="J66" i="40"/>
  <c r="M66" i="40" s="1"/>
  <c r="X65" i="40"/>
  <c r="Q65" i="40"/>
  <c r="S65" i="40" s="1"/>
  <c r="U65" i="40" s="1"/>
  <c r="J65" i="40"/>
  <c r="M65" i="40" s="1"/>
  <c r="X64" i="40"/>
  <c r="Q64" i="40"/>
  <c r="S64" i="40" s="1"/>
  <c r="U64" i="40" s="1"/>
  <c r="J64" i="40"/>
  <c r="M64" i="40" s="1"/>
  <c r="X63" i="40"/>
  <c r="Q63" i="40"/>
  <c r="S63" i="40" s="1"/>
  <c r="U63" i="40" s="1"/>
  <c r="J63" i="40"/>
  <c r="M63" i="40" s="1"/>
  <c r="X62" i="40"/>
  <c r="Q62" i="40"/>
  <c r="S62" i="40" s="1"/>
  <c r="U62" i="40" s="1"/>
  <c r="J62" i="40"/>
  <c r="M62" i="40" s="1"/>
  <c r="X61" i="40"/>
  <c r="Q61" i="40"/>
  <c r="S61" i="40" s="1"/>
  <c r="U61" i="40" s="1"/>
  <c r="J61" i="40"/>
  <c r="M61" i="40" s="1"/>
  <c r="X60" i="40"/>
  <c r="Q60" i="40"/>
  <c r="S60" i="40" s="1"/>
  <c r="U60" i="40" s="1"/>
  <c r="J60" i="40"/>
  <c r="M60" i="40" s="1"/>
  <c r="X59" i="40"/>
  <c r="Q59" i="40"/>
  <c r="S59" i="40" s="1"/>
  <c r="U59" i="40" s="1"/>
  <c r="J59" i="40"/>
  <c r="M59" i="40" s="1"/>
  <c r="X58" i="40"/>
  <c r="Q58" i="40"/>
  <c r="S58" i="40" s="1"/>
  <c r="U58" i="40" s="1"/>
  <c r="J58" i="40"/>
  <c r="M58" i="40" s="1"/>
  <c r="X57" i="40"/>
  <c r="Q57" i="40"/>
  <c r="S57" i="40" s="1"/>
  <c r="U57" i="40" s="1"/>
  <c r="J57" i="40"/>
  <c r="M57" i="40" s="1"/>
  <c r="X56" i="40"/>
  <c r="Q56" i="40"/>
  <c r="S56" i="40" s="1"/>
  <c r="U56" i="40" s="1"/>
  <c r="J56" i="40"/>
  <c r="M56" i="40" s="1"/>
  <c r="X55" i="40"/>
  <c r="Q55" i="40"/>
  <c r="S55" i="40" s="1"/>
  <c r="U55" i="40" s="1"/>
  <c r="J55" i="40"/>
  <c r="M55" i="40" s="1"/>
  <c r="X54" i="40"/>
  <c r="Q54" i="40"/>
  <c r="S54" i="40" s="1"/>
  <c r="U54" i="40" s="1"/>
  <c r="J54" i="40"/>
  <c r="M54" i="40" s="1"/>
  <c r="X53" i="40"/>
  <c r="Q53" i="40"/>
  <c r="S53" i="40" s="1"/>
  <c r="U53" i="40" s="1"/>
  <c r="J53" i="40"/>
  <c r="M53" i="40" s="1"/>
  <c r="X52" i="40"/>
  <c r="Q52" i="40"/>
  <c r="S52" i="40" s="1"/>
  <c r="U52" i="40" s="1"/>
  <c r="J52" i="40"/>
  <c r="M52" i="40" s="1"/>
  <c r="X51" i="40"/>
  <c r="Q51" i="40"/>
  <c r="S51" i="40" s="1"/>
  <c r="U51" i="40" s="1"/>
  <c r="J51" i="40"/>
  <c r="M51" i="40" s="1"/>
  <c r="X50" i="40"/>
  <c r="Q50" i="40"/>
  <c r="S50" i="40" s="1"/>
  <c r="U50" i="40" s="1"/>
  <c r="J50" i="40"/>
  <c r="M50" i="40" s="1"/>
  <c r="X49" i="40"/>
  <c r="Q49" i="40"/>
  <c r="S49" i="40" s="1"/>
  <c r="U49" i="40" s="1"/>
  <c r="J49" i="40"/>
  <c r="M49" i="40" s="1"/>
  <c r="X48" i="40"/>
  <c r="Q48" i="40"/>
  <c r="S48" i="40" s="1"/>
  <c r="U48" i="40" s="1"/>
  <c r="J48" i="40"/>
  <c r="M48" i="40" s="1"/>
  <c r="X47" i="40"/>
  <c r="Q47" i="40"/>
  <c r="S47" i="40" s="1"/>
  <c r="U47" i="40" s="1"/>
  <c r="J47" i="40"/>
  <c r="M47" i="40" s="1"/>
  <c r="X46" i="40"/>
  <c r="Q46" i="40"/>
  <c r="S46" i="40" s="1"/>
  <c r="U46" i="40" s="1"/>
  <c r="J46" i="40"/>
  <c r="M46" i="40" s="1"/>
  <c r="X45" i="40"/>
  <c r="Q45" i="40"/>
  <c r="S45" i="40" s="1"/>
  <c r="U45" i="40" s="1"/>
  <c r="J45" i="40"/>
  <c r="M45" i="40" s="1"/>
  <c r="X44" i="40"/>
  <c r="Q44" i="40"/>
  <c r="S44" i="40" s="1"/>
  <c r="U44" i="40" s="1"/>
  <c r="J44" i="40"/>
  <c r="M44" i="40" s="1"/>
  <c r="X43" i="40"/>
  <c r="Q43" i="40"/>
  <c r="S43" i="40" s="1"/>
  <c r="U43" i="40" s="1"/>
  <c r="J43" i="40"/>
  <c r="M43" i="40" s="1"/>
  <c r="X42" i="40"/>
  <c r="Q42" i="40"/>
  <c r="S42" i="40" s="1"/>
  <c r="U42" i="40" s="1"/>
  <c r="J42" i="40"/>
  <c r="M42" i="40" s="1"/>
  <c r="X41" i="40"/>
  <c r="Q41" i="40"/>
  <c r="S41" i="40" s="1"/>
  <c r="U41" i="40" s="1"/>
  <c r="J41" i="40"/>
  <c r="M41" i="40" s="1"/>
  <c r="X40" i="40"/>
  <c r="Q40" i="40"/>
  <c r="S40" i="40" s="1"/>
  <c r="U40" i="40" s="1"/>
  <c r="J40" i="40"/>
  <c r="M40" i="40" s="1"/>
  <c r="X39" i="40"/>
  <c r="Q39" i="40"/>
  <c r="S39" i="40" s="1"/>
  <c r="U39" i="40" s="1"/>
  <c r="J39" i="40"/>
  <c r="M39" i="40" s="1"/>
  <c r="X38" i="40"/>
  <c r="Q38" i="40"/>
  <c r="S38" i="40" s="1"/>
  <c r="U38" i="40" s="1"/>
  <c r="J38" i="40"/>
  <c r="M38" i="40" s="1"/>
  <c r="X37" i="40"/>
  <c r="Q37" i="40"/>
  <c r="S37" i="40" s="1"/>
  <c r="U37" i="40" s="1"/>
  <c r="J37" i="40"/>
  <c r="M37" i="40" s="1"/>
  <c r="X36" i="40"/>
  <c r="Q36" i="40"/>
  <c r="S36" i="40" s="1"/>
  <c r="U36" i="40" s="1"/>
  <c r="J36" i="40"/>
  <c r="M36" i="40" s="1"/>
  <c r="X35" i="40"/>
  <c r="Q35" i="40"/>
  <c r="S35" i="40" s="1"/>
  <c r="U35" i="40" s="1"/>
  <c r="J35" i="40"/>
  <c r="M35" i="40" s="1"/>
  <c r="X34" i="40"/>
  <c r="Q34" i="40"/>
  <c r="S34" i="40" s="1"/>
  <c r="U34" i="40" s="1"/>
  <c r="J34" i="40"/>
  <c r="M34" i="40" s="1"/>
  <c r="X33" i="40"/>
  <c r="Q33" i="40"/>
  <c r="S33" i="40" s="1"/>
  <c r="U33" i="40" s="1"/>
  <c r="J33" i="40"/>
  <c r="M33" i="40" s="1"/>
  <c r="X32" i="40"/>
  <c r="Q32" i="40"/>
  <c r="S32" i="40" s="1"/>
  <c r="U32" i="40" s="1"/>
  <c r="J32" i="40"/>
  <c r="M32" i="40" s="1"/>
  <c r="X31" i="40"/>
  <c r="Q31" i="40"/>
  <c r="S31" i="40" s="1"/>
  <c r="U31" i="40" s="1"/>
  <c r="J31" i="40"/>
  <c r="M31" i="40" s="1"/>
  <c r="X30" i="40"/>
  <c r="Q30" i="40"/>
  <c r="S30" i="40" s="1"/>
  <c r="U30" i="40" s="1"/>
  <c r="J30" i="40"/>
  <c r="M30" i="40" s="1"/>
  <c r="X29" i="40"/>
  <c r="Q29" i="40"/>
  <c r="S29" i="40" s="1"/>
  <c r="U29" i="40" s="1"/>
  <c r="J29" i="40"/>
  <c r="M29" i="40" s="1"/>
  <c r="X28" i="40"/>
  <c r="Q28" i="40"/>
  <c r="S28" i="40" s="1"/>
  <c r="U28" i="40" s="1"/>
  <c r="J28" i="40"/>
  <c r="M28" i="40" s="1"/>
  <c r="X27" i="40"/>
  <c r="Q27" i="40"/>
  <c r="S27" i="40" s="1"/>
  <c r="U27" i="40" s="1"/>
  <c r="J27" i="40"/>
  <c r="M27" i="40" s="1"/>
  <c r="X26" i="40"/>
  <c r="Q26" i="40"/>
  <c r="S26" i="40" s="1"/>
  <c r="U26" i="40" s="1"/>
  <c r="J26" i="40"/>
  <c r="M26" i="40" s="1"/>
  <c r="X25" i="40"/>
  <c r="Q25" i="40"/>
  <c r="S25" i="40" s="1"/>
  <c r="U25" i="40" s="1"/>
  <c r="J25" i="40"/>
  <c r="M25" i="40" s="1"/>
  <c r="X24" i="40"/>
  <c r="Q24" i="40"/>
  <c r="S24" i="40" s="1"/>
  <c r="U24" i="40" s="1"/>
  <c r="J24" i="40"/>
  <c r="M24" i="40" s="1"/>
  <c r="X23" i="40"/>
  <c r="Q23" i="40"/>
  <c r="S23" i="40" s="1"/>
  <c r="U23" i="40" s="1"/>
  <c r="J23" i="40"/>
  <c r="M23" i="40" s="1"/>
  <c r="X22" i="40"/>
  <c r="Q22" i="40"/>
  <c r="S22" i="40" s="1"/>
  <c r="U22" i="40" s="1"/>
  <c r="J22" i="40"/>
  <c r="M22" i="40" s="1"/>
  <c r="X21" i="40"/>
  <c r="Q21" i="40"/>
  <c r="S21" i="40" s="1"/>
  <c r="U21" i="40" s="1"/>
  <c r="J21" i="40"/>
  <c r="M21" i="40" s="1"/>
  <c r="X20" i="40"/>
  <c r="Q20" i="40"/>
  <c r="S20" i="40" s="1"/>
  <c r="U20" i="40" s="1"/>
  <c r="J20" i="40"/>
  <c r="M20" i="40" s="1"/>
  <c r="X19" i="40"/>
  <c r="Q19" i="40"/>
  <c r="S19" i="40" s="1"/>
  <c r="U19" i="40" s="1"/>
  <c r="J19" i="40"/>
  <c r="M19" i="40" s="1"/>
  <c r="X18" i="40"/>
  <c r="Q18" i="40"/>
  <c r="S18" i="40" s="1"/>
  <c r="U18" i="40" s="1"/>
  <c r="J18" i="40"/>
  <c r="M18" i="40" s="1"/>
  <c r="X17" i="40"/>
  <c r="Q17" i="40"/>
  <c r="S17" i="40" s="1"/>
  <c r="U17" i="40" s="1"/>
  <c r="J17" i="40"/>
  <c r="M17" i="40" s="1"/>
  <c r="X16" i="40"/>
  <c r="Q16" i="40"/>
  <c r="S16" i="40" s="1"/>
  <c r="U16" i="40" s="1"/>
  <c r="J16" i="40"/>
  <c r="M16" i="40" s="1"/>
  <c r="X15" i="40"/>
  <c r="Q15" i="40"/>
  <c r="S15" i="40" s="1"/>
  <c r="U15" i="40" s="1"/>
  <c r="J15" i="40"/>
  <c r="M15" i="40" s="1"/>
  <c r="X14" i="40"/>
  <c r="Q14" i="40"/>
  <c r="S14" i="40" s="1"/>
  <c r="U14" i="40" s="1"/>
  <c r="J14" i="40"/>
  <c r="M14" i="40" s="1"/>
  <c r="X13" i="40"/>
  <c r="Q13" i="40"/>
  <c r="S13" i="40" s="1"/>
  <c r="U13" i="40" s="1"/>
  <c r="J13" i="40"/>
  <c r="M13" i="40" s="1"/>
  <c r="X12" i="40"/>
  <c r="Q12" i="40"/>
  <c r="S12" i="40" s="1"/>
  <c r="U12" i="40" s="1"/>
  <c r="J12" i="40"/>
  <c r="M12" i="40" s="1"/>
  <c r="X11" i="40"/>
  <c r="Q11" i="40"/>
  <c r="S11" i="40" s="1"/>
  <c r="U11" i="40" s="1"/>
  <c r="J11" i="40"/>
  <c r="M11" i="40" s="1"/>
  <c r="X10" i="40"/>
  <c r="Q10" i="40"/>
  <c r="S10" i="40" s="1"/>
  <c r="U10" i="40" s="1"/>
  <c r="J10" i="40"/>
  <c r="M10" i="40" s="1"/>
  <c r="X9" i="40"/>
  <c r="Q9" i="40"/>
  <c r="S9" i="40" s="1"/>
  <c r="U9" i="40" s="1"/>
  <c r="J9" i="40"/>
  <c r="M9" i="40" s="1"/>
  <c r="X8" i="40"/>
  <c r="Q8" i="40"/>
  <c r="S8" i="40" s="1"/>
  <c r="U8" i="40" s="1"/>
  <c r="J8" i="40"/>
  <c r="M8" i="40" s="1"/>
  <c r="X7" i="40"/>
  <c r="Q7" i="40"/>
  <c r="S7" i="40" s="1"/>
  <c r="U7" i="40" s="1"/>
  <c r="J7" i="40"/>
  <c r="M7" i="40" s="1"/>
  <c r="X6" i="40"/>
  <c r="Q6" i="40"/>
  <c r="S6" i="40" s="1"/>
  <c r="U6" i="40" s="1"/>
  <c r="J6" i="40"/>
  <c r="M6" i="40" s="1"/>
  <c r="X5" i="40"/>
  <c r="Q5" i="40"/>
  <c r="S5" i="40" s="1"/>
  <c r="U5" i="40" s="1"/>
  <c r="J5" i="40"/>
  <c r="K213" i="39"/>
  <c r="N10" i="15" s="1"/>
  <c r="K210" i="39"/>
  <c r="K220" i="39" s="1"/>
  <c r="J204" i="39"/>
  <c r="M204" i="39" s="1"/>
  <c r="J203" i="39"/>
  <c r="M203" i="39" s="1"/>
  <c r="J202" i="39"/>
  <c r="M202" i="39" s="1"/>
  <c r="J201" i="39"/>
  <c r="M201" i="39" s="1"/>
  <c r="J200" i="39"/>
  <c r="M200" i="39" s="1"/>
  <c r="J199" i="39"/>
  <c r="M199" i="39" s="1"/>
  <c r="J198" i="39"/>
  <c r="M198" i="39" s="1"/>
  <c r="J197" i="39"/>
  <c r="M197" i="39" s="1"/>
  <c r="J196" i="39"/>
  <c r="M196" i="39" s="1"/>
  <c r="J195" i="39"/>
  <c r="M195" i="39" s="1"/>
  <c r="J194" i="39"/>
  <c r="M194" i="39" s="1"/>
  <c r="J193" i="39"/>
  <c r="M193" i="39" s="1"/>
  <c r="J192" i="39"/>
  <c r="M192" i="39" s="1"/>
  <c r="J191" i="39"/>
  <c r="M191" i="39" s="1"/>
  <c r="J190" i="39"/>
  <c r="M190" i="39" s="1"/>
  <c r="J189" i="39"/>
  <c r="M189" i="39" s="1"/>
  <c r="J188" i="39"/>
  <c r="M188" i="39" s="1"/>
  <c r="J187" i="39"/>
  <c r="M187" i="39" s="1"/>
  <c r="J186" i="39"/>
  <c r="M186" i="39" s="1"/>
  <c r="J185" i="39"/>
  <c r="M185" i="39" s="1"/>
  <c r="J184" i="39"/>
  <c r="M184" i="39" s="1"/>
  <c r="J183" i="39"/>
  <c r="M183" i="39" s="1"/>
  <c r="J182" i="39"/>
  <c r="M182" i="39" s="1"/>
  <c r="J181" i="39"/>
  <c r="M181" i="39" s="1"/>
  <c r="J180" i="39"/>
  <c r="M180" i="39" s="1"/>
  <c r="J179" i="39"/>
  <c r="M179" i="39" s="1"/>
  <c r="J178" i="39"/>
  <c r="M178" i="39" s="1"/>
  <c r="J177" i="39"/>
  <c r="M177" i="39" s="1"/>
  <c r="J176" i="39"/>
  <c r="M176" i="39" s="1"/>
  <c r="J175" i="39"/>
  <c r="M175" i="39" s="1"/>
  <c r="J174" i="39"/>
  <c r="M174" i="39" s="1"/>
  <c r="J173" i="39"/>
  <c r="M173" i="39" s="1"/>
  <c r="J172" i="39"/>
  <c r="M172" i="39" s="1"/>
  <c r="J171" i="39"/>
  <c r="M171" i="39" s="1"/>
  <c r="J170" i="39"/>
  <c r="M170" i="39" s="1"/>
  <c r="J169" i="39"/>
  <c r="M169" i="39" s="1"/>
  <c r="J168" i="39"/>
  <c r="M168" i="39" s="1"/>
  <c r="J167" i="39"/>
  <c r="M167" i="39" s="1"/>
  <c r="J166" i="39"/>
  <c r="M166" i="39" s="1"/>
  <c r="J165" i="39"/>
  <c r="M165" i="39" s="1"/>
  <c r="J164" i="39"/>
  <c r="M164" i="39" s="1"/>
  <c r="J163" i="39"/>
  <c r="M163" i="39" s="1"/>
  <c r="J162" i="39"/>
  <c r="M162" i="39" s="1"/>
  <c r="J161" i="39"/>
  <c r="M161" i="39" s="1"/>
  <c r="J160" i="39"/>
  <c r="M160" i="39" s="1"/>
  <c r="J159" i="39"/>
  <c r="M159" i="39" s="1"/>
  <c r="J158" i="39"/>
  <c r="M158" i="39" s="1"/>
  <c r="J157" i="39"/>
  <c r="M157" i="39" s="1"/>
  <c r="J156" i="39"/>
  <c r="M156" i="39" s="1"/>
  <c r="J155" i="39"/>
  <c r="M155" i="39" s="1"/>
  <c r="J154" i="39"/>
  <c r="M154" i="39" s="1"/>
  <c r="J153" i="39"/>
  <c r="M153" i="39" s="1"/>
  <c r="J152" i="39"/>
  <c r="M152" i="39" s="1"/>
  <c r="J151" i="39"/>
  <c r="M151" i="39" s="1"/>
  <c r="J150" i="39"/>
  <c r="M150" i="39" s="1"/>
  <c r="J149" i="39"/>
  <c r="M149" i="39" s="1"/>
  <c r="J148" i="39"/>
  <c r="M148" i="39" s="1"/>
  <c r="J147" i="39"/>
  <c r="M147" i="39" s="1"/>
  <c r="J146" i="39"/>
  <c r="M146" i="39" s="1"/>
  <c r="J145" i="39"/>
  <c r="M145" i="39" s="1"/>
  <c r="J144" i="39"/>
  <c r="M144" i="39" s="1"/>
  <c r="J143" i="39"/>
  <c r="M143" i="39" s="1"/>
  <c r="J142" i="39"/>
  <c r="M142" i="39" s="1"/>
  <c r="J141" i="39"/>
  <c r="M141" i="39" s="1"/>
  <c r="J140" i="39"/>
  <c r="M140" i="39" s="1"/>
  <c r="J139" i="39"/>
  <c r="M139" i="39" s="1"/>
  <c r="J138" i="39"/>
  <c r="M138" i="39" s="1"/>
  <c r="J137" i="39"/>
  <c r="M137" i="39" s="1"/>
  <c r="J136" i="39"/>
  <c r="M136" i="39" s="1"/>
  <c r="J135" i="39"/>
  <c r="M135" i="39" s="1"/>
  <c r="J134" i="39"/>
  <c r="M134" i="39" s="1"/>
  <c r="J133" i="39"/>
  <c r="M133" i="39" s="1"/>
  <c r="J132" i="39"/>
  <c r="M132" i="39" s="1"/>
  <c r="J131" i="39"/>
  <c r="M131" i="39" s="1"/>
  <c r="J130" i="39"/>
  <c r="M130" i="39" s="1"/>
  <c r="J129" i="39"/>
  <c r="M129" i="39" s="1"/>
  <c r="J128" i="39"/>
  <c r="M128" i="39" s="1"/>
  <c r="J127" i="39"/>
  <c r="M127" i="39" s="1"/>
  <c r="J126" i="39"/>
  <c r="M126" i="39" s="1"/>
  <c r="J125" i="39"/>
  <c r="M125" i="39" s="1"/>
  <c r="J124" i="39"/>
  <c r="M124" i="39" s="1"/>
  <c r="J123" i="39"/>
  <c r="M123" i="39" s="1"/>
  <c r="J122" i="39"/>
  <c r="M122" i="39" s="1"/>
  <c r="J121" i="39"/>
  <c r="M121" i="39" s="1"/>
  <c r="J120" i="39"/>
  <c r="M120" i="39" s="1"/>
  <c r="J119" i="39"/>
  <c r="M119" i="39" s="1"/>
  <c r="J118" i="39"/>
  <c r="M118" i="39" s="1"/>
  <c r="J117" i="39"/>
  <c r="M117" i="39" s="1"/>
  <c r="J116" i="39"/>
  <c r="M116" i="39" s="1"/>
  <c r="J115" i="39"/>
  <c r="M115" i="39" s="1"/>
  <c r="J114" i="39"/>
  <c r="M114" i="39" s="1"/>
  <c r="J113" i="39"/>
  <c r="M113" i="39" s="1"/>
  <c r="J112" i="39"/>
  <c r="M112" i="39" s="1"/>
  <c r="J111" i="39"/>
  <c r="M111" i="39" s="1"/>
  <c r="J110" i="39"/>
  <c r="M110" i="39" s="1"/>
  <c r="J109" i="39"/>
  <c r="M109" i="39" s="1"/>
  <c r="J108" i="39"/>
  <c r="M108" i="39" s="1"/>
  <c r="J107" i="39"/>
  <c r="M107" i="39" s="1"/>
  <c r="J106" i="39"/>
  <c r="M106" i="39" s="1"/>
  <c r="Z105" i="39"/>
  <c r="J105" i="39"/>
  <c r="M105" i="39" s="1"/>
  <c r="X104" i="39"/>
  <c r="Q104" i="39"/>
  <c r="S104" i="39" s="1"/>
  <c r="U104" i="39" s="1"/>
  <c r="J104" i="39"/>
  <c r="M104" i="39" s="1"/>
  <c r="X103" i="39"/>
  <c r="Q103" i="39"/>
  <c r="S103" i="39" s="1"/>
  <c r="U103" i="39" s="1"/>
  <c r="J103" i="39"/>
  <c r="M103" i="39" s="1"/>
  <c r="X102" i="39"/>
  <c r="Q102" i="39"/>
  <c r="S102" i="39" s="1"/>
  <c r="U102" i="39" s="1"/>
  <c r="J102" i="39"/>
  <c r="M102" i="39" s="1"/>
  <c r="X101" i="39"/>
  <c r="Q101" i="39"/>
  <c r="S101" i="39" s="1"/>
  <c r="U101" i="39" s="1"/>
  <c r="J101" i="39"/>
  <c r="M101" i="39" s="1"/>
  <c r="X100" i="39"/>
  <c r="Q100" i="39"/>
  <c r="S100" i="39" s="1"/>
  <c r="U100" i="39" s="1"/>
  <c r="J100" i="39"/>
  <c r="M100" i="39" s="1"/>
  <c r="X99" i="39"/>
  <c r="Q99" i="39"/>
  <c r="S99" i="39" s="1"/>
  <c r="U99" i="39" s="1"/>
  <c r="J99" i="39"/>
  <c r="M99" i="39" s="1"/>
  <c r="X98" i="39"/>
  <c r="S98" i="39"/>
  <c r="U98" i="39" s="1"/>
  <c r="Q98" i="39"/>
  <c r="J98" i="39"/>
  <c r="M98" i="39" s="1"/>
  <c r="X97" i="39"/>
  <c r="Q97" i="39"/>
  <c r="S97" i="39" s="1"/>
  <c r="U97" i="39" s="1"/>
  <c r="J97" i="39"/>
  <c r="M97" i="39" s="1"/>
  <c r="X96" i="39"/>
  <c r="Q96" i="39"/>
  <c r="S96" i="39" s="1"/>
  <c r="U96" i="39" s="1"/>
  <c r="J96" i="39"/>
  <c r="M96" i="39" s="1"/>
  <c r="X95" i="39"/>
  <c r="Q95" i="39"/>
  <c r="S95" i="39" s="1"/>
  <c r="U95" i="39" s="1"/>
  <c r="J95" i="39"/>
  <c r="M95" i="39" s="1"/>
  <c r="X94" i="39"/>
  <c r="S94" i="39"/>
  <c r="U94" i="39" s="1"/>
  <c r="Q94" i="39"/>
  <c r="J94" i="39"/>
  <c r="M94" i="39" s="1"/>
  <c r="X93" i="39"/>
  <c r="Q93" i="39"/>
  <c r="S93" i="39" s="1"/>
  <c r="U93" i="39" s="1"/>
  <c r="J93" i="39"/>
  <c r="M93" i="39" s="1"/>
  <c r="X92" i="39"/>
  <c r="Q92" i="39"/>
  <c r="S92" i="39" s="1"/>
  <c r="U92" i="39" s="1"/>
  <c r="J92" i="39"/>
  <c r="M92" i="39" s="1"/>
  <c r="X91" i="39"/>
  <c r="Q91" i="39"/>
  <c r="S91" i="39" s="1"/>
  <c r="U91" i="39" s="1"/>
  <c r="J91" i="39"/>
  <c r="M91" i="39" s="1"/>
  <c r="X90" i="39"/>
  <c r="Q90" i="39"/>
  <c r="S90" i="39" s="1"/>
  <c r="U90" i="39" s="1"/>
  <c r="J90" i="39"/>
  <c r="M90" i="39" s="1"/>
  <c r="X89" i="39"/>
  <c r="Q89" i="39"/>
  <c r="S89" i="39" s="1"/>
  <c r="U89" i="39" s="1"/>
  <c r="J89" i="39"/>
  <c r="M89" i="39" s="1"/>
  <c r="X88" i="39"/>
  <c r="Q88" i="39"/>
  <c r="S88" i="39" s="1"/>
  <c r="U88" i="39" s="1"/>
  <c r="J88" i="39"/>
  <c r="M88" i="39" s="1"/>
  <c r="X87" i="39"/>
  <c r="Q87" i="39"/>
  <c r="S87" i="39" s="1"/>
  <c r="U87" i="39" s="1"/>
  <c r="J87" i="39"/>
  <c r="M87" i="39" s="1"/>
  <c r="X86" i="39"/>
  <c r="Q86" i="39"/>
  <c r="S86" i="39" s="1"/>
  <c r="U86" i="39" s="1"/>
  <c r="J86" i="39"/>
  <c r="M86" i="39" s="1"/>
  <c r="X85" i="39"/>
  <c r="Q85" i="39"/>
  <c r="S85" i="39" s="1"/>
  <c r="U85" i="39" s="1"/>
  <c r="J85" i="39"/>
  <c r="M85" i="39" s="1"/>
  <c r="X84" i="39"/>
  <c r="Q84" i="39"/>
  <c r="S84" i="39" s="1"/>
  <c r="U84" i="39" s="1"/>
  <c r="J84" i="39"/>
  <c r="M84" i="39" s="1"/>
  <c r="X83" i="39"/>
  <c r="Q83" i="39"/>
  <c r="S83" i="39" s="1"/>
  <c r="U83" i="39" s="1"/>
  <c r="J83" i="39"/>
  <c r="M83" i="39" s="1"/>
  <c r="X82" i="39"/>
  <c r="S82" i="39"/>
  <c r="U82" i="39" s="1"/>
  <c r="Q82" i="39"/>
  <c r="J82" i="39"/>
  <c r="M82" i="39" s="1"/>
  <c r="X81" i="39"/>
  <c r="Q81" i="39"/>
  <c r="S81" i="39" s="1"/>
  <c r="U81" i="39" s="1"/>
  <c r="J81" i="39"/>
  <c r="M81" i="39" s="1"/>
  <c r="X80" i="39"/>
  <c r="Q80" i="39"/>
  <c r="S80" i="39" s="1"/>
  <c r="U80" i="39" s="1"/>
  <c r="J80" i="39"/>
  <c r="M80" i="39" s="1"/>
  <c r="X79" i="39"/>
  <c r="Q79" i="39"/>
  <c r="S79" i="39" s="1"/>
  <c r="U79" i="39" s="1"/>
  <c r="J79" i="39"/>
  <c r="M79" i="39" s="1"/>
  <c r="X78" i="39"/>
  <c r="Q78" i="39"/>
  <c r="S78" i="39" s="1"/>
  <c r="U78" i="39" s="1"/>
  <c r="J78" i="39"/>
  <c r="M78" i="39" s="1"/>
  <c r="X77" i="39"/>
  <c r="Q77" i="39"/>
  <c r="S77" i="39" s="1"/>
  <c r="U77" i="39" s="1"/>
  <c r="J77" i="39"/>
  <c r="M77" i="39" s="1"/>
  <c r="X76" i="39"/>
  <c r="Q76" i="39"/>
  <c r="S76" i="39" s="1"/>
  <c r="U76" i="39" s="1"/>
  <c r="J76" i="39"/>
  <c r="M76" i="39" s="1"/>
  <c r="X75" i="39"/>
  <c r="Q75" i="39"/>
  <c r="S75" i="39" s="1"/>
  <c r="U75" i="39" s="1"/>
  <c r="J75" i="39"/>
  <c r="M75" i="39" s="1"/>
  <c r="X74" i="39"/>
  <c r="Q74" i="39"/>
  <c r="S74" i="39" s="1"/>
  <c r="U74" i="39" s="1"/>
  <c r="J74" i="39"/>
  <c r="M74" i="39" s="1"/>
  <c r="X73" i="39"/>
  <c r="Q73" i="39"/>
  <c r="S73" i="39" s="1"/>
  <c r="U73" i="39" s="1"/>
  <c r="J73" i="39"/>
  <c r="M73" i="39" s="1"/>
  <c r="X72" i="39"/>
  <c r="Q72" i="39"/>
  <c r="S72" i="39" s="1"/>
  <c r="U72" i="39" s="1"/>
  <c r="J72" i="39"/>
  <c r="M72" i="39" s="1"/>
  <c r="X71" i="39"/>
  <c r="Q71" i="39"/>
  <c r="S71" i="39" s="1"/>
  <c r="U71" i="39" s="1"/>
  <c r="J71" i="39"/>
  <c r="M71" i="39" s="1"/>
  <c r="X70" i="39"/>
  <c r="Q70" i="39"/>
  <c r="S70" i="39" s="1"/>
  <c r="U70" i="39" s="1"/>
  <c r="J70" i="39"/>
  <c r="M70" i="39" s="1"/>
  <c r="X69" i="39"/>
  <c r="Q69" i="39"/>
  <c r="S69" i="39" s="1"/>
  <c r="U69" i="39" s="1"/>
  <c r="J69" i="39"/>
  <c r="M69" i="39" s="1"/>
  <c r="X68" i="39"/>
  <c r="Q68" i="39"/>
  <c r="S68" i="39" s="1"/>
  <c r="U68" i="39" s="1"/>
  <c r="J68" i="39"/>
  <c r="M68" i="39" s="1"/>
  <c r="X67" i="39"/>
  <c r="Q67" i="39"/>
  <c r="S67" i="39" s="1"/>
  <c r="U67" i="39" s="1"/>
  <c r="J67" i="39"/>
  <c r="M67" i="39" s="1"/>
  <c r="X66" i="39"/>
  <c r="Q66" i="39"/>
  <c r="S66" i="39" s="1"/>
  <c r="U66" i="39" s="1"/>
  <c r="J66" i="39"/>
  <c r="M66" i="39" s="1"/>
  <c r="X65" i="39"/>
  <c r="Q65" i="39"/>
  <c r="S65" i="39" s="1"/>
  <c r="U65" i="39" s="1"/>
  <c r="J65" i="39"/>
  <c r="M65" i="39" s="1"/>
  <c r="X64" i="39"/>
  <c r="Q64" i="39"/>
  <c r="S64" i="39" s="1"/>
  <c r="U64" i="39" s="1"/>
  <c r="J64" i="39"/>
  <c r="M64" i="39" s="1"/>
  <c r="X63" i="39"/>
  <c r="Q63" i="39"/>
  <c r="S63" i="39" s="1"/>
  <c r="U63" i="39" s="1"/>
  <c r="J63" i="39"/>
  <c r="M63" i="39" s="1"/>
  <c r="X62" i="39"/>
  <c r="Q62" i="39"/>
  <c r="S62" i="39" s="1"/>
  <c r="U62" i="39" s="1"/>
  <c r="J62" i="39"/>
  <c r="M62" i="39" s="1"/>
  <c r="X61" i="39"/>
  <c r="Q61" i="39"/>
  <c r="S61" i="39" s="1"/>
  <c r="U61" i="39" s="1"/>
  <c r="J61" i="39"/>
  <c r="M61" i="39" s="1"/>
  <c r="X60" i="39"/>
  <c r="Q60" i="39"/>
  <c r="S60" i="39" s="1"/>
  <c r="U60" i="39" s="1"/>
  <c r="J60" i="39"/>
  <c r="M60" i="39" s="1"/>
  <c r="X59" i="39"/>
  <c r="Q59" i="39"/>
  <c r="S59" i="39" s="1"/>
  <c r="U59" i="39" s="1"/>
  <c r="J59" i="39"/>
  <c r="M59" i="39" s="1"/>
  <c r="X58" i="39"/>
  <c r="Q58" i="39"/>
  <c r="S58" i="39" s="1"/>
  <c r="U58" i="39" s="1"/>
  <c r="J58" i="39"/>
  <c r="M58" i="39" s="1"/>
  <c r="X57" i="39"/>
  <c r="Q57" i="39"/>
  <c r="S57" i="39" s="1"/>
  <c r="U57" i="39" s="1"/>
  <c r="J57" i="39"/>
  <c r="M57" i="39" s="1"/>
  <c r="X56" i="39"/>
  <c r="Q56" i="39"/>
  <c r="S56" i="39" s="1"/>
  <c r="U56" i="39" s="1"/>
  <c r="J56" i="39"/>
  <c r="M56" i="39" s="1"/>
  <c r="X55" i="39"/>
  <c r="Q55" i="39"/>
  <c r="S55" i="39" s="1"/>
  <c r="U55" i="39" s="1"/>
  <c r="J55" i="39"/>
  <c r="M55" i="39" s="1"/>
  <c r="X54" i="39"/>
  <c r="Q54" i="39"/>
  <c r="S54" i="39" s="1"/>
  <c r="U54" i="39" s="1"/>
  <c r="J54" i="39"/>
  <c r="M54" i="39" s="1"/>
  <c r="X53" i="39"/>
  <c r="Q53" i="39"/>
  <c r="S53" i="39" s="1"/>
  <c r="U53" i="39" s="1"/>
  <c r="J53" i="39"/>
  <c r="M53" i="39" s="1"/>
  <c r="X52" i="39"/>
  <c r="Q52" i="39"/>
  <c r="S52" i="39" s="1"/>
  <c r="U52" i="39" s="1"/>
  <c r="J52" i="39"/>
  <c r="M52" i="39" s="1"/>
  <c r="X51" i="39"/>
  <c r="Q51" i="39"/>
  <c r="S51" i="39" s="1"/>
  <c r="U51" i="39" s="1"/>
  <c r="J51" i="39"/>
  <c r="M51" i="39" s="1"/>
  <c r="X50" i="39"/>
  <c r="Q50" i="39"/>
  <c r="S50" i="39" s="1"/>
  <c r="U50" i="39" s="1"/>
  <c r="J50" i="39"/>
  <c r="M50" i="39" s="1"/>
  <c r="X49" i="39"/>
  <c r="Q49" i="39"/>
  <c r="S49" i="39" s="1"/>
  <c r="U49" i="39" s="1"/>
  <c r="J49" i="39"/>
  <c r="M49" i="39" s="1"/>
  <c r="X48" i="39"/>
  <c r="Q48" i="39"/>
  <c r="S48" i="39" s="1"/>
  <c r="U48" i="39" s="1"/>
  <c r="J48" i="39"/>
  <c r="M48" i="39" s="1"/>
  <c r="X47" i="39"/>
  <c r="Q47" i="39"/>
  <c r="S47" i="39" s="1"/>
  <c r="U47" i="39" s="1"/>
  <c r="J47" i="39"/>
  <c r="M47" i="39" s="1"/>
  <c r="X46" i="39"/>
  <c r="Q46" i="39"/>
  <c r="S46" i="39" s="1"/>
  <c r="U46" i="39" s="1"/>
  <c r="J46" i="39"/>
  <c r="M46" i="39" s="1"/>
  <c r="X45" i="39"/>
  <c r="Q45" i="39"/>
  <c r="S45" i="39" s="1"/>
  <c r="U45" i="39" s="1"/>
  <c r="J45" i="39"/>
  <c r="M45" i="39" s="1"/>
  <c r="X44" i="39"/>
  <c r="Q44" i="39"/>
  <c r="S44" i="39" s="1"/>
  <c r="U44" i="39" s="1"/>
  <c r="J44" i="39"/>
  <c r="M44" i="39" s="1"/>
  <c r="X43" i="39"/>
  <c r="Q43" i="39"/>
  <c r="S43" i="39" s="1"/>
  <c r="U43" i="39" s="1"/>
  <c r="J43" i="39"/>
  <c r="M43" i="39" s="1"/>
  <c r="X42" i="39"/>
  <c r="Q42" i="39"/>
  <c r="S42" i="39" s="1"/>
  <c r="U42" i="39" s="1"/>
  <c r="J42" i="39"/>
  <c r="M42" i="39" s="1"/>
  <c r="X41" i="39"/>
  <c r="Q41" i="39"/>
  <c r="S41" i="39" s="1"/>
  <c r="U41" i="39" s="1"/>
  <c r="J41" i="39"/>
  <c r="M41" i="39" s="1"/>
  <c r="X40" i="39"/>
  <c r="Q40" i="39"/>
  <c r="S40" i="39" s="1"/>
  <c r="U40" i="39" s="1"/>
  <c r="J40" i="39"/>
  <c r="M40" i="39" s="1"/>
  <c r="X39" i="39"/>
  <c r="Q39" i="39"/>
  <c r="S39" i="39" s="1"/>
  <c r="U39" i="39" s="1"/>
  <c r="J39" i="39"/>
  <c r="M39" i="39" s="1"/>
  <c r="X38" i="39"/>
  <c r="Q38" i="39"/>
  <c r="S38" i="39" s="1"/>
  <c r="U38" i="39" s="1"/>
  <c r="J38" i="39"/>
  <c r="M38" i="39" s="1"/>
  <c r="X37" i="39"/>
  <c r="Q37" i="39"/>
  <c r="S37" i="39" s="1"/>
  <c r="U37" i="39" s="1"/>
  <c r="J37" i="39"/>
  <c r="M37" i="39" s="1"/>
  <c r="X36" i="39"/>
  <c r="Q36" i="39"/>
  <c r="S36" i="39" s="1"/>
  <c r="U36" i="39" s="1"/>
  <c r="J36" i="39"/>
  <c r="M36" i="39" s="1"/>
  <c r="X35" i="39"/>
  <c r="Q35" i="39"/>
  <c r="S35" i="39" s="1"/>
  <c r="U35" i="39" s="1"/>
  <c r="J35" i="39"/>
  <c r="M35" i="39" s="1"/>
  <c r="X34" i="39"/>
  <c r="Q34" i="39"/>
  <c r="S34" i="39" s="1"/>
  <c r="U34" i="39" s="1"/>
  <c r="J34" i="39"/>
  <c r="M34" i="39" s="1"/>
  <c r="X33" i="39"/>
  <c r="Q33" i="39"/>
  <c r="S33" i="39" s="1"/>
  <c r="U33" i="39" s="1"/>
  <c r="J33" i="39"/>
  <c r="M33" i="39" s="1"/>
  <c r="X32" i="39"/>
  <c r="Q32" i="39"/>
  <c r="S32" i="39" s="1"/>
  <c r="U32" i="39" s="1"/>
  <c r="J32" i="39"/>
  <c r="M32" i="39" s="1"/>
  <c r="X31" i="39"/>
  <c r="Q31" i="39"/>
  <c r="S31" i="39" s="1"/>
  <c r="U31" i="39" s="1"/>
  <c r="J31" i="39"/>
  <c r="M31" i="39" s="1"/>
  <c r="X30" i="39"/>
  <c r="Q30" i="39"/>
  <c r="S30" i="39" s="1"/>
  <c r="U30" i="39" s="1"/>
  <c r="J30" i="39"/>
  <c r="M30" i="39" s="1"/>
  <c r="X29" i="39"/>
  <c r="Q29" i="39"/>
  <c r="S29" i="39" s="1"/>
  <c r="U29" i="39" s="1"/>
  <c r="J29" i="39"/>
  <c r="M29" i="39" s="1"/>
  <c r="X28" i="39"/>
  <c r="Q28" i="39"/>
  <c r="S28" i="39" s="1"/>
  <c r="U28" i="39" s="1"/>
  <c r="J28" i="39"/>
  <c r="M28" i="39" s="1"/>
  <c r="X27" i="39"/>
  <c r="Q27" i="39"/>
  <c r="S27" i="39" s="1"/>
  <c r="U27" i="39" s="1"/>
  <c r="J27" i="39"/>
  <c r="M27" i="39" s="1"/>
  <c r="X26" i="39"/>
  <c r="Q26" i="39"/>
  <c r="S26" i="39" s="1"/>
  <c r="U26" i="39" s="1"/>
  <c r="J26" i="39"/>
  <c r="M26" i="39" s="1"/>
  <c r="X25" i="39"/>
  <c r="Q25" i="39"/>
  <c r="S25" i="39" s="1"/>
  <c r="U25" i="39" s="1"/>
  <c r="J25" i="39"/>
  <c r="M25" i="39" s="1"/>
  <c r="X24" i="39"/>
  <c r="Q24" i="39"/>
  <c r="S24" i="39" s="1"/>
  <c r="U24" i="39" s="1"/>
  <c r="J24" i="39"/>
  <c r="M24" i="39" s="1"/>
  <c r="X23" i="39"/>
  <c r="Q23" i="39"/>
  <c r="S23" i="39" s="1"/>
  <c r="U23" i="39" s="1"/>
  <c r="J23" i="39"/>
  <c r="M23" i="39" s="1"/>
  <c r="X22" i="39"/>
  <c r="Q22" i="39"/>
  <c r="S22" i="39" s="1"/>
  <c r="U22" i="39" s="1"/>
  <c r="J22" i="39"/>
  <c r="M22" i="39" s="1"/>
  <c r="X21" i="39"/>
  <c r="Q21" i="39"/>
  <c r="S21" i="39" s="1"/>
  <c r="U21" i="39" s="1"/>
  <c r="J21" i="39"/>
  <c r="M21" i="39" s="1"/>
  <c r="X20" i="39"/>
  <c r="Q20" i="39"/>
  <c r="S20" i="39" s="1"/>
  <c r="U20" i="39" s="1"/>
  <c r="J20" i="39"/>
  <c r="M20" i="39" s="1"/>
  <c r="X19" i="39"/>
  <c r="Q19" i="39"/>
  <c r="S19" i="39" s="1"/>
  <c r="U19" i="39" s="1"/>
  <c r="J19" i="39"/>
  <c r="M19" i="39" s="1"/>
  <c r="X18" i="39"/>
  <c r="Q18" i="39"/>
  <c r="S18" i="39" s="1"/>
  <c r="U18" i="39" s="1"/>
  <c r="J18" i="39"/>
  <c r="M18" i="39" s="1"/>
  <c r="X17" i="39"/>
  <c r="Q17" i="39"/>
  <c r="S17" i="39" s="1"/>
  <c r="U17" i="39" s="1"/>
  <c r="J17" i="39"/>
  <c r="M17" i="39" s="1"/>
  <c r="X16" i="39"/>
  <c r="Q16" i="39"/>
  <c r="S16" i="39" s="1"/>
  <c r="U16" i="39" s="1"/>
  <c r="J16" i="39"/>
  <c r="M16" i="39" s="1"/>
  <c r="X15" i="39"/>
  <c r="Q15" i="39"/>
  <c r="S15" i="39" s="1"/>
  <c r="U15" i="39" s="1"/>
  <c r="J15" i="39"/>
  <c r="M15" i="39" s="1"/>
  <c r="X14" i="39"/>
  <c r="Q14" i="39"/>
  <c r="S14" i="39" s="1"/>
  <c r="U14" i="39" s="1"/>
  <c r="J14" i="39"/>
  <c r="M14" i="39" s="1"/>
  <c r="X13" i="39"/>
  <c r="Q13" i="39"/>
  <c r="S13" i="39" s="1"/>
  <c r="U13" i="39" s="1"/>
  <c r="J13" i="39"/>
  <c r="M13" i="39" s="1"/>
  <c r="X12" i="39"/>
  <c r="Q12" i="39"/>
  <c r="S12" i="39" s="1"/>
  <c r="U12" i="39" s="1"/>
  <c r="J12" i="39"/>
  <c r="M12" i="39" s="1"/>
  <c r="X11" i="39"/>
  <c r="Q11" i="39"/>
  <c r="S11" i="39" s="1"/>
  <c r="U11" i="39" s="1"/>
  <c r="J11" i="39"/>
  <c r="M11" i="39" s="1"/>
  <c r="X10" i="39"/>
  <c r="Q10" i="39"/>
  <c r="S10" i="39" s="1"/>
  <c r="U10" i="39" s="1"/>
  <c r="J10" i="39"/>
  <c r="M10" i="39" s="1"/>
  <c r="X9" i="39"/>
  <c r="Q9" i="39"/>
  <c r="S9" i="39" s="1"/>
  <c r="U9" i="39" s="1"/>
  <c r="J9" i="39"/>
  <c r="M9" i="39" s="1"/>
  <c r="X8" i="39"/>
  <c r="Q8" i="39"/>
  <c r="S8" i="39" s="1"/>
  <c r="U8" i="39" s="1"/>
  <c r="J8" i="39"/>
  <c r="M8" i="39" s="1"/>
  <c r="X7" i="39"/>
  <c r="Q7" i="39"/>
  <c r="S7" i="39" s="1"/>
  <c r="U7" i="39" s="1"/>
  <c r="J7" i="39"/>
  <c r="M7" i="39" s="1"/>
  <c r="X6" i="39"/>
  <c r="Q6" i="39"/>
  <c r="S6" i="39" s="1"/>
  <c r="U6" i="39" s="1"/>
  <c r="J6" i="39"/>
  <c r="M6" i="39" s="1"/>
  <c r="X5" i="39"/>
  <c r="Q5" i="39"/>
  <c r="S5" i="39" s="1"/>
  <c r="U5" i="39" s="1"/>
  <c r="J5" i="39"/>
  <c r="M5" i="39" s="1"/>
  <c r="K213" i="38"/>
  <c r="N9" i="15" s="1"/>
  <c r="K210" i="38"/>
  <c r="M205" i="38"/>
  <c r="M203" i="38"/>
  <c r="M202" i="38"/>
  <c r="J201" i="38"/>
  <c r="M201" i="38" s="1"/>
  <c r="J200" i="38"/>
  <c r="M200" i="38" s="1"/>
  <c r="J199" i="38"/>
  <c r="M199" i="38" s="1"/>
  <c r="J198" i="38"/>
  <c r="M198" i="38" s="1"/>
  <c r="J197" i="38"/>
  <c r="M197" i="38" s="1"/>
  <c r="J196" i="38"/>
  <c r="M196" i="38" s="1"/>
  <c r="J195" i="38"/>
  <c r="M195" i="38" s="1"/>
  <c r="J194" i="38"/>
  <c r="M194" i="38" s="1"/>
  <c r="J193" i="38"/>
  <c r="M193" i="38" s="1"/>
  <c r="J192" i="38"/>
  <c r="M192" i="38" s="1"/>
  <c r="J191" i="38"/>
  <c r="M191" i="38" s="1"/>
  <c r="J190" i="38"/>
  <c r="M190" i="38" s="1"/>
  <c r="J189" i="38"/>
  <c r="M189" i="38" s="1"/>
  <c r="J188" i="38"/>
  <c r="M188" i="38" s="1"/>
  <c r="J187" i="38"/>
  <c r="M187" i="38" s="1"/>
  <c r="J186" i="38"/>
  <c r="M186" i="38" s="1"/>
  <c r="J185" i="38"/>
  <c r="M185" i="38" s="1"/>
  <c r="J184" i="38"/>
  <c r="M184" i="38" s="1"/>
  <c r="J183" i="38"/>
  <c r="M183" i="38" s="1"/>
  <c r="J182" i="38"/>
  <c r="M182" i="38" s="1"/>
  <c r="J181" i="38"/>
  <c r="M181" i="38" s="1"/>
  <c r="J180" i="38"/>
  <c r="M180" i="38" s="1"/>
  <c r="J179" i="38"/>
  <c r="M179" i="38" s="1"/>
  <c r="J178" i="38"/>
  <c r="M178" i="38" s="1"/>
  <c r="J177" i="38"/>
  <c r="M177" i="38" s="1"/>
  <c r="J176" i="38"/>
  <c r="M176" i="38" s="1"/>
  <c r="J175" i="38"/>
  <c r="M175" i="38" s="1"/>
  <c r="J174" i="38"/>
  <c r="M174" i="38" s="1"/>
  <c r="J173" i="38"/>
  <c r="M173" i="38" s="1"/>
  <c r="J172" i="38"/>
  <c r="M172" i="38" s="1"/>
  <c r="J171" i="38"/>
  <c r="M171" i="38" s="1"/>
  <c r="J170" i="38"/>
  <c r="M170" i="38" s="1"/>
  <c r="J169" i="38"/>
  <c r="M169" i="38" s="1"/>
  <c r="J168" i="38"/>
  <c r="M168" i="38" s="1"/>
  <c r="J167" i="38"/>
  <c r="M167" i="38" s="1"/>
  <c r="J166" i="38"/>
  <c r="M166" i="38" s="1"/>
  <c r="J165" i="38"/>
  <c r="M165" i="38" s="1"/>
  <c r="J164" i="38"/>
  <c r="M164" i="38" s="1"/>
  <c r="J163" i="38"/>
  <c r="M163" i="38" s="1"/>
  <c r="J162" i="38"/>
  <c r="M162" i="38" s="1"/>
  <c r="J161" i="38"/>
  <c r="M161" i="38" s="1"/>
  <c r="J160" i="38"/>
  <c r="M160" i="38" s="1"/>
  <c r="J159" i="38"/>
  <c r="M159" i="38" s="1"/>
  <c r="J158" i="38"/>
  <c r="M158" i="38" s="1"/>
  <c r="J157" i="38"/>
  <c r="M157" i="38" s="1"/>
  <c r="J156" i="38"/>
  <c r="M156" i="38" s="1"/>
  <c r="J155" i="38"/>
  <c r="M155" i="38" s="1"/>
  <c r="J154" i="38"/>
  <c r="M154" i="38" s="1"/>
  <c r="J153" i="38"/>
  <c r="M153" i="38" s="1"/>
  <c r="J152" i="38"/>
  <c r="M152" i="38" s="1"/>
  <c r="J151" i="38"/>
  <c r="M151" i="38" s="1"/>
  <c r="J150" i="38"/>
  <c r="M150" i="38" s="1"/>
  <c r="J149" i="38"/>
  <c r="M149" i="38" s="1"/>
  <c r="J148" i="38"/>
  <c r="M148" i="38" s="1"/>
  <c r="J147" i="38"/>
  <c r="M147" i="38" s="1"/>
  <c r="J146" i="38"/>
  <c r="M146" i="38" s="1"/>
  <c r="J145" i="38"/>
  <c r="M145" i="38" s="1"/>
  <c r="J144" i="38"/>
  <c r="M144" i="38" s="1"/>
  <c r="J143" i="38"/>
  <c r="M143" i="38" s="1"/>
  <c r="J142" i="38"/>
  <c r="M142" i="38" s="1"/>
  <c r="J141" i="38"/>
  <c r="M141" i="38" s="1"/>
  <c r="M140" i="38"/>
  <c r="J140" i="38"/>
  <c r="J139" i="38"/>
  <c r="M139" i="38" s="1"/>
  <c r="J138" i="38"/>
  <c r="M138" i="38" s="1"/>
  <c r="J137" i="38"/>
  <c r="M137" i="38" s="1"/>
  <c r="J136" i="38"/>
  <c r="M136" i="38" s="1"/>
  <c r="J135" i="38"/>
  <c r="M135" i="38" s="1"/>
  <c r="J134" i="38"/>
  <c r="M134" i="38" s="1"/>
  <c r="J133" i="38"/>
  <c r="M133" i="38" s="1"/>
  <c r="J132" i="38"/>
  <c r="M132" i="38" s="1"/>
  <c r="J131" i="38"/>
  <c r="M131" i="38" s="1"/>
  <c r="J130" i="38"/>
  <c r="M130" i="38" s="1"/>
  <c r="J129" i="38"/>
  <c r="M129" i="38" s="1"/>
  <c r="J128" i="38"/>
  <c r="M128" i="38" s="1"/>
  <c r="J127" i="38"/>
  <c r="M127" i="38" s="1"/>
  <c r="J126" i="38"/>
  <c r="M126" i="38" s="1"/>
  <c r="J125" i="38"/>
  <c r="M125" i="38" s="1"/>
  <c r="J124" i="38"/>
  <c r="M124" i="38" s="1"/>
  <c r="J123" i="38"/>
  <c r="M123" i="38" s="1"/>
  <c r="J122" i="38"/>
  <c r="M122" i="38" s="1"/>
  <c r="J121" i="38"/>
  <c r="M121" i="38" s="1"/>
  <c r="J120" i="38"/>
  <c r="M120" i="38" s="1"/>
  <c r="J119" i="38"/>
  <c r="M119" i="38" s="1"/>
  <c r="J118" i="38"/>
  <c r="M118" i="38" s="1"/>
  <c r="J117" i="38"/>
  <c r="M117" i="38" s="1"/>
  <c r="J116" i="38"/>
  <c r="M116" i="38" s="1"/>
  <c r="J115" i="38"/>
  <c r="M115" i="38" s="1"/>
  <c r="J114" i="38"/>
  <c r="M114" i="38" s="1"/>
  <c r="J113" i="38"/>
  <c r="M113" i="38" s="1"/>
  <c r="J112" i="38"/>
  <c r="M112" i="38" s="1"/>
  <c r="J111" i="38"/>
  <c r="M111" i="38" s="1"/>
  <c r="J110" i="38"/>
  <c r="M110" i="38" s="1"/>
  <c r="J109" i="38"/>
  <c r="M109" i="38" s="1"/>
  <c r="J108" i="38"/>
  <c r="M108" i="38" s="1"/>
  <c r="J107" i="38"/>
  <c r="M107" i="38" s="1"/>
  <c r="J106" i="38"/>
  <c r="M106" i="38" s="1"/>
  <c r="Z105" i="38"/>
  <c r="J105" i="38"/>
  <c r="M105" i="38" s="1"/>
  <c r="X104" i="38"/>
  <c r="S104" i="38"/>
  <c r="U104" i="38" s="1"/>
  <c r="Q104" i="38"/>
  <c r="J104" i="38"/>
  <c r="M104" i="38" s="1"/>
  <c r="X103" i="38"/>
  <c r="Q103" i="38"/>
  <c r="S103" i="38" s="1"/>
  <c r="U103" i="38" s="1"/>
  <c r="J103" i="38"/>
  <c r="M103" i="38" s="1"/>
  <c r="X102" i="38"/>
  <c r="Q102" i="38"/>
  <c r="S102" i="38" s="1"/>
  <c r="U102" i="38" s="1"/>
  <c r="J102" i="38"/>
  <c r="M102" i="38" s="1"/>
  <c r="X101" i="38"/>
  <c r="Q101" i="38"/>
  <c r="S101" i="38" s="1"/>
  <c r="U101" i="38" s="1"/>
  <c r="J101" i="38"/>
  <c r="M101" i="38" s="1"/>
  <c r="X100" i="38"/>
  <c r="Q100" i="38"/>
  <c r="S100" i="38" s="1"/>
  <c r="U100" i="38" s="1"/>
  <c r="J100" i="38"/>
  <c r="M100" i="38" s="1"/>
  <c r="X99" i="38"/>
  <c r="Q99" i="38"/>
  <c r="S99" i="38" s="1"/>
  <c r="U99" i="38" s="1"/>
  <c r="J99" i="38"/>
  <c r="M99" i="38" s="1"/>
  <c r="X98" i="38"/>
  <c r="Q98" i="38"/>
  <c r="S98" i="38" s="1"/>
  <c r="U98" i="38" s="1"/>
  <c r="J98" i="38"/>
  <c r="M98" i="38" s="1"/>
  <c r="X97" i="38"/>
  <c r="Q97" i="38"/>
  <c r="S97" i="38" s="1"/>
  <c r="U97" i="38" s="1"/>
  <c r="J97" i="38"/>
  <c r="M97" i="38" s="1"/>
  <c r="X96" i="38"/>
  <c r="S96" i="38"/>
  <c r="U96" i="38" s="1"/>
  <c r="Q96" i="38"/>
  <c r="J96" i="38"/>
  <c r="M96" i="38" s="1"/>
  <c r="X95" i="38"/>
  <c r="Q95" i="38"/>
  <c r="S95" i="38" s="1"/>
  <c r="U95" i="38" s="1"/>
  <c r="J95" i="38"/>
  <c r="M95" i="38" s="1"/>
  <c r="X94" i="38"/>
  <c r="Q94" i="38"/>
  <c r="S94" i="38" s="1"/>
  <c r="U94" i="38" s="1"/>
  <c r="M94" i="38"/>
  <c r="J94" i="38"/>
  <c r="X93" i="38"/>
  <c r="Q93" i="38"/>
  <c r="S93" i="38" s="1"/>
  <c r="U93" i="38" s="1"/>
  <c r="J93" i="38"/>
  <c r="M93" i="38" s="1"/>
  <c r="X92" i="38"/>
  <c r="Q92" i="38"/>
  <c r="S92" i="38" s="1"/>
  <c r="U92" i="38" s="1"/>
  <c r="M92" i="38"/>
  <c r="J92" i="38"/>
  <c r="X91" i="38"/>
  <c r="Q91" i="38"/>
  <c r="S91" i="38" s="1"/>
  <c r="U91" i="38" s="1"/>
  <c r="J91" i="38"/>
  <c r="M91" i="38" s="1"/>
  <c r="X90" i="38"/>
  <c r="Q90" i="38"/>
  <c r="S90" i="38" s="1"/>
  <c r="U90" i="38" s="1"/>
  <c r="J90" i="38"/>
  <c r="M90" i="38" s="1"/>
  <c r="X89" i="38"/>
  <c r="Q89" i="38"/>
  <c r="S89" i="38" s="1"/>
  <c r="U89" i="38" s="1"/>
  <c r="J89" i="38"/>
  <c r="M89" i="38" s="1"/>
  <c r="X88" i="38"/>
  <c r="Q88" i="38"/>
  <c r="S88" i="38" s="1"/>
  <c r="U88" i="38" s="1"/>
  <c r="J88" i="38"/>
  <c r="M88" i="38" s="1"/>
  <c r="X87" i="38"/>
  <c r="Q87" i="38"/>
  <c r="S87" i="38" s="1"/>
  <c r="U87" i="38" s="1"/>
  <c r="J87" i="38"/>
  <c r="M87" i="38" s="1"/>
  <c r="X86" i="38"/>
  <c r="Q86" i="38"/>
  <c r="S86" i="38" s="1"/>
  <c r="U86" i="38" s="1"/>
  <c r="J86" i="38"/>
  <c r="M86" i="38" s="1"/>
  <c r="X85" i="38"/>
  <c r="Q85" i="38"/>
  <c r="S85" i="38" s="1"/>
  <c r="U85" i="38" s="1"/>
  <c r="J85" i="38"/>
  <c r="M85" i="38" s="1"/>
  <c r="X84" i="38"/>
  <c r="S84" i="38"/>
  <c r="U84" i="38" s="1"/>
  <c r="Q84" i="38"/>
  <c r="J84" i="38"/>
  <c r="M84" i="38" s="1"/>
  <c r="X83" i="38"/>
  <c r="Q83" i="38"/>
  <c r="S83" i="38" s="1"/>
  <c r="U83" i="38" s="1"/>
  <c r="J83" i="38"/>
  <c r="M83" i="38" s="1"/>
  <c r="X82" i="38"/>
  <c r="Q82" i="38"/>
  <c r="S82" i="38" s="1"/>
  <c r="U82" i="38" s="1"/>
  <c r="J82" i="38"/>
  <c r="M82" i="38" s="1"/>
  <c r="X81" i="38"/>
  <c r="Q81" i="38"/>
  <c r="S81" i="38" s="1"/>
  <c r="U81" i="38" s="1"/>
  <c r="J81" i="38"/>
  <c r="M81" i="38" s="1"/>
  <c r="X80" i="38"/>
  <c r="S80" i="38"/>
  <c r="U80" i="38" s="1"/>
  <c r="Q80" i="38"/>
  <c r="J80" i="38"/>
  <c r="M80" i="38" s="1"/>
  <c r="X79" i="38"/>
  <c r="Q79" i="38"/>
  <c r="S79" i="38" s="1"/>
  <c r="U79" i="38" s="1"/>
  <c r="J79" i="38"/>
  <c r="M79" i="38" s="1"/>
  <c r="X78" i="38"/>
  <c r="Q78" i="38"/>
  <c r="S78" i="38" s="1"/>
  <c r="U78" i="38" s="1"/>
  <c r="J78" i="38"/>
  <c r="M78" i="38" s="1"/>
  <c r="X77" i="38"/>
  <c r="Q77" i="38"/>
  <c r="S77" i="38" s="1"/>
  <c r="U77" i="38" s="1"/>
  <c r="J77" i="38"/>
  <c r="M77" i="38" s="1"/>
  <c r="X76" i="38"/>
  <c r="Q76" i="38"/>
  <c r="S76" i="38" s="1"/>
  <c r="U76" i="38" s="1"/>
  <c r="J76" i="38"/>
  <c r="M76" i="38" s="1"/>
  <c r="X75" i="38"/>
  <c r="Q75" i="38"/>
  <c r="S75" i="38" s="1"/>
  <c r="U75" i="38" s="1"/>
  <c r="J75" i="38"/>
  <c r="M75" i="38" s="1"/>
  <c r="X74" i="38"/>
  <c r="Q74" i="38"/>
  <c r="S74" i="38" s="1"/>
  <c r="U74" i="38" s="1"/>
  <c r="J74" i="38"/>
  <c r="M74" i="38" s="1"/>
  <c r="X73" i="38"/>
  <c r="Q73" i="38"/>
  <c r="S73" i="38" s="1"/>
  <c r="U73" i="38" s="1"/>
  <c r="M73" i="38"/>
  <c r="J73" i="38"/>
  <c r="X72" i="38"/>
  <c r="Q72" i="38"/>
  <c r="S72" i="38" s="1"/>
  <c r="U72" i="38" s="1"/>
  <c r="J72" i="38"/>
  <c r="M72" i="38" s="1"/>
  <c r="X71" i="38"/>
  <c r="Q71" i="38"/>
  <c r="S71" i="38" s="1"/>
  <c r="U71" i="38" s="1"/>
  <c r="J71" i="38"/>
  <c r="M71" i="38" s="1"/>
  <c r="X70" i="38"/>
  <c r="Q70" i="38"/>
  <c r="S70" i="38" s="1"/>
  <c r="U70" i="38" s="1"/>
  <c r="J70" i="38"/>
  <c r="M70" i="38" s="1"/>
  <c r="X69" i="38"/>
  <c r="Q69" i="38"/>
  <c r="S69" i="38" s="1"/>
  <c r="U69" i="38" s="1"/>
  <c r="J69" i="38"/>
  <c r="M69" i="38" s="1"/>
  <c r="X68" i="38"/>
  <c r="S68" i="38"/>
  <c r="U68" i="38" s="1"/>
  <c r="Q68" i="38"/>
  <c r="J68" i="38"/>
  <c r="M68" i="38" s="1"/>
  <c r="X67" i="38"/>
  <c r="Q67" i="38"/>
  <c r="S67" i="38" s="1"/>
  <c r="U67" i="38" s="1"/>
  <c r="J67" i="38"/>
  <c r="M67" i="38" s="1"/>
  <c r="X66" i="38"/>
  <c r="Q66" i="38"/>
  <c r="S66" i="38" s="1"/>
  <c r="U66" i="38" s="1"/>
  <c r="J66" i="38"/>
  <c r="M66" i="38" s="1"/>
  <c r="X65" i="38"/>
  <c r="Q65" i="38"/>
  <c r="S65" i="38" s="1"/>
  <c r="U65" i="38" s="1"/>
  <c r="J65" i="38"/>
  <c r="M65" i="38" s="1"/>
  <c r="X64" i="38"/>
  <c r="S64" i="38"/>
  <c r="U64" i="38" s="1"/>
  <c r="Q64" i="38"/>
  <c r="J64" i="38"/>
  <c r="M64" i="38" s="1"/>
  <c r="X63" i="38"/>
  <c r="Q63" i="38"/>
  <c r="S63" i="38" s="1"/>
  <c r="U63" i="38" s="1"/>
  <c r="J63" i="38"/>
  <c r="M63" i="38" s="1"/>
  <c r="X62" i="38"/>
  <c r="Q62" i="38"/>
  <c r="S62" i="38" s="1"/>
  <c r="U62" i="38" s="1"/>
  <c r="J62" i="38"/>
  <c r="M62" i="38" s="1"/>
  <c r="X61" i="38"/>
  <c r="Q61" i="38"/>
  <c r="S61" i="38" s="1"/>
  <c r="U61" i="38" s="1"/>
  <c r="J61" i="38"/>
  <c r="M61" i="38" s="1"/>
  <c r="X60" i="38"/>
  <c r="Q60" i="38"/>
  <c r="S60" i="38" s="1"/>
  <c r="U60" i="38" s="1"/>
  <c r="J60" i="38"/>
  <c r="M60" i="38" s="1"/>
  <c r="X59" i="38"/>
  <c r="Q59" i="38"/>
  <c r="S59" i="38" s="1"/>
  <c r="U59" i="38" s="1"/>
  <c r="J59" i="38"/>
  <c r="M59" i="38" s="1"/>
  <c r="X58" i="38"/>
  <c r="Q58" i="38"/>
  <c r="S58" i="38" s="1"/>
  <c r="U58" i="38" s="1"/>
  <c r="J58" i="38"/>
  <c r="M58" i="38" s="1"/>
  <c r="X57" i="38"/>
  <c r="Q57" i="38"/>
  <c r="S57" i="38" s="1"/>
  <c r="U57" i="38" s="1"/>
  <c r="M57" i="38"/>
  <c r="J57" i="38"/>
  <c r="X56" i="38"/>
  <c r="S56" i="38"/>
  <c r="U56" i="38" s="1"/>
  <c r="Q56" i="38"/>
  <c r="J56" i="38"/>
  <c r="M56" i="38" s="1"/>
  <c r="X55" i="38"/>
  <c r="Q55" i="38"/>
  <c r="S55" i="38" s="1"/>
  <c r="U55" i="38" s="1"/>
  <c r="J55" i="38"/>
  <c r="M55" i="38" s="1"/>
  <c r="X54" i="38"/>
  <c r="Q54" i="38"/>
  <c r="S54" i="38" s="1"/>
  <c r="U54" i="38" s="1"/>
  <c r="J54" i="38"/>
  <c r="M54" i="38" s="1"/>
  <c r="X53" i="38"/>
  <c r="Q53" i="38"/>
  <c r="S53" i="38" s="1"/>
  <c r="U53" i="38" s="1"/>
  <c r="J53" i="38"/>
  <c r="M53" i="38" s="1"/>
  <c r="X52" i="38"/>
  <c r="S52" i="38"/>
  <c r="U52" i="38" s="1"/>
  <c r="Q52" i="38"/>
  <c r="J52" i="38"/>
  <c r="M52" i="38" s="1"/>
  <c r="X51" i="38"/>
  <c r="Q51" i="38"/>
  <c r="S51" i="38" s="1"/>
  <c r="U51" i="38" s="1"/>
  <c r="J51" i="38"/>
  <c r="M51" i="38" s="1"/>
  <c r="X50" i="38"/>
  <c r="S50" i="38"/>
  <c r="U50" i="38" s="1"/>
  <c r="Q50" i="38"/>
  <c r="J50" i="38"/>
  <c r="M50" i="38" s="1"/>
  <c r="X49" i="38"/>
  <c r="Q49" i="38"/>
  <c r="S49" i="38" s="1"/>
  <c r="U49" i="38" s="1"/>
  <c r="J49" i="38"/>
  <c r="M49" i="38" s="1"/>
  <c r="X48" i="38"/>
  <c r="Q48" i="38"/>
  <c r="S48" i="38" s="1"/>
  <c r="U48" i="38" s="1"/>
  <c r="J48" i="38"/>
  <c r="M48" i="38" s="1"/>
  <c r="X47" i="38"/>
  <c r="Q47" i="38"/>
  <c r="S47" i="38" s="1"/>
  <c r="U47" i="38" s="1"/>
  <c r="J47" i="38"/>
  <c r="M47" i="38" s="1"/>
  <c r="X46" i="38"/>
  <c r="Q46" i="38"/>
  <c r="S46" i="38" s="1"/>
  <c r="U46" i="38" s="1"/>
  <c r="M46" i="38"/>
  <c r="J46" i="38"/>
  <c r="X45" i="38"/>
  <c r="Q45" i="38"/>
  <c r="S45" i="38" s="1"/>
  <c r="U45" i="38" s="1"/>
  <c r="J45" i="38"/>
  <c r="M45" i="38" s="1"/>
  <c r="X44" i="38"/>
  <c r="S44" i="38"/>
  <c r="U44" i="38" s="1"/>
  <c r="Q44" i="38"/>
  <c r="J44" i="38"/>
  <c r="M44" i="38" s="1"/>
  <c r="X43" i="38"/>
  <c r="Q43" i="38"/>
  <c r="S43" i="38" s="1"/>
  <c r="U43" i="38" s="1"/>
  <c r="J43" i="38"/>
  <c r="M43" i="38" s="1"/>
  <c r="X42" i="38"/>
  <c r="Q42" i="38"/>
  <c r="S42" i="38" s="1"/>
  <c r="U42" i="38" s="1"/>
  <c r="J42" i="38"/>
  <c r="M42" i="38" s="1"/>
  <c r="X41" i="38"/>
  <c r="Q41" i="38"/>
  <c r="S41" i="38" s="1"/>
  <c r="U41" i="38" s="1"/>
  <c r="J41" i="38"/>
  <c r="M41" i="38" s="1"/>
  <c r="X40" i="38"/>
  <c r="Q40" i="38"/>
  <c r="S40" i="38" s="1"/>
  <c r="U40" i="38" s="1"/>
  <c r="J40" i="38"/>
  <c r="M40" i="38" s="1"/>
  <c r="X39" i="38"/>
  <c r="Q39" i="38"/>
  <c r="S39" i="38" s="1"/>
  <c r="U39" i="38" s="1"/>
  <c r="J39" i="38"/>
  <c r="M39" i="38" s="1"/>
  <c r="X38" i="38"/>
  <c r="Q38" i="38"/>
  <c r="S38" i="38" s="1"/>
  <c r="U38" i="38" s="1"/>
  <c r="J38" i="38"/>
  <c r="M38" i="38" s="1"/>
  <c r="X37" i="38"/>
  <c r="Q37" i="38"/>
  <c r="S37" i="38" s="1"/>
  <c r="U37" i="38" s="1"/>
  <c r="J37" i="38"/>
  <c r="M37" i="38" s="1"/>
  <c r="X36" i="38"/>
  <c r="Q36" i="38"/>
  <c r="S36" i="38" s="1"/>
  <c r="U36" i="38" s="1"/>
  <c r="J36" i="38"/>
  <c r="M36" i="38" s="1"/>
  <c r="X35" i="38"/>
  <c r="Q35" i="38"/>
  <c r="S35" i="38" s="1"/>
  <c r="U35" i="38" s="1"/>
  <c r="J35" i="38"/>
  <c r="M35" i="38" s="1"/>
  <c r="X34" i="38"/>
  <c r="Q34" i="38"/>
  <c r="S34" i="38" s="1"/>
  <c r="U34" i="38" s="1"/>
  <c r="J34" i="38"/>
  <c r="M34" i="38" s="1"/>
  <c r="X33" i="38"/>
  <c r="Q33" i="38"/>
  <c r="S33" i="38" s="1"/>
  <c r="U33" i="38" s="1"/>
  <c r="J33" i="38"/>
  <c r="M33" i="38" s="1"/>
  <c r="X32" i="38"/>
  <c r="Q32" i="38"/>
  <c r="S32" i="38" s="1"/>
  <c r="U32" i="38" s="1"/>
  <c r="J32" i="38"/>
  <c r="M32" i="38" s="1"/>
  <c r="X31" i="38"/>
  <c r="Q31" i="38"/>
  <c r="S31" i="38" s="1"/>
  <c r="U31" i="38" s="1"/>
  <c r="J31" i="38"/>
  <c r="M31" i="38" s="1"/>
  <c r="X30" i="38"/>
  <c r="U30" i="38"/>
  <c r="Q30" i="38"/>
  <c r="S30" i="38" s="1"/>
  <c r="J30" i="38"/>
  <c r="M30" i="38" s="1"/>
  <c r="X29" i="38"/>
  <c r="Q29" i="38"/>
  <c r="S29" i="38" s="1"/>
  <c r="U29" i="38" s="1"/>
  <c r="J29" i="38"/>
  <c r="M29" i="38" s="1"/>
  <c r="X28" i="38"/>
  <c r="Q28" i="38"/>
  <c r="S28" i="38" s="1"/>
  <c r="U28" i="38" s="1"/>
  <c r="J28" i="38"/>
  <c r="M28" i="38" s="1"/>
  <c r="X27" i="38"/>
  <c r="Q27" i="38"/>
  <c r="S27" i="38" s="1"/>
  <c r="U27" i="38" s="1"/>
  <c r="J27" i="38"/>
  <c r="M27" i="38" s="1"/>
  <c r="X26" i="38"/>
  <c r="Q26" i="38"/>
  <c r="S26" i="38" s="1"/>
  <c r="U26" i="38" s="1"/>
  <c r="J26" i="38"/>
  <c r="M26" i="38" s="1"/>
  <c r="X25" i="38"/>
  <c r="Q25" i="38"/>
  <c r="S25" i="38" s="1"/>
  <c r="U25" i="38" s="1"/>
  <c r="J25" i="38"/>
  <c r="M25" i="38" s="1"/>
  <c r="X24" i="38"/>
  <c r="Q24" i="38"/>
  <c r="S24" i="38" s="1"/>
  <c r="U24" i="38" s="1"/>
  <c r="J24" i="38"/>
  <c r="M24" i="38" s="1"/>
  <c r="X23" i="38"/>
  <c r="Q23" i="38"/>
  <c r="S23" i="38" s="1"/>
  <c r="U23" i="38" s="1"/>
  <c r="J23" i="38"/>
  <c r="M23" i="38" s="1"/>
  <c r="X22" i="38"/>
  <c r="Q22" i="38"/>
  <c r="S22" i="38" s="1"/>
  <c r="U22" i="38" s="1"/>
  <c r="J22" i="38"/>
  <c r="M22" i="38" s="1"/>
  <c r="X21" i="38"/>
  <c r="Q21" i="38"/>
  <c r="S21" i="38" s="1"/>
  <c r="U21" i="38" s="1"/>
  <c r="J21" i="38"/>
  <c r="M21" i="38" s="1"/>
  <c r="X20" i="38"/>
  <c r="S20" i="38"/>
  <c r="U20" i="38" s="1"/>
  <c r="Q20" i="38"/>
  <c r="J20" i="38"/>
  <c r="M20" i="38" s="1"/>
  <c r="X19" i="38"/>
  <c r="Q19" i="38"/>
  <c r="S19" i="38" s="1"/>
  <c r="U19" i="38" s="1"/>
  <c r="J19" i="38"/>
  <c r="M19" i="38" s="1"/>
  <c r="X18" i="38"/>
  <c r="Q18" i="38"/>
  <c r="S18" i="38" s="1"/>
  <c r="U18" i="38" s="1"/>
  <c r="J18" i="38"/>
  <c r="M18" i="38" s="1"/>
  <c r="X17" i="38"/>
  <c r="Q17" i="38"/>
  <c r="S17" i="38" s="1"/>
  <c r="U17" i="38" s="1"/>
  <c r="J17" i="38"/>
  <c r="M17" i="38" s="1"/>
  <c r="X16" i="38"/>
  <c r="S16" i="38"/>
  <c r="U16" i="38" s="1"/>
  <c r="Q16" i="38"/>
  <c r="J16" i="38"/>
  <c r="M16" i="38" s="1"/>
  <c r="X15" i="38"/>
  <c r="Q15" i="38"/>
  <c r="S15" i="38" s="1"/>
  <c r="U15" i="38" s="1"/>
  <c r="J15" i="38"/>
  <c r="M15" i="38" s="1"/>
  <c r="X14" i="38"/>
  <c r="Q14" i="38"/>
  <c r="S14" i="38" s="1"/>
  <c r="U14" i="38" s="1"/>
  <c r="J14" i="38"/>
  <c r="M14" i="38" s="1"/>
  <c r="X13" i="38"/>
  <c r="Q13" i="38"/>
  <c r="S13" i="38" s="1"/>
  <c r="U13" i="38" s="1"/>
  <c r="J13" i="38"/>
  <c r="M13" i="38" s="1"/>
  <c r="X12" i="38"/>
  <c r="Q12" i="38"/>
  <c r="S12" i="38" s="1"/>
  <c r="U12" i="38" s="1"/>
  <c r="J12" i="38"/>
  <c r="M12" i="38" s="1"/>
  <c r="X11" i="38"/>
  <c r="Q11" i="38"/>
  <c r="S11" i="38" s="1"/>
  <c r="U11" i="38" s="1"/>
  <c r="J11" i="38"/>
  <c r="M11" i="38" s="1"/>
  <c r="X10" i="38"/>
  <c r="Q10" i="38"/>
  <c r="S10" i="38" s="1"/>
  <c r="U10" i="38" s="1"/>
  <c r="J10" i="38"/>
  <c r="M10" i="38" s="1"/>
  <c r="X9" i="38"/>
  <c r="Q9" i="38"/>
  <c r="S9" i="38" s="1"/>
  <c r="U9" i="38" s="1"/>
  <c r="J9" i="38"/>
  <c r="M9" i="38" s="1"/>
  <c r="X8" i="38"/>
  <c r="Q8" i="38"/>
  <c r="S8" i="38" s="1"/>
  <c r="U8" i="38" s="1"/>
  <c r="M8" i="38"/>
  <c r="J8" i="38"/>
  <c r="X7" i="38"/>
  <c r="Q7" i="38"/>
  <c r="S7" i="38" s="1"/>
  <c r="U7" i="38" s="1"/>
  <c r="J7" i="38"/>
  <c r="M7" i="38" s="1"/>
  <c r="X6" i="38"/>
  <c r="Q6" i="38"/>
  <c r="S6" i="38" s="1"/>
  <c r="U6" i="38" s="1"/>
  <c r="M6" i="38"/>
  <c r="J6" i="38"/>
  <c r="X5" i="38"/>
  <c r="Q5" i="38"/>
  <c r="S5" i="38" s="1"/>
  <c r="U5" i="38" s="1"/>
  <c r="J5" i="38"/>
  <c r="K213" i="37"/>
  <c r="N8" i="15" s="1"/>
  <c r="J204" i="37"/>
  <c r="M204" i="37" s="1"/>
  <c r="J203" i="37"/>
  <c r="M203" i="37" s="1"/>
  <c r="J202" i="37"/>
  <c r="M202" i="37" s="1"/>
  <c r="J201" i="37"/>
  <c r="M201" i="37" s="1"/>
  <c r="J200" i="37"/>
  <c r="M200" i="37" s="1"/>
  <c r="J199" i="37"/>
  <c r="M199" i="37" s="1"/>
  <c r="J198" i="37"/>
  <c r="M198" i="37" s="1"/>
  <c r="J197" i="37"/>
  <c r="M197" i="37" s="1"/>
  <c r="J196" i="37"/>
  <c r="M196" i="37" s="1"/>
  <c r="J195" i="37"/>
  <c r="M195" i="37" s="1"/>
  <c r="J194" i="37"/>
  <c r="M194" i="37" s="1"/>
  <c r="J193" i="37"/>
  <c r="M193" i="37" s="1"/>
  <c r="J192" i="37"/>
  <c r="M192" i="37" s="1"/>
  <c r="J191" i="37"/>
  <c r="M191" i="37" s="1"/>
  <c r="M190" i="37"/>
  <c r="J190" i="37"/>
  <c r="M189" i="37"/>
  <c r="J189" i="37"/>
  <c r="J188" i="37"/>
  <c r="M188" i="37" s="1"/>
  <c r="J187" i="37"/>
  <c r="M187" i="37" s="1"/>
  <c r="J186" i="37"/>
  <c r="M186" i="37" s="1"/>
  <c r="J185" i="37"/>
  <c r="M185" i="37" s="1"/>
  <c r="J184" i="37"/>
  <c r="M184" i="37" s="1"/>
  <c r="J183" i="37"/>
  <c r="M183" i="37" s="1"/>
  <c r="J182" i="37"/>
  <c r="M182" i="37" s="1"/>
  <c r="J181" i="37"/>
  <c r="M181" i="37" s="1"/>
  <c r="J180" i="37"/>
  <c r="M180" i="37" s="1"/>
  <c r="J179" i="37"/>
  <c r="M179" i="37" s="1"/>
  <c r="J178" i="37"/>
  <c r="M178" i="37" s="1"/>
  <c r="J177" i="37"/>
  <c r="M177" i="37" s="1"/>
  <c r="J176" i="37"/>
  <c r="M176" i="37" s="1"/>
  <c r="J175" i="37"/>
  <c r="M175" i="37" s="1"/>
  <c r="J174" i="37"/>
  <c r="M174" i="37" s="1"/>
  <c r="J173" i="37"/>
  <c r="M173" i="37" s="1"/>
  <c r="M172" i="37"/>
  <c r="J172" i="37"/>
  <c r="J171" i="37"/>
  <c r="M171" i="37" s="1"/>
  <c r="J170" i="37"/>
  <c r="M170" i="37" s="1"/>
  <c r="J169" i="37"/>
  <c r="M169" i="37" s="1"/>
  <c r="J168" i="37"/>
  <c r="M168" i="37" s="1"/>
  <c r="J167" i="37"/>
  <c r="M167" i="37" s="1"/>
  <c r="J166" i="37"/>
  <c r="M166" i="37" s="1"/>
  <c r="J165" i="37"/>
  <c r="M165" i="37" s="1"/>
  <c r="J164" i="37"/>
  <c r="M164" i="37" s="1"/>
  <c r="J163" i="37"/>
  <c r="M163" i="37" s="1"/>
  <c r="J162" i="37"/>
  <c r="M162" i="37" s="1"/>
  <c r="J161" i="37"/>
  <c r="M161" i="37" s="1"/>
  <c r="J160" i="37"/>
  <c r="M160" i="37" s="1"/>
  <c r="J159" i="37"/>
  <c r="M159" i="37" s="1"/>
  <c r="J158" i="37"/>
  <c r="M158" i="37" s="1"/>
  <c r="J157" i="37"/>
  <c r="M157" i="37" s="1"/>
  <c r="J156" i="37"/>
  <c r="M156" i="37" s="1"/>
  <c r="J155" i="37"/>
  <c r="M155" i="37" s="1"/>
  <c r="J154" i="37"/>
  <c r="M154" i="37" s="1"/>
  <c r="J153" i="37"/>
  <c r="M153" i="37" s="1"/>
  <c r="J152" i="37"/>
  <c r="M152" i="37" s="1"/>
  <c r="J151" i="37"/>
  <c r="M151" i="37" s="1"/>
  <c r="J150" i="37"/>
  <c r="M150" i="37" s="1"/>
  <c r="J149" i="37"/>
  <c r="M149" i="37" s="1"/>
  <c r="J148" i="37"/>
  <c r="M148" i="37" s="1"/>
  <c r="J147" i="37"/>
  <c r="M147" i="37" s="1"/>
  <c r="J146" i="37"/>
  <c r="M146" i="37" s="1"/>
  <c r="J145" i="37"/>
  <c r="M145" i="37" s="1"/>
  <c r="J144" i="37"/>
  <c r="M144" i="37" s="1"/>
  <c r="J143" i="37"/>
  <c r="M143" i="37" s="1"/>
  <c r="J142" i="37"/>
  <c r="M142" i="37" s="1"/>
  <c r="J141" i="37"/>
  <c r="M141" i="37" s="1"/>
  <c r="J140" i="37"/>
  <c r="M140" i="37" s="1"/>
  <c r="J139" i="37"/>
  <c r="M139" i="37" s="1"/>
  <c r="J138" i="37"/>
  <c r="M138" i="37" s="1"/>
  <c r="J137" i="37"/>
  <c r="M137" i="37" s="1"/>
  <c r="J136" i="37"/>
  <c r="M136" i="37" s="1"/>
  <c r="J135" i="37"/>
  <c r="M135" i="37" s="1"/>
  <c r="J134" i="37"/>
  <c r="M134" i="37" s="1"/>
  <c r="J133" i="37"/>
  <c r="M133" i="37" s="1"/>
  <c r="J132" i="37"/>
  <c r="M132" i="37" s="1"/>
  <c r="J131" i="37"/>
  <c r="M131" i="37" s="1"/>
  <c r="J130" i="37"/>
  <c r="M130" i="37" s="1"/>
  <c r="J129" i="37"/>
  <c r="M129" i="37" s="1"/>
  <c r="J128" i="37"/>
  <c r="M128" i="37" s="1"/>
  <c r="J127" i="37"/>
  <c r="M127" i="37" s="1"/>
  <c r="J126" i="37"/>
  <c r="M126" i="37" s="1"/>
  <c r="J125" i="37"/>
  <c r="M125" i="37" s="1"/>
  <c r="J124" i="37"/>
  <c r="M124" i="37" s="1"/>
  <c r="J123" i="37"/>
  <c r="M123" i="37" s="1"/>
  <c r="J122" i="37"/>
  <c r="M122" i="37" s="1"/>
  <c r="J121" i="37"/>
  <c r="M121" i="37" s="1"/>
  <c r="J120" i="37"/>
  <c r="M120" i="37" s="1"/>
  <c r="J119" i="37"/>
  <c r="M119" i="37" s="1"/>
  <c r="J118" i="37"/>
  <c r="M118" i="37" s="1"/>
  <c r="J117" i="37"/>
  <c r="M117" i="37" s="1"/>
  <c r="J116" i="37"/>
  <c r="M116" i="37" s="1"/>
  <c r="J115" i="37"/>
  <c r="M115" i="37" s="1"/>
  <c r="J114" i="37"/>
  <c r="M114" i="37" s="1"/>
  <c r="J113" i="37"/>
  <c r="M113" i="37" s="1"/>
  <c r="J112" i="37"/>
  <c r="M112" i="37" s="1"/>
  <c r="J111" i="37"/>
  <c r="M111" i="37" s="1"/>
  <c r="J110" i="37"/>
  <c r="M110" i="37" s="1"/>
  <c r="J109" i="37"/>
  <c r="M109" i="37" s="1"/>
  <c r="J108" i="37"/>
  <c r="M108" i="37" s="1"/>
  <c r="J107" i="37"/>
  <c r="M107" i="37" s="1"/>
  <c r="J106" i="37"/>
  <c r="M106" i="37" s="1"/>
  <c r="Z105" i="37"/>
  <c r="J105" i="37"/>
  <c r="M105" i="37" s="1"/>
  <c r="X104" i="37"/>
  <c r="Q104" i="37"/>
  <c r="S104" i="37" s="1"/>
  <c r="U104" i="37" s="1"/>
  <c r="J104" i="37"/>
  <c r="M104" i="37" s="1"/>
  <c r="X103" i="37"/>
  <c r="Q103" i="37"/>
  <c r="S103" i="37" s="1"/>
  <c r="U103" i="37" s="1"/>
  <c r="J103" i="37"/>
  <c r="M103" i="37" s="1"/>
  <c r="X102" i="37"/>
  <c r="Q102" i="37"/>
  <c r="S102" i="37" s="1"/>
  <c r="U102" i="37" s="1"/>
  <c r="J102" i="37"/>
  <c r="M102" i="37" s="1"/>
  <c r="X101" i="37"/>
  <c r="Q101" i="37"/>
  <c r="S101" i="37" s="1"/>
  <c r="U101" i="37" s="1"/>
  <c r="J101" i="37"/>
  <c r="M101" i="37" s="1"/>
  <c r="X100" i="37"/>
  <c r="Q100" i="37"/>
  <c r="S100" i="37" s="1"/>
  <c r="U100" i="37" s="1"/>
  <c r="J100" i="37"/>
  <c r="M100" i="37" s="1"/>
  <c r="X99" i="37"/>
  <c r="Q99" i="37"/>
  <c r="S99" i="37" s="1"/>
  <c r="U99" i="37" s="1"/>
  <c r="J99" i="37"/>
  <c r="M99" i="37" s="1"/>
  <c r="X98" i="37"/>
  <c r="Q98" i="37"/>
  <c r="S98" i="37" s="1"/>
  <c r="U98" i="37" s="1"/>
  <c r="J98" i="37"/>
  <c r="M98" i="37" s="1"/>
  <c r="X97" i="37"/>
  <c r="Q97" i="37"/>
  <c r="S97" i="37" s="1"/>
  <c r="U97" i="37" s="1"/>
  <c r="J97" i="37"/>
  <c r="M97" i="37" s="1"/>
  <c r="X96" i="37"/>
  <c r="Q96" i="37"/>
  <c r="S96" i="37" s="1"/>
  <c r="U96" i="37" s="1"/>
  <c r="J96" i="37"/>
  <c r="M96" i="37" s="1"/>
  <c r="X95" i="37"/>
  <c r="Q95" i="37"/>
  <c r="S95" i="37" s="1"/>
  <c r="U95" i="37" s="1"/>
  <c r="J95" i="37"/>
  <c r="M95" i="37" s="1"/>
  <c r="X94" i="37"/>
  <c r="Q94" i="37"/>
  <c r="S94" i="37" s="1"/>
  <c r="U94" i="37" s="1"/>
  <c r="J94" i="37"/>
  <c r="M94" i="37" s="1"/>
  <c r="X93" i="37"/>
  <c r="Q93" i="37"/>
  <c r="S93" i="37" s="1"/>
  <c r="U93" i="37" s="1"/>
  <c r="J93" i="37"/>
  <c r="M93" i="37" s="1"/>
  <c r="X92" i="37"/>
  <c r="Q92" i="37"/>
  <c r="S92" i="37" s="1"/>
  <c r="U92" i="37" s="1"/>
  <c r="J92" i="37"/>
  <c r="M92" i="37" s="1"/>
  <c r="X91" i="37"/>
  <c r="Q91" i="37"/>
  <c r="S91" i="37" s="1"/>
  <c r="U91" i="37" s="1"/>
  <c r="J91" i="37"/>
  <c r="M91" i="37" s="1"/>
  <c r="X90" i="37"/>
  <c r="Q90" i="37"/>
  <c r="S90" i="37" s="1"/>
  <c r="U90" i="37" s="1"/>
  <c r="J90" i="37"/>
  <c r="M90" i="37" s="1"/>
  <c r="X89" i="37"/>
  <c r="Q89" i="37"/>
  <c r="S89" i="37" s="1"/>
  <c r="U89" i="37" s="1"/>
  <c r="J89" i="37"/>
  <c r="M89" i="37" s="1"/>
  <c r="X88" i="37"/>
  <c r="Q88" i="37"/>
  <c r="S88" i="37" s="1"/>
  <c r="U88" i="37" s="1"/>
  <c r="J88" i="37"/>
  <c r="M88" i="37" s="1"/>
  <c r="X87" i="37"/>
  <c r="Q87" i="37"/>
  <c r="S87" i="37" s="1"/>
  <c r="U87" i="37" s="1"/>
  <c r="J87" i="37"/>
  <c r="M87" i="37" s="1"/>
  <c r="X86" i="37"/>
  <c r="Q86" i="37"/>
  <c r="S86" i="37" s="1"/>
  <c r="U86" i="37" s="1"/>
  <c r="J86" i="37"/>
  <c r="M86" i="37" s="1"/>
  <c r="X85" i="37"/>
  <c r="Q85" i="37"/>
  <c r="S85" i="37" s="1"/>
  <c r="U85" i="37" s="1"/>
  <c r="J85" i="37"/>
  <c r="M85" i="37" s="1"/>
  <c r="X84" i="37"/>
  <c r="Q84" i="37"/>
  <c r="S84" i="37" s="1"/>
  <c r="U84" i="37" s="1"/>
  <c r="J84" i="37"/>
  <c r="M84" i="37" s="1"/>
  <c r="X83" i="37"/>
  <c r="Q83" i="37"/>
  <c r="S83" i="37" s="1"/>
  <c r="U83" i="37" s="1"/>
  <c r="J83" i="37"/>
  <c r="M83" i="37" s="1"/>
  <c r="X82" i="37"/>
  <c r="Q82" i="37"/>
  <c r="S82" i="37" s="1"/>
  <c r="U82" i="37" s="1"/>
  <c r="J82" i="37"/>
  <c r="M82" i="37" s="1"/>
  <c r="X81" i="37"/>
  <c r="Q81" i="37"/>
  <c r="S81" i="37" s="1"/>
  <c r="U81" i="37" s="1"/>
  <c r="J81" i="37"/>
  <c r="M81" i="37" s="1"/>
  <c r="X80" i="37"/>
  <c r="S80" i="37"/>
  <c r="U80" i="37" s="1"/>
  <c r="Q80" i="37"/>
  <c r="J80" i="37"/>
  <c r="M80" i="37" s="1"/>
  <c r="X79" i="37"/>
  <c r="Q79" i="37"/>
  <c r="S79" i="37" s="1"/>
  <c r="U79" i="37" s="1"/>
  <c r="J79" i="37"/>
  <c r="M79" i="37" s="1"/>
  <c r="X78" i="37"/>
  <c r="Q78" i="37"/>
  <c r="S78" i="37" s="1"/>
  <c r="U78" i="37" s="1"/>
  <c r="J78" i="37"/>
  <c r="M78" i="37" s="1"/>
  <c r="X77" i="37"/>
  <c r="Q77" i="37"/>
  <c r="S77" i="37" s="1"/>
  <c r="U77" i="37" s="1"/>
  <c r="J77" i="37"/>
  <c r="M77" i="37" s="1"/>
  <c r="X76" i="37"/>
  <c r="Q76" i="37"/>
  <c r="S76" i="37" s="1"/>
  <c r="U76" i="37" s="1"/>
  <c r="J76" i="37"/>
  <c r="M76" i="37" s="1"/>
  <c r="X75" i="37"/>
  <c r="Q75" i="37"/>
  <c r="S75" i="37" s="1"/>
  <c r="U75" i="37" s="1"/>
  <c r="J75" i="37"/>
  <c r="M75" i="37" s="1"/>
  <c r="X74" i="37"/>
  <c r="Q74" i="37"/>
  <c r="S74" i="37" s="1"/>
  <c r="U74" i="37" s="1"/>
  <c r="J74" i="37"/>
  <c r="M74" i="37" s="1"/>
  <c r="X73" i="37"/>
  <c r="Q73" i="37"/>
  <c r="S73" i="37" s="1"/>
  <c r="U73" i="37" s="1"/>
  <c r="J73" i="37"/>
  <c r="M73" i="37" s="1"/>
  <c r="X72" i="37"/>
  <c r="Q72" i="37"/>
  <c r="S72" i="37" s="1"/>
  <c r="U72" i="37" s="1"/>
  <c r="J72" i="37"/>
  <c r="M72" i="37" s="1"/>
  <c r="X71" i="37"/>
  <c r="Q71" i="37"/>
  <c r="S71" i="37" s="1"/>
  <c r="U71" i="37" s="1"/>
  <c r="J71" i="37"/>
  <c r="M71" i="37" s="1"/>
  <c r="X70" i="37"/>
  <c r="Q70" i="37"/>
  <c r="S70" i="37" s="1"/>
  <c r="U70" i="37" s="1"/>
  <c r="J70" i="37"/>
  <c r="M70" i="37" s="1"/>
  <c r="X69" i="37"/>
  <c r="Q69" i="37"/>
  <c r="S69" i="37" s="1"/>
  <c r="U69" i="37" s="1"/>
  <c r="J69" i="37"/>
  <c r="M69" i="37" s="1"/>
  <c r="X68" i="37"/>
  <c r="Q68" i="37"/>
  <c r="S68" i="37" s="1"/>
  <c r="U68" i="37" s="1"/>
  <c r="J68" i="37"/>
  <c r="M68" i="37" s="1"/>
  <c r="X67" i="37"/>
  <c r="S67" i="37"/>
  <c r="U67" i="37" s="1"/>
  <c r="Q67" i="37"/>
  <c r="J67" i="37"/>
  <c r="M67" i="37" s="1"/>
  <c r="X66" i="37"/>
  <c r="Q66" i="37"/>
  <c r="S66" i="37" s="1"/>
  <c r="U66" i="37" s="1"/>
  <c r="J66" i="37"/>
  <c r="M66" i="37" s="1"/>
  <c r="X65" i="37"/>
  <c r="Q65" i="37"/>
  <c r="S65" i="37" s="1"/>
  <c r="U65" i="37" s="1"/>
  <c r="J65" i="37"/>
  <c r="M65" i="37" s="1"/>
  <c r="X64" i="37"/>
  <c r="Q64" i="37"/>
  <c r="S64" i="37" s="1"/>
  <c r="U64" i="37" s="1"/>
  <c r="J64" i="37"/>
  <c r="M64" i="37" s="1"/>
  <c r="X63" i="37"/>
  <c r="Q63" i="37"/>
  <c r="S63" i="37" s="1"/>
  <c r="U63" i="37" s="1"/>
  <c r="J63" i="37"/>
  <c r="M63" i="37" s="1"/>
  <c r="X62" i="37"/>
  <c r="Q62" i="37"/>
  <c r="S62" i="37" s="1"/>
  <c r="U62" i="37" s="1"/>
  <c r="J62" i="37"/>
  <c r="M62" i="37" s="1"/>
  <c r="X61" i="37"/>
  <c r="Q61" i="37"/>
  <c r="S61" i="37" s="1"/>
  <c r="U61" i="37" s="1"/>
  <c r="J61" i="37"/>
  <c r="M61" i="37" s="1"/>
  <c r="X60" i="37"/>
  <c r="Q60" i="37"/>
  <c r="S60" i="37" s="1"/>
  <c r="U60" i="37" s="1"/>
  <c r="J60" i="37"/>
  <c r="M60" i="37" s="1"/>
  <c r="X59" i="37"/>
  <c r="Q59" i="37"/>
  <c r="S59" i="37" s="1"/>
  <c r="U59" i="37" s="1"/>
  <c r="J59" i="37"/>
  <c r="M59" i="37" s="1"/>
  <c r="X58" i="37"/>
  <c r="Q58" i="37"/>
  <c r="S58" i="37" s="1"/>
  <c r="U58" i="37" s="1"/>
  <c r="J58" i="37"/>
  <c r="M58" i="37" s="1"/>
  <c r="X57" i="37"/>
  <c r="Q57" i="37"/>
  <c r="S57" i="37" s="1"/>
  <c r="U57" i="37" s="1"/>
  <c r="J57" i="37"/>
  <c r="M57" i="37" s="1"/>
  <c r="X56" i="37"/>
  <c r="Q56" i="37"/>
  <c r="S56" i="37" s="1"/>
  <c r="U56" i="37" s="1"/>
  <c r="J56" i="37"/>
  <c r="M56" i="37" s="1"/>
  <c r="X55" i="37"/>
  <c r="Q55" i="37"/>
  <c r="S55" i="37" s="1"/>
  <c r="U55" i="37" s="1"/>
  <c r="J55" i="37"/>
  <c r="M55" i="37" s="1"/>
  <c r="X54" i="37"/>
  <c r="Q54" i="37"/>
  <c r="S54" i="37" s="1"/>
  <c r="U54" i="37" s="1"/>
  <c r="J54" i="37"/>
  <c r="M54" i="37" s="1"/>
  <c r="X53" i="37"/>
  <c r="Q53" i="37"/>
  <c r="S53" i="37" s="1"/>
  <c r="U53" i="37" s="1"/>
  <c r="J53" i="37"/>
  <c r="M53" i="37" s="1"/>
  <c r="X52" i="37"/>
  <c r="Q52" i="37"/>
  <c r="S52" i="37" s="1"/>
  <c r="U52" i="37" s="1"/>
  <c r="M52" i="37"/>
  <c r="J52" i="37"/>
  <c r="X51" i="37"/>
  <c r="Q51" i="37"/>
  <c r="S51" i="37" s="1"/>
  <c r="U51" i="37" s="1"/>
  <c r="J51" i="37"/>
  <c r="M51" i="37" s="1"/>
  <c r="X50" i="37"/>
  <c r="Q50" i="37"/>
  <c r="S50" i="37" s="1"/>
  <c r="U50" i="37" s="1"/>
  <c r="J50" i="37"/>
  <c r="M50" i="37" s="1"/>
  <c r="X49" i="37"/>
  <c r="Q49" i="37"/>
  <c r="S49" i="37" s="1"/>
  <c r="U49" i="37" s="1"/>
  <c r="J49" i="37"/>
  <c r="M49" i="37" s="1"/>
  <c r="X48" i="37"/>
  <c r="Q48" i="37"/>
  <c r="S48" i="37" s="1"/>
  <c r="U48" i="37" s="1"/>
  <c r="J48" i="37"/>
  <c r="M48" i="37" s="1"/>
  <c r="X47" i="37"/>
  <c r="Q47" i="37"/>
  <c r="S47" i="37" s="1"/>
  <c r="U47" i="37" s="1"/>
  <c r="J47" i="37"/>
  <c r="M47" i="37" s="1"/>
  <c r="X46" i="37"/>
  <c r="Q46" i="37"/>
  <c r="S46" i="37" s="1"/>
  <c r="U46" i="37" s="1"/>
  <c r="J46" i="37"/>
  <c r="M46" i="37" s="1"/>
  <c r="X45" i="37"/>
  <c r="Q45" i="37"/>
  <c r="S45" i="37" s="1"/>
  <c r="U45" i="37" s="1"/>
  <c r="J45" i="37"/>
  <c r="M45" i="37" s="1"/>
  <c r="X44" i="37"/>
  <c r="Q44" i="37"/>
  <c r="S44" i="37" s="1"/>
  <c r="U44" i="37" s="1"/>
  <c r="J44" i="37"/>
  <c r="M44" i="37" s="1"/>
  <c r="X43" i="37"/>
  <c r="Q43" i="37"/>
  <c r="S43" i="37" s="1"/>
  <c r="U43" i="37" s="1"/>
  <c r="J43" i="37"/>
  <c r="M43" i="37" s="1"/>
  <c r="X42" i="37"/>
  <c r="S42" i="37"/>
  <c r="U42" i="37" s="1"/>
  <c r="Q42" i="37"/>
  <c r="J42" i="37"/>
  <c r="M42" i="37" s="1"/>
  <c r="X41" i="37"/>
  <c r="Q41" i="37"/>
  <c r="S41" i="37" s="1"/>
  <c r="U41" i="37" s="1"/>
  <c r="J41" i="37"/>
  <c r="M41" i="37" s="1"/>
  <c r="X40" i="37"/>
  <c r="Q40" i="37"/>
  <c r="S40" i="37" s="1"/>
  <c r="U40" i="37" s="1"/>
  <c r="J40" i="37"/>
  <c r="M40" i="37" s="1"/>
  <c r="X39" i="37"/>
  <c r="Q39" i="37"/>
  <c r="S39" i="37" s="1"/>
  <c r="U39" i="37" s="1"/>
  <c r="J39" i="37"/>
  <c r="M39" i="37" s="1"/>
  <c r="X38" i="37"/>
  <c r="Q38" i="37"/>
  <c r="S38" i="37" s="1"/>
  <c r="U38" i="37" s="1"/>
  <c r="J38" i="37"/>
  <c r="M38" i="37" s="1"/>
  <c r="X37" i="37"/>
  <c r="Q37" i="37"/>
  <c r="S37" i="37" s="1"/>
  <c r="U37" i="37" s="1"/>
  <c r="J37" i="37"/>
  <c r="M37" i="37" s="1"/>
  <c r="X36" i="37"/>
  <c r="Q36" i="37"/>
  <c r="S36" i="37" s="1"/>
  <c r="U36" i="37" s="1"/>
  <c r="J36" i="37"/>
  <c r="M36" i="37" s="1"/>
  <c r="X35" i="37"/>
  <c r="Q35" i="37"/>
  <c r="S35" i="37" s="1"/>
  <c r="U35" i="37" s="1"/>
  <c r="J35" i="37"/>
  <c r="M35" i="37" s="1"/>
  <c r="X34" i="37"/>
  <c r="Q34" i="37"/>
  <c r="S34" i="37" s="1"/>
  <c r="U34" i="37" s="1"/>
  <c r="J34" i="37"/>
  <c r="M34" i="37" s="1"/>
  <c r="X33" i="37"/>
  <c r="Q33" i="37"/>
  <c r="S33" i="37" s="1"/>
  <c r="U33" i="37" s="1"/>
  <c r="J33" i="37"/>
  <c r="M33" i="37" s="1"/>
  <c r="X32" i="37"/>
  <c r="Q32" i="37"/>
  <c r="S32" i="37" s="1"/>
  <c r="U32" i="37" s="1"/>
  <c r="J32" i="37"/>
  <c r="M32" i="37" s="1"/>
  <c r="X31" i="37"/>
  <c r="Q31" i="37"/>
  <c r="S31" i="37" s="1"/>
  <c r="U31" i="37" s="1"/>
  <c r="J31" i="37"/>
  <c r="M31" i="37" s="1"/>
  <c r="X30" i="37"/>
  <c r="Q30" i="37"/>
  <c r="S30" i="37" s="1"/>
  <c r="U30" i="37" s="1"/>
  <c r="J30" i="37"/>
  <c r="M30" i="37" s="1"/>
  <c r="X29" i="37"/>
  <c r="Q29" i="37"/>
  <c r="S29" i="37" s="1"/>
  <c r="U29" i="37" s="1"/>
  <c r="J29" i="37"/>
  <c r="M29" i="37" s="1"/>
  <c r="X28" i="37"/>
  <c r="Q28" i="37"/>
  <c r="S28" i="37" s="1"/>
  <c r="U28" i="37" s="1"/>
  <c r="J28" i="37"/>
  <c r="M28" i="37" s="1"/>
  <c r="X27" i="37"/>
  <c r="Q27" i="37"/>
  <c r="S27" i="37" s="1"/>
  <c r="U27" i="37" s="1"/>
  <c r="J27" i="37"/>
  <c r="M27" i="37" s="1"/>
  <c r="X26" i="37"/>
  <c r="Q26" i="37"/>
  <c r="S26" i="37" s="1"/>
  <c r="U26" i="37" s="1"/>
  <c r="J26" i="37"/>
  <c r="M26" i="37" s="1"/>
  <c r="X25" i="37"/>
  <c r="Q25" i="37"/>
  <c r="S25" i="37" s="1"/>
  <c r="U25" i="37" s="1"/>
  <c r="J25" i="37"/>
  <c r="M25" i="37" s="1"/>
  <c r="X24" i="37"/>
  <c r="Q24" i="37"/>
  <c r="S24" i="37" s="1"/>
  <c r="U24" i="37" s="1"/>
  <c r="J24" i="37"/>
  <c r="M24" i="37" s="1"/>
  <c r="X23" i="37"/>
  <c r="Q23" i="37"/>
  <c r="S23" i="37" s="1"/>
  <c r="U23" i="37" s="1"/>
  <c r="J23" i="37"/>
  <c r="M23" i="37" s="1"/>
  <c r="X22" i="37"/>
  <c r="Q22" i="37"/>
  <c r="S22" i="37" s="1"/>
  <c r="U22" i="37" s="1"/>
  <c r="J22" i="37"/>
  <c r="M22" i="37" s="1"/>
  <c r="X21" i="37"/>
  <c r="Q21" i="37"/>
  <c r="S21" i="37" s="1"/>
  <c r="U21" i="37" s="1"/>
  <c r="J21" i="37"/>
  <c r="M21" i="37" s="1"/>
  <c r="X20" i="37"/>
  <c r="Q20" i="37"/>
  <c r="S20" i="37" s="1"/>
  <c r="U20" i="37" s="1"/>
  <c r="J20" i="37"/>
  <c r="M20" i="37" s="1"/>
  <c r="X19" i="37"/>
  <c r="Q19" i="37"/>
  <c r="S19" i="37" s="1"/>
  <c r="U19" i="37" s="1"/>
  <c r="J19" i="37"/>
  <c r="M19" i="37" s="1"/>
  <c r="X18" i="37"/>
  <c r="Q18" i="37"/>
  <c r="S18" i="37" s="1"/>
  <c r="U18" i="37" s="1"/>
  <c r="J18" i="37"/>
  <c r="M18" i="37" s="1"/>
  <c r="X17" i="37"/>
  <c r="Q17" i="37"/>
  <c r="S17" i="37" s="1"/>
  <c r="U17" i="37" s="1"/>
  <c r="J17" i="37"/>
  <c r="M17" i="37" s="1"/>
  <c r="X16" i="37"/>
  <c r="Q16" i="37"/>
  <c r="S16" i="37" s="1"/>
  <c r="U16" i="37" s="1"/>
  <c r="J16" i="37"/>
  <c r="M16" i="37" s="1"/>
  <c r="X15" i="37"/>
  <c r="Q15" i="37"/>
  <c r="S15" i="37" s="1"/>
  <c r="U15" i="37" s="1"/>
  <c r="J15" i="37"/>
  <c r="M15" i="37" s="1"/>
  <c r="X14" i="37"/>
  <c r="Q14" i="37"/>
  <c r="S14" i="37" s="1"/>
  <c r="U14" i="37" s="1"/>
  <c r="J14" i="37"/>
  <c r="M14" i="37" s="1"/>
  <c r="X13" i="37"/>
  <c r="Q13" i="37"/>
  <c r="S13" i="37" s="1"/>
  <c r="U13" i="37" s="1"/>
  <c r="J13" i="37"/>
  <c r="M13" i="37" s="1"/>
  <c r="X12" i="37"/>
  <c r="Q12" i="37"/>
  <c r="S12" i="37" s="1"/>
  <c r="U12" i="37" s="1"/>
  <c r="J12" i="37"/>
  <c r="M12" i="37" s="1"/>
  <c r="X11" i="37"/>
  <c r="Q11" i="37"/>
  <c r="S11" i="37" s="1"/>
  <c r="U11" i="37" s="1"/>
  <c r="M11" i="37"/>
  <c r="J11" i="37"/>
  <c r="X10" i="37"/>
  <c r="Q10" i="37"/>
  <c r="S10" i="37" s="1"/>
  <c r="U10" i="37" s="1"/>
  <c r="J10" i="37"/>
  <c r="M10" i="37" s="1"/>
  <c r="X9" i="37"/>
  <c r="Q9" i="37"/>
  <c r="S9" i="37" s="1"/>
  <c r="U9" i="37" s="1"/>
  <c r="J9" i="37"/>
  <c r="M9" i="37" s="1"/>
  <c r="X8" i="37"/>
  <c r="Q8" i="37"/>
  <c r="S8" i="37" s="1"/>
  <c r="U8" i="37" s="1"/>
  <c r="J8" i="37"/>
  <c r="M8" i="37" s="1"/>
  <c r="X7" i="37"/>
  <c r="Q7" i="37"/>
  <c r="S7" i="37" s="1"/>
  <c r="U7" i="37" s="1"/>
  <c r="J7" i="37"/>
  <c r="M7" i="37" s="1"/>
  <c r="X6" i="37"/>
  <c r="Q6" i="37"/>
  <c r="S6" i="37" s="1"/>
  <c r="U6" i="37" s="1"/>
  <c r="J6" i="37"/>
  <c r="M6" i="37" s="1"/>
  <c r="X5" i="37"/>
  <c r="Q5" i="37"/>
  <c r="S5" i="37" s="1"/>
  <c r="U5" i="37" s="1"/>
  <c r="J5" i="37"/>
  <c r="M5" i="37" s="1"/>
  <c r="N7" i="15"/>
  <c r="K210" i="36"/>
  <c r="J205" i="36"/>
  <c r="M205" i="36" s="1"/>
  <c r="J203" i="36"/>
  <c r="M203" i="36" s="1"/>
  <c r="J202" i="36"/>
  <c r="M202" i="36" s="1"/>
  <c r="J201" i="36"/>
  <c r="M201" i="36" s="1"/>
  <c r="J200" i="36"/>
  <c r="M200" i="36" s="1"/>
  <c r="J199" i="36"/>
  <c r="M199" i="36" s="1"/>
  <c r="J198" i="36"/>
  <c r="M198" i="36" s="1"/>
  <c r="J197" i="36"/>
  <c r="M197" i="36" s="1"/>
  <c r="J196" i="36"/>
  <c r="M196" i="36" s="1"/>
  <c r="J195" i="36"/>
  <c r="M195" i="36" s="1"/>
  <c r="J194" i="36"/>
  <c r="M194" i="36" s="1"/>
  <c r="J193" i="36"/>
  <c r="M193" i="36" s="1"/>
  <c r="J192" i="36"/>
  <c r="M192" i="36" s="1"/>
  <c r="J191" i="36"/>
  <c r="M191" i="36" s="1"/>
  <c r="J190" i="36"/>
  <c r="M190" i="36" s="1"/>
  <c r="J189" i="36"/>
  <c r="M189" i="36" s="1"/>
  <c r="J188" i="36"/>
  <c r="M188" i="36" s="1"/>
  <c r="J187" i="36"/>
  <c r="M187" i="36" s="1"/>
  <c r="J186" i="36"/>
  <c r="M186" i="36" s="1"/>
  <c r="J185" i="36"/>
  <c r="M185" i="36" s="1"/>
  <c r="J184" i="36"/>
  <c r="M184" i="36" s="1"/>
  <c r="J183" i="36"/>
  <c r="M183" i="36" s="1"/>
  <c r="J182" i="36"/>
  <c r="M182" i="36" s="1"/>
  <c r="J181" i="36"/>
  <c r="M181" i="36" s="1"/>
  <c r="J180" i="36"/>
  <c r="M180" i="36" s="1"/>
  <c r="J179" i="36"/>
  <c r="M179" i="36" s="1"/>
  <c r="J178" i="36"/>
  <c r="M178" i="36" s="1"/>
  <c r="J177" i="36"/>
  <c r="M177" i="36" s="1"/>
  <c r="J176" i="36"/>
  <c r="M176" i="36" s="1"/>
  <c r="J175" i="36"/>
  <c r="M175" i="36" s="1"/>
  <c r="J174" i="36"/>
  <c r="M174" i="36" s="1"/>
  <c r="J173" i="36"/>
  <c r="M173" i="36" s="1"/>
  <c r="J172" i="36"/>
  <c r="M172" i="36" s="1"/>
  <c r="J171" i="36"/>
  <c r="M171" i="36" s="1"/>
  <c r="J170" i="36"/>
  <c r="M170" i="36" s="1"/>
  <c r="J169" i="36"/>
  <c r="M169" i="36" s="1"/>
  <c r="J168" i="36"/>
  <c r="M168" i="36" s="1"/>
  <c r="J167" i="36"/>
  <c r="M167" i="36" s="1"/>
  <c r="J166" i="36"/>
  <c r="M166" i="36" s="1"/>
  <c r="J165" i="36"/>
  <c r="M165" i="36" s="1"/>
  <c r="J164" i="36"/>
  <c r="M164" i="36" s="1"/>
  <c r="J163" i="36"/>
  <c r="M163" i="36" s="1"/>
  <c r="J162" i="36"/>
  <c r="M162" i="36" s="1"/>
  <c r="J161" i="36"/>
  <c r="M161" i="36" s="1"/>
  <c r="J160" i="36"/>
  <c r="M160" i="36" s="1"/>
  <c r="J159" i="36"/>
  <c r="M159" i="36" s="1"/>
  <c r="J158" i="36"/>
  <c r="M158" i="36" s="1"/>
  <c r="J157" i="36"/>
  <c r="M157" i="36" s="1"/>
  <c r="M156" i="36"/>
  <c r="J156" i="36"/>
  <c r="J155" i="36"/>
  <c r="M155" i="36" s="1"/>
  <c r="J154" i="36"/>
  <c r="M154" i="36" s="1"/>
  <c r="J153" i="36"/>
  <c r="M153" i="36" s="1"/>
  <c r="J152" i="36"/>
  <c r="M152" i="36" s="1"/>
  <c r="J151" i="36"/>
  <c r="M151" i="36" s="1"/>
  <c r="J150" i="36"/>
  <c r="M150" i="36" s="1"/>
  <c r="J149" i="36"/>
  <c r="M149" i="36" s="1"/>
  <c r="J148" i="36"/>
  <c r="M148" i="36" s="1"/>
  <c r="J147" i="36"/>
  <c r="M147" i="36" s="1"/>
  <c r="J146" i="36"/>
  <c r="M146" i="36" s="1"/>
  <c r="J145" i="36"/>
  <c r="M145" i="36" s="1"/>
  <c r="J144" i="36"/>
  <c r="M144" i="36" s="1"/>
  <c r="J143" i="36"/>
  <c r="M143" i="36" s="1"/>
  <c r="J142" i="36"/>
  <c r="M142" i="36" s="1"/>
  <c r="J141" i="36"/>
  <c r="M141" i="36" s="1"/>
  <c r="J140" i="36"/>
  <c r="M140" i="36" s="1"/>
  <c r="J139" i="36"/>
  <c r="M139" i="36" s="1"/>
  <c r="J138" i="36"/>
  <c r="M138" i="36" s="1"/>
  <c r="J137" i="36"/>
  <c r="M137" i="36" s="1"/>
  <c r="J136" i="36"/>
  <c r="M136" i="36" s="1"/>
  <c r="J135" i="36"/>
  <c r="M135" i="36" s="1"/>
  <c r="J134" i="36"/>
  <c r="M134" i="36" s="1"/>
  <c r="J133" i="36"/>
  <c r="M133" i="36" s="1"/>
  <c r="J132" i="36"/>
  <c r="M132" i="36" s="1"/>
  <c r="J131" i="36"/>
  <c r="M131" i="36" s="1"/>
  <c r="J130" i="36"/>
  <c r="M130" i="36" s="1"/>
  <c r="J129" i="36"/>
  <c r="M129" i="36" s="1"/>
  <c r="J128" i="36"/>
  <c r="M128" i="36" s="1"/>
  <c r="J127" i="36"/>
  <c r="M127" i="36" s="1"/>
  <c r="J126" i="36"/>
  <c r="M126" i="36" s="1"/>
  <c r="J125" i="36"/>
  <c r="M125" i="36" s="1"/>
  <c r="J124" i="36"/>
  <c r="M124" i="36" s="1"/>
  <c r="J123" i="36"/>
  <c r="M123" i="36" s="1"/>
  <c r="J122" i="36"/>
  <c r="M122" i="36" s="1"/>
  <c r="J121" i="36"/>
  <c r="M121" i="36" s="1"/>
  <c r="J120" i="36"/>
  <c r="M120" i="36" s="1"/>
  <c r="J119" i="36"/>
  <c r="M119" i="36" s="1"/>
  <c r="J118" i="36"/>
  <c r="M118" i="36" s="1"/>
  <c r="J117" i="36"/>
  <c r="M117" i="36" s="1"/>
  <c r="J116" i="36"/>
  <c r="M116" i="36" s="1"/>
  <c r="J115" i="36"/>
  <c r="M115" i="36" s="1"/>
  <c r="J114" i="36"/>
  <c r="M114" i="36" s="1"/>
  <c r="J113" i="36"/>
  <c r="M113" i="36" s="1"/>
  <c r="J112" i="36"/>
  <c r="M112" i="36" s="1"/>
  <c r="J111" i="36"/>
  <c r="M111" i="36" s="1"/>
  <c r="J110" i="36"/>
  <c r="M110" i="36" s="1"/>
  <c r="J109" i="36"/>
  <c r="M109" i="36" s="1"/>
  <c r="J108" i="36"/>
  <c r="M108" i="36" s="1"/>
  <c r="J107" i="36"/>
  <c r="M107" i="36" s="1"/>
  <c r="J106" i="36"/>
  <c r="M106" i="36" s="1"/>
  <c r="Z105" i="36"/>
  <c r="J105" i="36"/>
  <c r="M105" i="36" s="1"/>
  <c r="X104" i="36"/>
  <c r="Q104" i="36"/>
  <c r="S104" i="36" s="1"/>
  <c r="U104" i="36" s="1"/>
  <c r="J104" i="36"/>
  <c r="M104" i="36" s="1"/>
  <c r="X103" i="36"/>
  <c r="Q103" i="36"/>
  <c r="S103" i="36" s="1"/>
  <c r="U103" i="36" s="1"/>
  <c r="J103" i="36"/>
  <c r="M103" i="36" s="1"/>
  <c r="X102" i="36"/>
  <c r="Q102" i="36"/>
  <c r="S102" i="36" s="1"/>
  <c r="U102" i="36" s="1"/>
  <c r="J102" i="36"/>
  <c r="M102" i="36" s="1"/>
  <c r="X101" i="36"/>
  <c r="Q101" i="36"/>
  <c r="S101" i="36" s="1"/>
  <c r="U101" i="36" s="1"/>
  <c r="J101" i="36"/>
  <c r="M101" i="36" s="1"/>
  <c r="X100" i="36"/>
  <c r="Q100" i="36"/>
  <c r="S100" i="36" s="1"/>
  <c r="U100" i="36" s="1"/>
  <c r="J100" i="36"/>
  <c r="M100" i="36" s="1"/>
  <c r="X99" i="36"/>
  <c r="Q99" i="36"/>
  <c r="S99" i="36" s="1"/>
  <c r="U99" i="36" s="1"/>
  <c r="J99" i="36"/>
  <c r="M99" i="36" s="1"/>
  <c r="X98" i="36"/>
  <c r="Q98" i="36"/>
  <c r="S98" i="36" s="1"/>
  <c r="U98" i="36" s="1"/>
  <c r="J98" i="36"/>
  <c r="M98" i="36" s="1"/>
  <c r="X97" i="36"/>
  <c r="Q97" i="36"/>
  <c r="S97" i="36" s="1"/>
  <c r="U97" i="36" s="1"/>
  <c r="J97" i="36"/>
  <c r="M97" i="36" s="1"/>
  <c r="X96" i="36"/>
  <c r="Q96" i="36"/>
  <c r="S96" i="36" s="1"/>
  <c r="U96" i="36" s="1"/>
  <c r="J96" i="36"/>
  <c r="M96" i="36" s="1"/>
  <c r="X95" i="36"/>
  <c r="Q95" i="36"/>
  <c r="S95" i="36" s="1"/>
  <c r="U95" i="36" s="1"/>
  <c r="J95" i="36"/>
  <c r="M95" i="36" s="1"/>
  <c r="X94" i="36"/>
  <c r="S94" i="36"/>
  <c r="U94" i="36" s="1"/>
  <c r="Q94" i="36"/>
  <c r="J94" i="36"/>
  <c r="M94" i="36" s="1"/>
  <c r="X93" i="36"/>
  <c r="Q93" i="36"/>
  <c r="S93" i="36" s="1"/>
  <c r="U93" i="36" s="1"/>
  <c r="J93" i="36"/>
  <c r="M93" i="36" s="1"/>
  <c r="X92" i="36"/>
  <c r="Q92" i="36"/>
  <c r="S92" i="36" s="1"/>
  <c r="U92" i="36" s="1"/>
  <c r="J92" i="36"/>
  <c r="M92" i="36" s="1"/>
  <c r="X91" i="36"/>
  <c r="S91" i="36"/>
  <c r="U91" i="36" s="1"/>
  <c r="Q91" i="36"/>
  <c r="J91" i="36"/>
  <c r="M91" i="36" s="1"/>
  <c r="X90" i="36"/>
  <c r="Q90" i="36"/>
  <c r="S90" i="36" s="1"/>
  <c r="U90" i="36" s="1"/>
  <c r="J90" i="36"/>
  <c r="M90" i="36" s="1"/>
  <c r="X89" i="36"/>
  <c r="Q89" i="36"/>
  <c r="S89" i="36" s="1"/>
  <c r="U89" i="36" s="1"/>
  <c r="J89" i="36"/>
  <c r="M89" i="36" s="1"/>
  <c r="X88" i="36"/>
  <c r="Q88" i="36"/>
  <c r="S88" i="36" s="1"/>
  <c r="U88" i="36" s="1"/>
  <c r="J88" i="36"/>
  <c r="M88" i="36" s="1"/>
  <c r="X87" i="36"/>
  <c r="Q87" i="36"/>
  <c r="S87" i="36" s="1"/>
  <c r="U87" i="36" s="1"/>
  <c r="J87" i="36"/>
  <c r="M87" i="36" s="1"/>
  <c r="X86" i="36"/>
  <c r="Q86" i="36"/>
  <c r="S86" i="36" s="1"/>
  <c r="U86" i="36" s="1"/>
  <c r="J86" i="36"/>
  <c r="M86" i="36" s="1"/>
  <c r="X85" i="36"/>
  <c r="Q85" i="36"/>
  <c r="S85" i="36" s="1"/>
  <c r="U85" i="36" s="1"/>
  <c r="J85" i="36"/>
  <c r="M85" i="36" s="1"/>
  <c r="X84" i="36"/>
  <c r="S84" i="36"/>
  <c r="U84" i="36" s="1"/>
  <c r="Q84" i="36"/>
  <c r="J84" i="36"/>
  <c r="M84" i="36" s="1"/>
  <c r="X83" i="36"/>
  <c r="Q83" i="36"/>
  <c r="S83" i="36" s="1"/>
  <c r="U83" i="36" s="1"/>
  <c r="J83" i="36"/>
  <c r="M83" i="36" s="1"/>
  <c r="X82" i="36"/>
  <c r="Q82" i="36"/>
  <c r="S82" i="36" s="1"/>
  <c r="U82" i="36" s="1"/>
  <c r="J82" i="36"/>
  <c r="M82" i="36" s="1"/>
  <c r="X81" i="36"/>
  <c r="Q81" i="36"/>
  <c r="S81" i="36" s="1"/>
  <c r="U81" i="36" s="1"/>
  <c r="J81" i="36"/>
  <c r="M81" i="36" s="1"/>
  <c r="X80" i="36"/>
  <c r="Q80" i="36"/>
  <c r="S80" i="36" s="1"/>
  <c r="U80" i="36" s="1"/>
  <c r="J80" i="36"/>
  <c r="M80" i="36" s="1"/>
  <c r="X79" i="36"/>
  <c r="Q79" i="36"/>
  <c r="S79" i="36" s="1"/>
  <c r="U79" i="36" s="1"/>
  <c r="J79" i="36"/>
  <c r="M79" i="36" s="1"/>
  <c r="X78" i="36"/>
  <c r="Q78" i="36"/>
  <c r="S78" i="36" s="1"/>
  <c r="U78" i="36" s="1"/>
  <c r="J78" i="36"/>
  <c r="M78" i="36" s="1"/>
  <c r="X77" i="36"/>
  <c r="Q77" i="36"/>
  <c r="S77" i="36" s="1"/>
  <c r="U77" i="36" s="1"/>
  <c r="J77" i="36"/>
  <c r="M77" i="36" s="1"/>
  <c r="X76" i="36"/>
  <c r="Q76" i="36"/>
  <c r="S76" i="36" s="1"/>
  <c r="U76" i="36" s="1"/>
  <c r="J76" i="36"/>
  <c r="M76" i="36" s="1"/>
  <c r="X75" i="36"/>
  <c r="Q75" i="36"/>
  <c r="S75" i="36" s="1"/>
  <c r="U75" i="36" s="1"/>
  <c r="J75" i="36"/>
  <c r="M75" i="36" s="1"/>
  <c r="X74" i="36"/>
  <c r="Q74" i="36"/>
  <c r="S74" i="36" s="1"/>
  <c r="U74" i="36" s="1"/>
  <c r="J74" i="36"/>
  <c r="M74" i="36" s="1"/>
  <c r="X73" i="36"/>
  <c r="Q73" i="36"/>
  <c r="S73" i="36" s="1"/>
  <c r="U73" i="36" s="1"/>
  <c r="J73" i="36"/>
  <c r="M73" i="36" s="1"/>
  <c r="X72" i="36"/>
  <c r="Q72" i="36"/>
  <c r="S72" i="36" s="1"/>
  <c r="U72" i="36" s="1"/>
  <c r="J72" i="36"/>
  <c r="M72" i="36" s="1"/>
  <c r="X71" i="36"/>
  <c r="Q71" i="36"/>
  <c r="S71" i="36" s="1"/>
  <c r="U71" i="36" s="1"/>
  <c r="J71" i="36"/>
  <c r="M71" i="36" s="1"/>
  <c r="X70" i="36"/>
  <c r="Q70" i="36"/>
  <c r="S70" i="36" s="1"/>
  <c r="U70" i="36" s="1"/>
  <c r="J70" i="36"/>
  <c r="M70" i="36" s="1"/>
  <c r="X69" i="36"/>
  <c r="Q69" i="36"/>
  <c r="S69" i="36" s="1"/>
  <c r="U69" i="36" s="1"/>
  <c r="J69" i="36"/>
  <c r="M69" i="36" s="1"/>
  <c r="X68" i="36"/>
  <c r="S68" i="36"/>
  <c r="U68" i="36" s="1"/>
  <c r="Q68" i="36"/>
  <c r="J68" i="36"/>
  <c r="M68" i="36" s="1"/>
  <c r="X67" i="36"/>
  <c r="Q67" i="36"/>
  <c r="S67" i="36" s="1"/>
  <c r="U67" i="36" s="1"/>
  <c r="J67" i="36"/>
  <c r="M67" i="36" s="1"/>
  <c r="X66" i="36"/>
  <c r="Q66" i="36"/>
  <c r="S66" i="36" s="1"/>
  <c r="U66" i="36" s="1"/>
  <c r="J66" i="36"/>
  <c r="M66" i="36" s="1"/>
  <c r="X65" i="36"/>
  <c r="Q65" i="36"/>
  <c r="S65" i="36" s="1"/>
  <c r="U65" i="36" s="1"/>
  <c r="J65" i="36"/>
  <c r="M65" i="36" s="1"/>
  <c r="X64" i="36"/>
  <c r="S64" i="36"/>
  <c r="U64" i="36" s="1"/>
  <c r="Q64" i="36"/>
  <c r="J64" i="36"/>
  <c r="M64" i="36" s="1"/>
  <c r="X63" i="36"/>
  <c r="Q63" i="36"/>
  <c r="S63" i="36" s="1"/>
  <c r="U63" i="36" s="1"/>
  <c r="J63" i="36"/>
  <c r="M63" i="36" s="1"/>
  <c r="X62" i="36"/>
  <c r="Q62" i="36"/>
  <c r="S62" i="36" s="1"/>
  <c r="U62" i="36" s="1"/>
  <c r="J62" i="36"/>
  <c r="M62" i="36" s="1"/>
  <c r="X61" i="36"/>
  <c r="Q61" i="36"/>
  <c r="S61" i="36" s="1"/>
  <c r="U61" i="36" s="1"/>
  <c r="J61" i="36"/>
  <c r="M61" i="36" s="1"/>
  <c r="X60" i="36"/>
  <c r="S60" i="36"/>
  <c r="U60" i="36" s="1"/>
  <c r="Q60" i="36"/>
  <c r="J60" i="36"/>
  <c r="M60" i="36" s="1"/>
  <c r="X59" i="36"/>
  <c r="Q59" i="36"/>
  <c r="S59" i="36" s="1"/>
  <c r="U59" i="36" s="1"/>
  <c r="J59" i="36"/>
  <c r="M59" i="36" s="1"/>
  <c r="X58" i="36"/>
  <c r="Q58" i="36"/>
  <c r="S58" i="36" s="1"/>
  <c r="U58" i="36" s="1"/>
  <c r="J58" i="36"/>
  <c r="M58" i="36" s="1"/>
  <c r="X57" i="36"/>
  <c r="Q57" i="36"/>
  <c r="S57" i="36" s="1"/>
  <c r="U57" i="36" s="1"/>
  <c r="J57" i="36"/>
  <c r="M57" i="36" s="1"/>
  <c r="X56" i="36"/>
  <c r="Q56" i="36"/>
  <c r="S56" i="36" s="1"/>
  <c r="U56" i="36" s="1"/>
  <c r="J56" i="36"/>
  <c r="M56" i="36" s="1"/>
  <c r="X55" i="36"/>
  <c r="Q55" i="36"/>
  <c r="S55" i="36" s="1"/>
  <c r="U55" i="36" s="1"/>
  <c r="J55" i="36"/>
  <c r="M55" i="36" s="1"/>
  <c r="X54" i="36"/>
  <c r="S54" i="36"/>
  <c r="U54" i="36" s="1"/>
  <c r="Q54" i="36"/>
  <c r="J54" i="36"/>
  <c r="M54" i="36" s="1"/>
  <c r="X53" i="36"/>
  <c r="Q53" i="36"/>
  <c r="S53" i="36" s="1"/>
  <c r="U53" i="36" s="1"/>
  <c r="J53" i="36"/>
  <c r="M53" i="36" s="1"/>
  <c r="X52" i="36"/>
  <c r="Q52" i="36"/>
  <c r="S52" i="36" s="1"/>
  <c r="U52" i="36" s="1"/>
  <c r="J52" i="36"/>
  <c r="M52" i="36" s="1"/>
  <c r="X51" i="36"/>
  <c r="Q51" i="36"/>
  <c r="S51" i="36" s="1"/>
  <c r="U51" i="36" s="1"/>
  <c r="J51" i="36"/>
  <c r="M51" i="36" s="1"/>
  <c r="X50" i="36"/>
  <c r="Q50" i="36"/>
  <c r="S50" i="36" s="1"/>
  <c r="U50" i="36" s="1"/>
  <c r="J50" i="36"/>
  <c r="M50" i="36" s="1"/>
  <c r="X49" i="36"/>
  <c r="Q49" i="36"/>
  <c r="S49" i="36" s="1"/>
  <c r="U49" i="36" s="1"/>
  <c r="J49" i="36"/>
  <c r="M49" i="36" s="1"/>
  <c r="X48" i="36"/>
  <c r="Q48" i="36"/>
  <c r="S48" i="36" s="1"/>
  <c r="U48" i="36" s="1"/>
  <c r="M48" i="36"/>
  <c r="J48" i="36"/>
  <c r="X47" i="36"/>
  <c r="Q47" i="36"/>
  <c r="S47" i="36" s="1"/>
  <c r="U47" i="36" s="1"/>
  <c r="J47" i="36"/>
  <c r="M47" i="36" s="1"/>
  <c r="X46" i="36"/>
  <c r="Q46" i="36"/>
  <c r="S46" i="36" s="1"/>
  <c r="U46" i="36" s="1"/>
  <c r="J46" i="36"/>
  <c r="M46" i="36" s="1"/>
  <c r="X45" i="36"/>
  <c r="Q45" i="36"/>
  <c r="S45" i="36" s="1"/>
  <c r="U45" i="36" s="1"/>
  <c r="J45" i="36"/>
  <c r="M45" i="36" s="1"/>
  <c r="X44" i="36"/>
  <c r="Q44" i="36"/>
  <c r="S44" i="36" s="1"/>
  <c r="U44" i="36" s="1"/>
  <c r="J44" i="36"/>
  <c r="M44" i="36" s="1"/>
  <c r="X43" i="36"/>
  <c r="U43" i="36"/>
  <c r="Q43" i="36"/>
  <c r="S43" i="36" s="1"/>
  <c r="J43" i="36"/>
  <c r="M43" i="36" s="1"/>
  <c r="X42" i="36"/>
  <c r="Q42" i="36"/>
  <c r="S42" i="36" s="1"/>
  <c r="U42" i="36" s="1"/>
  <c r="J42" i="36"/>
  <c r="M42" i="36" s="1"/>
  <c r="X41" i="36"/>
  <c r="Q41" i="36"/>
  <c r="S41" i="36" s="1"/>
  <c r="U41" i="36" s="1"/>
  <c r="J41" i="36"/>
  <c r="M41" i="36" s="1"/>
  <c r="X40" i="36"/>
  <c r="Q40" i="36"/>
  <c r="S40" i="36" s="1"/>
  <c r="U40" i="36" s="1"/>
  <c r="J40" i="36"/>
  <c r="M40" i="36" s="1"/>
  <c r="X39" i="36"/>
  <c r="U39" i="36"/>
  <c r="Q39" i="36"/>
  <c r="S39" i="36" s="1"/>
  <c r="J39" i="36"/>
  <c r="M39" i="36" s="1"/>
  <c r="X38" i="36"/>
  <c r="Q38" i="36"/>
  <c r="S38" i="36" s="1"/>
  <c r="U38" i="36" s="1"/>
  <c r="J38" i="36"/>
  <c r="M38" i="36" s="1"/>
  <c r="X37" i="36"/>
  <c r="Q37" i="36"/>
  <c r="S37" i="36" s="1"/>
  <c r="U37" i="36" s="1"/>
  <c r="J37" i="36"/>
  <c r="M37" i="36" s="1"/>
  <c r="X36" i="36"/>
  <c r="Q36" i="36"/>
  <c r="S36" i="36" s="1"/>
  <c r="U36" i="36" s="1"/>
  <c r="J36" i="36"/>
  <c r="M36" i="36" s="1"/>
  <c r="X35" i="36"/>
  <c r="Q35" i="36"/>
  <c r="S35" i="36" s="1"/>
  <c r="U35" i="36" s="1"/>
  <c r="J35" i="36"/>
  <c r="M35" i="36" s="1"/>
  <c r="X34" i="36"/>
  <c r="Q34" i="36"/>
  <c r="S34" i="36" s="1"/>
  <c r="U34" i="36" s="1"/>
  <c r="J34" i="36"/>
  <c r="M34" i="36" s="1"/>
  <c r="X33" i="36"/>
  <c r="Q33" i="36"/>
  <c r="S33" i="36" s="1"/>
  <c r="U33" i="36" s="1"/>
  <c r="J33" i="36"/>
  <c r="M33" i="36" s="1"/>
  <c r="X32" i="36"/>
  <c r="Q32" i="36"/>
  <c r="S32" i="36" s="1"/>
  <c r="U32" i="36" s="1"/>
  <c r="J32" i="36"/>
  <c r="M32" i="36" s="1"/>
  <c r="X31" i="36"/>
  <c r="Q31" i="36"/>
  <c r="S31" i="36" s="1"/>
  <c r="U31" i="36" s="1"/>
  <c r="J31" i="36"/>
  <c r="M31" i="36" s="1"/>
  <c r="X30" i="36"/>
  <c r="Q30" i="36"/>
  <c r="S30" i="36" s="1"/>
  <c r="U30" i="36" s="1"/>
  <c r="J30" i="36"/>
  <c r="M30" i="36" s="1"/>
  <c r="X29" i="36"/>
  <c r="Q29" i="36"/>
  <c r="S29" i="36" s="1"/>
  <c r="U29" i="36" s="1"/>
  <c r="J29" i="36"/>
  <c r="M29" i="36" s="1"/>
  <c r="X28" i="36"/>
  <c r="Q28" i="36"/>
  <c r="S28" i="36" s="1"/>
  <c r="U28" i="36" s="1"/>
  <c r="J28" i="36"/>
  <c r="M28" i="36" s="1"/>
  <c r="X27" i="36"/>
  <c r="Q27" i="36"/>
  <c r="S27" i="36" s="1"/>
  <c r="U27" i="36" s="1"/>
  <c r="J27" i="36"/>
  <c r="M27" i="36" s="1"/>
  <c r="X26" i="36"/>
  <c r="Q26" i="36"/>
  <c r="S26" i="36" s="1"/>
  <c r="U26" i="36" s="1"/>
  <c r="J26" i="36"/>
  <c r="M26" i="36" s="1"/>
  <c r="X25" i="36"/>
  <c r="Q25" i="36"/>
  <c r="S25" i="36" s="1"/>
  <c r="U25" i="36" s="1"/>
  <c r="J25" i="36"/>
  <c r="M25" i="36" s="1"/>
  <c r="X24" i="36"/>
  <c r="Q24" i="36"/>
  <c r="S24" i="36" s="1"/>
  <c r="U24" i="36" s="1"/>
  <c r="J24" i="36"/>
  <c r="M24" i="36" s="1"/>
  <c r="X23" i="36"/>
  <c r="S23" i="36"/>
  <c r="U23" i="36" s="1"/>
  <c r="Q23" i="36"/>
  <c r="J23" i="36"/>
  <c r="M23" i="36" s="1"/>
  <c r="X22" i="36"/>
  <c r="Q22" i="36"/>
  <c r="S22" i="36" s="1"/>
  <c r="U22" i="36" s="1"/>
  <c r="J22" i="36"/>
  <c r="M22" i="36" s="1"/>
  <c r="X21" i="36"/>
  <c r="Q21" i="36"/>
  <c r="S21" i="36" s="1"/>
  <c r="U21" i="36" s="1"/>
  <c r="J21" i="36"/>
  <c r="M21" i="36" s="1"/>
  <c r="X20" i="36"/>
  <c r="Q20" i="36"/>
  <c r="S20" i="36" s="1"/>
  <c r="U20" i="36" s="1"/>
  <c r="J20" i="36"/>
  <c r="M20" i="36" s="1"/>
  <c r="X19" i="36"/>
  <c r="Q19" i="36"/>
  <c r="S19" i="36" s="1"/>
  <c r="U19" i="36" s="1"/>
  <c r="J19" i="36"/>
  <c r="M19" i="36" s="1"/>
  <c r="X18" i="36"/>
  <c r="S18" i="36"/>
  <c r="U18" i="36" s="1"/>
  <c r="Q18" i="36"/>
  <c r="J18" i="36"/>
  <c r="M18" i="36" s="1"/>
  <c r="X17" i="36"/>
  <c r="Q17" i="36"/>
  <c r="S17" i="36" s="1"/>
  <c r="U17" i="36" s="1"/>
  <c r="J17" i="36"/>
  <c r="M17" i="36" s="1"/>
  <c r="X16" i="36"/>
  <c r="Q16" i="36"/>
  <c r="S16" i="36" s="1"/>
  <c r="U16" i="36" s="1"/>
  <c r="J16" i="36"/>
  <c r="M16" i="36" s="1"/>
  <c r="X15" i="36"/>
  <c r="Q15" i="36"/>
  <c r="S15" i="36" s="1"/>
  <c r="U15" i="36" s="1"/>
  <c r="J15" i="36"/>
  <c r="M15" i="36" s="1"/>
  <c r="X14" i="36"/>
  <c r="Q14" i="36"/>
  <c r="S14" i="36" s="1"/>
  <c r="U14" i="36" s="1"/>
  <c r="J14" i="36"/>
  <c r="M14" i="36" s="1"/>
  <c r="X13" i="36"/>
  <c r="Q13" i="36"/>
  <c r="S13" i="36" s="1"/>
  <c r="U13" i="36" s="1"/>
  <c r="J13" i="36"/>
  <c r="M13" i="36" s="1"/>
  <c r="X12" i="36"/>
  <c r="Q12" i="36"/>
  <c r="S12" i="36" s="1"/>
  <c r="U12" i="36" s="1"/>
  <c r="J12" i="36"/>
  <c r="M12" i="36" s="1"/>
  <c r="X11" i="36"/>
  <c r="Q11" i="36"/>
  <c r="S11" i="36" s="1"/>
  <c r="U11" i="36" s="1"/>
  <c r="J11" i="36"/>
  <c r="M11" i="36" s="1"/>
  <c r="X10" i="36"/>
  <c r="Q10" i="36"/>
  <c r="S10" i="36" s="1"/>
  <c r="U10" i="36" s="1"/>
  <c r="J10" i="36"/>
  <c r="M10" i="36" s="1"/>
  <c r="X9" i="36"/>
  <c r="Q9" i="36"/>
  <c r="S9" i="36" s="1"/>
  <c r="U9" i="36" s="1"/>
  <c r="M9" i="36"/>
  <c r="J9" i="36"/>
  <c r="X8" i="36"/>
  <c r="Q8" i="36"/>
  <c r="S8" i="36" s="1"/>
  <c r="U8" i="36" s="1"/>
  <c r="J8" i="36"/>
  <c r="M8" i="36" s="1"/>
  <c r="X7" i="36"/>
  <c r="Q7" i="36"/>
  <c r="S7" i="36" s="1"/>
  <c r="U7" i="36" s="1"/>
  <c r="J7" i="36"/>
  <c r="M7" i="36" s="1"/>
  <c r="X6" i="36"/>
  <c r="Q6" i="36"/>
  <c r="S6" i="36" s="1"/>
  <c r="U6" i="36" s="1"/>
  <c r="J6" i="36"/>
  <c r="M6" i="36" s="1"/>
  <c r="X5" i="36"/>
  <c r="Q5" i="36"/>
  <c r="S5" i="36" s="1"/>
  <c r="U5" i="36" s="1"/>
  <c r="J5" i="36"/>
  <c r="K212" i="35"/>
  <c r="N6" i="15" s="1"/>
  <c r="K209" i="35"/>
  <c r="K219" i="35" s="1"/>
  <c r="J204" i="35"/>
  <c r="M204" i="35" s="1"/>
  <c r="J203" i="35"/>
  <c r="M203" i="35" s="1"/>
  <c r="J202" i="35"/>
  <c r="M202" i="35" s="1"/>
  <c r="J201" i="35"/>
  <c r="M201" i="35" s="1"/>
  <c r="J200" i="35"/>
  <c r="M200" i="35" s="1"/>
  <c r="J199" i="35"/>
  <c r="M199" i="35" s="1"/>
  <c r="J198" i="35"/>
  <c r="M198" i="35" s="1"/>
  <c r="J197" i="35"/>
  <c r="M197" i="35" s="1"/>
  <c r="J196" i="35"/>
  <c r="M196" i="35" s="1"/>
  <c r="J195" i="35"/>
  <c r="M195" i="35" s="1"/>
  <c r="J194" i="35"/>
  <c r="M194" i="35" s="1"/>
  <c r="J193" i="35"/>
  <c r="M193" i="35" s="1"/>
  <c r="J192" i="35"/>
  <c r="M192" i="35" s="1"/>
  <c r="J191" i="35"/>
  <c r="M191" i="35" s="1"/>
  <c r="J190" i="35"/>
  <c r="M190" i="35" s="1"/>
  <c r="J189" i="35"/>
  <c r="M189" i="35" s="1"/>
  <c r="J188" i="35"/>
  <c r="M188" i="35" s="1"/>
  <c r="J187" i="35"/>
  <c r="M187" i="35" s="1"/>
  <c r="J186" i="35"/>
  <c r="M186" i="35" s="1"/>
  <c r="J185" i="35"/>
  <c r="M185" i="35" s="1"/>
  <c r="J184" i="35"/>
  <c r="M184" i="35" s="1"/>
  <c r="J183" i="35"/>
  <c r="M183" i="35" s="1"/>
  <c r="J182" i="35"/>
  <c r="M182" i="35" s="1"/>
  <c r="J181" i="35"/>
  <c r="M181" i="35" s="1"/>
  <c r="J180" i="35"/>
  <c r="M180" i="35" s="1"/>
  <c r="J179" i="35"/>
  <c r="M179" i="35" s="1"/>
  <c r="J178" i="35"/>
  <c r="M178" i="35" s="1"/>
  <c r="J177" i="35"/>
  <c r="M177" i="35" s="1"/>
  <c r="J176" i="35"/>
  <c r="M176" i="35" s="1"/>
  <c r="J175" i="35"/>
  <c r="M175" i="35" s="1"/>
  <c r="J174" i="35"/>
  <c r="M174" i="35" s="1"/>
  <c r="J173" i="35"/>
  <c r="M173" i="35" s="1"/>
  <c r="J172" i="35"/>
  <c r="M172" i="35" s="1"/>
  <c r="J171" i="35"/>
  <c r="M171" i="35" s="1"/>
  <c r="J170" i="35"/>
  <c r="M170" i="35" s="1"/>
  <c r="J169" i="35"/>
  <c r="M169" i="35" s="1"/>
  <c r="J168" i="35"/>
  <c r="M168" i="35" s="1"/>
  <c r="J167" i="35"/>
  <c r="M167" i="35" s="1"/>
  <c r="J166" i="35"/>
  <c r="M166" i="35" s="1"/>
  <c r="J165" i="35"/>
  <c r="M165" i="35" s="1"/>
  <c r="J164" i="35"/>
  <c r="M164" i="35" s="1"/>
  <c r="J163" i="35"/>
  <c r="M163" i="35" s="1"/>
  <c r="J162" i="35"/>
  <c r="M162" i="35" s="1"/>
  <c r="J161" i="35"/>
  <c r="M161" i="35" s="1"/>
  <c r="J160" i="35"/>
  <c r="M160" i="35" s="1"/>
  <c r="J159" i="35"/>
  <c r="M159" i="35" s="1"/>
  <c r="J158" i="35"/>
  <c r="M158" i="35" s="1"/>
  <c r="J157" i="35"/>
  <c r="M157" i="35" s="1"/>
  <c r="J156" i="35"/>
  <c r="M156" i="35" s="1"/>
  <c r="J155" i="35"/>
  <c r="M155" i="35" s="1"/>
  <c r="J154" i="35"/>
  <c r="M154" i="35" s="1"/>
  <c r="J153" i="35"/>
  <c r="M153" i="35" s="1"/>
  <c r="J152" i="35"/>
  <c r="M152" i="35" s="1"/>
  <c r="J151" i="35"/>
  <c r="M151" i="35" s="1"/>
  <c r="J150" i="35"/>
  <c r="M150" i="35" s="1"/>
  <c r="J149" i="35"/>
  <c r="M149" i="35" s="1"/>
  <c r="J148" i="35"/>
  <c r="M148" i="35" s="1"/>
  <c r="J147" i="35"/>
  <c r="M147" i="35" s="1"/>
  <c r="J146" i="35"/>
  <c r="M146" i="35" s="1"/>
  <c r="J145" i="35"/>
  <c r="M145" i="35" s="1"/>
  <c r="J144" i="35"/>
  <c r="M144" i="35" s="1"/>
  <c r="J143" i="35"/>
  <c r="M143" i="35" s="1"/>
  <c r="J142" i="35"/>
  <c r="M142" i="35" s="1"/>
  <c r="J141" i="35"/>
  <c r="M141" i="35" s="1"/>
  <c r="J140" i="35"/>
  <c r="M140" i="35" s="1"/>
  <c r="J139" i="35"/>
  <c r="M139" i="35" s="1"/>
  <c r="J138" i="35"/>
  <c r="M138" i="35" s="1"/>
  <c r="J137" i="35"/>
  <c r="M137" i="35" s="1"/>
  <c r="J136" i="35"/>
  <c r="M136" i="35" s="1"/>
  <c r="J135" i="35"/>
  <c r="M135" i="35" s="1"/>
  <c r="J134" i="35"/>
  <c r="M134" i="35" s="1"/>
  <c r="J133" i="35"/>
  <c r="M133" i="35" s="1"/>
  <c r="J132" i="35"/>
  <c r="M132" i="35" s="1"/>
  <c r="J131" i="35"/>
  <c r="M131" i="35" s="1"/>
  <c r="J130" i="35"/>
  <c r="M130" i="35" s="1"/>
  <c r="J129" i="35"/>
  <c r="M129" i="35" s="1"/>
  <c r="J128" i="35"/>
  <c r="M128" i="35" s="1"/>
  <c r="J127" i="35"/>
  <c r="M127" i="35" s="1"/>
  <c r="J126" i="35"/>
  <c r="M126" i="35" s="1"/>
  <c r="J125" i="35"/>
  <c r="M125" i="35" s="1"/>
  <c r="J124" i="35"/>
  <c r="M124" i="35" s="1"/>
  <c r="M123" i="35"/>
  <c r="J123" i="35"/>
  <c r="J122" i="35"/>
  <c r="M122" i="35" s="1"/>
  <c r="J121" i="35"/>
  <c r="M121" i="35" s="1"/>
  <c r="J120" i="35"/>
  <c r="M120" i="35" s="1"/>
  <c r="J119" i="35"/>
  <c r="M119" i="35" s="1"/>
  <c r="J118" i="35"/>
  <c r="M118" i="35" s="1"/>
  <c r="J117" i="35"/>
  <c r="M117" i="35" s="1"/>
  <c r="J116" i="35"/>
  <c r="M116" i="35" s="1"/>
  <c r="J115" i="35"/>
  <c r="M115" i="35" s="1"/>
  <c r="J114" i="35"/>
  <c r="M114" i="35" s="1"/>
  <c r="J113" i="35"/>
  <c r="M113" i="35" s="1"/>
  <c r="J112" i="35"/>
  <c r="M112" i="35" s="1"/>
  <c r="J111" i="35"/>
  <c r="M111" i="35" s="1"/>
  <c r="J110" i="35"/>
  <c r="M110" i="35" s="1"/>
  <c r="J109" i="35"/>
  <c r="M109" i="35" s="1"/>
  <c r="J108" i="35"/>
  <c r="M108" i="35" s="1"/>
  <c r="J107" i="35"/>
  <c r="M107" i="35" s="1"/>
  <c r="J106" i="35"/>
  <c r="M106" i="35" s="1"/>
  <c r="Z105" i="35"/>
  <c r="J105" i="35"/>
  <c r="M105" i="35" s="1"/>
  <c r="X104" i="35"/>
  <c r="Q104" i="35"/>
  <c r="S104" i="35" s="1"/>
  <c r="U104" i="35" s="1"/>
  <c r="J104" i="35"/>
  <c r="X103" i="35"/>
  <c r="Q103" i="35"/>
  <c r="S103" i="35" s="1"/>
  <c r="U103" i="35" s="1"/>
  <c r="J103" i="35"/>
  <c r="M103" i="35" s="1"/>
  <c r="X102" i="35"/>
  <c r="Q102" i="35"/>
  <c r="S102" i="35" s="1"/>
  <c r="U102" i="35" s="1"/>
  <c r="J102" i="35"/>
  <c r="M102" i="35" s="1"/>
  <c r="X101" i="35"/>
  <c r="Q101" i="35"/>
  <c r="S101" i="35" s="1"/>
  <c r="U101" i="35" s="1"/>
  <c r="J101" i="35"/>
  <c r="M101" i="35" s="1"/>
  <c r="X100" i="35"/>
  <c r="U100" i="35"/>
  <c r="Q100" i="35"/>
  <c r="S100" i="35" s="1"/>
  <c r="J100" i="35"/>
  <c r="M100" i="35" s="1"/>
  <c r="X99" i="35"/>
  <c r="Q99" i="35"/>
  <c r="S99" i="35" s="1"/>
  <c r="U99" i="35" s="1"/>
  <c r="J99" i="35"/>
  <c r="M99" i="35" s="1"/>
  <c r="X98" i="35"/>
  <c r="S98" i="35"/>
  <c r="U98" i="35" s="1"/>
  <c r="Q98" i="35"/>
  <c r="J98" i="35"/>
  <c r="M98" i="35" s="1"/>
  <c r="X97" i="35"/>
  <c r="Q97" i="35"/>
  <c r="S97" i="35" s="1"/>
  <c r="U97" i="35" s="1"/>
  <c r="J97" i="35"/>
  <c r="M97" i="35" s="1"/>
  <c r="X96" i="35"/>
  <c r="Q96" i="35"/>
  <c r="S96" i="35" s="1"/>
  <c r="U96" i="35" s="1"/>
  <c r="J96" i="35"/>
  <c r="M96" i="35" s="1"/>
  <c r="X95" i="35"/>
  <c r="Q95" i="35"/>
  <c r="S95" i="35" s="1"/>
  <c r="U95" i="35" s="1"/>
  <c r="J95" i="35"/>
  <c r="M95" i="35" s="1"/>
  <c r="X94" i="35"/>
  <c r="Q94" i="35"/>
  <c r="S94" i="35" s="1"/>
  <c r="U94" i="35" s="1"/>
  <c r="J94" i="35"/>
  <c r="M94" i="35" s="1"/>
  <c r="X93" i="35"/>
  <c r="Q93" i="35"/>
  <c r="S93" i="35" s="1"/>
  <c r="U93" i="35" s="1"/>
  <c r="J93" i="35"/>
  <c r="M93" i="35" s="1"/>
  <c r="X92" i="35"/>
  <c r="Q92" i="35"/>
  <c r="S92" i="35" s="1"/>
  <c r="U92" i="35" s="1"/>
  <c r="J92" i="35"/>
  <c r="M92" i="35" s="1"/>
  <c r="X91" i="35"/>
  <c r="Q91" i="35"/>
  <c r="S91" i="35" s="1"/>
  <c r="U91" i="35" s="1"/>
  <c r="J91" i="35"/>
  <c r="M91" i="35" s="1"/>
  <c r="X90" i="35"/>
  <c r="S90" i="35"/>
  <c r="U90" i="35" s="1"/>
  <c r="Q90" i="35"/>
  <c r="J90" i="35"/>
  <c r="M90" i="35" s="1"/>
  <c r="X89" i="35"/>
  <c r="Q89" i="35"/>
  <c r="S89" i="35" s="1"/>
  <c r="U89" i="35" s="1"/>
  <c r="J89" i="35"/>
  <c r="M89" i="35" s="1"/>
  <c r="X88" i="35"/>
  <c r="U88" i="35"/>
  <c r="Q88" i="35"/>
  <c r="S88" i="35" s="1"/>
  <c r="J88" i="35"/>
  <c r="M88" i="35" s="1"/>
  <c r="X87" i="35"/>
  <c r="Q87" i="35"/>
  <c r="S87" i="35" s="1"/>
  <c r="U87" i="35" s="1"/>
  <c r="J87" i="35"/>
  <c r="M87" i="35" s="1"/>
  <c r="X86" i="35"/>
  <c r="Q86" i="35"/>
  <c r="S86" i="35" s="1"/>
  <c r="U86" i="35" s="1"/>
  <c r="J86" i="35"/>
  <c r="M86" i="35" s="1"/>
  <c r="X85" i="35"/>
  <c r="Q85" i="35"/>
  <c r="S85" i="35" s="1"/>
  <c r="U85" i="35" s="1"/>
  <c r="J85" i="35"/>
  <c r="M85" i="35" s="1"/>
  <c r="X84" i="35"/>
  <c r="Q84" i="35"/>
  <c r="S84" i="35" s="1"/>
  <c r="U84" i="35" s="1"/>
  <c r="J84" i="35"/>
  <c r="M84" i="35" s="1"/>
  <c r="X83" i="35"/>
  <c r="S83" i="35"/>
  <c r="U83" i="35" s="1"/>
  <c r="Q83" i="35"/>
  <c r="J83" i="35"/>
  <c r="M83" i="35" s="1"/>
  <c r="X82" i="35"/>
  <c r="U82" i="35"/>
  <c r="Q82" i="35"/>
  <c r="S82" i="35" s="1"/>
  <c r="J82" i="35"/>
  <c r="M82" i="35" s="1"/>
  <c r="X81" i="35"/>
  <c r="Q81" i="35"/>
  <c r="S81" i="35" s="1"/>
  <c r="U81" i="35" s="1"/>
  <c r="J81" i="35"/>
  <c r="M81" i="35" s="1"/>
  <c r="X80" i="35"/>
  <c r="U80" i="35"/>
  <c r="Q80" i="35"/>
  <c r="S80" i="35" s="1"/>
  <c r="J80" i="35"/>
  <c r="M80" i="35" s="1"/>
  <c r="X79" i="35"/>
  <c r="Q79" i="35"/>
  <c r="S79" i="35" s="1"/>
  <c r="U79" i="35" s="1"/>
  <c r="J79" i="35"/>
  <c r="M79" i="35" s="1"/>
  <c r="X78" i="35"/>
  <c r="Q78" i="35"/>
  <c r="S78" i="35" s="1"/>
  <c r="U78" i="35" s="1"/>
  <c r="J78" i="35"/>
  <c r="M78" i="35" s="1"/>
  <c r="X77" i="35"/>
  <c r="Q77" i="35"/>
  <c r="S77" i="35" s="1"/>
  <c r="U77" i="35" s="1"/>
  <c r="J77" i="35"/>
  <c r="M77" i="35" s="1"/>
  <c r="X76" i="35"/>
  <c r="Q76" i="35"/>
  <c r="S76" i="35" s="1"/>
  <c r="U76" i="35" s="1"/>
  <c r="J76" i="35"/>
  <c r="M76" i="35" s="1"/>
  <c r="X75" i="35"/>
  <c r="Q75" i="35"/>
  <c r="S75" i="35" s="1"/>
  <c r="U75" i="35" s="1"/>
  <c r="J75" i="35"/>
  <c r="M75" i="35" s="1"/>
  <c r="X74" i="35"/>
  <c r="Q74" i="35"/>
  <c r="S74" i="35" s="1"/>
  <c r="U74" i="35" s="1"/>
  <c r="J74" i="35"/>
  <c r="M74" i="35" s="1"/>
  <c r="X73" i="35"/>
  <c r="S73" i="35"/>
  <c r="U73" i="35" s="1"/>
  <c r="Q73" i="35"/>
  <c r="J73" i="35"/>
  <c r="M73" i="35" s="1"/>
  <c r="X72" i="35"/>
  <c r="Q72" i="35"/>
  <c r="S72" i="35" s="1"/>
  <c r="U72" i="35" s="1"/>
  <c r="J72" i="35"/>
  <c r="M72" i="35" s="1"/>
  <c r="X71" i="35"/>
  <c r="S71" i="35"/>
  <c r="U71" i="35" s="1"/>
  <c r="Q71" i="35"/>
  <c r="J71" i="35"/>
  <c r="M71" i="35" s="1"/>
  <c r="X70" i="35"/>
  <c r="Q70" i="35"/>
  <c r="S70" i="35" s="1"/>
  <c r="U70" i="35" s="1"/>
  <c r="J70" i="35"/>
  <c r="M70" i="35" s="1"/>
  <c r="X69" i="35"/>
  <c r="S69" i="35"/>
  <c r="U69" i="35" s="1"/>
  <c r="Q69" i="35"/>
  <c r="J69" i="35"/>
  <c r="M69" i="35" s="1"/>
  <c r="X68" i="35"/>
  <c r="Q68" i="35"/>
  <c r="S68" i="35" s="1"/>
  <c r="U68" i="35" s="1"/>
  <c r="J68" i="35"/>
  <c r="M68" i="35" s="1"/>
  <c r="X67" i="35"/>
  <c r="Q67" i="35"/>
  <c r="S67" i="35" s="1"/>
  <c r="U67" i="35" s="1"/>
  <c r="J67" i="35"/>
  <c r="M67" i="35" s="1"/>
  <c r="X66" i="35"/>
  <c r="Q66" i="35"/>
  <c r="S66" i="35" s="1"/>
  <c r="U66" i="35" s="1"/>
  <c r="J66" i="35"/>
  <c r="M66" i="35" s="1"/>
  <c r="X65" i="35"/>
  <c r="Q65" i="35"/>
  <c r="S65" i="35" s="1"/>
  <c r="U65" i="35" s="1"/>
  <c r="J65" i="35"/>
  <c r="M65" i="35" s="1"/>
  <c r="X64" i="35"/>
  <c r="Q64" i="35"/>
  <c r="S64" i="35" s="1"/>
  <c r="U64" i="35" s="1"/>
  <c r="J64" i="35"/>
  <c r="M64" i="35" s="1"/>
  <c r="X63" i="35"/>
  <c r="S63" i="35"/>
  <c r="U63" i="35" s="1"/>
  <c r="Q63" i="35"/>
  <c r="J63" i="35"/>
  <c r="M63" i="35" s="1"/>
  <c r="X62" i="35"/>
  <c r="Q62" i="35"/>
  <c r="S62" i="35" s="1"/>
  <c r="U62" i="35" s="1"/>
  <c r="J62" i="35"/>
  <c r="M62" i="35" s="1"/>
  <c r="X61" i="35"/>
  <c r="S61" i="35"/>
  <c r="U61" i="35" s="1"/>
  <c r="Q61" i="35"/>
  <c r="J61" i="35"/>
  <c r="M61" i="35" s="1"/>
  <c r="X60" i="35"/>
  <c r="Q60" i="35"/>
  <c r="S60" i="35" s="1"/>
  <c r="U60" i="35" s="1"/>
  <c r="J60" i="35"/>
  <c r="M60" i="35" s="1"/>
  <c r="X59" i="35"/>
  <c r="S59" i="35"/>
  <c r="U59" i="35" s="1"/>
  <c r="Q59" i="35"/>
  <c r="M59" i="35"/>
  <c r="J59" i="35"/>
  <c r="X58" i="35"/>
  <c r="Q58" i="35"/>
  <c r="S58" i="35" s="1"/>
  <c r="U58" i="35" s="1"/>
  <c r="J58" i="35"/>
  <c r="M58" i="35" s="1"/>
  <c r="X57" i="35"/>
  <c r="S57" i="35"/>
  <c r="U57" i="35" s="1"/>
  <c r="Q57" i="35"/>
  <c r="J57" i="35"/>
  <c r="M57" i="35" s="1"/>
  <c r="X56" i="35"/>
  <c r="Q56" i="35"/>
  <c r="S56" i="35" s="1"/>
  <c r="U56" i="35" s="1"/>
  <c r="J56" i="35"/>
  <c r="M56" i="35" s="1"/>
  <c r="X55" i="35"/>
  <c r="Q55" i="35"/>
  <c r="S55" i="35" s="1"/>
  <c r="U55" i="35" s="1"/>
  <c r="J55" i="35"/>
  <c r="M55" i="35" s="1"/>
  <c r="X54" i="35"/>
  <c r="Q54" i="35"/>
  <c r="S54" i="35" s="1"/>
  <c r="U54" i="35" s="1"/>
  <c r="J54" i="35"/>
  <c r="M54" i="35" s="1"/>
  <c r="X53" i="35"/>
  <c r="Q53" i="35"/>
  <c r="S53" i="35" s="1"/>
  <c r="U53" i="35" s="1"/>
  <c r="J53" i="35"/>
  <c r="M53" i="35" s="1"/>
  <c r="X52" i="35"/>
  <c r="Q52" i="35"/>
  <c r="S52" i="35" s="1"/>
  <c r="U52" i="35" s="1"/>
  <c r="J52" i="35"/>
  <c r="M52" i="35" s="1"/>
  <c r="X51" i="35"/>
  <c r="S51" i="35"/>
  <c r="U51" i="35" s="1"/>
  <c r="Q51" i="35"/>
  <c r="J51" i="35"/>
  <c r="M51" i="35" s="1"/>
  <c r="X50" i="35"/>
  <c r="Q50" i="35"/>
  <c r="S50" i="35" s="1"/>
  <c r="U50" i="35" s="1"/>
  <c r="J50" i="35"/>
  <c r="M50" i="35" s="1"/>
  <c r="X49" i="35"/>
  <c r="S49" i="35"/>
  <c r="U49" i="35" s="1"/>
  <c r="Q49" i="35"/>
  <c r="J49" i="35"/>
  <c r="M49" i="35" s="1"/>
  <c r="X48" i="35"/>
  <c r="Q48" i="35"/>
  <c r="S48" i="35" s="1"/>
  <c r="U48" i="35" s="1"/>
  <c r="J48" i="35"/>
  <c r="M48" i="35" s="1"/>
  <c r="X47" i="35"/>
  <c r="Q47" i="35"/>
  <c r="S47" i="35" s="1"/>
  <c r="U47" i="35" s="1"/>
  <c r="J47" i="35"/>
  <c r="M47" i="35" s="1"/>
  <c r="X46" i="35"/>
  <c r="S46" i="35"/>
  <c r="U46" i="35" s="1"/>
  <c r="Q46" i="35"/>
  <c r="J46" i="35"/>
  <c r="M46" i="35" s="1"/>
  <c r="X45" i="35"/>
  <c r="Q45" i="35"/>
  <c r="S45" i="35" s="1"/>
  <c r="U45" i="35" s="1"/>
  <c r="J45" i="35"/>
  <c r="M45" i="35" s="1"/>
  <c r="X44" i="35"/>
  <c r="Q44" i="35"/>
  <c r="S44" i="35" s="1"/>
  <c r="U44" i="35" s="1"/>
  <c r="J44" i="35"/>
  <c r="M44" i="35" s="1"/>
  <c r="X43" i="35"/>
  <c r="Q43" i="35"/>
  <c r="S43" i="35" s="1"/>
  <c r="U43" i="35" s="1"/>
  <c r="J43" i="35"/>
  <c r="M43" i="35" s="1"/>
  <c r="X42" i="35"/>
  <c r="Q42" i="35"/>
  <c r="S42" i="35" s="1"/>
  <c r="U42" i="35" s="1"/>
  <c r="J42" i="35"/>
  <c r="M42" i="35" s="1"/>
  <c r="X41" i="35"/>
  <c r="Q41" i="35"/>
  <c r="S41" i="35" s="1"/>
  <c r="U41" i="35" s="1"/>
  <c r="J41" i="35"/>
  <c r="M41" i="35" s="1"/>
  <c r="X40" i="35"/>
  <c r="Q40" i="35"/>
  <c r="S40" i="35" s="1"/>
  <c r="U40" i="35" s="1"/>
  <c r="J40" i="35"/>
  <c r="M40" i="35" s="1"/>
  <c r="X39" i="35"/>
  <c r="S39" i="35"/>
  <c r="U39" i="35" s="1"/>
  <c r="Q39" i="35"/>
  <c r="J39" i="35"/>
  <c r="M39" i="35" s="1"/>
  <c r="X38" i="35"/>
  <c r="Q38" i="35"/>
  <c r="S38" i="35" s="1"/>
  <c r="U38" i="35" s="1"/>
  <c r="J38" i="35"/>
  <c r="M38" i="35" s="1"/>
  <c r="X37" i="35"/>
  <c r="U37" i="35"/>
  <c r="S37" i="35"/>
  <c r="Q37" i="35"/>
  <c r="J37" i="35"/>
  <c r="M37" i="35" s="1"/>
  <c r="X36" i="35"/>
  <c r="Q36" i="35"/>
  <c r="S36" i="35" s="1"/>
  <c r="U36" i="35" s="1"/>
  <c r="J36" i="35"/>
  <c r="M36" i="35" s="1"/>
  <c r="X35" i="35"/>
  <c r="Q35" i="35"/>
  <c r="S35" i="35" s="1"/>
  <c r="U35" i="35" s="1"/>
  <c r="J35" i="35"/>
  <c r="M35" i="35" s="1"/>
  <c r="X34" i="35"/>
  <c r="Q34" i="35"/>
  <c r="S34" i="35" s="1"/>
  <c r="U34" i="35" s="1"/>
  <c r="J34" i="35"/>
  <c r="M34" i="35" s="1"/>
  <c r="X33" i="35"/>
  <c r="S33" i="35"/>
  <c r="U33" i="35" s="1"/>
  <c r="Q33" i="35"/>
  <c r="J33" i="35"/>
  <c r="M33" i="35" s="1"/>
  <c r="X32" i="35"/>
  <c r="Q32" i="35"/>
  <c r="S32" i="35" s="1"/>
  <c r="U32" i="35" s="1"/>
  <c r="J32" i="35"/>
  <c r="M32" i="35" s="1"/>
  <c r="X31" i="35"/>
  <c r="Q31" i="35"/>
  <c r="S31" i="35" s="1"/>
  <c r="U31" i="35" s="1"/>
  <c r="J31" i="35"/>
  <c r="M31" i="35" s="1"/>
  <c r="X30" i="35"/>
  <c r="Q30" i="35"/>
  <c r="S30" i="35" s="1"/>
  <c r="U30" i="35" s="1"/>
  <c r="J30" i="35"/>
  <c r="M30" i="35" s="1"/>
  <c r="X29" i="35"/>
  <c r="U29" i="35"/>
  <c r="Q29" i="35"/>
  <c r="S29" i="35" s="1"/>
  <c r="J29" i="35"/>
  <c r="M29" i="35" s="1"/>
  <c r="X28" i="35"/>
  <c r="Q28" i="35"/>
  <c r="S28" i="35" s="1"/>
  <c r="U28" i="35" s="1"/>
  <c r="J28" i="35"/>
  <c r="M28" i="35" s="1"/>
  <c r="X27" i="35"/>
  <c r="Q27" i="35"/>
  <c r="S27" i="35" s="1"/>
  <c r="U27" i="35" s="1"/>
  <c r="J27" i="35"/>
  <c r="M27" i="35" s="1"/>
  <c r="X26" i="35"/>
  <c r="Q26" i="35"/>
  <c r="S26" i="35" s="1"/>
  <c r="U26" i="35" s="1"/>
  <c r="J26" i="35"/>
  <c r="M26" i="35" s="1"/>
  <c r="X25" i="35"/>
  <c r="Q25" i="35"/>
  <c r="S25" i="35" s="1"/>
  <c r="U25" i="35" s="1"/>
  <c r="J25" i="35"/>
  <c r="M25" i="35" s="1"/>
  <c r="X24" i="35"/>
  <c r="Q24" i="35"/>
  <c r="S24" i="35" s="1"/>
  <c r="U24" i="35" s="1"/>
  <c r="J24" i="35"/>
  <c r="M24" i="35" s="1"/>
  <c r="X23" i="35"/>
  <c r="S23" i="35"/>
  <c r="U23" i="35" s="1"/>
  <c r="Q23" i="35"/>
  <c r="J23" i="35"/>
  <c r="M23" i="35" s="1"/>
  <c r="X22" i="35"/>
  <c r="Q22" i="35"/>
  <c r="S22" i="35" s="1"/>
  <c r="U22" i="35" s="1"/>
  <c r="J22" i="35"/>
  <c r="M22" i="35" s="1"/>
  <c r="X21" i="35"/>
  <c r="Q21" i="35"/>
  <c r="S21" i="35" s="1"/>
  <c r="U21" i="35" s="1"/>
  <c r="J21" i="35"/>
  <c r="M21" i="35" s="1"/>
  <c r="X20" i="35"/>
  <c r="S20" i="35"/>
  <c r="U20" i="35" s="1"/>
  <c r="Q20" i="35"/>
  <c r="J20" i="35"/>
  <c r="M20" i="35" s="1"/>
  <c r="X19" i="35"/>
  <c r="Q19" i="35"/>
  <c r="S19" i="35" s="1"/>
  <c r="U19" i="35" s="1"/>
  <c r="J19" i="35"/>
  <c r="M19" i="35" s="1"/>
  <c r="X18" i="35"/>
  <c r="Q18" i="35"/>
  <c r="S18" i="35" s="1"/>
  <c r="U18" i="35" s="1"/>
  <c r="J18" i="35"/>
  <c r="M18" i="35" s="1"/>
  <c r="X17" i="35"/>
  <c r="S17" i="35"/>
  <c r="U17" i="35" s="1"/>
  <c r="Q17" i="35"/>
  <c r="J17" i="35"/>
  <c r="M17" i="35" s="1"/>
  <c r="X16" i="35"/>
  <c r="Q16" i="35"/>
  <c r="S16" i="35" s="1"/>
  <c r="U16" i="35" s="1"/>
  <c r="J16" i="35"/>
  <c r="M16" i="35" s="1"/>
  <c r="X15" i="35"/>
  <c r="Q15" i="35"/>
  <c r="S15" i="35" s="1"/>
  <c r="U15" i="35" s="1"/>
  <c r="J15" i="35"/>
  <c r="M15" i="35" s="1"/>
  <c r="X14" i="35"/>
  <c r="S14" i="35"/>
  <c r="U14" i="35" s="1"/>
  <c r="Q14" i="35"/>
  <c r="J14" i="35"/>
  <c r="M14" i="35" s="1"/>
  <c r="X13" i="35"/>
  <c r="Q13" i="35"/>
  <c r="S13" i="35" s="1"/>
  <c r="U13" i="35" s="1"/>
  <c r="J13" i="35"/>
  <c r="M13" i="35" s="1"/>
  <c r="X12" i="35"/>
  <c r="Q12" i="35"/>
  <c r="S12" i="35" s="1"/>
  <c r="U12" i="35" s="1"/>
  <c r="J12" i="35"/>
  <c r="M12" i="35" s="1"/>
  <c r="X11" i="35"/>
  <c r="Q11" i="35"/>
  <c r="S11" i="35" s="1"/>
  <c r="U11" i="35" s="1"/>
  <c r="J11" i="35"/>
  <c r="M11" i="35" s="1"/>
  <c r="X10" i="35"/>
  <c r="Q10" i="35"/>
  <c r="S10" i="35" s="1"/>
  <c r="U10" i="35" s="1"/>
  <c r="J10" i="35"/>
  <c r="M10" i="35" s="1"/>
  <c r="X9" i="35"/>
  <c r="Q9" i="35"/>
  <c r="S9" i="35" s="1"/>
  <c r="U9" i="35" s="1"/>
  <c r="J9" i="35"/>
  <c r="M9" i="35" s="1"/>
  <c r="X8" i="35"/>
  <c r="U8" i="35"/>
  <c r="Q8" i="35"/>
  <c r="S8" i="35" s="1"/>
  <c r="J8" i="35"/>
  <c r="M8" i="35" s="1"/>
  <c r="X7" i="35"/>
  <c r="Q7" i="35"/>
  <c r="S7" i="35" s="1"/>
  <c r="U7" i="35" s="1"/>
  <c r="J7" i="35"/>
  <c r="M7" i="35" s="1"/>
  <c r="X6" i="35"/>
  <c r="S6" i="35"/>
  <c r="U6" i="35" s="1"/>
  <c r="Q6" i="35"/>
  <c r="J6" i="35"/>
  <c r="M6" i="35" s="1"/>
  <c r="X5" i="35"/>
  <c r="Q5" i="35"/>
  <c r="S5" i="35" s="1"/>
  <c r="U5" i="35" s="1"/>
  <c r="J5" i="35"/>
  <c r="M5" i="35" s="1"/>
  <c r="J6" i="34"/>
  <c r="M6" i="34" s="1"/>
  <c r="C6" i="34"/>
  <c r="C7" i="34"/>
  <c r="C8" i="34"/>
  <c r="C9" i="34"/>
  <c r="C10" i="34"/>
  <c r="C11" i="34"/>
  <c r="C12" i="34"/>
  <c r="C13" i="34"/>
  <c r="C14" i="34"/>
  <c r="C15" i="34"/>
  <c r="C16" i="34"/>
  <c r="C17" i="34"/>
  <c r="C18" i="34"/>
  <c r="C19" i="34"/>
  <c r="C20" i="34"/>
  <c r="C21" i="34"/>
  <c r="C22" i="34"/>
  <c r="C23" i="34"/>
  <c r="C24" i="34"/>
  <c r="C25" i="34"/>
  <c r="C26" i="34"/>
  <c r="C27" i="34"/>
  <c r="C28" i="34"/>
  <c r="C29" i="34"/>
  <c r="C30" i="34"/>
  <c r="C31" i="34"/>
  <c r="C32" i="34"/>
  <c r="C33" i="34"/>
  <c r="C34" i="34"/>
  <c r="C35" i="34"/>
  <c r="C36" i="34"/>
  <c r="C37" i="34"/>
  <c r="C38" i="34"/>
  <c r="C39" i="34"/>
  <c r="C40" i="34"/>
  <c r="C41" i="34"/>
  <c r="C42" i="34"/>
  <c r="C43" i="34"/>
  <c r="C44" i="34"/>
  <c r="C45" i="34"/>
  <c r="C46" i="34"/>
  <c r="C47" i="34"/>
  <c r="C48" i="34"/>
  <c r="C49" i="34"/>
  <c r="C50" i="34"/>
  <c r="C51" i="34"/>
  <c r="C52" i="34"/>
  <c r="C53" i="34"/>
  <c r="C54" i="34"/>
  <c r="C55" i="34"/>
  <c r="C56" i="34"/>
  <c r="C57" i="34"/>
  <c r="C58" i="34"/>
  <c r="C59" i="34"/>
  <c r="C60" i="34"/>
  <c r="C61" i="34"/>
  <c r="C62" i="34"/>
  <c r="C63" i="34"/>
  <c r="C64" i="34"/>
  <c r="C65" i="34"/>
  <c r="C66" i="34"/>
  <c r="C67" i="34"/>
  <c r="C68" i="34"/>
  <c r="C69" i="34"/>
  <c r="C70" i="34"/>
  <c r="C71" i="34"/>
  <c r="C72" i="34"/>
  <c r="C73" i="34"/>
  <c r="C74" i="34"/>
  <c r="C75" i="34"/>
  <c r="C76" i="34"/>
  <c r="C77" i="34"/>
  <c r="C78" i="34"/>
  <c r="C79" i="34"/>
  <c r="C80" i="34"/>
  <c r="C81" i="34"/>
  <c r="C82" i="34"/>
  <c r="C83" i="34"/>
  <c r="C84" i="34"/>
  <c r="C85" i="34"/>
  <c r="C86" i="34"/>
  <c r="C87" i="34"/>
  <c r="C88" i="34"/>
  <c r="C89" i="34"/>
  <c r="C90" i="34"/>
  <c r="C91" i="34"/>
  <c r="C93" i="34"/>
  <c r="C94" i="34"/>
  <c r="C95" i="34"/>
  <c r="C96" i="34"/>
  <c r="C97" i="34"/>
  <c r="C98" i="34"/>
  <c r="C99" i="34"/>
  <c r="C100" i="34"/>
  <c r="C101" i="34"/>
  <c r="C102" i="34"/>
  <c r="C103" i="34"/>
  <c r="C104" i="34"/>
  <c r="C105" i="34"/>
  <c r="C106" i="34"/>
  <c r="C107" i="34"/>
  <c r="C108" i="34"/>
  <c r="C109" i="34"/>
  <c r="C110" i="34"/>
  <c r="C111" i="34"/>
  <c r="C112" i="34"/>
  <c r="C113" i="34"/>
  <c r="C114" i="34"/>
  <c r="C115" i="34"/>
  <c r="C116" i="34"/>
  <c r="C117" i="34"/>
  <c r="C118" i="34"/>
  <c r="C119" i="34"/>
  <c r="C120" i="34"/>
  <c r="C121" i="34"/>
  <c r="C122" i="34"/>
  <c r="C123" i="34"/>
  <c r="C124" i="34"/>
  <c r="C125" i="34"/>
  <c r="C126" i="34"/>
  <c r="C127" i="34"/>
  <c r="C128" i="34"/>
  <c r="C129" i="34"/>
  <c r="C130" i="34"/>
  <c r="C131" i="34"/>
  <c r="C132" i="34"/>
  <c r="C133" i="34"/>
  <c r="C134" i="34"/>
  <c r="C135" i="34"/>
  <c r="C136" i="34"/>
  <c r="C137" i="34"/>
  <c r="C138" i="34"/>
  <c r="C139" i="34"/>
  <c r="C140" i="34"/>
  <c r="C141" i="34"/>
  <c r="C142" i="34"/>
  <c r="C143" i="34"/>
  <c r="C144" i="34"/>
  <c r="C145" i="34"/>
  <c r="C146" i="34"/>
  <c r="C147" i="34"/>
  <c r="C148" i="34"/>
  <c r="C149" i="34"/>
  <c r="C150" i="34"/>
  <c r="C151" i="34"/>
  <c r="C152" i="34"/>
  <c r="C153" i="34"/>
  <c r="C154" i="34"/>
  <c r="C155" i="34"/>
  <c r="C156" i="34"/>
  <c r="C157" i="34"/>
  <c r="C158" i="34"/>
  <c r="C159" i="34"/>
  <c r="C160" i="34"/>
  <c r="C161" i="34"/>
  <c r="C162" i="34"/>
  <c r="C163" i="34"/>
  <c r="C164" i="34"/>
  <c r="C165" i="34"/>
  <c r="C166" i="34"/>
  <c r="C167" i="34"/>
  <c r="C168" i="34"/>
  <c r="C169" i="34"/>
  <c r="C170" i="34"/>
  <c r="C171" i="34"/>
  <c r="C172" i="34"/>
  <c r="C173" i="34"/>
  <c r="C174" i="34"/>
  <c r="C175" i="34"/>
  <c r="C176" i="34"/>
  <c r="C177" i="34"/>
  <c r="C178" i="34"/>
  <c r="C5" i="34"/>
  <c r="K212" i="34"/>
  <c r="N5" i="15" s="1"/>
  <c r="K209" i="34"/>
  <c r="J204" i="34"/>
  <c r="M204" i="34" s="1"/>
  <c r="J203" i="34"/>
  <c r="M203" i="34" s="1"/>
  <c r="J202" i="34"/>
  <c r="M202" i="34" s="1"/>
  <c r="J201" i="34"/>
  <c r="M201" i="34" s="1"/>
  <c r="J200" i="34"/>
  <c r="M200" i="34" s="1"/>
  <c r="J199" i="34"/>
  <c r="M199" i="34" s="1"/>
  <c r="J198" i="34"/>
  <c r="M198" i="34" s="1"/>
  <c r="J197" i="34"/>
  <c r="M197" i="34" s="1"/>
  <c r="J196" i="34"/>
  <c r="M196" i="34" s="1"/>
  <c r="J195" i="34"/>
  <c r="M195" i="34" s="1"/>
  <c r="J194" i="34"/>
  <c r="M194" i="34" s="1"/>
  <c r="J193" i="34"/>
  <c r="M193" i="34" s="1"/>
  <c r="J192" i="34"/>
  <c r="M192" i="34" s="1"/>
  <c r="J191" i="34"/>
  <c r="J190" i="34"/>
  <c r="M190" i="34" s="1"/>
  <c r="J189" i="34"/>
  <c r="M189" i="34" s="1"/>
  <c r="J188" i="34"/>
  <c r="M188" i="34" s="1"/>
  <c r="J187" i="34"/>
  <c r="M187" i="34" s="1"/>
  <c r="J186" i="34"/>
  <c r="M186" i="34" s="1"/>
  <c r="J185" i="34"/>
  <c r="M185" i="34" s="1"/>
  <c r="J184" i="34"/>
  <c r="M184" i="34" s="1"/>
  <c r="J183" i="34"/>
  <c r="M183" i="34" s="1"/>
  <c r="J182" i="34"/>
  <c r="M182" i="34" s="1"/>
  <c r="J181" i="34"/>
  <c r="M181" i="34" s="1"/>
  <c r="J180" i="34"/>
  <c r="M180" i="34" s="1"/>
  <c r="J179" i="34"/>
  <c r="M179" i="34" s="1"/>
  <c r="J178" i="34"/>
  <c r="M178" i="34" s="1"/>
  <c r="J177" i="34"/>
  <c r="J176" i="34"/>
  <c r="M176" i="34" s="1"/>
  <c r="J175" i="34"/>
  <c r="M175" i="34" s="1"/>
  <c r="J174" i="34"/>
  <c r="M174" i="34" s="1"/>
  <c r="J173" i="34"/>
  <c r="M173" i="34" s="1"/>
  <c r="J172" i="34"/>
  <c r="M172" i="34" s="1"/>
  <c r="J171" i="34"/>
  <c r="M171" i="34" s="1"/>
  <c r="J170" i="34"/>
  <c r="M170" i="34" s="1"/>
  <c r="J169" i="34"/>
  <c r="M169" i="34" s="1"/>
  <c r="J168" i="34"/>
  <c r="M168" i="34" s="1"/>
  <c r="J167" i="34"/>
  <c r="M167" i="34" s="1"/>
  <c r="J166" i="34"/>
  <c r="M166" i="34" s="1"/>
  <c r="J165" i="34"/>
  <c r="M165" i="34" s="1"/>
  <c r="J164" i="34"/>
  <c r="M164" i="34" s="1"/>
  <c r="J163" i="34"/>
  <c r="M163" i="34" s="1"/>
  <c r="J162" i="34"/>
  <c r="M162" i="34" s="1"/>
  <c r="J161" i="34"/>
  <c r="M161" i="34" s="1"/>
  <c r="M160" i="34"/>
  <c r="J160" i="34"/>
  <c r="J159" i="34"/>
  <c r="M159" i="34" s="1"/>
  <c r="J158" i="34"/>
  <c r="M158" i="34" s="1"/>
  <c r="J157" i="34"/>
  <c r="M157" i="34" s="1"/>
  <c r="J156" i="34"/>
  <c r="M156" i="34" s="1"/>
  <c r="J155" i="34"/>
  <c r="M155" i="34" s="1"/>
  <c r="J154" i="34"/>
  <c r="M154" i="34" s="1"/>
  <c r="J153" i="34"/>
  <c r="M153" i="34" s="1"/>
  <c r="J152" i="34"/>
  <c r="M152" i="34" s="1"/>
  <c r="J151" i="34"/>
  <c r="M151" i="34" s="1"/>
  <c r="J150" i="34"/>
  <c r="M150" i="34" s="1"/>
  <c r="J149" i="34"/>
  <c r="M149" i="34" s="1"/>
  <c r="J148" i="34"/>
  <c r="M148" i="34" s="1"/>
  <c r="J147" i="34"/>
  <c r="M147" i="34" s="1"/>
  <c r="J146" i="34"/>
  <c r="M146" i="34" s="1"/>
  <c r="J145" i="34"/>
  <c r="M145" i="34" s="1"/>
  <c r="J144" i="34"/>
  <c r="M144" i="34" s="1"/>
  <c r="J143" i="34"/>
  <c r="M143" i="34" s="1"/>
  <c r="J142" i="34"/>
  <c r="M142" i="34" s="1"/>
  <c r="J141" i="34"/>
  <c r="M141" i="34" s="1"/>
  <c r="J140" i="34"/>
  <c r="M140" i="34" s="1"/>
  <c r="J139" i="34"/>
  <c r="M139" i="34" s="1"/>
  <c r="J138" i="34"/>
  <c r="M138" i="34" s="1"/>
  <c r="J137" i="34"/>
  <c r="M137" i="34" s="1"/>
  <c r="J136" i="34"/>
  <c r="M136" i="34" s="1"/>
  <c r="J135" i="34"/>
  <c r="M135" i="34" s="1"/>
  <c r="J134" i="34"/>
  <c r="M134" i="34" s="1"/>
  <c r="J133" i="34"/>
  <c r="M133" i="34" s="1"/>
  <c r="J132" i="34"/>
  <c r="M132" i="34" s="1"/>
  <c r="J131" i="34"/>
  <c r="M131" i="34" s="1"/>
  <c r="J130" i="34"/>
  <c r="M130" i="34" s="1"/>
  <c r="J129" i="34"/>
  <c r="M129" i="34" s="1"/>
  <c r="J128" i="34"/>
  <c r="M128" i="34" s="1"/>
  <c r="J127" i="34"/>
  <c r="M127" i="34" s="1"/>
  <c r="J126" i="34"/>
  <c r="M126" i="34" s="1"/>
  <c r="J125" i="34"/>
  <c r="M125" i="34" s="1"/>
  <c r="J124" i="34"/>
  <c r="M124" i="34" s="1"/>
  <c r="J123" i="34"/>
  <c r="M123" i="34" s="1"/>
  <c r="J122" i="34"/>
  <c r="M122" i="34" s="1"/>
  <c r="J121" i="34"/>
  <c r="J120" i="34"/>
  <c r="J119" i="34"/>
  <c r="M119" i="34" s="1"/>
  <c r="M118" i="34"/>
  <c r="J118" i="34"/>
  <c r="J117" i="34"/>
  <c r="M117" i="34" s="1"/>
  <c r="J116" i="34"/>
  <c r="M116" i="34" s="1"/>
  <c r="J115" i="34"/>
  <c r="M115" i="34" s="1"/>
  <c r="J114" i="34"/>
  <c r="M114" i="34" s="1"/>
  <c r="J113" i="34"/>
  <c r="M113" i="34" s="1"/>
  <c r="J112" i="34"/>
  <c r="M112" i="34" s="1"/>
  <c r="J111" i="34"/>
  <c r="M111" i="34" s="1"/>
  <c r="J110" i="34"/>
  <c r="M110" i="34" s="1"/>
  <c r="J109" i="34"/>
  <c r="M109" i="34" s="1"/>
  <c r="J108" i="34"/>
  <c r="M108" i="34" s="1"/>
  <c r="J107" i="34"/>
  <c r="J106" i="34"/>
  <c r="M106" i="34" s="1"/>
  <c r="Z105" i="34"/>
  <c r="M105" i="34"/>
  <c r="J105" i="34"/>
  <c r="X104" i="34"/>
  <c r="Q104" i="34"/>
  <c r="S104" i="34" s="1"/>
  <c r="U104" i="34" s="1"/>
  <c r="J104" i="34"/>
  <c r="M104" i="34" s="1"/>
  <c r="X103" i="34"/>
  <c r="Q103" i="34"/>
  <c r="S103" i="34" s="1"/>
  <c r="U103" i="34" s="1"/>
  <c r="J103" i="34"/>
  <c r="M103" i="34" s="1"/>
  <c r="X102" i="34"/>
  <c r="Q102" i="34"/>
  <c r="S102" i="34" s="1"/>
  <c r="U102" i="34" s="1"/>
  <c r="J102" i="34"/>
  <c r="M102" i="34" s="1"/>
  <c r="X101" i="34"/>
  <c r="Q101" i="34"/>
  <c r="S101" i="34" s="1"/>
  <c r="U101" i="34" s="1"/>
  <c r="J101" i="34"/>
  <c r="M101" i="34" s="1"/>
  <c r="X100" i="34"/>
  <c r="Q100" i="34"/>
  <c r="S100" i="34" s="1"/>
  <c r="U100" i="34" s="1"/>
  <c r="J100" i="34"/>
  <c r="M100" i="34" s="1"/>
  <c r="X99" i="34"/>
  <c r="Q99" i="34"/>
  <c r="S99" i="34" s="1"/>
  <c r="U99" i="34" s="1"/>
  <c r="J99" i="34"/>
  <c r="M99" i="34" s="1"/>
  <c r="X98" i="34"/>
  <c r="Q98" i="34"/>
  <c r="S98" i="34" s="1"/>
  <c r="U98" i="34" s="1"/>
  <c r="J98" i="34"/>
  <c r="M98" i="34" s="1"/>
  <c r="X97" i="34"/>
  <c r="Q97" i="34"/>
  <c r="S97" i="34" s="1"/>
  <c r="U97" i="34" s="1"/>
  <c r="J97" i="34"/>
  <c r="M97" i="34" s="1"/>
  <c r="X96" i="34"/>
  <c r="Q96" i="34"/>
  <c r="S96" i="34" s="1"/>
  <c r="U96" i="34" s="1"/>
  <c r="J96" i="34"/>
  <c r="M96" i="34" s="1"/>
  <c r="X95" i="34"/>
  <c r="Q95" i="34"/>
  <c r="S95" i="34" s="1"/>
  <c r="U95" i="34" s="1"/>
  <c r="J95" i="34"/>
  <c r="M95" i="34" s="1"/>
  <c r="X94" i="34"/>
  <c r="Q94" i="34"/>
  <c r="S94" i="34" s="1"/>
  <c r="U94" i="34" s="1"/>
  <c r="J94" i="34"/>
  <c r="X93" i="34"/>
  <c r="Q93" i="34"/>
  <c r="S93" i="34" s="1"/>
  <c r="U93" i="34" s="1"/>
  <c r="J93" i="34"/>
  <c r="M93" i="34" s="1"/>
  <c r="X92" i="34"/>
  <c r="Q92" i="34"/>
  <c r="S92" i="34" s="1"/>
  <c r="U92" i="34" s="1"/>
  <c r="J92" i="34"/>
  <c r="X91" i="34"/>
  <c r="Q91" i="34"/>
  <c r="S91" i="34" s="1"/>
  <c r="U91" i="34" s="1"/>
  <c r="J91" i="34"/>
  <c r="M91" i="34" s="1"/>
  <c r="X90" i="34"/>
  <c r="Q90" i="34"/>
  <c r="S90" i="34" s="1"/>
  <c r="U90" i="34" s="1"/>
  <c r="J90" i="34"/>
  <c r="M90" i="34" s="1"/>
  <c r="X89" i="34"/>
  <c r="Q89" i="34"/>
  <c r="S89" i="34" s="1"/>
  <c r="U89" i="34" s="1"/>
  <c r="J89" i="34"/>
  <c r="X88" i="34"/>
  <c r="Q88" i="34"/>
  <c r="S88" i="34" s="1"/>
  <c r="U88" i="34" s="1"/>
  <c r="J88" i="34"/>
  <c r="M88" i="34" s="1"/>
  <c r="X87" i="34"/>
  <c r="Q87" i="34"/>
  <c r="S87" i="34" s="1"/>
  <c r="U87" i="34" s="1"/>
  <c r="J87" i="34"/>
  <c r="M87" i="34" s="1"/>
  <c r="X86" i="34"/>
  <c r="Q86" i="34"/>
  <c r="S86" i="34" s="1"/>
  <c r="U86" i="34" s="1"/>
  <c r="J86" i="34"/>
  <c r="M86" i="34" s="1"/>
  <c r="X85" i="34"/>
  <c r="Q85" i="34"/>
  <c r="S85" i="34" s="1"/>
  <c r="U85" i="34" s="1"/>
  <c r="J85" i="34"/>
  <c r="M85" i="34" s="1"/>
  <c r="X84" i="34"/>
  <c r="Q84" i="34"/>
  <c r="S84" i="34" s="1"/>
  <c r="U84" i="34" s="1"/>
  <c r="J84" i="34"/>
  <c r="M84" i="34" s="1"/>
  <c r="X83" i="34"/>
  <c r="Q83" i="34"/>
  <c r="S83" i="34" s="1"/>
  <c r="U83" i="34" s="1"/>
  <c r="J83" i="34"/>
  <c r="X82" i="34"/>
  <c r="Q82" i="34"/>
  <c r="S82" i="34" s="1"/>
  <c r="U82" i="34" s="1"/>
  <c r="J82" i="34"/>
  <c r="M82" i="34" s="1"/>
  <c r="X81" i="34"/>
  <c r="S81" i="34"/>
  <c r="U81" i="34" s="1"/>
  <c r="Q81" i="34"/>
  <c r="J81" i="34"/>
  <c r="M81" i="34" s="1"/>
  <c r="X80" i="34"/>
  <c r="Q80" i="34"/>
  <c r="S80" i="34" s="1"/>
  <c r="U80" i="34" s="1"/>
  <c r="J80" i="34"/>
  <c r="M80" i="34" s="1"/>
  <c r="X79" i="34"/>
  <c r="Q79" i="34"/>
  <c r="S79" i="34" s="1"/>
  <c r="U79" i="34" s="1"/>
  <c r="J79" i="34"/>
  <c r="M79" i="34" s="1"/>
  <c r="X78" i="34"/>
  <c r="Q78" i="34"/>
  <c r="S78" i="34" s="1"/>
  <c r="U78" i="34" s="1"/>
  <c r="J78" i="34"/>
  <c r="M78" i="34" s="1"/>
  <c r="X77" i="34"/>
  <c r="Q77" i="34"/>
  <c r="S77" i="34" s="1"/>
  <c r="U77" i="34" s="1"/>
  <c r="J77" i="34"/>
  <c r="M77" i="34" s="1"/>
  <c r="X76" i="34"/>
  <c r="S76" i="34"/>
  <c r="U76" i="34" s="1"/>
  <c r="Q76" i="34"/>
  <c r="J76" i="34"/>
  <c r="M76" i="34" s="1"/>
  <c r="X75" i="34"/>
  <c r="Q75" i="34"/>
  <c r="S75" i="34" s="1"/>
  <c r="U75" i="34" s="1"/>
  <c r="J75" i="34"/>
  <c r="X74" i="34"/>
  <c r="S74" i="34"/>
  <c r="U74" i="34" s="1"/>
  <c r="Q74" i="34"/>
  <c r="J74" i="34"/>
  <c r="M74" i="34" s="1"/>
  <c r="X73" i="34"/>
  <c r="Q73" i="34"/>
  <c r="S73" i="34" s="1"/>
  <c r="U73" i="34" s="1"/>
  <c r="J73" i="34"/>
  <c r="M73" i="34" s="1"/>
  <c r="X72" i="34"/>
  <c r="Q72" i="34"/>
  <c r="S72" i="34" s="1"/>
  <c r="U72" i="34" s="1"/>
  <c r="J72" i="34"/>
  <c r="M72" i="34" s="1"/>
  <c r="X71" i="34"/>
  <c r="S71" i="34"/>
  <c r="U71" i="34" s="1"/>
  <c r="Q71" i="34"/>
  <c r="J71" i="34"/>
  <c r="M71" i="34" s="1"/>
  <c r="X70" i="34"/>
  <c r="Q70" i="34"/>
  <c r="S70" i="34" s="1"/>
  <c r="U70" i="34" s="1"/>
  <c r="J70" i="34"/>
  <c r="M70" i="34" s="1"/>
  <c r="X69" i="34"/>
  <c r="Q69" i="34"/>
  <c r="S69" i="34" s="1"/>
  <c r="U69" i="34" s="1"/>
  <c r="J69" i="34"/>
  <c r="M69" i="34" s="1"/>
  <c r="X68" i="34"/>
  <c r="S68" i="34"/>
  <c r="U68" i="34" s="1"/>
  <c r="Q68" i="34"/>
  <c r="J68" i="34"/>
  <c r="M68" i="34" s="1"/>
  <c r="X67" i="34"/>
  <c r="Q67" i="34"/>
  <c r="S67" i="34" s="1"/>
  <c r="U67" i="34" s="1"/>
  <c r="J67" i="34"/>
  <c r="M67" i="34" s="1"/>
  <c r="X66" i="34"/>
  <c r="Q66" i="34"/>
  <c r="S66" i="34" s="1"/>
  <c r="U66" i="34" s="1"/>
  <c r="J66" i="34"/>
  <c r="M66" i="34" s="1"/>
  <c r="X65" i="34"/>
  <c r="Q65" i="34"/>
  <c r="S65" i="34" s="1"/>
  <c r="U65" i="34" s="1"/>
  <c r="J65" i="34"/>
  <c r="M65" i="34" s="1"/>
  <c r="X64" i="34"/>
  <c r="Q64" i="34"/>
  <c r="S64" i="34" s="1"/>
  <c r="U64" i="34" s="1"/>
  <c r="J64" i="34"/>
  <c r="M64" i="34" s="1"/>
  <c r="X63" i="34"/>
  <c r="Q63" i="34"/>
  <c r="S63" i="34" s="1"/>
  <c r="U63" i="34" s="1"/>
  <c r="J63" i="34"/>
  <c r="M63" i="34" s="1"/>
  <c r="X62" i="34"/>
  <c r="Q62" i="34"/>
  <c r="S62" i="34" s="1"/>
  <c r="U62" i="34" s="1"/>
  <c r="J62" i="34"/>
  <c r="M62" i="34" s="1"/>
  <c r="X61" i="34"/>
  <c r="Q61" i="34"/>
  <c r="S61" i="34" s="1"/>
  <c r="U61" i="34" s="1"/>
  <c r="J61" i="34"/>
  <c r="M61" i="34" s="1"/>
  <c r="X60" i="34"/>
  <c r="S60" i="34"/>
  <c r="U60" i="34" s="1"/>
  <c r="Q60" i="34"/>
  <c r="J60" i="34"/>
  <c r="M60" i="34" s="1"/>
  <c r="X59" i="34"/>
  <c r="Q59" i="34"/>
  <c r="S59" i="34" s="1"/>
  <c r="U59" i="34" s="1"/>
  <c r="J59" i="34"/>
  <c r="M59" i="34" s="1"/>
  <c r="X58" i="34"/>
  <c r="Q58" i="34"/>
  <c r="S58" i="34" s="1"/>
  <c r="U58" i="34" s="1"/>
  <c r="J58" i="34"/>
  <c r="M58" i="34" s="1"/>
  <c r="X57" i="34"/>
  <c r="U57" i="34"/>
  <c r="S57" i="34"/>
  <c r="Q57" i="34"/>
  <c r="J57" i="34"/>
  <c r="X56" i="34"/>
  <c r="Q56" i="34"/>
  <c r="S56" i="34" s="1"/>
  <c r="U56" i="34" s="1"/>
  <c r="J56" i="34"/>
  <c r="M56" i="34" s="1"/>
  <c r="X55" i="34"/>
  <c r="S55" i="34"/>
  <c r="U55" i="34" s="1"/>
  <c r="Q55" i="34"/>
  <c r="J55" i="34"/>
  <c r="M55" i="34" s="1"/>
  <c r="X54" i="34"/>
  <c r="Q54" i="34"/>
  <c r="S54" i="34" s="1"/>
  <c r="U54" i="34" s="1"/>
  <c r="J54" i="34"/>
  <c r="M54" i="34" s="1"/>
  <c r="X53" i="34"/>
  <c r="Q53" i="34"/>
  <c r="S53" i="34" s="1"/>
  <c r="U53" i="34" s="1"/>
  <c r="J53" i="34"/>
  <c r="M53" i="34" s="1"/>
  <c r="X52" i="34"/>
  <c r="S52" i="34"/>
  <c r="U52" i="34" s="1"/>
  <c r="Q52" i="34"/>
  <c r="J52" i="34"/>
  <c r="M52" i="34" s="1"/>
  <c r="X51" i="34"/>
  <c r="Q51" i="34"/>
  <c r="S51" i="34" s="1"/>
  <c r="U51" i="34" s="1"/>
  <c r="J51" i="34"/>
  <c r="M51" i="34" s="1"/>
  <c r="X50" i="34"/>
  <c r="Q50" i="34"/>
  <c r="S50" i="34" s="1"/>
  <c r="U50" i="34" s="1"/>
  <c r="J50" i="34"/>
  <c r="M50" i="34" s="1"/>
  <c r="X49" i="34"/>
  <c r="S49" i="34"/>
  <c r="U49" i="34" s="1"/>
  <c r="Q49" i="34"/>
  <c r="J49" i="34"/>
  <c r="M49" i="34" s="1"/>
  <c r="X48" i="34"/>
  <c r="Q48" i="34"/>
  <c r="S48" i="34" s="1"/>
  <c r="U48" i="34" s="1"/>
  <c r="J48" i="34"/>
  <c r="M48" i="34" s="1"/>
  <c r="X47" i="34"/>
  <c r="S47" i="34"/>
  <c r="U47" i="34" s="1"/>
  <c r="Q47" i="34"/>
  <c r="J47" i="34"/>
  <c r="M47" i="34" s="1"/>
  <c r="X46" i="34"/>
  <c r="S46" i="34"/>
  <c r="U46" i="34" s="1"/>
  <c r="Q46" i="34"/>
  <c r="J46" i="34"/>
  <c r="M46" i="34" s="1"/>
  <c r="X45" i="34"/>
  <c r="Q45" i="34"/>
  <c r="S45" i="34" s="1"/>
  <c r="U45" i="34" s="1"/>
  <c r="J45" i="34"/>
  <c r="M45" i="34" s="1"/>
  <c r="X44" i="34"/>
  <c r="Q44" i="34"/>
  <c r="S44" i="34" s="1"/>
  <c r="U44" i="34" s="1"/>
  <c r="J44" i="34"/>
  <c r="M44" i="34" s="1"/>
  <c r="X43" i="34"/>
  <c r="Q43" i="34"/>
  <c r="S43" i="34" s="1"/>
  <c r="U43" i="34" s="1"/>
  <c r="J43" i="34"/>
  <c r="M43" i="34" s="1"/>
  <c r="X42" i="34"/>
  <c r="S42" i="34"/>
  <c r="U42" i="34" s="1"/>
  <c r="Q42" i="34"/>
  <c r="J42" i="34"/>
  <c r="M42" i="34" s="1"/>
  <c r="X41" i="34"/>
  <c r="Q41" i="34"/>
  <c r="S41" i="34" s="1"/>
  <c r="U41" i="34" s="1"/>
  <c r="J41" i="34"/>
  <c r="M41" i="34" s="1"/>
  <c r="X40" i="34"/>
  <c r="Q40" i="34"/>
  <c r="S40" i="34" s="1"/>
  <c r="U40" i="34" s="1"/>
  <c r="J40" i="34"/>
  <c r="M40" i="34" s="1"/>
  <c r="X39" i="34"/>
  <c r="S39" i="34"/>
  <c r="U39" i="34" s="1"/>
  <c r="Q39" i="34"/>
  <c r="J39" i="34"/>
  <c r="M39" i="34" s="1"/>
  <c r="X38" i="34"/>
  <c r="S38" i="34"/>
  <c r="U38" i="34" s="1"/>
  <c r="Q38" i="34"/>
  <c r="J38" i="34"/>
  <c r="M38" i="34" s="1"/>
  <c r="X37" i="34"/>
  <c r="Q37" i="34"/>
  <c r="S37" i="34" s="1"/>
  <c r="U37" i="34" s="1"/>
  <c r="J37" i="34"/>
  <c r="M37" i="34" s="1"/>
  <c r="X36" i="34"/>
  <c r="Q36" i="34"/>
  <c r="S36" i="34" s="1"/>
  <c r="U36" i="34" s="1"/>
  <c r="J36" i="34"/>
  <c r="M36" i="34" s="1"/>
  <c r="X35" i="34"/>
  <c r="Q35" i="34"/>
  <c r="S35" i="34" s="1"/>
  <c r="U35" i="34" s="1"/>
  <c r="J35" i="34"/>
  <c r="M35" i="34" s="1"/>
  <c r="X34" i="34"/>
  <c r="Q34" i="34"/>
  <c r="S34" i="34" s="1"/>
  <c r="U34" i="34" s="1"/>
  <c r="J34" i="34"/>
  <c r="M34" i="34" s="1"/>
  <c r="X33" i="34"/>
  <c r="Q33" i="34"/>
  <c r="S33" i="34" s="1"/>
  <c r="U33" i="34" s="1"/>
  <c r="J33" i="34"/>
  <c r="M33" i="34" s="1"/>
  <c r="X32" i="34"/>
  <c r="Q32" i="34"/>
  <c r="S32" i="34" s="1"/>
  <c r="U32" i="34" s="1"/>
  <c r="J32" i="34"/>
  <c r="M32" i="34" s="1"/>
  <c r="X31" i="34"/>
  <c r="Q31" i="34"/>
  <c r="S31" i="34" s="1"/>
  <c r="U31" i="34" s="1"/>
  <c r="J31" i="34"/>
  <c r="M31" i="34" s="1"/>
  <c r="X30" i="34"/>
  <c r="Q30" i="34"/>
  <c r="S30" i="34" s="1"/>
  <c r="U30" i="34" s="1"/>
  <c r="J30" i="34"/>
  <c r="M30" i="34" s="1"/>
  <c r="X29" i="34"/>
  <c r="S29" i="34"/>
  <c r="U29" i="34" s="1"/>
  <c r="Q29" i="34"/>
  <c r="J29" i="34"/>
  <c r="M29" i="34" s="1"/>
  <c r="X28" i="34"/>
  <c r="Q28" i="34"/>
  <c r="S28" i="34" s="1"/>
  <c r="U28" i="34" s="1"/>
  <c r="J28" i="34"/>
  <c r="M28" i="34" s="1"/>
  <c r="X27" i="34"/>
  <c r="Q27" i="34"/>
  <c r="S27" i="34" s="1"/>
  <c r="U27" i="34" s="1"/>
  <c r="J27" i="34"/>
  <c r="M27" i="34" s="1"/>
  <c r="X26" i="34"/>
  <c r="Q26" i="34"/>
  <c r="S26" i="34" s="1"/>
  <c r="U26" i="34" s="1"/>
  <c r="J26" i="34"/>
  <c r="M26" i="34" s="1"/>
  <c r="X25" i="34"/>
  <c r="Q25" i="34"/>
  <c r="S25" i="34" s="1"/>
  <c r="U25" i="34" s="1"/>
  <c r="J25" i="34"/>
  <c r="M25" i="34" s="1"/>
  <c r="X24" i="34"/>
  <c r="Q24" i="34"/>
  <c r="S24" i="34" s="1"/>
  <c r="U24" i="34" s="1"/>
  <c r="J24" i="34"/>
  <c r="M24" i="34" s="1"/>
  <c r="X23" i="34"/>
  <c r="Q23" i="34"/>
  <c r="S23" i="34" s="1"/>
  <c r="U23" i="34" s="1"/>
  <c r="J23" i="34"/>
  <c r="M23" i="34" s="1"/>
  <c r="X22" i="34"/>
  <c r="Q22" i="34"/>
  <c r="S22" i="34" s="1"/>
  <c r="U22" i="34" s="1"/>
  <c r="J22" i="34"/>
  <c r="M22" i="34" s="1"/>
  <c r="X21" i="34"/>
  <c r="S21" i="34"/>
  <c r="U21" i="34" s="1"/>
  <c r="Q21" i="34"/>
  <c r="J21" i="34"/>
  <c r="M21" i="34" s="1"/>
  <c r="X20" i="34"/>
  <c r="Q20" i="34"/>
  <c r="S20" i="34" s="1"/>
  <c r="U20" i="34" s="1"/>
  <c r="J20" i="34"/>
  <c r="M20" i="34" s="1"/>
  <c r="X19" i="34"/>
  <c r="Q19" i="34"/>
  <c r="S19" i="34" s="1"/>
  <c r="U19" i="34" s="1"/>
  <c r="J19" i="34"/>
  <c r="M19" i="34" s="1"/>
  <c r="X18" i="34"/>
  <c r="Q18" i="34"/>
  <c r="S18" i="34" s="1"/>
  <c r="U18" i="34" s="1"/>
  <c r="J18" i="34"/>
  <c r="M18" i="34" s="1"/>
  <c r="X17" i="34"/>
  <c r="Q17" i="34"/>
  <c r="S17" i="34" s="1"/>
  <c r="U17" i="34" s="1"/>
  <c r="J17" i="34"/>
  <c r="M17" i="34" s="1"/>
  <c r="X16" i="34"/>
  <c r="Q16" i="34"/>
  <c r="S16" i="34" s="1"/>
  <c r="U16" i="34" s="1"/>
  <c r="J16" i="34"/>
  <c r="M16" i="34" s="1"/>
  <c r="X15" i="34"/>
  <c r="Q15" i="34"/>
  <c r="S15" i="34" s="1"/>
  <c r="U15" i="34" s="1"/>
  <c r="J15" i="34"/>
  <c r="M15" i="34" s="1"/>
  <c r="X14" i="34"/>
  <c r="Q14" i="34"/>
  <c r="S14" i="34" s="1"/>
  <c r="U14" i="34" s="1"/>
  <c r="J14" i="34"/>
  <c r="M14" i="34" s="1"/>
  <c r="X13" i="34"/>
  <c r="S13" i="34"/>
  <c r="U13" i="34" s="1"/>
  <c r="Q13" i="34"/>
  <c r="J13" i="34"/>
  <c r="M13" i="34" s="1"/>
  <c r="X12" i="34"/>
  <c r="Q12" i="34"/>
  <c r="S12" i="34" s="1"/>
  <c r="U12" i="34" s="1"/>
  <c r="J12" i="34"/>
  <c r="M12" i="34" s="1"/>
  <c r="X11" i="34"/>
  <c r="Q11" i="34"/>
  <c r="S11" i="34" s="1"/>
  <c r="U11" i="34" s="1"/>
  <c r="J11" i="34"/>
  <c r="M11" i="34" s="1"/>
  <c r="X10" i="34"/>
  <c r="Q10" i="34"/>
  <c r="S10" i="34" s="1"/>
  <c r="U10" i="34" s="1"/>
  <c r="J10" i="34"/>
  <c r="M10" i="34" s="1"/>
  <c r="X9" i="34"/>
  <c r="Q9" i="34"/>
  <c r="S9" i="34" s="1"/>
  <c r="U9" i="34" s="1"/>
  <c r="J9" i="34"/>
  <c r="M9" i="34" s="1"/>
  <c r="X8" i="34"/>
  <c r="Q8" i="34"/>
  <c r="S8" i="34" s="1"/>
  <c r="U8" i="34" s="1"/>
  <c r="J8" i="34"/>
  <c r="M8" i="34" s="1"/>
  <c r="X7" i="34"/>
  <c r="Q7" i="34"/>
  <c r="S7" i="34" s="1"/>
  <c r="U7" i="34" s="1"/>
  <c r="J7" i="34"/>
  <c r="M7" i="34" s="1"/>
  <c r="X6" i="34"/>
  <c r="Q6" i="34"/>
  <c r="S6" i="34" s="1"/>
  <c r="U6" i="34" s="1"/>
  <c r="X5" i="34"/>
  <c r="S5" i="34"/>
  <c r="U5" i="34" s="1"/>
  <c r="Q5" i="34"/>
  <c r="J5" i="34"/>
  <c r="E212" i="15"/>
  <c r="R22" i="15" l="1"/>
  <c r="K219" i="51"/>
  <c r="M5" i="36"/>
  <c r="X107" i="51"/>
  <c r="J206" i="51" s="1"/>
  <c r="X107" i="36"/>
  <c r="J207" i="36" s="1"/>
  <c r="K208" i="36" s="1"/>
  <c r="K214" i="36" s="1"/>
  <c r="R15" i="15"/>
  <c r="K220" i="44"/>
  <c r="R17" i="15"/>
  <c r="K222" i="46"/>
  <c r="R5" i="15"/>
  <c r="K219" i="34"/>
  <c r="R16" i="15"/>
  <c r="K222" i="45"/>
  <c r="K219" i="50"/>
  <c r="R21" i="15"/>
  <c r="R20" i="15"/>
  <c r="K219" i="49"/>
  <c r="X107" i="60"/>
  <c r="J206" i="60" s="1"/>
  <c r="R19" i="15"/>
  <c r="K222" i="48"/>
  <c r="X107" i="48"/>
  <c r="J209" i="48" s="1"/>
  <c r="R18" i="15"/>
  <c r="K222" i="47"/>
  <c r="J5" i="15"/>
  <c r="R14" i="15"/>
  <c r="K220" i="43"/>
  <c r="R13" i="15"/>
  <c r="K220" i="42"/>
  <c r="R12" i="15"/>
  <c r="K220" i="41"/>
  <c r="X107" i="40"/>
  <c r="J207" i="40" s="1"/>
  <c r="R11" i="15"/>
  <c r="K220" i="40"/>
  <c r="R10" i="15"/>
  <c r="R9" i="15"/>
  <c r="K220" i="38"/>
  <c r="R8" i="15"/>
  <c r="K220" i="37"/>
  <c r="J105" i="15"/>
  <c r="R7" i="15"/>
  <c r="K220" i="36"/>
  <c r="R6" i="15"/>
  <c r="J57" i="15"/>
  <c r="J193" i="15"/>
  <c r="J107" i="15"/>
  <c r="J73" i="15"/>
  <c r="J92" i="15"/>
  <c r="J52" i="15"/>
  <c r="J118" i="15"/>
  <c r="J83" i="15"/>
  <c r="J91" i="15"/>
  <c r="J120" i="15"/>
  <c r="J104" i="15"/>
  <c r="J160" i="15"/>
  <c r="J122" i="15"/>
  <c r="J191" i="15"/>
  <c r="J121" i="15"/>
  <c r="J88" i="15"/>
  <c r="J24" i="15"/>
  <c r="J94" i="15"/>
  <c r="J177" i="15"/>
  <c r="J89" i="15"/>
  <c r="J152" i="15"/>
  <c r="J80" i="15"/>
  <c r="J16" i="15"/>
  <c r="J144" i="15"/>
  <c r="J72" i="15"/>
  <c r="J8" i="15"/>
  <c r="J200" i="15"/>
  <c r="J136" i="15"/>
  <c r="J64" i="15"/>
  <c r="J75" i="15"/>
  <c r="J192" i="15"/>
  <c r="J128" i="15"/>
  <c r="J56" i="15"/>
  <c r="J161" i="15"/>
  <c r="J184" i="15"/>
  <c r="J112" i="15"/>
  <c r="J48" i="15"/>
  <c r="M104" i="35"/>
  <c r="J176" i="15"/>
  <c r="J40" i="15"/>
  <c r="J168" i="15"/>
  <c r="J96" i="15"/>
  <c r="J32" i="15"/>
  <c r="M92" i="34"/>
  <c r="M94" i="34"/>
  <c r="M107" i="34"/>
  <c r="M120" i="34"/>
  <c r="M191" i="34"/>
  <c r="J199" i="15"/>
  <c r="J183" i="15"/>
  <c r="J175" i="15"/>
  <c r="J167" i="15"/>
  <c r="J159" i="15"/>
  <c r="J151" i="15"/>
  <c r="J143" i="15"/>
  <c r="J135" i="15"/>
  <c r="J127" i="15"/>
  <c r="J119" i="15"/>
  <c r="J111" i="15"/>
  <c r="J103" i="15"/>
  <c r="J95" i="15"/>
  <c r="J87" i="15"/>
  <c r="J79" i="15"/>
  <c r="J71" i="15"/>
  <c r="J63" i="15"/>
  <c r="J55" i="15"/>
  <c r="J47" i="15"/>
  <c r="J39" i="15"/>
  <c r="J31" i="15"/>
  <c r="J23" i="15"/>
  <c r="J15" i="15"/>
  <c r="J7" i="15"/>
  <c r="M75" i="34"/>
  <c r="M177" i="34"/>
  <c r="J198" i="15"/>
  <c r="J190" i="15"/>
  <c r="J182" i="15"/>
  <c r="J174" i="15"/>
  <c r="J166" i="15"/>
  <c r="J158" i="15"/>
  <c r="J150" i="15"/>
  <c r="J142" i="15"/>
  <c r="J134" i="15"/>
  <c r="J126" i="15"/>
  <c r="J110" i="15"/>
  <c r="J102" i="15"/>
  <c r="J86" i="15"/>
  <c r="J78" i="15"/>
  <c r="J70" i="15"/>
  <c r="J62" i="15"/>
  <c r="J54" i="15"/>
  <c r="J46" i="15"/>
  <c r="J38" i="15"/>
  <c r="J30" i="15"/>
  <c r="J22" i="15"/>
  <c r="J14" i="15"/>
  <c r="J6" i="15"/>
  <c r="M57" i="34"/>
  <c r="M83" i="34"/>
  <c r="M89" i="34"/>
  <c r="M121" i="34"/>
  <c r="J197" i="15"/>
  <c r="J189" i="15"/>
  <c r="J181" i="15"/>
  <c r="J173" i="15"/>
  <c r="J165" i="15"/>
  <c r="J157" i="15"/>
  <c r="J149" i="15"/>
  <c r="J141" i="15"/>
  <c r="J133" i="15"/>
  <c r="J125" i="15"/>
  <c r="J117" i="15"/>
  <c r="J109" i="15"/>
  <c r="J101" i="15"/>
  <c r="J93" i="15"/>
  <c r="J85" i="15"/>
  <c r="J77" i="15"/>
  <c r="J69" i="15"/>
  <c r="J61" i="15"/>
  <c r="J53" i="15"/>
  <c r="J45" i="15"/>
  <c r="J37" i="15"/>
  <c r="J29" i="15"/>
  <c r="J21" i="15"/>
  <c r="J13" i="15"/>
  <c r="J204" i="15"/>
  <c r="J196" i="15"/>
  <c r="J188" i="15"/>
  <c r="J180" i="15"/>
  <c r="J172" i="15"/>
  <c r="J164" i="15"/>
  <c r="J156" i="15"/>
  <c r="J148" i="15"/>
  <c r="J140" i="15"/>
  <c r="J132" i="15"/>
  <c r="J124" i="15"/>
  <c r="J116" i="15"/>
  <c r="J108" i="15"/>
  <c r="J100" i="15"/>
  <c r="J84" i="15"/>
  <c r="J76" i="15"/>
  <c r="J68" i="15"/>
  <c r="J60" i="15"/>
  <c r="J44" i="15"/>
  <c r="J36" i="15"/>
  <c r="J28" i="15"/>
  <c r="J20" i="15"/>
  <c r="J12" i="15"/>
  <c r="J203" i="15"/>
  <c r="J195" i="15"/>
  <c r="J187" i="15"/>
  <c r="J179" i="15"/>
  <c r="J171" i="15"/>
  <c r="J163" i="15"/>
  <c r="J155" i="15"/>
  <c r="J147" i="15"/>
  <c r="J139" i="15"/>
  <c r="J131" i="15"/>
  <c r="J123" i="15"/>
  <c r="J115" i="15"/>
  <c r="J99" i="15"/>
  <c r="J67" i="15"/>
  <c r="J59" i="15"/>
  <c r="J51" i="15"/>
  <c r="J43" i="15"/>
  <c r="J35" i="15"/>
  <c r="J27" i="15"/>
  <c r="J19" i="15"/>
  <c r="J11" i="15"/>
  <c r="J202" i="15"/>
  <c r="J194" i="15"/>
  <c r="J186" i="15"/>
  <c r="J178" i="15"/>
  <c r="J170" i="15"/>
  <c r="J162" i="15"/>
  <c r="J154" i="15"/>
  <c r="J146" i="15"/>
  <c r="J138" i="15"/>
  <c r="J130" i="15"/>
  <c r="J114" i="15"/>
  <c r="J106" i="15"/>
  <c r="J98" i="15"/>
  <c r="J90" i="15"/>
  <c r="J82" i="15"/>
  <c r="J74" i="15"/>
  <c r="J66" i="15"/>
  <c r="J58" i="15"/>
  <c r="J50" i="15"/>
  <c r="J42" i="15"/>
  <c r="J34" i="15"/>
  <c r="J26" i="15"/>
  <c r="J18" i="15"/>
  <c r="J10" i="15"/>
  <c r="J201" i="15"/>
  <c r="J185" i="15"/>
  <c r="J169" i="15"/>
  <c r="J153" i="15"/>
  <c r="J145" i="15"/>
  <c r="J137" i="15"/>
  <c r="J129" i="15"/>
  <c r="J113" i="15"/>
  <c r="J97" i="15"/>
  <c r="J81" i="15"/>
  <c r="J65" i="15"/>
  <c r="J49" i="15"/>
  <c r="J41" i="15"/>
  <c r="J33" i="15"/>
  <c r="J25" i="15"/>
  <c r="J17" i="15"/>
  <c r="J9" i="15"/>
  <c r="M5" i="34"/>
  <c r="X107" i="64"/>
  <c r="J206" i="64" s="1"/>
  <c r="K207" i="64" s="1"/>
  <c r="M5" i="63"/>
  <c r="X107" i="63"/>
  <c r="J206" i="63" s="1"/>
  <c r="K207" i="63" s="1"/>
  <c r="X107" i="62"/>
  <c r="J206" i="62" s="1"/>
  <c r="K207" i="62"/>
  <c r="X107" i="61"/>
  <c r="J206" i="61" s="1"/>
  <c r="K207" i="61"/>
  <c r="M5" i="61"/>
  <c r="K207" i="60"/>
  <c r="M5" i="59"/>
  <c r="X107" i="59"/>
  <c r="J206" i="59" s="1"/>
  <c r="K207" i="59" s="1"/>
  <c r="K207" i="58"/>
  <c r="X107" i="58"/>
  <c r="J206" i="58" s="1"/>
  <c r="M5" i="57"/>
  <c r="X107" i="57"/>
  <c r="J206" i="57" s="1"/>
  <c r="K207" i="57" s="1"/>
  <c r="X107" i="56"/>
  <c r="J206" i="56" s="1"/>
  <c r="K207" i="56" s="1"/>
  <c r="M5" i="55"/>
  <c r="X107" i="55"/>
  <c r="J206" i="55" s="1"/>
  <c r="K207" i="55" s="1"/>
  <c r="X107" i="54"/>
  <c r="J206" i="54" s="1"/>
  <c r="K207" i="54" s="1"/>
  <c r="M5" i="54"/>
  <c r="M5" i="53"/>
  <c r="X107" i="53"/>
  <c r="J206" i="53" s="1"/>
  <c r="K207" i="53" s="1"/>
  <c r="X107" i="52"/>
  <c r="J206" i="52" s="1"/>
  <c r="K207" i="52"/>
  <c r="K207" i="51"/>
  <c r="M5" i="51"/>
  <c r="K207" i="50"/>
  <c r="X107" i="49"/>
  <c r="J206" i="49" s="1"/>
  <c r="K207" i="49" s="1"/>
  <c r="K210" i="48"/>
  <c r="K216" i="48" s="1"/>
  <c r="X107" i="47"/>
  <c r="J209" i="47" s="1"/>
  <c r="K210" i="47" s="1"/>
  <c r="X107" i="46"/>
  <c r="J209" i="46" s="1"/>
  <c r="K210" i="46" s="1"/>
  <c r="M5" i="46"/>
  <c r="X107" i="45"/>
  <c r="J209" i="45" s="1"/>
  <c r="K210" i="45" s="1"/>
  <c r="M5" i="44"/>
  <c r="X107" i="44"/>
  <c r="J207" i="44" s="1"/>
  <c r="K208" i="44" s="1"/>
  <c r="M5" i="43"/>
  <c r="X107" i="43"/>
  <c r="J207" i="43" s="1"/>
  <c r="K208" i="43" s="1"/>
  <c r="X107" i="42"/>
  <c r="J207" i="42" s="1"/>
  <c r="K208" i="42" s="1"/>
  <c r="X107" i="41"/>
  <c r="J207" i="41" s="1"/>
  <c r="K208" i="41"/>
  <c r="K214" i="41" s="1"/>
  <c r="M5" i="41"/>
  <c r="K208" i="40"/>
  <c r="M5" i="40"/>
  <c r="X107" i="39"/>
  <c r="J207" i="39" s="1"/>
  <c r="K208" i="39" s="1"/>
  <c r="X107" i="38"/>
  <c r="J207" i="38" s="1"/>
  <c r="K208" i="38" s="1"/>
  <c r="M5" i="38"/>
  <c r="X107" i="37"/>
  <c r="J207" i="37" s="1"/>
  <c r="X107" i="35"/>
  <c r="J206" i="35" s="1"/>
  <c r="K207" i="35"/>
  <c r="E220" i="15"/>
  <c r="E206" i="15"/>
  <c r="E214" i="15"/>
  <c r="E222" i="15"/>
  <c r="E221" i="15"/>
  <c r="E209" i="15"/>
  <c r="E217" i="15"/>
  <c r="E210" i="15"/>
  <c r="E218" i="15"/>
  <c r="E223" i="15"/>
  <c r="E207" i="15"/>
  <c r="E208" i="15"/>
  <c r="E216" i="15"/>
  <c r="E224" i="15"/>
  <c r="E215" i="15"/>
  <c r="X107" i="34"/>
  <c r="J206" i="34" s="1"/>
  <c r="K207" i="34" s="1"/>
  <c r="O36" i="15"/>
  <c r="J229" i="15" s="1"/>
  <c r="E211" i="15"/>
  <c r="E219" i="15"/>
  <c r="P36" i="15"/>
  <c r="F228" i="15" s="1"/>
  <c r="E213" i="15"/>
  <c r="E205" i="15"/>
  <c r="T36" i="15"/>
  <c r="J233" i="15" s="1"/>
  <c r="N36" i="15"/>
  <c r="K230" i="15" s="1"/>
  <c r="D229" i="15" s="1"/>
  <c r="B230" i="15" s="1"/>
  <c r="E177" i="15"/>
  <c r="E200" i="15"/>
  <c r="E144" i="15"/>
  <c r="J206" i="15" l="1"/>
  <c r="K208" i="37"/>
  <c r="M8" i="15" s="1"/>
  <c r="S8" i="15" s="1"/>
  <c r="U8" i="15" s="1"/>
  <c r="R36" i="15"/>
  <c r="K228" i="15" s="1"/>
  <c r="K213" i="64"/>
  <c r="K216" i="64" s="1"/>
  <c r="M35" i="15"/>
  <c r="S35" i="15" s="1"/>
  <c r="U35" i="15" s="1"/>
  <c r="K213" i="63"/>
  <c r="K216" i="63" s="1"/>
  <c r="M34" i="15"/>
  <c r="S34" i="15" s="1"/>
  <c r="U34" i="15" s="1"/>
  <c r="K213" i="62"/>
  <c r="K216" i="62" s="1"/>
  <c r="M33" i="15"/>
  <c r="S33" i="15" s="1"/>
  <c r="U33" i="15" s="1"/>
  <c r="K213" i="61"/>
  <c r="K216" i="61" s="1"/>
  <c r="M32" i="15"/>
  <c r="S32" i="15" s="1"/>
  <c r="U32" i="15" s="1"/>
  <c r="K213" i="60"/>
  <c r="K216" i="60" s="1"/>
  <c r="M31" i="15"/>
  <c r="S31" i="15" s="1"/>
  <c r="U31" i="15" s="1"/>
  <c r="K213" i="59"/>
  <c r="K215" i="59" s="1"/>
  <c r="M30" i="15"/>
  <c r="S30" i="15" s="1"/>
  <c r="U30" i="15" s="1"/>
  <c r="K213" i="58"/>
  <c r="K216" i="58" s="1"/>
  <c r="M29" i="15"/>
  <c r="S29" i="15" s="1"/>
  <c r="U29" i="15" s="1"/>
  <c r="K213" i="57"/>
  <c r="K216" i="57" s="1"/>
  <c r="M28" i="15"/>
  <c r="S28" i="15" s="1"/>
  <c r="U28" i="15" s="1"/>
  <c r="K213" i="56"/>
  <c r="K216" i="56" s="1"/>
  <c r="M27" i="15"/>
  <c r="S27" i="15" s="1"/>
  <c r="U27" i="15" s="1"/>
  <c r="K213" i="55"/>
  <c r="K216" i="55" s="1"/>
  <c r="M26" i="15"/>
  <c r="S26" i="15" s="1"/>
  <c r="U26" i="15" s="1"/>
  <c r="K213" i="54"/>
  <c r="K215" i="54" s="1"/>
  <c r="M25" i="15"/>
  <c r="S25" i="15" s="1"/>
  <c r="U25" i="15" s="1"/>
  <c r="K213" i="53"/>
  <c r="K216" i="53" s="1"/>
  <c r="M24" i="15"/>
  <c r="S24" i="15" s="1"/>
  <c r="U24" i="15" s="1"/>
  <c r="K213" i="52"/>
  <c r="K216" i="52" s="1"/>
  <c r="M23" i="15"/>
  <c r="S23" i="15" s="1"/>
  <c r="U23" i="15" s="1"/>
  <c r="K213" i="51"/>
  <c r="K216" i="51" s="1"/>
  <c r="M22" i="15"/>
  <c r="S22" i="15" s="1"/>
  <c r="U22" i="15" s="1"/>
  <c r="K213" i="50"/>
  <c r="K216" i="50" s="1"/>
  <c r="M21" i="15"/>
  <c r="S21" i="15" s="1"/>
  <c r="U21" i="15" s="1"/>
  <c r="K213" i="49"/>
  <c r="K216" i="49" s="1"/>
  <c r="M20" i="15"/>
  <c r="K219" i="48"/>
  <c r="M19" i="15"/>
  <c r="S19" i="15" s="1"/>
  <c r="U19" i="15" s="1"/>
  <c r="K216" i="47"/>
  <c r="K219" i="47" s="1"/>
  <c r="M18" i="15"/>
  <c r="S18" i="15" s="1"/>
  <c r="U18" i="15" s="1"/>
  <c r="K216" i="46"/>
  <c r="K219" i="46" s="1"/>
  <c r="M17" i="15"/>
  <c r="S17" i="15" s="1"/>
  <c r="U17" i="15" s="1"/>
  <c r="K216" i="45"/>
  <c r="K219" i="45" s="1"/>
  <c r="M16" i="15"/>
  <c r="S16" i="15" s="1"/>
  <c r="U16" i="15" s="1"/>
  <c r="K214" i="44"/>
  <c r="K216" i="44" s="1"/>
  <c r="K219" i="44" s="1"/>
  <c r="M15" i="15"/>
  <c r="S15" i="15" s="1"/>
  <c r="U15" i="15" s="1"/>
  <c r="K214" i="43"/>
  <c r="K217" i="43" s="1"/>
  <c r="M14" i="15"/>
  <c r="S14" i="15" s="1"/>
  <c r="U14" i="15" s="1"/>
  <c r="K214" i="42"/>
  <c r="K217" i="42" s="1"/>
  <c r="M13" i="15"/>
  <c r="S13" i="15" s="1"/>
  <c r="U13" i="15" s="1"/>
  <c r="K217" i="41"/>
  <c r="M12" i="15"/>
  <c r="S12" i="15" s="1"/>
  <c r="U12" i="15" s="1"/>
  <c r="K214" i="40"/>
  <c r="K217" i="40" s="1"/>
  <c r="M11" i="15"/>
  <c r="S11" i="15" s="1"/>
  <c r="U11" i="15" s="1"/>
  <c r="K214" i="39"/>
  <c r="K217" i="39" s="1"/>
  <c r="M10" i="15"/>
  <c r="S10" i="15" s="1"/>
  <c r="U10" i="15" s="1"/>
  <c r="K214" i="38"/>
  <c r="K217" i="38" s="1"/>
  <c r="M9" i="15"/>
  <c r="K217" i="36"/>
  <c r="M7" i="15"/>
  <c r="K213" i="35"/>
  <c r="K216" i="35" s="1"/>
  <c r="M6" i="15"/>
  <c r="K213" i="34"/>
  <c r="K216" i="34" s="1"/>
  <c r="M5" i="15"/>
  <c r="K215" i="53"/>
  <c r="E50" i="34"/>
  <c r="G50" i="34" s="1"/>
  <c r="C50" i="35" s="1"/>
  <c r="E50" i="35" s="1"/>
  <c r="G50" i="35" s="1"/>
  <c r="C50" i="36" s="1"/>
  <c r="E50" i="36" s="1"/>
  <c r="G50" i="36" s="1"/>
  <c r="C50" i="37" s="1"/>
  <c r="E50" i="37" s="1"/>
  <c r="G50" i="37" s="1"/>
  <c r="C50" i="38" s="1"/>
  <c r="E50" i="38" s="1"/>
  <c r="G50" i="38" s="1"/>
  <c r="C50" i="39" s="1"/>
  <c r="E50" i="39" s="1"/>
  <c r="G50" i="39" s="1"/>
  <c r="C50" i="40" s="1"/>
  <c r="E50" i="40" s="1"/>
  <c r="G50" i="40" s="1"/>
  <c r="C50" i="41" s="1"/>
  <c r="E50" i="41" s="1"/>
  <c r="G50" i="41" s="1"/>
  <c r="C50" i="42" s="1"/>
  <c r="E50" i="42" s="1"/>
  <c r="G50" i="42" s="1"/>
  <c r="C50" i="43" s="1"/>
  <c r="E50" i="43" s="1"/>
  <c r="G50" i="43" s="1"/>
  <c r="C50" i="44" s="1"/>
  <c r="E50" i="44" s="1"/>
  <c r="G50" i="44" s="1"/>
  <c r="C50" i="45" s="1"/>
  <c r="E50" i="45" s="1"/>
  <c r="G50" i="45" s="1"/>
  <c r="C50" i="46" s="1"/>
  <c r="E50" i="46" s="1"/>
  <c r="G50" i="46" s="1"/>
  <c r="C50" i="47" s="1"/>
  <c r="E50" i="47" s="1"/>
  <c r="G50" i="47" s="1"/>
  <c r="C50" i="48" s="1"/>
  <c r="E50" i="48" s="1"/>
  <c r="G50" i="48" s="1"/>
  <c r="C50" i="49" s="1"/>
  <c r="E50" i="49" s="1"/>
  <c r="G50" i="49" s="1"/>
  <c r="C50" i="50" s="1"/>
  <c r="E50" i="50" s="1"/>
  <c r="G50" i="50" s="1"/>
  <c r="C50" i="51" s="1"/>
  <c r="E50" i="51" s="1"/>
  <c r="G50" i="51" s="1"/>
  <c r="C50" i="52" s="1"/>
  <c r="E50" i="52" s="1"/>
  <c r="G50" i="52" s="1"/>
  <c r="C50" i="53" s="1"/>
  <c r="E50" i="53" s="1"/>
  <c r="G50" i="53" s="1"/>
  <c r="C50" i="54" s="1"/>
  <c r="E50" i="54" s="1"/>
  <c r="G50" i="54" s="1"/>
  <c r="C50" i="55" s="1"/>
  <c r="E50" i="55" s="1"/>
  <c r="G50" i="55" s="1"/>
  <c r="C50" i="56" s="1"/>
  <c r="E50" i="56" s="1"/>
  <c r="G50" i="56" s="1"/>
  <c r="C50" i="57" s="1"/>
  <c r="E50" i="57" s="1"/>
  <c r="G50" i="57" s="1"/>
  <c r="C50" i="58" s="1"/>
  <c r="E50" i="58" s="1"/>
  <c r="G50" i="58" s="1"/>
  <c r="C50" i="59" s="1"/>
  <c r="E50" i="59" s="1"/>
  <c r="G50" i="59" s="1"/>
  <c r="C50" i="60" s="1"/>
  <c r="E50" i="60" s="1"/>
  <c r="G50" i="60" s="1"/>
  <c r="C50" i="61" s="1"/>
  <c r="E50" i="61" s="1"/>
  <c r="G50" i="61" s="1"/>
  <c r="C50" i="62" s="1"/>
  <c r="E50" i="62" s="1"/>
  <c r="G50" i="62" s="1"/>
  <c r="C50" i="63" s="1"/>
  <c r="E50" i="63" s="1"/>
  <c r="G50" i="63" s="1"/>
  <c r="C50" i="64" s="1"/>
  <c r="E50" i="64" s="1"/>
  <c r="G50" i="64" s="1"/>
  <c r="E50" i="15"/>
  <c r="E27" i="34"/>
  <c r="G27" i="34" s="1"/>
  <c r="C27" i="35" s="1"/>
  <c r="E27" i="35" s="1"/>
  <c r="G27" i="35" s="1"/>
  <c r="C27" i="36" s="1"/>
  <c r="E27" i="36" s="1"/>
  <c r="G27" i="36" s="1"/>
  <c r="C27" i="37" s="1"/>
  <c r="E27" i="37" s="1"/>
  <c r="G27" i="37" s="1"/>
  <c r="C27" i="38" s="1"/>
  <c r="E27" i="38" s="1"/>
  <c r="G27" i="38" s="1"/>
  <c r="C27" i="39" s="1"/>
  <c r="E27" i="39" s="1"/>
  <c r="G27" i="39" s="1"/>
  <c r="C27" i="40" s="1"/>
  <c r="E27" i="40" s="1"/>
  <c r="G27" i="40" s="1"/>
  <c r="C27" i="41" s="1"/>
  <c r="E27" i="41" s="1"/>
  <c r="G27" i="41" s="1"/>
  <c r="C27" i="42" s="1"/>
  <c r="E27" i="42" s="1"/>
  <c r="G27" i="42" s="1"/>
  <c r="C27" i="43" s="1"/>
  <c r="E27" i="43" s="1"/>
  <c r="G27" i="43" s="1"/>
  <c r="C27" i="44" s="1"/>
  <c r="E27" i="44" s="1"/>
  <c r="G27" i="44" s="1"/>
  <c r="C27" i="45" s="1"/>
  <c r="E27" i="45" s="1"/>
  <c r="G27" i="45" s="1"/>
  <c r="C27" i="46" s="1"/>
  <c r="E27" i="46" s="1"/>
  <c r="G27" i="46" s="1"/>
  <c r="C27" i="47" s="1"/>
  <c r="E27" i="47" s="1"/>
  <c r="G27" i="47" s="1"/>
  <c r="C27" i="48" s="1"/>
  <c r="E27" i="48" s="1"/>
  <c r="G27" i="48" s="1"/>
  <c r="C27" i="49" s="1"/>
  <c r="E27" i="49" s="1"/>
  <c r="G27" i="49" s="1"/>
  <c r="C27" i="50" s="1"/>
  <c r="E27" i="50" s="1"/>
  <c r="G27" i="50" s="1"/>
  <c r="C27" i="51" s="1"/>
  <c r="E27" i="51" s="1"/>
  <c r="G27" i="51" s="1"/>
  <c r="C27" i="52" s="1"/>
  <c r="E27" i="52" s="1"/>
  <c r="G27" i="52" s="1"/>
  <c r="C27" i="53" s="1"/>
  <c r="E27" i="53" s="1"/>
  <c r="G27" i="53" s="1"/>
  <c r="C27" i="54" s="1"/>
  <c r="E27" i="54" s="1"/>
  <c r="G27" i="54" s="1"/>
  <c r="C27" i="55" s="1"/>
  <c r="E27" i="55" s="1"/>
  <c r="G27" i="55" s="1"/>
  <c r="C27" i="56" s="1"/>
  <c r="E27" i="56" s="1"/>
  <c r="G27" i="56" s="1"/>
  <c r="C27" i="57" s="1"/>
  <c r="E27" i="57" s="1"/>
  <c r="G27" i="57" s="1"/>
  <c r="C27" i="58" s="1"/>
  <c r="E27" i="58" s="1"/>
  <c r="G27" i="58" s="1"/>
  <c r="C27" i="59" s="1"/>
  <c r="E27" i="59" s="1"/>
  <c r="G27" i="59" s="1"/>
  <c r="C27" i="60" s="1"/>
  <c r="E27" i="60" s="1"/>
  <c r="G27" i="60" s="1"/>
  <c r="C27" i="61" s="1"/>
  <c r="E27" i="61" s="1"/>
  <c r="G27" i="61" s="1"/>
  <c r="C27" i="62" s="1"/>
  <c r="E27" i="62" s="1"/>
  <c r="G27" i="62" s="1"/>
  <c r="C27" i="63" s="1"/>
  <c r="E27" i="63" s="1"/>
  <c r="G27" i="63" s="1"/>
  <c r="C27" i="64" s="1"/>
  <c r="E27" i="64" s="1"/>
  <c r="G27" i="64" s="1"/>
  <c r="E27" i="15"/>
  <c r="E192" i="15"/>
  <c r="E58" i="34"/>
  <c r="G58" i="34" s="1"/>
  <c r="C58" i="35" s="1"/>
  <c r="E58" i="35" s="1"/>
  <c r="G58" i="35" s="1"/>
  <c r="C58" i="36" s="1"/>
  <c r="E58" i="36" s="1"/>
  <c r="G58" i="36" s="1"/>
  <c r="C58" i="37" s="1"/>
  <c r="E58" i="37" s="1"/>
  <c r="G58" i="37" s="1"/>
  <c r="C58" i="38" s="1"/>
  <c r="E58" i="38" s="1"/>
  <c r="G58" i="38" s="1"/>
  <c r="C58" i="39" s="1"/>
  <c r="E58" i="39" s="1"/>
  <c r="G58" i="39" s="1"/>
  <c r="C58" i="40" s="1"/>
  <c r="E58" i="40" s="1"/>
  <c r="G58" i="40" s="1"/>
  <c r="C58" i="41" s="1"/>
  <c r="E58" i="41" s="1"/>
  <c r="G58" i="41" s="1"/>
  <c r="C58" i="42" s="1"/>
  <c r="E58" i="42" s="1"/>
  <c r="G58" i="42" s="1"/>
  <c r="C58" i="43" s="1"/>
  <c r="E58" i="43" s="1"/>
  <c r="G58" i="43" s="1"/>
  <c r="C58" i="44" s="1"/>
  <c r="E58" i="44" s="1"/>
  <c r="G58" i="44" s="1"/>
  <c r="C58" i="45" s="1"/>
  <c r="E58" i="45" s="1"/>
  <c r="G58" i="45" s="1"/>
  <c r="C58" i="46" s="1"/>
  <c r="E58" i="46" s="1"/>
  <c r="G58" i="46" s="1"/>
  <c r="C58" i="47" s="1"/>
  <c r="E58" i="47" s="1"/>
  <c r="G58" i="47" s="1"/>
  <c r="C58" i="48" s="1"/>
  <c r="E58" i="48" s="1"/>
  <c r="G58" i="48" s="1"/>
  <c r="C58" i="49" s="1"/>
  <c r="E58" i="49" s="1"/>
  <c r="G58" i="49" s="1"/>
  <c r="C58" i="50" s="1"/>
  <c r="E58" i="50" s="1"/>
  <c r="G58" i="50" s="1"/>
  <c r="C58" i="51" s="1"/>
  <c r="E58" i="51" s="1"/>
  <c r="G58" i="51" s="1"/>
  <c r="C58" i="52" s="1"/>
  <c r="E58" i="52" s="1"/>
  <c r="G58" i="52" s="1"/>
  <c r="C58" i="53" s="1"/>
  <c r="E58" i="53" s="1"/>
  <c r="G58" i="53" s="1"/>
  <c r="C58" i="54" s="1"/>
  <c r="E58" i="54" s="1"/>
  <c r="G58" i="54" s="1"/>
  <c r="C58" i="55" s="1"/>
  <c r="E58" i="55" s="1"/>
  <c r="G58" i="55" s="1"/>
  <c r="C58" i="56" s="1"/>
  <c r="E58" i="56" s="1"/>
  <c r="G58" i="56" s="1"/>
  <c r="C58" i="57" s="1"/>
  <c r="E58" i="57" s="1"/>
  <c r="G58" i="57" s="1"/>
  <c r="C58" i="58" s="1"/>
  <c r="E58" i="58" s="1"/>
  <c r="G58" i="58" s="1"/>
  <c r="C58" i="59" s="1"/>
  <c r="E58" i="59" s="1"/>
  <c r="G58" i="59" s="1"/>
  <c r="C58" i="60" s="1"/>
  <c r="E58" i="60" s="1"/>
  <c r="G58" i="60" s="1"/>
  <c r="C58" i="61" s="1"/>
  <c r="E58" i="61" s="1"/>
  <c r="G58" i="61" s="1"/>
  <c r="C58" i="62" s="1"/>
  <c r="E58" i="62" s="1"/>
  <c r="G58" i="62" s="1"/>
  <c r="C58" i="63" s="1"/>
  <c r="E58" i="63" s="1"/>
  <c r="G58" i="63" s="1"/>
  <c r="C58" i="64" s="1"/>
  <c r="E58" i="64" s="1"/>
  <c r="G58" i="64" s="1"/>
  <c r="E58" i="15"/>
  <c r="E72" i="34"/>
  <c r="G72" i="34" s="1"/>
  <c r="C72" i="35" s="1"/>
  <c r="E72" i="35" s="1"/>
  <c r="G72" i="35" s="1"/>
  <c r="C72" i="36" s="1"/>
  <c r="E72" i="36" s="1"/>
  <c r="G72" i="36" s="1"/>
  <c r="C72" i="37" s="1"/>
  <c r="E72" i="37" s="1"/>
  <c r="G72" i="37" s="1"/>
  <c r="C72" i="38" s="1"/>
  <c r="E72" i="38" s="1"/>
  <c r="G72" i="38" s="1"/>
  <c r="C72" i="39" s="1"/>
  <c r="E72" i="39" s="1"/>
  <c r="G72" i="39" s="1"/>
  <c r="C72" i="40" s="1"/>
  <c r="E72" i="40" s="1"/>
  <c r="G72" i="40" s="1"/>
  <c r="C72" i="41" s="1"/>
  <c r="E72" i="41" s="1"/>
  <c r="G72" i="41" s="1"/>
  <c r="C72" i="42" s="1"/>
  <c r="E72" i="42" s="1"/>
  <c r="G72" i="42" s="1"/>
  <c r="C72" i="43" s="1"/>
  <c r="E72" i="43" s="1"/>
  <c r="G72" i="43" s="1"/>
  <c r="C72" i="44" s="1"/>
  <c r="E72" i="44" s="1"/>
  <c r="G72" i="44" s="1"/>
  <c r="C72" i="45" s="1"/>
  <c r="E72" i="45" s="1"/>
  <c r="G72" i="45" s="1"/>
  <c r="C72" i="46" s="1"/>
  <c r="E72" i="46" s="1"/>
  <c r="G72" i="46" s="1"/>
  <c r="C72" i="47" s="1"/>
  <c r="E72" i="47" s="1"/>
  <c r="G72" i="47" s="1"/>
  <c r="C72" i="48" s="1"/>
  <c r="E72" i="48" s="1"/>
  <c r="G72" i="48" s="1"/>
  <c r="C72" i="49" s="1"/>
  <c r="E72" i="49" s="1"/>
  <c r="G72" i="49" s="1"/>
  <c r="C72" i="50" s="1"/>
  <c r="E72" i="50" s="1"/>
  <c r="G72" i="50" s="1"/>
  <c r="C72" i="51" s="1"/>
  <c r="E72" i="51" s="1"/>
  <c r="G72" i="51" s="1"/>
  <c r="C72" i="52" s="1"/>
  <c r="E72" i="52" s="1"/>
  <c r="G72" i="52" s="1"/>
  <c r="C72" i="53" s="1"/>
  <c r="E72" i="53" s="1"/>
  <c r="G72" i="53" s="1"/>
  <c r="C72" i="54" s="1"/>
  <c r="E72" i="54" s="1"/>
  <c r="G72" i="54" s="1"/>
  <c r="C72" i="55" s="1"/>
  <c r="E72" i="55" s="1"/>
  <c r="G72" i="55" s="1"/>
  <c r="C72" i="56" s="1"/>
  <c r="E72" i="56" s="1"/>
  <c r="G72" i="56" s="1"/>
  <c r="C72" i="57" s="1"/>
  <c r="E72" i="57" s="1"/>
  <c r="G72" i="57" s="1"/>
  <c r="C72" i="58" s="1"/>
  <c r="E72" i="58" s="1"/>
  <c r="G72" i="58" s="1"/>
  <c r="C72" i="59" s="1"/>
  <c r="E72" i="59" s="1"/>
  <c r="G72" i="59" s="1"/>
  <c r="C72" i="60" s="1"/>
  <c r="E72" i="60" s="1"/>
  <c r="G72" i="60" s="1"/>
  <c r="C72" i="61" s="1"/>
  <c r="E72" i="61" s="1"/>
  <c r="G72" i="61" s="1"/>
  <c r="C72" i="62" s="1"/>
  <c r="E72" i="62" s="1"/>
  <c r="G72" i="62" s="1"/>
  <c r="C72" i="63" s="1"/>
  <c r="E72" i="63" s="1"/>
  <c r="G72" i="63" s="1"/>
  <c r="C72" i="64" s="1"/>
  <c r="E72" i="64" s="1"/>
  <c r="G72" i="64" s="1"/>
  <c r="E72" i="15"/>
  <c r="E128" i="15"/>
  <c r="E6" i="15"/>
  <c r="E19" i="34"/>
  <c r="G19" i="34" s="1"/>
  <c r="C19" i="35" s="1"/>
  <c r="E19" i="35" s="1"/>
  <c r="G19" i="35" s="1"/>
  <c r="C19" i="36" s="1"/>
  <c r="E19" i="36" s="1"/>
  <c r="G19" i="36" s="1"/>
  <c r="C19" i="37" s="1"/>
  <c r="E19" i="37" s="1"/>
  <c r="G19" i="37" s="1"/>
  <c r="C19" i="38" s="1"/>
  <c r="E19" i="38" s="1"/>
  <c r="G19" i="38" s="1"/>
  <c r="C19" i="39" s="1"/>
  <c r="E19" i="39" s="1"/>
  <c r="G19" i="39" s="1"/>
  <c r="C19" i="40" s="1"/>
  <c r="E19" i="40" s="1"/>
  <c r="G19" i="40" s="1"/>
  <c r="C19" i="41" s="1"/>
  <c r="E19" i="41" s="1"/>
  <c r="G19" i="41" s="1"/>
  <c r="C19" i="42" s="1"/>
  <c r="E19" i="42" s="1"/>
  <c r="G19" i="42" s="1"/>
  <c r="C19" i="43" s="1"/>
  <c r="E19" i="43" s="1"/>
  <c r="G19" i="43" s="1"/>
  <c r="C19" i="44" s="1"/>
  <c r="E19" i="44" s="1"/>
  <c r="G19" i="44" s="1"/>
  <c r="C19" i="45" s="1"/>
  <c r="E19" i="45" s="1"/>
  <c r="G19" i="45" s="1"/>
  <c r="C19" i="46" s="1"/>
  <c r="E19" i="46" s="1"/>
  <c r="G19" i="46" s="1"/>
  <c r="C19" i="47" s="1"/>
  <c r="E19" i="47" s="1"/>
  <c r="G19" i="47" s="1"/>
  <c r="C19" i="48" s="1"/>
  <c r="E19" i="48" s="1"/>
  <c r="G19" i="48" s="1"/>
  <c r="C19" i="49" s="1"/>
  <c r="E19" i="49" s="1"/>
  <c r="G19" i="49" s="1"/>
  <c r="C19" i="50" s="1"/>
  <c r="E19" i="50" s="1"/>
  <c r="G19" i="50" s="1"/>
  <c r="C19" i="51" s="1"/>
  <c r="E19" i="51" s="1"/>
  <c r="G19" i="51" s="1"/>
  <c r="C19" i="52" s="1"/>
  <c r="E19" i="52" s="1"/>
  <c r="G19" i="52" s="1"/>
  <c r="C19" i="53" s="1"/>
  <c r="E19" i="53" s="1"/>
  <c r="G19" i="53" s="1"/>
  <c r="C19" i="54" s="1"/>
  <c r="E19" i="54" s="1"/>
  <c r="G19" i="54" s="1"/>
  <c r="C19" i="55" s="1"/>
  <c r="E19" i="55" s="1"/>
  <c r="G19" i="55" s="1"/>
  <c r="C19" i="56" s="1"/>
  <c r="E19" i="56" s="1"/>
  <c r="G19" i="56" s="1"/>
  <c r="C19" i="57" s="1"/>
  <c r="E19" i="57" s="1"/>
  <c r="G19" i="57" s="1"/>
  <c r="C19" i="58" s="1"/>
  <c r="E19" i="58" s="1"/>
  <c r="G19" i="58" s="1"/>
  <c r="C19" i="59" s="1"/>
  <c r="E19" i="59" s="1"/>
  <c r="G19" i="59" s="1"/>
  <c r="C19" i="60" s="1"/>
  <c r="E19" i="60" s="1"/>
  <c r="G19" i="60" s="1"/>
  <c r="C19" i="61" s="1"/>
  <c r="E19" i="61" s="1"/>
  <c r="G19" i="61" s="1"/>
  <c r="C19" i="62" s="1"/>
  <c r="E19" i="62" s="1"/>
  <c r="G19" i="62" s="1"/>
  <c r="C19" i="63" s="1"/>
  <c r="E19" i="63" s="1"/>
  <c r="G19" i="63" s="1"/>
  <c r="C19" i="64" s="1"/>
  <c r="E19" i="64" s="1"/>
  <c r="G19" i="64" s="1"/>
  <c r="E19" i="15"/>
  <c r="E67" i="34"/>
  <c r="G67" i="34" s="1"/>
  <c r="C67" i="35" s="1"/>
  <c r="E67" i="35" s="1"/>
  <c r="G67" i="35" s="1"/>
  <c r="C67" i="36" s="1"/>
  <c r="E67" i="36" s="1"/>
  <c r="G67" i="36" s="1"/>
  <c r="C67" i="37" s="1"/>
  <c r="E67" i="37" s="1"/>
  <c r="G67" i="37" s="1"/>
  <c r="C67" i="38" s="1"/>
  <c r="E67" i="38" s="1"/>
  <c r="G67" i="38" s="1"/>
  <c r="C67" i="39" s="1"/>
  <c r="E67" i="39" s="1"/>
  <c r="G67" i="39" s="1"/>
  <c r="C67" i="40" s="1"/>
  <c r="E67" i="40" s="1"/>
  <c r="G67" i="40" s="1"/>
  <c r="C67" i="41" s="1"/>
  <c r="E67" i="41" s="1"/>
  <c r="G67" i="41" s="1"/>
  <c r="C67" i="42" s="1"/>
  <c r="E67" i="42" s="1"/>
  <c r="G67" i="42" s="1"/>
  <c r="C67" i="43" s="1"/>
  <c r="E67" i="43" s="1"/>
  <c r="G67" i="43" s="1"/>
  <c r="C67" i="44" s="1"/>
  <c r="E67" i="44" s="1"/>
  <c r="G67" i="44" s="1"/>
  <c r="C67" i="45" s="1"/>
  <c r="E67" i="45" s="1"/>
  <c r="G67" i="45" s="1"/>
  <c r="C67" i="46" s="1"/>
  <c r="E67" i="46" s="1"/>
  <c r="G67" i="46" s="1"/>
  <c r="C67" i="47" s="1"/>
  <c r="E67" i="47" s="1"/>
  <c r="G67" i="47" s="1"/>
  <c r="C67" i="48" s="1"/>
  <c r="E67" i="48" s="1"/>
  <c r="G67" i="48" s="1"/>
  <c r="C67" i="49" s="1"/>
  <c r="E67" i="49" s="1"/>
  <c r="G67" i="49" s="1"/>
  <c r="C67" i="50" s="1"/>
  <c r="E67" i="50" s="1"/>
  <c r="G67" i="50" s="1"/>
  <c r="C67" i="51" s="1"/>
  <c r="E67" i="51" s="1"/>
  <c r="G67" i="51" s="1"/>
  <c r="C67" i="52" s="1"/>
  <c r="E67" i="52" s="1"/>
  <c r="G67" i="52" s="1"/>
  <c r="C67" i="53" s="1"/>
  <c r="E67" i="53" s="1"/>
  <c r="G67" i="53" s="1"/>
  <c r="C67" i="54" s="1"/>
  <c r="E67" i="54" s="1"/>
  <c r="G67" i="54" s="1"/>
  <c r="C67" i="55" s="1"/>
  <c r="E67" i="55" s="1"/>
  <c r="G67" i="55" s="1"/>
  <c r="C67" i="56" s="1"/>
  <c r="E67" i="56" s="1"/>
  <c r="G67" i="56" s="1"/>
  <c r="C67" i="57" s="1"/>
  <c r="E67" i="57" s="1"/>
  <c r="G67" i="57" s="1"/>
  <c r="C67" i="58" s="1"/>
  <c r="E67" i="58" s="1"/>
  <c r="G67" i="58" s="1"/>
  <c r="C67" i="59" s="1"/>
  <c r="E67" i="59" s="1"/>
  <c r="G67" i="59" s="1"/>
  <c r="C67" i="60" s="1"/>
  <c r="E67" i="60" s="1"/>
  <c r="G67" i="60" s="1"/>
  <c r="C67" i="61" s="1"/>
  <c r="E67" i="61" s="1"/>
  <c r="G67" i="61" s="1"/>
  <c r="C67" i="62" s="1"/>
  <c r="E67" i="62" s="1"/>
  <c r="G67" i="62" s="1"/>
  <c r="C67" i="63" s="1"/>
  <c r="E67" i="63" s="1"/>
  <c r="G67" i="63" s="1"/>
  <c r="C67" i="64" s="1"/>
  <c r="E67" i="64" s="1"/>
  <c r="G67" i="64" s="1"/>
  <c r="E67" i="15"/>
  <c r="E113" i="15"/>
  <c r="E113" i="34"/>
  <c r="G113" i="34" s="1"/>
  <c r="C113" i="35" s="1"/>
  <c r="E113" i="35" s="1"/>
  <c r="G113" i="35" s="1"/>
  <c r="C113" i="36" s="1"/>
  <c r="E113" i="36" s="1"/>
  <c r="G113" i="36" s="1"/>
  <c r="C113" i="37" s="1"/>
  <c r="E113" i="37" s="1"/>
  <c r="G113" i="37" s="1"/>
  <c r="C113" i="38" s="1"/>
  <c r="E113" i="38" s="1"/>
  <c r="G113" i="38" s="1"/>
  <c r="C113" i="39" s="1"/>
  <c r="E113" i="39" s="1"/>
  <c r="G113" i="39" s="1"/>
  <c r="C113" i="40" s="1"/>
  <c r="E113" i="40" s="1"/>
  <c r="G113" i="40" s="1"/>
  <c r="C113" i="41" s="1"/>
  <c r="E113" i="41" s="1"/>
  <c r="G113" i="41" s="1"/>
  <c r="C113" i="42" s="1"/>
  <c r="E113" i="42" s="1"/>
  <c r="G113" i="42" s="1"/>
  <c r="C113" i="43" s="1"/>
  <c r="E113" i="43" s="1"/>
  <c r="G113" i="43" s="1"/>
  <c r="C113" i="44" s="1"/>
  <c r="E113" i="44" s="1"/>
  <c r="G113" i="44" s="1"/>
  <c r="C113" i="45" s="1"/>
  <c r="E113" i="45" s="1"/>
  <c r="G113" i="45" s="1"/>
  <c r="C113" i="46" s="1"/>
  <c r="E113" i="46" s="1"/>
  <c r="G113" i="46" s="1"/>
  <c r="C113" i="47" s="1"/>
  <c r="E113" i="47" s="1"/>
  <c r="G113" i="47" s="1"/>
  <c r="C113" i="48" s="1"/>
  <c r="E113" i="48" s="1"/>
  <c r="G113" i="48" s="1"/>
  <c r="C113" i="49" s="1"/>
  <c r="E113" i="49" s="1"/>
  <c r="G113" i="49" s="1"/>
  <c r="C113" i="50" s="1"/>
  <c r="E113" i="50" s="1"/>
  <c r="G113" i="50" s="1"/>
  <c r="C113" i="51" s="1"/>
  <c r="E113" i="51" s="1"/>
  <c r="G113" i="51" s="1"/>
  <c r="C113" i="52" s="1"/>
  <c r="E113" i="52" s="1"/>
  <c r="G113" i="52" s="1"/>
  <c r="C113" i="53" s="1"/>
  <c r="E113" i="53" s="1"/>
  <c r="G113" i="53" s="1"/>
  <c r="C113" i="54" s="1"/>
  <c r="E113" i="54" s="1"/>
  <c r="G113" i="54" s="1"/>
  <c r="C113" i="55" s="1"/>
  <c r="E113" i="55" s="1"/>
  <c r="G113" i="55" s="1"/>
  <c r="C113" i="56" s="1"/>
  <c r="E113" i="56" s="1"/>
  <c r="G113" i="56" s="1"/>
  <c r="C113" i="57" s="1"/>
  <c r="E113" i="57" s="1"/>
  <c r="G113" i="57" s="1"/>
  <c r="C113" i="58" s="1"/>
  <c r="E113" i="58" s="1"/>
  <c r="G113" i="58" s="1"/>
  <c r="C113" i="59" s="1"/>
  <c r="E113" i="59" s="1"/>
  <c r="G113" i="59" s="1"/>
  <c r="C113" i="60" s="1"/>
  <c r="E113" i="60" s="1"/>
  <c r="G113" i="60" s="1"/>
  <c r="C113" i="61" s="1"/>
  <c r="E113" i="61" s="1"/>
  <c r="G113" i="61" s="1"/>
  <c r="C113" i="62" s="1"/>
  <c r="E113" i="62" s="1"/>
  <c r="G113" i="62" s="1"/>
  <c r="C113" i="63" s="1"/>
  <c r="E113" i="63" s="1"/>
  <c r="G113" i="63" s="1"/>
  <c r="C113" i="64" s="1"/>
  <c r="E113" i="64" s="1"/>
  <c r="G113" i="64" s="1"/>
  <c r="E22" i="34"/>
  <c r="G22" i="34" s="1"/>
  <c r="C22" i="35" s="1"/>
  <c r="E22" i="35" s="1"/>
  <c r="G22" i="35" s="1"/>
  <c r="C22" i="36" s="1"/>
  <c r="E22" i="36" s="1"/>
  <c r="G22" i="36" s="1"/>
  <c r="C22" i="37" s="1"/>
  <c r="E22" i="37" s="1"/>
  <c r="G22" i="37" s="1"/>
  <c r="C22" i="38" s="1"/>
  <c r="E22" i="38" s="1"/>
  <c r="G22" i="38" s="1"/>
  <c r="C22" i="39" s="1"/>
  <c r="E22" i="39" s="1"/>
  <c r="G22" i="39" s="1"/>
  <c r="C22" i="40" s="1"/>
  <c r="E22" i="40" s="1"/>
  <c r="G22" i="40" s="1"/>
  <c r="C22" i="41" s="1"/>
  <c r="E22" i="41" s="1"/>
  <c r="G22" i="41" s="1"/>
  <c r="C22" i="42" s="1"/>
  <c r="E22" i="42" s="1"/>
  <c r="G22" i="42" s="1"/>
  <c r="C22" i="43" s="1"/>
  <c r="E22" i="43" s="1"/>
  <c r="G22" i="43" s="1"/>
  <c r="C22" i="44" s="1"/>
  <c r="E22" i="44" s="1"/>
  <c r="G22" i="44" s="1"/>
  <c r="C22" i="45" s="1"/>
  <c r="E22" i="45" s="1"/>
  <c r="G22" i="45" s="1"/>
  <c r="C22" i="46" s="1"/>
  <c r="E22" i="46" s="1"/>
  <c r="G22" i="46" s="1"/>
  <c r="C22" i="47" s="1"/>
  <c r="E22" i="47" s="1"/>
  <c r="G22" i="47" s="1"/>
  <c r="C22" i="48" s="1"/>
  <c r="E22" i="48" s="1"/>
  <c r="G22" i="48" s="1"/>
  <c r="C22" i="49" s="1"/>
  <c r="E22" i="49" s="1"/>
  <c r="G22" i="49" s="1"/>
  <c r="C22" i="50" s="1"/>
  <c r="E22" i="50" s="1"/>
  <c r="G22" i="50" s="1"/>
  <c r="C22" i="51" s="1"/>
  <c r="E22" i="51" s="1"/>
  <c r="G22" i="51" s="1"/>
  <c r="C22" i="52" s="1"/>
  <c r="E22" i="52" s="1"/>
  <c r="G22" i="52" s="1"/>
  <c r="C22" i="53" s="1"/>
  <c r="E22" i="53" s="1"/>
  <c r="G22" i="53" s="1"/>
  <c r="C22" i="54" s="1"/>
  <c r="E22" i="54" s="1"/>
  <c r="G22" i="54" s="1"/>
  <c r="C22" i="55" s="1"/>
  <c r="E22" i="55" s="1"/>
  <c r="G22" i="55" s="1"/>
  <c r="C22" i="56" s="1"/>
  <c r="E22" i="56" s="1"/>
  <c r="G22" i="56" s="1"/>
  <c r="C22" i="57" s="1"/>
  <c r="E22" i="57" s="1"/>
  <c r="G22" i="57" s="1"/>
  <c r="C22" i="58" s="1"/>
  <c r="E22" i="58" s="1"/>
  <c r="G22" i="58" s="1"/>
  <c r="C22" i="59" s="1"/>
  <c r="E22" i="59" s="1"/>
  <c r="G22" i="59" s="1"/>
  <c r="C22" i="60" s="1"/>
  <c r="E22" i="60" s="1"/>
  <c r="G22" i="60" s="1"/>
  <c r="C22" i="61" s="1"/>
  <c r="E22" i="61" s="1"/>
  <c r="G22" i="61" s="1"/>
  <c r="C22" i="62" s="1"/>
  <c r="E22" i="62" s="1"/>
  <c r="G22" i="62" s="1"/>
  <c r="C22" i="63" s="1"/>
  <c r="E22" i="63" s="1"/>
  <c r="G22" i="63" s="1"/>
  <c r="C22" i="64" s="1"/>
  <c r="E22" i="64" s="1"/>
  <c r="G22" i="64" s="1"/>
  <c r="E22" i="15"/>
  <c r="E35" i="34"/>
  <c r="G35" i="34" s="1"/>
  <c r="C35" i="35" s="1"/>
  <c r="E35" i="35" s="1"/>
  <c r="G35" i="35" s="1"/>
  <c r="C35" i="36" s="1"/>
  <c r="E35" i="36" s="1"/>
  <c r="G35" i="36" s="1"/>
  <c r="C35" i="37" s="1"/>
  <c r="E35" i="37" s="1"/>
  <c r="G35" i="37" s="1"/>
  <c r="C35" i="38" s="1"/>
  <c r="E35" i="38" s="1"/>
  <c r="G35" i="38" s="1"/>
  <c r="C35" i="39" s="1"/>
  <c r="E35" i="39" s="1"/>
  <c r="G35" i="39" s="1"/>
  <c r="C35" i="40" s="1"/>
  <c r="E35" i="40" s="1"/>
  <c r="G35" i="40" s="1"/>
  <c r="C35" i="41" s="1"/>
  <c r="E35" i="41" s="1"/>
  <c r="G35" i="41" s="1"/>
  <c r="C35" i="42" s="1"/>
  <c r="E35" i="42" s="1"/>
  <c r="G35" i="42" s="1"/>
  <c r="C35" i="43" s="1"/>
  <c r="E35" i="43" s="1"/>
  <c r="G35" i="43" s="1"/>
  <c r="C35" i="44" s="1"/>
  <c r="E35" i="44" s="1"/>
  <c r="G35" i="44" s="1"/>
  <c r="C35" i="45" s="1"/>
  <c r="E35" i="45" s="1"/>
  <c r="G35" i="45" s="1"/>
  <c r="C35" i="46" s="1"/>
  <c r="E35" i="46" s="1"/>
  <c r="G35" i="46" s="1"/>
  <c r="C35" i="47" s="1"/>
  <c r="E35" i="47" s="1"/>
  <c r="G35" i="47" s="1"/>
  <c r="C35" i="48" s="1"/>
  <c r="E35" i="48" s="1"/>
  <c r="G35" i="48" s="1"/>
  <c r="C35" i="49" s="1"/>
  <c r="E35" i="49" s="1"/>
  <c r="G35" i="49" s="1"/>
  <c r="C35" i="50" s="1"/>
  <c r="E35" i="50" s="1"/>
  <c r="G35" i="50" s="1"/>
  <c r="C35" i="51" s="1"/>
  <c r="E35" i="51" s="1"/>
  <c r="G35" i="51" s="1"/>
  <c r="C35" i="52" s="1"/>
  <c r="E35" i="52" s="1"/>
  <c r="G35" i="52" s="1"/>
  <c r="C35" i="53" s="1"/>
  <c r="E35" i="53" s="1"/>
  <c r="G35" i="53" s="1"/>
  <c r="C35" i="54" s="1"/>
  <c r="E35" i="54" s="1"/>
  <c r="G35" i="54" s="1"/>
  <c r="C35" i="55" s="1"/>
  <c r="E35" i="55" s="1"/>
  <c r="G35" i="55" s="1"/>
  <c r="C35" i="56" s="1"/>
  <c r="E35" i="56" s="1"/>
  <c r="G35" i="56" s="1"/>
  <c r="C35" i="57" s="1"/>
  <c r="E35" i="57" s="1"/>
  <c r="G35" i="57" s="1"/>
  <c r="C35" i="58" s="1"/>
  <c r="E35" i="58" s="1"/>
  <c r="G35" i="58" s="1"/>
  <c r="C35" i="59" s="1"/>
  <c r="E35" i="59" s="1"/>
  <c r="G35" i="59" s="1"/>
  <c r="C35" i="60" s="1"/>
  <c r="E35" i="60" s="1"/>
  <c r="G35" i="60" s="1"/>
  <c r="C35" i="61" s="1"/>
  <c r="E35" i="61" s="1"/>
  <c r="G35" i="61" s="1"/>
  <c r="C35" i="62" s="1"/>
  <c r="E35" i="62" s="1"/>
  <c r="G35" i="62" s="1"/>
  <c r="C35" i="63" s="1"/>
  <c r="E35" i="63" s="1"/>
  <c r="G35" i="63" s="1"/>
  <c r="C35" i="64" s="1"/>
  <c r="E35" i="64" s="1"/>
  <c r="G35" i="64" s="1"/>
  <c r="E35" i="15"/>
  <c r="E65" i="34"/>
  <c r="G65" i="34" s="1"/>
  <c r="C65" i="35" s="1"/>
  <c r="E65" i="35" s="1"/>
  <c r="G65" i="35" s="1"/>
  <c r="C65" i="36" s="1"/>
  <c r="E65" i="36" s="1"/>
  <c r="G65" i="36" s="1"/>
  <c r="C65" i="37" s="1"/>
  <c r="E65" i="37" s="1"/>
  <c r="G65" i="37" s="1"/>
  <c r="C65" i="38" s="1"/>
  <c r="E65" i="38" s="1"/>
  <c r="G65" i="38" s="1"/>
  <c r="C65" i="39" s="1"/>
  <c r="E65" i="39" s="1"/>
  <c r="G65" i="39" s="1"/>
  <c r="C65" i="40" s="1"/>
  <c r="E65" i="40" s="1"/>
  <c r="G65" i="40" s="1"/>
  <c r="C65" i="41" s="1"/>
  <c r="E65" i="41" s="1"/>
  <c r="G65" i="41" s="1"/>
  <c r="C65" i="42" s="1"/>
  <c r="E65" i="42" s="1"/>
  <c r="G65" i="42" s="1"/>
  <c r="C65" i="43" s="1"/>
  <c r="E65" i="43" s="1"/>
  <c r="G65" i="43" s="1"/>
  <c r="C65" i="44" s="1"/>
  <c r="E65" i="44" s="1"/>
  <c r="G65" i="44" s="1"/>
  <c r="C65" i="45" s="1"/>
  <c r="E65" i="45" s="1"/>
  <c r="G65" i="45" s="1"/>
  <c r="C65" i="46" s="1"/>
  <c r="E65" i="46" s="1"/>
  <c r="G65" i="46" s="1"/>
  <c r="C65" i="47" s="1"/>
  <c r="E65" i="47" s="1"/>
  <c r="G65" i="47" s="1"/>
  <c r="C65" i="48" s="1"/>
  <c r="E65" i="48" s="1"/>
  <c r="G65" i="48" s="1"/>
  <c r="C65" i="49" s="1"/>
  <c r="E65" i="49" s="1"/>
  <c r="G65" i="49" s="1"/>
  <c r="C65" i="50" s="1"/>
  <c r="E65" i="50" s="1"/>
  <c r="G65" i="50" s="1"/>
  <c r="C65" i="51" s="1"/>
  <c r="E65" i="51" s="1"/>
  <c r="G65" i="51" s="1"/>
  <c r="C65" i="52" s="1"/>
  <c r="E65" i="52" s="1"/>
  <c r="G65" i="52" s="1"/>
  <c r="C65" i="53" s="1"/>
  <c r="E65" i="53" s="1"/>
  <c r="G65" i="53" s="1"/>
  <c r="C65" i="54" s="1"/>
  <c r="E65" i="54" s="1"/>
  <c r="G65" i="54" s="1"/>
  <c r="C65" i="55" s="1"/>
  <c r="E65" i="55" s="1"/>
  <c r="G65" i="55" s="1"/>
  <c r="C65" i="56" s="1"/>
  <c r="E65" i="56" s="1"/>
  <c r="G65" i="56" s="1"/>
  <c r="C65" i="57" s="1"/>
  <c r="E65" i="57" s="1"/>
  <c r="G65" i="57" s="1"/>
  <c r="C65" i="58" s="1"/>
  <c r="E65" i="58" s="1"/>
  <c r="G65" i="58" s="1"/>
  <c r="C65" i="59" s="1"/>
  <c r="E65" i="59" s="1"/>
  <c r="G65" i="59" s="1"/>
  <c r="C65" i="60" s="1"/>
  <c r="E65" i="60" s="1"/>
  <c r="G65" i="60" s="1"/>
  <c r="C65" i="61" s="1"/>
  <c r="E65" i="61" s="1"/>
  <c r="G65" i="61" s="1"/>
  <c r="C65" i="62" s="1"/>
  <c r="E65" i="62" s="1"/>
  <c r="G65" i="62" s="1"/>
  <c r="C65" i="63" s="1"/>
  <c r="E65" i="63" s="1"/>
  <c r="G65" i="63" s="1"/>
  <c r="C65" i="64" s="1"/>
  <c r="E65" i="64" s="1"/>
  <c r="G65" i="64" s="1"/>
  <c r="E65" i="15"/>
  <c r="E70" i="34"/>
  <c r="G70" i="34" s="1"/>
  <c r="C70" i="35" s="1"/>
  <c r="E70" i="35" s="1"/>
  <c r="G70" i="35" s="1"/>
  <c r="C70" i="36" s="1"/>
  <c r="E70" i="36" s="1"/>
  <c r="G70" i="36" s="1"/>
  <c r="C70" i="37" s="1"/>
  <c r="E70" i="37" s="1"/>
  <c r="G70" i="37" s="1"/>
  <c r="C70" i="38" s="1"/>
  <c r="E70" i="38" s="1"/>
  <c r="G70" i="38" s="1"/>
  <c r="C70" i="39" s="1"/>
  <c r="E70" i="39" s="1"/>
  <c r="G70" i="39" s="1"/>
  <c r="C70" i="40" s="1"/>
  <c r="E70" i="40" s="1"/>
  <c r="G70" i="40" s="1"/>
  <c r="C70" i="41" s="1"/>
  <c r="E70" i="41" s="1"/>
  <c r="G70" i="41" s="1"/>
  <c r="C70" i="42" s="1"/>
  <c r="E70" i="42" s="1"/>
  <c r="G70" i="42" s="1"/>
  <c r="C70" i="43" s="1"/>
  <c r="E70" i="43" s="1"/>
  <c r="G70" i="43" s="1"/>
  <c r="C70" i="44" s="1"/>
  <c r="E70" i="44" s="1"/>
  <c r="G70" i="44" s="1"/>
  <c r="C70" i="45" s="1"/>
  <c r="E70" i="45" s="1"/>
  <c r="G70" i="45" s="1"/>
  <c r="C70" i="46" s="1"/>
  <c r="E70" i="46" s="1"/>
  <c r="G70" i="46" s="1"/>
  <c r="C70" i="47" s="1"/>
  <c r="E70" i="47" s="1"/>
  <c r="G70" i="47" s="1"/>
  <c r="C70" i="48" s="1"/>
  <c r="E70" i="48" s="1"/>
  <c r="G70" i="48" s="1"/>
  <c r="C70" i="49" s="1"/>
  <c r="E70" i="49" s="1"/>
  <c r="G70" i="49" s="1"/>
  <c r="C70" i="50" s="1"/>
  <c r="E70" i="50" s="1"/>
  <c r="G70" i="50" s="1"/>
  <c r="C70" i="51" s="1"/>
  <c r="E70" i="51" s="1"/>
  <c r="G70" i="51" s="1"/>
  <c r="C70" i="52" s="1"/>
  <c r="E70" i="52" s="1"/>
  <c r="G70" i="52" s="1"/>
  <c r="C70" i="53" s="1"/>
  <c r="E70" i="53" s="1"/>
  <c r="G70" i="53" s="1"/>
  <c r="C70" i="54" s="1"/>
  <c r="E70" i="54" s="1"/>
  <c r="G70" i="54" s="1"/>
  <c r="C70" i="55" s="1"/>
  <c r="E70" i="55" s="1"/>
  <c r="G70" i="55" s="1"/>
  <c r="C70" i="56" s="1"/>
  <c r="E70" i="56" s="1"/>
  <c r="G70" i="56" s="1"/>
  <c r="C70" i="57" s="1"/>
  <c r="E70" i="57" s="1"/>
  <c r="G70" i="57" s="1"/>
  <c r="C70" i="58" s="1"/>
  <c r="E70" i="58" s="1"/>
  <c r="G70" i="58" s="1"/>
  <c r="C70" i="59" s="1"/>
  <c r="E70" i="59" s="1"/>
  <c r="G70" i="59" s="1"/>
  <c r="C70" i="60" s="1"/>
  <c r="E70" i="60" s="1"/>
  <c r="G70" i="60" s="1"/>
  <c r="C70" i="61" s="1"/>
  <c r="E70" i="61" s="1"/>
  <c r="G70" i="61" s="1"/>
  <c r="C70" i="62" s="1"/>
  <c r="E70" i="62" s="1"/>
  <c r="G70" i="62" s="1"/>
  <c r="C70" i="63" s="1"/>
  <c r="E70" i="63" s="1"/>
  <c r="G70" i="63" s="1"/>
  <c r="C70" i="64" s="1"/>
  <c r="E70" i="64" s="1"/>
  <c r="G70" i="64" s="1"/>
  <c r="E70" i="15"/>
  <c r="E121" i="34"/>
  <c r="G121" i="34" s="1"/>
  <c r="C121" i="35" s="1"/>
  <c r="E121" i="35" s="1"/>
  <c r="G121" i="35" s="1"/>
  <c r="C121" i="36" s="1"/>
  <c r="E121" i="36" s="1"/>
  <c r="G121" i="36" s="1"/>
  <c r="C121" i="37" s="1"/>
  <c r="E121" i="37" s="1"/>
  <c r="G121" i="37" s="1"/>
  <c r="C121" i="38" s="1"/>
  <c r="E121" i="38" s="1"/>
  <c r="G121" i="38" s="1"/>
  <c r="C121" i="39" s="1"/>
  <c r="E121" i="39" s="1"/>
  <c r="G121" i="39" s="1"/>
  <c r="C121" i="40" s="1"/>
  <c r="E121" i="40" s="1"/>
  <c r="G121" i="40" s="1"/>
  <c r="C121" i="41" s="1"/>
  <c r="E121" i="41" s="1"/>
  <c r="G121" i="41" s="1"/>
  <c r="C121" i="42" s="1"/>
  <c r="E121" i="42" s="1"/>
  <c r="G121" i="42" s="1"/>
  <c r="C121" i="43" s="1"/>
  <c r="E121" i="43" s="1"/>
  <c r="G121" i="43" s="1"/>
  <c r="C121" i="44" s="1"/>
  <c r="E121" i="44" s="1"/>
  <c r="G121" i="44" s="1"/>
  <c r="C121" i="45" s="1"/>
  <c r="E121" i="45" s="1"/>
  <c r="G121" i="45" s="1"/>
  <c r="C121" i="46" s="1"/>
  <c r="E121" i="46" s="1"/>
  <c r="G121" i="46" s="1"/>
  <c r="C121" i="47" s="1"/>
  <c r="E121" i="47" s="1"/>
  <c r="G121" i="47" s="1"/>
  <c r="C121" i="48" s="1"/>
  <c r="E121" i="48" s="1"/>
  <c r="G121" i="48" s="1"/>
  <c r="C121" i="49" s="1"/>
  <c r="E121" i="49" s="1"/>
  <c r="G121" i="49" s="1"/>
  <c r="C121" i="50" s="1"/>
  <c r="E121" i="50" s="1"/>
  <c r="G121" i="50" s="1"/>
  <c r="C121" i="51" s="1"/>
  <c r="E121" i="51" s="1"/>
  <c r="G121" i="51" s="1"/>
  <c r="C121" i="52" s="1"/>
  <c r="E121" i="52" s="1"/>
  <c r="G121" i="52" s="1"/>
  <c r="C121" i="53" s="1"/>
  <c r="E121" i="53" s="1"/>
  <c r="G121" i="53" s="1"/>
  <c r="C121" i="54" s="1"/>
  <c r="E121" i="54" s="1"/>
  <c r="G121" i="54" s="1"/>
  <c r="C121" i="55" s="1"/>
  <c r="E121" i="55" s="1"/>
  <c r="G121" i="55" s="1"/>
  <c r="C121" i="56" s="1"/>
  <c r="E121" i="56" s="1"/>
  <c r="G121" i="56" s="1"/>
  <c r="C121" i="57" s="1"/>
  <c r="E121" i="57" s="1"/>
  <c r="G121" i="57" s="1"/>
  <c r="C121" i="58" s="1"/>
  <c r="E121" i="58" s="1"/>
  <c r="G121" i="58" s="1"/>
  <c r="C121" i="59" s="1"/>
  <c r="E121" i="59" s="1"/>
  <c r="G121" i="59" s="1"/>
  <c r="C121" i="60" s="1"/>
  <c r="E121" i="60" s="1"/>
  <c r="G121" i="60" s="1"/>
  <c r="C121" i="61" s="1"/>
  <c r="E121" i="61" s="1"/>
  <c r="G121" i="61" s="1"/>
  <c r="C121" i="62" s="1"/>
  <c r="E121" i="62" s="1"/>
  <c r="G121" i="62" s="1"/>
  <c r="C121" i="63" s="1"/>
  <c r="E121" i="63" s="1"/>
  <c r="G121" i="63" s="1"/>
  <c r="C121" i="64" s="1"/>
  <c r="E121" i="64" s="1"/>
  <c r="G121" i="64" s="1"/>
  <c r="E121" i="15"/>
  <c r="E129" i="15"/>
  <c r="E178" i="34"/>
  <c r="G178" i="34" s="1"/>
  <c r="C178" i="35" s="1"/>
  <c r="E178" i="35" s="1"/>
  <c r="G178" i="35" s="1"/>
  <c r="C178" i="36" s="1"/>
  <c r="E178" i="36" s="1"/>
  <c r="G178" i="36" s="1"/>
  <c r="C178" i="37" s="1"/>
  <c r="E178" i="37" s="1"/>
  <c r="G178" i="37" s="1"/>
  <c r="C178" i="38" s="1"/>
  <c r="E178" i="38" s="1"/>
  <c r="G178" i="38" s="1"/>
  <c r="C178" i="39" s="1"/>
  <c r="E178" i="39" s="1"/>
  <c r="G178" i="39" s="1"/>
  <c r="C178" i="40" s="1"/>
  <c r="E178" i="40" s="1"/>
  <c r="G178" i="40" s="1"/>
  <c r="C178" i="41" s="1"/>
  <c r="E178" i="41" s="1"/>
  <c r="G178" i="41" s="1"/>
  <c r="C178" i="42" s="1"/>
  <c r="E178" i="42" s="1"/>
  <c r="G178" i="42" s="1"/>
  <c r="C178" i="43" s="1"/>
  <c r="E178" i="43" s="1"/>
  <c r="G178" i="43" s="1"/>
  <c r="C178" i="44" s="1"/>
  <c r="E178" i="44" s="1"/>
  <c r="G178" i="44" s="1"/>
  <c r="C178" i="45" s="1"/>
  <c r="E178" i="45" s="1"/>
  <c r="G178" i="45" s="1"/>
  <c r="C178" i="46" s="1"/>
  <c r="E178" i="46" s="1"/>
  <c r="G178" i="46" s="1"/>
  <c r="C178" i="47" s="1"/>
  <c r="E178" i="47" s="1"/>
  <c r="G178" i="47" s="1"/>
  <c r="C178" i="48" s="1"/>
  <c r="E178" i="48" s="1"/>
  <c r="G178" i="48" s="1"/>
  <c r="C178" i="49" s="1"/>
  <c r="E178" i="49" s="1"/>
  <c r="G178" i="49" s="1"/>
  <c r="C178" i="50" s="1"/>
  <c r="E178" i="50" s="1"/>
  <c r="G178" i="50" s="1"/>
  <c r="C178" i="51" s="1"/>
  <c r="E178" i="51" s="1"/>
  <c r="G178" i="51" s="1"/>
  <c r="C178" i="52" s="1"/>
  <c r="E178" i="52" s="1"/>
  <c r="G178" i="52" s="1"/>
  <c r="C178" i="53" s="1"/>
  <c r="E178" i="53" s="1"/>
  <c r="G178" i="53" s="1"/>
  <c r="C178" i="54" s="1"/>
  <c r="E178" i="54" s="1"/>
  <c r="G178" i="54" s="1"/>
  <c r="C178" i="55" s="1"/>
  <c r="E178" i="55" s="1"/>
  <c r="G178" i="55" s="1"/>
  <c r="C178" i="56" s="1"/>
  <c r="E178" i="56" s="1"/>
  <c r="G178" i="56" s="1"/>
  <c r="C178" i="57" s="1"/>
  <c r="E178" i="57" s="1"/>
  <c r="G178" i="57" s="1"/>
  <c r="C178" i="58" s="1"/>
  <c r="E178" i="58" s="1"/>
  <c r="G178" i="58" s="1"/>
  <c r="C178" i="59" s="1"/>
  <c r="E178" i="59" s="1"/>
  <c r="G178" i="59" s="1"/>
  <c r="C178" i="60" s="1"/>
  <c r="E178" i="60" s="1"/>
  <c r="G178" i="60" s="1"/>
  <c r="C178" i="61" s="1"/>
  <c r="E178" i="61" s="1"/>
  <c r="G178" i="61" s="1"/>
  <c r="C178" i="62" s="1"/>
  <c r="E178" i="62" s="1"/>
  <c r="G178" i="62" s="1"/>
  <c r="C178" i="63" s="1"/>
  <c r="E178" i="63" s="1"/>
  <c r="G178" i="63" s="1"/>
  <c r="C178" i="64" s="1"/>
  <c r="E178" i="64" s="1"/>
  <c r="G178" i="64" s="1"/>
  <c r="E178" i="15"/>
  <c r="E43" i="15"/>
  <c r="E43" i="34"/>
  <c r="G43" i="34" s="1"/>
  <c r="C43" i="35" s="1"/>
  <c r="E43" i="35" s="1"/>
  <c r="G43" i="35" s="1"/>
  <c r="C43" i="36" s="1"/>
  <c r="E43" i="36" s="1"/>
  <c r="G43" i="36" s="1"/>
  <c r="C43" i="37" s="1"/>
  <c r="E43" i="37" s="1"/>
  <c r="G43" i="37" s="1"/>
  <c r="C43" i="38" s="1"/>
  <c r="E43" i="38" s="1"/>
  <c r="G43" i="38" s="1"/>
  <c r="C43" i="39" s="1"/>
  <c r="E43" i="39" s="1"/>
  <c r="G43" i="39" s="1"/>
  <c r="C43" i="40" s="1"/>
  <c r="E43" i="40" s="1"/>
  <c r="G43" i="40" s="1"/>
  <c r="C43" i="41" s="1"/>
  <c r="E43" i="41" s="1"/>
  <c r="G43" i="41" s="1"/>
  <c r="C43" i="42" s="1"/>
  <c r="E43" i="42" s="1"/>
  <c r="G43" i="42" s="1"/>
  <c r="C43" i="43" s="1"/>
  <c r="E43" i="43" s="1"/>
  <c r="G43" i="43" s="1"/>
  <c r="C43" i="44" s="1"/>
  <c r="E43" i="44" s="1"/>
  <c r="G43" i="44" s="1"/>
  <c r="C43" i="45" s="1"/>
  <c r="E43" i="45" s="1"/>
  <c r="G43" i="45" s="1"/>
  <c r="C43" i="46" s="1"/>
  <c r="E43" i="46" s="1"/>
  <c r="G43" i="46" s="1"/>
  <c r="C43" i="47" s="1"/>
  <c r="E43" i="47" s="1"/>
  <c r="G43" i="47" s="1"/>
  <c r="C43" i="48" s="1"/>
  <c r="E43" i="48" s="1"/>
  <c r="G43" i="48" s="1"/>
  <c r="C43" i="49" s="1"/>
  <c r="E43" i="49" s="1"/>
  <c r="G43" i="49" s="1"/>
  <c r="C43" i="50" s="1"/>
  <c r="E43" i="50" s="1"/>
  <c r="G43" i="50" s="1"/>
  <c r="C43" i="51" s="1"/>
  <c r="E43" i="51" s="1"/>
  <c r="G43" i="51" s="1"/>
  <c r="C43" i="52" s="1"/>
  <c r="E43" i="52" s="1"/>
  <c r="G43" i="52" s="1"/>
  <c r="C43" i="53" s="1"/>
  <c r="E43" i="53" s="1"/>
  <c r="G43" i="53" s="1"/>
  <c r="C43" i="54" s="1"/>
  <c r="E43" i="54" s="1"/>
  <c r="G43" i="54" s="1"/>
  <c r="C43" i="55" s="1"/>
  <c r="E43" i="55" s="1"/>
  <c r="G43" i="55" s="1"/>
  <c r="C43" i="56" s="1"/>
  <c r="E43" i="56" s="1"/>
  <c r="G43" i="56" s="1"/>
  <c r="C43" i="57" s="1"/>
  <c r="E43" i="57" s="1"/>
  <c r="G43" i="57" s="1"/>
  <c r="C43" i="58" s="1"/>
  <c r="E43" i="58" s="1"/>
  <c r="G43" i="58" s="1"/>
  <c r="C43" i="59" s="1"/>
  <c r="E43" i="59" s="1"/>
  <c r="G43" i="59" s="1"/>
  <c r="C43" i="60" s="1"/>
  <c r="E43" i="60" s="1"/>
  <c r="G43" i="60" s="1"/>
  <c r="C43" i="61" s="1"/>
  <c r="E43" i="61" s="1"/>
  <c r="G43" i="61" s="1"/>
  <c r="C43" i="62" s="1"/>
  <c r="E43" i="62" s="1"/>
  <c r="G43" i="62" s="1"/>
  <c r="C43" i="63" s="1"/>
  <c r="E43" i="63" s="1"/>
  <c r="G43" i="63" s="1"/>
  <c r="C43" i="64" s="1"/>
  <c r="E43" i="64" s="1"/>
  <c r="G43" i="64" s="1"/>
  <c r="E169" i="34"/>
  <c r="G169" i="34" s="1"/>
  <c r="C169" i="35" s="1"/>
  <c r="E169" i="35" s="1"/>
  <c r="G169" i="35" s="1"/>
  <c r="C169" i="36" s="1"/>
  <c r="E169" i="36" s="1"/>
  <c r="G169" i="36" s="1"/>
  <c r="C169" i="37" s="1"/>
  <c r="E169" i="37" s="1"/>
  <c r="G169" i="37" s="1"/>
  <c r="C169" i="38" s="1"/>
  <c r="E169" i="38" s="1"/>
  <c r="G169" i="38" s="1"/>
  <c r="C169" i="39" s="1"/>
  <c r="E169" i="39" s="1"/>
  <c r="G169" i="39" s="1"/>
  <c r="C169" i="40" s="1"/>
  <c r="E169" i="40" s="1"/>
  <c r="G169" i="40" s="1"/>
  <c r="C169" i="41" s="1"/>
  <c r="E169" i="41" s="1"/>
  <c r="G169" i="41" s="1"/>
  <c r="C169" i="42" s="1"/>
  <c r="E169" i="42" s="1"/>
  <c r="G169" i="42" s="1"/>
  <c r="C169" i="43" s="1"/>
  <c r="E169" i="43" s="1"/>
  <c r="G169" i="43" s="1"/>
  <c r="C169" i="44" s="1"/>
  <c r="E169" i="44" s="1"/>
  <c r="G169" i="44" s="1"/>
  <c r="C169" i="45" s="1"/>
  <c r="E169" i="45" s="1"/>
  <c r="G169" i="45" s="1"/>
  <c r="C169" i="46" s="1"/>
  <c r="E169" i="46" s="1"/>
  <c r="G169" i="46" s="1"/>
  <c r="C169" i="47" s="1"/>
  <c r="E169" i="47" s="1"/>
  <c r="G169" i="47" s="1"/>
  <c r="C169" i="48" s="1"/>
  <c r="E169" i="48" s="1"/>
  <c r="G169" i="48" s="1"/>
  <c r="C169" i="49" s="1"/>
  <c r="E169" i="49" s="1"/>
  <c r="G169" i="49" s="1"/>
  <c r="C169" i="50" s="1"/>
  <c r="E169" i="50" s="1"/>
  <c r="G169" i="50" s="1"/>
  <c r="C169" i="51" s="1"/>
  <c r="E169" i="51" s="1"/>
  <c r="G169" i="51" s="1"/>
  <c r="C169" i="52" s="1"/>
  <c r="E169" i="52" s="1"/>
  <c r="G169" i="52" s="1"/>
  <c r="C169" i="53" s="1"/>
  <c r="E169" i="53" s="1"/>
  <c r="G169" i="53" s="1"/>
  <c r="C169" i="54" s="1"/>
  <c r="E169" i="54" s="1"/>
  <c r="G169" i="54" s="1"/>
  <c r="C169" i="55" s="1"/>
  <c r="E169" i="55" s="1"/>
  <c r="G169" i="55" s="1"/>
  <c r="C169" i="56" s="1"/>
  <c r="E169" i="56" s="1"/>
  <c r="G169" i="56" s="1"/>
  <c r="C169" i="57" s="1"/>
  <c r="E169" i="57" s="1"/>
  <c r="G169" i="57" s="1"/>
  <c r="C169" i="58" s="1"/>
  <c r="E169" i="58" s="1"/>
  <c r="G169" i="58" s="1"/>
  <c r="C169" i="59" s="1"/>
  <c r="E169" i="59" s="1"/>
  <c r="G169" i="59" s="1"/>
  <c r="C169" i="60" s="1"/>
  <c r="E169" i="60" s="1"/>
  <c r="G169" i="60" s="1"/>
  <c r="C169" i="61" s="1"/>
  <c r="E169" i="61" s="1"/>
  <c r="G169" i="61" s="1"/>
  <c r="C169" i="62" s="1"/>
  <c r="E169" i="62" s="1"/>
  <c r="G169" i="62" s="1"/>
  <c r="C169" i="63" s="1"/>
  <c r="E169" i="63" s="1"/>
  <c r="G169" i="63" s="1"/>
  <c r="C169" i="64" s="1"/>
  <c r="E169" i="64" s="1"/>
  <c r="G169" i="64" s="1"/>
  <c r="E169" i="15"/>
  <c r="E185" i="15"/>
  <c r="E193" i="34"/>
  <c r="G193" i="34" s="1"/>
  <c r="C193" i="35" s="1"/>
  <c r="E193" i="35" s="1"/>
  <c r="G193" i="35" s="1"/>
  <c r="C193" i="36" s="1"/>
  <c r="E193" i="36" s="1"/>
  <c r="G193" i="36" s="1"/>
  <c r="C193" i="37" s="1"/>
  <c r="E193" i="37" s="1"/>
  <c r="G193" i="37" s="1"/>
  <c r="C193" i="38" s="1"/>
  <c r="E193" i="38" s="1"/>
  <c r="G193" i="38" s="1"/>
  <c r="C193" i="39" s="1"/>
  <c r="E193" i="39" s="1"/>
  <c r="G193" i="39" s="1"/>
  <c r="C193" i="40" s="1"/>
  <c r="E193" i="40" s="1"/>
  <c r="G193" i="40" s="1"/>
  <c r="C193" i="41" s="1"/>
  <c r="E193" i="41" s="1"/>
  <c r="G193" i="41" s="1"/>
  <c r="C193" i="42" s="1"/>
  <c r="E193" i="42" s="1"/>
  <c r="G193" i="42" s="1"/>
  <c r="C193" i="43" s="1"/>
  <c r="E193" i="43" s="1"/>
  <c r="G193" i="43" s="1"/>
  <c r="C193" i="44" s="1"/>
  <c r="E193" i="44" s="1"/>
  <c r="G193" i="44" s="1"/>
  <c r="C193" i="45" s="1"/>
  <c r="E193" i="45" s="1"/>
  <c r="G193" i="45" s="1"/>
  <c r="C193" i="46" s="1"/>
  <c r="E193" i="46" s="1"/>
  <c r="G193" i="46" s="1"/>
  <c r="C193" i="47" s="1"/>
  <c r="E193" i="47" s="1"/>
  <c r="G193" i="47" s="1"/>
  <c r="C193" i="48" s="1"/>
  <c r="E193" i="48" s="1"/>
  <c r="G193" i="48" s="1"/>
  <c r="C193" i="49" s="1"/>
  <c r="E193" i="49" s="1"/>
  <c r="G193" i="49" s="1"/>
  <c r="C193" i="50" s="1"/>
  <c r="E193" i="50" s="1"/>
  <c r="G193" i="50" s="1"/>
  <c r="C193" i="51" s="1"/>
  <c r="E193" i="51" s="1"/>
  <c r="G193" i="51" s="1"/>
  <c r="C193" i="52" s="1"/>
  <c r="E193" i="52" s="1"/>
  <c r="G193" i="52" s="1"/>
  <c r="C193" i="53" s="1"/>
  <c r="E193" i="53" s="1"/>
  <c r="G193" i="53" s="1"/>
  <c r="C193" i="54" s="1"/>
  <c r="E193" i="54" s="1"/>
  <c r="G193" i="54" s="1"/>
  <c r="C193" i="55" s="1"/>
  <c r="E193" i="55" s="1"/>
  <c r="G193" i="55" s="1"/>
  <c r="C193" i="56" s="1"/>
  <c r="E193" i="56" s="1"/>
  <c r="G193" i="56" s="1"/>
  <c r="C193" i="57" s="1"/>
  <c r="E193" i="57" s="1"/>
  <c r="G193" i="57" s="1"/>
  <c r="C193" i="58" s="1"/>
  <c r="E193" i="58" s="1"/>
  <c r="G193" i="58" s="1"/>
  <c r="C193" i="59" s="1"/>
  <c r="E193" i="59" s="1"/>
  <c r="G193" i="59" s="1"/>
  <c r="C193" i="60" s="1"/>
  <c r="E193" i="60" s="1"/>
  <c r="G193" i="60" s="1"/>
  <c r="C193" i="61" s="1"/>
  <c r="E193" i="61" s="1"/>
  <c r="G193" i="61" s="1"/>
  <c r="C193" i="62" s="1"/>
  <c r="E193" i="62" s="1"/>
  <c r="G193" i="62" s="1"/>
  <c r="C193" i="63" s="1"/>
  <c r="E193" i="63" s="1"/>
  <c r="G193" i="63" s="1"/>
  <c r="C193" i="64" s="1"/>
  <c r="E193" i="64" s="1"/>
  <c r="G193" i="64" s="1"/>
  <c r="E193" i="15"/>
  <c r="E33" i="34"/>
  <c r="G33" i="34" s="1"/>
  <c r="C33" i="35" s="1"/>
  <c r="E33" i="35" s="1"/>
  <c r="G33" i="35" s="1"/>
  <c r="C33" i="36" s="1"/>
  <c r="E33" i="36" s="1"/>
  <c r="G33" i="36" s="1"/>
  <c r="C33" i="37" s="1"/>
  <c r="E33" i="37" s="1"/>
  <c r="G33" i="37" s="1"/>
  <c r="C33" i="38" s="1"/>
  <c r="E33" i="38" s="1"/>
  <c r="G33" i="38" s="1"/>
  <c r="C33" i="39" s="1"/>
  <c r="E33" i="39" s="1"/>
  <c r="G33" i="39" s="1"/>
  <c r="C33" i="40" s="1"/>
  <c r="E33" i="40" s="1"/>
  <c r="G33" i="40" s="1"/>
  <c r="C33" i="41" s="1"/>
  <c r="E33" i="41" s="1"/>
  <c r="G33" i="41" s="1"/>
  <c r="C33" i="42" s="1"/>
  <c r="E33" i="42" s="1"/>
  <c r="G33" i="42" s="1"/>
  <c r="C33" i="43" s="1"/>
  <c r="E33" i="43" s="1"/>
  <c r="G33" i="43" s="1"/>
  <c r="C33" i="44" s="1"/>
  <c r="E33" i="44" s="1"/>
  <c r="G33" i="44" s="1"/>
  <c r="C33" i="45" s="1"/>
  <c r="E33" i="45" s="1"/>
  <c r="G33" i="45" s="1"/>
  <c r="C33" i="46" s="1"/>
  <c r="E33" i="46" s="1"/>
  <c r="G33" i="46" s="1"/>
  <c r="C33" i="47" s="1"/>
  <c r="E33" i="47" s="1"/>
  <c r="G33" i="47" s="1"/>
  <c r="C33" i="48" s="1"/>
  <c r="E33" i="48" s="1"/>
  <c r="G33" i="48" s="1"/>
  <c r="C33" i="49" s="1"/>
  <c r="E33" i="49" s="1"/>
  <c r="G33" i="49" s="1"/>
  <c r="C33" i="50" s="1"/>
  <c r="E33" i="50" s="1"/>
  <c r="G33" i="50" s="1"/>
  <c r="C33" i="51" s="1"/>
  <c r="E33" i="51" s="1"/>
  <c r="G33" i="51" s="1"/>
  <c r="C33" i="52" s="1"/>
  <c r="E33" i="52" s="1"/>
  <c r="G33" i="52" s="1"/>
  <c r="C33" i="53" s="1"/>
  <c r="E33" i="53" s="1"/>
  <c r="G33" i="53" s="1"/>
  <c r="C33" i="54" s="1"/>
  <c r="E33" i="54" s="1"/>
  <c r="G33" i="54" s="1"/>
  <c r="C33" i="55" s="1"/>
  <c r="E33" i="55" s="1"/>
  <c r="G33" i="55" s="1"/>
  <c r="C33" i="56" s="1"/>
  <c r="E33" i="56" s="1"/>
  <c r="G33" i="56" s="1"/>
  <c r="C33" i="57" s="1"/>
  <c r="E33" i="57" s="1"/>
  <c r="G33" i="57" s="1"/>
  <c r="C33" i="58" s="1"/>
  <c r="E33" i="58" s="1"/>
  <c r="G33" i="58" s="1"/>
  <c r="C33" i="59" s="1"/>
  <c r="E33" i="59" s="1"/>
  <c r="G33" i="59" s="1"/>
  <c r="C33" i="60" s="1"/>
  <c r="E33" i="60" s="1"/>
  <c r="G33" i="60" s="1"/>
  <c r="C33" i="61" s="1"/>
  <c r="E33" i="61" s="1"/>
  <c r="G33" i="61" s="1"/>
  <c r="C33" i="62" s="1"/>
  <c r="E33" i="62" s="1"/>
  <c r="G33" i="62" s="1"/>
  <c r="C33" i="63" s="1"/>
  <c r="E33" i="63" s="1"/>
  <c r="G33" i="63" s="1"/>
  <c r="C33" i="64" s="1"/>
  <c r="E33" i="64" s="1"/>
  <c r="G33" i="64" s="1"/>
  <c r="E33" i="15"/>
  <c r="E94" i="15"/>
  <c r="E104" i="15"/>
  <c r="E41" i="34"/>
  <c r="G41" i="34" s="1"/>
  <c r="C41" i="35" s="1"/>
  <c r="E41" i="35" s="1"/>
  <c r="G41" i="35" s="1"/>
  <c r="C41" i="36" s="1"/>
  <c r="E41" i="36" s="1"/>
  <c r="G41" i="36" s="1"/>
  <c r="C41" i="37" s="1"/>
  <c r="E41" i="37" s="1"/>
  <c r="G41" i="37" s="1"/>
  <c r="C41" i="38" s="1"/>
  <c r="E41" i="38" s="1"/>
  <c r="G41" i="38" s="1"/>
  <c r="C41" i="39" s="1"/>
  <c r="E41" i="39" s="1"/>
  <c r="G41" i="39" s="1"/>
  <c r="C41" i="40" s="1"/>
  <c r="E41" i="40" s="1"/>
  <c r="G41" i="40" s="1"/>
  <c r="C41" i="41" s="1"/>
  <c r="E41" i="41" s="1"/>
  <c r="G41" i="41" s="1"/>
  <c r="C41" i="42" s="1"/>
  <c r="E41" i="42" s="1"/>
  <c r="G41" i="42" s="1"/>
  <c r="C41" i="43" s="1"/>
  <c r="E41" i="43" s="1"/>
  <c r="G41" i="43" s="1"/>
  <c r="C41" i="44" s="1"/>
  <c r="E41" i="44" s="1"/>
  <c r="G41" i="44" s="1"/>
  <c r="C41" i="45" s="1"/>
  <c r="E41" i="45" s="1"/>
  <c r="G41" i="45" s="1"/>
  <c r="C41" i="46" s="1"/>
  <c r="E41" i="46" s="1"/>
  <c r="G41" i="46" s="1"/>
  <c r="C41" i="47" s="1"/>
  <c r="E41" i="47" s="1"/>
  <c r="G41" i="47" s="1"/>
  <c r="C41" i="48" s="1"/>
  <c r="E41" i="48" s="1"/>
  <c r="G41" i="48" s="1"/>
  <c r="C41" i="49" s="1"/>
  <c r="E41" i="49" s="1"/>
  <c r="G41" i="49" s="1"/>
  <c r="C41" i="50" s="1"/>
  <c r="E41" i="50" s="1"/>
  <c r="G41" i="50" s="1"/>
  <c r="C41" i="51" s="1"/>
  <c r="E41" i="51" s="1"/>
  <c r="G41" i="51" s="1"/>
  <c r="C41" i="52" s="1"/>
  <c r="E41" i="52" s="1"/>
  <c r="G41" i="52" s="1"/>
  <c r="C41" i="53" s="1"/>
  <c r="E41" i="53" s="1"/>
  <c r="G41" i="53" s="1"/>
  <c r="C41" i="54" s="1"/>
  <c r="E41" i="54" s="1"/>
  <c r="G41" i="54" s="1"/>
  <c r="C41" i="55" s="1"/>
  <c r="E41" i="55" s="1"/>
  <c r="G41" i="55" s="1"/>
  <c r="C41" i="56" s="1"/>
  <c r="E41" i="56" s="1"/>
  <c r="G41" i="56" s="1"/>
  <c r="C41" i="57" s="1"/>
  <c r="E41" i="57" s="1"/>
  <c r="G41" i="57" s="1"/>
  <c r="C41" i="58" s="1"/>
  <c r="E41" i="58" s="1"/>
  <c r="G41" i="58" s="1"/>
  <c r="C41" i="59" s="1"/>
  <c r="E41" i="59" s="1"/>
  <c r="G41" i="59" s="1"/>
  <c r="C41" i="60" s="1"/>
  <c r="E41" i="60" s="1"/>
  <c r="G41" i="60" s="1"/>
  <c r="C41" i="61" s="1"/>
  <c r="E41" i="61" s="1"/>
  <c r="G41" i="61" s="1"/>
  <c r="C41" i="62" s="1"/>
  <c r="E41" i="62" s="1"/>
  <c r="G41" i="62" s="1"/>
  <c r="C41" i="63" s="1"/>
  <c r="E41" i="63" s="1"/>
  <c r="G41" i="63" s="1"/>
  <c r="C41" i="64" s="1"/>
  <c r="E41" i="64" s="1"/>
  <c r="G41" i="64" s="1"/>
  <c r="E41" i="15"/>
  <c r="E49" i="34"/>
  <c r="G49" i="34" s="1"/>
  <c r="C49" i="35" s="1"/>
  <c r="E49" i="35" s="1"/>
  <c r="G49" i="35" s="1"/>
  <c r="C49" i="36" s="1"/>
  <c r="E49" i="36" s="1"/>
  <c r="G49" i="36" s="1"/>
  <c r="C49" i="37" s="1"/>
  <c r="E49" i="37" s="1"/>
  <c r="G49" i="37" s="1"/>
  <c r="C49" i="38" s="1"/>
  <c r="E49" i="38" s="1"/>
  <c r="G49" i="38" s="1"/>
  <c r="C49" i="39" s="1"/>
  <c r="E49" i="39" s="1"/>
  <c r="G49" i="39" s="1"/>
  <c r="C49" i="40" s="1"/>
  <c r="E49" i="40" s="1"/>
  <c r="G49" i="40" s="1"/>
  <c r="C49" i="41" s="1"/>
  <c r="E49" i="41" s="1"/>
  <c r="G49" i="41" s="1"/>
  <c r="C49" i="42" s="1"/>
  <c r="E49" i="42" s="1"/>
  <c r="G49" i="42" s="1"/>
  <c r="C49" i="43" s="1"/>
  <c r="E49" i="43" s="1"/>
  <c r="G49" i="43" s="1"/>
  <c r="C49" i="44" s="1"/>
  <c r="E49" i="44" s="1"/>
  <c r="G49" i="44" s="1"/>
  <c r="C49" i="45" s="1"/>
  <c r="E49" i="45" s="1"/>
  <c r="G49" i="45" s="1"/>
  <c r="C49" i="46" s="1"/>
  <c r="E49" i="46" s="1"/>
  <c r="G49" i="46" s="1"/>
  <c r="C49" i="47" s="1"/>
  <c r="E49" i="47" s="1"/>
  <c r="G49" i="47" s="1"/>
  <c r="C49" i="48" s="1"/>
  <c r="E49" i="48" s="1"/>
  <c r="G49" i="48" s="1"/>
  <c r="C49" i="49" s="1"/>
  <c r="E49" i="49" s="1"/>
  <c r="G49" i="49" s="1"/>
  <c r="C49" i="50" s="1"/>
  <c r="E49" i="50" s="1"/>
  <c r="G49" i="50" s="1"/>
  <c r="C49" i="51" s="1"/>
  <c r="E49" i="51" s="1"/>
  <c r="G49" i="51" s="1"/>
  <c r="C49" i="52" s="1"/>
  <c r="E49" i="52" s="1"/>
  <c r="G49" i="52" s="1"/>
  <c r="C49" i="53" s="1"/>
  <c r="E49" i="53" s="1"/>
  <c r="G49" i="53" s="1"/>
  <c r="C49" i="54" s="1"/>
  <c r="E49" i="54" s="1"/>
  <c r="G49" i="54" s="1"/>
  <c r="C49" i="55" s="1"/>
  <c r="E49" i="55" s="1"/>
  <c r="G49" i="55" s="1"/>
  <c r="C49" i="56" s="1"/>
  <c r="E49" i="56" s="1"/>
  <c r="G49" i="56" s="1"/>
  <c r="C49" i="57" s="1"/>
  <c r="E49" i="57" s="1"/>
  <c r="G49" i="57" s="1"/>
  <c r="C49" i="58" s="1"/>
  <c r="E49" i="58" s="1"/>
  <c r="G49" i="58" s="1"/>
  <c r="C49" i="59" s="1"/>
  <c r="E49" i="59" s="1"/>
  <c r="G49" i="59" s="1"/>
  <c r="C49" i="60" s="1"/>
  <c r="E49" i="60" s="1"/>
  <c r="G49" i="60" s="1"/>
  <c r="C49" i="61" s="1"/>
  <c r="E49" i="61" s="1"/>
  <c r="G49" i="61" s="1"/>
  <c r="C49" i="62" s="1"/>
  <c r="E49" i="62" s="1"/>
  <c r="G49" i="62" s="1"/>
  <c r="C49" i="63" s="1"/>
  <c r="E49" i="63" s="1"/>
  <c r="G49" i="63" s="1"/>
  <c r="C49" i="64" s="1"/>
  <c r="E49" i="64" s="1"/>
  <c r="G49" i="64" s="1"/>
  <c r="E49" i="15"/>
  <c r="E66" i="34"/>
  <c r="G66" i="34" s="1"/>
  <c r="C66" i="35" s="1"/>
  <c r="E66" i="35" s="1"/>
  <c r="G66" i="35" s="1"/>
  <c r="C66" i="36" s="1"/>
  <c r="E66" i="36" s="1"/>
  <c r="G66" i="36" s="1"/>
  <c r="C66" i="37" s="1"/>
  <c r="E66" i="37" s="1"/>
  <c r="G66" i="37" s="1"/>
  <c r="C66" i="38" s="1"/>
  <c r="E66" i="38" s="1"/>
  <c r="G66" i="38" s="1"/>
  <c r="C66" i="39" s="1"/>
  <c r="E66" i="39" s="1"/>
  <c r="G66" i="39" s="1"/>
  <c r="C66" i="40" s="1"/>
  <c r="E66" i="40" s="1"/>
  <c r="G66" i="40" s="1"/>
  <c r="C66" i="41" s="1"/>
  <c r="E66" i="41" s="1"/>
  <c r="G66" i="41" s="1"/>
  <c r="C66" i="42" s="1"/>
  <c r="E66" i="42" s="1"/>
  <c r="G66" i="42" s="1"/>
  <c r="C66" i="43" s="1"/>
  <c r="E66" i="43" s="1"/>
  <c r="G66" i="43" s="1"/>
  <c r="C66" i="44" s="1"/>
  <c r="E66" i="44" s="1"/>
  <c r="G66" i="44" s="1"/>
  <c r="C66" i="45" s="1"/>
  <c r="E66" i="45" s="1"/>
  <c r="G66" i="45" s="1"/>
  <c r="C66" i="46" s="1"/>
  <c r="E66" i="46" s="1"/>
  <c r="G66" i="46" s="1"/>
  <c r="C66" i="47" s="1"/>
  <c r="E66" i="47" s="1"/>
  <c r="G66" i="47" s="1"/>
  <c r="C66" i="48" s="1"/>
  <c r="E66" i="48" s="1"/>
  <c r="G66" i="48" s="1"/>
  <c r="C66" i="49" s="1"/>
  <c r="E66" i="49" s="1"/>
  <c r="G66" i="49" s="1"/>
  <c r="C66" i="50" s="1"/>
  <c r="E66" i="50" s="1"/>
  <c r="G66" i="50" s="1"/>
  <c r="C66" i="51" s="1"/>
  <c r="E66" i="51" s="1"/>
  <c r="G66" i="51" s="1"/>
  <c r="C66" i="52" s="1"/>
  <c r="E66" i="52" s="1"/>
  <c r="G66" i="52" s="1"/>
  <c r="C66" i="53" s="1"/>
  <c r="E66" i="53" s="1"/>
  <c r="G66" i="53" s="1"/>
  <c r="C66" i="54" s="1"/>
  <c r="E66" i="54" s="1"/>
  <c r="G66" i="54" s="1"/>
  <c r="C66" i="55" s="1"/>
  <c r="E66" i="55" s="1"/>
  <c r="G66" i="55" s="1"/>
  <c r="C66" i="56" s="1"/>
  <c r="E66" i="56" s="1"/>
  <c r="G66" i="56" s="1"/>
  <c r="C66" i="57" s="1"/>
  <c r="E66" i="57" s="1"/>
  <c r="G66" i="57" s="1"/>
  <c r="C66" i="58" s="1"/>
  <c r="E66" i="58" s="1"/>
  <c r="G66" i="58" s="1"/>
  <c r="C66" i="59" s="1"/>
  <c r="E66" i="59" s="1"/>
  <c r="G66" i="59" s="1"/>
  <c r="C66" i="60" s="1"/>
  <c r="E66" i="60" s="1"/>
  <c r="G66" i="60" s="1"/>
  <c r="C66" i="61" s="1"/>
  <c r="E66" i="61" s="1"/>
  <c r="G66" i="61" s="1"/>
  <c r="C66" i="62" s="1"/>
  <c r="E66" i="62" s="1"/>
  <c r="G66" i="62" s="1"/>
  <c r="C66" i="63" s="1"/>
  <c r="E66" i="63" s="1"/>
  <c r="G66" i="63" s="1"/>
  <c r="C66" i="64" s="1"/>
  <c r="E66" i="64" s="1"/>
  <c r="G66" i="64" s="1"/>
  <c r="E66" i="15"/>
  <c r="E89" i="15"/>
  <c r="E89" i="34"/>
  <c r="G89" i="34" s="1"/>
  <c r="C89" i="35" s="1"/>
  <c r="E89" i="35" s="1"/>
  <c r="G89" i="35" s="1"/>
  <c r="C89" i="36" s="1"/>
  <c r="E89" i="36" s="1"/>
  <c r="G89" i="36" s="1"/>
  <c r="C89" i="37" s="1"/>
  <c r="E89" i="37" s="1"/>
  <c r="G89" i="37" s="1"/>
  <c r="C89" i="38" s="1"/>
  <c r="E89" i="38" s="1"/>
  <c r="G89" i="38" s="1"/>
  <c r="C89" i="39" s="1"/>
  <c r="E89" i="39" s="1"/>
  <c r="G89" i="39" s="1"/>
  <c r="C89" i="40" s="1"/>
  <c r="E89" i="40" s="1"/>
  <c r="G89" i="40" s="1"/>
  <c r="C89" i="41" s="1"/>
  <c r="E89" i="41" s="1"/>
  <c r="G89" i="41" s="1"/>
  <c r="C89" i="42" s="1"/>
  <c r="E89" i="42" s="1"/>
  <c r="G89" i="42" s="1"/>
  <c r="C89" i="43" s="1"/>
  <c r="E89" i="43" s="1"/>
  <c r="G89" i="43" s="1"/>
  <c r="C89" i="44" s="1"/>
  <c r="E89" i="44" s="1"/>
  <c r="G89" i="44" s="1"/>
  <c r="C89" i="45" s="1"/>
  <c r="E89" i="45" s="1"/>
  <c r="G89" i="45" s="1"/>
  <c r="C89" i="46" s="1"/>
  <c r="E89" i="46" s="1"/>
  <c r="G89" i="46" s="1"/>
  <c r="C89" i="47" s="1"/>
  <c r="E89" i="47" s="1"/>
  <c r="G89" i="47" s="1"/>
  <c r="C89" i="48" s="1"/>
  <c r="E89" i="48" s="1"/>
  <c r="G89" i="48" s="1"/>
  <c r="C89" i="49" s="1"/>
  <c r="E89" i="49" s="1"/>
  <c r="G89" i="49" s="1"/>
  <c r="C89" i="50" s="1"/>
  <c r="E89" i="50" s="1"/>
  <c r="G89" i="50" s="1"/>
  <c r="C89" i="51" s="1"/>
  <c r="E89" i="51" s="1"/>
  <c r="G89" i="51" s="1"/>
  <c r="C89" i="52" s="1"/>
  <c r="E89" i="52" s="1"/>
  <c r="G89" i="52" s="1"/>
  <c r="C89" i="53" s="1"/>
  <c r="E89" i="53" s="1"/>
  <c r="G89" i="53" s="1"/>
  <c r="C89" i="54" s="1"/>
  <c r="E89" i="54" s="1"/>
  <c r="G89" i="54" s="1"/>
  <c r="C89" i="55" s="1"/>
  <c r="E89" i="55" s="1"/>
  <c r="G89" i="55" s="1"/>
  <c r="C89" i="56" s="1"/>
  <c r="E89" i="56" s="1"/>
  <c r="G89" i="56" s="1"/>
  <c r="C89" i="57" s="1"/>
  <c r="E89" i="57" s="1"/>
  <c r="G89" i="57" s="1"/>
  <c r="C89" i="58" s="1"/>
  <c r="E89" i="58" s="1"/>
  <c r="G89" i="58" s="1"/>
  <c r="C89" i="59" s="1"/>
  <c r="E89" i="59" s="1"/>
  <c r="G89" i="59" s="1"/>
  <c r="C89" i="60" s="1"/>
  <c r="E89" i="60" s="1"/>
  <c r="G89" i="60" s="1"/>
  <c r="C89" i="61" s="1"/>
  <c r="E89" i="61" s="1"/>
  <c r="G89" i="61" s="1"/>
  <c r="C89" i="62" s="1"/>
  <c r="E89" i="62" s="1"/>
  <c r="G89" i="62" s="1"/>
  <c r="C89" i="63" s="1"/>
  <c r="E89" i="63" s="1"/>
  <c r="G89" i="63" s="1"/>
  <c r="C89" i="64" s="1"/>
  <c r="E89" i="64" s="1"/>
  <c r="G89" i="64" s="1"/>
  <c r="E99" i="34"/>
  <c r="G99" i="34" s="1"/>
  <c r="C99" i="35" s="1"/>
  <c r="E99" i="35" s="1"/>
  <c r="G99" i="35" s="1"/>
  <c r="C99" i="36" s="1"/>
  <c r="E99" i="36" s="1"/>
  <c r="G99" i="36" s="1"/>
  <c r="C99" i="37" s="1"/>
  <c r="E99" i="37" s="1"/>
  <c r="G99" i="37" s="1"/>
  <c r="C99" i="38" s="1"/>
  <c r="E99" i="38" s="1"/>
  <c r="G99" i="38" s="1"/>
  <c r="C99" i="39" s="1"/>
  <c r="E99" i="39" s="1"/>
  <c r="G99" i="39" s="1"/>
  <c r="C99" i="40" s="1"/>
  <c r="E99" i="40" s="1"/>
  <c r="G99" i="40" s="1"/>
  <c r="C99" i="41" s="1"/>
  <c r="E99" i="41" s="1"/>
  <c r="G99" i="41" s="1"/>
  <c r="C99" i="42" s="1"/>
  <c r="E99" i="42" s="1"/>
  <c r="G99" i="42" s="1"/>
  <c r="C99" i="43" s="1"/>
  <c r="E99" i="43" s="1"/>
  <c r="G99" i="43" s="1"/>
  <c r="C99" i="44" s="1"/>
  <c r="E99" i="44" s="1"/>
  <c r="G99" i="44" s="1"/>
  <c r="C99" i="45" s="1"/>
  <c r="E99" i="45" s="1"/>
  <c r="G99" i="45" s="1"/>
  <c r="C99" i="46" s="1"/>
  <c r="E99" i="46" s="1"/>
  <c r="G99" i="46" s="1"/>
  <c r="C99" i="47" s="1"/>
  <c r="E99" i="47" s="1"/>
  <c r="G99" i="47" s="1"/>
  <c r="C99" i="48" s="1"/>
  <c r="E99" i="48" s="1"/>
  <c r="G99" i="48" s="1"/>
  <c r="C99" i="49" s="1"/>
  <c r="E99" i="49" s="1"/>
  <c r="G99" i="49" s="1"/>
  <c r="C99" i="50" s="1"/>
  <c r="E99" i="50" s="1"/>
  <c r="G99" i="50" s="1"/>
  <c r="C99" i="51" s="1"/>
  <c r="E99" i="51" s="1"/>
  <c r="G99" i="51" s="1"/>
  <c r="C99" i="52" s="1"/>
  <c r="E99" i="52" s="1"/>
  <c r="G99" i="52" s="1"/>
  <c r="C99" i="53" s="1"/>
  <c r="E99" i="53" s="1"/>
  <c r="G99" i="53" s="1"/>
  <c r="C99" i="54" s="1"/>
  <c r="E99" i="54" s="1"/>
  <c r="G99" i="54" s="1"/>
  <c r="C99" i="55" s="1"/>
  <c r="E99" i="55" s="1"/>
  <c r="G99" i="55" s="1"/>
  <c r="C99" i="56" s="1"/>
  <c r="E99" i="56" s="1"/>
  <c r="G99" i="56" s="1"/>
  <c r="C99" i="57" s="1"/>
  <c r="E99" i="57" s="1"/>
  <c r="G99" i="57" s="1"/>
  <c r="C99" i="58" s="1"/>
  <c r="E99" i="58" s="1"/>
  <c r="G99" i="58" s="1"/>
  <c r="C99" i="59" s="1"/>
  <c r="E99" i="59" s="1"/>
  <c r="G99" i="59" s="1"/>
  <c r="C99" i="60" s="1"/>
  <c r="E99" i="60" s="1"/>
  <c r="G99" i="60" s="1"/>
  <c r="C99" i="61" s="1"/>
  <c r="E99" i="61" s="1"/>
  <c r="G99" i="61" s="1"/>
  <c r="C99" i="62" s="1"/>
  <c r="E99" i="62" s="1"/>
  <c r="G99" i="62" s="1"/>
  <c r="C99" i="63" s="1"/>
  <c r="E99" i="63" s="1"/>
  <c r="G99" i="63" s="1"/>
  <c r="C99" i="64" s="1"/>
  <c r="E99" i="64" s="1"/>
  <c r="G99" i="64" s="1"/>
  <c r="E99" i="15"/>
  <c r="E162" i="15"/>
  <c r="E115" i="34"/>
  <c r="G115" i="34" s="1"/>
  <c r="C115" i="35" s="1"/>
  <c r="E115" i="35" s="1"/>
  <c r="G115" i="35" s="1"/>
  <c r="C115" i="36" s="1"/>
  <c r="E115" i="36" s="1"/>
  <c r="G115" i="36" s="1"/>
  <c r="C115" i="37" s="1"/>
  <c r="E115" i="37" s="1"/>
  <c r="G115" i="37" s="1"/>
  <c r="C115" i="38" s="1"/>
  <c r="E115" i="38" s="1"/>
  <c r="G115" i="38" s="1"/>
  <c r="C115" i="39" s="1"/>
  <c r="E115" i="39" s="1"/>
  <c r="G115" i="39" s="1"/>
  <c r="C115" i="40" s="1"/>
  <c r="E115" i="40" s="1"/>
  <c r="G115" i="40" s="1"/>
  <c r="C115" i="41" s="1"/>
  <c r="E115" i="41" s="1"/>
  <c r="G115" i="41" s="1"/>
  <c r="C115" i="42" s="1"/>
  <c r="E115" i="42" s="1"/>
  <c r="G115" i="42" s="1"/>
  <c r="C115" i="43" s="1"/>
  <c r="E115" i="43" s="1"/>
  <c r="G115" i="43" s="1"/>
  <c r="C115" i="44" s="1"/>
  <c r="E115" i="44" s="1"/>
  <c r="G115" i="44" s="1"/>
  <c r="C115" i="45" s="1"/>
  <c r="E115" i="45" s="1"/>
  <c r="G115" i="45" s="1"/>
  <c r="C115" i="46" s="1"/>
  <c r="E115" i="46" s="1"/>
  <c r="G115" i="46" s="1"/>
  <c r="C115" i="47" s="1"/>
  <c r="E115" i="47" s="1"/>
  <c r="G115" i="47" s="1"/>
  <c r="C115" i="48" s="1"/>
  <c r="E115" i="48" s="1"/>
  <c r="G115" i="48" s="1"/>
  <c r="C115" i="49" s="1"/>
  <c r="E115" i="49" s="1"/>
  <c r="G115" i="49" s="1"/>
  <c r="C115" i="50" s="1"/>
  <c r="E115" i="50" s="1"/>
  <c r="G115" i="50" s="1"/>
  <c r="C115" i="51" s="1"/>
  <c r="E115" i="51" s="1"/>
  <c r="G115" i="51" s="1"/>
  <c r="C115" i="52" s="1"/>
  <c r="E115" i="52" s="1"/>
  <c r="G115" i="52" s="1"/>
  <c r="C115" i="53" s="1"/>
  <c r="E115" i="53" s="1"/>
  <c r="G115" i="53" s="1"/>
  <c r="C115" i="54" s="1"/>
  <c r="E115" i="54" s="1"/>
  <c r="G115" i="54" s="1"/>
  <c r="C115" i="55" s="1"/>
  <c r="E115" i="55" s="1"/>
  <c r="G115" i="55" s="1"/>
  <c r="C115" i="56" s="1"/>
  <c r="E115" i="56" s="1"/>
  <c r="G115" i="56" s="1"/>
  <c r="C115" i="57" s="1"/>
  <c r="E115" i="57" s="1"/>
  <c r="G115" i="57" s="1"/>
  <c r="C115" i="58" s="1"/>
  <c r="E115" i="58" s="1"/>
  <c r="G115" i="58" s="1"/>
  <c r="C115" i="59" s="1"/>
  <c r="E115" i="59" s="1"/>
  <c r="G115" i="59" s="1"/>
  <c r="C115" i="60" s="1"/>
  <c r="E115" i="60" s="1"/>
  <c r="G115" i="60" s="1"/>
  <c r="C115" i="61" s="1"/>
  <c r="E115" i="61" s="1"/>
  <c r="G115" i="61" s="1"/>
  <c r="C115" i="62" s="1"/>
  <c r="E115" i="62" s="1"/>
  <c r="G115" i="62" s="1"/>
  <c r="C115" i="63" s="1"/>
  <c r="E115" i="63" s="1"/>
  <c r="G115" i="63" s="1"/>
  <c r="C115" i="64" s="1"/>
  <c r="E115" i="64" s="1"/>
  <c r="G115" i="64" s="1"/>
  <c r="E115" i="15"/>
  <c r="E123" i="34"/>
  <c r="G123" i="34" s="1"/>
  <c r="C123" i="35" s="1"/>
  <c r="E123" i="35" s="1"/>
  <c r="G123" i="35" s="1"/>
  <c r="C123" i="36" s="1"/>
  <c r="E123" i="36" s="1"/>
  <c r="G123" i="36" s="1"/>
  <c r="C123" i="37" s="1"/>
  <c r="E123" i="37" s="1"/>
  <c r="G123" i="37" s="1"/>
  <c r="C123" i="38" s="1"/>
  <c r="E123" i="38" s="1"/>
  <c r="G123" i="38" s="1"/>
  <c r="C123" i="39" s="1"/>
  <c r="E123" i="39" s="1"/>
  <c r="G123" i="39" s="1"/>
  <c r="C123" i="40" s="1"/>
  <c r="E123" i="40" s="1"/>
  <c r="G123" i="40" s="1"/>
  <c r="C123" i="41" s="1"/>
  <c r="E123" i="41" s="1"/>
  <c r="G123" i="41" s="1"/>
  <c r="C123" i="42" s="1"/>
  <c r="E123" i="42" s="1"/>
  <c r="G123" i="42" s="1"/>
  <c r="C123" i="43" s="1"/>
  <c r="E123" i="43" s="1"/>
  <c r="G123" i="43" s="1"/>
  <c r="C123" i="44" s="1"/>
  <c r="E123" i="44" s="1"/>
  <c r="G123" i="44" s="1"/>
  <c r="C123" i="45" s="1"/>
  <c r="E123" i="45" s="1"/>
  <c r="G123" i="45" s="1"/>
  <c r="C123" i="46" s="1"/>
  <c r="E123" i="46" s="1"/>
  <c r="G123" i="46" s="1"/>
  <c r="C123" i="47" s="1"/>
  <c r="E123" i="47" s="1"/>
  <c r="G123" i="47" s="1"/>
  <c r="C123" i="48" s="1"/>
  <c r="E123" i="48" s="1"/>
  <c r="G123" i="48" s="1"/>
  <c r="C123" i="49" s="1"/>
  <c r="E123" i="49" s="1"/>
  <c r="G123" i="49" s="1"/>
  <c r="C123" i="50" s="1"/>
  <c r="E123" i="50" s="1"/>
  <c r="G123" i="50" s="1"/>
  <c r="C123" i="51" s="1"/>
  <c r="E123" i="51" s="1"/>
  <c r="G123" i="51" s="1"/>
  <c r="C123" i="52" s="1"/>
  <c r="E123" i="52" s="1"/>
  <c r="G123" i="52" s="1"/>
  <c r="C123" i="53" s="1"/>
  <c r="E123" i="53" s="1"/>
  <c r="G123" i="53" s="1"/>
  <c r="C123" i="54" s="1"/>
  <c r="E123" i="54" s="1"/>
  <c r="G123" i="54" s="1"/>
  <c r="C123" i="55" s="1"/>
  <c r="E123" i="55" s="1"/>
  <c r="G123" i="55" s="1"/>
  <c r="C123" i="56" s="1"/>
  <c r="E123" i="56" s="1"/>
  <c r="G123" i="56" s="1"/>
  <c r="C123" i="57" s="1"/>
  <c r="E123" i="57" s="1"/>
  <c r="G123" i="57" s="1"/>
  <c r="C123" i="58" s="1"/>
  <c r="E123" i="58" s="1"/>
  <c r="G123" i="58" s="1"/>
  <c r="C123" i="59" s="1"/>
  <c r="E123" i="59" s="1"/>
  <c r="G123" i="59" s="1"/>
  <c r="C123" i="60" s="1"/>
  <c r="E123" i="60" s="1"/>
  <c r="G123" i="60" s="1"/>
  <c r="C123" i="61" s="1"/>
  <c r="E123" i="61" s="1"/>
  <c r="G123" i="61" s="1"/>
  <c r="C123" i="62" s="1"/>
  <c r="E123" i="62" s="1"/>
  <c r="G123" i="62" s="1"/>
  <c r="C123" i="63" s="1"/>
  <c r="E123" i="63" s="1"/>
  <c r="G123" i="63" s="1"/>
  <c r="C123" i="64" s="1"/>
  <c r="E123" i="64" s="1"/>
  <c r="G123" i="64" s="1"/>
  <c r="E123" i="15"/>
  <c r="E131" i="34"/>
  <c r="G131" i="34" s="1"/>
  <c r="C131" i="35" s="1"/>
  <c r="E131" i="35" s="1"/>
  <c r="G131" i="35" s="1"/>
  <c r="C131" i="36" s="1"/>
  <c r="E131" i="36" s="1"/>
  <c r="G131" i="36" s="1"/>
  <c r="C131" i="37" s="1"/>
  <c r="E131" i="37" s="1"/>
  <c r="G131" i="37" s="1"/>
  <c r="C131" i="38" s="1"/>
  <c r="E131" i="38" s="1"/>
  <c r="G131" i="38" s="1"/>
  <c r="C131" i="39" s="1"/>
  <c r="E131" i="39" s="1"/>
  <c r="G131" i="39" s="1"/>
  <c r="C131" i="40" s="1"/>
  <c r="E131" i="40" s="1"/>
  <c r="G131" i="40" s="1"/>
  <c r="C131" i="41" s="1"/>
  <c r="E131" i="41" s="1"/>
  <c r="G131" i="41" s="1"/>
  <c r="C131" i="42" s="1"/>
  <c r="E131" i="42" s="1"/>
  <c r="G131" i="42" s="1"/>
  <c r="C131" i="43" s="1"/>
  <c r="E131" i="43" s="1"/>
  <c r="G131" i="43" s="1"/>
  <c r="C131" i="44" s="1"/>
  <c r="E131" i="44" s="1"/>
  <c r="G131" i="44" s="1"/>
  <c r="C131" i="45" s="1"/>
  <c r="E131" i="45" s="1"/>
  <c r="G131" i="45" s="1"/>
  <c r="C131" i="46" s="1"/>
  <c r="E131" i="46" s="1"/>
  <c r="G131" i="46" s="1"/>
  <c r="C131" i="47" s="1"/>
  <c r="E131" i="47" s="1"/>
  <c r="G131" i="47" s="1"/>
  <c r="C131" i="48" s="1"/>
  <c r="E131" i="48" s="1"/>
  <c r="G131" i="48" s="1"/>
  <c r="C131" i="49" s="1"/>
  <c r="E131" i="49" s="1"/>
  <c r="G131" i="49" s="1"/>
  <c r="C131" i="50" s="1"/>
  <c r="E131" i="50" s="1"/>
  <c r="G131" i="50" s="1"/>
  <c r="C131" i="51" s="1"/>
  <c r="E131" i="51" s="1"/>
  <c r="G131" i="51" s="1"/>
  <c r="C131" i="52" s="1"/>
  <c r="E131" i="52" s="1"/>
  <c r="G131" i="52" s="1"/>
  <c r="C131" i="53" s="1"/>
  <c r="E131" i="53" s="1"/>
  <c r="G131" i="53" s="1"/>
  <c r="C131" i="54" s="1"/>
  <c r="E131" i="54" s="1"/>
  <c r="G131" i="54" s="1"/>
  <c r="C131" i="55" s="1"/>
  <c r="E131" i="55" s="1"/>
  <c r="G131" i="55" s="1"/>
  <c r="C131" i="56" s="1"/>
  <c r="E131" i="56" s="1"/>
  <c r="G131" i="56" s="1"/>
  <c r="C131" i="57" s="1"/>
  <c r="E131" i="57" s="1"/>
  <c r="G131" i="57" s="1"/>
  <c r="C131" i="58" s="1"/>
  <c r="E131" i="58" s="1"/>
  <c r="G131" i="58" s="1"/>
  <c r="C131" i="59" s="1"/>
  <c r="E131" i="59" s="1"/>
  <c r="G131" i="59" s="1"/>
  <c r="C131" i="60" s="1"/>
  <c r="E131" i="60" s="1"/>
  <c r="G131" i="60" s="1"/>
  <c r="C131" i="61" s="1"/>
  <c r="E131" i="61" s="1"/>
  <c r="G131" i="61" s="1"/>
  <c r="C131" i="62" s="1"/>
  <c r="E131" i="62" s="1"/>
  <c r="G131" i="62" s="1"/>
  <c r="C131" i="63" s="1"/>
  <c r="E131" i="63" s="1"/>
  <c r="G131" i="63" s="1"/>
  <c r="C131" i="64" s="1"/>
  <c r="E131" i="64" s="1"/>
  <c r="G131" i="64" s="1"/>
  <c r="E131" i="15"/>
  <c r="E139" i="34"/>
  <c r="G139" i="34" s="1"/>
  <c r="C139" i="35" s="1"/>
  <c r="E139" i="35" s="1"/>
  <c r="G139" i="35" s="1"/>
  <c r="C139" i="36" s="1"/>
  <c r="E139" i="36" s="1"/>
  <c r="G139" i="36" s="1"/>
  <c r="C139" i="37" s="1"/>
  <c r="E139" i="37" s="1"/>
  <c r="G139" i="37" s="1"/>
  <c r="C139" i="38" s="1"/>
  <c r="E139" i="38" s="1"/>
  <c r="G139" i="38" s="1"/>
  <c r="C139" i="39" s="1"/>
  <c r="E139" i="39" s="1"/>
  <c r="G139" i="39" s="1"/>
  <c r="C139" i="40" s="1"/>
  <c r="E139" i="40" s="1"/>
  <c r="G139" i="40" s="1"/>
  <c r="C139" i="41" s="1"/>
  <c r="E139" i="41" s="1"/>
  <c r="G139" i="41" s="1"/>
  <c r="C139" i="42" s="1"/>
  <c r="E139" i="42" s="1"/>
  <c r="G139" i="42" s="1"/>
  <c r="C139" i="43" s="1"/>
  <c r="E139" i="43" s="1"/>
  <c r="G139" i="43" s="1"/>
  <c r="C139" i="44" s="1"/>
  <c r="E139" i="44" s="1"/>
  <c r="G139" i="44" s="1"/>
  <c r="C139" i="45" s="1"/>
  <c r="E139" i="45" s="1"/>
  <c r="G139" i="45" s="1"/>
  <c r="C139" i="46" s="1"/>
  <c r="E139" i="46" s="1"/>
  <c r="G139" i="46" s="1"/>
  <c r="C139" i="47" s="1"/>
  <c r="E139" i="47" s="1"/>
  <c r="G139" i="47" s="1"/>
  <c r="C139" i="48" s="1"/>
  <c r="E139" i="48" s="1"/>
  <c r="G139" i="48" s="1"/>
  <c r="C139" i="49" s="1"/>
  <c r="E139" i="49" s="1"/>
  <c r="G139" i="49" s="1"/>
  <c r="C139" i="50" s="1"/>
  <c r="E139" i="50" s="1"/>
  <c r="G139" i="50" s="1"/>
  <c r="C139" i="51" s="1"/>
  <c r="E139" i="51" s="1"/>
  <c r="G139" i="51" s="1"/>
  <c r="C139" i="52" s="1"/>
  <c r="E139" i="52" s="1"/>
  <c r="G139" i="52" s="1"/>
  <c r="C139" i="53" s="1"/>
  <c r="E139" i="53" s="1"/>
  <c r="G139" i="53" s="1"/>
  <c r="C139" i="54" s="1"/>
  <c r="E139" i="54" s="1"/>
  <c r="G139" i="54" s="1"/>
  <c r="C139" i="55" s="1"/>
  <c r="E139" i="55" s="1"/>
  <c r="G139" i="55" s="1"/>
  <c r="C139" i="56" s="1"/>
  <c r="E139" i="56" s="1"/>
  <c r="G139" i="56" s="1"/>
  <c r="C139" i="57" s="1"/>
  <c r="E139" i="57" s="1"/>
  <c r="G139" i="57" s="1"/>
  <c r="C139" i="58" s="1"/>
  <c r="E139" i="58" s="1"/>
  <c r="G139" i="58" s="1"/>
  <c r="C139" i="59" s="1"/>
  <c r="E139" i="59" s="1"/>
  <c r="G139" i="59" s="1"/>
  <c r="C139" i="60" s="1"/>
  <c r="E139" i="60" s="1"/>
  <c r="G139" i="60" s="1"/>
  <c r="C139" i="61" s="1"/>
  <c r="E139" i="61" s="1"/>
  <c r="G139" i="61" s="1"/>
  <c r="C139" i="62" s="1"/>
  <c r="E139" i="62" s="1"/>
  <c r="G139" i="62" s="1"/>
  <c r="C139" i="63" s="1"/>
  <c r="E139" i="63" s="1"/>
  <c r="G139" i="63" s="1"/>
  <c r="C139" i="64" s="1"/>
  <c r="E139" i="64" s="1"/>
  <c r="G139" i="64" s="1"/>
  <c r="E139" i="15"/>
  <c r="E147" i="34"/>
  <c r="G147" i="34" s="1"/>
  <c r="C147" i="35" s="1"/>
  <c r="E147" i="35" s="1"/>
  <c r="G147" i="35" s="1"/>
  <c r="C147" i="36" s="1"/>
  <c r="E147" i="36" s="1"/>
  <c r="G147" i="36" s="1"/>
  <c r="C147" i="37" s="1"/>
  <c r="E147" i="37" s="1"/>
  <c r="G147" i="37" s="1"/>
  <c r="C147" i="38" s="1"/>
  <c r="E147" i="38" s="1"/>
  <c r="G147" i="38" s="1"/>
  <c r="C147" i="39" s="1"/>
  <c r="E147" i="39" s="1"/>
  <c r="G147" i="39" s="1"/>
  <c r="C147" i="40" s="1"/>
  <c r="E147" i="40" s="1"/>
  <c r="G147" i="40" s="1"/>
  <c r="C147" i="41" s="1"/>
  <c r="E147" i="41" s="1"/>
  <c r="G147" i="41" s="1"/>
  <c r="C147" i="42" s="1"/>
  <c r="E147" i="42" s="1"/>
  <c r="G147" i="42" s="1"/>
  <c r="C147" i="43" s="1"/>
  <c r="E147" i="43" s="1"/>
  <c r="G147" i="43" s="1"/>
  <c r="C147" i="44" s="1"/>
  <c r="E147" i="44" s="1"/>
  <c r="G147" i="44" s="1"/>
  <c r="C147" i="45" s="1"/>
  <c r="E147" i="45" s="1"/>
  <c r="G147" i="45" s="1"/>
  <c r="C147" i="46" s="1"/>
  <c r="E147" i="46" s="1"/>
  <c r="G147" i="46" s="1"/>
  <c r="C147" i="47" s="1"/>
  <c r="E147" i="47" s="1"/>
  <c r="G147" i="47" s="1"/>
  <c r="C147" i="48" s="1"/>
  <c r="E147" i="48" s="1"/>
  <c r="G147" i="48" s="1"/>
  <c r="C147" i="49" s="1"/>
  <c r="E147" i="49" s="1"/>
  <c r="G147" i="49" s="1"/>
  <c r="C147" i="50" s="1"/>
  <c r="E147" i="50" s="1"/>
  <c r="G147" i="50" s="1"/>
  <c r="C147" i="51" s="1"/>
  <c r="E147" i="51" s="1"/>
  <c r="G147" i="51" s="1"/>
  <c r="C147" i="52" s="1"/>
  <c r="E147" i="52" s="1"/>
  <c r="G147" i="52" s="1"/>
  <c r="C147" i="53" s="1"/>
  <c r="E147" i="53" s="1"/>
  <c r="G147" i="53" s="1"/>
  <c r="C147" i="54" s="1"/>
  <c r="E147" i="54" s="1"/>
  <c r="G147" i="54" s="1"/>
  <c r="C147" i="55" s="1"/>
  <c r="E147" i="55" s="1"/>
  <c r="G147" i="55" s="1"/>
  <c r="C147" i="56" s="1"/>
  <c r="E147" i="56" s="1"/>
  <c r="G147" i="56" s="1"/>
  <c r="C147" i="57" s="1"/>
  <c r="E147" i="57" s="1"/>
  <c r="G147" i="57" s="1"/>
  <c r="C147" i="58" s="1"/>
  <c r="E147" i="58" s="1"/>
  <c r="G147" i="58" s="1"/>
  <c r="C147" i="59" s="1"/>
  <c r="E147" i="59" s="1"/>
  <c r="G147" i="59" s="1"/>
  <c r="C147" i="60" s="1"/>
  <c r="E147" i="60" s="1"/>
  <c r="G147" i="60" s="1"/>
  <c r="C147" i="61" s="1"/>
  <c r="E147" i="61" s="1"/>
  <c r="G147" i="61" s="1"/>
  <c r="C147" i="62" s="1"/>
  <c r="E147" i="62" s="1"/>
  <c r="G147" i="62" s="1"/>
  <c r="C147" i="63" s="1"/>
  <c r="E147" i="63" s="1"/>
  <c r="G147" i="63" s="1"/>
  <c r="C147" i="64" s="1"/>
  <c r="E147" i="64" s="1"/>
  <c r="G147" i="64" s="1"/>
  <c r="E147" i="15"/>
  <c r="E155" i="34"/>
  <c r="G155" i="34" s="1"/>
  <c r="C155" i="35" s="1"/>
  <c r="E155" i="35" s="1"/>
  <c r="G155" i="35" s="1"/>
  <c r="C155" i="36" s="1"/>
  <c r="E155" i="36" s="1"/>
  <c r="G155" i="36" s="1"/>
  <c r="C155" i="37" s="1"/>
  <c r="E155" i="37" s="1"/>
  <c r="G155" i="37" s="1"/>
  <c r="C155" i="38" s="1"/>
  <c r="E155" i="38" s="1"/>
  <c r="G155" i="38" s="1"/>
  <c r="C155" i="39" s="1"/>
  <c r="E155" i="39" s="1"/>
  <c r="G155" i="39" s="1"/>
  <c r="C155" i="40" s="1"/>
  <c r="E155" i="40" s="1"/>
  <c r="G155" i="40" s="1"/>
  <c r="C155" i="41" s="1"/>
  <c r="E155" i="41" s="1"/>
  <c r="G155" i="41" s="1"/>
  <c r="C155" i="42" s="1"/>
  <c r="E155" i="42" s="1"/>
  <c r="G155" i="42" s="1"/>
  <c r="C155" i="43" s="1"/>
  <c r="E155" i="43" s="1"/>
  <c r="G155" i="43" s="1"/>
  <c r="C155" i="44" s="1"/>
  <c r="E155" i="44" s="1"/>
  <c r="G155" i="44" s="1"/>
  <c r="C155" i="45" s="1"/>
  <c r="E155" i="45" s="1"/>
  <c r="G155" i="45" s="1"/>
  <c r="C155" i="46" s="1"/>
  <c r="E155" i="46" s="1"/>
  <c r="G155" i="46" s="1"/>
  <c r="C155" i="47" s="1"/>
  <c r="E155" i="47" s="1"/>
  <c r="G155" i="47" s="1"/>
  <c r="C155" i="48" s="1"/>
  <c r="E155" i="48" s="1"/>
  <c r="G155" i="48" s="1"/>
  <c r="C155" i="49" s="1"/>
  <c r="E155" i="49" s="1"/>
  <c r="G155" i="49" s="1"/>
  <c r="C155" i="50" s="1"/>
  <c r="E155" i="50" s="1"/>
  <c r="G155" i="50" s="1"/>
  <c r="C155" i="51" s="1"/>
  <c r="E155" i="51" s="1"/>
  <c r="G155" i="51" s="1"/>
  <c r="C155" i="52" s="1"/>
  <c r="E155" i="52" s="1"/>
  <c r="G155" i="52" s="1"/>
  <c r="C155" i="53" s="1"/>
  <c r="E155" i="53" s="1"/>
  <c r="G155" i="53" s="1"/>
  <c r="C155" i="54" s="1"/>
  <c r="E155" i="54" s="1"/>
  <c r="G155" i="54" s="1"/>
  <c r="C155" i="55" s="1"/>
  <c r="E155" i="55" s="1"/>
  <c r="G155" i="55" s="1"/>
  <c r="C155" i="56" s="1"/>
  <c r="E155" i="56" s="1"/>
  <c r="G155" i="56" s="1"/>
  <c r="C155" i="57" s="1"/>
  <c r="E155" i="57" s="1"/>
  <c r="G155" i="57" s="1"/>
  <c r="C155" i="58" s="1"/>
  <c r="E155" i="58" s="1"/>
  <c r="G155" i="58" s="1"/>
  <c r="C155" i="59" s="1"/>
  <c r="E155" i="59" s="1"/>
  <c r="G155" i="59" s="1"/>
  <c r="C155" i="60" s="1"/>
  <c r="E155" i="60" s="1"/>
  <c r="G155" i="60" s="1"/>
  <c r="C155" i="61" s="1"/>
  <c r="E155" i="61" s="1"/>
  <c r="G155" i="61" s="1"/>
  <c r="C155" i="62" s="1"/>
  <c r="E155" i="62" s="1"/>
  <c r="G155" i="62" s="1"/>
  <c r="C155" i="63" s="1"/>
  <c r="E155" i="63" s="1"/>
  <c r="G155" i="63" s="1"/>
  <c r="C155" i="64" s="1"/>
  <c r="E155" i="64" s="1"/>
  <c r="G155" i="64" s="1"/>
  <c r="E155" i="15"/>
  <c r="E54" i="15"/>
  <c r="E69" i="34"/>
  <c r="G69" i="34" s="1"/>
  <c r="C69" i="35" s="1"/>
  <c r="E69" i="35" s="1"/>
  <c r="G69" i="35" s="1"/>
  <c r="C69" i="36" s="1"/>
  <c r="E69" i="36" s="1"/>
  <c r="G69" i="36" s="1"/>
  <c r="C69" i="37" s="1"/>
  <c r="E69" i="37" s="1"/>
  <c r="G69" i="37" s="1"/>
  <c r="C69" i="38" s="1"/>
  <c r="E69" i="38" s="1"/>
  <c r="G69" i="38" s="1"/>
  <c r="C69" i="39" s="1"/>
  <c r="E69" i="39" s="1"/>
  <c r="G69" i="39" s="1"/>
  <c r="C69" i="40" s="1"/>
  <c r="E69" i="40" s="1"/>
  <c r="G69" i="40" s="1"/>
  <c r="C69" i="41" s="1"/>
  <c r="E69" i="41" s="1"/>
  <c r="G69" i="41" s="1"/>
  <c r="C69" i="42" s="1"/>
  <c r="E69" i="42" s="1"/>
  <c r="G69" i="42" s="1"/>
  <c r="C69" i="43" s="1"/>
  <c r="E69" i="43" s="1"/>
  <c r="G69" i="43" s="1"/>
  <c r="C69" i="44" s="1"/>
  <c r="E69" i="44" s="1"/>
  <c r="G69" i="44" s="1"/>
  <c r="C69" i="45" s="1"/>
  <c r="E69" i="45" s="1"/>
  <c r="G69" i="45" s="1"/>
  <c r="C69" i="46" s="1"/>
  <c r="E69" i="46" s="1"/>
  <c r="G69" i="46" s="1"/>
  <c r="C69" i="47" s="1"/>
  <c r="E69" i="47" s="1"/>
  <c r="G69" i="47" s="1"/>
  <c r="C69" i="48" s="1"/>
  <c r="E69" i="48" s="1"/>
  <c r="G69" i="48" s="1"/>
  <c r="C69" i="49" s="1"/>
  <c r="E69" i="49" s="1"/>
  <c r="G69" i="49" s="1"/>
  <c r="C69" i="50" s="1"/>
  <c r="E69" i="50" s="1"/>
  <c r="G69" i="50" s="1"/>
  <c r="C69" i="51" s="1"/>
  <c r="E69" i="51" s="1"/>
  <c r="G69" i="51" s="1"/>
  <c r="C69" i="52" s="1"/>
  <c r="E69" i="52" s="1"/>
  <c r="G69" i="52" s="1"/>
  <c r="C69" i="53" s="1"/>
  <c r="E69" i="53" s="1"/>
  <c r="G69" i="53" s="1"/>
  <c r="C69" i="54" s="1"/>
  <c r="E69" i="54" s="1"/>
  <c r="G69" i="54" s="1"/>
  <c r="C69" i="55" s="1"/>
  <c r="E69" i="55" s="1"/>
  <c r="G69" i="55" s="1"/>
  <c r="C69" i="56" s="1"/>
  <c r="E69" i="56" s="1"/>
  <c r="G69" i="56" s="1"/>
  <c r="C69" i="57" s="1"/>
  <c r="E69" i="57" s="1"/>
  <c r="G69" i="57" s="1"/>
  <c r="C69" i="58" s="1"/>
  <c r="E69" i="58" s="1"/>
  <c r="G69" i="58" s="1"/>
  <c r="C69" i="59" s="1"/>
  <c r="E69" i="59" s="1"/>
  <c r="G69" i="59" s="1"/>
  <c r="C69" i="60" s="1"/>
  <c r="E69" i="60" s="1"/>
  <c r="G69" i="60" s="1"/>
  <c r="C69" i="61" s="1"/>
  <c r="E69" i="61" s="1"/>
  <c r="G69" i="61" s="1"/>
  <c r="C69" i="62" s="1"/>
  <c r="E69" i="62" s="1"/>
  <c r="G69" i="62" s="1"/>
  <c r="C69" i="63" s="1"/>
  <c r="E69" i="63" s="1"/>
  <c r="G69" i="63" s="1"/>
  <c r="C69" i="64" s="1"/>
  <c r="E69" i="64" s="1"/>
  <c r="G69" i="64" s="1"/>
  <c r="E69" i="15"/>
  <c r="E171" i="34"/>
  <c r="G171" i="34" s="1"/>
  <c r="C171" i="35" s="1"/>
  <c r="E171" i="35" s="1"/>
  <c r="G171" i="35" s="1"/>
  <c r="C171" i="36" s="1"/>
  <c r="E171" i="36" s="1"/>
  <c r="G171" i="36" s="1"/>
  <c r="C171" i="37" s="1"/>
  <c r="E171" i="37" s="1"/>
  <c r="G171" i="37" s="1"/>
  <c r="C171" i="38" s="1"/>
  <c r="E171" i="38" s="1"/>
  <c r="G171" i="38" s="1"/>
  <c r="C171" i="39" s="1"/>
  <c r="E171" i="39" s="1"/>
  <c r="G171" i="39" s="1"/>
  <c r="C171" i="40" s="1"/>
  <c r="E171" i="40" s="1"/>
  <c r="G171" i="40" s="1"/>
  <c r="C171" i="41" s="1"/>
  <c r="E171" i="41" s="1"/>
  <c r="G171" i="41" s="1"/>
  <c r="C171" i="42" s="1"/>
  <c r="E171" i="42" s="1"/>
  <c r="G171" i="42" s="1"/>
  <c r="C171" i="43" s="1"/>
  <c r="E171" i="43" s="1"/>
  <c r="G171" i="43" s="1"/>
  <c r="C171" i="44" s="1"/>
  <c r="E171" i="44" s="1"/>
  <c r="G171" i="44" s="1"/>
  <c r="C171" i="45" s="1"/>
  <c r="E171" i="45" s="1"/>
  <c r="G171" i="45" s="1"/>
  <c r="C171" i="46" s="1"/>
  <c r="E171" i="46" s="1"/>
  <c r="G171" i="46" s="1"/>
  <c r="C171" i="47" s="1"/>
  <c r="E171" i="47" s="1"/>
  <c r="G171" i="47" s="1"/>
  <c r="C171" i="48" s="1"/>
  <c r="E171" i="48" s="1"/>
  <c r="G171" i="48" s="1"/>
  <c r="C171" i="49" s="1"/>
  <c r="E171" i="49" s="1"/>
  <c r="G171" i="49" s="1"/>
  <c r="C171" i="50" s="1"/>
  <c r="E171" i="50" s="1"/>
  <c r="G171" i="50" s="1"/>
  <c r="C171" i="51" s="1"/>
  <c r="E171" i="51" s="1"/>
  <c r="G171" i="51" s="1"/>
  <c r="C171" i="52" s="1"/>
  <c r="E171" i="52" s="1"/>
  <c r="G171" i="52" s="1"/>
  <c r="C171" i="53" s="1"/>
  <c r="E171" i="53" s="1"/>
  <c r="G171" i="53" s="1"/>
  <c r="C171" i="54" s="1"/>
  <c r="E171" i="54" s="1"/>
  <c r="G171" i="54" s="1"/>
  <c r="C171" i="55" s="1"/>
  <c r="E171" i="55" s="1"/>
  <c r="G171" i="55" s="1"/>
  <c r="C171" i="56" s="1"/>
  <c r="E171" i="56" s="1"/>
  <c r="G171" i="56" s="1"/>
  <c r="C171" i="57" s="1"/>
  <c r="E171" i="57" s="1"/>
  <c r="G171" i="57" s="1"/>
  <c r="C171" i="58" s="1"/>
  <c r="E171" i="58" s="1"/>
  <c r="G171" i="58" s="1"/>
  <c r="C171" i="59" s="1"/>
  <c r="E171" i="59" s="1"/>
  <c r="G171" i="59" s="1"/>
  <c r="C171" i="60" s="1"/>
  <c r="E171" i="60" s="1"/>
  <c r="G171" i="60" s="1"/>
  <c r="C171" i="61" s="1"/>
  <c r="E171" i="61" s="1"/>
  <c r="G171" i="61" s="1"/>
  <c r="C171" i="62" s="1"/>
  <c r="E171" i="62" s="1"/>
  <c r="G171" i="62" s="1"/>
  <c r="C171" i="63" s="1"/>
  <c r="E171" i="63" s="1"/>
  <c r="G171" i="63" s="1"/>
  <c r="C171" i="64" s="1"/>
  <c r="E171" i="64" s="1"/>
  <c r="G171" i="64" s="1"/>
  <c r="E171" i="15"/>
  <c r="E187" i="34"/>
  <c r="G187" i="34" s="1"/>
  <c r="C187" i="35" s="1"/>
  <c r="E187" i="35" s="1"/>
  <c r="G187" i="35" s="1"/>
  <c r="C187" i="36" s="1"/>
  <c r="E187" i="36" s="1"/>
  <c r="G187" i="36" s="1"/>
  <c r="C187" i="37" s="1"/>
  <c r="E187" i="37" s="1"/>
  <c r="G187" i="37" s="1"/>
  <c r="C187" i="38" s="1"/>
  <c r="E187" i="38" s="1"/>
  <c r="G187" i="38" s="1"/>
  <c r="C187" i="39" s="1"/>
  <c r="E187" i="39" s="1"/>
  <c r="G187" i="39" s="1"/>
  <c r="C187" i="40" s="1"/>
  <c r="E187" i="40" s="1"/>
  <c r="G187" i="40" s="1"/>
  <c r="C187" i="41" s="1"/>
  <c r="E187" i="41" s="1"/>
  <c r="G187" i="41" s="1"/>
  <c r="C187" i="42" s="1"/>
  <c r="E187" i="42" s="1"/>
  <c r="G187" i="42" s="1"/>
  <c r="C187" i="43" s="1"/>
  <c r="E187" i="43" s="1"/>
  <c r="G187" i="43" s="1"/>
  <c r="C187" i="44" s="1"/>
  <c r="E187" i="44" s="1"/>
  <c r="G187" i="44" s="1"/>
  <c r="C187" i="45" s="1"/>
  <c r="E187" i="45" s="1"/>
  <c r="G187" i="45" s="1"/>
  <c r="C187" i="46" s="1"/>
  <c r="E187" i="46" s="1"/>
  <c r="G187" i="46" s="1"/>
  <c r="C187" i="47" s="1"/>
  <c r="E187" i="47" s="1"/>
  <c r="G187" i="47" s="1"/>
  <c r="C187" i="48" s="1"/>
  <c r="E187" i="48" s="1"/>
  <c r="G187" i="48" s="1"/>
  <c r="C187" i="49" s="1"/>
  <c r="E187" i="49" s="1"/>
  <c r="G187" i="49" s="1"/>
  <c r="C187" i="50" s="1"/>
  <c r="E187" i="50" s="1"/>
  <c r="G187" i="50" s="1"/>
  <c r="C187" i="51" s="1"/>
  <c r="E187" i="51" s="1"/>
  <c r="G187" i="51" s="1"/>
  <c r="C187" i="52" s="1"/>
  <c r="E187" i="52" s="1"/>
  <c r="G187" i="52" s="1"/>
  <c r="C187" i="53" s="1"/>
  <c r="E187" i="53" s="1"/>
  <c r="G187" i="53" s="1"/>
  <c r="C187" i="54" s="1"/>
  <c r="E187" i="54" s="1"/>
  <c r="G187" i="54" s="1"/>
  <c r="C187" i="55" s="1"/>
  <c r="E187" i="55" s="1"/>
  <c r="G187" i="55" s="1"/>
  <c r="C187" i="56" s="1"/>
  <c r="E187" i="56" s="1"/>
  <c r="G187" i="56" s="1"/>
  <c r="C187" i="57" s="1"/>
  <c r="E187" i="57" s="1"/>
  <c r="G187" i="57" s="1"/>
  <c r="C187" i="58" s="1"/>
  <c r="E187" i="58" s="1"/>
  <c r="G187" i="58" s="1"/>
  <c r="C187" i="59" s="1"/>
  <c r="E187" i="59" s="1"/>
  <c r="G187" i="59" s="1"/>
  <c r="C187" i="60" s="1"/>
  <c r="E187" i="60" s="1"/>
  <c r="G187" i="60" s="1"/>
  <c r="C187" i="61" s="1"/>
  <c r="E187" i="61" s="1"/>
  <c r="G187" i="61" s="1"/>
  <c r="C187" i="62" s="1"/>
  <c r="E187" i="62" s="1"/>
  <c r="G187" i="62" s="1"/>
  <c r="C187" i="63" s="1"/>
  <c r="E187" i="63" s="1"/>
  <c r="G187" i="63" s="1"/>
  <c r="C187" i="64" s="1"/>
  <c r="E187" i="64" s="1"/>
  <c r="G187" i="64" s="1"/>
  <c r="E187" i="15"/>
  <c r="E195" i="34"/>
  <c r="G195" i="34" s="1"/>
  <c r="C195" i="35" s="1"/>
  <c r="E195" i="35" s="1"/>
  <c r="G195" i="35" s="1"/>
  <c r="C195" i="36" s="1"/>
  <c r="E195" i="36" s="1"/>
  <c r="G195" i="36" s="1"/>
  <c r="C195" i="37" s="1"/>
  <c r="E195" i="37" s="1"/>
  <c r="G195" i="37" s="1"/>
  <c r="C195" i="38" s="1"/>
  <c r="E195" i="38" s="1"/>
  <c r="G195" i="38" s="1"/>
  <c r="C195" i="39" s="1"/>
  <c r="E195" i="39" s="1"/>
  <c r="G195" i="39" s="1"/>
  <c r="C195" i="40" s="1"/>
  <c r="E195" i="40" s="1"/>
  <c r="G195" i="40" s="1"/>
  <c r="C195" i="41" s="1"/>
  <c r="E195" i="41" s="1"/>
  <c r="G195" i="41" s="1"/>
  <c r="C195" i="42" s="1"/>
  <c r="E195" i="42" s="1"/>
  <c r="G195" i="42" s="1"/>
  <c r="C195" i="43" s="1"/>
  <c r="E195" i="43" s="1"/>
  <c r="G195" i="43" s="1"/>
  <c r="C195" i="44" s="1"/>
  <c r="E195" i="44" s="1"/>
  <c r="G195" i="44" s="1"/>
  <c r="C195" i="45" s="1"/>
  <c r="E195" i="45" s="1"/>
  <c r="G195" i="45" s="1"/>
  <c r="C195" i="46" s="1"/>
  <c r="E195" i="46" s="1"/>
  <c r="G195" i="46" s="1"/>
  <c r="C195" i="47" s="1"/>
  <c r="E195" i="47" s="1"/>
  <c r="G195" i="47" s="1"/>
  <c r="C195" i="48" s="1"/>
  <c r="E195" i="48" s="1"/>
  <c r="G195" i="48" s="1"/>
  <c r="C195" i="49" s="1"/>
  <c r="E195" i="49" s="1"/>
  <c r="G195" i="49" s="1"/>
  <c r="C195" i="50" s="1"/>
  <c r="E195" i="50" s="1"/>
  <c r="G195" i="50" s="1"/>
  <c r="C195" i="51" s="1"/>
  <c r="E195" i="51" s="1"/>
  <c r="G195" i="51" s="1"/>
  <c r="C195" i="52" s="1"/>
  <c r="E195" i="52" s="1"/>
  <c r="G195" i="52" s="1"/>
  <c r="C195" i="53" s="1"/>
  <c r="E195" i="53" s="1"/>
  <c r="G195" i="53" s="1"/>
  <c r="C195" i="54" s="1"/>
  <c r="E195" i="54" s="1"/>
  <c r="G195" i="54" s="1"/>
  <c r="C195" i="55" s="1"/>
  <c r="E195" i="55" s="1"/>
  <c r="G195" i="55" s="1"/>
  <c r="C195" i="56" s="1"/>
  <c r="E195" i="56" s="1"/>
  <c r="G195" i="56" s="1"/>
  <c r="C195" i="57" s="1"/>
  <c r="E195" i="57" s="1"/>
  <c r="G195" i="57" s="1"/>
  <c r="C195" i="58" s="1"/>
  <c r="E195" i="58" s="1"/>
  <c r="G195" i="58" s="1"/>
  <c r="C195" i="59" s="1"/>
  <c r="E195" i="59" s="1"/>
  <c r="G195" i="59" s="1"/>
  <c r="C195" i="60" s="1"/>
  <c r="E195" i="60" s="1"/>
  <c r="G195" i="60" s="1"/>
  <c r="C195" i="61" s="1"/>
  <c r="E195" i="61" s="1"/>
  <c r="G195" i="61" s="1"/>
  <c r="C195" i="62" s="1"/>
  <c r="E195" i="62" s="1"/>
  <c r="G195" i="62" s="1"/>
  <c r="C195" i="63" s="1"/>
  <c r="E195" i="63" s="1"/>
  <c r="G195" i="63" s="1"/>
  <c r="C195" i="64" s="1"/>
  <c r="E195" i="64" s="1"/>
  <c r="G195" i="64" s="1"/>
  <c r="E195" i="15"/>
  <c r="E7" i="15"/>
  <c r="E5" i="15"/>
  <c r="E25" i="15"/>
  <c r="E60" i="34"/>
  <c r="G60" i="34" s="1"/>
  <c r="C60" i="35" s="1"/>
  <c r="E60" i="35" s="1"/>
  <c r="G60" i="35" s="1"/>
  <c r="C60" i="36" s="1"/>
  <c r="E60" i="36" s="1"/>
  <c r="G60" i="36" s="1"/>
  <c r="C60" i="37" s="1"/>
  <c r="E60" i="37" s="1"/>
  <c r="G60" i="37" s="1"/>
  <c r="C60" i="38" s="1"/>
  <c r="E60" i="38" s="1"/>
  <c r="G60" i="38" s="1"/>
  <c r="C60" i="39" s="1"/>
  <c r="E60" i="39" s="1"/>
  <c r="G60" i="39" s="1"/>
  <c r="C60" i="40" s="1"/>
  <c r="E60" i="40" s="1"/>
  <c r="G60" i="40" s="1"/>
  <c r="C60" i="41" s="1"/>
  <c r="E60" i="41" s="1"/>
  <c r="G60" i="41" s="1"/>
  <c r="C60" i="42" s="1"/>
  <c r="E60" i="42" s="1"/>
  <c r="G60" i="42" s="1"/>
  <c r="C60" i="43" s="1"/>
  <c r="E60" i="43" s="1"/>
  <c r="G60" i="43" s="1"/>
  <c r="C60" i="44" s="1"/>
  <c r="E60" i="44" s="1"/>
  <c r="G60" i="44" s="1"/>
  <c r="C60" i="45" s="1"/>
  <c r="E60" i="45" s="1"/>
  <c r="G60" i="45" s="1"/>
  <c r="C60" i="46" s="1"/>
  <c r="E60" i="46" s="1"/>
  <c r="G60" i="46" s="1"/>
  <c r="C60" i="47" s="1"/>
  <c r="E60" i="47" s="1"/>
  <c r="G60" i="47" s="1"/>
  <c r="C60" i="48" s="1"/>
  <c r="E60" i="48" s="1"/>
  <c r="G60" i="48" s="1"/>
  <c r="C60" i="49" s="1"/>
  <c r="E60" i="49" s="1"/>
  <c r="G60" i="49" s="1"/>
  <c r="C60" i="50" s="1"/>
  <c r="E60" i="50" s="1"/>
  <c r="G60" i="50" s="1"/>
  <c r="C60" i="51" s="1"/>
  <c r="E60" i="51" s="1"/>
  <c r="G60" i="51" s="1"/>
  <c r="C60" i="52" s="1"/>
  <c r="E60" i="52" s="1"/>
  <c r="G60" i="52" s="1"/>
  <c r="C60" i="53" s="1"/>
  <c r="E60" i="53" s="1"/>
  <c r="G60" i="53" s="1"/>
  <c r="C60" i="54" s="1"/>
  <c r="E60" i="54" s="1"/>
  <c r="G60" i="54" s="1"/>
  <c r="C60" i="55" s="1"/>
  <c r="E60" i="55" s="1"/>
  <c r="G60" i="55" s="1"/>
  <c r="C60" i="56" s="1"/>
  <c r="E60" i="56" s="1"/>
  <c r="G60" i="56" s="1"/>
  <c r="C60" i="57" s="1"/>
  <c r="E60" i="57" s="1"/>
  <c r="G60" i="57" s="1"/>
  <c r="C60" i="58" s="1"/>
  <c r="E60" i="58" s="1"/>
  <c r="G60" i="58" s="1"/>
  <c r="C60" i="59" s="1"/>
  <c r="E60" i="59" s="1"/>
  <c r="G60" i="59" s="1"/>
  <c r="C60" i="60" s="1"/>
  <c r="E60" i="60" s="1"/>
  <c r="G60" i="60" s="1"/>
  <c r="C60" i="61" s="1"/>
  <c r="E60" i="61" s="1"/>
  <c r="G60" i="61" s="1"/>
  <c r="C60" i="62" s="1"/>
  <c r="E60" i="62" s="1"/>
  <c r="G60" i="62" s="1"/>
  <c r="C60" i="63" s="1"/>
  <c r="E60" i="63" s="1"/>
  <c r="G60" i="63" s="1"/>
  <c r="C60" i="64" s="1"/>
  <c r="E60" i="64" s="1"/>
  <c r="G60" i="64" s="1"/>
  <c r="E60" i="15"/>
  <c r="E184" i="15"/>
  <c r="E95" i="34"/>
  <c r="G95" i="34" s="1"/>
  <c r="C95" i="35" s="1"/>
  <c r="E95" i="35" s="1"/>
  <c r="G95" i="35" s="1"/>
  <c r="C95" i="36" s="1"/>
  <c r="E95" i="36" s="1"/>
  <c r="G95" i="36" s="1"/>
  <c r="C95" i="37" s="1"/>
  <c r="E95" i="37" s="1"/>
  <c r="G95" i="37" s="1"/>
  <c r="C95" i="38" s="1"/>
  <c r="E95" i="38" s="1"/>
  <c r="G95" i="38" s="1"/>
  <c r="C95" i="39" s="1"/>
  <c r="E95" i="39" s="1"/>
  <c r="G95" i="39" s="1"/>
  <c r="C95" i="40" s="1"/>
  <c r="E95" i="40" s="1"/>
  <c r="G95" i="40" s="1"/>
  <c r="C95" i="41" s="1"/>
  <c r="E95" i="41" s="1"/>
  <c r="G95" i="41" s="1"/>
  <c r="C95" i="42" s="1"/>
  <c r="E95" i="42" s="1"/>
  <c r="G95" i="42" s="1"/>
  <c r="C95" i="43" s="1"/>
  <c r="E95" i="43" s="1"/>
  <c r="G95" i="43" s="1"/>
  <c r="C95" i="44" s="1"/>
  <c r="E95" i="44" s="1"/>
  <c r="G95" i="44" s="1"/>
  <c r="C95" i="45" s="1"/>
  <c r="E95" i="45" s="1"/>
  <c r="G95" i="45" s="1"/>
  <c r="C95" i="46" s="1"/>
  <c r="E95" i="46" s="1"/>
  <c r="G95" i="46" s="1"/>
  <c r="C95" i="47" s="1"/>
  <c r="E95" i="47" s="1"/>
  <c r="G95" i="47" s="1"/>
  <c r="C95" i="48" s="1"/>
  <c r="E95" i="48" s="1"/>
  <c r="G95" i="48" s="1"/>
  <c r="C95" i="49" s="1"/>
  <c r="E95" i="49" s="1"/>
  <c r="G95" i="49" s="1"/>
  <c r="C95" i="50" s="1"/>
  <c r="E95" i="50" s="1"/>
  <c r="G95" i="50" s="1"/>
  <c r="C95" i="51" s="1"/>
  <c r="E95" i="51" s="1"/>
  <c r="G95" i="51" s="1"/>
  <c r="C95" i="52" s="1"/>
  <c r="E95" i="52" s="1"/>
  <c r="G95" i="52" s="1"/>
  <c r="C95" i="53" s="1"/>
  <c r="E95" i="53" s="1"/>
  <c r="G95" i="53" s="1"/>
  <c r="C95" i="54" s="1"/>
  <c r="E95" i="54" s="1"/>
  <c r="G95" i="54" s="1"/>
  <c r="C95" i="55" s="1"/>
  <c r="E95" i="55" s="1"/>
  <c r="G95" i="55" s="1"/>
  <c r="C95" i="56" s="1"/>
  <c r="E95" i="56" s="1"/>
  <c r="G95" i="56" s="1"/>
  <c r="C95" i="57" s="1"/>
  <c r="E95" i="57" s="1"/>
  <c r="G95" i="57" s="1"/>
  <c r="C95" i="58" s="1"/>
  <c r="E95" i="58" s="1"/>
  <c r="G95" i="58" s="1"/>
  <c r="C95" i="59" s="1"/>
  <c r="E95" i="59" s="1"/>
  <c r="G95" i="59" s="1"/>
  <c r="C95" i="60" s="1"/>
  <c r="E95" i="60" s="1"/>
  <c r="G95" i="60" s="1"/>
  <c r="C95" i="61" s="1"/>
  <c r="E95" i="61" s="1"/>
  <c r="G95" i="61" s="1"/>
  <c r="C95" i="62" s="1"/>
  <c r="E95" i="62" s="1"/>
  <c r="G95" i="62" s="1"/>
  <c r="C95" i="63" s="1"/>
  <c r="E95" i="63" s="1"/>
  <c r="G95" i="63" s="1"/>
  <c r="C95" i="64" s="1"/>
  <c r="E95" i="64" s="1"/>
  <c r="G95" i="64" s="1"/>
  <c r="E95" i="15"/>
  <c r="E151" i="34"/>
  <c r="G151" i="34" s="1"/>
  <c r="C151" i="35" s="1"/>
  <c r="E151" i="35" s="1"/>
  <c r="G151" i="35" s="1"/>
  <c r="C151" i="36" s="1"/>
  <c r="E151" i="36" s="1"/>
  <c r="G151" i="36" s="1"/>
  <c r="C151" i="37" s="1"/>
  <c r="E151" i="37" s="1"/>
  <c r="G151" i="37" s="1"/>
  <c r="C151" i="38" s="1"/>
  <c r="E151" i="38" s="1"/>
  <c r="G151" i="38" s="1"/>
  <c r="C151" i="39" s="1"/>
  <c r="E151" i="39" s="1"/>
  <c r="G151" i="39" s="1"/>
  <c r="C151" i="40" s="1"/>
  <c r="E151" i="40" s="1"/>
  <c r="G151" i="40" s="1"/>
  <c r="C151" i="41" s="1"/>
  <c r="E151" i="41" s="1"/>
  <c r="G151" i="41" s="1"/>
  <c r="C151" i="42" s="1"/>
  <c r="E151" i="42" s="1"/>
  <c r="G151" i="42" s="1"/>
  <c r="C151" i="43" s="1"/>
  <c r="E151" i="43" s="1"/>
  <c r="G151" i="43" s="1"/>
  <c r="C151" i="44" s="1"/>
  <c r="E151" i="44" s="1"/>
  <c r="G151" i="44" s="1"/>
  <c r="C151" i="45" s="1"/>
  <c r="E151" i="45" s="1"/>
  <c r="G151" i="45" s="1"/>
  <c r="C151" i="46" s="1"/>
  <c r="E151" i="46" s="1"/>
  <c r="G151" i="46" s="1"/>
  <c r="C151" i="47" s="1"/>
  <c r="E151" i="47" s="1"/>
  <c r="G151" i="47" s="1"/>
  <c r="C151" i="48" s="1"/>
  <c r="E151" i="48" s="1"/>
  <c r="G151" i="48" s="1"/>
  <c r="C151" i="49" s="1"/>
  <c r="E151" i="49" s="1"/>
  <c r="G151" i="49" s="1"/>
  <c r="C151" i="50" s="1"/>
  <c r="E151" i="50" s="1"/>
  <c r="G151" i="50" s="1"/>
  <c r="C151" i="51" s="1"/>
  <c r="E151" i="51" s="1"/>
  <c r="G151" i="51" s="1"/>
  <c r="C151" i="52" s="1"/>
  <c r="E151" i="52" s="1"/>
  <c r="G151" i="52" s="1"/>
  <c r="C151" i="53" s="1"/>
  <c r="E151" i="53" s="1"/>
  <c r="G151" i="53" s="1"/>
  <c r="C151" i="54" s="1"/>
  <c r="E151" i="54" s="1"/>
  <c r="G151" i="54" s="1"/>
  <c r="C151" i="55" s="1"/>
  <c r="E151" i="55" s="1"/>
  <c r="G151" i="55" s="1"/>
  <c r="C151" i="56" s="1"/>
  <c r="E151" i="56" s="1"/>
  <c r="G151" i="56" s="1"/>
  <c r="C151" i="57" s="1"/>
  <c r="E151" i="57" s="1"/>
  <c r="G151" i="57" s="1"/>
  <c r="C151" i="58" s="1"/>
  <c r="E151" i="58" s="1"/>
  <c r="G151" i="58" s="1"/>
  <c r="C151" i="59" s="1"/>
  <c r="E151" i="59" s="1"/>
  <c r="G151" i="59" s="1"/>
  <c r="C151" i="60" s="1"/>
  <c r="E151" i="60" s="1"/>
  <c r="G151" i="60" s="1"/>
  <c r="C151" i="61" s="1"/>
  <c r="E151" i="61" s="1"/>
  <c r="G151" i="61" s="1"/>
  <c r="C151" i="62" s="1"/>
  <c r="E151" i="62" s="1"/>
  <c r="G151" i="62" s="1"/>
  <c r="C151" i="63" s="1"/>
  <c r="E151" i="63" s="1"/>
  <c r="G151" i="63" s="1"/>
  <c r="C151" i="64" s="1"/>
  <c r="E151" i="64" s="1"/>
  <c r="G151" i="64" s="1"/>
  <c r="E151" i="15"/>
  <c r="E182" i="15"/>
  <c r="E194" i="34"/>
  <c r="G194" i="34" s="1"/>
  <c r="C194" i="35" s="1"/>
  <c r="E194" i="35" s="1"/>
  <c r="G194" i="35" s="1"/>
  <c r="C194" i="36" s="1"/>
  <c r="E194" i="36" s="1"/>
  <c r="G194" i="36" s="1"/>
  <c r="C194" i="37" s="1"/>
  <c r="E194" i="37" s="1"/>
  <c r="G194" i="37" s="1"/>
  <c r="C194" i="38" s="1"/>
  <c r="E194" i="38" s="1"/>
  <c r="G194" i="38" s="1"/>
  <c r="C194" i="39" s="1"/>
  <c r="E194" i="39" s="1"/>
  <c r="G194" i="39" s="1"/>
  <c r="C194" i="40" s="1"/>
  <c r="E194" i="40" s="1"/>
  <c r="G194" i="40" s="1"/>
  <c r="C194" i="41" s="1"/>
  <c r="E194" i="41" s="1"/>
  <c r="G194" i="41" s="1"/>
  <c r="C194" i="42" s="1"/>
  <c r="E194" i="42" s="1"/>
  <c r="G194" i="42" s="1"/>
  <c r="C194" i="43" s="1"/>
  <c r="E194" i="43" s="1"/>
  <c r="G194" i="43" s="1"/>
  <c r="C194" i="44" s="1"/>
  <c r="E194" i="44" s="1"/>
  <c r="G194" i="44" s="1"/>
  <c r="C194" i="45" s="1"/>
  <c r="E194" i="45" s="1"/>
  <c r="G194" i="45" s="1"/>
  <c r="C194" i="46" s="1"/>
  <c r="E194" i="46" s="1"/>
  <c r="G194" i="46" s="1"/>
  <c r="C194" i="47" s="1"/>
  <c r="E194" i="47" s="1"/>
  <c r="G194" i="47" s="1"/>
  <c r="C194" i="48" s="1"/>
  <c r="E194" i="48" s="1"/>
  <c r="G194" i="48" s="1"/>
  <c r="C194" i="49" s="1"/>
  <c r="E194" i="49" s="1"/>
  <c r="G194" i="49" s="1"/>
  <c r="C194" i="50" s="1"/>
  <c r="E194" i="50" s="1"/>
  <c r="G194" i="50" s="1"/>
  <c r="C194" i="51" s="1"/>
  <c r="E194" i="51" s="1"/>
  <c r="G194" i="51" s="1"/>
  <c r="C194" i="52" s="1"/>
  <c r="E194" i="52" s="1"/>
  <c r="G194" i="52" s="1"/>
  <c r="C194" i="53" s="1"/>
  <c r="E194" i="53" s="1"/>
  <c r="G194" i="53" s="1"/>
  <c r="C194" i="54" s="1"/>
  <c r="E194" i="54" s="1"/>
  <c r="G194" i="54" s="1"/>
  <c r="C194" i="55" s="1"/>
  <c r="E194" i="55" s="1"/>
  <c r="G194" i="55" s="1"/>
  <c r="C194" i="56" s="1"/>
  <c r="E194" i="56" s="1"/>
  <c r="G194" i="56" s="1"/>
  <c r="C194" i="57" s="1"/>
  <c r="E194" i="57" s="1"/>
  <c r="G194" i="57" s="1"/>
  <c r="C194" i="58" s="1"/>
  <c r="E194" i="58" s="1"/>
  <c r="G194" i="58" s="1"/>
  <c r="C194" i="59" s="1"/>
  <c r="E194" i="59" s="1"/>
  <c r="G194" i="59" s="1"/>
  <c r="C194" i="60" s="1"/>
  <c r="E194" i="60" s="1"/>
  <c r="G194" i="60" s="1"/>
  <c r="C194" i="61" s="1"/>
  <c r="E194" i="61" s="1"/>
  <c r="G194" i="61" s="1"/>
  <c r="C194" i="62" s="1"/>
  <c r="E194" i="62" s="1"/>
  <c r="G194" i="62" s="1"/>
  <c r="C194" i="63" s="1"/>
  <c r="E194" i="63" s="1"/>
  <c r="G194" i="63" s="1"/>
  <c r="C194" i="64" s="1"/>
  <c r="E194" i="64" s="1"/>
  <c r="G194" i="64" s="1"/>
  <c r="E194" i="15"/>
  <c r="E21" i="34"/>
  <c r="G21" i="34" s="1"/>
  <c r="C21" i="35" s="1"/>
  <c r="E21" i="35" s="1"/>
  <c r="G21" i="35" s="1"/>
  <c r="C21" i="36" s="1"/>
  <c r="E21" i="36" s="1"/>
  <c r="G21" i="36" s="1"/>
  <c r="C21" i="37" s="1"/>
  <c r="E21" i="37" s="1"/>
  <c r="G21" i="37" s="1"/>
  <c r="C21" i="38" s="1"/>
  <c r="E21" i="38" s="1"/>
  <c r="G21" i="38" s="1"/>
  <c r="C21" i="39" s="1"/>
  <c r="E21" i="39" s="1"/>
  <c r="G21" i="39" s="1"/>
  <c r="C21" i="40" s="1"/>
  <c r="E21" i="40" s="1"/>
  <c r="G21" i="40" s="1"/>
  <c r="C21" i="41" s="1"/>
  <c r="E21" i="41" s="1"/>
  <c r="G21" i="41" s="1"/>
  <c r="C21" i="42" s="1"/>
  <c r="E21" i="42" s="1"/>
  <c r="G21" i="42" s="1"/>
  <c r="C21" i="43" s="1"/>
  <c r="E21" i="43" s="1"/>
  <c r="G21" i="43" s="1"/>
  <c r="C21" i="44" s="1"/>
  <c r="E21" i="44" s="1"/>
  <c r="G21" i="44" s="1"/>
  <c r="C21" i="45" s="1"/>
  <c r="E21" i="45" s="1"/>
  <c r="G21" i="45" s="1"/>
  <c r="C21" i="46" s="1"/>
  <c r="E21" i="46" s="1"/>
  <c r="G21" i="46" s="1"/>
  <c r="C21" i="47" s="1"/>
  <c r="E21" i="47" s="1"/>
  <c r="G21" i="47" s="1"/>
  <c r="C21" i="48" s="1"/>
  <c r="E21" i="48" s="1"/>
  <c r="G21" i="48" s="1"/>
  <c r="C21" i="49" s="1"/>
  <c r="E21" i="49" s="1"/>
  <c r="G21" i="49" s="1"/>
  <c r="C21" i="50" s="1"/>
  <c r="E21" i="50" s="1"/>
  <c r="G21" i="50" s="1"/>
  <c r="C21" i="51" s="1"/>
  <c r="E21" i="51" s="1"/>
  <c r="G21" i="51" s="1"/>
  <c r="C21" i="52" s="1"/>
  <c r="E21" i="52" s="1"/>
  <c r="G21" i="52" s="1"/>
  <c r="C21" i="53" s="1"/>
  <c r="E21" i="53" s="1"/>
  <c r="G21" i="53" s="1"/>
  <c r="C21" i="54" s="1"/>
  <c r="E21" i="54" s="1"/>
  <c r="G21" i="54" s="1"/>
  <c r="C21" i="55" s="1"/>
  <c r="E21" i="55" s="1"/>
  <c r="G21" i="55" s="1"/>
  <c r="C21" i="56" s="1"/>
  <c r="E21" i="56" s="1"/>
  <c r="G21" i="56" s="1"/>
  <c r="C21" i="57" s="1"/>
  <c r="E21" i="57" s="1"/>
  <c r="G21" i="57" s="1"/>
  <c r="C21" i="58" s="1"/>
  <c r="E21" i="58" s="1"/>
  <c r="G21" i="58" s="1"/>
  <c r="C21" i="59" s="1"/>
  <c r="E21" i="59" s="1"/>
  <c r="G21" i="59" s="1"/>
  <c r="C21" i="60" s="1"/>
  <c r="E21" i="60" s="1"/>
  <c r="G21" i="60" s="1"/>
  <c r="C21" i="61" s="1"/>
  <c r="E21" i="61" s="1"/>
  <c r="G21" i="61" s="1"/>
  <c r="C21" i="62" s="1"/>
  <c r="E21" i="62" s="1"/>
  <c r="G21" i="62" s="1"/>
  <c r="C21" i="63" s="1"/>
  <c r="E21" i="63" s="1"/>
  <c r="G21" i="63" s="1"/>
  <c r="C21" i="64" s="1"/>
  <c r="E21" i="64" s="1"/>
  <c r="G21" i="64" s="1"/>
  <c r="E21" i="15"/>
  <c r="E40" i="34"/>
  <c r="G40" i="34" s="1"/>
  <c r="C40" i="35" s="1"/>
  <c r="E40" i="35" s="1"/>
  <c r="G40" i="35" s="1"/>
  <c r="C40" i="36" s="1"/>
  <c r="E40" i="36" s="1"/>
  <c r="G40" i="36" s="1"/>
  <c r="C40" i="37" s="1"/>
  <c r="E40" i="37" s="1"/>
  <c r="G40" i="37" s="1"/>
  <c r="C40" i="38" s="1"/>
  <c r="E40" i="38" s="1"/>
  <c r="G40" i="38" s="1"/>
  <c r="C40" i="39" s="1"/>
  <c r="E40" i="39" s="1"/>
  <c r="G40" i="39" s="1"/>
  <c r="C40" i="40" s="1"/>
  <c r="E40" i="40" s="1"/>
  <c r="G40" i="40" s="1"/>
  <c r="C40" i="41" s="1"/>
  <c r="E40" i="41" s="1"/>
  <c r="G40" i="41" s="1"/>
  <c r="C40" i="42" s="1"/>
  <c r="E40" i="42" s="1"/>
  <c r="G40" i="42" s="1"/>
  <c r="C40" i="43" s="1"/>
  <c r="E40" i="43" s="1"/>
  <c r="G40" i="43" s="1"/>
  <c r="C40" i="44" s="1"/>
  <c r="E40" i="44" s="1"/>
  <c r="G40" i="44" s="1"/>
  <c r="C40" i="45" s="1"/>
  <c r="E40" i="45" s="1"/>
  <c r="G40" i="45" s="1"/>
  <c r="C40" i="46" s="1"/>
  <c r="E40" i="46" s="1"/>
  <c r="G40" i="46" s="1"/>
  <c r="C40" i="47" s="1"/>
  <c r="E40" i="47" s="1"/>
  <c r="G40" i="47" s="1"/>
  <c r="C40" i="48" s="1"/>
  <c r="E40" i="48" s="1"/>
  <c r="G40" i="48" s="1"/>
  <c r="C40" i="49" s="1"/>
  <c r="E40" i="49" s="1"/>
  <c r="G40" i="49" s="1"/>
  <c r="C40" i="50" s="1"/>
  <c r="E40" i="50" s="1"/>
  <c r="G40" i="50" s="1"/>
  <c r="C40" i="51" s="1"/>
  <c r="E40" i="51" s="1"/>
  <c r="G40" i="51" s="1"/>
  <c r="C40" i="52" s="1"/>
  <c r="E40" i="52" s="1"/>
  <c r="G40" i="52" s="1"/>
  <c r="C40" i="53" s="1"/>
  <c r="E40" i="53" s="1"/>
  <c r="G40" i="53" s="1"/>
  <c r="C40" i="54" s="1"/>
  <c r="E40" i="54" s="1"/>
  <c r="G40" i="54" s="1"/>
  <c r="C40" i="55" s="1"/>
  <c r="E40" i="55" s="1"/>
  <c r="G40" i="55" s="1"/>
  <c r="C40" i="56" s="1"/>
  <c r="E40" i="56" s="1"/>
  <c r="G40" i="56" s="1"/>
  <c r="C40" i="57" s="1"/>
  <c r="E40" i="57" s="1"/>
  <c r="G40" i="57" s="1"/>
  <c r="C40" i="58" s="1"/>
  <c r="E40" i="58" s="1"/>
  <c r="G40" i="58" s="1"/>
  <c r="C40" i="59" s="1"/>
  <c r="E40" i="59" s="1"/>
  <c r="G40" i="59" s="1"/>
  <c r="C40" i="60" s="1"/>
  <c r="E40" i="60" s="1"/>
  <c r="G40" i="60" s="1"/>
  <c r="C40" i="61" s="1"/>
  <c r="E40" i="61" s="1"/>
  <c r="G40" i="61" s="1"/>
  <c r="C40" i="62" s="1"/>
  <c r="E40" i="62" s="1"/>
  <c r="G40" i="62" s="1"/>
  <c r="C40" i="63" s="1"/>
  <c r="E40" i="63" s="1"/>
  <c r="G40" i="63" s="1"/>
  <c r="C40" i="64" s="1"/>
  <c r="E40" i="64" s="1"/>
  <c r="G40" i="64" s="1"/>
  <c r="E40" i="15"/>
  <c r="E42" i="34"/>
  <c r="G42" i="34" s="1"/>
  <c r="C42" i="35" s="1"/>
  <c r="E42" i="35" s="1"/>
  <c r="G42" i="35" s="1"/>
  <c r="C42" i="36" s="1"/>
  <c r="E42" i="36" s="1"/>
  <c r="G42" i="36" s="1"/>
  <c r="C42" i="37" s="1"/>
  <c r="E42" i="37" s="1"/>
  <c r="G42" i="37" s="1"/>
  <c r="C42" i="38" s="1"/>
  <c r="E42" i="38" s="1"/>
  <c r="G42" i="38" s="1"/>
  <c r="C42" i="39" s="1"/>
  <c r="E42" i="39" s="1"/>
  <c r="G42" i="39" s="1"/>
  <c r="C42" i="40" s="1"/>
  <c r="E42" i="40" s="1"/>
  <c r="G42" i="40" s="1"/>
  <c r="C42" i="41" s="1"/>
  <c r="E42" i="41" s="1"/>
  <c r="G42" i="41" s="1"/>
  <c r="C42" i="42" s="1"/>
  <c r="E42" i="42" s="1"/>
  <c r="G42" i="42" s="1"/>
  <c r="C42" i="43" s="1"/>
  <c r="E42" i="43" s="1"/>
  <c r="G42" i="43" s="1"/>
  <c r="C42" i="44" s="1"/>
  <c r="E42" i="44" s="1"/>
  <c r="G42" i="44" s="1"/>
  <c r="C42" i="45" s="1"/>
  <c r="E42" i="45" s="1"/>
  <c r="G42" i="45" s="1"/>
  <c r="C42" i="46" s="1"/>
  <c r="E42" i="46" s="1"/>
  <c r="G42" i="46" s="1"/>
  <c r="C42" i="47" s="1"/>
  <c r="E42" i="47" s="1"/>
  <c r="G42" i="47" s="1"/>
  <c r="C42" i="48" s="1"/>
  <c r="E42" i="48" s="1"/>
  <c r="G42" i="48" s="1"/>
  <c r="C42" i="49" s="1"/>
  <c r="E42" i="49" s="1"/>
  <c r="G42" i="49" s="1"/>
  <c r="C42" i="50" s="1"/>
  <c r="E42" i="50" s="1"/>
  <c r="G42" i="50" s="1"/>
  <c r="C42" i="51" s="1"/>
  <c r="E42" i="51" s="1"/>
  <c r="G42" i="51" s="1"/>
  <c r="C42" i="52" s="1"/>
  <c r="E42" i="52" s="1"/>
  <c r="G42" i="52" s="1"/>
  <c r="C42" i="53" s="1"/>
  <c r="E42" i="53" s="1"/>
  <c r="G42" i="53" s="1"/>
  <c r="C42" i="54" s="1"/>
  <c r="E42" i="54" s="1"/>
  <c r="G42" i="54" s="1"/>
  <c r="C42" i="55" s="1"/>
  <c r="E42" i="55" s="1"/>
  <c r="G42" i="55" s="1"/>
  <c r="C42" i="56" s="1"/>
  <c r="E42" i="56" s="1"/>
  <c r="G42" i="56" s="1"/>
  <c r="C42" i="57" s="1"/>
  <c r="E42" i="57" s="1"/>
  <c r="G42" i="57" s="1"/>
  <c r="C42" i="58" s="1"/>
  <c r="E42" i="58" s="1"/>
  <c r="G42" i="58" s="1"/>
  <c r="C42" i="59" s="1"/>
  <c r="E42" i="59" s="1"/>
  <c r="G42" i="59" s="1"/>
  <c r="C42" i="60" s="1"/>
  <c r="E42" i="60" s="1"/>
  <c r="G42" i="60" s="1"/>
  <c r="C42" i="61" s="1"/>
  <c r="E42" i="61" s="1"/>
  <c r="G42" i="61" s="1"/>
  <c r="C42" i="62" s="1"/>
  <c r="E42" i="62" s="1"/>
  <c r="G42" i="62" s="1"/>
  <c r="C42" i="63" s="1"/>
  <c r="E42" i="63" s="1"/>
  <c r="G42" i="63" s="1"/>
  <c r="C42" i="64" s="1"/>
  <c r="E42" i="64" s="1"/>
  <c r="G42" i="64" s="1"/>
  <c r="E42" i="15"/>
  <c r="E47" i="15"/>
  <c r="E74" i="34"/>
  <c r="G74" i="34" s="1"/>
  <c r="C74" i="35" s="1"/>
  <c r="E74" i="35" s="1"/>
  <c r="G74" i="35" s="1"/>
  <c r="C74" i="36" s="1"/>
  <c r="E74" i="36" s="1"/>
  <c r="G74" i="36" s="1"/>
  <c r="C74" i="37" s="1"/>
  <c r="E74" i="37" s="1"/>
  <c r="G74" i="37" s="1"/>
  <c r="C74" i="38" s="1"/>
  <c r="E74" i="38" s="1"/>
  <c r="G74" i="38" s="1"/>
  <c r="C74" i="39" s="1"/>
  <c r="E74" i="39" s="1"/>
  <c r="G74" i="39" s="1"/>
  <c r="C74" i="40" s="1"/>
  <c r="E74" i="40" s="1"/>
  <c r="G74" i="40" s="1"/>
  <c r="C74" i="41" s="1"/>
  <c r="E74" i="41" s="1"/>
  <c r="G74" i="41" s="1"/>
  <c r="C74" i="42" s="1"/>
  <c r="E74" i="42" s="1"/>
  <c r="G74" i="42" s="1"/>
  <c r="C74" i="43" s="1"/>
  <c r="E74" i="43" s="1"/>
  <c r="G74" i="43" s="1"/>
  <c r="C74" i="44" s="1"/>
  <c r="E74" i="44" s="1"/>
  <c r="G74" i="44" s="1"/>
  <c r="C74" i="45" s="1"/>
  <c r="E74" i="45" s="1"/>
  <c r="G74" i="45" s="1"/>
  <c r="C74" i="46" s="1"/>
  <c r="E74" i="46" s="1"/>
  <c r="G74" i="46" s="1"/>
  <c r="C74" i="47" s="1"/>
  <c r="E74" i="47" s="1"/>
  <c r="G74" i="47" s="1"/>
  <c r="C74" i="48" s="1"/>
  <c r="E74" i="48" s="1"/>
  <c r="G74" i="48" s="1"/>
  <c r="C74" i="49" s="1"/>
  <c r="E74" i="49" s="1"/>
  <c r="G74" i="49" s="1"/>
  <c r="C74" i="50" s="1"/>
  <c r="E74" i="50" s="1"/>
  <c r="G74" i="50" s="1"/>
  <c r="C74" i="51" s="1"/>
  <c r="E74" i="51" s="1"/>
  <c r="G74" i="51" s="1"/>
  <c r="C74" i="52" s="1"/>
  <c r="E74" i="52" s="1"/>
  <c r="G74" i="52" s="1"/>
  <c r="C74" i="53" s="1"/>
  <c r="E74" i="53" s="1"/>
  <c r="G74" i="53" s="1"/>
  <c r="C74" i="54" s="1"/>
  <c r="E74" i="54" s="1"/>
  <c r="G74" i="54" s="1"/>
  <c r="C74" i="55" s="1"/>
  <c r="E74" i="55" s="1"/>
  <c r="G74" i="55" s="1"/>
  <c r="C74" i="56" s="1"/>
  <c r="E74" i="56" s="1"/>
  <c r="G74" i="56" s="1"/>
  <c r="C74" i="57" s="1"/>
  <c r="E74" i="57" s="1"/>
  <c r="G74" i="57" s="1"/>
  <c r="C74" i="58" s="1"/>
  <c r="E74" i="58" s="1"/>
  <c r="G74" i="58" s="1"/>
  <c r="C74" i="59" s="1"/>
  <c r="E74" i="59" s="1"/>
  <c r="G74" i="59" s="1"/>
  <c r="C74" i="60" s="1"/>
  <c r="E74" i="60" s="1"/>
  <c r="G74" i="60" s="1"/>
  <c r="C74" i="61" s="1"/>
  <c r="E74" i="61" s="1"/>
  <c r="G74" i="61" s="1"/>
  <c r="C74" i="62" s="1"/>
  <c r="E74" i="62" s="1"/>
  <c r="G74" i="62" s="1"/>
  <c r="C74" i="63" s="1"/>
  <c r="E74" i="63" s="1"/>
  <c r="G74" i="63" s="1"/>
  <c r="C74" i="64" s="1"/>
  <c r="E74" i="64" s="1"/>
  <c r="G74" i="64" s="1"/>
  <c r="E74" i="15"/>
  <c r="E79" i="15"/>
  <c r="E105" i="15"/>
  <c r="E108" i="34"/>
  <c r="G108" i="34" s="1"/>
  <c r="C108" i="35" s="1"/>
  <c r="E108" i="35" s="1"/>
  <c r="G108" i="35" s="1"/>
  <c r="C108" i="36" s="1"/>
  <c r="E108" i="36" s="1"/>
  <c r="G108" i="36" s="1"/>
  <c r="C108" i="37" s="1"/>
  <c r="E108" i="37" s="1"/>
  <c r="G108" i="37" s="1"/>
  <c r="C108" i="38" s="1"/>
  <c r="E108" i="38" s="1"/>
  <c r="G108" i="38" s="1"/>
  <c r="C108" i="39" s="1"/>
  <c r="E108" i="39" s="1"/>
  <c r="G108" i="39" s="1"/>
  <c r="C108" i="40" s="1"/>
  <c r="E108" i="40" s="1"/>
  <c r="G108" i="40" s="1"/>
  <c r="C108" i="41" s="1"/>
  <c r="E108" i="41" s="1"/>
  <c r="G108" i="41" s="1"/>
  <c r="C108" i="42" s="1"/>
  <c r="E108" i="42" s="1"/>
  <c r="G108" i="42" s="1"/>
  <c r="C108" i="43" s="1"/>
  <c r="E108" i="43" s="1"/>
  <c r="G108" i="43" s="1"/>
  <c r="C108" i="44" s="1"/>
  <c r="E108" i="44" s="1"/>
  <c r="G108" i="44" s="1"/>
  <c r="C108" i="45" s="1"/>
  <c r="E108" i="45" s="1"/>
  <c r="G108" i="45" s="1"/>
  <c r="C108" i="46" s="1"/>
  <c r="E108" i="46" s="1"/>
  <c r="G108" i="46" s="1"/>
  <c r="C108" i="47" s="1"/>
  <c r="E108" i="47" s="1"/>
  <c r="G108" i="47" s="1"/>
  <c r="C108" i="48" s="1"/>
  <c r="E108" i="48" s="1"/>
  <c r="G108" i="48" s="1"/>
  <c r="C108" i="49" s="1"/>
  <c r="E108" i="49" s="1"/>
  <c r="G108" i="49" s="1"/>
  <c r="C108" i="50" s="1"/>
  <c r="E108" i="50" s="1"/>
  <c r="G108" i="50" s="1"/>
  <c r="C108" i="51" s="1"/>
  <c r="E108" i="51" s="1"/>
  <c r="G108" i="51" s="1"/>
  <c r="C108" i="52" s="1"/>
  <c r="E108" i="52" s="1"/>
  <c r="G108" i="52" s="1"/>
  <c r="C108" i="53" s="1"/>
  <c r="E108" i="53" s="1"/>
  <c r="G108" i="53" s="1"/>
  <c r="C108" i="54" s="1"/>
  <c r="E108" i="54" s="1"/>
  <c r="G108" i="54" s="1"/>
  <c r="C108" i="55" s="1"/>
  <c r="E108" i="55" s="1"/>
  <c r="G108" i="55" s="1"/>
  <c r="C108" i="56" s="1"/>
  <c r="E108" i="56" s="1"/>
  <c r="G108" i="56" s="1"/>
  <c r="C108" i="57" s="1"/>
  <c r="E108" i="57" s="1"/>
  <c r="G108" i="57" s="1"/>
  <c r="C108" i="58" s="1"/>
  <c r="E108" i="58" s="1"/>
  <c r="G108" i="58" s="1"/>
  <c r="C108" i="59" s="1"/>
  <c r="E108" i="59" s="1"/>
  <c r="G108" i="59" s="1"/>
  <c r="C108" i="60" s="1"/>
  <c r="E108" i="60" s="1"/>
  <c r="G108" i="60" s="1"/>
  <c r="C108" i="61" s="1"/>
  <c r="E108" i="61" s="1"/>
  <c r="G108" i="61" s="1"/>
  <c r="C108" i="62" s="1"/>
  <c r="E108" i="62" s="1"/>
  <c r="G108" i="62" s="1"/>
  <c r="C108" i="63" s="1"/>
  <c r="E108" i="63" s="1"/>
  <c r="G108" i="63" s="1"/>
  <c r="C108" i="64" s="1"/>
  <c r="E108" i="64" s="1"/>
  <c r="G108" i="64" s="1"/>
  <c r="E108" i="15"/>
  <c r="E112" i="15"/>
  <c r="E163" i="34"/>
  <c r="G163" i="34" s="1"/>
  <c r="C163" i="35" s="1"/>
  <c r="E163" i="35" s="1"/>
  <c r="G163" i="35" s="1"/>
  <c r="C163" i="36" s="1"/>
  <c r="E163" i="36" s="1"/>
  <c r="G163" i="36" s="1"/>
  <c r="C163" i="37" s="1"/>
  <c r="E163" i="37" s="1"/>
  <c r="G163" i="37" s="1"/>
  <c r="C163" i="38" s="1"/>
  <c r="E163" i="38" s="1"/>
  <c r="G163" i="38" s="1"/>
  <c r="C163" i="39" s="1"/>
  <c r="E163" i="39" s="1"/>
  <c r="G163" i="39" s="1"/>
  <c r="C163" i="40" s="1"/>
  <c r="E163" i="40" s="1"/>
  <c r="G163" i="40" s="1"/>
  <c r="C163" i="41" s="1"/>
  <c r="E163" i="41" s="1"/>
  <c r="G163" i="41" s="1"/>
  <c r="C163" i="42" s="1"/>
  <c r="E163" i="42" s="1"/>
  <c r="G163" i="42" s="1"/>
  <c r="C163" i="43" s="1"/>
  <c r="E163" i="43" s="1"/>
  <c r="G163" i="43" s="1"/>
  <c r="C163" i="44" s="1"/>
  <c r="E163" i="44" s="1"/>
  <c r="G163" i="44" s="1"/>
  <c r="C163" i="45" s="1"/>
  <c r="E163" i="45" s="1"/>
  <c r="G163" i="45" s="1"/>
  <c r="C163" i="46" s="1"/>
  <c r="E163" i="46" s="1"/>
  <c r="G163" i="46" s="1"/>
  <c r="C163" i="47" s="1"/>
  <c r="E163" i="47" s="1"/>
  <c r="G163" i="47" s="1"/>
  <c r="C163" i="48" s="1"/>
  <c r="E163" i="48" s="1"/>
  <c r="G163" i="48" s="1"/>
  <c r="C163" i="49" s="1"/>
  <c r="E163" i="49" s="1"/>
  <c r="G163" i="49" s="1"/>
  <c r="C163" i="50" s="1"/>
  <c r="E163" i="50" s="1"/>
  <c r="G163" i="50" s="1"/>
  <c r="C163" i="51" s="1"/>
  <c r="E163" i="51" s="1"/>
  <c r="G163" i="51" s="1"/>
  <c r="C163" i="52" s="1"/>
  <c r="E163" i="52" s="1"/>
  <c r="G163" i="52" s="1"/>
  <c r="C163" i="53" s="1"/>
  <c r="E163" i="53" s="1"/>
  <c r="G163" i="53" s="1"/>
  <c r="C163" i="54" s="1"/>
  <c r="E163" i="54" s="1"/>
  <c r="G163" i="54" s="1"/>
  <c r="C163" i="55" s="1"/>
  <c r="E163" i="55" s="1"/>
  <c r="G163" i="55" s="1"/>
  <c r="C163" i="56" s="1"/>
  <c r="E163" i="56" s="1"/>
  <c r="G163" i="56" s="1"/>
  <c r="C163" i="57" s="1"/>
  <c r="E163" i="57" s="1"/>
  <c r="G163" i="57" s="1"/>
  <c r="C163" i="58" s="1"/>
  <c r="E163" i="58" s="1"/>
  <c r="G163" i="58" s="1"/>
  <c r="C163" i="59" s="1"/>
  <c r="E163" i="59" s="1"/>
  <c r="G163" i="59" s="1"/>
  <c r="C163" i="60" s="1"/>
  <c r="E163" i="60" s="1"/>
  <c r="G163" i="60" s="1"/>
  <c r="C163" i="61" s="1"/>
  <c r="E163" i="61" s="1"/>
  <c r="G163" i="61" s="1"/>
  <c r="C163" i="62" s="1"/>
  <c r="E163" i="62" s="1"/>
  <c r="G163" i="62" s="1"/>
  <c r="C163" i="63" s="1"/>
  <c r="E163" i="63" s="1"/>
  <c r="G163" i="63" s="1"/>
  <c r="C163" i="64" s="1"/>
  <c r="E163" i="64" s="1"/>
  <c r="G163" i="64" s="1"/>
  <c r="E163" i="15"/>
  <c r="E167" i="15"/>
  <c r="E175" i="15"/>
  <c r="E136" i="15"/>
  <c r="E15" i="34"/>
  <c r="G15" i="34" s="1"/>
  <c r="C15" i="35" s="1"/>
  <c r="E15" i="35" s="1"/>
  <c r="G15" i="35" s="1"/>
  <c r="C15" i="36" s="1"/>
  <c r="E15" i="36" s="1"/>
  <c r="G15" i="36" s="1"/>
  <c r="C15" i="37" s="1"/>
  <c r="E15" i="37" s="1"/>
  <c r="G15" i="37" s="1"/>
  <c r="C15" i="38" s="1"/>
  <c r="E15" i="38" s="1"/>
  <c r="G15" i="38" s="1"/>
  <c r="C15" i="39" s="1"/>
  <c r="E15" i="39" s="1"/>
  <c r="G15" i="39" s="1"/>
  <c r="C15" i="40" s="1"/>
  <c r="E15" i="40" s="1"/>
  <c r="G15" i="40" s="1"/>
  <c r="C15" i="41" s="1"/>
  <c r="E15" i="41" s="1"/>
  <c r="G15" i="41" s="1"/>
  <c r="C15" i="42" s="1"/>
  <c r="E15" i="42" s="1"/>
  <c r="G15" i="42" s="1"/>
  <c r="C15" i="43" s="1"/>
  <c r="E15" i="43" s="1"/>
  <c r="G15" i="43" s="1"/>
  <c r="C15" i="44" s="1"/>
  <c r="E15" i="44" s="1"/>
  <c r="G15" i="44" s="1"/>
  <c r="C15" i="45" s="1"/>
  <c r="E15" i="45" s="1"/>
  <c r="G15" i="45" s="1"/>
  <c r="C15" i="46" s="1"/>
  <c r="E15" i="46" s="1"/>
  <c r="G15" i="46" s="1"/>
  <c r="C15" i="47" s="1"/>
  <c r="E15" i="47" s="1"/>
  <c r="G15" i="47" s="1"/>
  <c r="C15" i="48" s="1"/>
  <c r="E15" i="48" s="1"/>
  <c r="G15" i="48" s="1"/>
  <c r="C15" i="49" s="1"/>
  <c r="E15" i="49" s="1"/>
  <c r="G15" i="49" s="1"/>
  <c r="C15" i="50" s="1"/>
  <c r="E15" i="50" s="1"/>
  <c r="G15" i="50" s="1"/>
  <c r="C15" i="51" s="1"/>
  <c r="E15" i="51" s="1"/>
  <c r="G15" i="51" s="1"/>
  <c r="C15" i="52" s="1"/>
  <c r="E15" i="52" s="1"/>
  <c r="G15" i="52" s="1"/>
  <c r="C15" i="53" s="1"/>
  <c r="E15" i="53" s="1"/>
  <c r="G15" i="53" s="1"/>
  <c r="C15" i="54" s="1"/>
  <c r="E15" i="54" s="1"/>
  <c r="G15" i="54" s="1"/>
  <c r="C15" i="55" s="1"/>
  <c r="E15" i="55" s="1"/>
  <c r="G15" i="55" s="1"/>
  <c r="C15" i="56" s="1"/>
  <c r="E15" i="56" s="1"/>
  <c r="G15" i="56" s="1"/>
  <c r="C15" i="57" s="1"/>
  <c r="E15" i="57" s="1"/>
  <c r="G15" i="57" s="1"/>
  <c r="C15" i="58" s="1"/>
  <c r="E15" i="58" s="1"/>
  <c r="G15" i="58" s="1"/>
  <c r="C15" i="59" s="1"/>
  <c r="E15" i="59" s="1"/>
  <c r="G15" i="59" s="1"/>
  <c r="C15" i="60" s="1"/>
  <c r="E15" i="60" s="1"/>
  <c r="G15" i="60" s="1"/>
  <c r="C15" i="61" s="1"/>
  <c r="E15" i="61" s="1"/>
  <c r="G15" i="61" s="1"/>
  <c r="C15" i="62" s="1"/>
  <c r="E15" i="62" s="1"/>
  <c r="G15" i="62" s="1"/>
  <c r="C15" i="63" s="1"/>
  <c r="E15" i="63" s="1"/>
  <c r="G15" i="63" s="1"/>
  <c r="C15" i="64" s="1"/>
  <c r="E15" i="64" s="1"/>
  <c r="G15" i="64" s="1"/>
  <c r="E15" i="15"/>
  <c r="E30" i="15"/>
  <c r="E76" i="34"/>
  <c r="G76" i="34" s="1"/>
  <c r="C76" i="35" s="1"/>
  <c r="E76" i="35" s="1"/>
  <c r="G76" i="35" s="1"/>
  <c r="C76" i="36" s="1"/>
  <c r="E76" i="36" s="1"/>
  <c r="G76" i="36" s="1"/>
  <c r="C76" i="37" s="1"/>
  <c r="E76" i="37" s="1"/>
  <c r="G76" i="37" s="1"/>
  <c r="C76" i="38" s="1"/>
  <c r="E76" i="38" s="1"/>
  <c r="G76" i="38" s="1"/>
  <c r="C76" i="39" s="1"/>
  <c r="E76" i="39" s="1"/>
  <c r="G76" i="39" s="1"/>
  <c r="C76" i="40" s="1"/>
  <c r="E76" i="40" s="1"/>
  <c r="G76" i="40" s="1"/>
  <c r="C76" i="41" s="1"/>
  <c r="E76" i="41" s="1"/>
  <c r="G76" i="41" s="1"/>
  <c r="C76" i="42" s="1"/>
  <c r="E76" i="42" s="1"/>
  <c r="G76" i="42" s="1"/>
  <c r="C76" i="43" s="1"/>
  <c r="E76" i="43" s="1"/>
  <c r="G76" i="43" s="1"/>
  <c r="C76" i="44" s="1"/>
  <c r="E76" i="44" s="1"/>
  <c r="G76" i="44" s="1"/>
  <c r="C76" i="45" s="1"/>
  <c r="E76" i="45" s="1"/>
  <c r="G76" i="45" s="1"/>
  <c r="C76" i="46" s="1"/>
  <c r="E76" i="46" s="1"/>
  <c r="G76" i="46" s="1"/>
  <c r="C76" i="47" s="1"/>
  <c r="E76" i="47" s="1"/>
  <c r="G76" i="47" s="1"/>
  <c r="C76" i="48" s="1"/>
  <c r="E76" i="48" s="1"/>
  <c r="G76" i="48" s="1"/>
  <c r="C76" i="49" s="1"/>
  <c r="E76" i="49" s="1"/>
  <c r="G76" i="49" s="1"/>
  <c r="C76" i="50" s="1"/>
  <c r="E76" i="50" s="1"/>
  <c r="G76" i="50" s="1"/>
  <c r="C76" i="51" s="1"/>
  <c r="E76" i="51" s="1"/>
  <c r="G76" i="51" s="1"/>
  <c r="C76" i="52" s="1"/>
  <c r="E76" i="52" s="1"/>
  <c r="G76" i="52" s="1"/>
  <c r="C76" i="53" s="1"/>
  <c r="E76" i="53" s="1"/>
  <c r="G76" i="53" s="1"/>
  <c r="C76" i="54" s="1"/>
  <c r="E76" i="54" s="1"/>
  <c r="G76" i="54" s="1"/>
  <c r="C76" i="55" s="1"/>
  <c r="E76" i="55" s="1"/>
  <c r="G76" i="55" s="1"/>
  <c r="C76" i="56" s="1"/>
  <c r="E76" i="56" s="1"/>
  <c r="G76" i="56" s="1"/>
  <c r="C76" i="57" s="1"/>
  <c r="E76" i="57" s="1"/>
  <c r="G76" i="57" s="1"/>
  <c r="C76" i="58" s="1"/>
  <c r="E76" i="58" s="1"/>
  <c r="G76" i="58" s="1"/>
  <c r="C76" i="59" s="1"/>
  <c r="E76" i="59" s="1"/>
  <c r="G76" i="59" s="1"/>
  <c r="C76" i="60" s="1"/>
  <c r="E76" i="60" s="1"/>
  <c r="G76" i="60" s="1"/>
  <c r="C76" i="61" s="1"/>
  <c r="E76" i="61" s="1"/>
  <c r="G76" i="61" s="1"/>
  <c r="C76" i="62" s="1"/>
  <c r="E76" i="62" s="1"/>
  <c r="G76" i="62" s="1"/>
  <c r="C76" i="63" s="1"/>
  <c r="E76" i="63" s="1"/>
  <c r="G76" i="63" s="1"/>
  <c r="C76" i="64" s="1"/>
  <c r="E76" i="64" s="1"/>
  <c r="G76" i="64" s="1"/>
  <c r="E76" i="15"/>
  <c r="E111" i="15"/>
  <c r="E71" i="15"/>
  <c r="E86" i="15"/>
  <c r="E202" i="34"/>
  <c r="G202" i="34" s="1"/>
  <c r="C202" i="35" s="1"/>
  <c r="E202" i="35" s="1"/>
  <c r="G202" i="35" s="1"/>
  <c r="C202" i="36" s="1"/>
  <c r="E202" i="36" s="1"/>
  <c r="G202" i="36" s="1"/>
  <c r="E202" i="15"/>
  <c r="E179" i="34"/>
  <c r="G179" i="34" s="1"/>
  <c r="C179" i="35" s="1"/>
  <c r="E179" i="35" s="1"/>
  <c r="G179" i="35" s="1"/>
  <c r="C179" i="36" s="1"/>
  <c r="E179" i="36" s="1"/>
  <c r="G179" i="36" s="1"/>
  <c r="C179" i="37" s="1"/>
  <c r="E179" i="37" s="1"/>
  <c r="G179" i="37" s="1"/>
  <c r="C179" i="38" s="1"/>
  <c r="E179" i="38" s="1"/>
  <c r="G179" i="38" s="1"/>
  <c r="C179" i="39" s="1"/>
  <c r="E179" i="39" s="1"/>
  <c r="G179" i="39" s="1"/>
  <c r="C179" i="40" s="1"/>
  <c r="E179" i="40" s="1"/>
  <c r="G179" i="40" s="1"/>
  <c r="C179" i="41" s="1"/>
  <c r="E179" i="41" s="1"/>
  <c r="G179" i="41" s="1"/>
  <c r="C179" i="42" s="1"/>
  <c r="E179" i="42" s="1"/>
  <c r="G179" i="42" s="1"/>
  <c r="C179" i="43" s="1"/>
  <c r="E179" i="43" s="1"/>
  <c r="G179" i="43" s="1"/>
  <c r="C179" i="44" s="1"/>
  <c r="E179" i="44" s="1"/>
  <c r="G179" i="44" s="1"/>
  <c r="C179" i="45" s="1"/>
  <c r="E179" i="45" s="1"/>
  <c r="G179" i="45" s="1"/>
  <c r="C179" i="46" s="1"/>
  <c r="E179" i="46" s="1"/>
  <c r="G179" i="46" s="1"/>
  <c r="C179" i="47" s="1"/>
  <c r="E179" i="47" s="1"/>
  <c r="G179" i="47" s="1"/>
  <c r="C179" i="48" s="1"/>
  <c r="E179" i="48" s="1"/>
  <c r="G179" i="48" s="1"/>
  <c r="C179" i="49" s="1"/>
  <c r="E179" i="49" s="1"/>
  <c r="G179" i="49" s="1"/>
  <c r="C179" i="50" s="1"/>
  <c r="E179" i="50" s="1"/>
  <c r="G179" i="50" s="1"/>
  <c r="C179" i="51" s="1"/>
  <c r="E179" i="51" s="1"/>
  <c r="G179" i="51" s="1"/>
  <c r="C179" i="52" s="1"/>
  <c r="E179" i="52" s="1"/>
  <c r="G179" i="52" s="1"/>
  <c r="C179" i="53" s="1"/>
  <c r="E179" i="53" s="1"/>
  <c r="G179" i="53" s="1"/>
  <c r="C179" i="54" s="1"/>
  <c r="E179" i="54" s="1"/>
  <c r="G179" i="54" s="1"/>
  <c r="C179" i="55" s="1"/>
  <c r="E179" i="55" s="1"/>
  <c r="G179" i="55" s="1"/>
  <c r="C179" i="56" s="1"/>
  <c r="E179" i="56" s="1"/>
  <c r="G179" i="56" s="1"/>
  <c r="C179" i="57" s="1"/>
  <c r="E179" i="57" s="1"/>
  <c r="G179" i="57" s="1"/>
  <c r="C179" i="58" s="1"/>
  <c r="E179" i="58" s="1"/>
  <c r="G179" i="58" s="1"/>
  <c r="C179" i="59" s="1"/>
  <c r="E179" i="59" s="1"/>
  <c r="G179" i="59" s="1"/>
  <c r="C179" i="60" s="1"/>
  <c r="E179" i="60" s="1"/>
  <c r="G179" i="60" s="1"/>
  <c r="C179" i="61" s="1"/>
  <c r="E179" i="61" s="1"/>
  <c r="G179" i="61" s="1"/>
  <c r="C179" i="62" s="1"/>
  <c r="E179" i="62" s="1"/>
  <c r="G179" i="62" s="1"/>
  <c r="C179" i="63" s="1"/>
  <c r="E179" i="63" s="1"/>
  <c r="G179" i="63" s="1"/>
  <c r="C179" i="64" s="1"/>
  <c r="E179" i="64" s="1"/>
  <c r="G179" i="64" s="1"/>
  <c r="E179" i="15"/>
  <c r="E56" i="15"/>
  <c r="E16" i="34"/>
  <c r="G16" i="34" s="1"/>
  <c r="C16" i="35" s="1"/>
  <c r="E16" i="35" s="1"/>
  <c r="G16" i="35" s="1"/>
  <c r="C16" i="36" s="1"/>
  <c r="E16" i="36" s="1"/>
  <c r="G16" i="36" s="1"/>
  <c r="C16" i="37" s="1"/>
  <c r="E16" i="37" s="1"/>
  <c r="G16" i="37" s="1"/>
  <c r="C16" i="38" s="1"/>
  <c r="E16" i="38" s="1"/>
  <c r="G16" i="38" s="1"/>
  <c r="C16" i="39" s="1"/>
  <c r="E16" i="39" s="1"/>
  <c r="G16" i="39" s="1"/>
  <c r="C16" i="40" s="1"/>
  <c r="E16" i="40" s="1"/>
  <c r="G16" i="40" s="1"/>
  <c r="C16" i="41" s="1"/>
  <c r="E16" i="41" s="1"/>
  <c r="G16" i="41" s="1"/>
  <c r="C16" i="42" s="1"/>
  <c r="E16" i="42" s="1"/>
  <c r="G16" i="42" s="1"/>
  <c r="C16" i="43" s="1"/>
  <c r="E16" i="43" s="1"/>
  <c r="G16" i="43" s="1"/>
  <c r="C16" i="44" s="1"/>
  <c r="E16" i="44" s="1"/>
  <c r="G16" i="44" s="1"/>
  <c r="C16" i="45" s="1"/>
  <c r="E16" i="45" s="1"/>
  <c r="G16" i="45" s="1"/>
  <c r="C16" i="46" s="1"/>
  <c r="E16" i="46" s="1"/>
  <c r="G16" i="46" s="1"/>
  <c r="C16" i="47" s="1"/>
  <c r="E16" i="47" s="1"/>
  <c r="G16" i="47" s="1"/>
  <c r="C16" i="48" s="1"/>
  <c r="E16" i="48" s="1"/>
  <c r="G16" i="48" s="1"/>
  <c r="C16" i="49" s="1"/>
  <c r="E16" i="49" s="1"/>
  <c r="G16" i="49" s="1"/>
  <c r="C16" i="50" s="1"/>
  <c r="E16" i="50" s="1"/>
  <c r="G16" i="50" s="1"/>
  <c r="C16" i="51" s="1"/>
  <c r="E16" i="51" s="1"/>
  <c r="G16" i="51" s="1"/>
  <c r="C16" i="52" s="1"/>
  <c r="E16" i="52" s="1"/>
  <c r="G16" i="52" s="1"/>
  <c r="C16" i="53" s="1"/>
  <c r="E16" i="53" s="1"/>
  <c r="G16" i="53" s="1"/>
  <c r="C16" i="54" s="1"/>
  <c r="E16" i="54" s="1"/>
  <c r="G16" i="54" s="1"/>
  <c r="C16" i="55" s="1"/>
  <c r="E16" i="55" s="1"/>
  <c r="G16" i="55" s="1"/>
  <c r="C16" i="56" s="1"/>
  <c r="E16" i="56" s="1"/>
  <c r="G16" i="56" s="1"/>
  <c r="C16" i="57" s="1"/>
  <c r="E16" i="57" s="1"/>
  <c r="G16" i="57" s="1"/>
  <c r="C16" i="58" s="1"/>
  <c r="E16" i="58" s="1"/>
  <c r="G16" i="58" s="1"/>
  <c r="C16" i="59" s="1"/>
  <c r="E16" i="59" s="1"/>
  <c r="G16" i="59" s="1"/>
  <c r="C16" i="60" s="1"/>
  <c r="E16" i="60" s="1"/>
  <c r="G16" i="60" s="1"/>
  <c r="C16" i="61" s="1"/>
  <c r="E16" i="61" s="1"/>
  <c r="G16" i="61" s="1"/>
  <c r="C16" i="62" s="1"/>
  <c r="E16" i="62" s="1"/>
  <c r="G16" i="62" s="1"/>
  <c r="C16" i="63" s="1"/>
  <c r="E16" i="63" s="1"/>
  <c r="G16" i="63" s="1"/>
  <c r="C16" i="64" s="1"/>
  <c r="E16" i="64" s="1"/>
  <c r="G16" i="64" s="1"/>
  <c r="E16" i="15"/>
  <c r="E26" i="34"/>
  <c r="G26" i="34" s="1"/>
  <c r="C26" i="35" s="1"/>
  <c r="E26" i="35" s="1"/>
  <c r="G26" i="35" s="1"/>
  <c r="C26" i="36" s="1"/>
  <c r="E26" i="36" s="1"/>
  <c r="G26" i="36" s="1"/>
  <c r="C26" i="37" s="1"/>
  <c r="E26" i="37" s="1"/>
  <c r="G26" i="37" s="1"/>
  <c r="C26" i="38" s="1"/>
  <c r="E26" i="38" s="1"/>
  <c r="G26" i="38" s="1"/>
  <c r="C26" i="39" s="1"/>
  <c r="E26" i="39" s="1"/>
  <c r="G26" i="39" s="1"/>
  <c r="C26" i="40" s="1"/>
  <c r="E26" i="40" s="1"/>
  <c r="G26" i="40" s="1"/>
  <c r="C26" i="41" s="1"/>
  <c r="E26" i="41" s="1"/>
  <c r="G26" i="41" s="1"/>
  <c r="C26" i="42" s="1"/>
  <c r="E26" i="42" s="1"/>
  <c r="G26" i="42" s="1"/>
  <c r="C26" i="43" s="1"/>
  <c r="E26" i="43" s="1"/>
  <c r="G26" i="43" s="1"/>
  <c r="C26" i="44" s="1"/>
  <c r="E26" i="44" s="1"/>
  <c r="G26" i="44" s="1"/>
  <c r="C26" i="45" s="1"/>
  <c r="E26" i="45" s="1"/>
  <c r="G26" i="45" s="1"/>
  <c r="C26" i="46" s="1"/>
  <c r="E26" i="46" s="1"/>
  <c r="G26" i="46" s="1"/>
  <c r="C26" i="47" s="1"/>
  <c r="E26" i="47" s="1"/>
  <c r="G26" i="47" s="1"/>
  <c r="C26" i="48" s="1"/>
  <c r="E26" i="48" s="1"/>
  <c r="G26" i="48" s="1"/>
  <c r="C26" i="49" s="1"/>
  <c r="E26" i="49" s="1"/>
  <c r="G26" i="49" s="1"/>
  <c r="C26" i="50" s="1"/>
  <c r="E26" i="50" s="1"/>
  <c r="G26" i="50" s="1"/>
  <c r="C26" i="51" s="1"/>
  <c r="E26" i="51" s="1"/>
  <c r="G26" i="51" s="1"/>
  <c r="C26" i="52" s="1"/>
  <c r="E26" i="52" s="1"/>
  <c r="G26" i="52" s="1"/>
  <c r="C26" i="53" s="1"/>
  <c r="E26" i="53" s="1"/>
  <c r="G26" i="53" s="1"/>
  <c r="C26" i="54" s="1"/>
  <c r="E26" i="54" s="1"/>
  <c r="G26" i="54" s="1"/>
  <c r="C26" i="55" s="1"/>
  <c r="E26" i="55" s="1"/>
  <c r="G26" i="55" s="1"/>
  <c r="C26" i="56" s="1"/>
  <c r="E26" i="56" s="1"/>
  <c r="G26" i="56" s="1"/>
  <c r="C26" i="57" s="1"/>
  <c r="E26" i="57" s="1"/>
  <c r="G26" i="57" s="1"/>
  <c r="C26" i="58" s="1"/>
  <c r="E26" i="58" s="1"/>
  <c r="G26" i="58" s="1"/>
  <c r="C26" i="59" s="1"/>
  <c r="E26" i="59" s="1"/>
  <c r="G26" i="59" s="1"/>
  <c r="C26" i="60" s="1"/>
  <c r="E26" i="60" s="1"/>
  <c r="G26" i="60" s="1"/>
  <c r="C26" i="61" s="1"/>
  <c r="E26" i="61" s="1"/>
  <c r="G26" i="61" s="1"/>
  <c r="C26" i="62" s="1"/>
  <c r="E26" i="62" s="1"/>
  <c r="G26" i="62" s="1"/>
  <c r="C26" i="63" s="1"/>
  <c r="E26" i="63" s="1"/>
  <c r="G26" i="63" s="1"/>
  <c r="C26" i="64" s="1"/>
  <c r="E26" i="64" s="1"/>
  <c r="G26" i="64" s="1"/>
  <c r="E26" i="15"/>
  <c r="E63" i="34"/>
  <c r="G63" i="34" s="1"/>
  <c r="C63" i="35" s="1"/>
  <c r="E63" i="35" s="1"/>
  <c r="G63" i="35" s="1"/>
  <c r="C63" i="36" s="1"/>
  <c r="E63" i="36" s="1"/>
  <c r="G63" i="36" s="1"/>
  <c r="C63" i="37" s="1"/>
  <c r="E63" i="37" s="1"/>
  <c r="G63" i="37" s="1"/>
  <c r="C63" i="38" s="1"/>
  <c r="E63" i="38" s="1"/>
  <c r="G63" i="38" s="1"/>
  <c r="C63" i="39" s="1"/>
  <c r="E63" i="39" s="1"/>
  <c r="G63" i="39" s="1"/>
  <c r="C63" i="40" s="1"/>
  <c r="E63" i="40" s="1"/>
  <c r="G63" i="40" s="1"/>
  <c r="C63" i="41" s="1"/>
  <c r="E63" i="41" s="1"/>
  <c r="G63" i="41" s="1"/>
  <c r="C63" i="42" s="1"/>
  <c r="E63" i="42" s="1"/>
  <c r="G63" i="42" s="1"/>
  <c r="C63" i="43" s="1"/>
  <c r="E63" i="43" s="1"/>
  <c r="G63" i="43" s="1"/>
  <c r="C63" i="44" s="1"/>
  <c r="E63" i="44" s="1"/>
  <c r="G63" i="44" s="1"/>
  <c r="C63" i="45" s="1"/>
  <c r="E63" i="45" s="1"/>
  <c r="G63" i="45" s="1"/>
  <c r="C63" i="46" s="1"/>
  <c r="E63" i="46" s="1"/>
  <c r="G63" i="46" s="1"/>
  <c r="C63" i="47" s="1"/>
  <c r="E63" i="47" s="1"/>
  <c r="G63" i="47" s="1"/>
  <c r="C63" i="48" s="1"/>
  <c r="E63" i="48" s="1"/>
  <c r="G63" i="48" s="1"/>
  <c r="C63" i="49" s="1"/>
  <c r="E63" i="49" s="1"/>
  <c r="G63" i="49" s="1"/>
  <c r="C63" i="50" s="1"/>
  <c r="E63" i="50" s="1"/>
  <c r="G63" i="50" s="1"/>
  <c r="C63" i="51" s="1"/>
  <c r="E63" i="51" s="1"/>
  <c r="G63" i="51" s="1"/>
  <c r="C63" i="52" s="1"/>
  <c r="E63" i="52" s="1"/>
  <c r="G63" i="52" s="1"/>
  <c r="C63" i="53" s="1"/>
  <c r="E63" i="53" s="1"/>
  <c r="G63" i="53" s="1"/>
  <c r="C63" i="54" s="1"/>
  <c r="E63" i="54" s="1"/>
  <c r="G63" i="54" s="1"/>
  <c r="C63" i="55" s="1"/>
  <c r="E63" i="55" s="1"/>
  <c r="G63" i="55" s="1"/>
  <c r="C63" i="56" s="1"/>
  <c r="E63" i="56" s="1"/>
  <c r="G63" i="56" s="1"/>
  <c r="C63" i="57" s="1"/>
  <c r="E63" i="57" s="1"/>
  <c r="G63" i="57" s="1"/>
  <c r="C63" i="58" s="1"/>
  <c r="E63" i="58" s="1"/>
  <c r="G63" i="58" s="1"/>
  <c r="C63" i="59" s="1"/>
  <c r="E63" i="59" s="1"/>
  <c r="G63" i="59" s="1"/>
  <c r="C63" i="60" s="1"/>
  <c r="E63" i="60" s="1"/>
  <c r="G63" i="60" s="1"/>
  <c r="C63" i="61" s="1"/>
  <c r="E63" i="61" s="1"/>
  <c r="G63" i="61" s="1"/>
  <c r="C63" i="62" s="1"/>
  <c r="E63" i="62" s="1"/>
  <c r="G63" i="62" s="1"/>
  <c r="C63" i="63" s="1"/>
  <c r="E63" i="63" s="1"/>
  <c r="G63" i="63" s="1"/>
  <c r="C63" i="64" s="1"/>
  <c r="E63" i="64" s="1"/>
  <c r="G63" i="64" s="1"/>
  <c r="E63" i="15"/>
  <c r="E77" i="34"/>
  <c r="G77" i="34" s="1"/>
  <c r="C77" i="35" s="1"/>
  <c r="E77" i="35" s="1"/>
  <c r="G77" i="35" s="1"/>
  <c r="C77" i="36" s="1"/>
  <c r="E77" i="36" s="1"/>
  <c r="G77" i="36" s="1"/>
  <c r="C77" i="37" s="1"/>
  <c r="E77" i="37" s="1"/>
  <c r="G77" i="37" s="1"/>
  <c r="C77" i="38" s="1"/>
  <c r="E77" i="38" s="1"/>
  <c r="G77" i="38" s="1"/>
  <c r="C77" i="39" s="1"/>
  <c r="E77" i="39" s="1"/>
  <c r="G77" i="39" s="1"/>
  <c r="C77" i="40" s="1"/>
  <c r="E77" i="40" s="1"/>
  <c r="G77" i="40" s="1"/>
  <c r="C77" i="41" s="1"/>
  <c r="E77" i="41" s="1"/>
  <c r="G77" i="41" s="1"/>
  <c r="C77" i="42" s="1"/>
  <c r="E77" i="42" s="1"/>
  <c r="G77" i="42" s="1"/>
  <c r="C77" i="43" s="1"/>
  <c r="E77" i="43" s="1"/>
  <c r="G77" i="43" s="1"/>
  <c r="C77" i="44" s="1"/>
  <c r="E77" i="44" s="1"/>
  <c r="G77" i="44" s="1"/>
  <c r="C77" i="45" s="1"/>
  <c r="E77" i="45" s="1"/>
  <c r="G77" i="45" s="1"/>
  <c r="C77" i="46" s="1"/>
  <c r="E77" i="46" s="1"/>
  <c r="G77" i="46" s="1"/>
  <c r="C77" i="47" s="1"/>
  <c r="E77" i="47" s="1"/>
  <c r="G77" i="47" s="1"/>
  <c r="C77" i="48" s="1"/>
  <c r="E77" i="48" s="1"/>
  <c r="G77" i="48" s="1"/>
  <c r="C77" i="49" s="1"/>
  <c r="E77" i="49" s="1"/>
  <c r="G77" i="49" s="1"/>
  <c r="C77" i="50" s="1"/>
  <c r="E77" i="50" s="1"/>
  <c r="G77" i="50" s="1"/>
  <c r="C77" i="51" s="1"/>
  <c r="E77" i="51" s="1"/>
  <c r="G77" i="51" s="1"/>
  <c r="C77" i="52" s="1"/>
  <c r="E77" i="52" s="1"/>
  <c r="G77" i="52" s="1"/>
  <c r="C77" i="53" s="1"/>
  <c r="E77" i="53" s="1"/>
  <c r="G77" i="53" s="1"/>
  <c r="C77" i="54" s="1"/>
  <c r="E77" i="54" s="1"/>
  <c r="G77" i="54" s="1"/>
  <c r="C77" i="55" s="1"/>
  <c r="E77" i="55" s="1"/>
  <c r="G77" i="55" s="1"/>
  <c r="C77" i="56" s="1"/>
  <c r="E77" i="56" s="1"/>
  <c r="G77" i="56" s="1"/>
  <c r="C77" i="57" s="1"/>
  <c r="E77" i="57" s="1"/>
  <c r="G77" i="57" s="1"/>
  <c r="C77" i="58" s="1"/>
  <c r="E77" i="58" s="1"/>
  <c r="G77" i="58" s="1"/>
  <c r="C77" i="59" s="1"/>
  <c r="E77" i="59" s="1"/>
  <c r="G77" i="59" s="1"/>
  <c r="C77" i="60" s="1"/>
  <c r="E77" i="60" s="1"/>
  <c r="G77" i="60" s="1"/>
  <c r="C77" i="61" s="1"/>
  <c r="E77" i="61" s="1"/>
  <c r="G77" i="61" s="1"/>
  <c r="C77" i="62" s="1"/>
  <c r="E77" i="62" s="1"/>
  <c r="G77" i="62" s="1"/>
  <c r="C77" i="63" s="1"/>
  <c r="E77" i="63" s="1"/>
  <c r="G77" i="63" s="1"/>
  <c r="C77" i="64" s="1"/>
  <c r="E77" i="64" s="1"/>
  <c r="G77" i="64" s="1"/>
  <c r="E77" i="15"/>
  <c r="E84" i="34"/>
  <c r="G84" i="34" s="1"/>
  <c r="C84" i="35" s="1"/>
  <c r="E84" i="35" s="1"/>
  <c r="G84" i="35" s="1"/>
  <c r="C84" i="36" s="1"/>
  <c r="E84" i="36" s="1"/>
  <c r="G84" i="36" s="1"/>
  <c r="C84" i="37" s="1"/>
  <c r="E84" i="37" s="1"/>
  <c r="G84" i="37" s="1"/>
  <c r="C84" i="38" s="1"/>
  <c r="E84" i="38" s="1"/>
  <c r="G84" i="38" s="1"/>
  <c r="C84" i="39" s="1"/>
  <c r="E84" i="39" s="1"/>
  <c r="G84" i="39" s="1"/>
  <c r="C84" i="40" s="1"/>
  <c r="E84" i="40" s="1"/>
  <c r="G84" i="40" s="1"/>
  <c r="C84" i="41" s="1"/>
  <c r="E84" i="41" s="1"/>
  <c r="G84" i="41" s="1"/>
  <c r="C84" i="42" s="1"/>
  <c r="E84" i="42" s="1"/>
  <c r="G84" i="42" s="1"/>
  <c r="C84" i="43" s="1"/>
  <c r="E84" i="43" s="1"/>
  <c r="G84" i="43" s="1"/>
  <c r="C84" i="44" s="1"/>
  <c r="E84" i="44" s="1"/>
  <c r="G84" i="44" s="1"/>
  <c r="C84" i="45" s="1"/>
  <c r="E84" i="45" s="1"/>
  <c r="G84" i="45" s="1"/>
  <c r="C84" i="46" s="1"/>
  <c r="E84" i="46" s="1"/>
  <c r="G84" i="46" s="1"/>
  <c r="C84" i="47" s="1"/>
  <c r="E84" i="47" s="1"/>
  <c r="G84" i="47" s="1"/>
  <c r="C84" i="48" s="1"/>
  <c r="E84" i="48" s="1"/>
  <c r="G84" i="48" s="1"/>
  <c r="C84" i="49" s="1"/>
  <c r="E84" i="49" s="1"/>
  <c r="G84" i="49" s="1"/>
  <c r="C84" i="50" s="1"/>
  <c r="E84" i="50" s="1"/>
  <c r="G84" i="50" s="1"/>
  <c r="C84" i="51" s="1"/>
  <c r="E84" i="51" s="1"/>
  <c r="G84" i="51" s="1"/>
  <c r="C84" i="52" s="1"/>
  <c r="E84" i="52" s="1"/>
  <c r="G84" i="52" s="1"/>
  <c r="C84" i="53" s="1"/>
  <c r="E84" i="53" s="1"/>
  <c r="G84" i="53" s="1"/>
  <c r="C84" i="54" s="1"/>
  <c r="E84" i="54" s="1"/>
  <c r="G84" i="54" s="1"/>
  <c r="C84" i="55" s="1"/>
  <c r="E84" i="55" s="1"/>
  <c r="G84" i="55" s="1"/>
  <c r="C84" i="56" s="1"/>
  <c r="E84" i="56" s="1"/>
  <c r="G84" i="56" s="1"/>
  <c r="C84" i="57" s="1"/>
  <c r="E84" i="57" s="1"/>
  <c r="G84" i="57" s="1"/>
  <c r="C84" i="58" s="1"/>
  <c r="E84" i="58" s="1"/>
  <c r="G84" i="58" s="1"/>
  <c r="C84" i="59" s="1"/>
  <c r="E84" i="59" s="1"/>
  <c r="G84" i="59" s="1"/>
  <c r="C84" i="60" s="1"/>
  <c r="E84" i="60" s="1"/>
  <c r="G84" i="60" s="1"/>
  <c r="C84" i="61" s="1"/>
  <c r="E84" i="61" s="1"/>
  <c r="G84" i="61" s="1"/>
  <c r="C84" i="62" s="1"/>
  <c r="E84" i="62" s="1"/>
  <c r="G84" i="62" s="1"/>
  <c r="C84" i="63" s="1"/>
  <c r="E84" i="63" s="1"/>
  <c r="G84" i="63" s="1"/>
  <c r="C84" i="64" s="1"/>
  <c r="E84" i="64" s="1"/>
  <c r="G84" i="64" s="1"/>
  <c r="E84" i="15"/>
  <c r="E91" i="34"/>
  <c r="G91" i="34" s="1"/>
  <c r="C91" i="35" s="1"/>
  <c r="E91" i="35" s="1"/>
  <c r="G91" i="35" s="1"/>
  <c r="C91" i="36" s="1"/>
  <c r="E91" i="36" s="1"/>
  <c r="G91" i="36" s="1"/>
  <c r="C91" i="37" s="1"/>
  <c r="E91" i="37" s="1"/>
  <c r="G91" i="37" s="1"/>
  <c r="C91" i="38" s="1"/>
  <c r="E91" i="38" s="1"/>
  <c r="G91" i="38" s="1"/>
  <c r="E91" i="39" s="1"/>
  <c r="G91" i="39" s="1"/>
  <c r="C91" i="40" s="1"/>
  <c r="E91" i="40" s="1"/>
  <c r="G91" i="40" s="1"/>
  <c r="C91" i="41" s="1"/>
  <c r="E91" i="41" s="1"/>
  <c r="G91" i="41" s="1"/>
  <c r="C91" i="42" s="1"/>
  <c r="E91" i="42" s="1"/>
  <c r="G91" i="42" s="1"/>
  <c r="C91" i="43" s="1"/>
  <c r="E91" i="43" s="1"/>
  <c r="G91" i="43" s="1"/>
  <c r="C91" i="44" s="1"/>
  <c r="E91" i="44" s="1"/>
  <c r="G91" i="44" s="1"/>
  <c r="C91" i="45" s="1"/>
  <c r="E91" i="45" s="1"/>
  <c r="G91" i="45" s="1"/>
  <c r="C91" i="46" s="1"/>
  <c r="E91" i="46" s="1"/>
  <c r="G91" i="46" s="1"/>
  <c r="C91" i="47" s="1"/>
  <c r="E91" i="47" s="1"/>
  <c r="G91" i="47" s="1"/>
  <c r="C91" i="48" s="1"/>
  <c r="E91" i="48" s="1"/>
  <c r="G91" i="48" s="1"/>
  <c r="C91" i="49" s="1"/>
  <c r="E91" i="49" s="1"/>
  <c r="G91" i="49" s="1"/>
  <c r="C91" i="50" s="1"/>
  <c r="E91" i="50" s="1"/>
  <c r="G91" i="50" s="1"/>
  <c r="C91" i="51" s="1"/>
  <c r="E91" i="51" s="1"/>
  <c r="G91" i="51" s="1"/>
  <c r="C91" i="52" s="1"/>
  <c r="E91" i="52" s="1"/>
  <c r="G91" i="52" s="1"/>
  <c r="C91" i="53" s="1"/>
  <c r="E91" i="53" s="1"/>
  <c r="G91" i="53" s="1"/>
  <c r="C91" i="54" s="1"/>
  <c r="E91" i="54" s="1"/>
  <c r="G91" i="54" s="1"/>
  <c r="C91" i="55" s="1"/>
  <c r="E91" i="55" s="1"/>
  <c r="G91" i="55" s="1"/>
  <c r="C91" i="56" s="1"/>
  <c r="E91" i="56" s="1"/>
  <c r="G91" i="56" s="1"/>
  <c r="C91" i="57" s="1"/>
  <c r="E91" i="57" s="1"/>
  <c r="G91" i="57" s="1"/>
  <c r="C91" i="58" s="1"/>
  <c r="E91" i="58" s="1"/>
  <c r="G91" i="58" s="1"/>
  <c r="C91" i="59" s="1"/>
  <c r="E91" i="59" s="1"/>
  <c r="G91" i="59" s="1"/>
  <c r="C91" i="60" s="1"/>
  <c r="E91" i="60" s="1"/>
  <c r="G91" i="60" s="1"/>
  <c r="C91" i="61" s="1"/>
  <c r="E91" i="61" s="1"/>
  <c r="G91" i="61" s="1"/>
  <c r="C91" i="62" s="1"/>
  <c r="E91" i="62" s="1"/>
  <c r="G91" i="62" s="1"/>
  <c r="C91" i="63" s="1"/>
  <c r="E91" i="63" s="1"/>
  <c r="G91" i="63" s="1"/>
  <c r="C91" i="64" s="1"/>
  <c r="E91" i="64" s="1"/>
  <c r="G91" i="64" s="1"/>
  <c r="E91" i="15"/>
  <c r="E100" i="34"/>
  <c r="G100" i="34" s="1"/>
  <c r="C100" i="35" s="1"/>
  <c r="E100" i="35" s="1"/>
  <c r="G100" i="35" s="1"/>
  <c r="C100" i="36" s="1"/>
  <c r="E100" i="36" s="1"/>
  <c r="G100" i="36" s="1"/>
  <c r="C100" i="37" s="1"/>
  <c r="E100" i="37" s="1"/>
  <c r="G100" i="37" s="1"/>
  <c r="C100" i="38" s="1"/>
  <c r="E100" i="38" s="1"/>
  <c r="G100" i="38" s="1"/>
  <c r="C100" i="39" s="1"/>
  <c r="E100" i="39" s="1"/>
  <c r="G100" i="39" s="1"/>
  <c r="C100" i="40" s="1"/>
  <c r="E100" i="40" s="1"/>
  <c r="G100" i="40" s="1"/>
  <c r="C100" i="41" s="1"/>
  <c r="E100" i="41" s="1"/>
  <c r="G100" i="41" s="1"/>
  <c r="C100" i="42" s="1"/>
  <c r="E100" i="42" s="1"/>
  <c r="G100" i="42" s="1"/>
  <c r="C100" i="43" s="1"/>
  <c r="E100" i="43" s="1"/>
  <c r="G100" i="43" s="1"/>
  <c r="C100" i="44" s="1"/>
  <c r="E100" i="44" s="1"/>
  <c r="G100" i="44" s="1"/>
  <c r="C100" i="45" s="1"/>
  <c r="E100" i="45" s="1"/>
  <c r="G100" i="45" s="1"/>
  <c r="C100" i="46" s="1"/>
  <c r="E100" i="46" s="1"/>
  <c r="G100" i="46" s="1"/>
  <c r="C100" i="47" s="1"/>
  <c r="E100" i="47" s="1"/>
  <c r="G100" i="47" s="1"/>
  <c r="C100" i="48" s="1"/>
  <c r="E100" i="48" s="1"/>
  <c r="G100" i="48" s="1"/>
  <c r="C100" i="49" s="1"/>
  <c r="E100" i="49" s="1"/>
  <c r="G100" i="49" s="1"/>
  <c r="C100" i="50" s="1"/>
  <c r="E100" i="50" s="1"/>
  <c r="G100" i="50" s="1"/>
  <c r="C100" i="51" s="1"/>
  <c r="E100" i="51" s="1"/>
  <c r="G100" i="51" s="1"/>
  <c r="C100" i="52" s="1"/>
  <c r="E100" i="52" s="1"/>
  <c r="G100" i="52" s="1"/>
  <c r="C100" i="53" s="1"/>
  <c r="E100" i="53" s="1"/>
  <c r="G100" i="53" s="1"/>
  <c r="C100" i="54" s="1"/>
  <c r="E100" i="54" s="1"/>
  <c r="G100" i="54" s="1"/>
  <c r="C100" i="55" s="1"/>
  <c r="E100" i="55" s="1"/>
  <c r="G100" i="55" s="1"/>
  <c r="C100" i="56" s="1"/>
  <c r="E100" i="56" s="1"/>
  <c r="G100" i="56" s="1"/>
  <c r="C100" i="57" s="1"/>
  <c r="E100" i="57" s="1"/>
  <c r="G100" i="57" s="1"/>
  <c r="C100" i="58" s="1"/>
  <c r="E100" i="58" s="1"/>
  <c r="G100" i="58" s="1"/>
  <c r="C100" i="59" s="1"/>
  <c r="E100" i="59" s="1"/>
  <c r="G100" i="59" s="1"/>
  <c r="C100" i="60" s="1"/>
  <c r="E100" i="60" s="1"/>
  <c r="G100" i="60" s="1"/>
  <c r="C100" i="61" s="1"/>
  <c r="E100" i="61" s="1"/>
  <c r="G100" i="61" s="1"/>
  <c r="C100" i="62" s="1"/>
  <c r="E100" i="62" s="1"/>
  <c r="G100" i="62" s="1"/>
  <c r="C100" i="63" s="1"/>
  <c r="E100" i="63" s="1"/>
  <c r="G100" i="63" s="1"/>
  <c r="C100" i="64" s="1"/>
  <c r="E100" i="64" s="1"/>
  <c r="G100" i="64" s="1"/>
  <c r="E100" i="15"/>
  <c r="E116" i="34"/>
  <c r="G116" i="34" s="1"/>
  <c r="C116" i="35" s="1"/>
  <c r="E116" i="35" s="1"/>
  <c r="G116" i="35" s="1"/>
  <c r="C116" i="36" s="1"/>
  <c r="E116" i="36" s="1"/>
  <c r="G116" i="36" s="1"/>
  <c r="C116" i="37" s="1"/>
  <c r="E116" i="37" s="1"/>
  <c r="G116" i="37" s="1"/>
  <c r="C116" i="38" s="1"/>
  <c r="E116" i="38" s="1"/>
  <c r="G116" i="38" s="1"/>
  <c r="C116" i="39" s="1"/>
  <c r="E116" i="39" s="1"/>
  <c r="G116" i="39" s="1"/>
  <c r="C116" i="40" s="1"/>
  <c r="E116" i="40" s="1"/>
  <c r="G116" i="40" s="1"/>
  <c r="C116" i="41" s="1"/>
  <c r="E116" i="41" s="1"/>
  <c r="G116" i="41" s="1"/>
  <c r="C116" i="42" s="1"/>
  <c r="E116" i="42" s="1"/>
  <c r="G116" i="42" s="1"/>
  <c r="C116" i="43" s="1"/>
  <c r="E116" i="43" s="1"/>
  <c r="G116" i="43" s="1"/>
  <c r="C116" i="44" s="1"/>
  <c r="E116" i="44" s="1"/>
  <c r="G116" i="44" s="1"/>
  <c r="C116" i="45" s="1"/>
  <c r="E116" i="45" s="1"/>
  <c r="G116" i="45" s="1"/>
  <c r="C116" i="46" s="1"/>
  <c r="E116" i="46" s="1"/>
  <c r="G116" i="46" s="1"/>
  <c r="C116" i="47" s="1"/>
  <c r="E116" i="47" s="1"/>
  <c r="G116" i="47" s="1"/>
  <c r="C116" i="48" s="1"/>
  <c r="E116" i="48" s="1"/>
  <c r="G116" i="48" s="1"/>
  <c r="C116" i="49" s="1"/>
  <c r="E116" i="49" s="1"/>
  <c r="G116" i="49" s="1"/>
  <c r="C116" i="50" s="1"/>
  <c r="E116" i="50" s="1"/>
  <c r="G116" i="50" s="1"/>
  <c r="C116" i="51" s="1"/>
  <c r="E116" i="51" s="1"/>
  <c r="G116" i="51" s="1"/>
  <c r="C116" i="52" s="1"/>
  <c r="E116" i="52" s="1"/>
  <c r="G116" i="52" s="1"/>
  <c r="C116" i="53" s="1"/>
  <c r="E116" i="53" s="1"/>
  <c r="G116" i="53" s="1"/>
  <c r="C116" i="54" s="1"/>
  <c r="E116" i="54" s="1"/>
  <c r="G116" i="54" s="1"/>
  <c r="C116" i="55" s="1"/>
  <c r="E116" i="55" s="1"/>
  <c r="G116" i="55" s="1"/>
  <c r="C116" i="56" s="1"/>
  <c r="E116" i="56" s="1"/>
  <c r="G116" i="56" s="1"/>
  <c r="C116" i="57" s="1"/>
  <c r="E116" i="57" s="1"/>
  <c r="G116" i="57" s="1"/>
  <c r="C116" i="58" s="1"/>
  <c r="E116" i="58" s="1"/>
  <c r="G116" i="58" s="1"/>
  <c r="C116" i="59" s="1"/>
  <c r="E116" i="59" s="1"/>
  <c r="G116" i="59" s="1"/>
  <c r="C116" i="60" s="1"/>
  <c r="E116" i="60" s="1"/>
  <c r="G116" i="60" s="1"/>
  <c r="C116" i="61" s="1"/>
  <c r="E116" i="61" s="1"/>
  <c r="G116" i="61" s="1"/>
  <c r="C116" i="62" s="1"/>
  <c r="E116" i="62" s="1"/>
  <c r="G116" i="62" s="1"/>
  <c r="C116" i="63" s="1"/>
  <c r="E116" i="63" s="1"/>
  <c r="G116" i="63" s="1"/>
  <c r="C116" i="64" s="1"/>
  <c r="E116" i="64" s="1"/>
  <c r="G116" i="64" s="1"/>
  <c r="E116" i="15"/>
  <c r="E124" i="34"/>
  <c r="G124" i="34" s="1"/>
  <c r="C124" i="35" s="1"/>
  <c r="E124" i="35" s="1"/>
  <c r="G124" i="35" s="1"/>
  <c r="C124" i="36" s="1"/>
  <c r="E124" i="36" s="1"/>
  <c r="G124" i="36" s="1"/>
  <c r="C124" i="37" s="1"/>
  <c r="E124" i="37" s="1"/>
  <c r="G124" i="37" s="1"/>
  <c r="C124" i="38" s="1"/>
  <c r="E124" i="38" s="1"/>
  <c r="G124" i="38" s="1"/>
  <c r="C124" i="39" s="1"/>
  <c r="E124" i="39" s="1"/>
  <c r="G124" i="39" s="1"/>
  <c r="C124" i="40" s="1"/>
  <c r="E124" i="40" s="1"/>
  <c r="G124" i="40" s="1"/>
  <c r="C124" i="41" s="1"/>
  <c r="E124" i="41" s="1"/>
  <c r="G124" i="41" s="1"/>
  <c r="C124" i="42" s="1"/>
  <c r="E124" i="42" s="1"/>
  <c r="G124" i="42" s="1"/>
  <c r="C124" i="43" s="1"/>
  <c r="E124" i="43" s="1"/>
  <c r="G124" i="43" s="1"/>
  <c r="C124" i="44" s="1"/>
  <c r="E124" i="44" s="1"/>
  <c r="G124" i="44" s="1"/>
  <c r="C124" i="45" s="1"/>
  <c r="E124" i="45" s="1"/>
  <c r="G124" i="45" s="1"/>
  <c r="C124" i="46" s="1"/>
  <c r="E124" i="46" s="1"/>
  <c r="G124" i="46" s="1"/>
  <c r="C124" i="47" s="1"/>
  <c r="E124" i="47" s="1"/>
  <c r="G124" i="47" s="1"/>
  <c r="C124" i="48" s="1"/>
  <c r="E124" i="48" s="1"/>
  <c r="G124" i="48" s="1"/>
  <c r="C124" i="49" s="1"/>
  <c r="E124" i="49" s="1"/>
  <c r="G124" i="49" s="1"/>
  <c r="C124" i="50" s="1"/>
  <c r="E124" i="50" s="1"/>
  <c r="G124" i="50" s="1"/>
  <c r="C124" i="51" s="1"/>
  <c r="E124" i="51" s="1"/>
  <c r="G124" i="51" s="1"/>
  <c r="C124" i="52" s="1"/>
  <c r="E124" i="52" s="1"/>
  <c r="G124" i="52" s="1"/>
  <c r="C124" i="53" s="1"/>
  <c r="E124" i="53" s="1"/>
  <c r="G124" i="53" s="1"/>
  <c r="C124" i="54" s="1"/>
  <c r="E124" i="54" s="1"/>
  <c r="G124" i="54" s="1"/>
  <c r="C124" i="55" s="1"/>
  <c r="E124" i="55" s="1"/>
  <c r="G124" i="55" s="1"/>
  <c r="C124" i="56" s="1"/>
  <c r="E124" i="56" s="1"/>
  <c r="G124" i="56" s="1"/>
  <c r="C124" i="57" s="1"/>
  <c r="E124" i="57" s="1"/>
  <c r="G124" i="57" s="1"/>
  <c r="C124" i="58" s="1"/>
  <c r="E124" i="58" s="1"/>
  <c r="G124" i="58" s="1"/>
  <c r="C124" i="59" s="1"/>
  <c r="E124" i="59" s="1"/>
  <c r="G124" i="59" s="1"/>
  <c r="C124" i="60" s="1"/>
  <c r="E124" i="60" s="1"/>
  <c r="G124" i="60" s="1"/>
  <c r="C124" i="61" s="1"/>
  <c r="E124" i="61" s="1"/>
  <c r="G124" i="61" s="1"/>
  <c r="C124" i="62" s="1"/>
  <c r="E124" i="62" s="1"/>
  <c r="G124" i="62" s="1"/>
  <c r="C124" i="63" s="1"/>
  <c r="E124" i="63" s="1"/>
  <c r="G124" i="63" s="1"/>
  <c r="C124" i="64" s="1"/>
  <c r="E124" i="64" s="1"/>
  <c r="G124" i="64" s="1"/>
  <c r="E124" i="15"/>
  <c r="E132" i="34"/>
  <c r="G132" i="34" s="1"/>
  <c r="C132" i="35" s="1"/>
  <c r="E132" i="35" s="1"/>
  <c r="G132" i="35" s="1"/>
  <c r="C132" i="36" s="1"/>
  <c r="E132" i="36" s="1"/>
  <c r="G132" i="36" s="1"/>
  <c r="C132" i="37" s="1"/>
  <c r="E132" i="37" s="1"/>
  <c r="G132" i="37" s="1"/>
  <c r="C132" i="38" s="1"/>
  <c r="E132" i="38" s="1"/>
  <c r="G132" i="38" s="1"/>
  <c r="C132" i="39" s="1"/>
  <c r="E132" i="39" s="1"/>
  <c r="G132" i="39" s="1"/>
  <c r="C132" i="40" s="1"/>
  <c r="E132" i="40" s="1"/>
  <c r="G132" i="40" s="1"/>
  <c r="C132" i="41" s="1"/>
  <c r="E132" i="41" s="1"/>
  <c r="G132" i="41" s="1"/>
  <c r="C132" i="42" s="1"/>
  <c r="E132" i="42" s="1"/>
  <c r="G132" i="42" s="1"/>
  <c r="C132" i="43" s="1"/>
  <c r="E132" i="43" s="1"/>
  <c r="G132" i="43" s="1"/>
  <c r="C132" i="44" s="1"/>
  <c r="E132" i="44" s="1"/>
  <c r="G132" i="44" s="1"/>
  <c r="C132" i="45" s="1"/>
  <c r="E132" i="45" s="1"/>
  <c r="G132" i="45" s="1"/>
  <c r="C132" i="46" s="1"/>
  <c r="E132" i="46" s="1"/>
  <c r="G132" i="46" s="1"/>
  <c r="C132" i="47" s="1"/>
  <c r="E132" i="47" s="1"/>
  <c r="G132" i="47" s="1"/>
  <c r="C132" i="48" s="1"/>
  <c r="E132" i="48" s="1"/>
  <c r="G132" i="48" s="1"/>
  <c r="C132" i="49" s="1"/>
  <c r="E132" i="49" s="1"/>
  <c r="G132" i="49" s="1"/>
  <c r="C132" i="50" s="1"/>
  <c r="E132" i="50" s="1"/>
  <c r="G132" i="50" s="1"/>
  <c r="C132" i="51" s="1"/>
  <c r="E132" i="51" s="1"/>
  <c r="G132" i="51" s="1"/>
  <c r="C132" i="52" s="1"/>
  <c r="E132" i="52" s="1"/>
  <c r="G132" i="52" s="1"/>
  <c r="C132" i="53" s="1"/>
  <c r="E132" i="53" s="1"/>
  <c r="G132" i="53" s="1"/>
  <c r="C132" i="54" s="1"/>
  <c r="E132" i="54" s="1"/>
  <c r="G132" i="54" s="1"/>
  <c r="C132" i="55" s="1"/>
  <c r="E132" i="55" s="1"/>
  <c r="G132" i="55" s="1"/>
  <c r="C132" i="56" s="1"/>
  <c r="E132" i="56" s="1"/>
  <c r="G132" i="56" s="1"/>
  <c r="C132" i="57" s="1"/>
  <c r="E132" i="57" s="1"/>
  <c r="G132" i="57" s="1"/>
  <c r="C132" i="58" s="1"/>
  <c r="E132" i="58" s="1"/>
  <c r="G132" i="58" s="1"/>
  <c r="C132" i="59" s="1"/>
  <c r="E132" i="59" s="1"/>
  <c r="G132" i="59" s="1"/>
  <c r="C132" i="60" s="1"/>
  <c r="E132" i="60" s="1"/>
  <c r="G132" i="60" s="1"/>
  <c r="C132" i="61" s="1"/>
  <c r="E132" i="61" s="1"/>
  <c r="G132" i="61" s="1"/>
  <c r="C132" i="62" s="1"/>
  <c r="E132" i="62" s="1"/>
  <c r="G132" i="62" s="1"/>
  <c r="C132" i="63" s="1"/>
  <c r="E132" i="63" s="1"/>
  <c r="G132" i="63" s="1"/>
  <c r="C132" i="64" s="1"/>
  <c r="E132" i="64" s="1"/>
  <c r="G132" i="64" s="1"/>
  <c r="E132" i="15"/>
  <c r="E140" i="34"/>
  <c r="G140" i="34" s="1"/>
  <c r="C140" i="35" s="1"/>
  <c r="E140" i="35" s="1"/>
  <c r="G140" i="35" s="1"/>
  <c r="C140" i="36" s="1"/>
  <c r="E140" i="36" s="1"/>
  <c r="G140" i="36" s="1"/>
  <c r="C140" i="37" s="1"/>
  <c r="E140" i="37" s="1"/>
  <c r="G140" i="37" s="1"/>
  <c r="C140" i="38" s="1"/>
  <c r="E140" i="38" s="1"/>
  <c r="G140" i="38" s="1"/>
  <c r="C140" i="39" s="1"/>
  <c r="E140" i="39" s="1"/>
  <c r="G140" i="39" s="1"/>
  <c r="C140" i="40" s="1"/>
  <c r="E140" i="40" s="1"/>
  <c r="G140" i="40" s="1"/>
  <c r="C140" i="41" s="1"/>
  <c r="E140" i="41" s="1"/>
  <c r="G140" i="41" s="1"/>
  <c r="C140" i="42" s="1"/>
  <c r="E140" i="42" s="1"/>
  <c r="G140" i="42" s="1"/>
  <c r="C140" i="43" s="1"/>
  <c r="E140" i="43" s="1"/>
  <c r="G140" i="43" s="1"/>
  <c r="C140" i="44" s="1"/>
  <c r="E140" i="44" s="1"/>
  <c r="G140" i="44" s="1"/>
  <c r="C140" i="45" s="1"/>
  <c r="E140" i="45" s="1"/>
  <c r="G140" i="45" s="1"/>
  <c r="C140" i="46" s="1"/>
  <c r="E140" i="46" s="1"/>
  <c r="G140" i="46" s="1"/>
  <c r="C140" i="47" s="1"/>
  <c r="E140" i="47" s="1"/>
  <c r="G140" i="47" s="1"/>
  <c r="C140" i="48" s="1"/>
  <c r="E140" i="48" s="1"/>
  <c r="G140" i="48" s="1"/>
  <c r="C140" i="49" s="1"/>
  <c r="E140" i="49" s="1"/>
  <c r="G140" i="49" s="1"/>
  <c r="C140" i="50" s="1"/>
  <c r="E140" i="50" s="1"/>
  <c r="G140" i="50" s="1"/>
  <c r="C140" i="51" s="1"/>
  <c r="E140" i="51" s="1"/>
  <c r="G140" i="51" s="1"/>
  <c r="C140" i="52" s="1"/>
  <c r="E140" i="52" s="1"/>
  <c r="G140" i="52" s="1"/>
  <c r="C140" i="53" s="1"/>
  <c r="E140" i="53" s="1"/>
  <c r="G140" i="53" s="1"/>
  <c r="C140" i="54" s="1"/>
  <c r="E140" i="54" s="1"/>
  <c r="G140" i="54" s="1"/>
  <c r="C140" i="55" s="1"/>
  <c r="E140" i="55" s="1"/>
  <c r="G140" i="55" s="1"/>
  <c r="C140" i="56" s="1"/>
  <c r="E140" i="56" s="1"/>
  <c r="G140" i="56" s="1"/>
  <c r="C140" i="57" s="1"/>
  <c r="E140" i="57" s="1"/>
  <c r="G140" i="57" s="1"/>
  <c r="C140" i="58" s="1"/>
  <c r="E140" i="58" s="1"/>
  <c r="G140" i="58" s="1"/>
  <c r="C140" i="59" s="1"/>
  <c r="E140" i="59" s="1"/>
  <c r="G140" i="59" s="1"/>
  <c r="C140" i="60" s="1"/>
  <c r="E140" i="60" s="1"/>
  <c r="G140" i="60" s="1"/>
  <c r="C140" i="61" s="1"/>
  <c r="E140" i="61" s="1"/>
  <c r="G140" i="61" s="1"/>
  <c r="C140" i="62" s="1"/>
  <c r="E140" i="62" s="1"/>
  <c r="G140" i="62" s="1"/>
  <c r="C140" i="63" s="1"/>
  <c r="E140" i="63" s="1"/>
  <c r="G140" i="63" s="1"/>
  <c r="C140" i="64" s="1"/>
  <c r="E140" i="64" s="1"/>
  <c r="G140" i="64" s="1"/>
  <c r="E140" i="15"/>
  <c r="E148" i="34"/>
  <c r="G148" i="34" s="1"/>
  <c r="C148" i="35" s="1"/>
  <c r="E148" i="35" s="1"/>
  <c r="G148" i="35" s="1"/>
  <c r="C148" i="36" s="1"/>
  <c r="E148" i="36" s="1"/>
  <c r="G148" i="36" s="1"/>
  <c r="C148" i="37" s="1"/>
  <c r="E148" i="37" s="1"/>
  <c r="G148" i="37" s="1"/>
  <c r="C148" i="38" s="1"/>
  <c r="E148" i="38" s="1"/>
  <c r="G148" i="38" s="1"/>
  <c r="C148" i="39" s="1"/>
  <c r="E148" i="39" s="1"/>
  <c r="G148" i="39" s="1"/>
  <c r="C148" i="40" s="1"/>
  <c r="E148" i="40" s="1"/>
  <c r="G148" i="40" s="1"/>
  <c r="C148" i="41" s="1"/>
  <c r="E148" i="41" s="1"/>
  <c r="G148" i="41" s="1"/>
  <c r="C148" i="42" s="1"/>
  <c r="E148" i="42" s="1"/>
  <c r="G148" i="42" s="1"/>
  <c r="C148" i="43" s="1"/>
  <c r="E148" i="43" s="1"/>
  <c r="G148" i="43" s="1"/>
  <c r="C148" i="44" s="1"/>
  <c r="E148" i="44" s="1"/>
  <c r="G148" i="44" s="1"/>
  <c r="C148" i="45" s="1"/>
  <c r="E148" i="45" s="1"/>
  <c r="G148" i="45" s="1"/>
  <c r="C148" i="46" s="1"/>
  <c r="E148" i="46" s="1"/>
  <c r="G148" i="46" s="1"/>
  <c r="C148" i="47" s="1"/>
  <c r="E148" i="47" s="1"/>
  <c r="G148" i="47" s="1"/>
  <c r="C148" i="48" s="1"/>
  <c r="E148" i="48" s="1"/>
  <c r="G148" i="48" s="1"/>
  <c r="C148" i="49" s="1"/>
  <c r="E148" i="49" s="1"/>
  <c r="G148" i="49" s="1"/>
  <c r="C148" i="50" s="1"/>
  <c r="E148" i="50" s="1"/>
  <c r="G148" i="50" s="1"/>
  <c r="C148" i="51" s="1"/>
  <c r="E148" i="51" s="1"/>
  <c r="G148" i="51" s="1"/>
  <c r="C148" i="52" s="1"/>
  <c r="E148" i="52" s="1"/>
  <c r="G148" i="52" s="1"/>
  <c r="C148" i="53" s="1"/>
  <c r="E148" i="53" s="1"/>
  <c r="G148" i="53" s="1"/>
  <c r="C148" i="54" s="1"/>
  <c r="E148" i="54" s="1"/>
  <c r="G148" i="54" s="1"/>
  <c r="C148" i="55" s="1"/>
  <c r="E148" i="55" s="1"/>
  <c r="G148" i="55" s="1"/>
  <c r="C148" i="56" s="1"/>
  <c r="E148" i="56" s="1"/>
  <c r="G148" i="56" s="1"/>
  <c r="C148" i="57" s="1"/>
  <c r="E148" i="57" s="1"/>
  <c r="G148" i="57" s="1"/>
  <c r="C148" i="58" s="1"/>
  <c r="E148" i="58" s="1"/>
  <c r="G148" i="58" s="1"/>
  <c r="C148" i="59" s="1"/>
  <c r="E148" i="59" s="1"/>
  <c r="G148" i="59" s="1"/>
  <c r="C148" i="60" s="1"/>
  <c r="E148" i="60" s="1"/>
  <c r="G148" i="60" s="1"/>
  <c r="C148" i="61" s="1"/>
  <c r="E148" i="61" s="1"/>
  <c r="G148" i="61" s="1"/>
  <c r="C148" i="62" s="1"/>
  <c r="E148" i="62" s="1"/>
  <c r="G148" i="62" s="1"/>
  <c r="C148" i="63" s="1"/>
  <c r="E148" i="63" s="1"/>
  <c r="G148" i="63" s="1"/>
  <c r="C148" i="64" s="1"/>
  <c r="E148" i="64" s="1"/>
  <c r="G148" i="64" s="1"/>
  <c r="E148" i="15"/>
  <c r="E152" i="15"/>
  <c r="E156" i="34"/>
  <c r="G156" i="34" s="1"/>
  <c r="C156" i="35" s="1"/>
  <c r="E156" i="35" s="1"/>
  <c r="G156" i="35" s="1"/>
  <c r="C156" i="36" s="1"/>
  <c r="E156" i="36" s="1"/>
  <c r="G156" i="36" s="1"/>
  <c r="C156" i="37" s="1"/>
  <c r="E156" i="37" s="1"/>
  <c r="G156" i="37" s="1"/>
  <c r="C156" i="38" s="1"/>
  <c r="E156" i="38" s="1"/>
  <c r="G156" i="38" s="1"/>
  <c r="C156" i="39" s="1"/>
  <c r="E156" i="39" s="1"/>
  <c r="G156" i="39" s="1"/>
  <c r="C156" i="40" s="1"/>
  <c r="E156" i="40" s="1"/>
  <c r="G156" i="40" s="1"/>
  <c r="C156" i="41" s="1"/>
  <c r="E156" i="41" s="1"/>
  <c r="G156" i="41" s="1"/>
  <c r="C156" i="42" s="1"/>
  <c r="E156" i="42" s="1"/>
  <c r="G156" i="42" s="1"/>
  <c r="C156" i="43" s="1"/>
  <c r="E156" i="43" s="1"/>
  <c r="G156" i="43" s="1"/>
  <c r="C156" i="44" s="1"/>
  <c r="E156" i="44" s="1"/>
  <c r="G156" i="44" s="1"/>
  <c r="C156" i="45" s="1"/>
  <c r="E156" i="45" s="1"/>
  <c r="G156" i="45" s="1"/>
  <c r="C156" i="46" s="1"/>
  <c r="E156" i="46" s="1"/>
  <c r="G156" i="46" s="1"/>
  <c r="C156" i="47" s="1"/>
  <c r="E156" i="47" s="1"/>
  <c r="G156" i="47" s="1"/>
  <c r="C156" i="48" s="1"/>
  <c r="E156" i="48" s="1"/>
  <c r="G156" i="48" s="1"/>
  <c r="C156" i="49" s="1"/>
  <c r="E156" i="49" s="1"/>
  <c r="G156" i="49" s="1"/>
  <c r="C156" i="50" s="1"/>
  <c r="E156" i="50" s="1"/>
  <c r="G156" i="50" s="1"/>
  <c r="C156" i="51" s="1"/>
  <c r="E156" i="51" s="1"/>
  <c r="G156" i="51" s="1"/>
  <c r="C156" i="52" s="1"/>
  <c r="E156" i="52" s="1"/>
  <c r="G156" i="52" s="1"/>
  <c r="C156" i="53" s="1"/>
  <c r="E156" i="53" s="1"/>
  <c r="G156" i="53" s="1"/>
  <c r="C156" i="54" s="1"/>
  <c r="E156" i="54" s="1"/>
  <c r="G156" i="54" s="1"/>
  <c r="C156" i="55" s="1"/>
  <c r="E156" i="55" s="1"/>
  <c r="G156" i="55" s="1"/>
  <c r="C156" i="56" s="1"/>
  <c r="E156" i="56" s="1"/>
  <c r="G156" i="56" s="1"/>
  <c r="C156" i="57" s="1"/>
  <c r="E156" i="57" s="1"/>
  <c r="G156" i="57" s="1"/>
  <c r="C156" i="58" s="1"/>
  <c r="E156" i="58" s="1"/>
  <c r="G156" i="58" s="1"/>
  <c r="C156" i="59" s="1"/>
  <c r="E156" i="59" s="1"/>
  <c r="G156" i="59" s="1"/>
  <c r="C156" i="60" s="1"/>
  <c r="E156" i="60" s="1"/>
  <c r="G156" i="60" s="1"/>
  <c r="C156" i="61" s="1"/>
  <c r="E156" i="61" s="1"/>
  <c r="G156" i="61" s="1"/>
  <c r="C156" i="62" s="1"/>
  <c r="E156" i="62" s="1"/>
  <c r="G156" i="62" s="1"/>
  <c r="C156" i="63" s="1"/>
  <c r="E156" i="63" s="1"/>
  <c r="G156" i="63" s="1"/>
  <c r="C156" i="64" s="1"/>
  <c r="E156" i="64" s="1"/>
  <c r="G156" i="64" s="1"/>
  <c r="E156" i="15"/>
  <c r="E160" i="15"/>
  <c r="E183" i="15"/>
  <c r="E191" i="15"/>
  <c r="E199" i="15"/>
  <c r="E166" i="34"/>
  <c r="G166" i="34" s="1"/>
  <c r="C166" i="35" s="1"/>
  <c r="E166" i="35" s="1"/>
  <c r="G166" i="35" s="1"/>
  <c r="C166" i="36" s="1"/>
  <c r="E166" i="36" s="1"/>
  <c r="G166" i="36" s="1"/>
  <c r="C166" i="37" s="1"/>
  <c r="E166" i="37" s="1"/>
  <c r="G166" i="37" s="1"/>
  <c r="C166" i="38" s="1"/>
  <c r="E166" i="38" s="1"/>
  <c r="G166" i="38" s="1"/>
  <c r="C166" i="39" s="1"/>
  <c r="E166" i="39" s="1"/>
  <c r="G166" i="39" s="1"/>
  <c r="C166" i="40" s="1"/>
  <c r="E166" i="40" s="1"/>
  <c r="G166" i="40" s="1"/>
  <c r="C166" i="41" s="1"/>
  <c r="E166" i="41" s="1"/>
  <c r="G166" i="41" s="1"/>
  <c r="C166" i="42" s="1"/>
  <c r="E166" i="42" s="1"/>
  <c r="G166" i="42" s="1"/>
  <c r="C166" i="43" s="1"/>
  <c r="E166" i="43" s="1"/>
  <c r="G166" i="43" s="1"/>
  <c r="C166" i="44" s="1"/>
  <c r="E166" i="44" s="1"/>
  <c r="G166" i="44" s="1"/>
  <c r="C166" i="45" s="1"/>
  <c r="E166" i="45" s="1"/>
  <c r="G166" i="45" s="1"/>
  <c r="C166" i="46" s="1"/>
  <c r="E166" i="46" s="1"/>
  <c r="G166" i="46" s="1"/>
  <c r="C166" i="47" s="1"/>
  <c r="E166" i="47" s="1"/>
  <c r="G166" i="47" s="1"/>
  <c r="C166" i="48" s="1"/>
  <c r="E166" i="48" s="1"/>
  <c r="G166" i="48" s="1"/>
  <c r="C166" i="49" s="1"/>
  <c r="E166" i="49" s="1"/>
  <c r="G166" i="49" s="1"/>
  <c r="C166" i="50" s="1"/>
  <c r="E166" i="50" s="1"/>
  <c r="G166" i="50" s="1"/>
  <c r="C166" i="51" s="1"/>
  <c r="E166" i="51" s="1"/>
  <c r="G166" i="51" s="1"/>
  <c r="C166" i="52" s="1"/>
  <c r="E166" i="52" s="1"/>
  <c r="G166" i="52" s="1"/>
  <c r="C166" i="53" s="1"/>
  <c r="E166" i="53" s="1"/>
  <c r="G166" i="53" s="1"/>
  <c r="C166" i="54" s="1"/>
  <c r="E166" i="54" s="1"/>
  <c r="G166" i="54" s="1"/>
  <c r="C166" i="55" s="1"/>
  <c r="E166" i="55" s="1"/>
  <c r="G166" i="55" s="1"/>
  <c r="C166" i="56" s="1"/>
  <c r="E166" i="56" s="1"/>
  <c r="G166" i="56" s="1"/>
  <c r="C166" i="57" s="1"/>
  <c r="E166" i="57" s="1"/>
  <c r="G166" i="57" s="1"/>
  <c r="C166" i="58" s="1"/>
  <c r="E166" i="58" s="1"/>
  <c r="G166" i="58" s="1"/>
  <c r="C166" i="59" s="1"/>
  <c r="E166" i="59" s="1"/>
  <c r="G166" i="59" s="1"/>
  <c r="C166" i="60" s="1"/>
  <c r="E166" i="60" s="1"/>
  <c r="G166" i="60" s="1"/>
  <c r="C166" i="61" s="1"/>
  <c r="E166" i="61" s="1"/>
  <c r="G166" i="61" s="1"/>
  <c r="C166" i="62" s="1"/>
  <c r="E166" i="62" s="1"/>
  <c r="G166" i="62" s="1"/>
  <c r="C166" i="63" s="1"/>
  <c r="E166" i="63" s="1"/>
  <c r="G166" i="63" s="1"/>
  <c r="C166" i="64" s="1"/>
  <c r="E166" i="64" s="1"/>
  <c r="G166" i="64" s="1"/>
  <c r="E166" i="15"/>
  <c r="E51" i="34"/>
  <c r="G51" i="34" s="1"/>
  <c r="C51" i="35" s="1"/>
  <c r="E51" i="35" s="1"/>
  <c r="G51" i="35" s="1"/>
  <c r="C51" i="36" s="1"/>
  <c r="E51" i="36" s="1"/>
  <c r="G51" i="36" s="1"/>
  <c r="C51" i="37" s="1"/>
  <c r="E51" i="37" s="1"/>
  <c r="G51" i="37" s="1"/>
  <c r="C51" i="38" s="1"/>
  <c r="E51" i="38" s="1"/>
  <c r="G51" i="38" s="1"/>
  <c r="C51" i="39" s="1"/>
  <c r="E51" i="39" s="1"/>
  <c r="G51" i="39" s="1"/>
  <c r="C51" i="40" s="1"/>
  <c r="E51" i="40" s="1"/>
  <c r="G51" i="40" s="1"/>
  <c r="C51" i="41" s="1"/>
  <c r="E51" i="41" s="1"/>
  <c r="G51" i="41" s="1"/>
  <c r="C51" i="42" s="1"/>
  <c r="E51" i="42" s="1"/>
  <c r="G51" i="42" s="1"/>
  <c r="C51" i="43" s="1"/>
  <c r="E51" i="43" s="1"/>
  <c r="G51" i="43" s="1"/>
  <c r="C51" i="44" s="1"/>
  <c r="E51" i="44" s="1"/>
  <c r="G51" i="44" s="1"/>
  <c r="C51" i="45" s="1"/>
  <c r="E51" i="45" s="1"/>
  <c r="G51" i="45" s="1"/>
  <c r="C51" i="46" s="1"/>
  <c r="E51" i="46" s="1"/>
  <c r="G51" i="46" s="1"/>
  <c r="C51" i="47" s="1"/>
  <c r="E51" i="47" s="1"/>
  <c r="G51" i="47" s="1"/>
  <c r="C51" i="48" s="1"/>
  <c r="E51" i="48" s="1"/>
  <c r="G51" i="48" s="1"/>
  <c r="C51" i="49" s="1"/>
  <c r="E51" i="49" s="1"/>
  <c r="G51" i="49" s="1"/>
  <c r="C51" i="50" s="1"/>
  <c r="E51" i="50" s="1"/>
  <c r="G51" i="50" s="1"/>
  <c r="C51" i="51" s="1"/>
  <c r="E51" i="51" s="1"/>
  <c r="G51" i="51" s="1"/>
  <c r="C51" i="52" s="1"/>
  <c r="E51" i="52" s="1"/>
  <c r="G51" i="52" s="1"/>
  <c r="C51" i="53" s="1"/>
  <c r="E51" i="53" s="1"/>
  <c r="G51" i="53" s="1"/>
  <c r="C51" i="54" s="1"/>
  <c r="E51" i="54" s="1"/>
  <c r="G51" i="54" s="1"/>
  <c r="C51" i="55" s="1"/>
  <c r="E51" i="55" s="1"/>
  <c r="G51" i="55" s="1"/>
  <c r="C51" i="56" s="1"/>
  <c r="E51" i="56" s="1"/>
  <c r="G51" i="56" s="1"/>
  <c r="C51" i="57" s="1"/>
  <c r="E51" i="57" s="1"/>
  <c r="G51" i="57" s="1"/>
  <c r="C51" i="58" s="1"/>
  <c r="E51" i="58" s="1"/>
  <c r="G51" i="58" s="1"/>
  <c r="C51" i="59" s="1"/>
  <c r="E51" i="59" s="1"/>
  <c r="G51" i="59" s="1"/>
  <c r="C51" i="60" s="1"/>
  <c r="E51" i="60" s="1"/>
  <c r="G51" i="60" s="1"/>
  <c r="C51" i="61" s="1"/>
  <c r="E51" i="61" s="1"/>
  <c r="G51" i="61" s="1"/>
  <c r="C51" i="62" s="1"/>
  <c r="E51" i="62" s="1"/>
  <c r="G51" i="62" s="1"/>
  <c r="C51" i="63" s="1"/>
  <c r="E51" i="63" s="1"/>
  <c r="G51" i="63" s="1"/>
  <c r="C51" i="64" s="1"/>
  <c r="E51" i="64" s="1"/>
  <c r="G51" i="64" s="1"/>
  <c r="E51" i="15"/>
  <c r="E102" i="34"/>
  <c r="G102" i="34" s="1"/>
  <c r="C102" i="35" s="1"/>
  <c r="E102" i="35" s="1"/>
  <c r="G102" i="35" s="1"/>
  <c r="C102" i="36" s="1"/>
  <c r="E102" i="36" s="1"/>
  <c r="G102" i="36" s="1"/>
  <c r="C102" i="37" s="1"/>
  <c r="E102" i="37" s="1"/>
  <c r="G102" i="37" s="1"/>
  <c r="C102" i="38" s="1"/>
  <c r="E102" i="38" s="1"/>
  <c r="G102" i="38" s="1"/>
  <c r="C102" i="39" s="1"/>
  <c r="E102" i="39" s="1"/>
  <c r="G102" i="39" s="1"/>
  <c r="C102" i="40" s="1"/>
  <c r="E102" i="40" s="1"/>
  <c r="G102" i="40" s="1"/>
  <c r="C102" i="41" s="1"/>
  <c r="E102" i="41" s="1"/>
  <c r="G102" i="41" s="1"/>
  <c r="C102" i="42" s="1"/>
  <c r="E102" i="42" s="1"/>
  <c r="G102" i="42" s="1"/>
  <c r="C102" i="43" s="1"/>
  <c r="E102" i="43" s="1"/>
  <c r="G102" i="43" s="1"/>
  <c r="C102" i="44" s="1"/>
  <c r="E102" i="44" s="1"/>
  <c r="G102" i="44" s="1"/>
  <c r="C102" i="45" s="1"/>
  <c r="E102" i="45" s="1"/>
  <c r="G102" i="45" s="1"/>
  <c r="C102" i="46" s="1"/>
  <c r="E102" i="46" s="1"/>
  <c r="G102" i="46" s="1"/>
  <c r="C102" i="47" s="1"/>
  <c r="E102" i="47" s="1"/>
  <c r="G102" i="47" s="1"/>
  <c r="C102" i="48" s="1"/>
  <c r="E102" i="48" s="1"/>
  <c r="G102" i="48" s="1"/>
  <c r="C102" i="49" s="1"/>
  <c r="E102" i="49" s="1"/>
  <c r="G102" i="49" s="1"/>
  <c r="C102" i="50" s="1"/>
  <c r="E102" i="50" s="1"/>
  <c r="G102" i="50" s="1"/>
  <c r="C102" i="51" s="1"/>
  <c r="E102" i="51" s="1"/>
  <c r="G102" i="51" s="1"/>
  <c r="C102" i="52" s="1"/>
  <c r="E102" i="52" s="1"/>
  <c r="G102" i="52" s="1"/>
  <c r="C102" i="53" s="1"/>
  <c r="E102" i="53" s="1"/>
  <c r="G102" i="53" s="1"/>
  <c r="C102" i="54" s="1"/>
  <c r="E102" i="54" s="1"/>
  <c r="G102" i="54" s="1"/>
  <c r="C102" i="55" s="1"/>
  <c r="E102" i="55" s="1"/>
  <c r="G102" i="55" s="1"/>
  <c r="C102" i="56" s="1"/>
  <c r="E102" i="56" s="1"/>
  <c r="G102" i="56" s="1"/>
  <c r="C102" i="57" s="1"/>
  <c r="E102" i="57" s="1"/>
  <c r="G102" i="57" s="1"/>
  <c r="C102" i="58" s="1"/>
  <c r="E102" i="58" s="1"/>
  <c r="G102" i="58" s="1"/>
  <c r="C102" i="59" s="1"/>
  <c r="E102" i="59" s="1"/>
  <c r="G102" i="59" s="1"/>
  <c r="C102" i="60" s="1"/>
  <c r="E102" i="60" s="1"/>
  <c r="G102" i="60" s="1"/>
  <c r="C102" i="61" s="1"/>
  <c r="E102" i="61" s="1"/>
  <c r="G102" i="61" s="1"/>
  <c r="C102" i="62" s="1"/>
  <c r="E102" i="62" s="1"/>
  <c r="G102" i="62" s="1"/>
  <c r="C102" i="63" s="1"/>
  <c r="E102" i="63" s="1"/>
  <c r="G102" i="63" s="1"/>
  <c r="C102" i="64" s="1"/>
  <c r="E102" i="64" s="1"/>
  <c r="G102" i="64" s="1"/>
  <c r="E102" i="15"/>
  <c r="E190" i="34"/>
  <c r="G190" i="34" s="1"/>
  <c r="C190" i="35" s="1"/>
  <c r="E190" i="35" s="1"/>
  <c r="G190" i="35" s="1"/>
  <c r="C190" i="36" s="1"/>
  <c r="E190" i="36" s="1"/>
  <c r="G190" i="36" s="1"/>
  <c r="C190" i="37" s="1"/>
  <c r="E190" i="37" s="1"/>
  <c r="G190" i="37" s="1"/>
  <c r="C190" i="38" s="1"/>
  <c r="E190" i="38" s="1"/>
  <c r="G190" i="38" s="1"/>
  <c r="C190" i="39" s="1"/>
  <c r="E190" i="39" s="1"/>
  <c r="G190" i="39" s="1"/>
  <c r="C190" i="40" s="1"/>
  <c r="E190" i="40" s="1"/>
  <c r="G190" i="40" s="1"/>
  <c r="C190" i="41" s="1"/>
  <c r="E190" i="41" s="1"/>
  <c r="G190" i="41" s="1"/>
  <c r="C190" i="42" s="1"/>
  <c r="E190" i="42" s="1"/>
  <c r="G190" i="42" s="1"/>
  <c r="C190" i="43" s="1"/>
  <c r="E190" i="43" s="1"/>
  <c r="G190" i="43" s="1"/>
  <c r="C190" i="44" s="1"/>
  <c r="E190" i="44" s="1"/>
  <c r="G190" i="44" s="1"/>
  <c r="C190" i="45" s="1"/>
  <c r="E190" i="45" s="1"/>
  <c r="G190" i="45" s="1"/>
  <c r="C190" i="46" s="1"/>
  <c r="E190" i="46" s="1"/>
  <c r="G190" i="46" s="1"/>
  <c r="C190" i="47" s="1"/>
  <c r="E190" i="47" s="1"/>
  <c r="G190" i="47" s="1"/>
  <c r="C190" i="48" s="1"/>
  <c r="E190" i="48" s="1"/>
  <c r="G190" i="48" s="1"/>
  <c r="C190" i="49" s="1"/>
  <c r="E190" i="49" s="1"/>
  <c r="G190" i="49" s="1"/>
  <c r="C190" i="50" s="1"/>
  <c r="E190" i="50" s="1"/>
  <c r="G190" i="50" s="1"/>
  <c r="C190" i="51" s="1"/>
  <c r="E190" i="51" s="1"/>
  <c r="G190" i="51" s="1"/>
  <c r="C190" i="52" s="1"/>
  <c r="E190" i="52" s="1"/>
  <c r="G190" i="52" s="1"/>
  <c r="C190" i="53" s="1"/>
  <c r="E190" i="53" s="1"/>
  <c r="G190" i="53" s="1"/>
  <c r="C190" i="54" s="1"/>
  <c r="E190" i="54" s="1"/>
  <c r="G190" i="54" s="1"/>
  <c r="C190" i="55" s="1"/>
  <c r="E190" i="55" s="1"/>
  <c r="G190" i="55" s="1"/>
  <c r="C190" i="56" s="1"/>
  <c r="E190" i="56" s="1"/>
  <c r="G190" i="56" s="1"/>
  <c r="C190" i="57" s="1"/>
  <c r="E190" i="57" s="1"/>
  <c r="G190" i="57" s="1"/>
  <c r="C190" i="58" s="1"/>
  <c r="E190" i="58" s="1"/>
  <c r="G190" i="58" s="1"/>
  <c r="C190" i="59" s="1"/>
  <c r="E190" i="59" s="1"/>
  <c r="G190" i="59" s="1"/>
  <c r="C190" i="60" s="1"/>
  <c r="E190" i="60" s="1"/>
  <c r="G190" i="60" s="1"/>
  <c r="C190" i="61" s="1"/>
  <c r="E190" i="61" s="1"/>
  <c r="G190" i="61" s="1"/>
  <c r="C190" i="62" s="1"/>
  <c r="E190" i="62" s="1"/>
  <c r="G190" i="62" s="1"/>
  <c r="C190" i="63" s="1"/>
  <c r="E190" i="63" s="1"/>
  <c r="G190" i="63" s="1"/>
  <c r="C190" i="64" s="1"/>
  <c r="E190" i="64" s="1"/>
  <c r="G190" i="64" s="1"/>
  <c r="E190" i="15"/>
  <c r="E176" i="34"/>
  <c r="G176" i="34" s="1"/>
  <c r="C176" i="35" s="1"/>
  <c r="E176" i="35" s="1"/>
  <c r="G176" i="35" s="1"/>
  <c r="C176" i="36" s="1"/>
  <c r="E176" i="36" s="1"/>
  <c r="G176" i="36" s="1"/>
  <c r="C176" i="37" s="1"/>
  <c r="E176" i="37" s="1"/>
  <c r="G176" i="37" s="1"/>
  <c r="C176" i="38" s="1"/>
  <c r="E176" i="38" s="1"/>
  <c r="G176" i="38" s="1"/>
  <c r="C176" i="39" s="1"/>
  <c r="E176" i="39" s="1"/>
  <c r="G176" i="39" s="1"/>
  <c r="C176" i="40" s="1"/>
  <c r="E176" i="40" s="1"/>
  <c r="G176" i="40" s="1"/>
  <c r="C176" i="41" s="1"/>
  <c r="E176" i="41" s="1"/>
  <c r="G176" i="41" s="1"/>
  <c r="C176" i="42" s="1"/>
  <c r="E176" i="42" s="1"/>
  <c r="G176" i="42" s="1"/>
  <c r="C176" i="43" s="1"/>
  <c r="E176" i="43" s="1"/>
  <c r="G176" i="43" s="1"/>
  <c r="C176" i="44" s="1"/>
  <c r="E176" i="44" s="1"/>
  <c r="G176" i="44" s="1"/>
  <c r="C176" i="45" s="1"/>
  <c r="E176" i="45" s="1"/>
  <c r="G176" i="45" s="1"/>
  <c r="C176" i="46" s="1"/>
  <c r="E176" i="46" s="1"/>
  <c r="G176" i="46" s="1"/>
  <c r="C176" i="47" s="1"/>
  <c r="E176" i="47" s="1"/>
  <c r="G176" i="47" s="1"/>
  <c r="C176" i="48" s="1"/>
  <c r="E176" i="48" s="1"/>
  <c r="G176" i="48" s="1"/>
  <c r="C176" i="49" s="1"/>
  <c r="E176" i="49" s="1"/>
  <c r="G176" i="49" s="1"/>
  <c r="C176" i="50" s="1"/>
  <c r="E176" i="50" s="1"/>
  <c r="G176" i="50" s="1"/>
  <c r="C176" i="51" s="1"/>
  <c r="E176" i="51" s="1"/>
  <c r="G176" i="51" s="1"/>
  <c r="C176" i="52" s="1"/>
  <c r="E176" i="52" s="1"/>
  <c r="G176" i="52" s="1"/>
  <c r="C176" i="53" s="1"/>
  <c r="E176" i="53" s="1"/>
  <c r="G176" i="53" s="1"/>
  <c r="C176" i="54" s="1"/>
  <c r="E176" i="54" s="1"/>
  <c r="G176" i="54" s="1"/>
  <c r="C176" i="55" s="1"/>
  <c r="E176" i="55" s="1"/>
  <c r="G176" i="55" s="1"/>
  <c r="C176" i="56" s="1"/>
  <c r="E176" i="56" s="1"/>
  <c r="G176" i="56" s="1"/>
  <c r="C176" i="57" s="1"/>
  <c r="E176" i="57" s="1"/>
  <c r="G176" i="57" s="1"/>
  <c r="C176" i="58" s="1"/>
  <c r="E176" i="58" s="1"/>
  <c r="G176" i="58" s="1"/>
  <c r="C176" i="59" s="1"/>
  <c r="E176" i="59" s="1"/>
  <c r="G176" i="59" s="1"/>
  <c r="C176" i="60" s="1"/>
  <c r="E176" i="60" s="1"/>
  <c r="G176" i="60" s="1"/>
  <c r="C176" i="61" s="1"/>
  <c r="E176" i="61" s="1"/>
  <c r="G176" i="61" s="1"/>
  <c r="C176" i="62" s="1"/>
  <c r="E176" i="62" s="1"/>
  <c r="G176" i="62" s="1"/>
  <c r="C176" i="63" s="1"/>
  <c r="E176" i="63" s="1"/>
  <c r="G176" i="63" s="1"/>
  <c r="C176" i="64" s="1"/>
  <c r="E176" i="64" s="1"/>
  <c r="G176" i="64" s="1"/>
  <c r="E176" i="15"/>
  <c r="E177" i="34"/>
  <c r="G177" i="34" s="1"/>
  <c r="C177" i="35" s="1"/>
  <c r="E177" i="35" s="1"/>
  <c r="G177" i="35" s="1"/>
  <c r="C177" i="36" s="1"/>
  <c r="E177" i="36" s="1"/>
  <c r="G177" i="36" s="1"/>
  <c r="C177" i="37" s="1"/>
  <c r="E177" i="37" s="1"/>
  <c r="G177" i="37" s="1"/>
  <c r="C177" i="38" s="1"/>
  <c r="E177" i="38" s="1"/>
  <c r="G177" i="38" s="1"/>
  <c r="C177" i="39" s="1"/>
  <c r="E177" i="39" s="1"/>
  <c r="G177" i="39" s="1"/>
  <c r="C177" i="40" s="1"/>
  <c r="E177" i="40" s="1"/>
  <c r="G177" i="40" s="1"/>
  <c r="C177" i="41" s="1"/>
  <c r="E177" i="41" s="1"/>
  <c r="G177" i="41" s="1"/>
  <c r="C177" i="42" s="1"/>
  <c r="E177" i="42" s="1"/>
  <c r="G177" i="42" s="1"/>
  <c r="C177" i="43" s="1"/>
  <c r="E177" i="43" s="1"/>
  <c r="G177" i="43" s="1"/>
  <c r="C177" i="44" s="1"/>
  <c r="E177" i="44" s="1"/>
  <c r="G177" i="44" s="1"/>
  <c r="C177" i="45" s="1"/>
  <c r="E177" i="45" s="1"/>
  <c r="G177" i="45" s="1"/>
  <c r="C177" i="46" s="1"/>
  <c r="E177" i="46" s="1"/>
  <c r="G177" i="46" s="1"/>
  <c r="C177" i="47" s="1"/>
  <c r="E177" i="47" s="1"/>
  <c r="G177" i="47" s="1"/>
  <c r="C177" i="48" s="1"/>
  <c r="E177" i="48" s="1"/>
  <c r="G177" i="48" s="1"/>
  <c r="C177" i="49" s="1"/>
  <c r="E177" i="49" s="1"/>
  <c r="G177" i="49" s="1"/>
  <c r="C177" i="50" s="1"/>
  <c r="E177" i="50" s="1"/>
  <c r="G177" i="50" s="1"/>
  <c r="C177" i="51" s="1"/>
  <c r="E177" i="51" s="1"/>
  <c r="G177" i="51" s="1"/>
  <c r="C177" i="52" s="1"/>
  <c r="E177" i="52" s="1"/>
  <c r="G177" i="52" s="1"/>
  <c r="C177" i="53" s="1"/>
  <c r="E177" i="53" s="1"/>
  <c r="G177" i="53" s="1"/>
  <c r="C177" i="54" s="1"/>
  <c r="E177" i="54" s="1"/>
  <c r="G177" i="54" s="1"/>
  <c r="C177" i="55" s="1"/>
  <c r="E177" i="55" s="1"/>
  <c r="G177" i="55" s="1"/>
  <c r="C177" i="56" s="1"/>
  <c r="E177" i="56" s="1"/>
  <c r="G177" i="56" s="1"/>
  <c r="C177" i="57" s="1"/>
  <c r="E177" i="57" s="1"/>
  <c r="G177" i="57" s="1"/>
  <c r="C177" i="58" s="1"/>
  <c r="E177" i="58" s="1"/>
  <c r="G177" i="58" s="1"/>
  <c r="C177" i="59" s="1"/>
  <c r="E177" i="59" s="1"/>
  <c r="G177" i="59" s="1"/>
  <c r="C177" i="60" s="1"/>
  <c r="E177" i="60" s="1"/>
  <c r="G177" i="60" s="1"/>
  <c r="C177" i="61" s="1"/>
  <c r="E177" i="61" s="1"/>
  <c r="G177" i="61" s="1"/>
  <c r="C177" i="62" s="1"/>
  <c r="E177" i="62" s="1"/>
  <c r="G177" i="62" s="1"/>
  <c r="C177" i="63" s="1"/>
  <c r="E177" i="63" s="1"/>
  <c r="G177" i="63" s="1"/>
  <c r="C177" i="64" s="1"/>
  <c r="E177" i="64" s="1"/>
  <c r="G177" i="64" s="1"/>
  <c r="E37" i="34"/>
  <c r="G37" i="34" s="1"/>
  <c r="C37" i="35" s="1"/>
  <c r="E37" i="35" s="1"/>
  <c r="G37" i="35" s="1"/>
  <c r="C37" i="36" s="1"/>
  <c r="E37" i="36" s="1"/>
  <c r="G37" i="36" s="1"/>
  <c r="C37" i="37" s="1"/>
  <c r="E37" i="37" s="1"/>
  <c r="G37" i="37" s="1"/>
  <c r="C37" i="38" s="1"/>
  <c r="E37" i="38" s="1"/>
  <c r="G37" i="38" s="1"/>
  <c r="C37" i="39" s="1"/>
  <c r="E37" i="39" s="1"/>
  <c r="G37" i="39" s="1"/>
  <c r="C37" i="40" s="1"/>
  <c r="E37" i="40" s="1"/>
  <c r="G37" i="40" s="1"/>
  <c r="C37" i="41" s="1"/>
  <c r="E37" i="41" s="1"/>
  <c r="G37" i="41" s="1"/>
  <c r="C37" i="42" s="1"/>
  <c r="E37" i="42" s="1"/>
  <c r="G37" i="42" s="1"/>
  <c r="C37" i="43" s="1"/>
  <c r="E37" i="43" s="1"/>
  <c r="G37" i="43" s="1"/>
  <c r="C37" i="44" s="1"/>
  <c r="E37" i="44" s="1"/>
  <c r="G37" i="44" s="1"/>
  <c r="C37" i="45" s="1"/>
  <c r="E37" i="45" s="1"/>
  <c r="G37" i="45" s="1"/>
  <c r="C37" i="46" s="1"/>
  <c r="E37" i="46" s="1"/>
  <c r="G37" i="46" s="1"/>
  <c r="C37" i="47" s="1"/>
  <c r="E37" i="47" s="1"/>
  <c r="G37" i="47" s="1"/>
  <c r="C37" i="48" s="1"/>
  <c r="E37" i="48" s="1"/>
  <c r="G37" i="48" s="1"/>
  <c r="C37" i="49" s="1"/>
  <c r="E37" i="49" s="1"/>
  <c r="G37" i="49" s="1"/>
  <c r="C37" i="50" s="1"/>
  <c r="E37" i="50" s="1"/>
  <c r="G37" i="50" s="1"/>
  <c r="C37" i="51" s="1"/>
  <c r="E37" i="51" s="1"/>
  <c r="G37" i="51" s="1"/>
  <c r="C37" i="52" s="1"/>
  <c r="E37" i="52" s="1"/>
  <c r="G37" i="52" s="1"/>
  <c r="C37" i="53" s="1"/>
  <c r="E37" i="53" s="1"/>
  <c r="G37" i="53" s="1"/>
  <c r="C37" i="54" s="1"/>
  <c r="E37" i="54" s="1"/>
  <c r="G37" i="54" s="1"/>
  <c r="C37" i="55" s="1"/>
  <c r="E37" i="55" s="1"/>
  <c r="G37" i="55" s="1"/>
  <c r="C37" i="56" s="1"/>
  <c r="E37" i="56" s="1"/>
  <c r="G37" i="56" s="1"/>
  <c r="C37" i="57" s="1"/>
  <c r="E37" i="57" s="1"/>
  <c r="G37" i="57" s="1"/>
  <c r="C37" i="58" s="1"/>
  <c r="E37" i="58" s="1"/>
  <c r="G37" i="58" s="1"/>
  <c r="C37" i="59" s="1"/>
  <c r="E37" i="59" s="1"/>
  <c r="G37" i="59" s="1"/>
  <c r="C37" i="60" s="1"/>
  <c r="E37" i="60" s="1"/>
  <c r="G37" i="60" s="1"/>
  <c r="C37" i="61" s="1"/>
  <c r="E37" i="61" s="1"/>
  <c r="G37" i="61" s="1"/>
  <c r="C37" i="62" s="1"/>
  <c r="E37" i="62" s="1"/>
  <c r="G37" i="62" s="1"/>
  <c r="C37" i="63" s="1"/>
  <c r="E37" i="63" s="1"/>
  <c r="G37" i="63" s="1"/>
  <c r="C37" i="64" s="1"/>
  <c r="E37" i="64" s="1"/>
  <c r="G37" i="64" s="1"/>
  <c r="E37" i="15"/>
  <c r="E174" i="15"/>
  <c r="S9" i="15"/>
  <c r="U9" i="15" s="1"/>
  <c r="E18" i="34"/>
  <c r="G18" i="34" s="1"/>
  <c r="C18" i="35" s="1"/>
  <c r="E18" i="35" s="1"/>
  <c r="G18" i="35" s="1"/>
  <c r="C18" i="36" s="1"/>
  <c r="E18" i="36" s="1"/>
  <c r="G18" i="36" s="1"/>
  <c r="C18" i="37" s="1"/>
  <c r="E18" i="37" s="1"/>
  <c r="G18" i="37" s="1"/>
  <c r="C18" i="38" s="1"/>
  <c r="E18" i="38" s="1"/>
  <c r="G18" i="38" s="1"/>
  <c r="C18" i="39" s="1"/>
  <c r="E18" i="39" s="1"/>
  <c r="G18" i="39" s="1"/>
  <c r="C18" i="40" s="1"/>
  <c r="E18" i="40" s="1"/>
  <c r="G18" i="40" s="1"/>
  <c r="C18" i="41" s="1"/>
  <c r="E18" i="41" s="1"/>
  <c r="G18" i="41" s="1"/>
  <c r="C18" i="42" s="1"/>
  <c r="E18" i="42" s="1"/>
  <c r="G18" i="42" s="1"/>
  <c r="C18" i="43" s="1"/>
  <c r="E18" i="43" s="1"/>
  <c r="G18" i="43" s="1"/>
  <c r="C18" i="44" s="1"/>
  <c r="E18" i="44" s="1"/>
  <c r="G18" i="44" s="1"/>
  <c r="C18" i="45" s="1"/>
  <c r="E18" i="45" s="1"/>
  <c r="G18" i="45" s="1"/>
  <c r="C18" i="46" s="1"/>
  <c r="E18" i="46" s="1"/>
  <c r="G18" i="46" s="1"/>
  <c r="C18" i="47" s="1"/>
  <c r="E18" i="47" s="1"/>
  <c r="G18" i="47" s="1"/>
  <c r="C18" i="48" s="1"/>
  <c r="E18" i="48" s="1"/>
  <c r="G18" i="48" s="1"/>
  <c r="C18" i="49" s="1"/>
  <c r="E18" i="49" s="1"/>
  <c r="G18" i="49" s="1"/>
  <c r="C18" i="50" s="1"/>
  <c r="E18" i="50" s="1"/>
  <c r="G18" i="50" s="1"/>
  <c r="C18" i="51" s="1"/>
  <c r="E18" i="51" s="1"/>
  <c r="G18" i="51" s="1"/>
  <c r="C18" i="52" s="1"/>
  <c r="E18" i="52" s="1"/>
  <c r="G18" i="52" s="1"/>
  <c r="C18" i="53" s="1"/>
  <c r="E18" i="53" s="1"/>
  <c r="G18" i="53" s="1"/>
  <c r="C18" i="54" s="1"/>
  <c r="E18" i="54" s="1"/>
  <c r="G18" i="54" s="1"/>
  <c r="C18" i="55" s="1"/>
  <c r="E18" i="55" s="1"/>
  <c r="G18" i="55" s="1"/>
  <c r="C18" i="56" s="1"/>
  <c r="E18" i="56" s="1"/>
  <c r="G18" i="56" s="1"/>
  <c r="C18" i="57" s="1"/>
  <c r="E18" i="57" s="1"/>
  <c r="G18" i="57" s="1"/>
  <c r="C18" i="58" s="1"/>
  <c r="E18" i="58" s="1"/>
  <c r="G18" i="58" s="1"/>
  <c r="C18" i="59" s="1"/>
  <c r="E18" i="59" s="1"/>
  <c r="G18" i="59" s="1"/>
  <c r="C18" i="60" s="1"/>
  <c r="E18" i="60" s="1"/>
  <c r="G18" i="60" s="1"/>
  <c r="C18" i="61" s="1"/>
  <c r="E18" i="61" s="1"/>
  <c r="G18" i="61" s="1"/>
  <c r="C18" i="62" s="1"/>
  <c r="E18" i="62" s="1"/>
  <c r="G18" i="62" s="1"/>
  <c r="C18" i="63" s="1"/>
  <c r="E18" i="63" s="1"/>
  <c r="G18" i="63" s="1"/>
  <c r="C18" i="64" s="1"/>
  <c r="E18" i="64" s="1"/>
  <c r="G18" i="64" s="1"/>
  <c r="E18" i="15"/>
  <c r="E93" i="34"/>
  <c r="G93" i="34" s="1"/>
  <c r="C93" i="35" s="1"/>
  <c r="E93" i="35" s="1"/>
  <c r="G93" i="35" s="1"/>
  <c r="C93" i="36" s="1"/>
  <c r="E93" i="36" s="1"/>
  <c r="G93" i="36" s="1"/>
  <c r="C93" i="37" s="1"/>
  <c r="E93" i="37" s="1"/>
  <c r="G93" i="37" s="1"/>
  <c r="C93" i="38" s="1"/>
  <c r="E93" i="38" s="1"/>
  <c r="G93" i="38" s="1"/>
  <c r="C93" i="39" s="1"/>
  <c r="E93" i="39" s="1"/>
  <c r="G93" i="39" s="1"/>
  <c r="C93" i="40" s="1"/>
  <c r="E93" i="40" s="1"/>
  <c r="G93" i="40" s="1"/>
  <c r="C93" i="41" s="1"/>
  <c r="E93" i="41" s="1"/>
  <c r="G93" i="41" s="1"/>
  <c r="C93" i="42" s="1"/>
  <c r="E93" i="42" s="1"/>
  <c r="G93" i="42" s="1"/>
  <c r="C93" i="43" s="1"/>
  <c r="E93" i="43" s="1"/>
  <c r="G93" i="43" s="1"/>
  <c r="C93" i="44" s="1"/>
  <c r="E93" i="44" s="1"/>
  <c r="G93" i="44" s="1"/>
  <c r="C93" i="45" s="1"/>
  <c r="E93" i="45" s="1"/>
  <c r="G93" i="45" s="1"/>
  <c r="C93" i="46" s="1"/>
  <c r="E93" i="46" s="1"/>
  <c r="G93" i="46" s="1"/>
  <c r="C93" i="47" s="1"/>
  <c r="E93" i="47" s="1"/>
  <c r="G93" i="47" s="1"/>
  <c r="C93" i="48" s="1"/>
  <c r="E93" i="48" s="1"/>
  <c r="G93" i="48" s="1"/>
  <c r="C93" i="49" s="1"/>
  <c r="E93" i="49" s="1"/>
  <c r="G93" i="49" s="1"/>
  <c r="C93" i="50" s="1"/>
  <c r="E93" i="50" s="1"/>
  <c r="G93" i="50" s="1"/>
  <c r="C93" i="51" s="1"/>
  <c r="E93" i="51" s="1"/>
  <c r="G93" i="51" s="1"/>
  <c r="C93" i="52" s="1"/>
  <c r="E93" i="52" s="1"/>
  <c r="G93" i="52" s="1"/>
  <c r="C93" i="53" s="1"/>
  <c r="E93" i="53" s="1"/>
  <c r="G93" i="53" s="1"/>
  <c r="C93" i="54" s="1"/>
  <c r="E93" i="54" s="1"/>
  <c r="G93" i="54" s="1"/>
  <c r="C93" i="55" s="1"/>
  <c r="E93" i="55" s="1"/>
  <c r="G93" i="55" s="1"/>
  <c r="C93" i="56" s="1"/>
  <c r="E93" i="56" s="1"/>
  <c r="G93" i="56" s="1"/>
  <c r="C93" i="57" s="1"/>
  <c r="E93" i="57" s="1"/>
  <c r="G93" i="57" s="1"/>
  <c r="C93" i="58" s="1"/>
  <c r="E93" i="58" s="1"/>
  <c r="G93" i="58" s="1"/>
  <c r="C93" i="59" s="1"/>
  <c r="E93" i="59" s="1"/>
  <c r="G93" i="59" s="1"/>
  <c r="C93" i="60" s="1"/>
  <c r="E93" i="60" s="1"/>
  <c r="G93" i="60" s="1"/>
  <c r="C93" i="61" s="1"/>
  <c r="E93" i="61" s="1"/>
  <c r="G93" i="61" s="1"/>
  <c r="C93" i="62" s="1"/>
  <c r="E93" i="62" s="1"/>
  <c r="G93" i="62" s="1"/>
  <c r="C93" i="63" s="1"/>
  <c r="E93" i="63" s="1"/>
  <c r="G93" i="63" s="1"/>
  <c r="C93" i="64" s="1"/>
  <c r="E93" i="64" s="1"/>
  <c r="G93" i="64" s="1"/>
  <c r="E93" i="15"/>
  <c r="E119" i="15"/>
  <c r="E143" i="15"/>
  <c r="E198" i="15"/>
  <c r="E203" i="34"/>
  <c r="G203" i="34" s="1"/>
  <c r="C203" i="35" s="1"/>
  <c r="E203" i="35" s="1"/>
  <c r="G203" i="35" s="1"/>
  <c r="C203" i="36" s="1"/>
  <c r="E203" i="36" s="1"/>
  <c r="G203" i="36" s="1"/>
  <c r="E203" i="15"/>
  <c r="E23" i="34"/>
  <c r="G23" i="34" s="1"/>
  <c r="C23" i="35" s="1"/>
  <c r="E23" i="35" s="1"/>
  <c r="G23" i="35" s="1"/>
  <c r="C23" i="36" s="1"/>
  <c r="E23" i="36" s="1"/>
  <c r="G23" i="36" s="1"/>
  <c r="C23" i="37" s="1"/>
  <c r="E23" i="37" s="1"/>
  <c r="G23" i="37" s="1"/>
  <c r="C23" i="38" s="1"/>
  <c r="E23" i="38" s="1"/>
  <c r="G23" i="38" s="1"/>
  <c r="C23" i="39" s="1"/>
  <c r="E23" i="39" s="1"/>
  <c r="G23" i="39" s="1"/>
  <c r="C23" i="40" s="1"/>
  <c r="E23" i="40" s="1"/>
  <c r="G23" i="40" s="1"/>
  <c r="C23" i="41" s="1"/>
  <c r="E23" i="41" s="1"/>
  <c r="G23" i="41" s="1"/>
  <c r="C23" i="42" s="1"/>
  <c r="E23" i="42" s="1"/>
  <c r="G23" i="42" s="1"/>
  <c r="C23" i="43" s="1"/>
  <c r="E23" i="43" s="1"/>
  <c r="G23" i="43" s="1"/>
  <c r="C23" i="44" s="1"/>
  <c r="E23" i="44" s="1"/>
  <c r="G23" i="44" s="1"/>
  <c r="C23" i="45" s="1"/>
  <c r="E23" i="45" s="1"/>
  <c r="G23" i="45" s="1"/>
  <c r="C23" i="46" s="1"/>
  <c r="E23" i="46" s="1"/>
  <c r="G23" i="46" s="1"/>
  <c r="C23" i="47" s="1"/>
  <c r="E23" i="47" s="1"/>
  <c r="G23" i="47" s="1"/>
  <c r="C23" i="48" s="1"/>
  <c r="E23" i="48" s="1"/>
  <c r="G23" i="48" s="1"/>
  <c r="C23" i="49" s="1"/>
  <c r="E23" i="49" s="1"/>
  <c r="G23" i="49" s="1"/>
  <c r="C23" i="50" s="1"/>
  <c r="E23" i="50" s="1"/>
  <c r="G23" i="50" s="1"/>
  <c r="C23" i="51" s="1"/>
  <c r="E23" i="51" s="1"/>
  <c r="G23" i="51" s="1"/>
  <c r="C23" i="52" s="1"/>
  <c r="E23" i="52" s="1"/>
  <c r="G23" i="52" s="1"/>
  <c r="C23" i="53" s="1"/>
  <c r="E23" i="53" s="1"/>
  <c r="G23" i="53" s="1"/>
  <c r="C23" i="54" s="1"/>
  <c r="E23" i="54" s="1"/>
  <c r="G23" i="54" s="1"/>
  <c r="C23" i="55" s="1"/>
  <c r="E23" i="55" s="1"/>
  <c r="G23" i="55" s="1"/>
  <c r="C23" i="56" s="1"/>
  <c r="E23" i="56" s="1"/>
  <c r="G23" i="56" s="1"/>
  <c r="C23" i="57" s="1"/>
  <c r="E23" i="57" s="1"/>
  <c r="G23" i="57" s="1"/>
  <c r="C23" i="58" s="1"/>
  <c r="E23" i="58" s="1"/>
  <c r="G23" i="58" s="1"/>
  <c r="C23" i="59" s="1"/>
  <c r="E23" i="59" s="1"/>
  <c r="G23" i="59" s="1"/>
  <c r="C23" i="60" s="1"/>
  <c r="E23" i="60" s="1"/>
  <c r="G23" i="60" s="1"/>
  <c r="C23" i="61" s="1"/>
  <c r="E23" i="61" s="1"/>
  <c r="G23" i="61" s="1"/>
  <c r="C23" i="62" s="1"/>
  <c r="E23" i="62" s="1"/>
  <c r="G23" i="62" s="1"/>
  <c r="C23" i="63" s="1"/>
  <c r="E23" i="63" s="1"/>
  <c r="G23" i="63" s="1"/>
  <c r="C23" i="64" s="1"/>
  <c r="E23" i="64" s="1"/>
  <c r="G23" i="64" s="1"/>
  <c r="E23" i="15"/>
  <c r="E8" i="15"/>
  <c r="E31" i="34"/>
  <c r="G31" i="34" s="1"/>
  <c r="C31" i="35" s="1"/>
  <c r="E31" i="35" s="1"/>
  <c r="G31" i="35" s="1"/>
  <c r="C31" i="36" s="1"/>
  <c r="E31" i="36" s="1"/>
  <c r="G31" i="36" s="1"/>
  <c r="C31" i="37" s="1"/>
  <c r="E31" i="37" s="1"/>
  <c r="G31" i="37" s="1"/>
  <c r="C31" i="38" s="1"/>
  <c r="E31" i="38" s="1"/>
  <c r="G31" i="38" s="1"/>
  <c r="C31" i="39" s="1"/>
  <c r="E31" i="39" s="1"/>
  <c r="G31" i="39" s="1"/>
  <c r="C31" i="40" s="1"/>
  <c r="E31" i="40" s="1"/>
  <c r="G31" i="40" s="1"/>
  <c r="C31" i="41" s="1"/>
  <c r="E31" i="41" s="1"/>
  <c r="G31" i="41" s="1"/>
  <c r="C31" i="42" s="1"/>
  <c r="E31" i="42" s="1"/>
  <c r="G31" i="42" s="1"/>
  <c r="C31" i="43" s="1"/>
  <c r="E31" i="43" s="1"/>
  <c r="G31" i="43" s="1"/>
  <c r="C31" i="44" s="1"/>
  <c r="E31" i="44" s="1"/>
  <c r="G31" i="44" s="1"/>
  <c r="C31" i="45" s="1"/>
  <c r="E31" i="45" s="1"/>
  <c r="G31" i="45" s="1"/>
  <c r="C31" i="46" s="1"/>
  <c r="E31" i="46" s="1"/>
  <c r="G31" i="46" s="1"/>
  <c r="C31" i="47" s="1"/>
  <c r="E31" i="47" s="1"/>
  <c r="G31" i="47" s="1"/>
  <c r="C31" i="48" s="1"/>
  <c r="E31" i="48" s="1"/>
  <c r="G31" i="48" s="1"/>
  <c r="C31" i="49" s="1"/>
  <c r="E31" i="49" s="1"/>
  <c r="G31" i="49" s="1"/>
  <c r="C31" i="50" s="1"/>
  <c r="E31" i="50" s="1"/>
  <c r="G31" i="50" s="1"/>
  <c r="C31" i="51" s="1"/>
  <c r="E31" i="51" s="1"/>
  <c r="G31" i="51" s="1"/>
  <c r="C31" i="52" s="1"/>
  <c r="E31" i="52" s="1"/>
  <c r="G31" i="52" s="1"/>
  <c r="C31" i="53" s="1"/>
  <c r="E31" i="53" s="1"/>
  <c r="G31" i="53" s="1"/>
  <c r="C31" i="54" s="1"/>
  <c r="E31" i="54" s="1"/>
  <c r="G31" i="54" s="1"/>
  <c r="C31" i="55" s="1"/>
  <c r="E31" i="55" s="1"/>
  <c r="G31" i="55" s="1"/>
  <c r="C31" i="56" s="1"/>
  <c r="E31" i="56" s="1"/>
  <c r="G31" i="56" s="1"/>
  <c r="C31" i="57" s="1"/>
  <c r="E31" i="57" s="1"/>
  <c r="G31" i="57" s="1"/>
  <c r="C31" i="58" s="1"/>
  <c r="E31" i="58" s="1"/>
  <c r="G31" i="58" s="1"/>
  <c r="C31" i="59" s="1"/>
  <c r="E31" i="59" s="1"/>
  <c r="G31" i="59" s="1"/>
  <c r="C31" i="60" s="1"/>
  <c r="E31" i="60" s="1"/>
  <c r="G31" i="60" s="1"/>
  <c r="C31" i="61" s="1"/>
  <c r="E31" i="61" s="1"/>
  <c r="G31" i="61" s="1"/>
  <c r="C31" i="62" s="1"/>
  <c r="E31" i="62" s="1"/>
  <c r="G31" i="62" s="1"/>
  <c r="C31" i="63" s="1"/>
  <c r="E31" i="63" s="1"/>
  <c r="G31" i="63" s="1"/>
  <c r="C31" i="64" s="1"/>
  <c r="E31" i="64" s="1"/>
  <c r="G31" i="64" s="1"/>
  <c r="E31" i="15"/>
  <c r="E38" i="34"/>
  <c r="G38" i="34" s="1"/>
  <c r="C38" i="35" s="1"/>
  <c r="E38" i="35" s="1"/>
  <c r="G38" i="35" s="1"/>
  <c r="C38" i="36" s="1"/>
  <c r="E38" i="36" s="1"/>
  <c r="G38" i="36" s="1"/>
  <c r="C38" i="37" s="1"/>
  <c r="E38" i="37" s="1"/>
  <c r="G38" i="37" s="1"/>
  <c r="C38" i="38" s="1"/>
  <c r="E38" i="38" s="1"/>
  <c r="G38" i="38" s="1"/>
  <c r="C38" i="39" s="1"/>
  <c r="E38" i="39" s="1"/>
  <c r="G38" i="39" s="1"/>
  <c r="C38" i="40" s="1"/>
  <c r="E38" i="40" s="1"/>
  <c r="G38" i="40" s="1"/>
  <c r="C38" i="41" s="1"/>
  <c r="E38" i="41" s="1"/>
  <c r="G38" i="41" s="1"/>
  <c r="C38" i="42" s="1"/>
  <c r="E38" i="42" s="1"/>
  <c r="G38" i="42" s="1"/>
  <c r="C38" i="43" s="1"/>
  <c r="E38" i="43" s="1"/>
  <c r="G38" i="43" s="1"/>
  <c r="C38" i="44" s="1"/>
  <c r="E38" i="44" s="1"/>
  <c r="G38" i="44" s="1"/>
  <c r="C38" i="45" s="1"/>
  <c r="E38" i="45" s="1"/>
  <c r="G38" i="45" s="1"/>
  <c r="C38" i="46" s="1"/>
  <c r="E38" i="46" s="1"/>
  <c r="G38" i="46" s="1"/>
  <c r="C38" i="47" s="1"/>
  <c r="E38" i="47" s="1"/>
  <c r="G38" i="47" s="1"/>
  <c r="C38" i="48" s="1"/>
  <c r="E38" i="48" s="1"/>
  <c r="G38" i="48" s="1"/>
  <c r="C38" i="49" s="1"/>
  <c r="E38" i="49" s="1"/>
  <c r="G38" i="49" s="1"/>
  <c r="C38" i="50" s="1"/>
  <c r="E38" i="50" s="1"/>
  <c r="G38" i="50" s="1"/>
  <c r="C38" i="51" s="1"/>
  <c r="E38" i="51" s="1"/>
  <c r="G38" i="51" s="1"/>
  <c r="C38" i="52" s="1"/>
  <c r="E38" i="52" s="1"/>
  <c r="G38" i="52" s="1"/>
  <c r="C38" i="53" s="1"/>
  <c r="E38" i="53" s="1"/>
  <c r="G38" i="53" s="1"/>
  <c r="C38" i="54" s="1"/>
  <c r="E38" i="54" s="1"/>
  <c r="G38" i="54" s="1"/>
  <c r="C38" i="55" s="1"/>
  <c r="E38" i="55" s="1"/>
  <c r="G38" i="55" s="1"/>
  <c r="C38" i="56" s="1"/>
  <c r="E38" i="56" s="1"/>
  <c r="G38" i="56" s="1"/>
  <c r="C38" i="57" s="1"/>
  <c r="E38" i="57" s="1"/>
  <c r="G38" i="57" s="1"/>
  <c r="C38" i="58" s="1"/>
  <c r="E38" i="58" s="1"/>
  <c r="G38" i="58" s="1"/>
  <c r="C38" i="59" s="1"/>
  <c r="E38" i="59" s="1"/>
  <c r="G38" i="59" s="1"/>
  <c r="C38" i="60" s="1"/>
  <c r="E38" i="60" s="1"/>
  <c r="G38" i="60" s="1"/>
  <c r="C38" i="61" s="1"/>
  <c r="E38" i="61" s="1"/>
  <c r="G38" i="61" s="1"/>
  <c r="C38" i="62" s="1"/>
  <c r="E38" i="62" s="1"/>
  <c r="G38" i="62" s="1"/>
  <c r="C38" i="63" s="1"/>
  <c r="E38" i="63" s="1"/>
  <c r="G38" i="63" s="1"/>
  <c r="C38" i="64" s="1"/>
  <c r="E38" i="64" s="1"/>
  <c r="G38" i="64" s="1"/>
  <c r="E38" i="15"/>
  <c r="E45" i="34"/>
  <c r="G45" i="34" s="1"/>
  <c r="C45" i="35" s="1"/>
  <c r="E45" i="35" s="1"/>
  <c r="G45" i="35" s="1"/>
  <c r="C45" i="36" s="1"/>
  <c r="E45" i="36" s="1"/>
  <c r="G45" i="36" s="1"/>
  <c r="C45" i="37" s="1"/>
  <c r="E45" i="37" s="1"/>
  <c r="G45" i="37" s="1"/>
  <c r="C45" i="38" s="1"/>
  <c r="E45" i="38" s="1"/>
  <c r="G45" i="38" s="1"/>
  <c r="C45" i="39" s="1"/>
  <c r="E45" i="39" s="1"/>
  <c r="G45" i="39" s="1"/>
  <c r="C45" i="40" s="1"/>
  <c r="E45" i="40" s="1"/>
  <c r="G45" i="40" s="1"/>
  <c r="C45" i="41" s="1"/>
  <c r="E45" i="41" s="1"/>
  <c r="G45" i="41" s="1"/>
  <c r="C45" i="42" s="1"/>
  <c r="E45" i="42" s="1"/>
  <c r="G45" i="42" s="1"/>
  <c r="C45" i="43" s="1"/>
  <c r="E45" i="43" s="1"/>
  <c r="G45" i="43" s="1"/>
  <c r="C45" i="44" s="1"/>
  <c r="E45" i="44" s="1"/>
  <c r="G45" i="44" s="1"/>
  <c r="C45" i="45" s="1"/>
  <c r="E45" i="45" s="1"/>
  <c r="G45" i="45" s="1"/>
  <c r="C45" i="46" s="1"/>
  <c r="E45" i="46" s="1"/>
  <c r="G45" i="46" s="1"/>
  <c r="C45" i="47" s="1"/>
  <c r="E45" i="47" s="1"/>
  <c r="G45" i="47" s="1"/>
  <c r="C45" i="48" s="1"/>
  <c r="E45" i="48" s="1"/>
  <c r="G45" i="48" s="1"/>
  <c r="C45" i="49" s="1"/>
  <c r="E45" i="49" s="1"/>
  <c r="G45" i="49" s="1"/>
  <c r="C45" i="50" s="1"/>
  <c r="E45" i="50" s="1"/>
  <c r="G45" i="50" s="1"/>
  <c r="C45" i="51" s="1"/>
  <c r="E45" i="51" s="1"/>
  <c r="G45" i="51" s="1"/>
  <c r="C45" i="52" s="1"/>
  <c r="E45" i="52" s="1"/>
  <c r="G45" i="52" s="1"/>
  <c r="C45" i="53" s="1"/>
  <c r="E45" i="53" s="1"/>
  <c r="G45" i="53" s="1"/>
  <c r="C45" i="54" s="1"/>
  <c r="E45" i="54" s="1"/>
  <c r="G45" i="54" s="1"/>
  <c r="C45" i="55" s="1"/>
  <c r="E45" i="55" s="1"/>
  <c r="G45" i="55" s="1"/>
  <c r="C45" i="56" s="1"/>
  <c r="E45" i="56" s="1"/>
  <c r="G45" i="56" s="1"/>
  <c r="C45" i="57" s="1"/>
  <c r="E45" i="57" s="1"/>
  <c r="G45" i="57" s="1"/>
  <c r="C45" i="58" s="1"/>
  <c r="E45" i="58" s="1"/>
  <c r="G45" i="58" s="1"/>
  <c r="C45" i="59" s="1"/>
  <c r="E45" i="59" s="1"/>
  <c r="G45" i="59" s="1"/>
  <c r="C45" i="60" s="1"/>
  <c r="E45" i="60" s="1"/>
  <c r="G45" i="60" s="1"/>
  <c r="C45" i="61" s="1"/>
  <c r="E45" i="61" s="1"/>
  <c r="G45" i="61" s="1"/>
  <c r="C45" i="62" s="1"/>
  <c r="E45" i="62" s="1"/>
  <c r="G45" i="62" s="1"/>
  <c r="C45" i="63" s="1"/>
  <c r="E45" i="63" s="1"/>
  <c r="G45" i="63" s="1"/>
  <c r="C45" i="64" s="1"/>
  <c r="E45" i="64" s="1"/>
  <c r="G45" i="64" s="1"/>
  <c r="E45" i="15"/>
  <c r="E61" i="34"/>
  <c r="G61" i="34" s="1"/>
  <c r="C61" i="35" s="1"/>
  <c r="E61" i="35" s="1"/>
  <c r="G61" i="35" s="1"/>
  <c r="C61" i="36" s="1"/>
  <c r="E61" i="36" s="1"/>
  <c r="G61" i="36" s="1"/>
  <c r="C61" i="37" s="1"/>
  <c r="E61" i="37" s="1"/>
  <c r="G61" i="37" s="1"/>
  <c r="C61" i="38" s="1"/>
  <c r="E61" i="38" s="1"/>
  <c r="G61" i="38" s="1"/>
  <c r="C61" i="39" s="1"/>
  <c r="E61" i="39" s="1"/>
  <c r="G61" i="39" s="1"/>
  <c r="C61" i="40" s="1"/>
  <c r="E61" i="40" s="1"/>
  <c r="G61" i="40" s="1"/>
  <c r="C61" i="41" s="1"/>
  <c r="E61" i="41" s="1"/>
  <c r="G61" i="41" s="1"/>
  <c r="C61" i="42" s="1"/>
  <c r="E61" i="42" s="1"/>
  <c r="G61" i="42" s="1"/>
  <c r="C61" i="43" s="1"/>
  <c r="E61" i="43" s="1"/>
  <c r="G61" i="43" s="1"/>
  <c r="C61" i="44" s="1"/>
  <c r="E61" i="44" s="1"/>
  <c r="G61" i="44" s="1"/>
  <c r="C61" i="45" s="1"/>
  <c r="E61" i="45" s="1"/>
  <c r="G61" i="45" s="1"/>
  <c r="C61" i="46" s="1"/>
  <c r="E61" i="46" s="1"/>
  <c r="G61" i="46" s="1"/>
  <c r="C61" i="47" s="1"/>
  <c r="E61" i="47" s="1"/>
  <c r="G61" i="47" s="1"/>
  <c r="C61" i="48" s="1"/>
  <c r="E61" i="48" s="1"/>
  <c r="G61" i="48" s="1"/>
  <c r="C61" i="49" s="1"/>
  <c r="E61" i="49" s="1"/>
  <c r="G61" i="49" s="1"/>
  <c r="C61" i="50" s="1"/>
  <c r="E61" i="50" s="1"/>
  <c r="G61" i="50" s="1"/>
  <c r="C61" i="51" s="1"/>
  <c r="E61" i="51" s="1"/>
  <c r="G61" i="51" s="1"/>
  <c r="C61" i="52" s="1"/>
  <c r="E61" i="52" s="1"/>
  <c r="G61" i="52" s="1"/>
  <c r="C61" i="53" s="1"/>
  <c r="E61" i="53" s="1"/>
  <c r="G61" i="53" s="1"/>
  <c r="C61" i="54" s="1"/>
  <c r="E61" i="54" s="1"/>
  <c r="G61" i="54" s="1"/>
  <c r="C61" i="55" s="1"/>
  <c r="E61" i="55" s="1"/>
  <c r="G61" i="55" s="1"/>
  <c r="C61" i="56" s="1"/>
  <c r="E61" i="56" s="1"/>
  <c r="G61" i="56" s="1"/>
  <c r="C61" i="57" s="1"/>
  <c r="E61" i="57" s="1"/>
  <c r="G61" i="57" s="1"/>
  <c r="C61" i="58" s="1"/>
  <c r="E61" i="58" s="1"/>
  <c r="G61" i="58" s="1"/>
  <c r="C61" i="59" s="1"/>
  <c r="E61" i="59" s="1"/>
  <c r="G61" i="59" s="1"/>
  <c r="C61" i="60" s="1"/>
  <c r="E61" i="60" s="1"/>
  <c r="G61" i="60" s="1"/>
  <c r="C61" i="61" s="1"/>
  <c r="E61" i="61" s="1"/>
  <c r="G61" i="61" s="1"/>
  <c r="C61" i="62" s="1"/>
  <c r="E61" i="62" s="1"/>
  <c r="G61" i="62" s="1"/>
  <c r="C61" i="63" s="1"/>
  <c r="E61" i="63" s="1"/>
  <c r="G61" i="63" s="1"/>
  <c r="C61" i="64" s="1"/>
  <c r="E61" i="64" s="1"/>
  <c r="G61" i="64" s="1"/>
  <c r="E61" i="15"/>
  <c r="E87" i="15"/>
  <c r="E98" i="34"/>
  <c r="G98" i="34" s="1"/>
  <c r="C98" i="35" s="1"/>
  <c r="E98" i="35" s="1"/>
  <c r="G98" i="35" s="1"/>
  <c r="C98" i="36" s="1"/>
  <c r="E98" i="36" s="1"/>
  <c r="G98" i="36" s="1"/>
  <c r="C98" i="37" s="1"/>
  <c r="E98" i="37" s="1"/>
  <c r="G98" i="37" s="1"/>
  <c r="C98" i="38" s="1"/>
  <c r="E98" i="38" s="1"/>
  <c r="G98" i="38" s="1"/>
  <c r="C98" i="39" s="1"/>
  <c r="E98" i="39" s="1"/>
  <c r="G98" i="39" s="1"/>
  <c r="C98" i="40" s="1"/>
  <c r="E98" i="40" s="1"/>
  <c r="G98" i="40" s="1"/>
  <c r="C98" i="41" s="1"/>
  <c r="E98" i="41" s="1"/>
  <c r="G98" i="41" s="1"/>
  <c r="C98" i="42" s="1"/>
  <c r="E98" i="42" s="1"/>
  <c r="G98" i="42" s="1"/>
  <c r="C98" i="43" s="1"/>
  <c r="E98" i="43" s="1"/>
  <c r="G98" i="43" s="1"/>
  <c r="C98" i="44" s="1"/>
  <c r="E98" i="44" s="1"/>
  <c r="G98" i="44" s="1"/>
  <c r="C98" i="45" s="1"/>
  <c r="E98" i="45" s="1"/>
  <c r="G98" i="45" s="1"/>
  <c r="C98" i="46" s="1"/>
  <c r="E98" i="46" s="1"/>
  <c r="G98" i="46" s="1"/>
  <c r="C98" i="47" s="1"/>
  <c r="E98" i="47" s="1"/>
  <c r="G98" i="47" s="1"/>
  <c r="C98" i="48" s="1"/>
  <c r="E98" i="48" s="1"/>
  <c r="G98" i="48" s="1"/>
  <c r="C98" i="49" s="1"/>
  <c r="E98" i="49" s="1"/>
  <c r="G98" i="49" s="1"/>
  <c r="C98" i="50" s="1"/>
  <c r="E98" i="50" s="1"/>
  <c r="G98" i="50" s="1"/>
  <c r="C98" i="51" s="1"/>
  <c r="E98" i="51" s="1"/>
  <c r="G98" i="51" s="1"/>
  <c r="C98" i="52" s="1"/>
  <c r="E98" i="52" s="1"/>
  <c r="G98" i="52" s="1"/>
  <c r="C98" i="53" s="1"/>
  <c r="E98" i="53" s="1"/>
  <c r="G98" i="53" s="1"/>
  <c r="C98" i="54" s="1"/>
  <c r="E98" i="54" s="1"/>
  <c r="G98" i="54" s="1"/>
  <c r="C98" i="55" s="1"/>
  <c r="E98" i="55" s="1"/>
  <c r="G98" i="55" s="1"/>
  <c r="C98" i="56" s="1"/>
  <c r="E98" i="56" s="1"/>
  <c r="G98" i="56" s="1"/>
  <c r="C98" i="57" s="1"/>
  <c r="E98" i="57" s="1"/>
  <c r="G98" i="57" s="1"/>
  <c r="C98" i="58" s="1"/>
  <c r="E98" i="58" s="1"/>
  <c r="G98" i="58" s="1"/>
  <c r="C98" i="59" s="1"/>
  <c r="E98" i="59" s="1"/>
  <c r="G98" i="59" s="1"/>
  <c r="C98" i="60" s="1"/>
  <c r="E98" i="60" s="1"/>
  <c r="G98" i="60" s="1"/>
  <c r="C98" i="61" s="1"/>
  <c r="E98" i="61" s="1"/>
  <c r="G98" i="61" s="1"/>
  <c r="C98" i="62" s="1"/>
  <c r="E98" i="62" s="1"/>
  <c r="G98" i="62" s="1"/>
  <c r="C98" i="63" s="1"/>
  <c r="E98" i="63" s="1"/>
  <c r="G98" i="63" s="1"/>
  <c r="C98" i="64" s="1"/>
  <c r="E98" i="64" s="1"/>
  <c r="G98" i="64" s="1"/>
  <c r="E98" i="15"/>
  <c r="E106" i="34"/>
  <c r="G106" i="34" s="1"/>
  <c r="C106" i="35" s="1"/>
  <c r="E106" i="35" s="1"/>
  <c r="G106" i="35" s="1"/>
  <c r="C106" i="36" s="1"/>
  <c r="E106" i="36" s="1"/>
  <c r="G106" i="36" s="1"/>
  <c r="C106" i="37" s="1"/>
  <c r="E106" i="37" s="1"/>
  <c r="G106" i="37" s="1"/>
  <c r="C106" i="38" s="1"/>
  <c r="E106" i="38" s="1"/>
  <c r="G106" i="38" s="1"/>
  <c r="C106" i="39" s="1"/>
  <c r="E106" i="39" s="1"/>
  <c r="G106" i="39" s="1"/>
  <c r="C106" i="40" s="1"/>
  <c r="E106" i="40" s="1"/>
  <c r="G106" i="40" s="1"/>
  <c r="C106" i="41" s="1"/>
  <c r="E106" i="41" s="1"/>
  <c r="G106" i="41" s="1"/>
  <c r="C106" i="42" s="1"/>
  <c r="E106" i="42" s="1"/>
  <c r="G106" i="42" s="1"/>
  <c r="C106" i="43" s="1"/>
  <c r="E106" i="43" s="1"/>
  <c r="G106" i="43" s="1"/>
  <c r="C106" i="44" s="1"/>
  <c r="E106" i="44" s="1"/>
  <c r="G106" i="44" s="1"/>
  <c r="C106" i="45" s="1"/>
  <c r="E106" i="45" s="1"/>
  <c r="G106" i="45" s="1"/>
  <c r="C106" i="46" s="1"/>
  <c r="E106" i="46" s="1"/>
  <c r="G106" i="46" s="1"/>
  <c r="C106" i="47" s="1"/>
  <c r="E106" i="47" s="1"/>
  <c r="G106" i="47" s="1"/>
  <c r="C106" i="48" s="1"/>
  <c r="E106" i="48" s="1"/>
  <c r="G106" i="48" s="1"/>
  <c r="C106" i="49" s="1"/>
  <c r="E106" i="49" s="1"/>
  <c r="G106" i="49" s="1"/>
  <c r="C106" i="50" s="1"/>
  <c r="E106" i="50" s="1"/>
  <c r="G106" i="50" s="1"/>
  <c r="C106" i="51" s="1"/>
  <c r="E106" i="51" s="1"/>
  <c r="G106" i="51" s="1"/>
  <c r="C106" i="52" s="1"/>
  <c r="E106" i="52" s="1"/>
  <c r="G106" i="52" s="1"/>
  <c r="C106" i="53" s="1"/>
  <c r="E106" i="53" s="1"/>
  <c r="G106" i="53" s="1"/>
  <c r="C106" i="54" s="1"/>
  <c r="E106" i="54" s="1"/>
  <c r="G106" i="54" s="1"/>
  <c r="C106" i="55" s="1"/>
  <c r="E106" i="55" s="1"/>
  <c r="G106" i="55" s="1"/>
  <c r="C106" i="56" s="1"/>
  <c r="E106" i="56" s="1"/>
  <c r="G106" i="56" s="1"/>
  <c r="C106" i="57" s="1"/>
  <c r="E106" i="57" s="1"/>
  <c r="G106" i="57" s="1"/>
  <c r="C106" i="58" s="1"/>
  <c r="E106" i="58" s="1"/>
  <c r="G106" i="58" s="1"/>
  <c r="C106" i="59" s="1"/>
  <c r="E106" i="59" s="1"/>
  <c r="G106" i="59" s="1"/>
  <c r="C106" i="60" s="1"/>
  <c r="E106" i="60" s="1"/>
  <c r="G106" i="60" s="1"/>
  <c r="C106" i="61" s="1"/>
  <c r="E106" i="61" s="1"/>
  <c r="G106" i="61" s="1"/>
  <c r="C106" i="62" s="1"/>
  <c r="E106" i="62" s="1"/>
  <c r="G106" i="62" s="1"/>
  <c r="C106" i="63" s="1"/>
  <c r="E106" i="63" s="1"/>
  <c r="G106" i="63" s="1"/>
  <c r="C106" i="64" s="1"/>
  <c r="E106" i="64" s="1"/>
  <c r="G106" i="64" s="1"/>
  <c r="E106" i="15"/>
  <c r="E168" i="15"/>
  <c r="E14" i="34"/>
  <c r="G14" i="34" s="1"/>
  <c r="C14" i="35" s="1"/>
  <c r="E14" i="35" s="1"/>
  <c r="G14" i="35" s="1"/>
  <c r="C14" i="36" s="1"/>
  <c r="E14" i="36" s="1"/>
  <c r="G14" i="36" s="1"/>
  <c r="C14" i="37" s="1"/>
  <c r="E14" i="37" s="1"/>
  <c r="G14" i="37" s="1"/>
  <c r="C14" i="38" s="1"/>
  <c r="E14" i="38" s="1"/>
  <c r="G14" i="38" s="1"/>
  <c r="C14" i="39" s="1"/>
  <c r="E14" i="39" s="1"/>
  <c r="G14" i="39" s="1"/>
  <c r="C14" i="40" s="1"/>
  <c r="E14" i="40" s="1"/>
  <c r="G14" i="40" s="1"/>
  <c r="C14" i="41" s="1"/>
  <c r="E14" i="41" s="1"/>
  <c r="G14" i="41" s="1"/>
  <c r="C14" i="42" s="1"/>
  <c r="E14" i="42" s="1"/>
  <c r="G14" i="42" s="1"/>
  <c r="C14" i="43" s="1"/>
  <c r="E14" i="43" s="1"/>
  <c r="G14" i="43" s="1"/>
  <c r="C14" i="44" s="1"/>
  <c r="E14" i="44" s="1"/>
  <c r="G14" i="44" s="1"/>
  <c r="C14" i="45" s="1"/>
  <c r="E14" i="45" s="1"/>
  <c r="G14" i="45" s="1"/>
  <c r="C14" i="46" s="1"/>
  <c r="E14" i="46" s="1"/>
  <c r="G14" i="46" s="1"/>
  <c r="C14" i="47" s="1"/>
  <c r="E14" i="47" s="1"/>
  <c r="G14" i="47" s="1"/>
  <c r="C14" i="48" s="1"/>
  <c r="E14" i="48" s="1"/>
  <c r="G14" i="48" s="1"/>
  <c r="C14" i="49" s="1"/>
  <c r="E14" i="49" s="1"/>
  <c r="G14" i="49" s="1"/>
  <c r="C14" i="50" s="1"/>
  <c r="E14" i="50" s="1"/>
  <c r="G14" i="50" s="1"/>
  <c r="C14" i="51" s="1"/>
  <c r="E14" i="51" s="1"/>
  <c r="G14" i="51" s="1"/>
  <c r="C14" i="52" s="1"/>
  <c r="E14" i="52" s="1"/>
  <c r="G14" i="52" s="1"/>
  <c r="C14" i="53" s="1"/>
  <c r="E14" i="53" s="1"/>
  <c r="G14" i="53" s="1"/>
  <c r="C14" i="54" s="1"/>
  <c r="E14" i="54" s="1"/>
  <c r="G14" i="54" s="1"/>
  <c r="C14" i="55" s="1"/>
  <c r="E14" i="55" s="1"/>
  <c r="G14" i="55" s="1"/>
  <c r="C14" i="56" s="1"/>
  <c r="E14" i="56" s="1"/>
  <c r="G14" i="56" s="1"/>
  <c r="C14" i="57" s="1"/>
  <c r="E14" i="57" s="1"/>
  <c r="G14" i="57" s="1"/>
  <c r="C14" i="58" s="1"/>
  <c r="E14" i="58" s="1"/>
  <c r="G14" i="58" s="1"/>
  <c r="C14" i="59" s="1"/>
  <c r="E14" i="59" s="1"/>
  <c r="G14" i="59" s="1"/>
  <c r="C14" i="60" s="1"/>
  <c r="E14" i="60" s="1"/>
  <c r="G14" i="60" s="1"/>
  <c r="C14" i="61" s="1"/>
  <c r="E14" i="61" s="1"/>
  <c r="G14" i="61" s="1"/>
  <c r="C14" i="62" s="1"/>
  <c r="E14" i="62" s="1"/>
  <c r="G14" i="62" s="1"/>
  <c r="C14" i="63" s="1"/>
  <c r="E14" i="63" s="1"/>
  <c r="G14" i="63" s="1"/>
  <c r="C14" i="64" s="1"/>
  <c r="E14" i="64" s="1"/>
  <c r="G14" i="64" s="1"/>
  <c r="E14" i="15"/>
  <c r="E24" i="15"/>
  <c r="E48" i="15"/>
  <c r="E75" i="34"/>
  <c r="G75" i="34" s="1"/>
  <c r="C75" i="35" s="1"/>
  <c r="E75" i="35" s="1"/>
  <c r="G75" i="35" s="1"/>
  <c r="C75" i="36" s="1"/>
  <c r="E75" i="36" s="1"/>
  <c r="G75" i="36" s="1"/>
  <c r="C75" i="37" s="1"/>
  <c r="E75" i="37" s="1"/>
  <c r="G75" i="37" s="1"/>
  <c r="C75" i="38" s="1"/>
  <c r="E75" i="38" s="1"/>
  <c r="G75" i="38" s="1"/>
  <c r="C75" i="39" s="1"/>
  <c r="E75" i="39" s="1"/>
  <c r="G75" i="39" s="1"/>
  <c r="C75" i="40" s="1"/>
  <c r="E75" i="40" s="1"/>
  <c r="G75" i="40" s="1"/>
  <c r="C75" i="41" s="1"/>
  <c r="E75" i="41" s="1"/>
  <c r="G75" i="41" s="1"/>
  <c r="C75" i="42" s="1"/>
  <c r="E75" i="42" s="1"/>
  <c r="G75" i="42" s="1"/>
  <c r="C75" i="43" s="1"/>
  <c r="E75" i="43" s="1"/>
  <c r="G75" i="43" s="1"/>
  <c r="C75" i="44" s="1"/>
  <c r="E75" i="44" s="1"/>
  <c r="G75" i="44" s="1"/>
  <c r="C75" i="45" s="1"/>
  <c r="E75" i="45" s="1"/>
  <c r="G75" i="45" s="1"/>
  <c r="C75" i="46" s="1"/>
  <c r="E75" i="46" s="1"/>
  <c r="G75" i="46" s="1"/>
  <c r="C75" i="47" s="1"/>
  <c r="E75" i="47" s="1"/>
  <c r="G75" i="47" s="1"/>
  <c r="C75" i="48" s="1"/>
  <c r="E75" i="48" s="1"/>
  <c r="G75" i="48" s="1"/>
  <c r="C75" i="49" s="1"/>
  <c r="E75" i="49" s="1"/>
  <c r="G75" i="49" s="1"/>
  <c r="C75" i="50" s="1"/>
  <c r="E75" i="50" s="1"/>
  <c r="G75" i="50" s="1"/>
  <c r="C75" i="51" s="1"/>
  <c r="E75" i="51" s="1"/>
  <c r="G75" i="51" s="1"/>
  <c r="C75" i="52" s="1"/>
  <c r="E75" i="52" s="1"/>
  <c r="G75" i="52" s="1"/>
  <c r="C75" i="53" s="1"/>
  <c r="E75" i="53" s="1"/>
  <c r="G75" i="53" s="1"/>
  <c r="C75" i="54" s="1"/>
  <c r="E75" i="54" s="1"/>
  <c r="G75" i="54" s="1"/>
  <c r="C75" i="55" s="1"/>
  <c r="E75" i="55" s="1"/>
  <c r="G75" i="55" s="1"/>
  <c r="C75" i="56" s="1"/>
  <c r="E75" i="56" s="1"/>
  <c r="G75" i="56" s="1"/>
  <c r="C75" i="57" s="1"/>
  <c r="E75" i="57" s="1"/>
  <c r="G75" i="57" s="1"/>
  <c r="C75" i="58" s="1"/>
  <c r="E75" i="58" s="1"/>
  <c r="G75" i="58" s="1"/>
  <c r="C75" i="59" s="1"/>
  <c r="E75" i="59" s="1"/>
  <c r="G75" i="59" s="1"/>
  <c r="C75" i="60" s="1"/>
  <c r="E75" i="60" s="1"/>
  <c r="G75" i="60" s="1"/>
  <c r="C75" i="61" s="1"/>
  <c r="E75" i="61" s="1"/>
  <c r="G75" i="61" s="1"/>
  <c r="C75" i="62" s="1"/>
  <c r="E75" i="62" s="1"/>
  <c r="G75" i="62" s="1"/>
  <c r="C75" i="63" s="1"/>
  <c r="E75" i="63" s="1"/>
  <c r="G75" i="63" s="1"/>
  <c r="C75" i="64" s="1"/>
  <c r="E75" i="64" s="1"/>
  <c r="G75" i="64" s="1"/>
  <c r="E75" i="15"/>
  <c r="E82" i="34"/>
  <c r="G82" i="34" s="1"/>
  <c r="C82" i="35" s="1"/>
  <c r="E82" i="35" s="1"/>
  <c r="G82" i="35" s="1"/>
  <c r="C82" i="36" s="1"/>
  <c r="E82" i="36" s="1"/>
  <c r="G82" i="36" s="1"/>
  <c r="C82" i="37" s="1"/>
  <c r="E82" i="37" s="1"/>
  <c r="G82" i="37" s="1"/>
  <c r="C82" i="38" s="1"/>
  <c r="E82" i="38" s="1"/>
  <c r="G82" i="38" s="1"/>
  <c r="C82" i="39" s="1"/>
  <c r="E82" i="39" s="1"/>
  <c r="G82" i="39" s="1"/>
  <c r="C82" i="40" s="1"/>
  <c r="E82" i="40" s="1"/>
  <c r="G82" i="40" s="1"/>
  <c r="C82" i="41" s="1"/>
  <c r="E82" i="41" s="1"/>
  <c r="G82" i="41" s="1"/>
  <c r="C82" i="42" s="1"/>
  <c r="E82" i="42" s="1"/>
  <c r="G82" i="42" s="1"/>
  <c r="C82" i="43" s="1"/>
  <c r="E82" i="43" s="1"/>
  <c r="G82" i="43" s="1"/>
  <c r="C82" i="44" s="1"/>
  <c r="E82" i="44" s="1"/>
  <c r="G82" i="44" s="1"/>
  <c r="C82" i="45" s="1"/>
  <c r="E82" i="45" s="1"/>
  <c r="G82" i="45" s="1"/>
  <c r="C82" i="46" s="1"/>
  <c r="E82" i="46" s="1"/>
  <c r="G82" i="46" s="1"/>
  <c r="C82" i="47" s="1"/>
  <c r="E82" i="47" s="1"/>
  <c r="G82" i="47" s="1"/>
  <c r="C82" i="48" s="1"/>
  <c r="E82" i="48" s="1"/>
  <c r="G82" i="48" s="1"/>
  <c r="C82" i="49" s="1"/>
  <c r="E82" i="49" s="1"/>
  <c r="G82" i="49" s="1"/>
  <c r="C82" i="50" s="1"/>
  <c r="E82" i="50" s="1"/>
  <c r="G82" i="50" s="1"/>
  <c r="C82" i="51" s="1"/>
  <c r="E82" i="51" s="1"/>
  <c r="G82" i="51" s="1"/>
  <c r="C82" i="52" s="1"/>
  <c r="E82" i="52" s="1"/>
  <c r="G82" i="52" s="1"/>
  <c r="C82" i="53" s="1"/>
  <c r="E82" i="53" s="1"/>
  <c r="G82" i="53" s="1"/>
  <c r="C82" i="54" s="1"/>
  <c r="E82" i="54" s="1"/>
  <c r="G82" i="54" s="1"/>
  <c r="C82" i="55" s="1"/>
  <c r="E82" i="55" s="1"/>
  <c r="G82" i="55" s="1"/>
  <c r="C82" i="56" s="1"/>
  <c r="E82" i="56" s="1"/>
  <c r="G82" i="56" s="1"/>
  <c r="C82" i="57" s="1"/>
  <c r="E82" i="57" s="1"/>
  <c r="G82" i="57" s="1"/>
  <c r="C82" i="58" s="1"/>
  <c r="E82" i="58" s="1"/>
  <c r="G82" i="58" s="1"/>
  <c r="C82" i="59" s="1"/>
  <c r="E82" i="59" s="1"/>
  <c r="G82" i="59" s="1"/>
  <c r="C82" i="60" s="1"/>
  <c r="E82" i="60" s="1"/>
  <c r="G82" i="60" s="1"/>
  <c r="C82" i="61" s="1"/>
  <c r="E82" i="61" s="1"/>
  <c r="G82" i="61" s="1"/>
  <c r="C82" i="62" s="1"/>
  <c r="E82" i="62" s="1"/>
  <c r="G82" i="62" s="1"/>
  <c r="C82" i="63" s="1"/>
  <c r="E82" i="63" s="1"/>
  <c r="G82" i="63" s="1"/>
  <c r="C82" i="64" s="1"/>
  <c r="E82" i="64" s="1"/>
  <c r="G82" i="64" s="1"/>
  <c r="E82" i="15"/>
  <c r="E96" i="15"/>
  <c r="E117" i="34"/>
  <c r="G117" i="34" s="1"/>
  <c r="C117" i="35" s="1"/>
  <c r="E117" i="35" s="1"/>
  <c r="G117" i="35" s="1"/>
  <c r="C117" i="36" s="1"/>
  <c r="E117" i="36" s="1"/>
  <c r="G117" i="36" s="1"/>
  <c r="C117" i="37" s="1"/>
  <c r="E117" i="37" s="1"/>
  <c r="G117" i="37" s="1"/>
  <c r="C117" i="38" s="1"/>
  <c r="E117" i="38" s="1"/>
  <c r="G117" i="38" s="1"/>
  <c r="C117" i="39" s="1"/>
  <c r="E117" i="39" s="1"/>
  <c r="G117" i="39" s="1"/>
  <c r="C117" i="40" s="1"/>
  <c r="E117" i="40" s="1"/>
  <c r="G117" i="40" s="1"/>
  <c r="C117" i="41" s="1"/>
  <c r="E117" i="41" s="1"/>
  <c r="G117" i="41" s="1"/>
  <c r="C117" i="42" s="1"/>
  <c r="E117" i="42" s="1"/>
  <c r="G117" i="42" s="1"/>
  <c r="C117" i="43" s="1"/>
  <c r="E117" i="43" s="1"/>
  <c r="G117" i="43" s="1"/>
  <c r="C117" i="44" s="1"/>
  <c r="E117" i="44" s="1"/>
  <c r="G117" i="44" s="1"/>
  <c r="C117" i="45" s="1"/>
  <c r="E117" i="45" s="1"/>
  <c r="G117" i="45" s="1"/>
  <c r="C117" i="46" s="1"/>
  <c r="E117" i="46" s="1"/>
  <c r="G117" i="46" s="1"/>
  <c r="C117" i="47" s="1"/>
  <c r="E117" i="47" s="1"/>
  <c r="G117" i="47" s="1"/>
  <c r="C117" i="48" s="1"/>
  <c r="E117" i="48" s="1"/>
  <c r="G117" i="48" s="1"/>
  <c r="C117" i="49" s="1"/>
  <c r="E117" i="49" s="1"/>
  <c r="G117" i="49" s="1"/>
  <c r="C117" i="50" s="1"/>
  <c r="E117" i="50" s="1"/>
  <c r="G117" i="50" s="1"/>
  <c r="C117" i="51" s="1"/>
  <c r="E117" i="51" s="1"/>
  <c r="G117" i="51" s="1"/>
  <c r="C117" i="52" s="1"/>
  <c r="E117" i="52" s="1"/>
  <c r="G117" i="52" s="1"/>
  <c r="C117" i="53" s="1"/>
  <c r="E117" i="53" s="1"/>
  <c r="G117" i="53" s="1"/>
  <c r="C117" i="54" s="1"/>
  <c r="E117" i="54" s="1"/>
  <c r="G117" i="54" s="1"/>
  <c r="C117" i="55" s="1"/>
  <c r="E117" i="55" s="1"/>
  <c r="G117" i="55" s="1"/>
  <c r="C117" i="56" s="1"/>
  <c r="E117" i="56" s="1"/>
  <c r="G117" i="56" s="1"/>
  <c r="C117" i="57" s="1"/>
  <c r="E117" i="57" s="1"/>
  <c r="G117" i="57" s="1"/>
  <c r="C117" i="58" s="1"/>
  <c r="E117" i="58" s="1"/>
  <c r="G117" i="58" s="1"/>
  <c r="C117" i="59" s="1"/>
  <c r="E117" i="59" s="1"/>
  <c r="G117" i="59" s="1"/>
  <c r="C117" i="60" s="1"/>
  <c r="E117" i="60" s="1"/>
  <c r="G117" i="60" s="1"/>
  <c r="C117" i="61" s="1"/>
  <c r="E117" i="61" s="1"/>
  <c r="G117" i="61" s="1"/>
  <c r="C117" i="62" s="1"/>
  <c r="E117" i="62" s="1"/>
  <c r="G117" i="62" s="1"/>
  <c r="C117" i="63" s="1"/>
  <c r="E117" i="63" s="1"/>
  <c r="G117" i="63" s="1"/>
  <c r="C117" i="64" s="1"/>
  <c r="E117" i="64" s="1"/>
  <c r="G117" i="64" s="1"/>
  <c r="E117" i="15"/>
  <c r="E125" i="34"/>
  <c r="G125" i="34" s="1"/>
  <c r="C125" i="35" s="1"/>
  <c r="E125" i="35" s="1"/>
  <c r="G125" i="35" s="1"/>
  <c r="C125" i="36" s="1"/>
  <c r="E125" i="36" s="1"/>
  <c r="G125" i="36" s="1"/>
  <c r="C125" i="37" s="1"/>
  <c r="E125" i="37" s="1"/>
  <c r="G125" i="37" s="1"/>
  <c r="C125" i="38" s="1"/>
  <c r="E125" i="38" s="1"/>
  <c r="G125" i="38" s="1"/>
  <c r="C125" i="39" s="1"/>
  <c r="E125" i="39" s="1"/>
  <c r="G125" i="39" s="1"/>
  <c r="C125" i="40" s="1"/>
  <c r="E125" i="40" s="1"/>
  <c r="G125" i="40" s="1"/>
  <c r="C125" i="41" s="1"/>
  <c r="E125" i="41" s="1"/>
  <c r="G125" i="41" s="1"/>
  <c r="C125" i="42" s="1"/>
  <c r="E125" i="42" s="1"/>
  <c r="G125" i="42" s="1"/>
  <c r="C125" i="43" s="1"/>
  <c r="E125" i="43" s="1"/>
  <c r="G125" i="43" s="1"/>
  <c r="C125" i="44" s="1"/>
  <c r="E125" i="44" s="1"/>
  <c r="G125" i="44" s="1"/>
  <c r="C125" i="45" s="1"/>
  <c r="E125" i="45" s="1"/>
  <c r="G125" i="45" s="1"/>
  <c r="C125" i="46" s="1"/>
  <c r="E125" i="46" s="1"/>
  <c r="G125" i="46" s="1"/>
  <c r="C125" i="47" s="1"/>
  <c r="E125" i="47" s="1"/>
  <c r="G125" i="47" s="1"/>
  <c r="C125" i="48" s="1"/>
  <c r="E125" i="48" s="1"/>
  <c r="G125" i="48" s="1"/>
  <c r="C125" i="49" s="1"/>
  <c r="E125" i="49" s="1"/>
  <c r="G125" i="49" s="1"/>
  <c r="C125" i="50" s="1"/>
  <c r="E125" i="50" s="1"/>
  <c r="G125" i="50" s="1"/>
  <c r="C125" i="51" s="1"/>
  <c r="E125" i="51" s="1"/>
  <c r="G125" i="51" s="1"/>
  <c r="C125" i="52" s="1"/>
  <c r="E125" i="52" s="1"/>
  <c r="G125" i="52" s="1"/>
  <c r="C125" i="53" s="1"/>
  <c r="E125" i="53" s="1"/>
  <c r="G125" i="53" s="1"/>
  <c r="C125" i="54" s="1"/>
  <c r="E125" i="54" s="1"/>
  <c r="G125" i="54" s="1"/>
  <c r="C125" i="55" s="1"/>
  <c r="E125" i="55" s="1"/>
  <c r="G125" i="55" s="1"/>
  <c r="C125" i="56" s="1"/>
  <c r="E125" i="56" s="1"/>
  <c r="G125" i="56" s="1"/>
  <c r="C125" i="57" s="1"/>
  <c r="E125" i="57" s="1"/>
  <c r="G125" i="57" s="1"/>
  <c r="C125" i="58" s="1"/>
  <c r="E125" i="58" s="1"/>
  <c r="G125" i="58" s="1"/>
  <c r="C125" i="59" s="1"/>
  <c r="E125" i="59" s="1"/>
  <c r="G125" i="59" s="1"/>
  <c r="C125" i="60" s="1"/>
  <c r="E125" i="60" s="1"/>
  <c r="G125" i="60" s="1"/>
  <c r="C125" i="61" s="1"/>
  <c r="E125" i="61" s="1"/>
  <c r="G125" i="61" s="1"/>
  <c r="C125" i="62" s="1"/>
  <c r="E125" i="62" s="1"/>
  <c r="G125" i="62" s="1"/>
  <c r="C125" i="63" s="1"/>
  <c r="E125" i="63" s="1"/>
  <c r="G125" i="63" s="1"/>
  <c r="C125" i="64" s="1"/>
  <c r="E125" i="64" s="1"/>
  <c r="G125" i="64" s="1"/>
  <c r="E125" i="15"/>
  <c r="E133" i="34"/>
  <c r="G133" i="34" s="1"/>
  <c r="C133" i="35" s="1"/>
  <c r="E133" i="35" s="1"/>
  <c r="G133" i="35" s="1"/>
  <c r="C133" i="36" s="1"/>
  <c r="E133" i="36" s="1"/>
  <c r="G133" i="36" s="1"/>
  <c r="C133" i="37" s="1"/>
  <c r="E133" i="37" s="1"/>
  <c r="G133" i="37" s="1"/>
  <c r="C133" i="38" s="1"/>
  <c r="E133" i="38" s="1"/>
  <c r="G133" i="38" s="1"/>
  <c r="C133" i="39" s="1"/>
  <c r="E133" i="39" s="1"/>
  <c r="G133" i="39" s="1"/>
  <c r="C133" i="40" s="1"/>
  <c r="E133" i="40" s="1"/>
  <c r="G133" i="40" s="1"/>
  <c r="C133" i="41" s="1"/>
  <c r="E133" i="41" s="1"/>
  <c r="G133" i="41" s="1"/>
  <c r="C133" i="42" s="1"/>
  <c r="E133" i="42" s="1"/>
  <c r="G133" i="42" s="1"/>
  <c r="C133" i="43" s="1"/>
  <c r="E133" i="43" s="1"/>
  <c r="G133" i="43" s="1"/>
  <c r="C133" i="44" s="1"/>
  <c r="E133" i="44" s="1"/>
  <c r="G133" i="44" s="1"/>
  <c r="C133" i="45" s="1"/>
  <c r="E133" i="45" s="1"/>
  <c r="G133" i="45" s="1"/>
  <c r="C133" i="46" s="1"/>
  <c r="E133" i="46" s="1"/>
  <c r="G133" i="46" s="1"/>
  <c r="C133" i="47" s="1"/>
  <c r="E133" i="47" s="1"/>
  <c r="G133" i="47" s="1"/>
  <c r="C133" i="48" s="1"/>
  <c r="E133" i="48" s="1"/>
  <c r="G133" i="48" s="1"/>
  <c r="C133" i="49" s="1"/>
  <c r="E133" i="49" s="1"/>
  <c r="G133" i="49" s="1"/>
  <c r="C133" i="50" s="1"/>
  <c r="E133" i="50" s="1"/>
  <c r="G133" i="50" s="1"/>
  <c r="C133" i="51" s="1"/>
  <c r="E133" i="51" s="1"/>
  <c r="G133" i="51" s="1"/>
  <c r="C133" i="52" s="1"/>
  <c r="E133" i="52" s="1"/>
  <c r="G133" i="52" s="1"/>
  <c r="C133" i="53" s="1"/>
  <c r="E133" i="53" s="1"/>
  <c r="G133" i="53" s="1"/>
  <c r="C133" i="54" s="1"/>
  <c r="E133" i="54" s="1"/>
  <c r="G133" i="54" s="1"/>
  <c r="C133" i="55" s="1"/>
  <c r="E133" i="55" s="1"/>
  <c r="G133" i="55" s="1"/>
  <c r="C133" i="56" s="1"/>
  <c r="E133" i="56" s="1"/>
  <c r="G133" i="56" s="1"/>
  <c r="C133" i="57" s="1"/>
  <c r="E133" i="57" s="1"/>
  <c r="G133" i="57" s="1"/>
  <c r="C133" i="58" s="1"/>
  <c r="E133" i="58" s="1"/>
  <c r="G133" i="58" s="1"/>
  <c r="C133" i="59" s="1"/>
  <c r="E133" i="59" s="1"/>
  <c r="G133" i="59" s="1"/>
  <c r="C133" i="60" s="1"/>
  <c r="E133" i="60" s="1"/>
  <c r="G133" i="60" s="1"/>
  <c r="C133" i="61" s="1"/>
  <c r="E133" i="61" s="1"/>
  <c r="G133" i="61" s="1"/>
  <c r="C133" i="62" s="1"/>
  <c r="E133" i="62" s="1"/>
  <c r="G133" i="62" s="1"/>
  <c r="C133" i="63" s="1"/>
  <c r="E133" i="63" s="1"/>
  <c r="G133" i="63" s="1"/>
  <c r="C133" i="64" s="1"/>
  <c r="E133" i="64" s="1"/>
  <c r="G133" i="64" s="1"/>
  <c r="E133" i="15"/>
  <c r="E137" i="15"/>
  <c r="E141" i="34"/>
  <c r="G141" i="34" s="1"/>
  <c r="C141" i="35" s="1"/>
  <c r="E141" i="35" s="1"/>
  <c r="G141" i="35" s="1"/>
  <c r="C141" i="36" s="1"/>
  <c r="E141" i="36" s="1"/>
  <c r="G141" i="36" s="1"/>
  <c r="C141" i="37" s="1"/>
  <c r="E141" i="37" s="1"/>
  <c r="G141" i="37" s="1"/>
  <c r="C141" i="38" s="1"/>
  <c r="E141" i="38" s="1"/>
  <c r="G141" i="38" s="1"/>
  <c r="C141" i="39" s="1"/>
  <c r="E141" i="39" s="1"/>
  <c r="G141" i="39" s="1"/>
  <c r="C141" i="40" s="1"/>
  <c r="E141" i="40" s="1"/>
  <c r="G141" i="40" s="1"/>
  <c r="C141" i="41" s="1"/>
  <c r="E141" i="41" s="1"/>
  <c r="G141" i="41" s="1"/>
  <c r="C141" i="42" s="1"/>
  <c r="E141" i="42" s="1"/>
  <c r="G141" i="42" s="1"/>
  <c r="C141" i="43" s="1"/>
  <c r="E141" i="43" s="1"/>
  <c r="G141" i="43" s="1"/>
  <c r="C141" i="44" s="1"/>
  <c r="E141" i="44" s="1"/>
  <c r="G141" i="44" s="1"/>
  <c r="C141" i="45" s="1"/>
  <c r="E141" i="45" s="1"/>
  <c r="G141" i="45" s="1"/>
  <c r="C141" i="46" s="1"/>
  <c r="E141" i="46" s="1"/>
  <c r="G141" i="46" s="1"/>
  <c r="C141" i="47" s="1"/>
  <c r="E141" i="47" s="1"/>
  <c r="G141" i="47" s="1"/>
  <c r="C141" i="48" s="1"/>
  <c r="E141" i="48" s="1"/>
  <c r="G141" i="48" s="1"/>
  <c r="C141" i="49" s="1"/>
  <c r="E141" i="49" s="1"/>
  <c r="G141" i="49" s="1"/>
  <c r="C141" i="50" s="1"/>
  <c r="E141" i="50" s="1"/>
  <c r="G141" i="50" s="1"/>
  <c r="C141" i="51" s="1"/>
  <c r="E141" i="51" s="1"/>
  <c r="G141" i="51" s="1"/>
  <c r="C141" i="52" s="1"/>
  <c r="E141" i="52" s="1"/>
  <c r="G141" i="52" s="1"/>
  <c r="C141" i="53" s="1"/>
  <c r="E141" i="53" s="1"/>
  <c r="G141" i="53" s="1"/>
  <c r="C141" i="54" s="1"/>
  <c r="E141" i="54" s="1"/>
  <c r="G141" i="54" s="1"/>
  <c r="C141" i="55" s="1"/>
  <c r="E141" i="55" s="1"/>
  <c r="G141" i="55" s="1"/>
  <c r="C141" i="56" s="1"/>
  <c r="E141" i="56" s="1"/>
  <c r="G141" i="56" s="1"/>
  <c r="C141" i="57" s="1"/>
  <c r="E141" i="57" s="1"/>
  <c r="G141" i="57" s="1"/>
  <c r="C141" i="58" s="1"/>
  <c r="E141" i="58" s="1"/>
  <c r="G141" i="58" s="1"/>
  <c r="C141" i="59" s="1"/>
  <c r="E141" i="59" s="1"/>
  <c r="G141" i="59" s="1"/>
  <c r="C141" i="60" s="1"/>
  <c r="E141" i="60" s="1"/>
  <c r="G141" i="60" s="1"/>
  <c r="C141" i="61" s="1"/>
  <c r="E141" i="61" s="1"/>
  <c r="G141" i="61" s="1"/>
  <c r="C141" i="62" s="1"/>
  <c r="E141" i="62" s="1"/>
  <c r="G141" i="62" s="1"/>
  <c r="C141" i="63" s="1"/>
  <c r="E141" i="63" s="1"/>
  <c r="G141" i="63" s="1"/>
  <c r="C141" i="64" s="1"/>
  <c r="E141" i="64" s="1"/>
  <c r="G141" i="64" s="1"/>
  <c r="E141" i="15"/>
  <c r="E145" i="15"/>
  <c r="E149" i="34"/>
  <c r="G149" i="34" s="1"/>
  <c r="C149" i="35" s="1"/>
  <c r="E149" i="35" s="1"/>
  <c r="G149" i="35" s="1"/>
  <c r="C149" i="36" s="1"/>
  <c r="E149" i="36" s="1"/>
  <c r="G149" i="36" s="1"/>
  <c r="C149" i="37" s="1"/>
  <c r="E149" i="37" s="1"/>
  <c r="G149" i="37" s="1"/>
  <c r="C149" i="38" s="1"/>
  <c r="E149" i="38" s="1"/>
  <c r="G149" i="38" s="1"/>
  <c r="C149" i="39" s="1"/>
  <c r="E149" i="39" s="1"/>
  <c r="G149" i="39" s="1"/>
  <c r="C149" i="40" s="1"/>
  <c r="E149" i="40" s="1"/>
  <c r="G149" i="40" s="1"/>
  <c r="C149" i="41" s="1"/>
  <c r="E149" i="41" s="1"/>
  <c r="G149" i="41" s="1"/>
  <c r="C149" i="42" s="1"/>
  <c r="E149" i="42" s="1"/>
  <c r="G149" i="42" s="1"/>
  <c r="C149" i="43" s="1"/>
  <c r="E149" i="43" s="1"/>
  <c r="G149" i="43" s="1"/>
  <c r="C149" i="44" s="1"/>
  <c r="E149" i="44" s="1"/>
  <c r="G149" i="44" s="1"/>
  <c r="C149" i="45" s="1"/>
  <c r="E149" i="45" s="1"/>
  <c r="G149" i="45" s="1"/>
  <c r="C149" i="46" s="1"/>
  <c r="E149" i="46" s="1"/>
  <c r="G149" i="46" s="1"/>
  <c r="C149" i="47" s="1"/>
  <c r="E149" i="47" s="1"/>
  <c r="G149" i="47" s="1"/>
  <c r="C149" i="48" s="1"/>
  <c r="E149" i="48" s="1"/>
  <c r="G149" i="48" s="1"/>
  <c r="C149" i="49" s="1"/>
  <c r="E149" i="49" s="1"/>
  <c r="G149" i="49" s="1"/>
  <c r="C149" i="50" s="1"/>
  <c r="E149" i="50" s="1"/>
  <c r="G149" i="50" s="1"/>
  <c r="C149" i="51" s="1"/>
  <c r="E149" i="51" s="1"/>
  <c r="G149" i="51" s="1"/>
  <c r="C149" i="52" s="1"/>
  <c r="E149" i="52" s="1"/>
  <c r="G149" i="52" s="1"/>
  <c r="C149" i="53" s="1"/>
  <c r="E149" i="53" s="1"/>
  <c r="G149" i="53" s="1"/>
  <c r="C149" i="54" s="1"/>
  <c r="E149" i="54" s="1"/>
  <c r="G149" i="54" s="1"/>
  <c r="C149" i="55" s="1"/>
  <c r="E149" i="55" s="1"/>
  <c r="G149" i="55" s="1"/>
  <c r="C149" i="56" s="1"/>
  <c r="E149" i="56" s="1"/>
  <c r="G149" i="56" s="1"/>
  <c r="C149" i="57" s="1"/>
  <c r="E149" i="57" s="1"/>
  <c r="G149" i="57" s="1"/>
  <c r="C149" i="58" s="1"/>
  <c r="E149" i="58" s="1"/>
  <c r="G149" i="58" s="1"/>
  <c r="C149" i="59" s="1"/>
  <c r="E149" i="59" s="1"/>
  <c r="G149" i="59" s="1"/>
  <c r="C149" i="60" s="1"/>
  <c r="E149" i="60" s="1"/>
  <c r="G149" i="60" s="1"/>
  <c r="C149" i="61" s="1"/>
  <c r="E149" i="61" s="1"/>
  <c r="G149" i="61" s="1"/>
  <c r="C149" i="62" s="1"/>
  <c r="E149" i="62" s="1"/>
  <c r="G149" i="62" s="1"/>
  <c r="C149" i="63" s="1"/>
  <c r="E149" i="63" s="1"/>
  <c r="G149" i="63" s="1"/>
  <c r="C149" i="64" s="1"/>
  <c r="E149" i="64" s="1"/>
  <c r="G149" i="64" s="1"/>
  <c r="E149" i="15"/>
  <c r="E153" i="34"/>
  <c r="G153" i="34" s="1"/>
  <c r="C153" i="35" s="1"/>
  <c r="E153" i="35" s="1"/>
  <c r="G153" i="35" s="1"/>
  <c r="C153" i="36" s="1"/>
  <c r="E153" i="36" s="1"/>
  <c r="G153" i="36" s="1"/>
  <c r="C153" i="37" s="1"/>
  <c r="E153" i="37" s="1"/>
  <c r="G153" i="37" s="1"/>
  <c r="C153" i="38" s="1"/>
  <c r="E153" i="38" s="1"/>
  <c r="G153" i="38" s="1"/>
  <c r="C153" i="39" s="1"/>
  <c r="E153" i="39" s="1"/>
  <c r="G153" i="39" s="1"/>
  <c r="C153" i="40" s="1"/>
  <c r="E153" i="40" s="1"/>
  <c r="G153" i="40" s="1"/>
  <c r="C153" i="41" s="1"/>
  <c r="E153" i="41" s="1"/>
  <c r="G153" i="41" s="1"/>
  <c r="C153" i="42" s="1"/>
  <c r="E153" i="42" s="1"/>
  <c r="G153" i="42" s="1"/>
  <c r="C153" i="43" s="1"/>
  <c r="E153" i="43" s="1"/>
  <c r="G153" i="43" s="1"/>
  <c r="C153" i="44" s="1"/>
  <c r="E153" i="44" s="1"/>
  <c r="G153" i="44" s="1"/>
  <c r="C153" i="45" s="1"/>
  <c r="E153" i="45" s="1"/>
  <c r="G153" i="45" s="1"/>
  <c r="C153" i="46" s="1"/>
  <c r="E153" i="46" s="1"/>
  <c r="G153" i="46" s="1"/>
  <c r="C153" i="47" s="1"/>
  <c r="E153" i="47" s="1"/>
  <c r="G153" i="47" s="1"/>
  <c r="C153" i="48" s="1"/>
  <c r="E153" i="48" s="1"/>
  <c r="G153" i="48" s="1"/>
  <c r="C153" i="49" s="1"/>
  <c r="E153" i="49" s="1"/>
  <c r="G153" i="49" s="1"/>
  <c r="C153" i="50" s="1"/>
  <c r="E153" i="50" s="1"/>
  <c r="G153" i="50" s="1"/>
  <c r="C153" i="51" s="1"/>
  <c r="E153" i="51" s="1"/>
  <c r="G153" i="51" s="1"/>
  <c r="C153" i="52" s="1"/>
  <c r="E153" i="52" s="1"/>
  <c r="G153" i="52" s="1"/>
  <c r="C153" i="53" s="1"/>
  <c r="E153" i="53" s="1"/>
  <c r="G153" i="53" s="1"/>
  <c r="C153" i="54" s="1"/>
  <c r="E153" i="54" s="1"/>
  <c r="G153" i="54" s="1"/>
  <c r="C153" i="55" s="1"/>
  <c r="E153" i="55" s="1"/>
  <c r="G153" i="55" s="1"/>
  <c r="C153" i="56" s="1"/>
  <c r="E153" i="56" s="1"/>
  <c r="G153" i="56" s="1"/>
  <c r="C153" i="57" s="1"/>
  <c r="E153" i="57" s="1"/>
  <c r="G153" i="57" s="1"/>
  <c r="C153" i="58" s="1"/>
  <c r="E153" i="58" s="1"/>
  <c r="G153" i="58" s="1"/>
  <c r="C153" i="59" s="1"/>
  <c r="E153" i="59" s="1"/>
  <c r="G153" i="59" s="1"/>
  <c r="C153" i="60" s="1"/>
  <c r="E153" i="60" s="1"/>
  <c r="G153" i="60" s="1"/>
  <c r="C153" i="61" s="1"/>
  <c r="E153" i="61" s="1"/>
  <c r="G153" i="61" s="1"/>
  <c r="C153" i="62" s="1"/>
  <c r="E153" i="62" s="1"/>
  <c r="G153" i="62" s="1"/>
  <c r="C153" i="63" s="1"/>
  <c r="E153" i="63" s="1"/>
  <c r="G153" i="63" s="1"/>
  <c r="C153" i="64" s="1"/>
  <c r="E153" i="64" s="1"/>
  <c r="G153" i="64" s="1"/>
  <c r="E153" i="15"/>
  <c r="E157" i="34"/>
  <c r="G157" i="34" s="1"/>
  <c r="C157" i="35" s="1"/>
  <c r="E157" i="35" s="1"/>
  <c r="G157" i="35" s="1"/>
  <c r="C157" i="36" s="1"/>
  <c r="E157" i="36" s="1"/>
  <c r="G157" i="36" s="1"/>
  <c r="C157" i="37" s="1"/>
  <c r="E157" i="37" s="1"/>
  <c r="G157" i="37" s="1"/>
  <c r="C157" i="38" s="1"/>
  <c r="E157" i="38" s="1"/>
  <c r="G157" i="38" s="1"/>
  <c r="C157" i="39" s="1"/>
  <c r="E157" i="39" s="1"/>
  <c r="G157" i="39" s="1"/>
  <c r="C157" i="40" s="1"/>
  <c r="E157" i="40" s="1"/>
  <c r="G157" i="40" s="1"/>
  <c r="C157" i="41" s="1"/>
  <c r="E157" i="41" s="1"/>
  <c r="G157" i="41" s="1"/>
  <c r="C157" i="42" s="1"/>
  <c r="E157" i="42" s="1"/>
  <c r="G157" i="42" s="1"/>
  <c r="C157" i="43" s="1"/>
  <c r="E157" i="43" s="1"/>
  <c r="G157" i="43" s="1"/>
  <c r="C157" i="44" s="1"/>
  <c r="E157" i="44" s="1"/>
  <c r="G157" i="44" s="1"/>
  <c r="C157" i="45" s="1"/>
  <c r="E157" i="45" s="1"/>
  <c r="G157" i="45" s="1"/>
  <c r="C157" i="46" s="1"/>
  <c r="E157" i="46" s="1"/>
  <c r="G157" i="46" s="1"/>
  <c r="C157" i="47" s="1"/>
  <c r="E157" i="47" s="1"/>
  <c r="G157" i="47" s="1"/>
  <c r="C157" i="48" s="1"/>
  <c r="E157" i="48" s="1"/>
  <c r="G157" i="48" s="1"/>
  <c r="C157" i="49" s="1"/>
  <c r="E157" i="49" s="1"/>
  <c r="G157" i="49" s="1"/>
  <c r="C157" i="50" s="1"/>
  <c r="E157" i="50" s="1"/>
  <c r="G157" i="50" s="1"/>
  <c r="C157" i="51" s="1"/>
  <c r="E157" i="51" s="1"/>
  <c r="G157" i="51" s="1"/>
  <c r="C157" i="52" s="1"/>
  <c r="E157" i="52" s="1"/>
  <c r="G157" i="52" s="1"/>
  <c r="C157" i="53" s="1"/>
  <c r="E157" i="53" s="1"/>
  <c r="G157" i="53" s="1"/>
  <c r="C157" i="54" s="1"/>
  <c r="E157" i="54" s="1"/>
  <c r="G157" i="54" s="1"/>
  <c r="C157" i="55" s="1"/>
  <c r="E157" i="55" s="1"/>
  <c r="G157" i="55" s="1"/>
  <c r="C157" i="56" s="1"/>
  <c r="E157" i="56" s="1"/>
  <c r="G157" i="56" s="1"/>
  <c r="C157" i="57" s="1"/>
  <c r="E157" i="57" s="1"/>
  <c r="G157" i="57" s="1"/>
  <c r="C157" i="58" s="1"/>
  <c r="E157" i="58" s="1"/>
  <c r="G157" i="58" s="1"/>
  <c r="C157" i="59" s="1"/>
  <c r="E157" i="59" s="1"/>
  <c r="G157" i="59" s="1"/>
  <c r="C157" i="60" s="1"/>
  <c r="E157" i="60" s="1"/>
  <c r="G157" i="60" s="1"/>
  <c r="C157" i="61" s="1"/>
  <c r="E157" i="61" s="1"/>
  <c r="G157" i="61" s="1"/>
  <c r="C157" i="62" s="1"/>
  <c r="E157" i="62" s="1"/>
  <c r="G157" i="62" s="1"/>
  <c r="C157" i="63" s="1"/>
  <c r="E157" i="63" s="1"/>
  <c r="G157" i="63" s="1"/>
  <c r="C157" i="64" s="1"/>
  <c r="E157" i="64" s="1"/>
  <c r="G157" i="64" s="1"/>
  <c r="E157" i="15"/>
  <c r="E161" i="34"/>
  <c r="G161" i="34" s="1"/>
  <c r="C161" i="35" s="1"/>
  <c r="E161" i="35" s="1"/>
  <c r="G161" i="35" s="1"/>
  <c r="C161" i="36" s="1"/>
  <c r="E161" i="36" s="1"/>
  <c r="G161" i="36" s="1"/>
  <c r="C161" i="37" s="1"/>
  <c r="E161" i="37" s="1"/>
  <c r="G161" i="37" s="1"/>
  <c r="C161" i="38" s="1"/>
  <c r="E161" i="38" s="1"/>
  <c r="G161" i="38" s="1"/>
  <c r="C161" i="39" s="1"/>
  <c r="E161" i="39" s="1"/>
  <c r="G161" i="39" s="1"/>
  <c r="C161" i="40" s="1"/>
  <c r="E161" i="40" s="1"/>
  <c r="G161" i="40" s="1"/>
  <c r="C161" i="41" s="1"/>
  <c r="E161" i="41" s="1"/>
  <c r="G161" i="41" s="1"/>
  <c r="C161" i="42" s="1"/>
  <c r="E161" i="42" s="1"/>
  <c r="G161" i="42" s="1"/>
  <c r="C161" i="43" s="1"/>
  <c r="E161" i="43" s="1"/>
  <c r="G161" i="43" s="1"/>
  <c r="C161" i="44" s="1"/>
  <c r="E161" i="44" s="1"/>
  <c r="G161" i="44" s="1"/>
  <c r="C161" i="45" s="1"/>
  <c r="E161" i="45" s="1"/>
  <c r="G161" i="45" s="1"/>
  <c r="C161" i="46" s="1"/>
  <c r="E161" i="46" s="1"/>
  <c r="G161" i="46" s="1"/>
  <c r="C161" i="47" s="1"/>
  <c r="E161" i="47" s="1"/>
  <c r="G161" i="47" s="1"/>
  <c r="C161" i="48" s="1"/>
  <c r="E161" i="48" s="1"/>
  <c r="G161" i="48" s="1"/>
  <c r="C161" i="49" s="1"/>
  <c r="E161" i="49" s="1"/>
  <c r="G161" i="49" s="1"/>
  <c r="C161" i="50" s="1"/>
  <c r="E161" i="50" s="1"/>
  <c r="G161" i="50" s="1"/>
  <c r="C161" i="51" s="1"/>
  <c r="E161" i="51" s="1"/>
  <c r="G161" i="51" s="1"/>
  <c r="C161" i="52" s="1"/>
  <c r="E161" i="52" s="1"/>
  <c r="G161" i="52" s="1"/>
  <c r="C161" i="53" s="1"/>
  <c r="E161" i="53" s="1"/>
  <c r="G161" i="53" s="1"/>
  <c r="C161" i="54" s="1"/>
  <c r="E161" i="54" s="1"/>
  <c r="G161" i="54" s="1"/>
  <c r="C161" i="55" s="1"/>
  <c r="E161" i="55" s="1"/>
  <c r="G161" i="55" s="1"/>
  <c r="C161" i="56" s="1"/>
  <c r="E161" i="56" s="1"/>
  <c r="G161" i="56" s="1"/>
  <c r="C161" i="57" s="1"/>
  <c r="E161" i="57" s="1"/>
  <c r="G161" i="57" s="1"/>
  <c r="C161" i="58" s="1"/>
  <c r="E161" i="58" s="1"/>
  <c r="G161" i="58" s="1"/>
  <c r="C161" i="59" s="1"/>
  <c r="E161" i="59" s="1"/>
  <c r="G161" i="59" s="1"/>
  <c r="C161" i="60" s="1"/>
  <c r="E161" i="60" s="1"/>
  <c r="G161" i="60" s="1"/>
  <c r="C161" i="61" s="1"/>
  <c r="E161" i="61" s="1"/>
  <c r="G161" i="61" s="1"/>
  <c r="C161" i="62" s="1"/>
  <c r="E161" i="62" s="1"/>
  <c r="G161" i="62" s="1"/>
  <c r="C161" i="63" s="1"/>
  <c r="E161" i="63" s="1"/>
  <c r="G161" i="63" s="1"/>
  <c r="C161" i="64" s="1"/>
  <c r="E161" i="64" s="1"/>
  <c r="G161" i="64" s="1"/>
  <c r="E161" i="15"/>
  <c r="E180" i="34"/>
  <c r="G180" i="34" s="1"/>
  <c r="C180" i="35" s="1"/>
  <c r="E180" i="35" s="1"/>
  <c r="G180" i="35" s="1"/>
  <c r="C180" i="36" s="1"/>
  <c r="E180" i="36" s="1"/>
  <c r="G180" i="36" s="1"/>
  <c r="C180" i="37" s="1"/>
  <c r="E180" i="37" s="1"/>
  <c r="G180" i="37" s="1"/>
  <c r="C180" i="38" s="1"/>
  <c r="E180" i="38" s="1"/>
  <c r="G180" i="38" s="1"/>
  <c r="C180" i="39" s="1"/>
  <c r="E180" i="39" s="1"/>
  <c r="G180" i="39" s="1"/>
  <c r="C180" i="40" s="1"/>
  <c r="E180" i="40" s="1"/>
  <c r="G180" i="40" s="1"/>
  <c r="C180" i="41" s="1"/>
  <c r="E180" i="41" s="1"/>
  <c r="G180" i="41" s="1"/>
  <c r="C180" i="42" s="1"/>
  <c r="E180" i="42" s="1"/>
  <c r="G180" i="42" s="1"/>
  <c r="C180" i="43" s="1"/>
  <c r="E180" i="43" s="1"/>
  <c r="G180" i="43" s="1"/>
  <c r="C180" i="44" s="1"/>
  <c r="E180" i="44" s="1"/>
  <c r="G180" i="44" s="1"/>
  <c r="C180" i="45" s="1"/>
  <c r="E180" i="45" s="1"/>
  <c r="G180" i="45" s="1"/>
  <c r="C180" i="46" s="1"/>
  <c r="E180" i="46" s="1"/>
  <c r="G180" i="46" s="1"/>
  <c r="C180" i="47" s="1"/>
  <c r="E180" i="47" s="1"/>
  <c r="G180" i="47" s="1"/>
  <c r="C180" i="48" s="1"/>
  <c r="E180" i="48" s="1"/>
  <c r="G180" i="48" s="1"/>
  <c r="C180" i="49" s="1"/>
  <c r="E180" i="49" s="1"/>
  <c r="G180" i="49" s="1"/>
  <c r="C180" i="50" s="1"/>
  <c r="E180" i="50" s="1"/>
  <c r="G180" i="50" s="1"/>
  <c r="C180" i="51" s="1"/>
  <c r="E180" i="51" s="1"/>
  <c r="G180" i="51" s="1"/>
  <c r="C180" i="52" s="1"/>
  <c r="E180" i="52" s="1"/>
  <c r="G180" i="52" s="1"/>
  <c r="C180" i="53" s="1"/>
  <c r="E180" i="53" s="1"/>
  <c r="G180" i="53" s="1"/>
  <c r="C180" i="54" s="1"/>
  <c r="E180" i="54" s="1"/>
  <c r="G180" i="54" s="1"/>
  <c r="C180" i="55" s="1"/>
  <c r="E180" i="55" s="1"/>
  <c r="G180" i="55" s="1"/>
  <c r="C180" i="56" s="1"/>
  <c r="E180" i="56" s="1"/>
  <c r="G180" i="56" s="1"/>
  <c r="C180" i="57" s="1"/>
  <c r="E180" i="57" s="1"/>
  <c r="G180" i="57" s="1"/>
  <c r="C180" i="58" s="1"/>
  <c r="E180" i="58" s="1"/>
  <c r="G180" i="58" s="1"/>
  <c r="C180" i="59" s="1"/>
  <c r="E180" i="59" s="1"/>
  <c r="G180" i="59" s="1"/>
  <c r="C180" i="60" s="1"/>
  <c r="E180" i="60" s="1"/>
  <c r="G180" i="60" s="1"/>
  <c r="C180" i="61" s="1"/>
  <c r="E180" i="61" s="1"/>
  <c r="G180" i="61" s="1"/>
  <c r="C180" i="62" s="1"/>
  <c r="E180" i="62" s="1"/>
  <c r="G180" i="62" s="1"/>
  <c r="C180" i="63" s="1"/>
  <c r="E180" i="63" s="1"/>
  <c r="G180" i="63" s="1"/>
  <c r="C180" i="64" s="1"/>
  <c r="E180" i="64" s="1"/>
  <c r="G180" i="64" s="1"/>
  <c r="E180" i="15"/>
  <c r="E188" i="34"/>
  <c r="G188" i="34" s="1"/>
  <c r="C188" i="35" s="1"/>
  <c r="E188" i="35" s="1"/>
  <c r="G188" i="35" s="1"/>
  <c r="C188" i="36" s="1"/>
  <c r="E188" i="36" s="1"/>
  <c r="G188" i="36" s="1"/>
  <c r="C188" i="37" s="1"/>
  <c r="E188" i="37" s="1"/>
  <c r="G188" i="37" s="1"/>
  <c r="C188" i="38" s="1"/>
  <c r="E188" i="38" s="1"/>
  <c r="G188" i="38" s="1"/>
  <c r="C188" i="39" s="1"/>
  <c r="E188" i="39" s="1"/>
  <c r="G188" i="39" s="1"/>
  <c r="C188" i="40" s="1"/>
  <c r="E188" i="40" s="1"/>
  <c r="G188" i="40" s="1"/>
  <c r="C188" i="41" s="1"/>
  <c r="E188" i="41" s="1"/>
  <c r="G188" i="41" s="1"/>
  <c r="C188" i="42" s="1"/>
  <c r="E188" i="42" s="1"/>
  <c r="G188" i="42" s="1"/>
  <c r="C188" i="43" s="1"/>
  <c r="E188" i="43" s="1"/>
  <c r="G188" i="43" s="1"/>
  <c r="C188" i="44" s="1"/>
  <c r="E188" i="44" s="1"/>
  <c r="G188" i="44" s="1"/>
  <c r="C188" i="45" s="1"/>
  <c r="E188" i="45" s="1"/>
  <c r="G188" i="45" s="1"/>
  <c r="C188" i="46" s="1"/>
  <c r="E188" i="46" s="1"/>
  <c r="G188" i="46" s="1"/>
  <c r="C188" i="47" s="1"/>
  <c r="E188" i="47" s="1"/>
  <c r="G188" i="47" s="1"/>
  <c r="C188" i="48" s="1"/>
  <c r="E188" i="48" s="1"/>
  <c r="G188" i="48" s="1"/>
  <c r="C188" i="49" s="1"/>
  <c r="E188" i="49" s="1"/>
  <c r="G188" i="49" s="1"/>
  <c r="C188" i="50" s="1"/>
  <c r="E188" i="50" s="1"/>
  <c r="G188" i="50" s="1"/>
  <c r="C188" i="51" s="1"/>
  <c r="E188" i="51" s="1"/>
  <c r="G188" i="51" s="1"/>
  <c r="C188" i="52" s="1"/>
  <c r="E188" i="52" s="1"/>
  <c r="G188" i="52" s="1"/>
  <c r="C188" i="53" s="1"/>
  <c r="E188" i="53" s="1"/>
  <c r="G188" i="53" s="1"/>
  <c r="C188" i="54" s="1"/>
  <c r="E188" i="54" s="1"/>
  <c r="G188" i="54" s="1"/>
  <c r="C188" i="55" s="1"/>
  <c r="E188" i="55" s="1"/>
  <c r="G188" i="55" s="1"/>
  <c r="C188" i="56" s="1"/>
  <c r="E188" i="56" s="1"/>
  <c r="G188" i="56" s="1"/>
  <c r="C188" i="57" s="1"/>
  <c r="E188" i="57" s="1"/>
  <c r="G188" i="57" s="1"/>
  <c r="C188" i="58" s="1"/>
  <c r="E188" i="58" s="1"/>
  <c r="G188" i="58" s="1"/>
  <c r="C188" i="59" s="1"/>
  <c r="E188" i="59" s="1"/>
  <c r="G188" i="59" s="1"/>
  <c r="C188" i="60" s="1"/>
  <c r="E188" i="60" s="1"/>
  <c r="G188" i="60" s="1"/>
  <c r="C188" i="61" s="1"/>
  <c r="E188" i="61" s="1"/>
  <c r="G188" i="61" s="1"/>
  <c r="C188" i="62" s="1"/>
  <c r="E188" i="62" s="1"/>
  <c r="G188" i="62" s="1"/>
  <c r="C188" i="63" s="1"/>
  <c r="E188" i="63" s="1"/>
  <c r="G188" i="63" s="1"/>
  <c r="C188" i="64" s="1"/>
  <c r="E188" i="64" s="1"/>
  <c r="G188" i="64" s="1"/>
  <c r="E188" i="15"/>
  <c r="E196" i="34"/>
  <c r="G196" i="34" s="1"/>
  <c r="C196" i="35" s="1"/>
  <c r="E196" i="35" s="1"/>
  <c r="G196" i="35" s="1"/>
  <c r="C196" i="36" s="1"/>
  <c r="E196" i="36" s="1"/>
  <c r="G196" i="36" s="1"/>
  <c r="C196" i="37" s="1"/>
  <c r="E196" i="37" s="1"/>
  <c r="G196" i="37" s="1"/>
  <c r="C196" i="38" s="1"/>
  <c r="E196" i="38" s="1"/>
  <c r="G196" i="38" s="1"/>
  <c r="C196" i="39" s="1"/>
  <c r="E196" i="39" s="1"/>
  <c r="G196" i="39" s="1"/>
  <c r="C196" i="40" s="1"/>
  <c r="E196" i="40" s="1"/>
  <c r="G196" i="40" s="1"/>
  <c r="C196" i="41" s="1"/>
  <c r="E196" i="41" s="1"/>
  <c r="G196" i="41" s="1"/>
  <c r="C196" i="42" s="1"/>
  <c r="E196" i="42" s="1"/>
  <c r="G196" i="42" s="1"/>
  <c r="C196" i="43" s="1"/>
  <c r="E196" i="43" s="1"/>
  <c r="G196" i="43" s="1"/>
  <c r="C196" i="44" s="1"/>
  <c r="E196" i="44" s="1"/>
  <c r="G196" i="44" s="1"/>
  <c r="C196" i="45" s="1"/>
  <c r="E196" i="45" s="1"/>
  <c r="G196" i="45" s="1"/>
  <c r="C196" i="46" s="1"/>
  <c r="E196" i="46" s="1"/>
  <c r="G196" i="46" s="1"/>
  <c r="C196" i="47" s="1"/>
  <c r="E196" i="47" s="1"/>
  <c r="G196" i="47" s="1"/>
  <c r="C196" i="48" s="1"/>
  <c r="E196" i="48" s="1"/>
  <c r="G196" i="48" s="1"/>
  <c r="C196" i="49" s="1"/>
  <c r="E196" i="49" s="1"/>
  <c r="G196" i="49" s="1"/>
  <c r="C196" i="50" s="1"/>
  <c r="E196" i="50" s="1"/>
  <c r="G196" i="50" s="1"/>
  <c r="C196" i="51" s="1"/>
  <c r="E196" i="51" s="1"/>
  <c r="G196" i="51" s="1"/>
  <c r="C196" i="52" s="1"/>
  <c r="E196" i="52" s="1"/>
  <c r="G196" i="52" s="1"/>
  <c r="C196" i="53" s="1"/>
  <c r="E196" i="53" s="1"/>
  <c r="G196" i="53" s="1"/>
  <c r="C196" i="54" s="1"/>
  <c r="E196" i="54" s="1"/>
  <c r="G196" i="54" s="1"/>
  <c r="C196" i="55" s="1"/>
  <c r="E196" i="55" s="1"/>
  <c r="G196" i="55" s="1"/>
  <c r="C196" i="56" s="1"/>
  <c r="E196" i="56" s="1"/>
  <c r="G196" i="56" s="1"/>
  <c r="C196" i="57" s="1"/>
  <c r="E196" i="57" s="1"/>
  <c r="G196" i="57" s="1"/>
  <c r="C196" i="58" s="1"/>
  <c r="E196" i="58" s="1"/>
  <c r="G196" i="58" s="1"/>
  <c r="C196" i="59" s="1"/>
  <c r="E196" i="59" s="1"/>
  <c r="G196" i="59" s="1"/>
  <c r="C196" i="60" s="1"/>
  <c r="E196" i="60" s="1"/>
  <c r="G196" i="60" s="1"/>
  <c r="C196" i="61" s="1"/>
  <c r="E196" i="61" s="1"/>
  <c r="G196" i="61" s="1"/>
  <c r="C196" i="62" s="1"/>
  <c r="E196" i="62" s="1"/>
  <c r="G196" i="62" s="1"/>
  <c r="C196" i="63" s="1"/>
  <c r="E196" i="63" s="1"/>
  <c r="G196" i="63" s="1"/>
  <c r="C196" i="64" s="1"/>
  <c r="E196" i="64" s="1"/>
  <c r="G196" i="64" s="1"/>
  <c r="E196" i="15"/>
  <c r="E204" i="34"/>
  <c r="G204" i="34" s="1"/>
  <c r="C204" i="35" s="1"/>
  <c r="E204" i="35" s="1"/>
  <c r="G204" i="35" s="1"/>
  <c r="C205" i="36" s="1"/>
  <c r="E205" i="36" s="1"/>
  <c r="G205" i="36" s="1"/>
  <c r="E204" i="15"/>
  <c r="Q36" i="15"/>
  <c r="F230" i="15" s="1"/>
  <c r="F231" i="15" s="1"/>
  <c r="J231" i="15" s="1"/>
  <c r="S7" i="15"/>
  <c r="U7" i="15" s="1"/>
  <c r="E55" i="15"/>
  <c r="E83" i="34"/>
  <c r="G83" i="34" s="1"/>
  <c r="C83" i="35" s="1"/>
  <c r="E83" i="35" s="1"/>
  <c r="G83" i="35" s="1"/>
  <c r="C83" i="36" s="1"/>
  <c r="E83" i="36" s="1"/>
  <c r="G83" i="36" s="1"/>
  <c r="C83" i="37" s="1"/>
  <c r="E83" i="37" s="1"/>
  <c r="G83" i="37" s="1"/>
  <c r="C83" i="38" s="1"/>
  <c r="E83" i="38" s="1"/>
  <c r="G83" i="38" s="1"/>
  <c r="C83" i="39" s="1"/>
  <c r="E83" i="39" s="1"/>
  <c r="G83" i="39" s="1"/>
  <c r="C83" i="40" s="1"/>
  <c r="E83" i="40" s="1"/>
  <c r="G83" i="40" s="1"/>
  <c r="C83" i="41" s="1"/>
  <c r="E83" i="41" s="1"/>
  <c r="G83" i="41" s="1"/>
  <c r="C83" i="42" s="1"/>
  <c r="E83" i="42" s="1"/>
  <c r="G83" i="42" s="1"/>
  <c r="C83" i="43" s="1"/>
  <c r="E83" i="43" s="1"/>
  <c r="G83" i="43" s="1"/>
  <c r="C83" i="44" s="1"/>
  <c r="E83" i="44" s="1"/>
  <c r="G83" i="44" s="1"/>
  <c r="C83" i="45" s="1"/>
  <c r="E83" i="45" s="1"/>
  <c r="G83" i="45" s="1"/>
  <c r="C83" i="46" s="1"/>
  <c r="E83" i="46" s="1"/>
  <c r="G83" i="46" s="1"/>
  <c r="C83" i="47" s="1"/>
  <c r="E83" i="47" s="1"/>
  <c r="G83" i="47" s="1"/>
  <c r="C83" i="48" s="1"/>
  <c r="E83" i="48" s="1"/>
  <c r="G83" i="48" s="1"/>
  <c r="C83" i="49" s="1"/>
  <c r="E83" i="49" s="1"/>
  <c r="G83" i="49" s="1"/>
  <c r="C83" i="50" s="1"/>
  <c r="E83" i="50" s="1"/>
  <c r="G83" i="50" s="1"/>
  <c r="C83" i="51" s="1"/>
  <c r="E83" i="51" s="1"/>
  <c r="G83" i="51" s="1"/>
  <c r="C83" i="52" s="1"/>
  <c r="E83" i="52" s="1"/>
  <c r="G83" i="52" s="1"/>
  <c r="C83" i="53" s="1"/>
  <c r="E83" i="53" s="1"/>
  <c r="G83" i="53" s="1"/>
  <c r="C83" i="54" s="1"/>
  <c r="E83" i="54" s="1"/>
  <c r="G83" i="54" s="1"/>
  <c r="C83" i="55" s="1"/>
  <c r="E83" i="55" s="1"/>
  <c r="G83" i="55" s="1"/>
  <c r="C83" i="56" s="1"/>
  <c r="E83" i="56" s="1"/>
  <c r="G83" i="56" s="1"/>
  <c r="C83" i="57" s="1"/>
  <c r="E83" i="57" s="1"/>
  <c r="G83" i="57" s="1"/>
  <c r="C83" i="58" s="1"/>
  <c r="E83" i="58" s="1"/>
  <c r="G83" i="58" s="1"/>
  <c r="C83" i="59" s="1"/>
  <c r="E83" i="59" s="1"/>
  <c r="G83" i="59" s="1"/>
  <c r="C83" i="60" s="1"/>
  <c r="E83" i="60" s="1"/>
  <c r="G83" i="60" s="1"/>
  <c r="C83" i="61" s="1"/>
  <c r="E83" i="61" s="1"/>
  <c r="G83" i="61" s="1"/>
  <c r="C83" i="62" s="1"/>
  <c r="E83" i="62" s="1"/>
  <c r="G83" i="62" s="1"/>
  <c r="C83" i="63" s="1"/>
  <c r="E83" i="63" s="1"/>
  <c r="G83" i="63" s="1"/>
  <c r="C83" i="64" s="1"/>
  <c r="E83" i="64" s="1"/>
  <c r="G83" i="64" s="1"/>
  <c r="E83" i="15"/>
  <c r="E170" i="34"/>
  <c r="G170" i="34" s="1"/>
  <c r="C170" i="35" s="1"/>
  <c r="E170" i="35" s="1"/>
  <c r="G170" i="35" s="1"/>
  <c r="C170" i="36" s="1"/>
  <c r="E170" i="36" s="1"/>
  <c r="G170" i="36" s="1"/>
  <c r="C170" i="37" s="1"/>
  <c r="E170" i="37" s="1"/>
  <c r="G170" i="37" s="1"/>
  <c r="C170" i="38" s="1"/>
  <c r="E170" i="38" s="1"/>
  <c r="G170" i="38" s="1"/>
  <c r="C170" i="39" s="1"/>
  <c r="E170" i="39" s="1"/>
  <c r="G170" i="39" s="1"/>
  <c r="C170" i="40" s="1"/>
  <c r="E170" i="40" s="1"/>
  <c r="G170" i="40" s="1"/>
  <c r="C170" i="41" s="1"/>
  <c r="E170" i="41" s="1"/>
  <c r="G170" i="41" s="1"/>
  <c r="C170" i="42" s="1"/>
  <c r="E170" i="42" s="1"/>
  <c r="G170" i="42" s="1"/>
  <c r="C170" i="43" s="1"/>
  <c r="E170" i="43" s="1"/>
  <c r="G170" i="43" s="1"/>
  <c r="C170" i="44" s="1"/>
  <c r="E170" i="44" s="1"/>
  <c r="G170" i="44" s="1"/>
  <c r="C170" i="45" s="1"/>
  <c r="E170" i="45" s="1"/>
  <c r="G170" i="45" s="1"/>
  <c r="C170" i="46" s="1"/>
  <c r="E170" i="46" s="1"/>
  <c r="G170" i="46" s="1"/>
  <c r="C170" i="47" s="1"/>
  <c r="E170" i="47" s="1"/>
  <c r="G170" i="47" s="1"/>
  <c r="C170" i="48" s="1"/>
  <c r="E170" i="48" s="1"/>
  <c r="G170" i="48" s="1"/>
  <c r="C170" i="49" s="1"/>
  <c r="E170" i="49" s="1"/>
  <c r="G170" i="49" s="1"/>
  <c r="C170" i="50" s="1"/>
  <c r="E170" i="50" s="1"/>
  <c r="G170" i="50" s="1"/>
  <c r="C170" i="51" s="1"/>
  <c r="E170" i="51" s="1"/>
  <c r="G170" i="51" s="1"/>
  <c r="C170" i="52" s="1"/>
  <c r="E170" i="52" s="1"/>
  <c r="G170" i="52" s="1"/>
  <c r="C170" i="53" s="1"/>
  <c r="E170" i="53" s="1"/>
  <c r="G170" i="53" s="1"/>
  <c r="C170" i="54" s="1"/>
  <c r="E170" i="54" s="1"/>
  <c r="G170" i="54" s="1"/>
  <c r="C170" i="55" s="1"/>
  <c r="E170" i="55" s="1"/>
  <c r="G170" i="55" s="1"/>
  <c r="C170" i="56" s="1"/>
  <c r="E170" i="56" s="1"/>
  <c r="G170" i="56" s="1"/>
  <c r="C170" i="57" s="1"/>
  <c r="E170" i="57" s="1"/>
  <c r="G170" i="57" s="1"/>
  <c r="C170" i="58" s="1"/>
  <c r="E170" i="58" s="1"/>
  <c r="G170" i="58" s="1"/>
  <c r="C170" i="59" s="1"/>
  <c r="E170" i="59" s="1"/>
  <c r="G170" i="59" s="1"/>
  <c r="C170" i="60" s="1"/>
  <c r="E170" i="60" s="1"/>
  <c r="G170" i="60" s="1"/>
  <c r="C170" i="61" s="1"/>
  <c r="E170" i="61" s="1"/>
  <c r="G170" i="61" s="1"/>
  <c r="C170" i="62" s="1"/>
  <c r="E170" i="62" s="1"/>
  <c r="G170" i="62" s="1"/>
  <c r="C170" i="63" s="1"/>
  <c r="E170" i="63" s="1"/>
  <c r="G170" i="63" s="1"/>
  <c r="C170" i="64" s="1"/>
  <c r="E170" i="64" s="1"/>
  <c r="G170" i="64" s="1"/>
  <c r="E170" i="15"/>
  <c r="E10" i="34"/>
  <c r="G10" i="34" s="1"/>
  <c r="C10" i="35" s="1"/>
  <c r="E10" i="35" s="1"/>
  <c r="G10" i="35" s="1"/>
  <c r="C10" i="36" s="1"/>
  <c r="E10" i="36" s="1"/>
  <c r="G10" i="36" s="1"/>
  <c r="C10" i="37" s="1"/>
  <c r="E10" i="37" s="1"/>
  <c r="G10" i="37" s="1"/>
  <c r="C10" i="38" s="1"/>
  <c r="E10" i="38" s="1"/>
  <c r="G10" i="38" s="1"/>
  <c r="C10" i="39" s="1"/>
  <c r="E10" i="39" s="1"/>
  <c r="G10" i="39" s="1"/>
  <c r="C10" i="40" s="1"/>
  <c r="E10" i="40" s="1"/>
  <c r="G10" i="40" s="1"/>
  <c r="C10" i="41" s="1"/>
  <c r="E10" i="41" s="1"/>
  <c r="G10" i="41" s="1"/>
  <c r="C10" i="42" s="1"/>
  <c r="E10" i="42" s="1"/>
  <c r="G10" i="42" s="1"/>
  <c r="C10" i="43" s="1"/>
  <c r="E10" i="43" s="1"/>
  <c r="G10" i="43" s="1"/>
  <c r="C10" i="44" s="1"/>
  <c r="E10" i="44" s="1"/>
  <c r="G10" i="44" s="1"/>
  <c r="C10" i="45" s="1"/>
  <c r="E10" i="45" s="1"/>
  <c r="G10" i="45" s="1"/>
  <c r="C10" i="46" s="1"/>
  <c r="E10" i="46" s="1"/>
  <c r="G10" i="46" s="1"/>
  <c r="C10" i="47" s="1"/>
  <c r="E10" i="47" s="1"/>
  <c r="G10" i="47" s="1"/>
  <c r="C10" i="48" s="1"/>
  <c r="E10" i="48" s="1"/>
  <c r="G10" i="48" s="1"/>
  <c r="C10" i="49" s="1"/>
  <c r="E10" i="49" s="1"/>
  <c r="G10" i="49" s="1"/>
  <c r="C10" i="50" s="1"/>
  <c r="E10" i="50" s="1"/>
  <c r="G10" i="50" s="1"/>
  <c r="C10" i="51" s="1"/>
  <c r="E10" i="51" s="1"/>
  <c r="G10" i="51" s="1"/>
  <c r="C10" i="52" s="1"/>
  <c r="E10" i="52" s="1"/>
  <c r="G10" i="52" s="1"/>
  <c r="C10" i="53" s="1"/>
  <c r="E10" i="53" s="1"/>
  <c r="G10" i="53" s="1"/>
  <c r="C10" i="54" s="1"/>
  <c r="E10" i="54" s="1"/>
  <c r="G10" i="54" s="1"/>
  <c r="C10" i="55" s="1"/>
  <c r="E10" i="55" s="1"/>
  <c r="G10" i="55" s="1"/>
  <c r="C10" i="56" s="1"/>
  <c r="E10" i="56" s="1"/>
  <c r="G10" i="56" s="1"/>
  <c r="C10" i="57" s="1"/>
  <c r="E10" i="57" s="1"/>
  <c r="G10" i="57" s="1"/>
  <c r="C10" i="58" s="1"/>
  <c r="E10" i="58" s="1"/>
  <c r="G10" i="58" s="1"/>
  <c r="C10" i="59" s="1"/>
  <c r="E10" i="59" s="1"/>
  <c r="G10" i="59" s="1"/>
  <c r="C10" i="60" s="1"/>
  <c r="E10" i="60" s="1"/>
  <c r="G10" i="60" s="1"/>
  <c r="C10" i="61" s="1"/>
  <c r="E10" i="61" s="1"/>
  <c r="G10" i="61" s="1"/>
  <c r="C10" i="62" s="1"/>
  <c r="E10" i="62" s="1"/>
  <c r="G10" i="62" s="1"/>
  <c r="C10" i="63" s="1"/>
  <c r="E10" i="63" s="1"/>
  <c r="G10" i="63" s="1"/>
  <c r="C10" i="64" s="1"/>
  <c r="E10" i="64" s="1"/>
  <c r="G10" i="64" s="1"/>
  <c r="E10" i="15"/>
  <c r="E44" i="34"/>
  <c r="G44" i="34" s="1"/>
  <c r="C44" i="35" s="1"/>
  <c r="E44" i="35" s="1"/>
  <c r="G44" i="35" s="1"/>
  <c r="C44" i="36" s="1"/>
  <c r="E44" i="36" s="1"/>
  <c r="G44" i="36" s="1"/>
  <c r="C44" i="37" s="1"/>
  <c r="E44" i="37" s="1"/>
  <c r="G44" i="37" s="1"/>
  <c r="C44" i="38" s="1"/>
  <c r="E44" i="38" s="1"/>
  <c r="G44" i="38" s="1"/>
  <c r="C44" i="39" s="1"/>
  <c r="E44" i="39" s="1"/>
  <c r="G44" i="39" s="1"/>
  <c r="C44" i="40" s="1"/>
  <c r="E44" i="40" s="1"/>
  <c r="G44" i="40" s="1"/>
  <c r="C44" i="41" s="1"/>
  <c r="E44" i="41" s="1"/>
  <c r="G44" i="41" s="1"/>
  <c r="C44" i="42" s="1"/>
  <c r="E44" i="42" s="1"/>
  <c r="G44" i="42" s="1"/>
  <c r="C44" i="43" s="1"/>
  <c r="E44" i="43" s="1"/>
  <c r="G44" i="43" s="1"/>
  <c r="C44" i="44" s="1"/>
  <c r="E44" i="44" s="1"/>
  <c r="G44" i="44" s="1"/>
  <c r="C44" i="45" s="1"/>
  <c r="E44" i="45" s="1"/>
  <c r="G44" i="45" s="1"/>
  <c r="C44" i="46" s="1"/>
  <c r="E44" i="46" s="1"/>
  <c r="G44" i="46" s="1"/>
  <c r="C44" i="47" s="1"/>
  <c r="E44" i="47" s="1"/>
  <c r="G44" i="47" s="1"/>
  <c r="C44" i="48" s="1"/>
  <c r="E44" i="48" s="1"/>
  <c r="G44" i="48" s="1"/>
  <c r="C44" i="49" s="1"/>
  <c r="E44" i="49" s="1"/>
  <c r="G44" i="49" s="1"/>
  <c r="C44" i="50" s="1"/>
  <c r="E44" i="50" s="1"/>
  <c r="G44" i="50" s="1"/>
  <c r="C44" i="51" s="1"/>
  <c r="E44" i="51" s="1"/>
  <c r="G44" i="51" s="1"/>
  <c r="C44" i="52" s="1"/>
  <c r="E44" i="52" s="1"/>
  <c r="G44" i="52" s="1"/>
  <c r="C44" i="53" s="1"/>
  <c r="E44" i="53" s="1"/>
  <c r="G44" i="53" s="1"/>
  <c r="C44" i="54" s="1"/>
  <c r="E44" i="54" s="1"/>
  <c r="G44" i="54" s="1"/>
  <c r="C44" i="55" s="1"/>
  <c r="E44" i="55" s="1"/>
  <c r="G44" i="55" s="1"/>
  <c r="C44" i="56" s="1"/>
  <c r="E44" i="56" s="1"/>
  <c r="G44" i="56" s="1"/>
  <c r="C44" i="57" s="1"/>
  <c r="E44" i="57" s="1"/>
  <c r="G44" i="57" s="1"/>
  <c r="C44" i="58" s="1"/>
  <c r="E44" i="58" s="1"/>
  <c r="G44" i="58" s="1"/>
  <c r="C44" i="59" s="1"/>
  <c r="E44" i="59" s="1"/>
  <c r="G44" i="59" s="1"/>
  <c r="C44" i="60" s="1"/>
  <c r="E44" i="60" s="1"/>
  <c r="G44" i="60" s="1"/>
  <c r="C44" i="61" s="1"/>
  <c r="E44" i="61" s="1"/>
  <c r="G44" i="61" s="1"/>
  <c r="C44" i="62" s="1"/>
  <c r="E44" i="62" s="1"/>
  <c r="G44" i="62" s="1"/>
  <c r="C44" i="63" s="1"/>
  <c r="E44" i="63" s="1"/>
  <c r="G44" i="63" s="1"/>
  <c r="C44" i="64" s="1"/>
  <c r="E44" i="64" s="1"/>
  <c r="G44" i="64" s="1"/>
  <c r="E44" i="15"/>
  <c r="E127" i="15"/>
  <c r="E135" i="34"/>
  <c r="G135" i="34" s="1"/>
  <c r="C135" i="35" s="1"/>
  <c r="E135" i="35" s="1"/>
  <c r="G135" i="35" s="1"/>
  <c r="C135" i="36" s="1"/>
  <c r="E135" i="36" s="1"/>
  <c r="G135" i="36" s="1"/>
  <c r="C135" i="37" s="1"/>
  <c r="E135" i="37" s="1"/>
  <c r="G135" i="37" s="1"/>
  <c r="C135" i="38" s="1"/>
  <c r="E135" i="38" s="1"/>
  <c r="G135" i="38" s="1"/>
  <c r="C135" i="39" s="1"/>
  <c r="E135" i="39" s="1"/>
  <c r="G135" i="39" s="1"/>
  <c r="C135" i="40" s="1"/>
  <c r="E135" i="40" s="1"/>
  <c r="G135" i="40" s="1"/>
  <c r="C135" i="41" s="1"/>
  <c r="E135" i="41" s="1"/>
  <c r="G135" i="41" s="1"/>
  <c r="C135" i="42" s="1"/>
  <c r="E135" i="42" s="1"/>
  <c r="G135" i="42" s="1"/>
  <c r="C135" i="43" s="1"/>
  <c r="E135" i="43" s="1"/>
  <c r="G135" i="43" s="1"/>
  <c r="C135" i="44" s="1"/>
  <c r="E135" i="44" s="1"/>
  <c r="G135" i="44" s="1"/>
  <c r="C135" i="45" s="1"/>
  <c r="E135" i="45" s="1"/>
  <c r="G135" i="45" s="1"/>
  <c r="C135" i="46" s="1"/>
  <c r="E135" i="46" s="1"/>
  <c r="G135" i="46" s="1"/>
  <c r="C135" i="47" s="1"/>
  <c r="E135" i="47" s="1"/>
  <c r="G135" i="47" s="1"/>
  <c r="C135" i="48" s="1"/>
  <c r="E135" i="48" s="1"/>
  <c r="G135" i="48" s="1"/>
  <c r="C135" i="49" s="1"/>
  <c r="E135" i="49" s="1"/>
  <c r="G135" i="49" s="1"/>
  <c r="C135" i="50" s="1"/>
  <c r="E135" i="50" s="1"/>
  <c r="G135" i="50" s="1"/>
  <c r="C135" i="51" s="1"/>
  <c r="E135" i="51" s="1"/>
  <c r="G135" i="51" s="1"/>
  <c r="C135" i="52" s="1"/>
  <c r="E135" i="52" s="1"/>
  <c r="G135" i="52" s="1"/>
  <c r="C135" i="53" s="1"/>
  <c r="E135" i="53" s="1"/>
  <c r="G135" i="53" s="1"/>
  <c r="C135" i="54" s="1"/>
  <c r="E135" i="54" s="1"/>
  <c r="G135" i="54" s="1"/>
  <c r="C135" i="55" s="1"/>
  <c r="E135" i="55" s="1"/>
  <c r="G135" i="55" s="1"/>
  <c r="C135" i="56" s="1"/>
  <c r="E135" i="56" s="1"/>
  <c r="G135" i="56" s="1"/>
  <c r="C135" i="57" s="1"/>
  <c r="E135" i="57" s="1"/>
  <c r="G135" i="57" s="1"/>
  <c r="C135" i="58" s="1"/>
  <c r="E135" i="58" s="1"/>
  <c r="G135" i="58" s="1"/>
  <c r="C135" i="59" s="1"/>
  <c r="E135" i="59" s="1"/>
  <c r="G135" i="59" s="1"/>
  <c r="C135" i="60" s="1"/>
  <c r="E135" i="60" s="1"/>
  <c r="G135" i="60" s="1"/>
  <c r="C135" i="61" s="1"/>
  <c r="E135" i="61" s="1"/>
  <c r="G135" i="61" s="1"/>
  <c r="C135" i="62" s="1"/>
  <c r="E135" i="62" s="1"/>
  <c r="G135" i="62" s="1"/>
  <c r="C135" i="63" s="1"/>
  <c r="E135" i="63" s="1"/>
  <c r="G135" i="63" s="1"/>
  <c r="C135" i="64" s="1"/>
  <c r="E135" i="64" s="1"/>
  <c r="G135" i="64" s="1"/>
  <c r="E135" i="15"/>
  <c r="E186" i="15"/>
  <c r="E13" i="34"/>
  <c r="G13" i="34" s="1"/>
  <c r="C13" i="35" s="1"/>
  <c r="E13" i="35" s="1"/>
  <c r="G13" i="35" s="1"/>
  <c r="C13" i="36" s="1"/>
  <c r="E13" i="36" s="1"/>
  <c r="G13" i="36" s="1"/>
  <c r="C13" i="37" s="1"/>
  <c r="E13" i="37" s="1"/>
  <c r="G13" i="37" s="1"/>
  <c r="C13" i="38" s="1"/>
  <c r="E13" i="38" s="1"/>
  <c r="G13" i="38" s="1"/>
  <c r="C13" i="39" s="1"/>
  <c r="E13" i="39" s="1"/>
  <c r="G13" i="39" s="1"/>
  <c r="C13" i="40" s="1"/>
  <c r="E13" i="40" s="1"/>
  <c r="G13" i="40" s="1"/>
  <c r="C13" i="41" s="1"/>
  <c r="E13" i="41" s="1"/>
  <c r="G13" i="41" s="1"/>
  <c r="C13" i="42" s="1"/>
  <c r="E13" i="42" s="1"/>
  <c r="G13" i="42" s="1"/>
  <c r="C13" i="43" s="1"/>
  <c r="E13" i="43" s="1"/>
  <c r="G13" i="43" s="1"/>
  <c r="C13" i="44" s="1"/>
  <c r="E13" i="44" s="1"/>
  <c r="G13" i="44" s="1"/>
  <c r="C13" i="45" s="1"/>
  <c r="E13" i="45" s="1"/>
  <c r="G13" i="45" s="1"/>
  <c r="C13" i="46" s="1"/>
  <c r="E13" i="46" s="1"/>
  <c r="G13" i="46" s="1"/>
  <c r="C13" i="47" s="1"/>
  <c r="E13" i="47" s="1"/>
  <c r="G13" i="47" s="1"/>
  <c r="C13" i="48" s="1"/>
  <c r="E13" i="48" s="1"/>
  <c r="G13" i="48" s="1"/>
  <c r="C13" i="49" s="1"/>
  <c r="E13" i="49" s="1"/>
  <c r="G13" i="49" s="1"/>
  <c r="C13" i="50" s="1"/>
  <c r="E13" i="50" s="1"/>
  <c r="G13" i="50" s="1"/>
  <c r="C13" i="51" s="1"/>
  <c r="E13" i="51" s="1"/>
  <c r="G13" i="51" s="1"/>
  <c r="C13" i="52" s="1"/>
  <c r="E13" i="52" s="1"/>
  <c r="G13" i="52" s="1"/>
  <c r="C13" i="53" s="1"/>
  <c r="E13" i="53" s="1"/>
  <c r="G13" i="53" s="1"/>
  <c r="C13" i="54" s="1"/>
  <c r="E13" i="54" s="1"/>
  <c r="G13" i="54" s="1"/>
  <c r="C13" i="55" s="1"/>
  <c r="E13" i="55" s="1"/>
  <c r="G13" i="55" s="1"/>
  <c r="C13" i="56" s="1"/>
  <c r="E13" i="56" s="1"/>
  <c r="G13" i="56" s="1"/>
  <c r="C13" i="57" s="1"/>
  <c r="E13" i="57" s="1"/>
  <c r="G13" i="57" s="1"/>
  <c r="C13" i="58" s="1"/>
  <c r="E13" i="58" s="1"/>
  <c r="G13" i="58" s="1"/>
  <c r="C13" i="59" s="1"/>
  <c r="E13" i="59" s="1"/>
  <c r="G13" i="59" s="1"/>
  <c r="C13" i="60" s="1"/>
  <c r="E13" i="60" s="1"/>
  <c r="G13" i="60" s="1"/>
  <c r="C13" i="61" s="1"/>
  <c r="E13" i="61" s="1"/>
  <c r="G13" i="61" s="1"/>
  <c r="C13" i="62" s="1"/>
  <c r="E13" i="62" s="1"/>
  <c r="G13" i="62" s="1"/>
  <c r="C13" i="63" s="1"/>
  <c r="E13" i="63" s="1"/>
  <c r="G13" i="63" s="1"/>
  <c r="C13" i="64" s="1"/>
  <c r="E13" i="64" s="1"/>
  <c r="G13" i="64" s="1"/>
  <c r="E13" i="15"/>
  <c r="E29" i="34"/>
  <c r="G29" i="34" s="1"/>
  <c r="C29" i="35" s="1"/>
  <c r="E29" i="35" s="1"/>
  <c r="G29" i="35" s="1"/>
  <c r="C29" i="36" s="1"/>
  <c r="E29" i="36" s="1"/>
  <c r="G29" i="36" s="1"/>
  <c r="C29" i="37" s="1"/>
  <c r="E29" i="37" s="1"/>
  <c r="G29" i="37" s="1"/>
  <c r="C29" i="38" s="1"/>
  <c r="E29" i="38" s="1"/>
  <c r="G29" i="38" s="1"/>
  <c r="C29" i="39" s="1"/>
  <c r="E29" i="39" s="1"/>
  <c r="G29" i="39" s="1"/>
  <c r="C29" i="40" s="1"/>
  <c r="E29" i="40" s="1"/>
  <c r="G29" i="40" s="1"/>
  <c r="C29" i="41" s="1"/>
  <c r="E29" i="41" s="1"/>
  <c r="G29" i="41" s="1"/>
  <c r="C29" i="42" s="1"/>
  <c r="E29" i="42" s="1"/>
  <c r="G29" i="42" s="1"/>
  <c r="C29" i="43" s="1"/>
  <c r="E29" i="43" s="1"/>
  <c r="G29" i="43" s="1"/>
  <c r="C29" i="44" s="1"/>
  <c r="E29" i="44" s="1"/>
  <c r="G29" i="44" s="1"/>
  <c r="C29" i="45" s="1"/>
  <c r="E29" i="45" s="1"/>
  <c r="G29" i="45" s="1"/>
  <c r="C29" i="46" s="1"/>
  <c r="E29" i="46" s="1"/>
  <c r="G29" i="46" s="1"/>
  <c r="C29" i="47" s="1"/>
  <c r="E29" i="47" s="1"/>
  <c r="G29" i="47" s="1"/>
  <c r="C29" i="48" s="1"/>
  <c r="E29" i="48" s="1"/>
  <c r="G29" i="48" s="1"/>
  <c r="C29" i="49" s="1"/>
  <c r="E29" i="49" s="1"/>
  <c r="G29" i="49" s="1"/>
  <c r="C29" i="50" s="1"/>
  <c r="E29" i="50" s="1"/>
  <c r="G29" i="50" s="1"/>
  <c r="C29" i="51" s="1"/>
  <c r="E29" i="51" s="1"/>
  <c r="G29" i="51" s="1"/>
  <c r="C29" i="52" s="1"/>
  <c r="E29" i="52" s="1"/>
  <c r="G29" i="52" s="1"/>
  <c r="C29" i="53" s="1"/>
  <c r="E29" i="53" s="1"/>
  <c r="G29" i="53" s="1"/>
  <c r="C29" i="54" s="1"/>
  <c r="E29" i="54" s="1"/>
  <c r="G29" i="54" s="1"/>
  <c r="C29" i="55" s="1"/>
  <c r="E29" i="55" s="1"/>
  <c r="G29" i="55" s="1"/>
  <c r="C29" i="56" s="1"/>
  <c r="E29" i="56" s="1"/>
  <c r="G29" i="56" s="1"/>
  <c r="C29" i="57" s="1"/>
  <c r="E29" i="57" s="1"/>
  <c r="G29" i="57" s="1"/>
  <c r="C29" i="58" s="1"/>
  <c r="E29" i="58" s="1"/>
  <c r="G29" i="58" s="1"/>
  <c r="C29" i="59" s="1"/>
  <c r="E29" i="59" s="1"/>
  <c r="G29" i="59" s="1"/>
  <c r="C29" i="60" s="1"/>
  <c r="E29" i="60" s="1"/>
  <c r="G29" i="60" s="1"/>
  <c r="C29" i="61" s="1"/>
  <c r="E29" i="61" s="1"/>
  <c r="G29" i="61" s="1"/>
  <c r="C29" i="62" s="1"/>
  <c r="E29" i="62" s="1"/>
  <c r="G29" i="62" s="1"/>
  <c r="C29" i="63" s="1"/>
  <c r="E29" i="63" s="1"/>
  <c r="G29" i="63" s="1"/>
  <c r="C29" i="64" s="1"/>
  <c r="E29" i="64" s="1"/>
  <c r="G29" i="64" s="1"/>
  <c r="E29" i="15"/>
  <c r="E36" i="34"/>
  <c r="G36" i="34" s="1"/>
  <c r="C36" i="35" s="1"/>
  <c r="E36" i="35" s="1"/>
  <c r="G36" i="35" s="1"/>
  <c r="C36" i="36" s="1"/>
  <c r="E36" i="36" s="1"/>
  <c r="G36" i="36" s="1"/>
  <c r="C36" i="37" s="1"/>
  <c r="E36" i="37" s="1"/>
  <c r="G36" i="37" s="1"/>
  <c r="C36" i="38" s="1"/>
  <c r="E36" i="38" s="1"/>
  <c r="G36" i="38" s="1"/>
  <c r="C36" i="39" s="1"/>
  <c r="E36" i="39" s="1"/>
  <c r="G36" i="39" s="1"/>
  <c r="C36" i="40" s="1"/>
  <c r="E36" i="40" s="1"/>
  <c r="G36" i="40" s="1"/>
  <c r="C36" i="41" s="1"/>
  <c r="E36" i="41" s="1"/>
  <c r="G36" i="41" s="1"/>
  <c r="C36" i="42" s="1"/>
  <c r="E36" i="42" s="1"/>
  <c r="G36" i="42" s="1"/>
  <c r="C36" i="43" s="1"/>
  <c r="E36" i="43" s="1"/>
  <c r="G36" i="43" s="1"/>
  <c r="C36" i="44" s="1"/>
  <c r="E36" i="44" s="1"/>
  <c r="G36" i="44" s="1"/>
  <c r="C36" i="45" s="1"/>
  <c r="E36" i="45" s="1"/>
  <c r="G36" i="45" s="1"/>
  <c r="C36" i="46" s="1"/>
  <c r="E36" i="46" s="1"/>
  <c r="G36" i="46" s="1"/>
  <c r="C36" i="47" s="1"/>
  <c r="E36" i="47" s="1"/>
  <c r="G36" i="47" s="1"/>
  <c r="C36" i="48" s="1"/>
  <c r="E36" i="48" s="1"/>
  <c r="G36" i="48" s="1"/>
  <c r="C36" i="49" s="1"/>
  <c r="E36" i="49" s="1"/>
  <c r="G36" i="49" s="1"/>
  <c r="C36" i="50" s="1"/>
  <c r="E36" i="50" s="1"/>
  <c r="G36" i="50" s="1"/>
  <c r="C36" i="51" s="1"/>
  <c r="E36" i="51" s="1"/>
  <c r="G36" i="51" s="1"/>
  <c r="C36" i="52" s="1"/>
  <c r="E36" i="52" s="1"/>
  <c r="G36" i="52" s="1"/>
  <c r="C36" i="53" s="1"/>
  <c r="E36" i="53" s="1"/>
  <c r="G36" i="53" s="1"/>
  <c r="C36" i="54" s="1"/>
  <c r="E36" i="54" s="1"/>
  <c r="G36" i="54" s="1"/>
  <c r="C36" i="55" s="1"/>
  <c r="E36" i="55" s="1"/>
  <c r="G36" i="55" s="1"/>
  <c r="C36" i="56" s="1"/>
  <c r="E36" i="56" s="1"/>
  <c r="G36" i="56" s="1"/>
  <c r="C36" i="57" s="1"/>
  <c r="E36" i="57" s="1"/>
  <c r="G36" i="57" s="1"/>
  <c r="C36" i="58" s="1"/>
  <c r="E36" i="58" s="1"/>
  <c r="G36" i="58" s="1"/>
  <c r="C36" i="59" s="1"/>
  <c r="E36" i="59" s="1"/>
  <c r="G36" i="59" s="1"/>
  <c r="C36" i="60" s="1"/>
  <c r="E36" i="60" s="1"/>
  <c r="G36" i="60" s="1"/>
  <c r="C36" i="61" s="1"/>
  <c r="E36" i="61" s="1"/>
  <c r="G36" i="61" s="1"/>
  <c r="C36" i="62" s="1"/>
  <c r="E36" i="62" s="1"/>
  <c r="G36" i="62" s="1"/>
  <c r="C36" i="63" s="1"/>
  <c r="E36" i="63" s="1"/>
  <c r="G36" i="63" s="1"/>
  <c r="C36" i="64" s="1"/>
  <c r="E36" i="64" s="1"/>
  <c r="G36" i="64" s="1"/>
  <c r="E36" i="15"/>
  <c r="E52" i="34"/>
  <c r="G52" i="34" s="1"/>
  <c r="C52" i="35" s="1"/>
  <c r="E52" i="35" s="1"/>
  <c r="G52" i="35" s="1"/>
  <c r="C52" i="36" s="1"/>
  <c r="E52" i="36" s="1"/>
  <c r="G52" i="36" s="1"/>
  <c r="C52" i="37" s="1"/>
  <c r="E52" i="37" s="1"/>
  <c r="G52" i="37" s="1"/>
  <c r="C52" i="38" s="1"/>
  <c r="E52" i="38" s="1"/>
  <c r="G52" i="38" s="1"/>
  <c r="C52" i="39" s="1"/>
  <c r="E52" i="39" s="1"/>
  <c r="G52" i="39" s="1"/>
  <c r="C52" i="40" s="1"/>
  <c r="E52" i="40" s="1"/>
  <c r="G52" i="40" s="1"/>
  <c r="C52" i="41" s="1"/>
  <c r="E52" i="41" s="1"/>
  <c r="G52" i="41" s="1"/>
  <c r="C52" i="42" s="1"/>
  <c r="E52" i="42" s="1"/>
  <c r="G52" i="42" s="1"/>
  <c r="C52" i="43" s="1"/>
  <c r="E52" i="43" s="1"/>
  <c r="G52" i="43" s="1"/>
  <c r="C52" i="44" s="1"/>
  <c r="E52" i="44" s="1"/>
  <c r="G52" i="44" s="1"/>
  <c r="C52" i="45" s="1"/>
  <c r="E52" i="45" s="1"/>
  <c r="G52" i="45" s="1"/>
  <c r="C52" i="46" s="1"/>
  <c r="E52" i="46" s="1"/>
  <c r="G52" i="46" s="1"/>
  <c r="C52" i="47" s="1"/>
  <c r="E52" i="47" s="1"/>
  <c r="G52" i="47" s="1"/>
  <c r="C52" i="48" s="1"/>
  <c r="E52" i="48" s="1"/>
  <c r="G52" i="48" s="1"/>
  <c r="C52" i="49" s="1"/>
  <c r="E52" i="49" s="1"/>
  <c r="G52" i="49" s="1"/>
  <c r="C52" i="50" s="1"/>
  <c r="E52" i="50" s="1"/>
  <c r="G52" i="50" s="1"/>
  <c r="C52" i="51" s="1"/>
  <c r="E52" i="51" s="1"/>
  <c r="G52" i="51" s="1"/>
  <c r="C52" i="52" s="1"/>
  <c r="E52" i="52" s="1"/>
  <c r="G52" i="52" s="1"/>
  <c r="C52" i="53" s="1"/>
  <c r="E52" i="53" s="1"/>
  <c r="G52" i="53" s="1"/>
  <c r="C52" i="54" s="1"/>
  <c r="E52" i="54" s="1"/>
  <c r="G52" i="54" s="1"/>
  <c r="C52" i="55" s="1"/>
  <c r="E52" i="55" s="1"/>
  <c r="G52" i="55" s="1"/>
  <c r="C52" i="56" s="1"/>
  <c r="E52" i="56" s="1"/>
  <c r="G52" i="56" s="1"/>
  <c r="C52" i="57" s="1"/>
  <c r="E52" i="57" s="1"/>
  <c r="G52" i="57" s="1"/>
  <c r="C52" i="58" s="1"/>
  <c r="E52" i="58" s="1"/>
  <c r="G52" i="58" s="1"/>
  <c r="C52" i="59" s="1"/>
  <c r="E52" i="59" s="1"/>
  <c r="G52" i="59" s="1"/>
  <c r="C52" i="60" s="1"/>
  <c r="E52" i="60" s="1"/>
  <c r="G52" i="60" s="1"/>
  <c r="C52" i="61" s="1"/>
  <c r="E52" i="61" s="1"/>
  <c r="G52" i="61" s="1"/>
  <c r="C52" i="62" s="1"/>
  <c r="E52" i="62" s="1"/>
  <c r="G52" i="62" s="1"/>
  <c r="C52" i="63" s="1"/>
  <c r="E52" i="63" s="1"/>
  <c r="G52" i="63" s="1"/>
  <c r="C52" i="64" s="1"/>
  <c r="E52" i="64" s="1"/>
  <c r="G52" i="64" s="1"/>
  <c r="E52" i="15"/>
  <c r="E103" i="15"/>
  <c r="E109" i="34"/>
  <c r="G109" i="34" s="1"/>
  <c r="C109" i="35" s="1"/>
  <c r="E109" i="35" s="1"/>
  <c r="G109" i="35" s="1"/>
  <c r="C109" i="36" s="1"/>
  <c r="E109" i="36" s="1"/>
  <c r="G109" i="36" s="1"/>
  <c r="C109" i="37" s="1"/>
  <c r="E109" i="37" s="1"/>
  <c r="G109" i="37" s="1"/>
  <c r="C109" i="38" s="1"/>
  <c r="E109" i="38" s="1"/>
  <c r="G109" i="38" s="1"/>
  <c r="C109" i="39" s="1"/>
  <c r="E109" i="39" s="1"/>
  <c r="G109" i="39" s="1"/>
  <c r="C109" i="40" s="1"/>
  <c r="E109" i="40" s="1"/>
  <c r="G109" i="40" s="1"/>
  <c r="C109" i="41" s="1"/>
  <c r="E109" i="41" s="1"/>
  <c r="G109" i="41" s="1"/>
  <c r="C109" i="42" s="1"/>
  <c r="E109" i="42" s="1"/>
  <c r="G109" i="42" s="1"/>
  <c r="C109" i="43" s="1"/>
  <c r="E109" i="43" s="1"/>
  <c r="G109" i="43" s="1"/>
  <c r="C109" i="44" s="1"/>
  <c r="E109" i="44" s="1"/>
  <c r="G109" i="44" s="1"/>
  <c r="C109" i="45" s="1"/>
  <c r="E109" i="45" s="1"/>
  <c r="G109" i="45" s="1"/>
  <c r="C109" i="46" s="1"/>
  <c r="E109" i="46" s="1"/>
  <c r="G109" i="46" s="1"/>
  <c r="C109" i="47" s="1"/>
  <c r="E109" i="47" s="1"/>
  <c r="G109" i="47" s="1"/>
  <c r="C109" i="48" s="1"/>
  <c r="E109" i="48" s="1"/>
  <c r="G109" i="48" s="1"/>
  <c r="C109" i="49" s="1"/>
  <c r="E109" i="49" s="1"/>
  <c r="G109" i="49" s="1"/>
  <c r="C109" i="50" s="1"/>
  <c r="E109" i="50" s="1"/>
  <c r="G109" i="50" s="1"/>
  <c r="C109" i="51" s="1"/>
  <c r="E109" i="51" s="1"/>
  <c r="G109" i="51" s="1"/>
  <c r="C109" i="52" s="1"/>
  <c r="E109" i="52" s="1"/>
  <c r="G109" i="52" s="1"/>
  <c r="C109" i="53" s="1"/>
  <c r="E109" i="53" s="1"/>
  <c r="G109" i="53" s="1"/>
  <c r="C109" i="54" s="1"/>
  <c r="E109" i="54" s="1"/>
  <c r="G109" i="54" s="1"/>
  <c r="C109" i="55" s="1"/>
  <c r="E109" i="55" s="1"/>
  <c r="G109" i="55" s="1"/>
  <c r="C109" i="56" s="1"/>
  <c r="E109" i="56" s="1"/>
  <c r="G109" i="56" s="1"/>
  <c r="C109" i="57" s="1"/>
  <c r="E109" i="57" s="1"/>
  <c r="G109" i="57" s="1"/>
  <c r="C109" i="58" s="1"/>
  <c r="E109" i="58" s="1"/>
  <c r="G109" i="58" s="1"/>
  <c r="C109" i="59" s="1"/>
  <c r="E109" i="59" s="1"/>
  <c r="G109" i="59" s="1"/>
  <c r="C109" i="60" s="1"/>
  <c r="E109" i="60" s="1"/>
  <c r="G109" i="60" s="1"/>
  <c r="C109" i="61" s="1"/>
  <c r="E109" i="61" s="1"/>
  <c r="G109" i="61" s="1"/>
  <c r="C109" i="62" s="1"/>
  <c r="E109" i="62" s="1"/>
  <c r="G109" i="62" s="1"/>
  <c r="C109" i="63" s="1"/>
  <c r="E109" i="63" s="1"/>
  <c r="G109" i="63" s="1"/>
  <c r="C109" i="64" s="1"/>
  <c r="E109" i="64" s="1"/>
  <c r="G109" i="64" s="1"/>
  <c r="E109" i="15"/>
  <c r="E164" i="34"/>
  <c r="G164" i="34" s="1"/>
  <c r="C164" i="35" s="1"/>
  <c r="E164" i="35" s="1"/>
  <c r="G164" i="35" s="1"/>
  <c r="C164" i="36" s="1"/>
  <c r="E164" i="36" s="1"/>
  <c r="G164" i="36" s="1"/>
  <c r="C164" i="37" s="1"/>
  <c r="E164" i="37" s="1"/>
  <c r="G164" i="37" s="1"/>
  <c r="C164" i="38" s="1"/>
  <c r="E164" i="38" s="1"/>
  <c r="G164" i="38" s="1"/>
  <c r="C164" i="39" s="1"/>
  <c r="E164" i="39" s="1"/>
  <c r="G164" i="39" s="1"/>
  <c r="C164" i="40" s="1"/>
  <c r="E164" i="40" s="1"/>
  <c r="G164" i="40" s="1"/>
  <c r="C164" i="41" s="1"/>
  <c r="E164" i="41" s="1"/>
  <c r="G164" i="41" s="1"/>
  <c r="C164" i="42" s="1"/>
  <c r="E164" i="42" s="1"/>
  <c r="G164" i="42" s="1"/>
  <c r="C164" i="43" s="1"/>
  <c r="E164" i="43" s="1"/>
  <c r="G164" i="43" s="1"/>
  <c r="C164" i="44" s="1"/>
  <c r="E164" i="44" s="1"/>
  <c r="G164" i="44" s="1"/>
  <c r="C164" i="45" s="1"/>
  <c r="E164" i="45" s="1"/>
  <c r="G164" i="45" s="1"/>
  <c r="C164" i="46" s="1"/>
  <c r="E164" i="46" s="1"/>
  <c r="G164" i="46" s="1"/>
  <c r="C164" i="47" s="1"/>
  <c r="E164" i="47" s="1"/>
  <c r="G164" i="47" s="1"/>
  <c r="C164" i="48" s="1"/>
  <c r="E164" i="48" s="1"/>
  <c r="G164" i="48" s="1"/>
  <c r="C164" i="49" s="1"/>
  <c r="E164" i="49" s="1"/>
  <c r="G164" i="49" s="1"/>
  <c r="C164" i="50" s="1"/>
  <c r="E164" i="50" s="1"/>
  <c r="G164" i="50" s="1"/>
  <c r="C164" i="51" s="1"/>
  <c r="E164" i="51" s="1"/>
  <c r="G164" i="51" s="1"/>
  <c r="C164" i="52" s="1"/>
  <c r="E164" i="52" s="1"/>
  <c r="G164" i="52" s="1"/>
  <c r="C164" i="53" s="1"/>
  <c r="E164" i="53" s="1"/>
  <c r="G164" i="53" s="1"/>
  <c r="C164" i="54" s="1"/>
  <c r="E164" i="54" s="1"/>
  <c r="G164" i="54" s="1"/>
  <c r="C164" i="55" s="1"/>
  <c r="E164" i="55" s="1"/>
  <c r="G164" i="55" s="1"/>
  <c r="C164" i="56" s="1"/>
  <c r="E164" i="56" s="1"/>
  <c r="G164" i="56" s="1"/>
  <c r="C164" i="57" s="1"/>
  <c r="E164" i="57" s="1"/>
  <c r="G164" i="57" s="1"/>
  <c r="C164" i="58" s="1"/>
  <c r="E164" i="58" s="1"/>
  <c r="G164" i="58" s="1"/>
  <c r="C164" i="59" s="1"/>
  <c r="E164" i="59" s="1"/>
  <c r="G164" i="59" s="1"/>
  <c r="C164" i="60" s="1"/>
  <c r="E164" i="60" s="1"/>
  <c r="G164" i="60" s="1"/>
  <c r="C164" i="61" s="1"/>
  <c r="E164" i="61" s="1"/>
  <c r="G164" i="61" s="1"/>
  <c r="C164" i="62" s="1"/>
  <c r="E164" i="62" s="1"/>
  <c r="G164" i="62" s="1"/>
  <c r="C164" i="63" s="1"/>
  <c r="E164" i="63" s="1"/>
  <c r="G164" i="63" s="1"/>
  <c r="C164" i="64" s="1"/>
  <c r="E164" i="64" s="1"/>
  <c r="G164" i="64" s="1"/>
  <c r="E164" i="15"/>
  <c r="E172" i="34"/>
  <c r="G172" i="34" s="1"/>
  <c r="C172" i="35" s="1"/>
  <c r="E172" i="35" s="1"/>
  <c r="G172" i="35" s="1"/>
  <c r="C172" i="36" s="1"/>
  <c r="E172" i="36" s="1"/>
  <c r="G172" i="36" s="1"/>
  <c r="C172" i="37" s="1"/>
  <c r="E172" i="37" s="1"/>
  <c r="G172" i="37" s="1"/>
  <c r="C172" i="38" s="1"/>
  <c r="E172" i="38" s="1"/>
  <c r="G172" i="38" s="1"/>
  <c r="C172" i="39" s="1"/>
  <c r="E172" i="39" s="1"/>
  <c r="G172" i="39" s="1"/>
  <c r="C172" i="40" s="1"/>
  <c r="E172" i="40" s="1"/>
  <c r="G172" i="40" s="1"/>
  <c r="C172" i="41" s="1"/>
  <c r="E172" i="41" s="1"/>
  <c r="G172" i="41" s="1"/>
  <c r="C172" i="42" s="1"/>
  <c r="E172" i="42" s="1"/>
  <c r="G172" i="42" s="1"/>
  <c r="C172" i="43" s="1"/>
  <c r="E172" i="43" s="1"/>
  <c r="G172" i="43" s="1"/>
  <c r="C172" i="44" s="1"/>
  <c r="E172" i="44" s="1"/>
  <c r="G172" i="44" s="1"/>
  <c r="C172" i="45" s="1"/>
  <c r="E172" i="45" s="1"/>
  <c r="G172" i="45" s="1"/>
  <c r="C172" i="46" s="1"/>
  <c r="E172" i="46" s="1"/>
  <c r="G172" i="46" s="1"/>
  <c r="C172" i="47" s="1"/>
  <c r="E172" i="47" s="1"/>
  <c r="G172" i="47" s="1"/>
  <c r="C172" i="48" s="1"/>
  <c r="E172" i="48" s="1"/>
  <c r="G172" i="48" s="1"/>
  <c r="C172" i="49" s="1"/>
  <c r="E172" i="49" s="1"/>
  <c r="G172" i="49" s="1"/>
  <c r="C172" i="50" s="1"/>
  <c r="E172" i="50" s="1"/>
  <c r="G172" i="50" s="1"/>
  <c r="C172" i="51" s="1"/>
  <c r="E172" i="51" s="1"/>
  <c r="G172" i="51" s="1"/>
  <c r="C172" i="52" s="1"/>
  <c r="E172" i="52" s="1"/>
  <c r="G172" i="52" s="1"/>
  <c r="C172" i="53" s="1"/>
  <c r="E172" i="53" s="1"/>
  <c r="G172" i="53" s="1"/>
  <c r="C172" i="54" s="1"/>
  <c r="E172" i="54" s="1"/>
  <c r="G172" i="54" s="1"/>
  <c r="C172" i="55" s="1"/>
  <c r="E172" i="55" s="1"/>
  <c r="G172" i="55" s="1"/>
  <c r="C172" i="56" s="1"/>
  <c r="E172" i="56" s="1"/>
  <c r="G172" i="56" s="1"/>
  <c r="C172" i="57" s="1"/>
  <c r="E172" i="57" s="1"/>
  <c r="G172" i="57" s="1"/>
  <c r="C172" i="58" s="1"/>
  <c r="E172" i="58" s="1"/>
  <c r="G172" i="58" s="1"/>
  <c r="C172" i="59" s="1"/>
  <c r="E172" i="59" s="1"/>
  <c r="G172" i="59" s="1"/>
  <c r="C172" i="60" s="1"/>
  <c r="E172" i="60" s="1"/>
  <c r="G172" i="60" s="1"/>
  <c r="C172" i="61" s="1"/>
  <c r="E172" i="61" s="1"/>
  <c r="G172" i="61" s="1"/>
  <c r="C172" i="62" s="1"/>
  <c r="E172" i="62" s="1"/>
  <c r="G172" i="62" s="1"/>
  <c r="C172" i="63" s="1"/>
  <c r="E172" i="63" s="1"/>
  <c r="G172" i="63" s="1"/>
  <c r="C172" i="64" s="1"/>
  <c r="E172" i="64" s="1"/>
  <c r="G172" i="64" s="1"/>
  <c r="E172" i="15"/>
  <c r="E59" i="34"/>
  <c r="G59" i="34" s="1"/>
  <c r="C59" i="35" s="1"/>
  <c r="E59" i="35" s="1"/>
  <c r="G59" i="35" s="1"/>
  <c r="C59" i="36" s="1"/>
  <c r="E59" i="36" s="1"/>
  <c r="G59" i="36" s="1"/>
  <c r="C59" i="37" s="1"/>
  <c r="E59" i="37" s="1"/>
  <c r="G59" i="37" s="1"/>
  <c r="C59" i="38" s="1"/>
  <c r="E59" i="38" s="1"/>
  <c r="G59" i="38" s="1"/>
  <c r="C59" i="39" s="1"/>
  <c r="E59" i="39" s="1"/>
  <c r="G59" i="39" s="1"/>
  <c r="C59" i="40" s="1"/>
  <c r="E59" i="40" s="1"/>
  <c r="G59" i="40" s="1"/>
  <c r="C59" i="41" s="1"/>
  <c r="E59" i="41" s="1"/>
  <c r="G59" i="41" s="1"/>
  <c r="C59" i="42" s="1"/>
  <c r="E59" i="42" s="1"/>
  <c r="G59" i="42" s="1"/>
  <c r="C59" i="43" s="1"/>
  <c r="E59" i="43" s="1"/>
  <c r="G59" i="43" s="1"/>
  <c r="C59" i="44" s="1"/>
  <c r="E59" i="44" s="1"/>
  <c r="G59" i="44" s="1"/>
  <c r="C59" i="45" s="1"/>
  <c r="E59" i="45" s="1"/>
  <c r="G59" i="45" s="1"/>
  <c r="C59" i="46" s="1"/>
  <c r="E59" i="46" s="1"/>
  <c r="G59" i="46" s="1"/>
  <c r="C59" i="47" s="1"/>
  <c r="E59" i="47" s="1"/>
  <c r="G59" i="47" s="1"/>
  <c r="C59" i="48" s="1"/>
  <c r="E59" i="48" s="1"/>
  <c r="G59" i="48" s="1"/>
  <c r="C59" i="49" s="1"/>
  <c r="E59" i="49" s="1"/>
  <c r="G59" i="49" s="1"/>
  <c r="C59" i="50" s="1"/>
  <c r="E59" i="50" s="1"/>
  <c r="G59" i="50" s="1"/>
  <c r="C59" i="51" s="1"/>
  <c r="E59" i="51" s="1"/>
  <c r="G59" i="51" s="1"/>
  <c r="C59" i="52" s="1"/>
  <c r="E59" i="52" s="1"/>
  <c r="G59" i="52" s="1"/>
  <c r="C59" i="53" s="1"/>
  <c r="E59" i="53" s="1"/>
  <c r="G59" i="53" s="1"/>
  <c r="C59" i="54" s="1"/>
  <c r="E59" i="54" s="1"/>
  <c r="G59" i="54" s="1"/>
  <c r="C59" i="55" s="1"/>
  <c r="E59" i="55" s="1"/>
  <c r="G59" i="55" s="1"/>
  <c r="C59" i="56" s="1"/>
  <c r="E59" i="56" s="1"/>
  <c r="G59" i="56" s="1"/>
  <c r="C59" i="57" s="1"/>
  <c r="E59" i="57" s="1"/>
  <c r="G59" i="57" s="1"/>
  <c r="C59" i="58" s="1"/>
  <c r="E59" i="58" s="1"/>
  <c r="G59" i="58" s="1"/>
  <c r="C59" i="59" s="1"/>
  <c r="E59" i="59" s="1"/>
  <c r="G59" i="59" s="1"/>
  <c r="C59" i="60" s="1"/>
  <c r="E59" i="60" s="1"/>
  <c r="G59" i="60" s="1"/>
  <c r="C59" i="61" s="1"/>
  <c r="E59" i="61" s="1"/>
  <c r="G59" i="61" s="1"/>
  <c r="C59" i="62" s="1"/>
  <c r="E59" i="62" s="1"/>
  <c r="G59" i="62" s="1"/>
  <c r="C59" i="63" s="1"/>
  <c r="E59" i="63" s="1"/>
  <c r="G59" i="63" s="1"/>
  <c r="C59" i="64" s="1"/>
  <c r="E59" i="64" s="1"/>
  <c r="G59" i="64" s="1"/>
  <c r="E59" i="15"/>
  <c r="E9" i="15"/>
  <c r="E17" i="34"/>
  <c r="G17" i="34" s="1"/>
  <c r="C17" i="35" s="1"/>
  <c r="E17" i="35" s="1"/>
  <c r="G17" i="35" s="1"/>
  <c r="C17" i="36" s="1"/>
  <c r="E17" i="36" s="1"/>
  <c r="G17" i="36" s="1"/>
  <c r="C17" i="37" s="1"/>
  <c r="E17" i="37" s="1"/>
  <c r="G17" i="37" s="1"/>
  <c r="C17" i="38" s="1"/>
  <c r="E17" i="38" s="1"/>
  <c r="G17" i="38" s="1"/>
  <c r="C17" i="39" s="1"/>
  <c r="E17" i="39" s="1"/>
  <c r="G17" i="39" s="1"/>
  <c r="C17" i="40" s="1"/>
  <c r="E17" i="40" s="1"/>
  <c r="G17" i="40" s="1"/>
  <c r="C17" i="41" s="1"/>
  <c r="E17" i="41" s="1"/>
  <c r="G17" i="41" s="1"/>
  <c r="C17" i="42" s="1"/>
  <c r="E17" i="42" s="1"/>
  <c r="G17" i="42" s="1"/>
  <c r="C17" i="43" s="1"/>
  <c r="E17" i="43" s="1"/>
  <c r="G17" i="43" s="1"/>
  <c r="C17" i="44" s="1"/>
  <c r="E17" i="44" s="1"/>
  <c r="G17" i="44" s="1"/>
  <c r="C17" i="45" s="1"/>
  <c r="E17" i="45" s="1"/>
  <c r="G17" i="45" s="1"/>
  <c r="C17" i="46" s="1"/>
  <c r="E17" i="46" s="1"/>
  <c r="G17" i="46" s="1"/>
  <c r="C17" i="47" s="1"/>
  <c r="E17" i="47" s="1"/>
  <c r="G17" i="47" s="1"/>
  <c r="C17" i="48" s="1"/>
  <c r="E17" i="48" s="1"/>
  <c r="G17" i="48" s="1"/>
  <c r="C17" i="49" s="1"/>
  <c r="E17" i="49" s="1"/>
  <c r="G17" i="49" s="1"/>
  <c r="C17" i="50" s="1"/>
  <c r="E17" i="50" s="1"/>
  <c r="G17" i="50" s="1"/>
  <c r="C17" i="51" s="1"/>
  <c r="E17" i="51" s="1"/>
  <c r="G17" i="51" s="1"/>
  <c r="C17" i="52" s="1"/>
  <c r="E17" i="52" s="1"/>
  <c r="G17" i="52" s="1"/>
  <c r="C17" i="53" s="1"/>
  <c r="E17" i="53" s="1"/>
  <c r="G17" i="53" s="1"/>
  <c r="C17" i="54" s="1"/>
  <c r="E17" i="54" s="1"/>
  <c r="G17" i="54" s="1"/>
  <c r="C17" i="55" s="1"/>
  <c r="E17" i="55" s="1"/>
  <c r="G17" i="55" s="1"/>
  <c r="C17" i="56" s="1"/>
  <c r="E17" i="56" s="1"/>
  <c r="G17" i="56" s="1"/>
  <c r="C17" i="57" s="1"/>
  <c r="E17" i="57" s="1"/>
  <c r="G17" i="57" s="1"/>
  <c r="C17" i="58" s="1"/>
  <c r="E17" i="58" s="1"/>
  <c r="G17" i="58" s="1"/>
  <c r="C17" i="59" s="1"/>
  <c r="E17" i="59" s="1"/>
  <c r="G17" i="59" s="1"/>
  <c r="C17" i="60" s="1"/>
  <c r="E17" i="60" s="1"/>
  <c r="G17" i="60" s="1"/>
  <c r="C17" i="61" s="1"/>
  <c r="E17" i="61" s="1"/>
  <c r="G17" i="61" s="1"/>
  <c r="C17" i="62" s="1"/>
  <c r="E17" i="62" s="1"/>
  <c r="G17" i="62" s="1"/>
  <c r="C17" i="63" s="1"/>
  <c r="E17" i="63" s="1"/>
  <c r="G17" i="63" s="1"/>
  <c r="C17" i="64" s="1"/>
  <c r="E17" i="64" s="1"/>
  <c r="G17" i="64" s="1"/>
  <c r="E17" i="15"/>
  <c r="E34" i="34"/>
  <c r="G34" i="34" s="1"/>
  <c r="C34" i="35" s="1"/>
  <c r="E34" i="35" s="1"/>
  <c r="G34" i="35" s="1"/>
  <c r="C34" i="36" s="1"/>
  <c r="E34" i="36" s="1"/>
  <c r="G34" i="36" s="1"/>
  <c r="C34" i="37" s="1"/>
  <c r="E34" i="37" s="1"/>
  <c r="G34" i="37" s="1"/>
  <c r="C34" i="38" s="1"/>
  <c r="E34" i="38" s="1"/>
  <c r="G34" i="38" s="1"/>
  <c r="C34" i="39" s="1"/>
  <c r="E34" i="39" s="1"/>
  <c r="G34" i="39" s="1"/>
  <c r="C34" i="40" s="1"/>
  <c r="E34" i="40" s="1"/>
  <c r="G34" i="40" s="1"/>
  <c r="C34" i="41" s="1"/>
  <c r="E34" i="41" s="1"/>
  <c r="G34" i="41" s="1"/>
  <c r="C34" i="42" s="1"/>
  <c r="E34" i="42" s="1"/>
  <c r="G34" i="42" s="1"/>
  <c r="C34" i="43" s="1"/>
  <c r="E34" i="43" s="1"/>
  <c r="G34" i="43" s="1"/>
  <c r="C34" i="44" s="1"/>
  <c r="E34" i="44" s="1"/>
  <c r="G34" i="44" s="1"/>
  <c r="C34" i="45" s="1"/>
  <c r="E34" i="45" s="1"/>
  <c r="G34" i="45" s="1"/>
  <c r="C34" i="46" s="1"/>
  <c r="E34" i="46" s="1"/>
  <c r="G34" i="46" s="1"/>
  <c r="C34" i="47" s="1"/>
  <c r="E34" i="47" s="1"/>
  <c r="G34" i="47" s="1"/>
  <c r="C34" i="48" s="1"/>
  <c r="E34" i="48" s="1"/>
  <c r="G34" i="48" s="1"/>
  <c r="C34" i="49" s="1"/>
  <c r="E34" i="49" s="1"/>
  <c r="G34" i="49" s="1"/>
  <c r="C34" i="50" s="1"/>
  <c r="E34" i="50" s="1"/>
  <c r="G34" i="50" s="1"/>
  <c r="C34" i="51" s="1"/>
  <c r="E34" i="51" s="1"/>
  <c r="G34" i="51" s="1"/>
  <c r="C34" i="52" s="1"/>
  <c r="E34" i="52" s="1"/>
  <c r="G34" i="52" s="1"/>
  <c r="C34" i="53" s="1"/>
  <c r="E34" i="53" s="1"/>
  <c r="G34" i="53" s="1"/>
  <c r="C34" i="54" s="1"/>
  <c r="E34" i="54" s="1"/>
  <c r="G34" i="54" s="1"/>
  <c r="C34" i="55" s="1"/>
  <c r="E34" i="55" s="1"/>
  <c r="G34" i="55" s="1"/>
  <c r="C34" i="56" s="1"/>
  <c r="E34" i="56" s="1"/>
  <c r="G34" i="56" s="1"/>
  <c r="C34" i="57" s="1"/>
  <c r="E34" i="57" s="1"/>
  <c r="G34" i="57" s="1"/>
  <c r="C34" i="58" s="1"/>
  <c r="E34" i="58" s="1"/>
  <c r="G34" i="58" s="1"/>
  <c r="C34" i="59" s="1"/>
  <c r="E34" i="59" s="1"/>
  <c r="G34" i="59" s="1"/>
  <c r="C34" i="60" s="1"/>
  <c r="E34" i="60" s="1"/>
  <c r="G34" i="60" s="1"/>
  <c r="C34" i="61" s="1"/>
  <c r="E34" i="61" s="1"/>
  <c r="G34" i="61" s="1"/>
  <c r="C34" i="62" s="1"/>
  <c r="E34" i="62" s="1"/>
  <c r="G34" i="62" s="1"/>
  <c r="C34" i="63" s="1"/>
  <c r="E34" i="63" s="1"/>
  <c r="G34" i="63" s="1"/>
  <c r="C34" i="64" s="1"/>
  <c r="E34" i="64" s="1"/>
  <c r="G34" i="64" s="1"/>
  <c r="E34" i="15"/>
  <c r="E57" i="15"/>
  <c r="E64" i="34"/>
  <c r="G64" i="34" s="1"/>
  <c r="C64" i="35" s="1"/>
  <c r="E64" i="35" s="1"/>
  <c r="G64" i="35" s="1"/>
  <c r="C64" i="36" s="1"/>
  <c r="E64" i="36" s="1"/>
  <c r="G64" i="36" s="1"/>
  <c r="C64" i="37" s="1"/>
  <c r="E64" i="37" s="1"/>
  <c r="G64" i="37" s="1"/>
  <c r="C64" i="38" s="1"/>
  <c r="E64" i="38" s="1"/>
  <c r="G64" i="38" s="1"/>
  <c r="C64" i="39" s="1"/>
  <c r="E64" i="39" s="1"/>
  <c r="G64" i="39" s="1"/>
  <c r="C64" i="40" s="1"/>
  <c r="E64" i="40" s="1"/>
  <c r="G64" i="40" s="1"/>
  <c r="C64" i="41" s="1"/>
  <c r="E64" i="41" s="1"/>
  <c r="G64" i="41" s="1"/>
  <c r="C64" i="42" s="1"/>
  <c r="E64" i="42" s="1"/>
  <c r="G64" i="42" s="1"/>
  <c r="C64" i="43" s="1"/>
  <c r="E64" i="43" s="1"/>
  <c r="G64" i="43" s="1"/>
  <c r="C64" i="44" s="1"/>
  <c r="E64" i="44" s="1"/>
  <c r="G64" i="44" s="1"/>
  <c r="C64" i="45" s="1"/>
  <c r="E64" i="45" s="1"/>
  <c r="G64" i="45" s="1"/>
  <c r="C64" i="46" s="1"/>
  <c r="E64" i="46" s="1"/>
  <c r="G64" i="46" s="1"/>
  <c r="C64" i="47" s="1"/>
  <c r="E64" i="47" s="1"/>
  <c r="G64" i="47" s="1"/>
  <c r="C64" i="48" s="1"/>
  <c r="E64" i="48" s="1"/>
  <c r="G64" i="48" s="1"/>
  <c r="C64" i="49" s="1"/>
  <c r="E64" i="49" s="1"/>
  <c r="G64" i="49" s="1"/>
  <c r="C64" i="50" s="1"/>
  <c r="E64" i="50" s="1"/>
  <c r="G64" i="50" s="1"/>
  <c r="C64" i="51" s="1"/>
  <c r="E64" i="51" s="1"/>
  <c r="G64" i="51" s="1"/>
  <c r="C64" i="52" s="1"/>
  <c r="E64" i="52" s="1"/>
  <c r="G64" i="52" s="1"/>
  <c r="C64" i="53" s="1"/>
  <c r="E64" i="53" s="1"/>
  <c r="G64" i="53" s="1"/>
  <c r="C64" i="54" s="1"/>
  <c r="E64" i="54" s="1"/>
  <c r="G64" i="54" s="1"/>
  <c r="C64" i="55" s="1"/>
  <c r="E64" i="55" s="1"/>
  <c r="G64" i="55" s="1"/>
  <c r="C64" i="56" s="1"/>
  <c r="E64" i="56" s="1"/>
  <c r="G64" i="56" s="1"/>
  <c r="C64" i="57" s="1"/>
  <c r="E64" i="57" s="1"/>
  <c r="G64" i="57" s="1"/>
  <c r="C64" i="58" s="1"/>
  <c r="E64" i="58" s="1"/>
  <c r="G64" i="58" s="1"/>
  <c r="C64" i="59" s="1"/>
  <c r="E64" i="59" s="1"/>
  <c r="G64" i="59" s="1"/>
  <c r="C64" i="60" s="1"/>
  <c r="E64" i="60" s="1"/>
  <c r="G64" i="60" s="1"/>
  <c r="C64" i="61" s="1"/>
  <c r="E64" i="61" s="1"/>
  <c r="G64" i="61" s="1"/>
  <c r="C64" i="62" s="1"/>
  <c r="E64" i="62" s="1"/>
  <c r="G64" i="62" s="1"/>
  <c r="C64" i="63" s="1"/>
  <c r="E64" i="63" s="1"/>
  <c r="G64" i="63" s="1"/>
  <c r="C64" i="64" s="1"/>
  <c r="E64" i="64" s="1"/>
  <c r="G64" i="64" s="1"/>
  <c r="E64" i="15"/>
  <c r="E68" i="34"/>
  <c r="G68" i="34" s="1"/>
  <c r="C68" i="35" s="1"/>
  <c r="E68" i="35" s="1"/>
  <c r="G68" i="35" s="1"/>
  <c r="C68" i="36" s="1"/>
  <c r="E68" i="36" s="1"/>
  <c r="G68" i="36" s="1"/>
  <c r="C68" i="37" s="1"/>
  <c r="E68" i="37" s="1"/>
  <c r="G68" i="37" s="1"/>
  <c r="C68" i="38" s="1"/>
  <c r="E68" i="38" s="1"/>
  <c r="G68" i="38" s="1"/>
  <c r="C68" i="39" s="1"/>
  <c r="E68" i="39" s="1"/>
  <c r="G68" i="39" s="1"/>
  <c r="C68" i="40" s="1"/>
  <c r="E68" i="40" s="1"/>
  <c r="G68" i="40" s="1"/>
  <c r="C68" i="41" s="1"/>
  <c r="E68" i="41" s="1"/>
  <c r="G68" i="41" s="1"/>
  <c r="C68" i="42" s="1"/>
  <c r="E68" i="42" s="1"/>
  <c r="G68" i="42" s="1"/>
  <c r="C68" i="43" s="1"/>
  <c r="E68" i="43" s="1"/>
  <c r="G68" i="43" s="1"/>
  <c r="C68" i="44" s="1"/>
  <c r="E68" i="44" s="1"/>
  <c r="G68" i="44" s="1"/>
  <c r="C68" i="45" s="1"/>
  <c r="E68" i="45" s="1"/>
  <c r="G68" i="45" s="1"/>
  <c r="C68" i="46" s="1"/>
  <c r="E68" i="46" s="1"/>
  <c r="G68" i="46" s="1"/>
  <c r="C68" i="47" s="1"/>
  <c r="E68" i="47" s="1"/>
  <c r="G68" i="47" s="1"/>
  <c r="C68" i="48" s="1"/>
  <c r="E68" i="48" s="1"/>
  <c r="G68" i="48" s="1"/>
  <c r="C68" i="49" s="1"/>
  <c r="E68" i="49" s="1"/>
  <c r="G68" i="49" s="1"/>
  <c r="C68" i="50" s="1"/>
  <c r="E68" i="50" s="1"/>
  <c r="G68" i="50" s="1"/>
  <c r="C68" i="51" s="1"/>
  <c r="E68" i="51" s="1"/>
  <c r="G68" i="51" s="1"/>
  <c r="C68" i="52" s="1"/>
  <c r="E68" i="52" s="1"/>
  <c r="G68" i="52" s="1"/>
  <c r="C68" i="53" s="1"/>
  <c r="E68" i="53" s="1"/>
  <c r="G68" i="53" s="1"/>
  <c r="C68" i="54" s="1"/>
  <c r="E68" i="54" s="1"/>
  <c r="G68" i="54" s="1"/>
  <c r="C68" i="55" s="1"/>
  <c r="E68" i="55" s="1"/>
  <c r="G68" i="55" s="1"/>
  <c r="C68" i="56" s="1"/>
  <c r="E68" i="56" s="1"/>
  <c r="G68" i="56" s="1"/>
  <c r="C68" i="57" s="1"/>
  <c r="E68" i="57" s="1"/>
  <c r="G68" i="57" s="1"/>
  <c r="C68" i="58" s="1"/>
  <c r="E68" i="58" s="1"/>
  <c r="G68" i="58" s="1"/>
  <c r="C68" i="59" s="1"/>
  <c r="E68" i="59" s="1"/>
  <c r="G68" i="59" s="1"/>
  <c r="C68" i="60" s="1"/>
  <c r="E68" i="60" s="1"/>
  <c r="G68" i="60" s="1"/>
  <c r="C68" i="61" s="1"/>
  <c r="E68" i="61" s="1"/>
  <c r="G68" i="61" s="1"/>
  <c r="C68" i="62" s="1"/>
  <c r="E68" i="62" s="1"/>
  <c r="G68" i="62" s="1"/>
  <c r="C68" i="63" s="1"/>
  <c r="E68" i="63" s="1"/>
  <c r="G68" i="63" s="1"/>
  <c r="C68" i="64" s="1"/>
  <c r="E68" i="64" s="1"/>
  <c r="G68" i="64" s="1"/>
  <c r="E68" i="15"/>
  <c r="E80" i="15"/>
  <c r="E85" i="34"/>
  <c r="G85" i="34" s="1"/>
  <c r="C85" i="35" s="1"/>
  <c r="E85" i="35" s="1"/>
  <c r="G85" i="35" s="1"/>
  <c r="C85" i="36" s="1"/>
  <c r="E85" i="36" s="1"/>
  <c r="G85" i="36" s="1"/>
  <c r="C85" i="37" s="1"/>
  <c r="E85" i="37" s="1"/>
  <c r="G85" i="37" s="1"/>
  <c r="C85" i="38" s="1"/>
  <c r="E85" i="38" s="1"/>
  <c r="G85" i="38" s="1"/>
  <c r="C85" i="39" s="1"/>
  <c r="E85" i="39" s="1"/>
  <c r="G85" i="39" s="1"/>
  <c r="C85" i="40" s="1"/>
  <c r="E85" i="40" s="1"/>
  <c r="G85" i="40" s="1"/>
  <c r="C85" i="41" s="1"/>
  <c r="E85" i="41" s="1"/>
  <c r="G85" i="41" s="1"/>
  <c r="C85" i="42" s="1"/>
  <c r="E85" i="42" s="1"/>
  <c r="G85" i="42" s="1"/>
  <c r="C85" i="43" s="1"/>
  <c r="E85" i="43" s="1"/>
  <c r="G85" i="43" s="1"/>
  <c r="C85" i="44" s="1"/>
  <c r="E85" i="44" s="1"/>
  <c r="G85" i="44" s="1"/>
  <c r="C85" i="45" s="1"/>
  <c r="E85" i="45" s="1"/>
  <c r="G85" i="45" s="1"/>
  <c r="C85" i="46" s="1"/>
  <c r="E85" i="46" s="1"/>
  <c r="G85" i="46" s="1"/>
  <c r="C85" i="47" s="1"/>
  <c r="E85" i="47" s="1"/>
  <c r="G85" i="47" s="1"/>
  <c r="C85" i="48" s="1"/>
  <c r="E85" i="48" s="1"/>
  <c r="G85" i="48" s="1"/>
  <c r="C85" i="49" s="1"/>
  <c r="E85" i="49" s="1"/>
  <c r="G85" i="49" s="1"/>
  <c r="C85" i="50" s="1"/>
  <c r="E85" i="50" s="1"/>
  <c r="G85" i="50" s="1"/>
  <c r="C85" i="51" s="1"/>
  <c r="E85" i="51" s="1"/>
  <c r="G85" i="51" s="1"/>
  <c r="C85" i="52" s="1"/>
  <c r="E85" i="52" s="1"/>
  <c r="G85" i="52" s="1"/>
  <c r="C85" i="53" s="1"/>
  <c r="E85" i="53" s="1"/>
  <c r="G85" i="53" s="1"/>
  <c r="C85" i="54" s="1"/>
  <c r="E85" i="54" s="1"/>
  <c r="G85" i="54" s="1"/>
  <c r="C85" i="55" s="1"/>
  <c r="E85" i="55" s="1"/>
  <c r="G85" i="55" s="1"/>
  <c r="C85" i="56" s="1"/>
  <c r="E85" i="56" s="1"/>
  <c r="G85" i="56" s="1"/>
  <c r="C85" i="57" s="1"/>
  <c r="E85" i="57" s="1"/>
  <c r="G85" i="57" s="1"/>
  <c r="C85" i="58" s="1"/>
  <c r="E85" i="58" s="1"/>
  <c r="G85" i="58" s="1"/>
  <c r="C85" i="59" s="1"/>
  <c r="E85" i="59" s="1"/>
  <c r="G85" i="59" s="1"/>
  <c r="C85" i="60" s="1"/>
  <c r="E85" i="60" s="1"/>
  <c r="G85" i="60" s="1"/>
  <c r="C85" i="61" s="1"/>
  <c r="E85" i="61" s="1"/>
  <c r="G85" i="61" s="1"/>
  <c r="C85" i="62" s="1"/>
  <c r="E85" i="62" s="1"/>
  <c r="G85" i="62" s="1"/>
  <c r="C85" i="63" s="1"/>
  <c r="E85" i="63" s="1"/>
  <c r="G85" i="63" s="1"/>
  <c r="C85" i="64" s="1"/>
  <c r="E85" i="64" s="1"/>
  <c r="G85" i="64" s="1"/>
  <c r="E85" i="15"/>
  <c r="E90" i="34"/>
  <c r="G90" i="34" s="1"/>
  <c r="C90" i="35" s="1"/>
  <c r="E90" i="35" s="1"/>
  <c r="G90" i="35" s="1"/>
  <c r="C90" i="36" s="1"/>
  <c r="E90" i="36" s="1"/>
  <c r="G90" i="36" s="1"/>
  <c r="C90" i="37" s="1"/>
  <c r="E90" i="37" s="1"/>
  <c r="G90" i="37" s="1"/>
  <c r="C90" i="38" s="1"/>
  <c r="E90" i="38" s="1"/>
  <c r="G90" i="38" s="1"/>
  <c r="E90" i="39" s="1"/>
  <c r="G90" i="39" s="1"/>
  <c r="C90" i="40" s="1"/>
  <c r="E90" i="40" s="1"/>
  <c r="G90" i="40" s="1"/>
  <c r="C90" i="41" s="1"/>
  <c r="E90" i="41" s="1"/>
  <c r="G90" i="41" s="1"/>
  <c r="C90" i="42" s="1"/>
  <c r="E90" i="42" s="1"/>
  <c r="G90" i="42" s="1"/>
  <c r="C90" i="43" s="1"/>
  <c r="E90" i="43" s="1"/>
  <c r="G90" i="43" s="1"/>
  <c r="C90" i="44" s="1"/>
  <c r="E90" i="44" s="1"/>
  <c r="G90" i="44" s="1"/>
  <c r="C90" i="45" s="1"/>
  <c r="E90" i="45" s="1"/>
  <c r="G90" i="45" s="1"/>
  <c r="C90" i="46" s="1"/>
  <c r="E90" i="46" s="1"/>
  <c r="G90" i="46" s="1"/>
  <c r="C90" i="47" s="1"/>
  <c r="E90" i="47" s="1"/>
  <c r="G90" i="47" s="1"/>
  <c r="C90" i="48" s="1"/>
  <c r="E90" i="48" s="1"/>
  <c r="G90" i="48" s="1"/>
  <c r="C90" i="49" s="1"/>
  <c r="E90" i="49" s="1"/>
  <c r="G90" i="49" s="1"/>
  <c r="C90" i="50" s="1"/>
  <c r="E90" i="50" s="1"/>
  <c r="G90" i="50" s="1"/>
  <c r="C90" i="51" s="1"/>
  <c r="E90" i="51" s="1"/>
  <c r="G90" i="51" s="1"/>
  <c r="C90" i="52" s="1"/>
  <c r="E90" i="52" s="1"/>
  <c r="G90" i="52" s="1"/>
  <c r="C90" i="53" s="1"/>
  <c r="E90" i="53" s="1"/>
  <c r="G90" i="53" s="1"/>
  <c r="C90" i="54" s="1"/>
  <c r="E90" i="54" s="1"/>
  <c r="G90" i="54" s="1"/>
  <c r="C90" i="55" s="1"/>
  <c r="E90" i="55" s="1"/>
  <c r="G90" i="55" s="1"/>
  <c r="C90" i="56" s="1"/>
  <c r="E90" i="56" s="1"/>
  <c r="G90" i="56" s="1"/>
  <c r="C90" i="57" s="1"/>
  <c r="E90" i="57" s="1"/>
  <c r="G90" i="57" s="1"/>
  <c r="C90" i="58" s="1"/>
  <c r="E90" i="58" s="1"/>
  <c r="G90" i="58" s="1"/>
  <c r="C90" i="59" s="1"/>
  <c r="E90" i="59" s="1"/>
  <c r="G90" i="59" s="1"/>
  <c r="C90" i="60" s="1"/>
  <c r="E90" i="60" s="1"/>
  <c r="G90" i="60" s="1"/>
  <c r="C90" i="61" s="1"/>
  <c r="E90" i="61" s="1"/>
  <c r="G90" i="61" s="1"/>
  <c r="C90" i="62" s="1"/>
  <c r="E90" i="62" s="1"/>
  <c r="G90" i="62" s="1"/>
  <c r="C90" i="63" s="1"/>
  <c r="E90" i="63" s="1"/>
  <c r="G90" i="63" s="1"/>
  <c r="C90" i="64" s="1"/>
  <c r="E90" i="64" s="1"/>
  <c r="G90" i="64" s="1"/>
  <c r="E90" i="15"/>
  <c r="E92" i="34"/>
  <c r="G92" i="34" s="1"/>
  <c r="C92" i="35" s="1"/>
  <c r="E92" i="35" s="1"/>
  <c r="G92" i="35" s="1"/>
  <c r="C92" i="36" s="1"/>
  <c r="E92" i="36" s="1"/>
  <c r="G92" i="36" s="1"/>
  <c r="C92" i="37" s="1"/>
  <c r="E92" i="37" s="1"/>
  <c r="G92" i="37" s="1"/>
  <c r="C92" i="38" s="1"/>
  <c r="E92" i="38" s="1"/>
  <c r="G92" i="38" s="1"/>
  <c r="C92" i="39" s="1"/>
  <c r="E92" i="39" s="1"/>
  <c r="G92" i="39" s="1"/>
  <c r="C92" i="40" s="1"/>
  <c r="E92" i="40" s="1"/>
  <c r="G92" i="40" s="1"/>
  <c r="C92" i="41" s="1"/>
  <c r="E92" i="41" s="1"/>
  <c r="G92" i="41" s="1"/>
  <c r="C92" i="42" s="1"/>
  <c r="E92" i="42" s="1"/>
  <c r="G92" i="42" s="1"/>
  <c r="C92" i="43" s="1"/>
  <c r="E92" i="43" s="1"/>
  <c r="G92" i="43" s="1"/>
  <c r="C92" i="44" s="1"/>
  <c r="E92" i="44" s="1"/>
  <c r="G92" i="44" s="1"/>
  <c r="C92" i="45" s="1"/>
  <c r="E92" i="45" s="1"/>
  <c r="G92" i="45" s="1"/>
  <c r="C92" i="46" s="1"/>
  <c r="E92" i="46" s="1"/>
  <c r="G92" i="46" s="1"/>
  <c r="C92" i="47" s="1"/>
  <c r="E92" i="47" s="1"/>
  <c r="G92" i="47" s="1"/>
  <c r="C92" i="48" s="1"/>
  <c r="E92" i="48" s="1"/>
  <c r="G92" i="48" s="1"/>
  <c r="C92" i="49" s="1"/>
  <c r="E92" i="49" s="1"/>
  <c r="G92" i="49" s="1"/>
  <c r="C92" i="50" s="1"/>
  <c r="E92" i="50" s="1"/>
  <c r="G92" i="50" s="1"/>
  <c r="C92" i="51" s="1"/>
  <c r="E92" i="51" s="1"/>
  <c r="G92" i="51" s="1"/>
  <c r="C92" i="52" s="1"/>
  <c r="E92" i="52" s="1"/>
  <c r="G92" i="52" s="1"/>
  <c r="C92" i="53" s="1"/>
  <c r="E92" i="53" s="1"/>
  <c r="G92" i="53" s="1"/>
  <c r="C92" i="54" s="1"/>
  <c r="E92" i="54" s="1"/>
  <c r="G92" i="54" s="1"/>
  <c r="C92" i="55" s="1"/>
  <c r="E92" i="55" s="1"/>
  <c r="G92" i="55" s="1"/>
  <c r="C92" i="56" s="1"/>
  <c r="E92" i="56" s="1"/>
  <c r="G92" i="56" s="1"/>
  <c r="C92" i="57" s="1"/>
  <c r="E92" i="57" s="1"/>
  <c r="G92" i="57" s="1"/>
  <c r="C92" i="58" s="1"/>
  <c r="E92" i="58" s="1"/>
  <c r="G92" i="58" s="1"/>
  <c r="C92" i="59" s="1"/>
  <c r="E92" i="59" s="1"/>
  <c r="G92" i="59" s="1"/>
  <c r="C92" i="60" s="1"/>
  <c r="E92" i="60" s="1"/>
  <c r="G92" i="60" s="1"/>
  <c r="C92" i="61" s="1"/>
  <c r="E92" i="61" s="1"/>
  <c r="G92" i="61" s="1"/>
  <c r="C92" i="62" s="1"/>
  <c r="E92" i="62" s="1"/>
  <c r="G92" i="62" s="1"/>
  <c r="C92" i="63" s="1"/>
  <c r="E92" i="63" s="1"/>
  <c r="G92" i="63" s="1"/>
  <c r="C92" i="64" s="1"/>
  <c r="E92" i="64" s="1"/>
  <c r="G92" i="64" s="1"/>
  <c r="E92" i="15"/>
  <c r="E101" i="34"/>
  <c r="G101" i="34" s="1"/>
  <c r="C101" i="35" s="1"/>
  <c r="E101" i="35" s="1"/>
  <c r="G101" i="35" s="1"/>
  <c r="C101" i="36" s="1"/>
  <c r="E101" i="36" s="1"/>
  <c r="G101" i="36" s="1"/>
  <c r="C101" i="37" s="1"/>
  <c r="E101" i="37" s="1"/>
  <c r="G101" i="37" s="1"/>
  <c r="C101" i="38" s="1"/>
  <c r="E101" i="38" s="1"/>
  <c r="G101" i="38" s="1"/>
  <c r="C101" i="39" s="1"/>
  <c r="E101" i="39" s="1"/>
  <c r="G101" i="39" s="1"/>
  <c r="C101" i="40" s="1"/>
  <c r="E101" i="40" s="1"/>
  <c r="G101" i="40" s="1"/>
  <c r="C101" i="41" s="1"/>
  <c r="E101" i="41" s="1"/>
  <c r="G101" i="41" s="1"/>
  <c r="C101" i="42" s="1"/>
  <c r="E101" i="42" s="1"/>
  <c r="G101" i="42" s="1"/>
  <c r="C101" i="43" s="1"/>
  <c r="E101" i="43" s="1"/>
  <c r="G101" i="43" s="1"/>
  <c r="C101" i="44" s="1"/>
  <c r="E101" i="44" s="1"/>
  <c r="G101" i="44" s="1"/>
  <c r="C101" i="45" s="1"/>
  <c r="E101" i="45" s="1"/>
  <c r="G101" i="45" s="1"/>
  <c r="C101" i="46" s="1"/>
  <c r="E101" i="46" s="1"/>
  <c r="G101" i="46" s="1"/>
  <c r="C101" i="47" s="1"/>
  <c r="E101" i="47" s="1"/>
  <c r="G101" i="47" s="1"/>
  <c r="C101" i="48" s="1"/>
  <c r="E101" i="48" s="1"/>
  <c r="G101" i="48" s="1"/>
  <c r="C101" i="49" s="1"/>
  <c r="E101" i="49" s="1"/>
  <c r="G101" i="49" s="1"/>
  <c r="C101" i="50" s="1"/>
  <c r="E101" i="50" s="1"/>
  <c r="G101" i="50" s="1"/>
  <c r="C101" i="51" s="1"/>
  <c r="E101" i="51" s="1"/>
  <c r="G101" i="51" s="1"/>
  <c r="C101" i="52" s="1"/>
  <c r="E101" i="52" s="1"/>
  <c r="G101" i="52" s="1"/>
  <c r="C101" i="53" s="1"/>
  <c r="E101" i="53" s="1"/>
  <c r="G101" i="53" s="1"/>
  <c r="C101" i="54" s="1"/>
  <c r="E101" i="54" s="1"/>
  <c r="G101" i="54" s="1"/>
  <c r="C101" i="55" s="1"/>
  <c r="E101" i="55" s="1"/>
  <c r="G101" i="55" s="1"/>
  <c r="C101" i="56" s="1"/>
  <c r="E101" i="56" s="1"/>
  <c r="G101" i="56" s="1"/>
  <c r="C101" i="57" s="1"/>
  <c r="E101" i="57" s="1"/>
  <c r="G101" i="57" s="1"/>
  <c r="C101" i="58" s="1"/>
  <c r="E101" i="58" s="1"/>
  <c r="G101" i="58" s="1"/>
  <c r="C101" i="59" s="1"/>
  <c r="E101" i="59" s="1"/>
  <c r="G101" i="59" s="1"/>
  <c r="C101" i="60" s="1"/>
  <c r="E101" i="60" s="1"/>
  <c r="G101" i="60" s="1"/>
  <c r="C101" i="61" s="1"/>
  <c r="E101" i="61" s="1"/>
  <c r="G101" i="61" s="1"/>
  <c r="C101" i="62" s="1"/>
  <c r="E101" i="62" s="1"/>
  <c r="G101" i="62" s="1"/>
  <c r="C101" i="63" s="1"/>
  <c r="E101" i="63" s="1"/>
  <c r="G101" i="63" s="1"/>
  <c r="C101" i="64" s="1"/>
  <c r="E101" i="64" s="1"/>
  <c r="G101" i="64" s="1"/>
  <c r="E101" i="15"/>
  <c r="E110" i="15"/>
  <c r="E165" i="34"/>
  <c r="G165" i="34" s="1"/>
  <c r="C165" i="35" s="1"/>
  <c r="E165" i="35" s="1"/>
  <c r="G165" i="35" s="1"/>
  <c r="C165" i="36" s="1"/>
  <c r="E165" i="36" s="1"/>
  <c r="G165" i="36" s="1"/>
  <c r="C165" i="37" s="1"/>
  <c r="E165" i="37" s="1"/>
  <c r="G165" i="37" s="1"/>
  <c r="C165" i="38" s="1"/>
  <c r="E165" i="38" s="1"/>
  <c r="G165" i="38" s="1"/>
  <c r="C165" i="39" s="1"/>
  <c r="E165" i="39" s="1"/>
  <c r="G165" i="39" s="1"/>
  <c r="C165" i="40" s="1"/>
  <c r="E165" i="40" s="1"/>
  <c r="G165" i="40" s="1"/>
  <c r="C165" i="41" s="1"/>
  <c r="E165" i="41" s="1"/>
  <c r="G165" i="41" s="1"/>
  <c r="C165" i="42" s="1"/>
  <c r="E165" i="42" s="1"/>
  <c r="G165" i="42" s="1"/>
  <c r="C165" i="43" s="1"/>
  <c r="E165" i="43" s="1"/>
  <c r="G165" i="43" s="1"/>
  <c r="C165" i="44" s="1"/>
  <c r="E165" i="44" s="1"/>
  <c r="G165" i="44" s="1"/>
  <c r="C165" i="45" s="1"/>
  <c r="E165" i="45" s="1"/>
  <c r="G165" i="45" s="1"/>
  <c r="C165" i="46" s="1"/>
  <c r="E165" i="46" s="1"/>
  <c r="G165" i="46" s="1"/>
  <c r="C165" i="47" s="1"/>
  <c r="E165" i="47" s="1"/>
  <c r="G165" i="47" s="1"/>
  <c r="C165" i="48" s="1"/>
  <c r="E165" i="48" s="1"/>
  <c r="G165" i="48" s="1"/>
  <c r="C165" i="49" s="1"/>
  <c r="E165" i="49" s="1"/>
  <c r="G165" i="49" s="1"/>
  <c r="C165" i="50" s="1"/>
  <c r="E165" i="50" s="1"/>
  <c r="G165" i="50" s="1"/>
  <c r="C165" i="51" s="1"/>
  <c r="E165" i="51" s="1"/>
  <c r="G165" i="51" s="1"/>
  <c r="C165" i="52" s="1"/>
  <c r="E165" i="52" s="1"/>
  <c r="G165" i="52" s="1"/>
  <c r="C165" i="53" s="1"/>
  <c r="E165" i="53" s="1"/>
  <c r="G165" i="53" s="1"/>
  <c r="C165" i="54" s="1"/>
  <c r="E165" i="54" s="1"/>
  <c r="G165" i="54" s="1"/>
  <c r="C165" i="55" s="1"/>
  <c r="E165" i="55" s="1"/>
  <c r="G165" i="55" s="1"/>
  <c r="C165" i="56" s="1"/>
  <c r="E165" i="56" s="1"/>
  <c r="G165" i="56" s="1"/>
  <c r="C165" i="57" s="1"/>
  <c r="E165" i="57" s="1"/>
  <c r="G165" i="57" s="1"/>
  <c r="C165" i="58" s="1"/>
  <c r="E165" i="58" s="1"/>
  <c r="G165" i="58" s="1"/>
  <c r="C165" i="59" s="1"/>
  <c r="E165" i="59" s="1"/>
  <c r="G165" i="59" s="1"/>
  <c r="C165" i="60" s="1"/>
  <c r="E165" i="60" s="1"/>
  <c r="G165" i="60" s="1"/>
  <c r="C165" i="61" s="1"/>
  <c r="E165" i="61" s="1"/>
  <c r="G165" i="61" s="1"/>
  <c r="C165" i="62" s="1"/>
  <c r="E165" i="62" s="1"/>
  <c r="G165" i="62" s="1"/>
  <c r="C165" i="63" s="1"/>
  <c r="E165" i="63" s="1"/>
  <c r="G165" i="63" s="1"/>
  <c r="C165" i="64" s="1"/>
  <c r="E165" i="64" s="1"/>
  <c r="G165" i="64" s="1"/>
  <c r="E165" i="15"/>
  <c r="E173" i="34"/>
  <c r="G173" i="34" s="1"/>
  <c r="C173" i="35" s="1"/>
  <c r="E173" i="35" s="1"/>
  <c r="G173" i="35" s="1"/>
  <c r="C173" i="36" s="1"/>
  <c r="E173" i="36" s="1"/>
  <c r="G173" i="36" s="1"/>
  <c r="C173" i="37" s="1"/>
  <c r="E173" i="37" s="1"/>
  <c r="G173" i="37" s="1"/>
  <c r="C173" i="38" s="1"/>
  <c r="E173" i="38" s="1"/>
  <c r="G173" i="38" s="1"/>
  <c r="C173" i="39" s="1"/>
  <c r="E173" i="39" s="1"/>
  <c r="G173" i="39" s="1"/>
  <c r="C173" i="40" s="1"/>
  <c r="E173" i="40" s="1"/>
  <c r="G173" i="40" s="1"/>
  <c r="C173" i="41" s="1"/>
  <c r="E173" i="41" s="1"/>
  <c r="G173" i="41" s="1"/>
  <c r="C173" i="42" s="1"/>
  <c r="E173" i="42" s="1"/>
  <c r="G173" i="42" s="1"/>
  <c r="C173" i="43" s="1"/>
  <c r="E173" i="43" s="1"/>
  <c r="G173" i="43" s="1"/>
  <c r="C173" i="44" s="1"/>
  <c r="E173" i="44" s="1"/>
  <c r="G173" i="44" s="1"/>
  <c r="C173" i="45" s="1"/>
  <c r="E173" i="45" s="1"/>
  <c r="G173" i="45" s="1"/>
  <c r="C173" i="46" s="1"/>
  <c r="E173" i="46" s="1"/>
  <c r="G173" i="46" s="1"/>
  <c r="C173" i="47" s="1"/>
  <c r="E173" i="47" s="1"/>
  <c r="G173" i="47" s="1"/>
  <c r="C173" i="48" s="1"/>
  <c r="E173" i="48" s="1"/>
  <c r="G173" i="48" s="1"/>
  <c r="C173" i="49" s="1"/>
  <c r="E173" i="49" s="1"/>
  <c r="G173" i="49" s="1"/>
  <c r="C173" i="50" s="1"/>
  <c r="E173" i="50" s="1"/>
  <c r="G173" i="50" s="1"/>
  <c r="C173" i="51" s="1"/>
  <c r="E173" i="51" s="1"/>
  <c r="G173" i="51" s="1"/>
  <c r="C173" i="52" s="1"/>
  <c r="E173" i="52" s="1"/>
  <c r="G173" i="52" s="1"/>
  <c r="C173" i="53" s="1"/>
  <c r="E173" i="53" s="1"/>
  <c r="G173" i="53" s="1"/>
  <c r="C173" i="54" s="1"/>
  <c r="E173" i="54" s="1"/>
  <c r="G173" i="54" s="1"/>
  <c r="C173" i="55" s="1"/>
  <c r="E173" i="55" s="1"/>
  <c r="G173" i="55" s="1"/>
  <c r="C173" i="56" s="1"/>
  <c r="E173" i="56" s="1"/>
  <c r="G173" i="56" s="1"/>
  <c r="C173" i="57" s="1"/>
  <c r="E173" i="57" s="1"/>
  <c r="G173" i="57" s="1"/>
  <c r="C173" i="58" s="1"/>
  <c r="E173" i="58" s="1"/>
  <c r="G173" i="58" s="1"/>
  <c r="C173" i="59" s="1"/>
  <c r="E173" i="59" s="1"/>
  <c r="G173" i="59" s="1"/>
  <c r="C173" i="60" s="1"/>
  <c r="E173" i="60" s="1"/>
  <c r="G173" i="60" s="1"/>
  <c r="C173" i="61" s="1"/>
  <c r="E173" i="61" s="1"/>
  <c r="G173" i="61" s="1"/>
  <c r="C173" i="62" s="1"/>
  <c r="E173" i="62" s="1"/>
  <c r="G173" i="62" s="1"/>
  <c r="C173" i="63" s="1"/>
  <c r="E173" i="63" s="1"/>
  <c r="G173" i="63" s="1"/>
  <c r="C173" i="64" s="1"/>
  <c r="E173" i="64" s="1"/>
  <c r="G173" i="64" s="1"/>
  <c r="E173" i="15"/>
  <c r="E62" i="15"/>
  <c r="E97" i="34"/>
  <c r="G97" i="34" s="1"/>
  <c r="C97" i="35" s="1"/>
  <c r="E97" i="35" s="1"/>
  <c r="G97" i="35" s="1"/>
  <c r="C97" i="36" s="1"/>
  <c r="E97" i="36" s="1"/>
  <c r="G97" i="36" s="1"/>
  <c r="C97" i="37" s="1"/>
  <c r="E97" i="37" s="1"/>
  <c r="G97" i="37" s="1"/>
  <c r="C97" i="38" s="1"/>
  <c r="E97" i="38" s="1"/>
  <c r="G97" i="38" s="1"/>
  <c r="C97" i="39" s="1"/>
  <c r="E97" i="39" s="1"/>
  <c r="G97" i="39" s="1"/>
  <c r="C97" i="40" s="1"/>
  <c r="E97" i="40" s="1"/>
  <c r="G97" i="40" s="1"/>
  <c r="C97" i="41" s="1"/>
  <c r="E97" i="41" s="1"/>
  <c r="G97" i="41" s="1"/>
  <c r="C97" i="42" s="1"/>
  <c r="E97" i="42" s="1"/>
  <c r="G97" i="42" s="1"/>
  <c r="C97" i="43" s="1"/>
  <c r="E97" i="43" s="1"/>
  <c r="G97" i="43" s="1"/>
  <c r="C97" i="44" s="1"/>
  <c r="E97" i="44" s="1"/>
  <c r="G97" i="44" s="1"/>
  <c r="C97" i="45" s="1"/>
  <c r="E97" i="45" s="1"/>
  <c r="G97" i="45" s="1"/>
  <c r="C97" i="46" s="1"/>
  <c r="E97" i="46" s="1"/>
  <c r="G97" i="46" s="1"/>
  <c r="C97" i="47" s="1"/>
  <c r="E97" i="47" s="1"/>
  <c r="G97" i="47" s="1"/>
  <c r="C97" i="48" s="1"/>
  <c r="E97" i="48" s="1"/>
  <c r="G97" i="48" s="1"/>
  <c r="C97" i="49" s="1"/>
  <c r="E97" i="49" s="1"/>
  <c r="G97" i="49" s="1"/>
  <c r="C97" i="50" s="1"/>
  <c r="E97" i="50" s="1"/>
  <c r="G97" i="50" s="1"/>
  <c r="C97" i="51" s="1"/>
  <c r="E97" i="51" s="1"/>
  <c r="G97" i="51" s="1"/>
  <c r="C97" i="52" s="1"/>
  <c r="E97" i="52" s="1"/>
  <c r="G97" i="52" s="1"/>
  <c r="C97" i="53" s="1"/>
  <c r="E97" i="53" s="1"/>
  <c r="G97" i="53" s="1"/>
  <c r="C97" i="54" s="1"/>
  <c r="E97" i="54" s="1"/>
  <c r="G97" i="54" s="1"/>
  <c r="C97" i="55" s="1"/>
  <c r="E97" i="55" s="1"/>
  <c r="G97" i="55" s="1"/>
  <c r="C97" i="56" s="1"/>
  <c r="E97" i="56" s="1"/>
  <c r="G97" i="56" s="1"/>
  <c r="C97" i="57" s="1"/>
  <c r="E97" i="57" s="1"/>
  <c r="G97" i="57" s="1"/>
  <c r="C97" i="58" s="1"/>
  <c r="E97" i="58" s="1"/>
  <c r="G97" i="58" s="1"/>
  <c r="C97" i="59" s="1"/>
  <c r="E97" i="59" s="1"/>
  <c r="G97" i="59" s="1"/>
  <c r="C97" i="60" s="1"/>
  <c r="E97" i="60" s="1"/>
  <c r="G97" i="60" s="1"/>
  <c r="C97" i="61" s="1"/>
  <c r="E97" i="61" s="1"/>
  <c r="G97" i="61" s="1"/>
  <c r="C97" i="62" s="1"/>
  <c r="E97" i="62" s="1"/>
  <c r="G97" i="62" s="1"/>
  <c r="C97" i="63" s="1"/>
  <c r="E97" i="63" s="1"/>
  <c r="G97" i="63" s="1"/>
  <c r="C97" i="64" s="1"/>
  <c r="E97" i="64" s="1"/>
  <c r="G97" i="64" s="1"/>
  <c r="E97" i="15"/>
  <c r="E120" i="34"/>
  <c r="G120" i="34" s="1"/>
  <c r="C120" i="35" s="1"/>
  <c r="E120" i="35" s="1"/>
  <c r="G120" i="35" s="1"/>
  <c r="C120" i="36" s="1"/>
  <c r="E120" i="36" s="1"/>
  <c r="G120" i="36" s="1"/>
  <c r="C120" i="37" s="1"/>
  <c r="E120" i="37" s="1"/>
  <c r="G120" i="37" s="1"/>
  <c r="C120" i="38" s="1"/>
  <c r="E120" i="38" s="1"/>
  <c r="G120" i="38" s="1"/>
  <c r="C120" i="39" s="1"/>
  <c r="E120" i="39" s="1"/>
  <c r="G120" i="39" s="1"/>
  <c r="C120" i="40" s="1"/>
  <c r="E120" i="40" s="1"/>
  <c r="G120" i="40" s="1"/>
  <c r="C120" i="41" s="1"/>
  <c r="E120" i="41" s="1"/>
  <c r="G120" i="41" s="1"/>
  <c r="C120" i="42" s="1"/>
  <c r="E120" i="42" s="1"/>
  <c r="G120" i="42" s="1"/>
  <c r="C120" i="43" s="1"/>
  <c r="E120" i="43" s="1"/>
  <c r="G120" i="43" s="1"/>
  <c r="C120" i="44" s="1"/>
  <c r="E120" i="44" s="1"/>
  <c r="G120" i="44" s="1"/>
  <c r="C120" i="45" s="1"/>
  <c r="E120" i="45" s="1"/>
  <c r="G120" i="45" s="1"/>
  <c r="C120" i="46" s="1"/>
  <c r="E120" i="46" s="1"/>
  <c r="G120" i="46" s="1"/>
  <c r="C120" i="47" s="1"/>
  <c r="E120" i="47" s="1"/>
  <c r="G120" i="47" s="1"/>
  <c r="C120" i="48" s="1"/>
  <c r="E120" i="48" s="1"/>
  <c r="G120" i="48" s="1"/>
  <c r="C120" i="49" s="1"/>
  <c r="E120" i="49" s="1"/>
  <c r="G120" i="49" s="1"/>
  <c r="C120" i="50" s="1"/>
  <c r="E120" i="50" s="1"/>
  <c r="G120" i="50" s="1"/>
  <c r="C120" i="51" s="1"/>
  <c r="E120" i="51" s="1"/>
  <c r="G120" i="51" s="1"/>
  <c r="C120" i="52" s="1"/>
  <c r="E120" i="52" s="1"/>
  <c r="G120" i="52" s="1"/>
  <c r="C120" i="53" s="1"/>
  <c r="E120" i="53" s="1"/>
  <c r="G120" i="53" s="1"/>
  <c r="C120" i="54" s="1"/>
  <c r="E120" i="54" s="1"/>
  <c r="G120" i="54" s="1"/>
  <c r="C120" i="55" s="1"/>
  <c r="E120" i="55" s="1"/>
  <c r="G120" i="55" s="1"/>
  <c r="C120" i="56" s="1"/>
  <c r="E120" i="56" s="1"/>
  <c r="G120" i="56" s="1"/>
  <c r="C120" i="57" s="1"/>
  <c r="E120" i="57" s="1"/>
  <c r="G120" i="57" s="1"/>
  <c r="C120" i="58" s="1"/>
  <c r="E120" i="58" s="1"/>
  <c r="G120" i="58" s="1"/>
  <c r="C120" i="59" s="1"/>
  <c r="E120" i="59" s="1"/>
  <c r="G120" i="59" s="1"/>
  <c r="C120" i="60" s="1"/>
  <c r="E120" i="60" s="1"/>
  <c r="G120" i="60" s="1"/>
  <c r="C120" i="61" s="1"/>
  <c r="E120" i="61" s="1"/>
  <c r="G120" i="61" s="1"/>
  <c r="C120" i="62" s="1"/>
  <c r="E120" i="62" s="1"/>
  <c r="G120" i="62" s="1"/>
  <c r="C120" i="63" s="1"/>
  <c r="E120" i="63" s="1"/>
  <c r="G120" i="63" s="1"/>
  <c r="C120" i="64" s="1"/>
  <c r="E120" i="64" s="1"/>
  <c r="G120" i="64" s="1"/>
  <c r="E120" i="15"/>
  <c r="E11" i="34"/>
  <c r="G11" i="34" s="1"/>
  <c r="C11" i="35" s="1"/>
  <c r="E11" i="35" s="1"/>
  <c r="G11" i="35" s="1"/>
  <c r="C11" i="36" s="1"/>
  <c r="E11" i="36" s="1"/>
  <c r="G11" i="36" s="1"/>
  <c r="C11" i="37" s="1"/>
  <c r="E11" i="37" s="1"/>
  <c r="G11" i="37" s="1"/>
  <c r="C11" i="38" s="1"/>
  <c r="E11" i="38" s="1"/>
  <c r="G11" i="38" s="1"/>
  <c r="C11" i="39" s="1"/>
  <c r="E11" i="39" s="1"/>
  <c r="G11" i="39" s="1"/>
  <c r="C11" i="40" s="1"/>
  <c r="E11" i="40" s="1"/>
  <c r="G11" i="40" s="1"/>
  <c r="C11" i="41" s="1"/>
  <c r="E11" i="41" s="1"/>
  <c r="G11" i="41" s="1"/>
  <c r="C11" i="42" s="1"/>
  <c r="E11" i="42" s="1"/>
  <c r="G11" i="42" s="1"/>
  <c r="C11" i="43" s="1"/>
  <c r="E11" i="43" s="1"/>
  <c r="G11" i="43" s="1"/>
  <c r="C11" i="44" s="1"/>
  <c r="E11" i="44" s="1"/>
  <c r="G11" i="44" s="1"/>
  <c r="C11" i="45" s="1"/>
  <c r="E11" i="45" s="1"/>
  <c r="G11" i="45" s="1"/>
  <c r="C11" i="46" s="1"/>
  <c r="E11" i="46" s="1"/>
  <c r="G11" i="46" s="1"/>
  <c r="C11" i="47" s="1"/>
  <c r="E11" i="47" s="1"/>
  <c r="G11" i="47" s="1"/>
  <c r="C11" i="48" s="1"/>
  <c r="E11" i="48" s="1"/>
  <c r="G11" i="48" s="1"/>
  <c r="C11" i="49" s="1"/>
  <c r="E11" i="49" s="1"/>
  <c r="G11" i="49" s="1"/>
  <c r="C11" i="50" s="1"/>
  <c r="E11" i="50" s="1"/>
  <c r="G11" i="50" s="1"/>
  <c r="C11" i="51" s="1"/>
  <c r="E11" i="51" s="1"/>
  <c r="G11" i="51" s="1"/>
  <c r="C11" i="52" s="1"/>
  <c r="E11" i="52" s="1"/>
  <c r="G11" i="52" s="1"/>
  <c r="C11" i="53" s="1"/>
  <c r="E11" i="53" s="1"/>
  <c r="G11" i="53" s="1"/>
  <c r="C11" i="54" s="1"/>
  <c r="E11" i="54" s="1"/>
  <c r="G11" i="54" s="1"/>
  <c r="C11" i="55" s="1"/>
  <c r="E11" i="55" s="1"/>
  <c r="G11" i="55" s="1"/>
  <c r="C11" i="56" s="1"/>
  <c r="E11" i="56" s="1"/>
  <c r="G11" i="56" s="1"/>
  <c r="C11" i="57" s="1"/>
  <c r="E11" i="57" s="1"/>
  <c r="G11" i="57" s="1"/>
  <c r="C11" i="58" s="1"/>
  <c r="E11" i="58" s="1"/>
  <c r="G11" i="58" s="1"/>
  <c r="C11" i="59" s="1"/>
  <c r="E11" i="59" s="1"/>
  <c r="G11" i="59" s="1"/>
  <c r="C11" i="60" s="1"/>
  <c r="E11" i="60" s="1"/>
  <c r="G11" i="60" s="1"/>
  <c r="C11" i="61" s="1"/>
  <c r="E11" i="61" s="1"/>
  <c r="G11" i="61" s="1"/>
  <c r="C11" i="62" s="1"/>
  <c r="E11" i="62" s="1"/>
  <c r="G11" i="62" s="1"/>
  <c r="C11" i="63" s="1"/>
  <c r="E11" i="63" s="1"/>
  <c r="G11" i="63" s="1"/>
  <c r="C11" i="64" s="1"/>
  <c r="E11" i="64" s="1"/>
  <c r="G11" i="64" s="1"/>
  <c r="E11" i="15"/>
  <c r="E28" i="34"/>
  <c r="G28" i="34" s="1"/>
  <c r="C28" i="35" s="1"/>
  <c r="E28" i="35" s="1"/>
  <c r="G28" i="35" s="1"/>
  <c r="C28" i="36" s="1"/>
  <c r="E28" i="36" s="1"/>
  <c r="G28" i="36" s="1"/>
  <c r="C28" i="37" s="1"/>
  <c r="E28" i="37" s="1"/>
  <c r="G28" i="37" s="1"/>
  <c r="C28" i="38" s="1"/>
  <c r="E28" i="38" s="1"/>
  <c r="G28" i="38" s="1"/>
  <c r="C28" i="39" s="1"/>
  <c r="E28" i="39" s="1"/>
  <c r="G28" i="39" s="1"/>
  <c r="C28" i="40" s="1"/>
  <c r="E28" i="40" s="1"/>
  <c r="G28" i="40" s="1"/>
  <c r="C28" i="41" s="1"/>
  <c r="E28" i="41" s="1"/>
  <c r="G28" i="41" s="1"/>
  <c r="C28" i="42" s="1"/>
  <c r="E28" i="42" s="1"/>
  <c r="G28" i="42" s="1"/>
  <c r="C28" i="43" s="1"/>
  <c r="E28" i="43" s="1"/>
  <c r="G28" i="43" s="1"/>
  <c r="C28" i="44" s="1"/>
  <c r="E28" i="44" s="1"/>
  <c r="G28" i="44" s="1"/>
  <c r="C28" i="45" s="1"/>
  <c r="E28" i="45" s="1"/>
  <c r="G28" i="45" s="1"/>
  <c r="C28" i="46" s="1"/>
  <c r="E28" i="46" s="1"/>
  <c r="G28" i="46" s="1"/>
  <c r="C28" i="47" s="1"/>
  <c r="E28" i="47" s="1"/>
  <c r="G28" i="47" s="1"/>
  <c r="C28" i="48" s="1"/>
  <c r="E28" i="48" s="1"/>
  <c r="G28" i="48" s="1"/>
  <c r="C28" i="49" s="1"/>
  <c r="E28" i="49" s="1"/>
  <c r="G28" i="49" s="1"/>
  <c r="C28" i="50" s="1"/>
  <c r="E28" i="50" s="1"/>
  <c r="G28" i="50" s="1"/>
  <c r="C28" i="51" s="1"/>
  <c r="E28" i="51" s="1"/>
  <c r="G28" i="51" s="1"/>
  <c r="C28" i="52" s="1"/>
  <c r="E28" i="52" s="1"/>
  <c r="G28" i="52" s="1"/>
  <c r="C28" i="53" s="1"/>
  <c r="E28" i="53" s="1"/>
  <c r="G28" i="53" s="1"/>
  <c r="C28" i="54" s="1"/>
  <c r="E28" i="54" s="1"/>
  <c r="G28" i="54" s="1"/>
  <c r="C28" i="55" s="1"/>
  <c r="E28" i="55" s="1"/>
  <c r="G28" i="55" s="1"/>
  <c r="C28" i="56" s="1"/>
  <c r="E28" i="56" s="1"/>
  <c r="G28" i="56" s="1"/>
  <c r="C28" i="57" s="1"/>
  <c r="E28" i="57" s="1"/>
  <c r="G28" i="57" s="1"/>
  <c r="C28" i="58" s="1"/>
  <c r="E28" i="58" s="1"/>
  <c r="G28" i="58" s="1"/>
  <c r="C28" i="59" s="1"/>
  <c r="E28" i="59" s="1"/>
  <c r="G28" i="59" s="1"/>
  <c r="C28" i="60" s="1"/>
  <c r="E28" i="60" s="1"/>
  <c r="G28" i="60" s="1"/>
  <c r="C28" i="61" s="1"/>
  <c r="E28" i="61" s="1"/>
  <c r="G28" i="61" s="1"/>
  <c r="C28" i="62" s="1"/>
  <c r="E28" i="62" s="1"/>
  <c r="G28" i="62" s="1"/>
  <c r="C28" i="63" s="1"/>
  <c r="E28" i="63" s="1"/>
  <c r="G28" i="63" s="1"/>
  <c r="C28" i="64" s="1"/>
  <c r="E28" i="64" s="1"/>
  <c r="G28" i="64" s="1"/>
  <c r="E28" i="15"/>
  <c r="E81" i="15"/>
  <c r="E159" i="15"/>
  <c r="E12" i="34"/>
  <c r="G12" i="34" s="1"/>
  <c r="C12" i="35" s="1"/>
  <c r="E12" i="35" s="1"/>
  <c r="G12" i="35" s="1"/>
  <c r="C12" i="36" s="1"/>
  <c r="E12" i="36" s="1"/>
  <c r="G12" i="36" s="1"/>
  <c r="C12" i="37" s="1"/>
  <c r="E12" i="37" s="1"/>
  <c r="G12" i="37" s="1"/>
  <c r="C12" i="38" s="1"/>
  <c r="E12" i="38" s="1"/>
  <c r="G12" i="38" s="1"/>
  <c r="C12" i="39" s="1"/>
  <c r="E12" i="39" s="1"/>
  <c r="G12" i="39" s="1"/>
  <c r="C12" i="40" s="1"/>
  <c r="E12" i="40" s="1"/>
  <c r="G12" i="40" s="1"/>
  <c r="C12" i="41" s="1"/>
  <c r="E12" i="41" s="1"/>
  <c r="G12" i="41" s="1"/>
  <c r="C12" i="42" s="1"/>
  <c r="E12" i="42" s="1"/>
  <c r="G12" i="42" s="1"/>
  <c r="C12" i="43" s="1"/>
  <c r="E12" i="43" s="1"/>
  <c r="G12" i="43" s="1"/>
  <c r="C12" i="44" s="1"/>
  <c r="E12" i="44" s="1"/>
  <c r="G12" i="44" s="1"/>
  <c r="C12" i="45" s="1"/>
  <c r="E12" i="45" s="1"/>
  <c r="G12" i="45" s="1"/>
  <c r="C12" i="46" s="1"/>
  <c r="E12" i="46" s="1"/>
  <c r="G12" i="46" s="1"/>
  <c r="C12" i="47" s="1"/>
  <c r="E12" i="47" s="1"/>
  <c r="G12" i="47" s="1"/>
  <c r="C12" i="48" s="1"/>
  <c r="E12" i="48" s="1"/>
  <c r="G12" i="48" s="1"/>
  <c r="C12" i="49" s="1"/>
  <c r="E12" i="49" s="1"/>
  <c r="G12" i="49" s="1"/>
  <c r="C12" i="50" s="1"/>
  <c r="E12" i="50" s="1"/>
  <c r="G12" i="50" s="1"/>
  <c r="C12" i="51" s="1"/>
  <c r="E12" i="51" s="1"/>
  <c r="G12" i="51" s="1"/>
  <c r="C12" i="52" s="1"/>
  <c r="E12" i="52" s="1"/>
  <c r="G12" i="52" s="1"/>
  <c r="C12" i="53" s="1"/>
  <c r="E12" i="53" s="1"/>
  <c r="G12" i="53" s="1"/>
  <c r="C12" i="54" s="1"/>
  <c r="E12" i="54" s="1"/>
  <c r="G12" i="54" s="1"/>
  <c r="C12" i="55" s="1"/>
  <c r="E12" i="55" s="1"/>
  <c r="G12" i="55" s="1"/>
  <c r="C12" i="56" s="1"/>
  <c r="E12" i="56" s="1"/>
  <c r="G12" i="56" s="1"/>
  <c r="C12" i="57" s="1"/>
  <c r="E12" i="57" s="1"/>
  <c r="G12" i="57" s="1"/>
  <c r="C12" i="58" s="1"/>
  <c r="E12" i="58" s="1"/>
  <c r="G12" i="58" s="1"/>
  <c r="C12" i="59" s="1"/>
  <c r="E12" i="59" s="1"/>
  <c r="G12" i="59" s="1"/>
  <c r="C12" i="60" s="1"/>
  <c r="E12" i="60" s="1"/>
  <c r="G12" i="60" s="1"/>
  <c r="C12" i="61" s="1"/>
  <c r="E12" i="61" s="1"/>
  <c r="G12" i="61" s="1"/>
  <c r="C12" i="62" s="1"/>
  <c r="E12" i="62" s="1"/>
  <c r="G12" i="62" s="1"/>
  <c r="C12" i="63" s="1"/>
  <c r="E12" i="63" s="1"/>
  <c r="G12" i="63" s="1"/>
  <c r="C12" i="64" s="1"/>
  <c r="E12" i="64" s="1"/>
  <c r="G12" i="64" s="1"/>
  <c r="E12" i="15"/>
  <c r="E20" i="34"/>
  <c r="G20" i="34" s="1"/>
  <c r="C20" i="35" s="1"/>
  <c r="E20" i="35" s="1"/>
  <c r="G20" i="35" s="1"/>
  <c r="C20" i="36" s="1"/>
  <c r="E20" i="36" s="1"/>
  <c r="G20" i="36" s="1"/>
  <c r="C20" i="37" s="1"/>
  <c r="E20" i="37" s="1"/>
  <c r="G20" i="37" s="1"/>
  <c r="C20" i="38" s="1"/>
  <c r="E20" i="38" s="1"/>
  <c r="G20" i="38" s="1"/>
  <c r="C20" i="39" s="1"/>
  <c r="E20" i="39" s="1"/>
  <c r="G20" i="39" s="1"/>
  <c r="C20" i="40" s="1"/>
  <c r="E20" i="40" s="1"/>
  <c r="G20" i="40" s="1"/>
  <c r="C20" i="41" s="1"/>
  <c r="E20" i="41" s="1"/>
  <c r="G20" i="41" s="1"/>
  <c r="C20" i="42" s="1"/>
  <c r="E20" i="42" s="1"/>
  <c r="G20" i="42" s="1"/>
  <c r="C20" i="43" s="1"/>
  <c r="E20" i="43" s="1"/>
  <c r="G20" i="43" s="1"/>
  <c r="C20" i="44" s="1"/>
  <c r="E20" i="44" s="1"/>
  <c r="G20" i="44" s="1"/>
  <c r="C20" i="45" s="1"/>
  <c r="E20" i="45" s="1"/>
  <c r="G20" i="45" s="1"/>
  <c r="C20" i="46" s="1"/>
  <c r="E20" i="46" s="1"/>
  <c r="G20" i="46" s="1"/>
  <c r="C20" i="47" s="1"/>
  <c r="E20" i="47" s="1"/>
  <c r="G20" i="47" s="1"/>
  <c r="C20" i="48" s="1"/>
  <c r="E20" i="48" s="1"/>
  <c r="G20" i="48" s="1"/>
  <c r="C20" i="49" s="1"/>
  <c r="E20" i="49" s="1"/>
  <c r="G20" i="49" s="1"/>
  <c r="C20" i="50" s="1"/>
  <c r="E20" i="50" s="1"/>
  <c r="G20" i="50" s="1"/>
  <c r="C20" i="51" s="1"/>
  <c r="E20" i="51" s="1"/>
  <c r="G20" i="51" s="1"/>
  <c r="C20" i="52" s="1"/>
  <c r="E20" i="52" s="1"/>
  <c r="G20" i="52" s="1"/>
  <c r="C20" i="53" s="1"/>
  <c r="E20" i="53" s="1"/>
  <c r="G20" i="53" s="1"/>
  <c r="C20" i="54" s="1"/>
  <c r="E20" i="54" s="1"/>
  <c r="G20" i="54" s="1"/>
  <c r="C20" i="55" s="1"/>
  <c r="E20" i="55" s="1"/>
  <c r="G20" i="55" s="1"/>
  <c r="C20" i="56" s="1"/>
  <c r="E20" i="56" s="1"/>
  <c r="G20" i="56" s="1"/>
  <c r="C20" i="57" s="1"/>
  <c r="E20" i="57" s="1"/>
  <c r="G20" i="57" s="1"/>
  <c r="C20" i="58" s="1"/>
  <c r="E20" i="58" s="1"/>
  <c r="G20" i="58" s="1"/>
  <c r="C20" i="59" s="1"/>
  <c r="E20" i="59" s="1"/>
  <c r="G20" i="59" s="1"/>
  <c r="C20" i="60" s="1"/>
  <c r="E20" i="60" s="1"/>
  <c r="G20" i="60" s="1"/>
  <c r="C20" i="61" s="1"/>
  <c r="E20" i="61" s="1"/>
  <c r="G20" i="61" s="1"/>
  <c r="C20" i="62" s="1"/>
  <c r="E20" i="62" s="1"/>
  <c r="G20" i="62" s="1"/>
  <c r="C20" i="63" s="1"/>
  <c r="E20" i="63" s="1"/>
  <c r="G20" i="63" s="1"/>
  <c r="C20" i="64" s="1"/>
  <c r="E20" i="64" s="1"/>
  <c r="G20" i="64" s="1"/>
  <c r="E20" i="15"/>
  <c r="E32" i="15"/>
  <c r="E39" i="34"/>
  <c r="G39" i="34" s="1"/>
  <c r="C39" i="35" s="1"/>
  <c r="E39" i="35" s="1"/>
  <c r="G39" i="35" s="1"/>
  <c r="C39" i="36" s="1"/>
  <c r="E39" i="36" s="1"/>
  <c r="G39" i="36" s="1"/>
  <c r="C39" i="37" s="1"/>
  <c r="E39" i="37" s="1"/>
  <c r="G39" i="37" s="1"/>
  <c r="C39" i="38" s="1"/>
  <c r="E39" i="38" s="1"/>
  <c r="G39" i="38" s="1"/>
  <c r="C39" i="39" s="1"/>
  <c r="E39" i="39" s="1"/>
  <c r="G39" i="39" s="1"/>
  <c r="C39" i="40" s="1"/>
  <c r="E39" i="40" s="1"/>
  <c r="G39" i="40" s="1"/>
  <c r="C39" i="41" s="1"/>
  <c r="E39" i="41" s="1"/>
  <c r="G39" i="41" s="1"/>
  <c r="C39" i="42" s="1"/>
  <c r="E39" i="42" s="1"/>
  <c r="G39" i="42" s="1"/>
  <c r="C39" i="43" s="1"/>
  <c r="E39" i="43" s="1"/>
  <c r="G39" i="43" s="1"/>
  <c r="C39" i="44" s="1"/>
  <c r="E39" i="44" s="1"/>
  <c r="G39" i="44" s="1"/>
  <c r="C39" i="45" s="1"/>
  <c r="E39" i="45" s="1"/>
  <c r="G39" i="45" s="1"/>
  <c r="C39" i="46" s="1"/>
  <c r="E39" i="46" s="1"/>
  <c r="G39" i="46" s="1"/>
  <c r="C39" i="47" s="1"/>
  <c r="E39" i="47" s="1"/>
  <c r="G39" i="47" s="1"/>
  <c r="C39" i="48" s="1"/>
  <c r="E39" i="48" s="1"/>
  <c r="G39" i="48" s="1"/>
  <c r="C39" i="49" s="1"/>
  <c r="E39" i="49" s="1"/>
  <c r="G39" i="49" s="1"/>
  <c r="C39" i="50" s="1"/>
  <c r="E39" i="50" s="1"/>
  <c r="G39" i="50" s="1"/>
  <c r="C39" i="51" s="1"/>
  <c r="E39" i="51" s="1"/>
  <c r="G39" i="51" s="1"/>
  <c r="C39" i="52" s="1"/>
  <c r="E39" i="52" s="1"/>
  <c r="G39" i="52" s="1"/>
  <c r="C39" i="53" s="1"/>
  <c r="E39" i="53" s="1"/>
  <c r="G39" i="53" s="1"/>
  <c r="C39" i="54" s="1"/>
  <c r="E39" i="54" s="1"/>
  <c r="G39" i="54" s="1"/>
  <c r="C39" i="55" s="1"/>
  <c r="E39" i="55" s="1"/>
  <c r="G39" i="55" s="1"/>
  <c r="C39" i="56" s="1"/>
  <c r="E39" i="56" s="1"/>
  <c r="G39" i="56" s="1"/>
  <c r="C39" i="57" s="1"/>
  <c r="E39" i="57" s="1"/>
  <c r="G39" i="57" s="1"/>
  <c r="C39" i="58" s="1"/>
  <c r="E39" i="58" s="1"/>
  <c r="G39" i="58" s="1"/>
  <c r="C39" i="59" s="1"/>
  <c r="E39" i="59" s="1"/>
  <c r="G39" i="59" s="1"/>
  <c r="C39" i="60" s="1"/>
  <c r="E39" i="60" s="1"/>
  <c r="G39" i="60" s="1"/>
  <c r="C39" i="61" s="1"/>
  <c r="E39" i="61" s="1"/>
  <c r="G39" i="61" s="1"/>
  <c r="C39" i="62" s="1"/>
  <c r="E39" i="62" s="1"/>
  <c r="G39" i="62" s="1"/>
  <c r="C39" i="63" s="1"/>
  <c r="E39" i="63" s="1"/>
  <c r="G39" i="63" s="1"/>
  <c r="C39" i="64" s="1"/>
  <c r="E39" i="64" s="1"/>
  <c r="G39" i="64" s="1"/>
  <c r="E39" i="15"/>
  <c r="E46" i="15"/>
  <c r="E53" i="34"/>
  <c r="G53" i="34" s="1"/>
  <c r="C53" i="35" s="1"/>
  <c r="E53" i="35" s="1"/>
  <c r="G53" i="35" s="1"/>
  <c r="C53" i="36" s="1"/>
  <c r="E53" i="36" s="1"/>
  <c r="G53" i="36" s="1"/>
  <c r="C53" i="37" s="1"/>
  <c r="E53" i="37" s="1"/>
  <c r="G53" i="37" s="1"/>
  <c r="C53" i="38" s="1"/>
  <c r="E53" i="38" s="1"/>
  <c r="G53" i="38" s="1"/>
  <c r="C53" i="39" s="1"/>
  <c r="E53" i="39" s="1"/>
  <c r="G53" i="39" s="1"/>
  <c r="C53" i="40" s="1"/>
  <c r="E53" i="40" s="1"/>
  <c r="G53" i="40" s="1"/>
  <c r="C53" i="41" s="1"/>
  <c r="E53" i="41" s="1"/>
  <c r="G53" i="41" s="1"/>
  <c r="C53" i="42" s="1"/>
  <c r="E53" i="42" s="1"/>
  <c r="G53" i="42" s="1"/>
  <c r="C53" i="43" s="1"/>
  <c r="E53" i="43" s="1"/>
  <c r="G53" i="43" s="1"/>
  <c r="C53" i="44" s="1"/>
  <c r="E53" i="44" s="1"/>
  <c r="G53" i="44" s="1"/>
  <c r="C53" i="45" s="1"/>
  <c r="E53" i="45" s="1"/>
  <c r="G53" i="45" s="1"/>
  <c r="C53" i="46" s="1"/>
  <c r="E53" i="46" s="1"/>
  <c r="G53" i="46" s="1"/>
  <c r="C53" i="47" s="1"/>
  <c r="E53" i="47" s="1"/>
  <c r="G53" i="47" s="1"/>
  <c r="C53" i="48" s="1"/>
  <c r="E53" i="48" s="1"/>
  <c r="G53" i="48" s="1"/>
  <c r="C53" i="49" s="1"/>
  <c r="E53" i="49" s="1"/>
  <c r="G53" i="49" s="1"/>
  <c r="C53" i="50" s="1"/>
  <c r="E53" i="50" s="1"/>
  <c r="G53" i="50" s="1"/>
  <c r="C53" i="51" s="1"/>
  <c r="E53" i="51" s="1"/>
  <c r="G53" i="51" s="1"/>
  <c r="C53" i="52" s="1"/>
  <c r="E53" i="52" s="1"/>
  <c r="G53" i="52" s="1"/>
  <c r="C53" i="53" s="1"/>
  <c r="E53" i="53" s="1"/>
  <c r="G53" i="53" s="1"/>
  <c r="C53" i="54" s="1"/>
  <c r="E53" i="54" s="1"/>
  <c r="G53" i="54" s="1"/>
  <c r="C53" i="55" s="1"/>
  <c r="E53" i="55" s="1"/>
  <c r="G53" i="55" s="1"/>
  <c r="C53" i="56" s="1"/>
  <c r="E53" i="56" s="1"/>
  <c r="G53" i="56" s="1"/>
  <c r="C53" i="57" s="1"/>
  <c r="E53" i="57" s="1"/>
  <c r="G53" i="57" s="1"/>
  <c r="C53" i="58" s="1"/>
  <c r="E53" i="58" s="1"/>
  <c r="G53" i="58" s="1"/>
  <c r="C53" i="59" s="1"/>
  <c r="E53" i="59" s="1"/>
  <c r="G53" i="59" s="1"/>
  <c r="C53" i="60" s="1"/>
  <c r="E53" i="60" s="1"/>
  <c r="G53" i="60" s="1"/>
  <c r="C53" i="61" s="1"/>
  <c r="E53" i="61" s="1"/>
  <c r="G53" i="61" s="1"/>
  <c r="C53" i="62" s="1"/>
  <c r="E53" i="62" s="1"/>
  <c r="G53" i="62" s="1"/>
  <c r="C53" i="63" s="1"/>
  <c r="E53" i="63" s="1"/>
  <c r="G53" i="63" s="1"/>
  <c r="C53" i="64" s="1"/>
  <c r="E53" i="64" s="1"/>
  <c r="G53" i="64" s="1"/>
  <c r="E53" i="15"/>
  <c r="E73" i="15"/>
  <c r="E78" i="15"/>
  <c r="E88" i="15"/>
  <c r="E107" i="34"/>
  <c r="G107" i="34" s="1"/>
  <c r="C107" i="35" s="1"/>
  <c r="E107" i="35" s="1"/>
  <c r="G107" i="35" s="1"/>
  <c r="C107" i="36" s="1"/>
  <c r="E107" i="36" s="1"/>
  <c r="G107" i="36" s="1"/>
  <c r="C107" i="37" s="1"/>
  <c r="E107" i="37" s="1"/>
  <c r="G107" i="37" s="1"/>
  <c r="C107" i="38" s="1"/>
  <c r="E107" i="38" s="1"/>
  <c r="G107" i="38" s="1"/>
  <c r="C107" i="39" s="1"/>
  <c r="E107" i="39" s="1"/>
  <c r="G107" i="39" s="1"/>
  <c r="C107" i="40" s="1"/>
  <c r="E107" i="40" s="1"/>
  <c r="G107" i="40" s="1"/>
  <c r="C107" i="41" s="1"/>
  <c r="E107" i="41" s="1"/>
  <c r="G107" i="41" s="1"/>
  <c r="C107" i="42" s="1"/>
  <c r="E107" i="42" s="1"/>
  <c r="G107" i="42" s="1"/>
  <c r="C107" i="43" s="1"/>
  <c r="E107" i="43" s="1"/>
  <c r="G107" i="43" s="1"/>
  <c r="C107" i="44" s="1"/>
  <c r="E107" i="44" s="1"/>
  <c r="G107" i="44" s="1"/>
  <c r="C107" i="45" s="1"/>
  <c r="E107" i="45" s="1"/>
  <c r="G107" i="45" s="1"/>
  <c r="C107" i="46" s="1"/>
  <c r="E107" i="46" s="1"/>
  <c r="G107" i="46" s="1"/>
  <c r="C107" i="47" s="1"/>
  <c r="E107" i="47" s="1"/>
  <c r="G107" i="47" s="1"/>
  <c r="C107" i="48" s="1"/>
  <c r="E107" i="48" s="1"/>
  <c r="G107" i="48" s="1"/>
  <c r="C107" i="49" s="1"/>
  <c r="E107" i="49" s="1"/>
  <c r="G107" i="49" s="1"/>
  <c r="C107" i="50" s="1"/>
  <c r="E107" i="50" s="1"/>
  <c r="G107" i="50" s="1"/>
  <c r="C107" i="51" s="1"/>
  <c r="E107" i="51" s="1"/>
  <c r="G107" i="51" s="1"/>
  <c r="C107" i="52" s="1"/>
  <c r="E107" i="52" s="1"/>
  <c r="G107" i="52" s="1"/>
  <c r="C107" i="53" s="1"/>
  <c r="E107" i="53" s="1"/>
  <c r="G107" i="53" s="1"/>
  <c r="C107" i="54" s="1"/>
  <c r="E107" i="54" s="1"/>
  <c r="G107" i="54" s="1"/>
  <c r="C107" i="55" s="1"/>
  <c r="E107" i="55" s="1"/>
  <c r="G107" i="55" s="1"/>
  <c r="C107" i="56" s="1"/>
  <c r="E107" i="56" s="1"/>
  <c r="G107" i="56" s="1"/>
  <c r="C107" i="57" s="1"/>
  <c r="E107" i="57" s="1"/>
  <c r="G107" i="57" s="1"/>
  <c r="C107" i="58" s="1"/>
  <c r="E107" i="58" s="1"/>
  <c r="G107" i="58" s="1"/>
  <c r="C107" i="59" s="1"/>
  <c r="E107" i="59" s="1"/>
  <c r="G107" i="59" s="1"/>
  <c r="C107" i="60" s="1"/>
  <c r="E107" i="60" s="1"/>
  <c r="G107" i="60" s="1"/>
  <c r="C107" i="61" s="1"/>
  <c r="E107" i="61" s="1"/>
  <c r="G107" i="61" s="1"/>
  <c r="C107" i="62" s="1"/>
  <c r="E107" i="62" s="1"/>
  <c r="G107" i="62" s="1"/>
  <c r="C107" i="63" s="1"/>
  <c r="E107" i="63" s="1"/>
  <c r="G107" i="63" s="1"/>
  <c r="C107" i="64" s="1"/>
  <c r="E107" i="64" s="1"/>
  <c r="G107" i="64" s="1"/>
  <c r="E107" i="15"/>
  <c r="E114" i="15"/>
  <c r="E118" i="15"/>
  <c r="E122" i="15"/>
  <c r="E126" i="15"/>
  <c r="E130" i="15"/>
  <c r="E134" i="34"/>
  <c r="G134" i="34" s="1"/>
  <c r="C134" i="35" s="1"/>
  <c r="E134" i="35" s="1"/>
  <c r="G134" i="35" s="1"/>
  <c r="C134" i="36" s="1"/>
  <c r="E134" i="36" s="1"/>
  <c r="G134" i="36" s="1"/>
  <c r="C134" i="37" s="1"/>
  <c r="E134" i="37" s="1"/>
  <c r="G134" i="37" s="1"/>
  <c r="C134" i="38" s="1"/>
  <c r="E134" i="38" s="1"/>
  <c r="G134" i="38" s="1"/>
  <c r="C134" i="39" s="1"/>
  <c r="E134" i="39" s="1"/>
  <c r="G134" i="39" s="1"/>
  <c r="C134" i="40" s="1"/>
  <c r="E134" i="40" s="1"/>
  <c r="G134" i="40" s="1"/>
  <c r="C134" i="41" s="1"/>
  <c r="E134" i="41" s="1"/>
  <c r="G134" i="41" s="1"/>
  <c r="C134" i="42" s="1"/>
  <c r="E134" i="42" s="1"/>
  <c r="G134" i="42" s="1"/>
  <c r="C134" i="43" s="1"/>
  <c r="E134" i="43" s="1"/>
  <c r="G134" i="43" s="1"/>
  <c r="C134" i="44" s="1"/>
  <c r="E134" i="44" s="1"/>
  <c r="G134" i="44" s="1"/>
  <c r="C134" i="45" s="1"/>
  <c r="E134" i="45" s="1"/>
  <c r="G134" i="45" s="1"/>
  <c r="C134" i="46" s="1"/>
  <c r="E134" i="46" s="1"/>
  <c r="G134" i="46" s="1"/>
  <c r="C134" i="47" s="1"/>
  <c r="E134" i="47" s="1"/>
  <c r="G134" i="47" s="1"/>
  <c r="C134" i="48" s="1"/>
  <c r="E134" i="48" s="1"/>
  <c r="G134" i="48" s="1"/>
  <c r="C134" i="49" s="1"/>
  <c r="E134" i="49" s="1"/>
  <c r="G134" i="49" s="1"/>
  <c r="C134" i="50" s="1"/>
  <c r="E134" i="50" s="1"/>
  <c r="G134" i="50" s="1"/>
  <c r="C134" i="51" s="1"/>
  <c r="E134" i="51" s="1"/>
  <c r="G134" i="51" s="1"/>
  <c r="C134" i="52" s="1"/>
  <c r="E134" i="52" s="1"/>
  <c r="G134" i="52" s="1"/>
  <c r="C134" i="53" s="1"/>
  <c r="E134" i="53" s="1"/>
  <c r="G134" i="53" s="1"/>
  <c r="C134" i="54" s="1"/>
  <c r="E134" i="54" s="1"/>
  <c r="G134" i="54" s="1"/>
  <c r="C134" i="55" s="1"/>
  <c r="E134" i="55" s="1"/>
  <c r="G134" i="55" s="1"/>
  <c r="C134" i="56" s="1"/>
  <c r="E134" i="56" s="1"/>
  <c r="G134" i="56" s="1"/>
  <c r="C134" i="57" s="1"/>
  <c r="E134" i="57" s="1"/>
  <c r="G134" i="57" s="1"/>
  <c r="C134" i="58" s="1"/>
  <c r="E134" i="58" s="1"/>
  <c r="G134" i="58" s="1"/>
  <c r="C134" i="59" s="1"/>
  <c r="E134" i="59" s="1"/>
  <c r="G134" i="59" s="1"/>
  <c r="C134" i="60" s="1"/>
  <c r="E134" i="60" s="1"/>
  <c r="G134" i="60" s="1"/>
  <c r="C134" i="61" s="1"/>
  <c r="E134" i="61" s="1"/>
  <c r="G134" i="61" s="1"/>
  <c r="C134" i="62" s="1"/>
  <c r="E134" i="62" s="1"/>
  <c r="G134" i="62" s="1"/>
  <c r="C134" i="63" s="1"/>
  <c r="E134" i="63" s="1"/>
  <c r="G134" i="63" s="1"/>
  <c r="C134" i="64" s="1"/>
  <c r="E134" i="64" s="1"/>
  <c r="G134" i="64" s="1"/>
  <c r="E134" i="15"/>
  <c r="E138" i="34"/>
  <c r="G138" i="34" s="1"/>
  <c r="C138" i="35" s="1"/>
  <c r="E138" i="35" s="1"/>
  <c r="G138" i="35" s="1"/>
  <c r="C138" i="36" s="1"/>
  <c r="E138" i="36" s="1"/>
  <c r="G138" i="36" s="1"/>
  <c r="C138" i="37" s="1"/>
  <c r="E138" i="37" s="1"/>
  <c r="G138" i="37" s="1"/>
  <c r="C138" i="38" s="1"/>
  <c r="E138" i="38" s="1"/>
  <c r="G138" i="38" s="1"/>
  <c r="C138" i="39" s="1"/>
  <c r="E138" i="39" s="1"/>
  <c r="G138" i="39" s="1"/>
  <c r="C138" i="40" s="1"/>
  <c r="E138" i="40" s="1"/>
  <c r="G138" i="40" s="1"/>
  <c r="C138" i="41" s="1"/>
  <c r="E138" i="41" s="1"/>
  <c r="G138" i="41" s="1"/>
  <c r="C138" i="42" s="1"/>
  <c r="E138" i="42" s="1"/>
  <c r="G138" i="42" s="1"/>
  <c r="C138" i="43" s="1"/>
  <c r="E138" i="43" s="1"/>
  <c r="G138" i="43" s="1"/>
  <c r="C138" i="44" s="1"/>
  <c r="E138" i="44" s="1"/>
  <c r="G138" i="44" s="1"/>
  <c r="C138" i="45" s="1"/>
  <c r="E138" i="45" s="1"/>
  <c r="G138" i="45" s="1"/>
  <c r="C138" i="46" s="1"/>
  <c r="E138" i="46" s="1"/>
  <c r="G138" i="46" s="1"/>
  <c r="C138" i="47" s="1"/>
  <c r="E138" i="47" s="1"/>
  <c r="G138" i="47" s="1"/>
  <c r="C138" i="48" s="1"/>
  <c r="E138" i="48" s="1"/>
  <c r="G138" i="48" s="1"/>
  <c r="C138" i="49" s="1"/>
  <c r="E138" i="49" s="1"/>
  <c r="G138" i="49" s="1"/>
  <c r="C138" i="50" s="1"/>
  <c r="E138" i="50" s="1"/>
  <c r="G138" i="50" s="1"/>
  <c r="C138" i="51" s="1"/>
  <c r="E138" i="51" s="1"/>
  <c r="G138" i="51" s="1"/>
  <c r="C138" i="52" s="1"/>
  <c r="E138" i="52" s="1"/>
  <c r="G138" i="52" s="1"/>
  <c r="C138" i="53" s="1"/>
  <c r="E138" i="53" s="1"/>
  <c r="G138" i="53" s="1"/>
  <c r="C138" i="54" s="1"/>
  <c r="E138" i="54" s="1"/>
  <c r="G138" i="54" s="1"/>
  <c r="C138" i="55" s="1"/>
  <c r="E138" i="55" s="1"/>
  <c r="G138" i="55" s="1"/>
  <c r="C138" i="56" s="1"/>
  <c r="E138" i="56" s="1"/>
  <c r="G138" i="56" s="1"/>
  <c r="C138" i="57" s="1"/>
  <c r="E138" i="57" s="1"/>
  <c r="G138" i="57" s="1"/>
  <c r="C138" i="58" s="1"/>
  <c r="E138" i="58" s="1"/>
  <c r="G138" i="58" s="1"/>
  <c r="C138" i="59" s="1"/>
  <c r="E138" i="59" s="1"/>
  <c r="G138" i="59" s="1"/>
  <c r="C138" i="60" s="1"/>
  <c r="E138" i="60" s="1"/>
  <c r="G138" i="60" s="1"/>
  <c r="C138" i="61" s="1"/>
  <c r="E138" i="61" s="1"/>
  <c r="G138" i="61" s="1"/>
  <c r="C138" i="62" s="1"/>
  <c r="E138" i="62" s="1"/>
  <c r="G138" i="62" s="1"/>
  <c r="C138" i="63" s="1"/>
  <c r="E138" i="63" s="1"/>
  <c r="G138" i="63" s="1"/>
  <c r="C138" i="64" s="1"/>
  <c r="E138" i="64" s="1"/>
  <c r="G138" i="64" s="1"/>
  <c r="E138" i="15"/>
  <c r="E142" i="15"/>
  <c r="E146" i="34"/>
  <c r="G146" i="34" s="1"/>
  <c r="C146" i="35" s="1"/>
  <c r="E146" i="35" s="1"/>
  <c r="G146" i="35" s="1"/>
  <c r="C146" i="36" s="1"/>
  <c r="E146" i="36" s="1"/>
  <c r="G146" i="36" s="1"/>
  <c r="C146" i="37" s="1"/>
  <c r="E146" i="37" s="1"/>
  <c r="G146" i="37" s="1"/>
  <c r="C146" i="38" s="1"/>
  <c r="E146" i="38" s="1"/>
  <c r="G146" i="38" s="1"/>
  <c r="C146" i="39" s="1"/>
  <c r="E146" i="39" s="1"/>
  <c r="G146" i="39" s="1"/>
  <c r="C146" i="40" s="1"/>
  <c r="E146" i="40" s="1"/>
  <c r="G146" i="40" s="1"/>
  <c r="C146" i="41" s="1"/>
  <c r="E146" i="41" s="1"/>
  <c r="G146" i="41" s="1"/>
  <c r="C146" i="42" s="1"/>
  <c r="E146" i="42" s="1"/>
  <c r="G146" i="42" s="1"/>
  <c r="C146" i="43" s="1"/>
  <c r="E146" i="43" s="1"/>
  <c r="G146" i="43" s="1"/>
  <c r="C146" i="44" s="1"/>
  <c r="E146" i="44" s="1"/>
  <c r="G146" i="44" s="1"/>
  <c r="C146" i="45" s="1"/>
  <c r="E146" i="45" s="1"/>
  <c r="G146" i="45" s="1"/>
  <c r="C146" i="46" s="1"/>
  <c r="E146" i="46" s="1"/>
  <c r="G146" i="46" s="1"/>
  <c r="C146" i="47" s="1"/>
  <c r="E146" i="47" s="1"/>
  <c r="G146" i="47" s="1"/>
  <c r="C146" i="48" s="1"/>
  <c r="E146" i="48" s="1"/>
  <c r="G146" i="48" s="1"/>
  <c r="C146" i="49" s="1"/>
  <c r="E146" i="49" s="1"/>
  <c r="G146" i="49" s="1"/>
  <c r="C146" i="50" s="1"/>
  <c r="E146" i="50" s="1"/>
  <c r="G146" i="50" s="1"/>
  <c r="C146" i="51" s="1"/>
  <c r="E146" i="51" s="1"/>
  <c r="G146" i="51" s="1"/>
  <c r="C146" i="52" s="1"/>
  <c r="E146" i="52" s="1"/>
  <c r="G146" i="52" s="1"/>
  <c r="C146" i="53" s="1"/>
  <c r="E146" i="53" s="1"/>
  <c r="G146" i="53" s="1"/>
  <c r="C146" i="54" s="1"/>
  <c r="E146" i="54" s="1"/>
  <c r="G146" i="54" s="1"/>
  <c r="C146" i="55" s="1"/>
  <c r="E146" i="55" s="1"/>
  <c r="G146" i="55" s="1"/>
  <c r="C146" i="56" s="1"/>
  <c r="E146" i="56" s="1"/>
  <c r="G146" i="56" s="1"/>
  <c r="C146" i="57" s="1"/>
  <c r="E146" i="57" s="1"/>
  <c r="G146" i="57" s="1"/>
  <c r="C146" i="58" s="1"/>
  <c r="E146" i="58" s="1"/>
  <c r="G146" i="58" s="1"/>
  <c r="C146" i="59" s="1"/>
  <c r="E146" i="59" s="1"/>
  <c r="G146" i="59" s="1"/>
  <c r="C146" i="60" s="1"/>
  <c r="E146" i="60" s="1"/>
  <c r="G146" i="60" s="1"/>
  <c r="C146" i="61" s="1"/>
  <c r="E146" i="61" s="1"/>
  <c r="G146" i="61" s="1"/>
  <c r="C146" i="62" s="1"/>
  <c r="E146" i="62" s="1"/>
  <c r="G146" i="62" s="1"/>
  <c r="C146" i="63" s="1"/>
  <c r="E146" i="63" s="1"/>
  <c r="G146" i="63" s="1"/>
  <c r="C146" i="64" s="1"/>
  <c r="E146" i="64" s="1"/>
  <c r="G146" i="64" s="1"/>
  <c r="E146" i="15"/>
  <c r="E150" i="15"/>
  <c r="E154" i="34"/>
  <c r="G154" i="34" s="1"/>
  <c r="C154" i="35" s="1"/>
  <c r="E154" i="35" s="1"/>
  <c r="G154" i="35" s="1"/>
  <c r="C154" i="36" s="1"/>
  <c r="E154" i="36" s="1"/>
  <c r="G154" i="36" s="1"/>
  <c r="C154" i="37" s="1"/>
  <c r="E154" i="37" s="1"/>
  <c r="G154" i="37" s="1"/>
  <c r="C154" i="38" s="1"/>
  <c r="E154" i="38" s="1"/>
  <c r="G154" i="38" s="1"/>
  <c r="C154" i="39" s="1"/>
  <c r="E154" i="39" s="1"/>
  <c r="G154" i="39" s="1"/>
  <c r="C154" i="40" s="1"/>
  <c r="E154" i="40" s="1"/>
  <c r="G154" i="40" s="1"/>
  <c r="C154" i="41" s="1"/>
  <c r="E154" i="41" s="1"/>
  <c r="G154" i="41" s="1"/>
  <c r="C154" i="42" s="1"/>
  <c r="E154" i="42" s="1"/>
  <c r="G154" i="42" s="1"/>
  <c r="C154" i="43" s="1"/>
  <c r="E154" i="43" s="1"/>
  <c r="G154" i="43" s="1"/>
  <c r="C154" i="44" s="1"/>
  <c r="E154" i="44" s="1"/>
  <c r="G154" i="44" s="1"/>
  <c r="C154" i="45" s="1"/>
  <c r="E154" i="45" s="1"/>
  <c r="G154" i="45" s="1"/>
  <c r="C154" i="46" s="1"/>
  <c r="E154" i="46" s="1"/>
  <c r="G154" i="46" s="1"/>
  <c r="C154" i="47" s="1"/>
  <c r="E154" i="47" s="1"/>
  <c r="G154" i="47" s="1"/>
  <c r="C154" i="48" s="1"/>
  <c r="E154" i="48" s="1"/>
  <c r="G154" i="48" s="1"/>
  <c r="C154" i="49" s="1"/>
  <c r="E154" i="49" s="1"/>
  <c r="G154" i="49" s="1"/>
  <c r="C154" i="50" s="1"/>
  <c r="E154" i="50" s="1"/>
  <c r="G154" i="50" s="1"/>
  <c r="C154" i="51" s="1"/>
  <c r="E154" i="51" s="1"/>
  <c r="G154" i="51" s="1"/>
  <c r="C154" i="52" s="1"/>
  <c r="E154" i="52" s="1"/>
  <c r="G154" i="52" s="1"/>
  <c r="C154" i="53" s="1"/>
  <c r="E154" i="53" s="1"/>
  <c r="G154" i="53" s="1"/>
  <c r="C154" i="54" s="1"/>
  <c r="E154" i="54" s="1"/>
  <c r="G154" i="54" s="1"/>
  <c r="C154" i="55" s="1"/>
  <c r="E154" i="55" s="1"/>
  <c r="G154" i="55" s="1"/>
  <c r="C154" i="56" s="1"/>
  <c r="E154" i="56" s="1"/>
  <c r="G154" i="56" s="1"/>
  <c r="C154" i="57" s="1"/>
  <c r="E154" i="57" s="1"/>
  <c r="G154" i="57" s="1"/>
  <c r="C154" i="58" s="1"/>
  <c r="E154" i="58" s="1"/>
  <c r="G154" i="58" s="1"/>
  <c r="C154" i="59" s="1"/>
  <c r="E154" i="59" s="1"/>
  <c r="G154" i="59" s="1"/>
  <c r="C154" i="60" s="1"/>
  <c r="E154" i="60" s="1"/>
  <c r="G154" i="60" s="1"/>
  <c r="C154" i="61" s="1"/>
  <c r="E154" i="61" s="1"/>
  <c r="G154" i="61" s="1"/>
  <c r="C154" i="62" s="1"/>
  <c r="E154" i="62" s="1"/>
  <c r="G154" i="62" s="1"/>
  <c r="C154" i="63" s="1"/>
  <c r="E154" i="63" s="1"/>
  <c r="G154" i="63" s="1"/>
  <c r="C154" i="64" s="1"/>
  <c r="E154" i="64" s="1"/>
  <c r="G154" i="64" s="1"/>
  <c r="E154" i="15"/>
  <c r="E158" i="15"/>
  <c r="E181" i="34"/>
  <c r="G181" i="34" s="1"/>
  <c r="C181" i="35" s="1"/>
  <c r="E181" i="35" s="1"/>
  <c r="G181" i="35" s="1"/>
  <c r="C181" i="36" s="1"/>
  <c r="E181" i="36" s="1"/>
  <c r="G181" i="36" s="1"/>
  <c r="C181" i="37" s="1"/>
  <c r="E181" i="37" s="1"/>
  <c r="G181" i="37" s="1"/>
  <c r="C181" i="38" s="1"/>
  <c r="E181" i="38" s="1"/>
  <c r="G181" i="38" s="1"/>
  <c r="C181" i="39" s="1"/>
  <c r="E181" i="39" s="1"/>
  <c r="G181" i="39" s="1"/>
  <c r="C181" i="40" s="1"/>
  <c r="E181" i="40" s="1"/>
  <c r="G181" i="40" s="1"/>
  <c r="C181" i="41" s="1"/>
  <c r="E181" i="41" s="1"/>
  <c r="G181" i="41" s="1"/>
  <c r="C181" i="42" s="1"/>
  <c r="E181" i="42" s="1"/>
  <c r="G181" i="42" s="1"/>
  <c r="C181" i="43" s="1"/>
  <c r="E181" i="43" s="1"/>
  <c r="G181" i="43" s="1"/>
  <c r="C181" i="44" s="1"/>
  <c r="E181" i="44" s="1"/>
  <c r="G181" i="44" s="1"/>
  <c r="C181" i="45" s="1"/>
  <c r="E181" i="45" s="1"/>
  <c r="G181" i="45" s="1"/>
  <c r="C181" i="46" s="1"/>
  <c r="E181" i="46" s="1"/>
  <c r="G181" i="46" s="1"/>
  <c r="C181" i="47" s="1"/>
  <c r="E181" i="47" s="1"/>
  <c r="G181" i="47" s="1"/>
  <c r="C181" i="48" s="1"/>
  <c r="E181" i="48" s="1"/>
  <c r="G181" i="48" s="1"/>
  <c r="C181" i="49" s="1"/>
  <c r="E181" i="49" s="1"/>
  <c r="G181" i="49" s="1"/>
  <c r="C181" i="50" s="1"/>
  <c r="E181" i="50" s="1"/>
  <c r="G181" i="50" s="1"/>
  <c r="C181" i="51" s="1"/>
  <c r="E181" i="51" s="1"/>
  <c r="G181" i="51" s="1"/>
  <c r="C181" i="52" s="1"/>
  <c r="E181" i="52" s="1"/>
  <c r="G181" i="52" s="1"/>
  <c r="C181" i="53" s="1"/>
  <c r="E181" i="53" s="1"/>
  <c r="G181" i="53" s="1"/>
  <c r="C181" i="54" s="1"/>
  <c r="E181" i="54" s="1"/>
  <c r="G181" i="54" s="1"/>
  <c r="C181" i="55" s="1"/>
  <c r="E181" i="55" s="1"/>
  <c r="G181" i="55" s="1"/>
  <c r="C181" i="56" s="1"/>
  <c r="E181" i="56" s="1"/>
  <c r="G181" i="56" s="1"/>
  <c r="C181" i="57" s="1"/>
  <c r="E181" i="57" s="1"/>
  <c r="G181" i="57" s="1"/>
  <c r="C181" i="58" s="1"/>
  <c r="E181" i="58" s="1"/>
  <c r="G181" i="58" s="1"/>
  <c r="C181" i="59" s="1"/>
  <c r="E181" i="59" s="1"/>
  <c r="G181" i="59" s="1"/>
  <c r="C181" i="60" s="1"/>
  <c r="E181" i="60" s="1"/>
  <c r="G181" i="60" s="1"/>
  <c r="C181" i="61" s="1"/>
  <c r="E181" i="61" s="1"/>
  <c r="G181" i="61" s="1"/>
  <c r="C181" i="62" s="1"/>
  <c r="E181" i="62" s="1"/>
  <c r="G181" i="62" s="1"/>
  <c r="C181" i="63" s="1"/>
  <c r="E181" i="63" s="1"/>
  <c r="G181" i="63" s="1"/>
  <c r="C181" i="64" s="1"/>
  <c r="E181" i="64" s="1"/>
  <c r="G181" i="64" s="1"/>
  <c r="E181" i="15"/>
  <c r="E189" i="34"/>
  <c r="G189" i="34" s="1"/>
  <c r="C189" i="35" s="1"/>
  <c r="E189" i="35" s="1"/>
  <c r="G189" i="35" s="1"/>
  <c r="C189" i="36" s="1"/>
  <c r="E189" i="36" s="1"/>
  <c r="G189" i="36" s="1"/>
  <c r="C189" i="37" s="1"/>
  <c r="E189" i="37" s="1"/>
  <c r="G189" i="37" s="1"/>
  <c r="C189" i="38" s="1"/>
  <c r="E189" i="38" s="1"/>
  <c r="G189" i="38" s="1"/>
  <c r="C189" i="39" s="1"/>
  <c r="E189" i="39" s="1"/>
  <c r="G189" i="39" s="1"/>
  <c r="C189" i="40" s="1"/>
  <c r="E189" i="40" s="1"/>
  <c r="G189" i="40" s="1"/>
  <c r="C189" i="41" s="1"/>
  <c r="E189" i="41" s="1"/>
  <c r="G189" i="41" s="1"/>
  <c r="C189" i="42" s="1"/>
  <c r="E189" i="42" s="1"/>
  <c r="G189" i="42" s="1"/>
  <c r="C189" i="43" s="1"/>
  <c r="E189" i="43" s="1"/>
  <c r="G189" i="43" s="1"/>
  <c r="C189" i="44" s="1"/>
  <c r="E189" i="44" s="1"/>
  <c r="G189" i="44" s="1"/>
  <c r="C189" i="45" s="1"/>
  <c r="E189" i="45" s="1"/>
  <c r="G189" i="45" s="1"/>
  <c r="C189" i="46" s="1"/>
  <c r="E189" i="46" s="1"/>
  <c r="G189" i="46" s="1"/>
  <c r="C189" i="47" s="1"/>
  <c r="E189" i="47" s="1"/>
  <c r="G189" i="47" s="1"/>
  <c r="C189" i="48" s="1"/>
  <c r="E189" i="48" s="1"/>
  <c r="G189" i="48" s="1"/>
  <c r="C189" i="49" s="1"/>
  <c r="E189" i="49" s="1"/>
  <c r="G189" i="49" s="1"/>
  <c r="C189" i="50" s="1"/>
  <c r="E189" i="50" s="1"/>
  <c r="G189" i="50" s="1"/>
  <c r="C189" i="51" s="1"/>
  <c r="E189" i="51" s="1"/>
  <c r="G189" i="51" s="1"/>
  <c r="C189" i="52" s="1"/>
  <c r="E189" i="52" s="1"/>
  <c r="G189" i="52" s="1"/>
  <c r="C189" i="53" s="1"/>
  <c r="E189" i="53" s="1"/>
  <c r="G189" i="53" s="1"/>
  <c r="C189" i="54" s="1"/>
  <c r="E189" i="54" s="1"/>
  <c r="G189" i="54" s="1"/>
  <c r="C189" i="55" s="1"/>
  <c r="E189" i="55" s="1"/>
  <c r="G189" i="55" s="1"/>
  <c r="C189" i="56" s="1"/>
  <c r="E189" i="56" s="1"/>
  <c r="G189" i="56" s="1"/>
  <c r="C189" i="57" s="1"/>
  <c r="E189" i="57" s="1"/>
  <c r="G189" i="57" s="1"/>
  <c r="C189" i="58" s="1"/>
  <c r="E189" i="58" s="1"/>
  <c r="G189" i="58" s="1"/>
  <c r="C189" i="59" s="1"/>
  <c r="E189" i="59" s="1"/>
  <c r="G189" i="59" s="1"/>
  <c r="C189" i="60" s="1"/>
  <c r="E189" i="60" s="1"/>
  <c r="G189" i="60" s="1"/>
  <c r="C189" i="61" s="1"/>
  <c r="E189" i="61" s="1"/>
  <c r="G189" i="61" s="1"/>
  <c r="C189" i="62" s="1"/>
  <c r="E189" i="62" s="1"/>
  <c r="G189" i="62" s="1"/>
  <c r="C189" i="63" s="1"/>
  <c r="E189" i="63" s="1"/>
  <c r="G189" i="63" s="1"/>
  <c r="C189" i="64" s="1"/>
  <c r="E189" i="64" s="1"/>
  <c r="G189" i="64" s="1"/>
  <c r="E189" i="15"/>
  <c r="E197" i="34"/>
  <c r="G197" i="34" s="1"/>
  <c r="C197" i="35" s="1"/>
  <c r="E197" i="35" s="1"/>
  <c r="G197" i="35" s="1"/>
  <c r="C197" i="36" s="1"/>
  <c r="E197" i="36" s="1"/>
  <c r="G197" i="36" s="1"/>
  <c r="C197" i="37" s="1"/>
  <c r="E197" i="37" s="1"/>
  <c r="G197" i="37" s="1"/>
  <c r="C197" i="38" s="1"/>
  <c r="E197" i="38" s="1"/>
  <c r="G197" i="38" s="1"/>
  <c r="C197" i="39" s="1"/>
  <c r="E197" i="39" s="1"/>
  <c r="G197" i="39" s="1"/>
  <c r="C197" i="40" s="1"/>
  <c r="E197" i="40" s="1"/>
  <c r="G197" i="40" s="1"/>
  <c r="C197" i="41" s="1"/>
  <c r="E197" i="41" s="1"/>
  <c r="G197" i="41" s="1"/>
  <c r="C197" i="42" s="1"/>
  <c r="E197" i="42" s="1"/>
  <c r="G197" i="42" s="1"/>
  <c r="C197" i="43" s="1"/>
  <c r="E197" i="43" s="1"/>
  <c r="G197" i="43" s="1"/>
  <c r="C197" i="44" s="1"/>
  <c r="E197" i="44" s="1"/>
  <c r="G197" i="44" s="1"/>
  <c r="C197" i="45" s="1"/>
  <c r="E197" i="45" s="1"/>
  <c r="G197" i="45" s="1"/>
  <c r="C197" i="46" s="1"/>
  <c r="E197" i="46" s="1"/>
  <c r="G197" i="46" s="1"/>
  <c r="C197" i="47" s="1"/>
  <c r="E197" i="47" s="1"/>
  <c r="G197" i="47" s="1"/>
  <c r="C197" i="48" s="1"/>
  <c r="E197" i="48" s="1"/>
  <c r="G197" i="48" s="1"/>
  <c r="C197" i="49" s="1"/>
  <c r="E197" i="49" s="1"/>
  <c r="G197" i="49" s="1"/>
  <c r="C197" i="50" s="1"/>
  <c r="E197" i="50" s="1"/>
  <c r="G197" i="50" s="1"/>
  <c r="C197" i="51" s="1"/>
  <c r="E197" i="51" s="1"/>
  <c r="G197" i="51" s="1"/>
  <c r="C197" i="52" s="1"/>
  <c r="E197" i="52" s="1"/>
  <c r="G197" i="52" s="1"/>
  <c r="C197" i="53" s="1"/>
  <c r="E197" i="53" s="1"/>
  <c r="G197" i="53" s="1"/>
  <c r="C197" i="54" s="1"/>
  <c r="E197" i="54" s="1"/>
  <c r="G197" i="54" s="1"/>
  <c r="C197" i="55" s="1"/>
  <c r="E197" i="55" s="1"/>
  <c r="G197" i="55" s="1"/>
  <c r="C197" i="56" s="1"/>
  <c r="E197" i="56" s="1"/>
  <c r="G197" i="56" s="1"/>
  <c r="C197" i="57" s="1"/>
  <c r="E197" i="57" s="1"/>
  <c r="G197" i="57" s="1"/>
  <c r="C197" i="58" s="1"/>
  <c r="E197" i="58" s="1"/>
  <c r="G197" i="58" s="1"/>
  <c r="C197" i="59" s="1"/>
  <c r="E197" i="59" s="1"/>
  <c r="G197" i="59" s="1"/>
  <c r="C197" i="60" s="1"/>
  <c r="E197" i="60" s="1"/>
  <c r="G197" i="60" s="1"/>
  <c r="C197" i="61" s="1"/>
  <c r="E197" i="61" s="1"/>
  <c r="G197" i="61" s="1"/>
  <c r="C197" i="62" s="1"/>
  <c r="E197" i="62" s="1"/>
  <c r="G197" i="62" s="1"/>
  <c r="C197" i="63" s="1"/>
  <c r="E197" i="63" s="1"/>
  <c r="G197" i="63" s="1"/>
  <c r="C197" i="64" s="1"/>
  <c r="E197" i="64" s="1"/>
  <c r="G197" i="64" s="1"/>
  <c r="E197" i="15"/>
  <c r="E201" i="15"/>
  <c r="E204" i="37" l="1"/>
  <c r="G204" i="37" s="1"/>
  <c r="C205" i="37"/>
  <c r="E205" i="37" s="1"/>
  <c r="G205" i="37" s="1"/>
  <c r="C205" i="38" s="1"/>
  <c r="E205" i="38" s="1"/>
  <c r="G205" i="38" s="1"/>
  <c r="C205" i="39" s="1"/>
  <c r="E205" i="39" s="1"/>
  <c r="G205" i="39" s="1"/>
  <c r="C205" i="40" s="1"/>
  <c r="E205" i="40" s="1"/>
  <c r="G205" i="40" s="1"/>
  <c r="C205" i="41" s="1"/>
  <c r="E205" i="41" s="1"/>
  <c r="G205" i="41" s="1"/>
  <c r="C205" i="42" s="1"/>
  <c r="E205" i="42" s="1"/>
  <c r="G205" i="42" s="1"/>
  <c r="C205" i="43" s="1"/>
  <c r="E205" i="43" s="1"/>
  <c r="G205" i="43" s="1"/>
  <c r="C205" i="44" s="1"/>
  <c r="E205" i="44" s="1"/>
  <c r="G205" i="44" s="1"/>
  <c r="C205" i="45" s="1"/>
  <c r="E205" i="45" s="1"/>
  <c r="G205" i="45" s="1"/>
  <c r="C205" i="46" s="1"/>
  <c r="E205" i="46" s="1"/>
  <c r="G205" i="46" s="1"/>
  <c r="C205" i="47" s="1"/>
  <c r="E205" i="47" s="1"/>
  <c r="G205" i="47" s="1"/>
  <c r="C205" i="48" s="1"/>
  <c r="E205" i="48" s="1"/>
  <c r="G205" i="48" s="1"/>
  <c r="E203" i="37"/>
  <c r="G203" i="37" s="1"/>
  <c r="C203" i="37"/>
  <c r="E202" i="37"/>
  <c r="G202" i="37" s="1"/>
  <c r="C202" i="37"/>
  <c r="K218" i="48"/>
  <c r="K221" i="48" s="1"/>
  <c r="K217" i="44"/>
  <c r="K216" i="39"/>
  <c r="K219" i="39" s="1"/>
  <c r="K216" i="38"/>
  <c r="K219" i="38" s="1"/>
  <c r="K214" i="37"/>
  <c r="K217" i="37" s="1"/>
  <c r="K215" i="64"/>
  <c r="K215" i="63"/>
  <c r="K215" i="62"/>
  <c r="K215" i="61"/>
  <c r="K215" i="60"/>
  <c r="K216" i="59"/>
  <c r="K215" i="58"/>
  <c r="K215" i="57"/>
  <c r="K215" i="56"/>
  <c r="K215" i="55"/>
  <c r="K216" i="54"/>
  <c r="K215" i="52"/>
  <c r="K215" i="51"/>
  <c r="K218" i="51" s="1"/>
  <c r="K215" i="50"/>
  <c r="K218" i="50" s="1"/>
  <c r="K215" i="49"/>
  <c r="K218" i="49" s="1"/>
  <c r="K218" i="47"/>
  <c r="K221" i="47" s="1"/>
  <c r="K218" i="46"/>
  <c r="K221" i="46" s="1"/>
  <c r="K218" i="45"/>
  <c r="K221" i="45" s="1"/>
  <c r="K216" i="43"/>
  <c r="K219" i="43" s="1"/>
  <c r="K216" i="42"/>
  <c r="K219" i="42" s="1"/>
  <c r="K216" i="41"/>
  <c r="K219" i="41" s="1"/>
  <c r="K216" i="40"/>
  <c r="K219" i="40" s="1"/>
  <c r="K216" i="36"/>
  <c r="K219" i="36" s="1"/>
  <c r="K215" i="35"/>
  <c r="K218" i="35" s="1"/>
  <c r="K215" i="34"/>
  <c r="K218" i="34" s="1"/>
  <c r="E201" i="34"/>
  <c r="G201" i="34" s="1"/>
  <c r="C201" i="35" s="1"/>
  <c r="E201" i="35" s="1"/>
  <c r="G201" i="35" s="1"/>
  <c r="C201" i="36" s="1"/>
  <c r="E201" i="36" s="1"/>
  <c r="G201" i="36" s="1"/>
  <c r="E158" i="34"/>
  <c r="G158" i="34" s="1"/>
  <c r="C158" i="35" s="1"/>
  <c r="E158" i="35" s="1"/>
  <c r="G158" i="35" s="1"/>
  <c r="C158" i="36" s="1"/>
  <c r="E158" i="36" s="1"/>
  <c r="G158" i="36" s="1"/>
  <c r="C158" i="37" s="1"/>
  <c r="E158" i="37" s="1"/>
  <c r="G158" i="37" s="1"/>
  <c r="C158" i="38" s="1"/>
  <c r="E158" i="38" s="1"/>
  <c r="G158" i="38" s="1"/>
  <c r="C158" i="39" s="1"/>
  <c r="E158" i="39" s="1"/>
  <c r="G158" i="39" s="1"/>
  <c r="C158" i="40" s="1"/>
  <c r="E158" i="40" s="1"/>
  <c r="G158" i="40" s="1"/>
  <c r="C158" i="41" s="1"/>
  <c r="E158" i="41" s="1"/>
  <c r="G158" i="41" s="1"/>
  <c r="C158" i="42" s="1"/>
  <c r="E158" i="42" s="1"/>
  <c r="G158" i="42" s="1"/>
  <c r="C158" i="43" s="1"/>
  <c r="E158" i="43" s="1"/>
  <c r="G158" i="43" s="1"/>
  <c r="C158" i="44" s="1"/>
  <c r="E158" i="44" s="1"/>
  <c r="G158" i="44" s="1"/>
  <c r="C158" i="45" s="1"/>
  <c r="E158" i="45" s="1"/>
  <c r="G158" i="45" s="1"/>
  <c r="C158" i="46" s="1"/>
  <c r="E158" i="46" s="1"/>
  <c r="G158" i="46" s="1"/>
  <c r="C158" i="47" s="1"/>
  <c r="E158" i="47" s="1"/>
  <c r="G158" i="47" s="1"/>
  <c r="C158" i="48" s="1"/>
  <c r="E158" i="48" s="1"/>
  <c r="G158" i="48" s="1"/>
  <c r="C158" i="49" s="1"/>
  <c r="E158" i="49" s="1"/>
  <c r="G158" i="49" s="1"/>
  <c r="C158" i="50" s="1"/>
  <c r="E158" i="50" s="1"/>
  <c r="G158" i="50" s="1"/>
  <c r="C158" i="51" s="1"/>
  <c r="E158" i="51" s="1"/>
  <c r="G158" i="51" s="1"/>
  <c r="C158" i="52" s="1"/>
  <c r="E158" i="52" s="1"/>
  <c r="G158" i="52" s="1"/>
  <c r="C158" i="53" s="1"/>
  <c r="E158" i="53" s="1"/>
  <c r="G158" i="53" s="1"/>
  <c r="C158" i="54" s="1"/>
  <c r="E158" i="54" s="1"/>
  <c r="G158" i="54" s="1"/>
  <c r="C158" i="55" s="1"/>
  <c r="E158" i="55" s="1"/>
  <c r="G158" i="55" s="1"/>
  <c r="C158" i="56" s="1"/>
  <c r="E158" i="56" s="1"/>
  <c r="G158" i="56" s="1"/>
  <c r="C158" i="57" s="1"/>
  <c r="E158" i="57" s="1"/>
  <c r="G158" i="57" s="1"/>
  <c r="C158" i="58" s="1"/>
  <c r="E158" i="58" s="1"/>
  <c r="G158" i="58" s="1"/>
  <c r="C158" i="59" s="1"/>
  <c r="E158" i="59" s="1"/>
  <c r="G158" i="59" s="1"/>
  <c r="C158" i="60" s="1"/>
  <c r="E158" i="60" s="1"/>
  <c r="G158" i="60" s="1"/>
  <c r="C158" i="61" s="1"/>
  <c r="E158" i="61" s="1"/>
  <c r="G158" i="61" s="1"/>
  <c r="C158" i="62" s="1"/>
  <c r="E158" i="62" s="1"/>
  <c r="G158" i="62" s="1"/>
  <c r="C158" i="63" s="1"/>
  <c r="E158" i="63" s="1"/>
  <c r="G158" i="63" s="1"/>
  <c r="C158" i="64" s="1"/>
  <c r="E158" i="64" s="1"/>
  <c r="G158" i="64" s="1"/>
  <c r="E62" i="34"/>
  <c r="G62" i="34" s="1"/>
  <c r="C62" i="35" s="1"/>
  <c r="E62" i="35" s="1"/>
  <c r="G62" i="35" s="1"/>
  <c r="C62" i="36" s="1"/>
  <c r="E62" i="36" s="1"/>
  <c r="G62" i="36" s="1"/>
  <c r="C62" i="37" s="1"/>
  <c r="E62" i="37" s="1"/>
  <c r="G62" i="37" s="1"/>
  <c r="C62" i="38" s="1"/>
  <c r="E62" i="38" s="1"/>
  <c r="G62" i="38" s="1"/>
  <c r="C62" i="39" s="1"/>
  <c r="E62" i="39" s="1"/>
  <c r="G62" i="39" s="1"/>
  <c r="C62" i="40" s="1"/>
  <c r="E62" i="40" s="1"/>
  <c r="G62" i="40" s="1"/>
  <c r="C62" i="41" s="1"/>
  <c r="E62" i="41" s="1"/>
  <c r="G62" i="41" s="1"/>
  <c r="C62" i="42" s="1"/>
  <c r="E62" i="42" s="1"/>
  <c r="G62" i="42" s="1"/>
  <c r="C62" i="43" s="1"/>
  <c r="E62" i="43" s="1"/>
  <c r="G62" i="43" s="1"/>
  <c r="C62" i="44" s="1"/>
  <c r="E62" i="44" s="1"/>
  <c r="G62" i="44" s="1"/>
  <c r="C62" i="45" s="1"/>
  <c r="E62" i="45" s="1"/>
  <c r="G62" i="45" s="1"/>
  <c r="C62" i="46" s="1"/>
  <c r="E62" i="46" s="1"/>
  <c r="G62" i="46" s="1"/>
  <c r="C62" i="47" s="1"/>
  <c r="E62" i="47" s="1"/>
  <c r="G62" i="47" s="1"/>
  <c r="C62" i="48" s="1"/>
  <c r="E62" i="48" s="1"/>
  <c r="G62" i="48" s="1"/>
  <c r="C62" i="49" s="1"/>
  <c r="E62" i="49" s="1"/>
  <c r="G62" i="49" s="1"/>
  <c r="C62" i="50" s="1"/>
  <c r="E62" i="50" s="1"/>
  <c r="G62" i="50" s="1"/>
  <c r="C62" i="51" s="1"/>
  <c r="E62" i="51" s="1"/>
  <c r="G62" i="51" s="1"/>
  <c r="C62" i="52" s="1"/>
  <c r="E62" i="52" s="1"/>
  <c r="G62" i="52" s="1"/>
  <c r="C62" i="53" s="1"/>
  <c r="E62" i="53" s="1"/>
  <c r="G62" i="53" s="1"/>
  <c r="C62" i="54" s="1"/>
  <c r="E62" i="54" s="1"/>
  <c r="G62" i="54" s="1"/>
  <c r="C62" i="55" s="1"/>
  <c r="E62" i="55" s="1"/>
  <c r="G62" i="55" s="1"/>
  <c r="C62" i="56" s="1"/>
  <c r="E62" i="56" s="1"/>
  <c r="G62" i="56" s="1"/>
  <c r="C62" i="57" s="1"/>
  <c r="E62" i="57" s="1"/>
  <c r="G62" i="57" s="1"/>
  <c r="C62" i="58" s="1"/>
  <c r="E62" i="58" s="1"/>
  <c r="G62" i="58" s="1"/>
  <c r="C62" i="59" s="1"/>
  <c r="E62" i="59" s="1"/>
  <c r="G62" i="59" s="1"/>
  <c r="C62" i="60" s="1"/>
  <c r="E62" i="60" s="1"/>
  <c r="G62" i="60" s="1"/>
  <c r="C62" i="61" s="1"/>
  <c r="E62" i="61" s="1"/>
  <c r="G62" i="61" s="1"/>
  <c r="C62" i="62" s="1"/>
  <c r="E62" i="62" s="1"/>
  <c r="G62" i="62" s="1"/>
  <c r="C62" i="63" s="1"/>
  <c r="E62" i="63" s="1"/>
  <c r="G62" i="63" s="1"/>
  <c r="C62" i="64" s="1"/>
  <c r="E62" i="64" s="1"/>
  <c r="G62" i="64" s="1"/>
  <c r="E96" i="34"/>
  <c r="G96" i="34" s="1"/>
  <c r="C96" i="35" s="1"/>
  <c r="E96" i="35" s="1"/>
  <c r="G96" i="35" s="1"/>
  <c r="C96" i="36" s="1"/>
  <c r="E96" i="36" s="1"/>
  <c r="G96" i="36" s="1"/>
  <c r="C96" i="37" s="1"/>
  <c r="E96" i="37" s="1"/>
  <c r="G96" i="37" s="1"/>
  <c r="C96" i="38" s="1"/>
  <c r="E96" i="38" s="1"/>
  <c r="G96" i="38" s="1"/>
  <c r="C96" i="39" s="1"/>
  <c r="E96" i="39" s="1"/>
  <c r="G96" i="39" s="1"/>
  <c r="C96" i="40" s="1"/>
  <c r="E96" i="40" s="1"/>
  <c r="G96" i="40" s="1"/>
  <c r="C96" i="41" s="1"/>
  <c r="E96" i="41" s="1"/>
  <c r="G96" i="41" s="1"/>
  <c r="C96" i="42" s="1"/>
  <c r="E96" i="42" s="1"/>
  <c r="G96" i="42" s="1"/>
  <c r="C96" i="43" s="1"/>
  <c r="E96" i="43" s="1"/>
  <c r="G96" i="43" s="1"/>
  <c r="C96" i="44" s="1"/>
  <c r="E96" i="44" s="1"/>
  <c r="G96" i="44" s="1"/>
  <c r="C96" i="45" s="1"/>
  <c r="E96" i="45" s="1"/>
  <c r="G96" i="45" s="1"/>
  <c r="C96" i="46" s="1"/>
  <c r="E96" i="46" s="1"/>
  <c r="G96" i="46" s="1"/>
  <c r="C96" i="47" s="1"/>
  <c r="E96" i="47" s="1"/>
  <c r="G96" i="47" s="1"/>
  <c r="C96" i="48" s="1"/>
  <c r="E96" i="48" s="1"/>
  <c r="G96" i="48" s="1"/>
  <c r="C96" i="49" s="1"/>
  <c r="E96" i="49" s="1"/>
  <c r="G96" i="49" s="1"/>
  <c r="C96" i="50" s="1"/>
  <c r="E96" i="50" s="1"/>
  <c r="G96" i="50" s="1"/>
  <c r="C96" i="51" s="1"/>
  <c r="E96" i="51" s="1"/>
  <c r="G96" i="51" s="1"/>
  <c r="C96" i="52" s="1"/>
  <c r="E96" i="52" s="1"/>
  <c r="G96" i="52" s="1"/>
  <c r="C96" i="53" s="1"/>
  <c r="E96" i="53" s="1"/>
  <c r="G96" i="53" s="1"/>
  <c r="C96" i="54" s="1"/>
  <c r="E96" i="54" s="1"/>
  <c r="G96" i="54" s="1"/>
  <c r="C96" i="55" s="1"/>
  <c r="E96" i="55" s="1"/>
  <c r="G96" i="55" s="1"/>
  <c r="C96" i="56" s="1"/>
  <c r="E96" i="56" s="1"/>
  <c r="G96" i="56" s="1"/>
  <c r="C96" i="57" s="1"/>
  <c r="E96" i="57" s="1"/>
  <c r="G96" i="57" s="1"/>
  <c r="C96" i="58" s="1"/>
  <c r="E96" i="58" s="1"/>
  <c r="G96" i="58" s="1"/>
  <c r="C96" i="59" s="1"/>
  <c r="E96" i="59" s="1"/>
  <c r="G96" i="59" s="1"/>
  <c r="C96" i="60" s="1"/>
  <c r="E96" i="60" s="1"/>
  <c r="G96" i="60" s="1"/>
  <c r="C96" i="61" s="1"/>
  <c r="E96" i="61" s="1"/>
  <c r="G96" i="61" s="1"/>
  <c r="C96" i="62" s="1"/>
  <c r="E96" i="62" s="1"/>
  <c r="G96" i="62" s="1"/>
  <c r="C96" i="63" s="1"/>
  <c r="E96" i="63" s="1"/>
  <c r="G96" i="63" s="1"/>
  <c r="C96" i="64" s="1"/>
  <c r="E96" i="64" s="1"/>
  <c r="G96" i="64" s="1"/>
  <c r="E24" i="34"/>
  <c r="G24" i="34" s="1"/>
  <c r="C24" i="35" s="1"/>
  <c r="E24" i="35" s="1"/>
  <c r="G24" i="35" s="1"/>
  <c r="C24" i="36" s="1"/>
  <c r="E24" i="36" s="1"/>
  <c r="G24" i="36" s="1"/>
  <c r="C24" i="37" s="1"/>
  <c r="E24" i="37" s="1"/>
  <c r="G24" i="37" s="1"/>
  <c r="C24" i="38" s="1"/>
  <c r="E24" i="38" s="1"/>
  <c r="G24" i="38" s="1"/>
  <c r="C24" i="39" s="1"/>
  <c r="E24" i="39" s="1"/>
  <c r="G24" i="39" s="1"/>
  <c r="C24" i="40" s="1"/>
  <c r="E24" i="40" s="1"/>
  <c r="G24" i="40" s="1"/>
  <c r="C24" i="41" s="1"/>
  <c r="E24" i="41" s="1"/>
  <c r="G24" i="41" s="1"/>
  <c r="C24" i="42" s="1"/>
  <c r="E24" i="42" s="1"/>
  <c r="G24" i="42" s="1"/>
  <c r="C24" i="43" s="1"/>
  <c r="E24" i="43" s="1"/>
  <c r="G24" i="43" s="1"/>
  <c r="C24" i="44" s="1"/>
  <c r="E24" i="44" s="1"/>
  <c r="G24" i="44" s="1"/>
  <c r="C24" i="45" s="1"/>
  <c r="E24" i="45" s="1"/>
  <c r="G24" i="45" s="1"/>
  <c r="C24" i="46" s="1"/>
  <c r="E24" i="46" s="1"/>
  <c r="G24" i="46" s="1"/>
  <c r="C24" i="47" s="1"/>
  <c r="E24" i="47" s="1"/>
  <c r="G24" i="47" s="1"/>
  <c r="C24" i="48" s="1"/>
  <c r="E24" i="48" s="1"/>
  <c r="G24" i="48" s="1"/>
  <c r="C24" i="49" s="1"/>
  <c r="E24" i="49" s="1"/>
  <c r="G24" i="49" s="1"/>
  <c r="C24" i="50" s="1"/>
  <c r="E24" i="50" s="1"/>
  <c r="G24" i="50" s="1"/>
  <c r="C24" i="51" s="1"/>
  <c r="E24" i="51" s="1"/>
  <c r="G24" i="51" s="1"/>
  <c r="C24" i="52" s="1"/>
  <c r="E24" i="52" s="1"/>
  <c r="G24" i="52" s="1"/>
  <c r="C24" i="53" s="1"/>
  <c r="E24" i="53" s="1"/>
  <c r="G24" i="53" s="1"/>
  <c r="C24" i="54" s="1"/>
  <c r="E24" i="54" s="1"/>
  <c r="G24" i="54" s="1"/>
  <c r="C24" i="55" s="1"/>
  <c r="E24" i="55" s="1"/>
  <c r="G24" i="55" s="1"/>
  <c r="C24" i="56" s="1"/>
  <c r="E24" i="56" s="1"/>
  <c r="G24" i="56" s="1"/>
  <c r="C24" i="57" s="1"/>
  <c r="E24" i="57" s="1"/>
  <c r="G24" i="57" s="1"/>
  <c r="C24" i="58" s="1"/>
  <c r="E24" i="58" s="1"/>
  <c r="G24" i="58" s="1"/>
  <c r="C24" i="59" s="1"/>
  <c r="E24" i="59" s="1"/>
  <c r="G24" i="59" s="1"/>
  <c r="C24" i="60" s="1"/>
  <c r="E24" i="60" s="1"/>
  <c r="G24" i="60" s="1"/>
  <c r="C24" i="61" s="1"/>
  <c r="E24" i="61" s="1"/>
  <c r="G24" i="61" s="1"/>
  <c r="C24" i="62" s="1"/>
  <c r="E24" i="62" s="1"/>
  <c r="G24" i="62" s="1"/>
  <c r="C24" i="63" s="1"/>
  <c r="E24" i="63" s="1"/>
  <c r="G24" i="63" s="1"/>
  <c r="C24" i="64" s="1"/>
  <c r="E24" i="64" s="1"/>
  <c r="G24" i="64" s="1"/>
  <c r="E183" i="34"/>
  <c r="G183" i="34" s="1"/>
  <c r="C183" i="35" s="1"/>
  <c r="E183" i="35" s="1"/>
  <c r="G183" i="35" s="1"/>
  <c r="C183" i="36" s="1"/>
  <c r="E183" i="36" s="1"/>
  <c r="G183" i="36" s="1"/>
  <c r="C183" i="37" s="1"/>
  <c r="E183" i="37" s="1"/>
  <c r="G183" i="37" s="1"/>
  <c r="C183" i="38" s="1"/>
  <c r="E183" i="38" s="1"/>
  <c r="G183" i="38" s="1"/>
  <c r="C183" i="39" s="1"/>
  <c r="E183" i="39" s="1"/>
  <c r="G183" i="39" s="1"/>
  <c r="C183" i="40" s="1"/>
  <c r="E183" i="40" s="1"/>
  <c r="G183" i="40" s="1"/>
  <c r="C183" i="41" s="1"/>
  <c r="E183" i="41" s="1"/>
  <c r="G183" i="41" s="1"/>
  <c r="C183" i="42" s="1"/>
  <c r="E183" i="42" s="1"/>
  <c r="G183" i="42" s="1"/>
  <c r="C183" i="43" s="1"/>
  <c r="E183" i="43" s="1"/>
  <c r="G183" i="43" s="1"/>
  <c r="C183" i="44" s="1"/>
  <c r="E183" i="44" s="1"/>
  <c r="G183" i="44" s="1"/>
  <c r="C183" i="45" s="1"/>
  <c r="E183" i="45" s="1"/>
  <c r="G183" i="45" s="1"/>
  <c r="C183" i="46" s="1"/>
  <c r="E183" i="46" s="1"/>
  <c r="G183" i="46" s="1"/>
  <c r="C183" i="47" s="1"/>
  <c r="E183" i="47" s="1"/>
  <c r="G183" i="47" s="1"/>
  <c r="C183" i="48" s="1"/>
  <c r="E183" i="48" s="1"/>
  <c r="G183" i="48" s="1"/>
  <c r="C183" i="49" s="1"/>
  <c r="E183" i="49" s="1"/>
  <c r="G183" i="49" s="1"/>
  <c r="C183" i="50" s="1"/>
  <c r="E183" i="50" s="1"/>
  <c r="G183" i="50" s="1"/>
  <c r="C183" i="51" s="1"/>
  <c r="E183" i="51" s="1"/>
  <c r="G183" i="51" s="1"/>
  <c r="C183" i="52" s="1"/>
  <c r="E183" i="52" s="1"/>
  <c r="G183" i="52" s="1"/>
  <c r="C183" i="53" s="1"/>
  <c r="E183" i="53" s="1"/>
  <c r="G183" i="53" s="1"/>
  <c r="C183" i="54" s="1"/>
  <c r="E183" i="54" s="1"/>
  <c r="G183" i="54" s="1"/>
  <c r="C183" i="55" s="1"/>
  <c r="E183" i="55" s="1"/>
  <c r="G183" i="55" s="1"/>
  <c r="C183" i="56" s="1"/>
  <c r="E183" i="56" s="1"/>
  <c r="G183" i="56" s="1"/>
  <c r="C183" i="57" s="1"/>
  <c r="E183" i="57" s="1"/>
  <c r="G183" i="57" s="1"/>
  <c r="C183" i="58" s="1"/>
  <c r="E183" i="58" s="1"/>
  <c r="G183" i="58" s="1"/>
  <c r="C183" i="59" s="1"/>
  <c r="E183" i="59" s="1"/>
  <c r="G183" i="59" s="1"/>
  <c r="C183" i="60" s="1"/>
  <c r="E183" i="60" s="1"/>
  <c r="G183" i="60" s="1"/>
  <c r="C183" i="61" s="1"/>
  <c r="E183" i="61" s="1"/>
  <c r="G183" i="61" s="1"/>
  <c r="C183" i="62" s="1"/>
  <c r="E183" i="62" s="1"/>
  <c r="G183" i="62" s="1"/>
  <c r="C183" i="63" s="1"/>
  <c r="E183" i="63" s="1"/>
  <c r="G183" i="63" s="1"/>
  <c r="C183" i="64" s="1"/>
  <c r="E183" i="64" s="1"/>
  <c r="G183" i="64" s="1"/>
  <c r="E71" i="34"/>
  <c r="G71" i="34" s="1"/>
  <c r="C71" i="35" s="1"/>
  <c r="E71" i="35" s="1"/>
  <c r="G71" i="35" s="1"/>
  <c r="C71" i="36" s="1"/>
  <c r="E71" i="36" s="1"/>
  <c r="G71" i="36" s="1"/>
  <c r="C71" i="37" s="1"/>
  <c r="E71" i="37" s="1"/>
  <c r="G71" i="37" s="1"/>
  <c r="C71" i="38" s="1"/>
  <c r="E71" i="38" s="1"/>
  <c r="G71" i="38" s="1"/>
  <c r="C71" i="39" s="1"/>
  <c r="E71" i="39" s="1"/>
  <c r="G71" i="39" s="1"/>
  <c r="C71" i="40" s="1"/>
  <c r="E71" i="40" s="1"/>
  <c r="G71" i="40" s="1"/>
  <c r="C71" i="41" s="1"/>
  <c r="E71" i="41" s="1"/>
  <c r="G71" i="41" s="1"/>
  <c r="C71" i="42" s="1"/>
  <c r="E71" i="42" s="1"/>
  <c r="G71" i="42" s="1"/>
  <c r="C71" i="43" s="1"/>
  <c r="E71" i="43" s="1"/>
  <c r="G71" i="43" s="1"/>
  <c r="C71" i="44" s="1"/>
  <c r="E71" i="44" s="1"/>
  <c r="G71" i="44" s="1"/>
  <c r="C71" i="45" s="1"/>
  <c r="E71" i="45" s="1"/>
  <c r="G71" i="45" s="1"/>
  <c r="C71" i="46" s="1"/>
  <c r="E71" i="46" s="1"/>
  <c r="G71" i="46" s="1"/>
  <c r="C71" i="47" s="1"/>
  <c r="E71" i="47" s="1"/>
  <c r="G71" i="47" s="1"/>
  <c r="C71" i="48" s="1"/>
  <c r="E71" i="48" s="1"/>
  <c r="G71" i="48" s="1"/>
  <c r="C71" i="49" s="1"/>
  <c r="E71" i="49" s="1"/>
  <c r="G71" i="49" s="1"/>
  <c r="C71" i="50" s="1"/>
  <c r="E71" i="50" s="1"/>
  <c r="G71" i="50" s="1"/>
  <c r="C71" i="51" s="1"/>
  <c r="E71" i="51" s="1"/>
  <c r="G71" i="51" s="1"/>
  <c r="C71" i="52" s="1"/>
  <c r="E71" i="52" s="1"/>
  <c r="G71" i="52" s="1"/>
  <c r="C71" i="53" s="1"/>
  <c r="E71" i="53" s="1"/>
  <c r="G71" i="53" s="1"/>
  <c r="C71" i="54" s="1"/>
  <c r="E71" i="54" s="1"/>
  <c r="G71" i="54" s="1"/>
  <c r="C71" i="55" s="1"/>
  <c r="E71" i="55" s="1"/>
  <c r="G71" i="55" s="1"/>
  <c r="C71" i="56" s="1"/>
  <c r="E71" i="56" s="1"/>
  <c r="G71" i="56" s="1"/>
  <c r="C71" i="57" s="1"/>
  <c r="E71" i="57" s="1"/>
  <c r="G71" i="57" s="1"/>
  <c r="C71" i="58" s="1"/>
  <c r="E71" i="58" s="1"/>
  <c r="G71" i="58" s="1"/>
  <c r="C71" i="59" s="1"/>
  <c r="E71" i="59" s="1"/>
  <c r="G71" i="59" s="1"/>
  <c r="C71" i="60" s="1"/>
  <c r="E71" i="60" s="1"/>
  <c r="G71" i="60" s="1"/>
  <c r="C71" i="61" s="1"/>
  <c r="E71" i="61" s="1"/>
  <c r="G71" i="61" s="1"/>
  <c r="C71" i="62" s="1"/>
  <c r="E71" i="62" s="1"/>
  <c r="G71" i="62" s="1"/>
  <c r="C71" i="63" s="1"/>
  <c r="E71" i="63" s="1"/>
  <c r="G71" i="63" s="1"/>
  <c r="C71" i="64" s="1"/>
  <c r="E71" i="64" s="1"/>
  <c r="G71" i="64" s="1"/>
  <c r="E175" i="34"/>
  <c r="G175" i="34" s="1"/>
  <c r="C175" i="35" s="1"/>
  <c r="E175" i="35" s="1"/>
  <c r="G175" i="35" s="1"/>
  <c r="C175" i="36" s="1"/>
  <c r="E175" i="36" s="1"/>
  <c r="G175" i="36" s="1"/>
  <c r="C175" i="37" s="1"/>
  <c r="E175" i="37" s="1"/>
  <c r="G175" i="37" s="1"/>
  <c r="C175" i="38" s="1"/>
  <c r="E175" i="38" s="1"/>
  <c r="G175" i="38" s="1"/>
  <c r="C175" i="39" s="1"/>
  <c r="E175" i="39" s="1"/>
  <c r="G175" i="39" s="1"/>
  <c r="C175" i="40" s="1"/>
  <c r="E175" i="40" s="1"/>
  <c r="G175" i="40" s="1"/>
  <c r="C175" i="41" s="1"/>
  <c r="E175" i="41" s="1"/>
  <c r="G175" i="41" s="1"/>
  <c r="C175" i="42" s="1"/>
  <c r="E175" i="42" s="1"/>
  <c r="G175" i="42" s="1"/>
  <c r="C175" i="43" s="1"/>
  <c r="E175" i="43" s="1"/>
  <c r="G175" i="43" s="1"/>
  <c r="C175" i="44" s="1"/>
  <c r="E175" i="44" s="1"/>
  <c r="G175" i="44" s="1"/>
  <c r="C175" i="45" s="1"/>
  <c r="E175" i="45" s="1"/>
  <c r="G175" i="45" s="1"/>
  <c r="C175" i="46" s="1"/>
  <c r="E175" i="46" s="1"/>
  <c r="G175" i="46" s="1"/>
  <c r="C175" i="47" s="1"/>
  <c r="E175" i="47" s="1"/>
  <c r="G175" i="47" s="1"/>
  <c r="C175" i="48" s="1"/>
  <c r="E175" i="48" s="1"/>
  <c r="G175" i="48" s="1"/>
  <c r="C175" i="49" s="1"/>
  <c r="E175" i="49" s="1"/>
  <c r="G175" i="49" s="1"/>
  <c r="C175" i="50" s="1"/>
  <c r="E175" i="50" s="1"/>
  <c r="G175" i="50" s="1"/>
  <c r="C175" i="51" s="1"/>
  <c r="E175" i="51" s="1"/>
  <c r="G175" i="51" s="1"/>
  <c r="C175" i="52" s="1"/>
  <c r="E175" i="52" s="1"/>
  <c r="G175" i="52" s="1"/>
  <c r="C175" i="53" s="1"/>
  <c r="E175" i="53" s="1"/>
  <c r="G175" i="53" s="1"/>
  <c r="C175" i="54" s="1"/>
  <c r="E175" i="54" s="1"/>
  <c r="G175" i="54" s="1"/>
  <c r="C175" i="55" s="1"/>
  <c r="E175" i="55" s="1"/>
  <c r="G175" i="55" s="1"/>
  <c r="C175" i="56" s="1"/>
  <c r="E175" i="56" s="1"/>
  <c r="G175" i="56" s="1"/>
  <c r="C175" i="57" s="1"/>
  <c r="E175" i="57" s="1"/>
  <c r="G175" i="57" s="1"/>
  <c r="C175" i="58" s="1"/>
  <c r="E175" i="58" s="1"/>
  <c r="G175" i="58" s="1"/>
  <c r="C175" i="59" s="1"/>
  <c r="E175" i="59" s="1"/>
  <c r="G175" i="59" s="1"/>
  <c r="C175" i="60" s="1"/>
  <c r="E175" i="60" s="1"/>
  <c r="G175" i="60" s="1"/>
  <c r="C175" i="61" s="1"/>
  <c r="E175" i="61" s="1"/>
  <c r="G175" i="61" s="1"/>
  <c r="C175" i="62" s="1"/>
  <c r="E175" i="62" s="1"/>
  <c r="G175" i="62" s="1"/>
  <c r="C175" i="63" s="1"/>
  <c r="E175" i="63" s="1"/>
  <c r="G175" i="63" s="1"/>
  <c r="C175" i="64" s="1"/>
  <c r="E175" i="64" s="1"/>
  <c r="G175" i="64" s="1"/>
  <c r="E142" i="34"/>
  <c r="G142" i="34" s="1"/>
  <c r="C142" i="35" s="1"/>
  <c r="E142" i="35" s="1"/>
  <c r="G142" i="35" s="1"/>
  <c r="C142" i="36" s="1"/>
  <c r="E142" i="36" s="1"/>
  <c r="G142" i="36" s="1"/>
  <c r="C142" i="37" s="1"/>
  <c r="E142" i="37" s="1"/>
  <c r="G142" i="37" s="1"/>
  <c r="C142" i="38" s="1"/>
  <c r="E142" i="38" s="1"/>
  <c r="G142" i="38" s="1"/>
  <c r="C142" i="39" s="1"/>
  <c r="E142" i="39" s="1"/>
  <c r="G142" i="39" s="1"/>
  <c r="C142" i="40" s="1"/>
  <c r="E142" i="40" s="1"/>
  <c r="G142" i="40" s="1"/>
  <c r="C142" i="41" s="1"/>
  <c r="E142" i="41" s="1"/>
  <c r="G142" i="41" s="1"/>
  <c r="C142" i="42" s="1"/>
  <c r="E142" i="42" s="1"/>
  <c r="G142" i="42" s="1"/>
  <c r="C142" i="43" s="1"/>
  <c r="E142" i="43" s="1"/>
  <c r="G142" i="43" s="1"/>
  <c r="C142" i="44" s="1"/>
  <c r="E142" i="44" s="1"/>
  <c r="G142" i="44" s="1"/>
  <c r="C142" i="45" s="1"/>
  <c r="E142" i="45" s="1"/>
  <c r="G142" i="45" s="1"/>
  <c r="C142" i="46" s="1"/>
  <c r="E142" i="46" s="1"/>
  <c r="G142" i="46" s="1"/>
  <c r="C142" i="47" s="1"/>
  <c r="E142" i="47" s="1"/>
  <c r="G142" i="47" s="1"/>
  <c r="C142" i="48" s="1"/>
  <c r="E142" i="48" s="1"/>
  <c r="G142" i="48" s="1"/>
  <c r="C142" i="49" s="1"/>
  <c r="E142" i="49" s="1"/>
  <c r="G142" i="49" s="1"/>
  <c r="C142" i="50" s="1"/>
  <c r="E142" i="50" s="1"/>
  <c r="G142" i="50" s="1"/>
  <c r="C142" i="51" s="1"/>
  <c r="E142" i="51" s="1"/>
  <c r="G142" i="51" s="1"/>
  <c r="C142" i="52" s="1"/>
  <c r="E142" i="52" s="1"/>
  <c r="G142" i="52" s="1"/>
  <c r="C142" i="53" s="1"/>
  <c r="E142" i="53" s="1"/>
  <c r="G142" i="53" s="1"/>
  <c r="C142" i="54" s="1"/>
  <c r="E142" i="54" s="1"/>
  <c r="G142" i="54" s="1"/>
  <c r="C142" i="55" s="1"/>
  <c r="E142" i="55" s="1"/>
  <c r="G142" i="55" s="1"/>
  <c r="C142" i="56" s="1"/>
  <c r="E142" i="56" s="1"/>
  <c r="G142" i="56" s="1"/>
  <c r="C142" i="57" s="1"/>
  <c r="E142" i="57" s="1"/>
  <c r="G142" i="57" s="1"/>
  <c r="C142" i="58" s="1"/>
  <c r="E142" i="58" s="1"/>
  <c r="G142" i="58" s="1"/>
  <c r="C142" i="59" s="1"/>
  <c r="E142" i="59" s="1"/>
  <c r="G142" i="59" s="1"/>
  <c r="C142" i="60" s="1"/>
  <c r="E142" i="60" s="1"/>
  <c r="G142" i="60" s="1"/>
  <c r="C142" i="61" s="1"/>
  <c r="E142" i="61" s="1"/>
  <c r="G142" i="61" s="1"/>
  <c r="C142" i="62" s="1"/>
  <c r="E142" i="62" s="1"/>
  <c r="G142" i="62" s="1"/>
  <c r="C142" i="63" s="1"/>
  <c r="E142" i="63" s="1"/>
  <c r="G142" i="63" s="1"/>
  <c r="C142" i="64" s="1"/>
  <c r="E142" i="64" s="1"/>
  <c r="G142" i="64" s="1"/>
  <c r="E126" i="34"/>
  <c r="G126" i="34" s="1"/>
  <c r="C126" i="35" s="1"/>
  <c r="E126" i="35" s="1"/>
  <c r="G126" i="35" s="1"/>
  <c r="C126" i="36" s="1"/>
  <c r="E126" i="36" s="1"/>
  <c r="G126" i="36" s="1"/>
  <c r="C126" i="37" s="1"/>
  <c r="E126" i="37" s="1"/>
  <c r="G126" i="37" s="1"/>
  <c r="C126" i="38" s="1"/>
  <c r="E126" i="38" s="1"/>
  <c r="G126" i="38" s="1"/>
  <c r="C126" i="39" s="1"/>
  <c r="E126" i="39" s="1"/>
  <c r="G126" i="39" s="1"/>
  <c r="C126" i="40" s="1"/>
  <c r="E126" i="40" s="1"/>
  <c r="G126" i="40" s="1"/>
  <c r="C126" i="41" s="1"/>
  <c r="E126" i="41" s="1"/>
  <c r="G126" i="41" s="1"/>
  <c r="C126" i="42" s="1"/>
  <c r="E126" i="42" s="1"/>
  <c r="G126" i="42" s="1"/>
  <c r="C126" i="43" s="1"/>
  <c r="E126" i="43" s="1"/>
  <c r="G126" i="43" s="1"/>
  <c r="C126" i="44" s="1"/>
  <c r="E126" i="44" s="1"/>
  <c r="G126" i="44" s="1"/>
  <c r="C126" i="45" s="1"/>
  <c r="E126" i="45" s="1"/>
  <c r="G126" i="45" s="1"/>
  <c r="C126" i="46" s="1"/>
  <c r="E126" i="46" s="1"/>
  <c r="G126" i="46" s="1"/>
  <c r="C126" i="47" s="1"/>
  <c r="E126" i="47" s="1"/>
  <c r="G126" i="47" s="1"/>
  <c r="C126" i="48" s="1"/>
  <c r="E126" i="48" s="1"/>
  <c r="G126" i="48" s="1"/>
  <c r="C126" i="49" s="1"/>
  <c r="E126" i="49" s="1"/>
  <c r="G126" i="49" s="1"/>
  <c r="C126" i="50" s="1"/>
  <c r="E126" i="50" s="1"/>
  <c r="G126" i="50" s="1"/>
  <c r="C126" i="51" s="1"/>
  <c r="E126" i="51" s="1"/>
  <c r="G126" i="51" s="1"/>
  <c r="C126" i="52" s="1"/>
  <c r="E126" i="52" s="1"/>
  <c r="G126" i="52" s="1"/>
  <c r="C126" i="53" s="1"/>
  <c r="E126" i="53" s="1"/>
  <c r="G126" i="53" s="1"/>
  <c r="C126" i="54" s="1"/>
  <c r="E126" i="54" s="1"/>
  <c r="G126" i="54" s="1"/>
  <c r="C126" i="55" s="1"/>
  <c r="E126" i="55" s="1"/>
  <c r="G126" i="55" s="1"/>
  <c r="C126" i="56" s="1"/>
  <c r="E126" i="56" s="1"/>
  <c r="G126" i="56" s="1"/>
  <c r="C126" i="57" s="1"/>
  <c r="E126" i="57" s="1"/>
  <c r="G126" i="57" s="1"/>
  <c r="C126" i="58" s="1"/>
  <c r="E126" i="58" s="1"/>
  <c r="G126" i="58" s="1"/>
  <c r="C126" i="59" s="1"/>
  <c r="E126" i="59" s="1"/>
  <c r="G126" i="59" s="1"/>
  <c r="C126" i="60" s="1"/>
  <c r="E126" i="60" s="1"/>
  <c r="G126" i="60" s="1"/>
  <c r="C126" i="61" s="1"/>
  <c r="E126" i="61" s="1"/>
  <c r="G126" i="61" s="1"/>
  <c r="C126" i="62" s="1"/>
  <c r="E126" i="62" s="1"/>
  <c r="G126" i="62" s="1"/>
  <c r="C126" i="63" s="1"/>
  <c r="E126" i="63" s="1"/>
  <c r="G126" i="63" s="1"/>
  <c r="C126" i="64" s="1"/>
  <c r="E126" i="64" s="1"/>
  <c r="G126" i="64" s="1"/>
  <c r="E137" i="34"/>
  <c r="G137" i="34" s="1"/>
  <c r="C137" i="35" s="1"/>
  <c r="E137" i="35" s="1"/>
  <c r="G137" i="35" s="1"/>
  <c r="C137" i="36" s="1"/>
  <c r="E137" i="36" s="1"/>
  <c r="G137" i="36" s="1"/>
  <c r="C137" i="37" s="1"/>
  <c r="E137" i="37" s="1"/>
  <c r="G137" i="37" s="1"/>
  <c r="C137" i="38" s="1"/>
  <c r="E137" i="38" s="1"/>
  <c r="G137" i="38" s="1"/>
  <c r="C137" i="39" s="1"/>
  <c r="E137" i="39" s="1"/>
  <c r="G137" i="39" s="1"/>
  <c r="C137" i="40" s="1"/>
  <c r="E137" i="40" s="1"/>
  <c r="G137" i="40" s="1"/>
  <c r="C137" i="41" s="1"/>
  <c r="E137" i="41" s="1"/>
  <c r="G137" i="41" s="1"/>
  <c r="C137" i="42" s="1"/>
  <c r="E137" i="42" s="1"/>
  <c r="G137" i="42" s="1"/>
  <c r="C137" i="43" s="1"/>
  <c r="E137" i="43" s="1"/>
  <c r="G137" i="43" s="1"/>
  <c r="C137" i="44" s="1"/>
  <c r="E137" i="44" s="1"/>
  <c r="G137" i="44" s="1"/>
  <c r="C137" i="45" s="1"/>
  <c r="E137" i="45" s="1"/>
  <c r="G137" i="45" s="1"/>
  <c r="C137" i="46" s="1"/>
  <c r="E137" i="46" s="1"/>
  <c r="G137" i="46" s="1"/>
  <c r="C137" i="47" s="1"/>
  <c r="E137" i="47" s="1"/>
  <c r="G137" i="47" s="1"/>
  <c r="C137" i="48" s="1"/>
  <c r="E137" i="48" s="1"/>
  <c r="G137" i="48" s="1"/>
  <c r="C137" i="49" s="1"/>
  <c r="E137" i="49" s="1"/>
  <c r="G137" i="49" s="1"/>
  <c r="C137" i="50" s="1"/>
  <c r="E137" i="50" s="1"/>
  <c r="G137" i="50" s="1"/>
  <c r="C137" i="51" s="1"/>
  <c r="E137" i="51" s="1"/>
  <c r="G137" i="51" s="1"/>
  <c r="C137" i="52" s="1"/>
  <c r="E137" i="52" s="1"/>
  <c r="G137" i="52" s="1"/>
  <c r="C137" i="53" s="1"/>
  <c r="E137" i="53" s="1"/>
  <c r="G137" i="53" s="1"/>
  <c r="C137" i="54" s="1"/>
  <c r="E137" i="54" s="1"/>
  <c r="G137" i="54" s="1"/>
  <c r="C137" i="55" s="1"/>
  <c r="E137" i="55" s="1"/>
  <c r="G137" i="55" s="1"/>
  <c r="C137" i="56" s="1"/>
  <c r="E137" i="56" s="1"/>
  <c r="G137" i="56" s="1"/>
  <c r="C137" i="57" s="1"/>
  <c r="E137" i="57" s="1"/>
  <c r="G137" i="57" s="1"/>
  <c r="C137" i="58" s="1"/>
  <c r="E137" i="58" s="1"/>
  <c r="G137" i="58" s="1"/>
  <c r="C137" i="59" s="1"/>
  <c r="E137" i="59" s="1"/>
  <c r="G137" i="59" s="1"/>
  <c r="C137" i="60" s="1"/>
  <c r="E137" i="60" s="1"/>
  <c r="G137" i="60" s="1"/>
  <c r="C137" i="61" s="1"/>
  <c r="E137" i="61" s="1"/>
  <c r="G137" i="61" s="1"/>
  <c r="C137" i="62" s="1"/>
  <c r="E137" i="62" s="1"/>
  <c r="G137" i="62" s="1"/>
  <c r="C137" i="63" s="1"/>
  <c r="E137" i="63" s="1"/>
  <c r="G137" i="63" s="1"/>
  <c r="C137" i="64" s="1"/>
  <c r="E137" i="64" s="1"/>
  <c r="G137" i="64" s="1"/>
  <c r="E56" i="34"/>
  <c r="G56" i="34" s="1"/>
  <c r="C56" i="35" s="1"/>
  <c r="E56" i="35" s="1"/>
  <c r="G56" i="35" s="1"/>
  <c r="C56" i="36" s="1"/>
  <c r="E56" i="36" s="1"/>
  <c r="G56" i="36" s="1"/>
  <c r="C56" i="37" s="1"/>
  <c r="E56" i="37" s="1"/>
  <c r="G56" i="37" s="1"/>
  <c r="C56" i="38" s="1"/>
  <c r="E56" i="38" s="1"/>
  <c r="G56" i="38" s="1"/>
  <c r="C56" i="39" s="1"/>
  <c r="E56" i="39" s="1"/>
  <c r="G56" i="39" s="1"/>
  <c r="C56" i="40" s="1"/>
  <c r="E56" i="40" s="1"/>
  <c r="G56" i="40" s="1"/>
  <c r="C56" i="41" s="1"/>
  <c r="E56" i="41" s="1"/>
  <c r="G56" i="41" s="1"/>
  <c r="C56" i="42" s="1"/>
  <c r="E56" i="42" s="1"/>
  <c r="G56" i="42" s="1"/>
  <c r="C56" i="43" s="1"/>
  <c r="E56" i="43" s="1"/>
  <c r="G56" i="43" s="1"/>
  <c r="C56" i="44" s="1"/>
  <c r="E56" i="44" s="1"/>
  <c r="G56" i="44" s="1"/>
  <c r="C56" i="45" s="1"/>
  <c r="E56" i="45" s="1"/>
  <c r="G56" i="45" s="1"/>
  <c r="C56" i="46" s="1"/>
  <c r="E56" i="46" s="1"/>
  <c r="G56" i="46" s="1"/>
  <c r="C56" i="47" s="1"/>
  <c r="E56" i="47" s="1"/>
  <c r="G56" i="47" s="1"/>
  <c r="C56" i="48" s="1"/>
  <c r="E56" i="48" s="1"/>
  <c r="G56" i="48" s="1"/>
  <c r="C56" i="49" s="1"/>
  <c r="E56" i="49" s="1"/>
  <c r="G56" i="49" s="1"/>
  <c r="C56" i="50" s="1"/>
  <c r="E56" i="50" s="1"/>
  <c r="G56" i="50" s="1"/>
  <c r="C56" i="51" s="1"/>
  <c r="E56" i="51" s="1"/>
  <c r="G56" i="51" s="1"/>
  <c r="C56" i="52" s="1"/>
  <c r="E56" i="52" s="1"/>
  <c r="G56" i="52" s="1"/>
  <c r="C56" i="53" s="1"/>
  <c r="E56" i="53" s="1"/>
  <c r="G56" i="53" s="1"/>
  <c r="C56" i="54" s="1"/>
  <c r="E56" i="54" s="1"/>
  <c r="G56" i="54" s="1"/>
  <c r="C56" i="55" s="1"/>
  <c r="E56" i="55" s="1"/>
  <c r="G56" i="55" s="1"/>
  <c r="C56" i="56" s="1"/>
  <c r="E56" i="56" s="1"/>
  <c r="G56" i="56" s="1"/>
  <c r="C56" i="57" s="1"/>
  <c r="E56" i="57" s="1"/>
  <c r="G56" i="57" s="1"/>
  <c r="C56" i="58" s="1"/>
  <c r="E56" i="58" s="1"/>
  <c r="G56" i="58" s="1"/>
  <c r="C56" i="59" s="1"/>
  <c r="E56" i="59" s="1"/>
  <c r="G56" i="59" s="1"/>
  <c r="C56" i="60" s="1"/>
  <c r="E56" i="60" s="1"/>
  <c r="G56" i="60" s="1"/>
  <c r="C56" i="61" s="1"/>
  <c r="E56" i="61" s="1"/>
  <c r="G56" i="61" s="1"/>
  <c r="C56" i="62" s="1"/>
  <c r="E56" i="62" s="1"/>
  <c r="G56" i="62" s="1"/>
  <c r="C56" i="63" s="1"/>
  <c r="E56" i="63" s="1"/>
  <c r="G56" i="63" s="1"/>
  <c r="C56" i="64" s="1"/>
  <c r="E56" i="64" s="1"/>
  <c r="G56" i="64" s="1"/>
  <c r="E47" i="34"/>
  <c r="G47" i="34" s="1"/>
  <c r="C47" i="35" s="1"/>
  <c r="E47" i="35" s="1"/>
  <c r="G47" i="35" s="1"/>
  <c r="C47" i="36" s="1"/>
  <c r="E47" i="36" s="1"/>
  <c r="G47" i="36" s="1"/>
  <c r="C47" i="37" s="1"/>
  <c r="E47" i="37" s="1"/>
  <c r="G47" i="37" s="1"/>
  <c r="C47" i="38" s="1"/>
  <c r="E47" i="38" s="1"/>
  <c r="G47" i="38" s="1"/>
  <c r="C47" i="39" s="1"/>
  <c r="E47" i="39" s="1"/>
  <c r="G47" i="39" s="1"/>
  <c r="C47" i="40" s="1"/>
  <c r="E47" i="40" s="1"/>
  <c r="G47" i="40" s="1"/>
  <c r="C47" i="41" s="1"/>
  <c r="E47" i="41" s="1"/>
  <c r="G47" i="41" s="1"/>
  <c r="C47" i="42" s="1"/>
  <c r="E47" i="42" s="1"/>
  <c r="G47" i="42" s="1"/>
  <c r="C47" i="43" s="1"/>
  <c r="E47" i="43" s="1"/>
  <c r="G47" i="43" s="1"/>
  <c r="C47" i="44" s="1"/>
  <c r="E47" i="44" s="1"/>
  <c r="G47" i="44" s="1"/>
  <c r="C47" i="45" s="1"/>
  <c r="E47" i="45" s="1"/>
  <c r="G47" i="45" s="1"/>
  <c r="C47" i="46" s="1"/>
  <c r="E47" i="46" s="1"/>
  <c r="G47" i="46" s="1"/>
  <c r="C47" i="47" s="1"/>
  <c r="E47" i="47" s="1"/>
  <c r="G47" i="47" s="1"/>
  <c r="C47" i="48" s="1"/>
  <c r="E47" i="48" s="1"/>
  <c r="G47" i="48" s="1"/>
  <c r="C47" i="49" s="1"/>
  <c r="E47" i="49" s="1"/>
  <c r="G47" i="49" s="1"/>
  <c r="C47" i="50" s="1"/>
  <c r="E47" i="50" s="1"/>
  <c r="G47" i="50" s="1"/>
  <c r="C47" i="51" s="1"/>
  <c r="E47" i="51" s="1"/>
  <c r="G47" i="51" s="1"/>
  <c r="C47" i="52" s="1"/>
  <c r="E47" i="52" s="1"/>
  <c r="G47" i="52" s="1"/>
  <c r="C47" i="53" s="1"/>
  <c r="E47" i="53" s="1"/>
  <c r="G47" i="53" s="1"/>
  <c r="C47" i="54" s="1"/>
  <c r="E47" i="54" s="1"/>
  <c r="G47" i="54" s="1"/>
  <c r="C47" i="55" s="1"/>
  <c r="E47" i="55" s="1"/>
  <c r="G47" i="55" s="1"/>
  <c r="C47" i="56" s="1"/>
  <c r="E47" i="56" s="1"/>
  <c r="G47" i="56" s="1"/>
  <c r="C47" i="57" s="1"/>
  <c r="E47" i="57" s="1"/>
  <c r="G47" i="57" s="1"/>
  <c r="C47" i="58" s="1"/>
  <c r="E47" i="58" s="1"/>
  <c r="G47" i="58" s="1"/>
  <c r="C47" i="59" s="1"/>
  <c r="E47" i="59" s="1"/>
  <c r="G47" i="59" s="1"/>
  <c r="C47" i="60" s="1"/>
  <c r="E47" i="60" s="1"/>
  <c r="G47" i="60" s="1"/>
  <c r="C47" i="61" s="1"/>
  <c r="E47" i="61" s="1"/>
  <c r="G47" i="61" s="1"/>
  <c r="C47" i="62" s="1"/>
  <c r="E47" i="62" s="1"/>
  <c r="G47" i="62" s="1"/>
  <c r="C47" i="63" s="1"/>
  <c r="E47" i="63" s="1"/>
  <c r="G47" i="63" s="1"/>
  <c r="C47" i="64" s="1"/>
  <c r="E47" i="64" s="1"/>
  <c r="G47" i="64" s="1"/>
  <c r="E110" i="34"/>
  <c r="G110" i="34" s="1"/>
  <c r="C110" i="35" s="1"/>
  <c r="E110" i="35" s="1"/>
  <c r="G110" i="35" s="1"/>
  <c r="C110" i="36" s="1"/>
  <c r="E110" i="36" s="1"/>
  <c r="G110" i="36" s="1"/>
  <c r="C110" i="37" s="1"/>
  <c r="E110" i="37" s="1"/>
  <c r="G110" i="37" s="1"/>
  <c r="C110" i="38" s="1"/>
  <c r="E110" i="38" s="1"/>
  <c r="G110" i="38" s="1"/>
  <c r="C110" i="39" s="1"/>
  <c r="E110" i="39" s="1"/>
  <c r="G110" i="39" s="1"/>
  <c r="C110" i="40" s="1"/>
  <c r="E110" i="40" s="1"/>
  <c r="G110" i="40" s="1"/>
  <c r="C110" i="41" s="1"/>
  <c r="E110" i="41" s="1"/>
  <c r="G110" i="41" s="1"/>
  <c r="C110" i="42" s="1"/>
  <c r="E110" i="42" s="1"/>
  <c r="G110" i="42" s="1"/>
  <c r="C110" i="43" s="1"/>
  <c r="E110" i="43" s="1"/>
  <c r="G110" i="43" s="1"/>
  <c r="C110" i="44" s="1"/>
  <c r="E110" i="44" s="1"/>
  <c r="G110" i="44" s="1"/>
  <c r="C110" i="45" s="1"/>
  <c r="E110" i="45" s="1"/>
  <c r="G110" i="45" s="1"/>
  <c r="C110" i="46" s="1"/>
  <c r="E110" i="46" s="1"/>
  <c r="G110" i="46" s="1"/>
  <c r="C110" i="47" s="1"/>
  <c r="E110" i="47" s="1"/>
  <c r="G110" i="47" s="1"/>
  <c r="C110" i="48" s="1"/>
  <c r="E110" i="48" s="1"/>
  <c r="G110" i="48" s="1"/>
  <c r="C110" i="49" s="1"/>
  <c r="E110" i="49" s="1"/>
  <c r="G110" i="49" s="1"/>
  <c r="C110" i="50" s="1"/>
  <c r="E110" i="50" s="1"/>
  <c r="G110" i="50" s="1"/>
  <c r="C110" i="51" s="1"/>
  <c r="E110" i="51" s="1"/>
  <c r="G110" i="51" s="1"/>
  <c r="C110" i="52" s="1"/>
  <c r="E110" i="52" s="1"/>
  <c r="G110" i="52" s="1"/>
  <c r="C110" i="53" s="1"/>
  <c r="E110" i="53" s="1"/>
  <c r="G110" i="53" s="1"/>
  <c r="C110" i="54" s="1"/>
  <c r="E110" i="54" s="1"/>
  <c r="G110" i="54" s="1"/>
  <c r="C110" i="55" s="1"/>
  <c r="E110" i="55" s="1"/>
  <c r="G110" i="55" s="1"/>
  <c r="C110" i="56" s="1"/>
  <c r="E110" i="56" s="1"/>
  <c r="G110" i="56" s="1"/>
  <c r="C110" i="57" s="1"/>
  <c r="E110" i="57" s="1"/>
  <c r="G110" i="57" s="1"/>
  <c r="C110" i="58" s="1"/>
  <c r="E110" i="58" s="1"/>
  <c r="G110" i="58" s="1"/>
  <c r="C110" i="59" s="1"/>
  <c r="E110" i="59" s="1"/>
  <c r="G110" i="59" s="1"/>
  <c r="C110" i="60" s="1"/>
  <c r="E110" i="60" s="1"/>
  <c r="G110" i="60" s="1"/>
  <c r="C110" i="61" s="1"/>
  <c r="E110" i="61" s="1"/>
  <c r="G110" i="61" s="1"/>
  <c r="C110" i="62" s="1"/>
  <c r="E110" i="62" s="1"/>
  <c r="G110" i="62" s="1"/>
  <c r="C110" i="63" s="1"/>
  <c r="E110" i="63" s="1"/>
  <c r="G110" i="63" s="1"/>
  <c r="C110" i="64" s="1"/>
  <c r="E110" i="64" s="1"/>
  <c r="G110" i="64" s="1"/>
  <c r="E57" i="34"/>
  <c r="G57" i="34" s="1"/>
  <c r="C57" i="35" s="1"/>
  <c r="E57" i="35" s="1"/>
  <c r="G57" i="35" s="1"/>
  <c r="C57" i="36" s="1"/>
  <c r="E57" i="36" s="1"/>
  <c r="G57" i="36" s="1"/>
  <c r="C57" i="37" s="1"/>
  <c r="E57" i="37" s="1"/>
  <c r="G57" i="37" s="1"/>
  <c r="C57" i="38" s="1"/>
  <c r="E57" i="38" s="1"/>
  <c r="G57" i="38" s="1"/>
  <c r="C57" i="39" s="1"/>
  <c r="E57" i="39" s="1"/>
  <c r="G57" i="39" s="1"/>
  <c r="C57" i="40" s="1"/>
  <c r="E57" i="40" s="1"/>
  <c r="G57" i="40" s="1"/>
  <c r="C57" i="41" s="1"/>
  <c r="E57" i="41" s="1"/>
  <c r="G57" i="41" s="1"/>
  <c r="C57" i="42" s="1"/>
  <c r="E57" i="42" s="1"/>
  <c r="G57" i="42" s="1"/>
  <c r="C57" i="43" s="1"/>
  <c r="E57" i="43" s="1"/>
  <c r="G57" i="43" s="1"/>
  <c r="C57" i="44" s="1"/>
  <c r="E57" i="44" s="1"/>
  <c r="G57" i="44" s="1"/>
  <c r="C57" i="45" s="1"/>
  <c r="E57" i="45" s="1"/>
  <c r="G57" i="45" s="1"/>
  <c r="C57" i="46" s="1"/>
  <c r="E57" i="46" s="1"/>
  <c r="G57" i="46" s="1"/>
  <c r="C57" i="47" s="1"/>
  <c r="E57" i="47" s="1"/>
  <c r="G57" i="47" s="1"/>
  <c r="C57" i="48" s="1"/>
  <c r="E57" i="48" s="1"/>
  <c r="G57" i="48" s="1"/>
  <c r="C57" i="49" s="1"/>
  <c r="E57" i="49" s="1"/>
  <c r="G57" i="49" s="1"/>
  <c r="C57" i="50" s="1"/>
  <c r="E57" i="50" s="1"/>
  <c r="G57" i="50" s="1"/>
  <c r="C57" i="51" s="1"/>
  <c r="E57" i="51" s="1"/>
  <c r="G57" i="51" s="1"/>
  <c r="C57" i="52" s="1"/>
  <c r="E57" i="52" s="1"/>
  <c r="G57" i="52" s="1"/>
  <c r="C57" i="53" s="1"/>
  <c r="E57" i="53" s="1"/>
  <c r="G57" i="53" s="1"/>
  <c r="C57" i="54" s="1"/>
  <c r="E57" i="54" s="1"/>
  <c r="G57" i="54" s="1"/>
  <c r="C57" i="55" s="1"/>
  <c r="E57" i="55" s="1"/>
  <c r="G57" i="55" s="1"/>
  <c r="C57" i="56" s="1"/>
  <c r="E57" i="56" s="1"/>
  <c r="G57" i="56" s="1"/>
  <c r="C57" i="57" s="1"/>
  <c r="E57" i="57" s="1"/>
  <c r="G57" i="57" s="1"/>
  <c r="C57" i="58" s="1"/>
  <c r="E57" i="58" s="1"/>
  <c r="G57" i="58" s="1"/>
  <c r="C57" i="59" s="1"/>
  <c r="E57" i="59" s="1"/>
  <c r="G57" i="59" s="1"/>
  <c r="C57" i="60" s="1"/>
  <c r="E57" i="60" s="1"/>
  <c r="G57" i="60" s="1"/>
  <c r="C57" i="61" s="1"/>
  <c r="E57" i="61" s="1"/>
  <c r="G57" i="61" s="1"/>
  <c r="C57" i="62" s="1"/>
  <c r="E57" i="62" s="1"/>
  <c r="G57" i="62" s="1"/>
  <c r="C57" i="63" s="1"/>
  <c r="E57" i="63" s="1"/>
  <c r="G57" i="63" s="1"/>
  <c r="C57" i="64" s="1"/>
  <c r="E57" i="64" s="1"/>
  <c r="G57" i="64" s="1"/>
  <c r="E103" i="34"/>
  <c r="G103" i="34" s="1"/>
  <c r="C103" i="35" s="1"/>
  <c r="E103" i="35" s="1"/>
  <c r="G103" i="35" s="1"/>
  <c r="C103" i="36" s="1"/>
  <c r="E103" i="36" s="1"/>
  <c r="G103" i="36" s="1"/>
  <c r="C103" i="37" s="1"/>
  <c r="E103" i="37" s="1"/>
  <c r="G103" i="37" s="1"/>
  <c r="C103" i="38" s="1"/>
  <c r="E103" i="38" s="1"/>
  <c r="G103" i="38" s="1"/>
  <c r="C103" i="39" s="1"/>
  <c r="E103" i="39" s="1"/>
  <c r="G103" i="39" s="1"/>
  <c r="C103" i="40" s="1"/>
  <c r="E103" i="40" s="1"/>
  <c r="G103" i="40" s="1"/>
  <c r="C103" i="41" s="1"/>
  <c r="E103" i="41" s="1"/>
  <c r="G103" i="41" s="1"/>
  <c r="C103" i="42" s="1"/>
  <c r="E103" i="42" s="1"/>
  <c r="G103" i="42" s="1"/>
  <c r="C103" i="43" s="1"/>
  <c r="E103" i="43" s="1"/>
  <c r="G103" i="43" s="1"/>
  <c r="C103" i="44" s="1"/>
  <c r="E103" i="44" s="1"/>
  <c r="G103" i="44" s="1"/>
  <c r="C103" i="45" s="1"/>
  <c r="E103" i="45" s="1"/>
  <c r="G103" i="45" s="1"/>
  <c r="C103" i="46" s="1"/>
  <c r="E103" i="46" s="1"/>
  <c r="G103" i="46" s="1"/>
  <c r="C103" i="47" s="1"/>
  <c r="E103" i="47" s="1"/>
  <c r="G103" i="47" s="1"/>
  <c r="C103" i="48" s="1"/>
  <c r="E103" i="48" s="1"/>
  <c r="G103" i="48" s="1"/>
  <c r="C103" i="49" s="1"/>
  <c r="E103" i="49" s="1"/>
  <c r="G103" i="49" s="1"/>
  <c r="C103" i="50" s="1"/>
  <c r="E103" i="50" s="1"/>
  <c r="G103" i="50" s="1"/>
  <c r="C103" i="51" s="1"/>
  <c r="E103" i="51" s="1"/>
  <c r="G103" i="51" s="1"/>
  <c r="C103" i="52" s="1"/>
  <c r="E103" i="52" s="1"/>
  <c r="G103" i="52" s="1"/>
  <c r="C103" i="53" s="1"/>
  <c r="E103" i="53" s="1"/>
  <c r="G103" i="53" s="1"/>
  <c r="C103" i="54" s="1"/>
  <c r="E103" i="54" s="1"/>
  <c r="G103" i="54" s="1"/>
  <c r="C103" i="55" s="1"/>
  <c r="E103" i="55" s="1"/>
  <c r="G103" i="55" s="1"/>
  <c r="C103" i="56" s="1"/>
  <c r="E103" i="56" s="1"/>
  <c r="G103" i="56" s="1"/>
  <c r="C103" i="57" s="1"/>
  <c r="E103" i="57" s="1"/>
  <c r="G103" i="57" s="1"/>
  <c r="C103" i="58" s="1"/>
  <c r="E103" i="58" s="1"/>
  <c r="G103" i="58" s="1"/>
  <c r="C103" i="59" s="1"/>
  <c r="E103" i="59" s="1"/>
  <c r="G103" i="59" s="1"/>
  <c r="C103" i="60" s="1"/>
  <c r="E103" i="60" s="1"/>
  <c r="G103" i="60" s="1"/>
  <c r="C103" i="61" s="1"/>
  <c r="E103" i="61" s="1"/>
  <c r="G103" i="61" s="1"/>
  <c r="C103" i="62" s="1"/>
  <c r="E103" i="62" s="1"/>
  <c r="G103" i="62" s="1"/>
  <c r="C103" i="63" s="1"/>
  <c r="E103" i="63" s="1"/>
  <c r="G103" i="63" s="1"/>
  <c r="C103" i="64" s="1"/>
  <c r="E103" i="64" s="1"/>
  <c r="G103" i="64" s="1"/>
  <c r="E55" i="34"/>
  <c r="G55" i="34" s="1"/>
  <c r="C55" i="35" s="1"/>
  <c r="E55" i="35" s="1"/>
  <c r="G55" i="35" s="1"/>
  <c r="C55" i="36" s="1"/>
  <c r="E55" i="36" s="1"/>
  <c r="G55" i="36" s="1"/>
  <c r="C55" i="37" s="1"/>
  <c r="E55" i="37" s="1"/>
  <c r="G55" i="37" s="1"/>
  <c r="C55" i="38" s="1"/>
  <c r="E55" i="38" s="1"/>
  <c r="G55" i="38" s="1"/>
  <c r="C55" i="39" s="1"/>
  <c r="E55" i="39" s="1"/>
  <c r="G55" i="39" s="1"/>
  <c r="C55" i="40" s="1"/>
  <c r="E55" i="40" s="1"/>
  <c r="G55" i="40" s="1"/>
  <c r="C55" i="41" s="1"/>
  <c r="E55" i="41" s="1"/>
  <c r="G55" i="41" s="1"/>
  <c r="C55" i="42" s="1"/>
  <c r="E55" i="42" s="1"/>
  <c r="G55" i="42" s="1"/>
  <c r="C55" i="43" s="1"/>
  <c r="E55" i="43" s="1"/>
  <c r="G55" i="43" s="1"/>
  <c r="C55" i="44" s="1"/>
  <c r="E55" i="44" s="1"/>
  <c r="G55" i="44" s="1"/>
  <c r="C55" i="45" s="1"/>
  <c r="E55" i="45" s="1"/>
  <c r="G55" i="45" s="1"/>
  <c r="C55" i="46" s="1"/>
  <c r="E55" i="46" s="1"/>
  <c r="G55" i="46" s="1"/>
  <c r="C55" i="47" s="1"/>
  <c r="E55" i="47" s="1"/>
  <c r="G55" i="47" s="1"/>
  <c r="C55" i="48" s="1"/>
  <c r="E55" i="48" s="1"/>
  <c r="G55" i="48" s="1"/>
  <c r="C55" i="49" s="1"/>
  <c r="E55" i="49" s="1"/>
  <c r="G55" i="49" s="1"/>
  <c r="C55" i="50" s="1"/>
  <c r="E55" i="50" s="1"/>
  <c r="G55" i="50" s="1"/>
  <c r="C55" i="51" s="1"/>
  <c r="E55" i="51" s="1"/>
  <c r="G55" i="51" s="1"/>
  <c r="C55" i="52" s="1"/>
  <c r="E55" i="52" s="1"/>
  <c r="G55" i="52" s="1"/>
  <c r="C55" i="53" s="1"/>
  <c r="E55" i="53" s="1"/>
  <c r="G55" i="53" s="1"/>
  <c r="C55" i="54" s="1"/>
  <c r="E55" i="54" s="1"/>
  <c r="G55" i="54" s="1"/>
  <c r="C55" i="55" s="1"/>
  <c r="E55" i="55" s="1"/>
  <c r="G55" i="55" s="1"/>
  <c r="C55" i="56" s="1"/>
  <c r="E55" i="56" s="1"/>
  <c r="G55" i="56" s="1"/>
  <c r="C55" i="57" s="1"/>
  <c r="E55" i="57" s="1"/>
  <c r="G55" i="57" s="1"/>
  <c r="C55" i="58" s="1"/>
  <c r="E55" i="58" s="1"/>
  <c r="G55" i="58" s="1"/>
  <c r="C55" i="59" s="1"/>
  <c r="E55" i="59" s="1"/>
  <c r="G55" i="59" s="1"/>
  <c r="C55" i="60" s="1"/>
  <c r="E55" i="60" s="1"/>
  <c r="G55" i="60" s="1"/>
  <c r="C55" i="61" s="1"/>
  <c r="E55" i="61" s="1"/>
  <c r="G55" i="61" s="1"/>
  <c r="C55" i="62" s="1"/>
  <c r="E55" i="62" s="1"/>
  <c r="G55" i="62" s="1"/>
  <c r="C55" i="63" s="1"/>
  <c r="E55" i="63" s="1"/>
  <c r="G55" i="63" s="1"/>
  <c r="C55" i="64" s="1"/>
  <c r="E55" i="64" s="1"/>
  <c r="G55" i="64" s="1"/>
  <c r="E129" i="34"/>
  <c r="G129" i="34" s="1"/>
  <c r="C129" i="35" s="1"/>
  <c r="E129" i="35" s="1"/>
  <c r="G129" i="35" s="1"/>
  <c r="C129" i="36" s="1"/>
  <c r="E129" i="36" s="1"/>
  <c r="G129" i="36" s="1"/>
  <c r="C129" i="37" s="1"/>
  <c r="E129" i="37" s="1"/>
  <c r="G129" i="37" s="1"/>
  <c r="C129" i="38" s="1"/>
  <c r="E129" i="38" s="1"/>
  <c r="G129" i="38" s="1"/>
  <c r="C129" i="39" s="1"/>
  <c r="E129" i="39" s="1"/>
  <c r="G129" i="39" s="1"/>
  <c r="C129" i="40" s="1"/>
  <c r="E129" i="40" s="1"/>
  <c r="G129" i="40" s="1"/>
  <c r="C129" i="41" s="1"/>
  <c r="E129" i="41" s="1"/>
  <c r="G129" i="41" s="1"/>
  <c r="C129" i="42" s="1"/>
  <c r="E129" i="42" s="1"/>
  <c r="G129" i="42" s="1"/>
  <c r="C129" i="43" s="1"/>
  <c r="E129" i="43" s="1"/>
  <c r="G129" i="43" s="1"/>
  <c r="C129" i="44" s="1"/>
  <c r="E129" i="44" s="1"/>
  <c r="G129" i="44" s="1"/>
  <c r="C129" i="45" s="1"/>
  <c r="E129" i="45" s="1"/>
  <c r="G129" i="45" s="1"/>
  <c r="C129" i="46" s="1"/>
  <c r="E129" i="46" s="1"/>
  <c r="G129" i="46" s="1"/>
  <c r="C129" i="47" s="1"/>
  <c r="E129" i="47" s="1"/>
  <c r="G129" i="47" s="1"/>
  <c r="C129" i="48" s="1"/>
  <c r="E129" i="48" s="1"/>
  <c r="G129" i="48" s="1"/>
  <c r="C129" i="49" s="1"/>
  <c r="E129" i="49" s="1"/>
  <c r="G129" i="49" s="1"/>
  <c r="C129" i="50" s="1"/>
  <c r="E129" i="50" s="1"/>
  <c r="G129" i="50" s="1"/>
  <c r="C129" i="51" s="1"/>
  <c r="E129" i="51" s="1"/>
  <c r="G129" i="51" s="1"/>
  <c r="C129" i="52" s="1"/>
  <c r="E129" i="52" s="1"/>
  <c r="G129" i="52" s="1"/>
  <c r="C129" i="53" s="1"/>
  <c r="E129" i="53" s="1"/>
  <c r="G129" i="53" s="1"/>
  <c r="C129" i="54" s="1"/>
  <c r="E129" i="54" s="1"/>
  <c r="G129" i="54" s="1"/>
  <c r="C129" i="55" s="1"/>
  <c r="E129" i="55" s="1"/>
  <c r="G129" i="55" s="1"/>
  <c r="C129" i="56" s="1"/>
  <c r="E129" i="56" s="1"/>
  <c r="G129" i="56" s="1"/>
  <c r="C129" i="57" s="1"/>
  <c r="E129" i="57" s="1"/>
  <c r="G129" i="57" s="1"/>
  <c r="C129" i="58" s="1"/>
  <c r="E129" i="58" s="1"/>
  <c r="G129" i="58" s="1"/>
  <c r="C129" i="59" s="1"/>
  <c r="E129" i="59" s="1"/>
  <c r="G129" i="59" s="1"/>
  <c r="C129" i="60" s="1"/>
  <c r="E129" i="60" s="1"/>
  <c r="G129" i="60" s="1"/>
  <c r="C129" i="61" s="1"/>
  <c r="E129" i="61" s="1"/>
  <c r="G129" i="61" s="1"/>
  <c r="C129" i="62" s="1"/>
  <c r="E129" i="62" s="1"/>
  <c r="G129" i="62" s="1"/>
  <c r="C129" i="63" s="1"/>
  <c r="E129" i="63" s="1"/>
  <c r="G129" i="63" s="1"/>
  <c r="C129" i="64" s="1"/>
  <c r="E129" i="64" s="1"/>
  <c r="G129" i="64" s="1"/>
  <c r="E198" i="34"/>
  <c r="G198" i="34" s="1"/>
  <c r="C198" i="35" s="1"/>
  <c r="E198" i="35" s="1"/>
  <c r="G198" i="35" s="1"/>
  <c r="C198" i="36" s="1"/>
  <c r="E198" i="36" s="1"/>
  <c r="G198" i="36" s="1"/>
  <c r="C198" i="37" s="1"/>
  <c r="E198" i="37" s="1"/>
  <c r="G198" i="37" s="1"/>
  <c r="C198" i="38" s="1"/>
  <c r="E198" i="38" s="1"/>
  <c r="G198" i="38" s="1"/>
  <c r="C198" i="39" s="1"/>
  <c r="E198" i="39" s="1"/>
  <c r="G198" i="39" s="1"/>
  <c r="C198" i="40" s="1"/>
  <c r="E198" i="40" s="1"/>
  <c r="G198" i="40" s="1"/>
  <c r="C198" i="41" s="1"/>
  <c r="E198" i="41" s="1"/>
  <c r="G198" i="41" s="1"/>
  <c r="C198" i="42" s="1"/>
  <c r="E198" i="42" s="1"/>
  <c r="G198" i="42" s="1"/>
  <c r="C198" i="43" s="1"/>
  <c r="E198" i="43" s="1"/>
  <c r="G198" i="43" s="1"/>
  <c r="C198" i="44" s="1"/>
  <c r="E198" i="44" s="1"/>
  <c r="G198" i="44" s="1"/>
  <c r="C198" i="45" s="1"/>
  <c r="E198" i="45" s="1"/>
  <c r="G198" i="45" s="1"/>
  <c r="C198" i="46" s="1"/>
  <c r="E198" i="46" s="1"/>
  <c r="G198" i="46" s="1"/>
  <c r="C198" i="47" s="1"/>
  <c r="E198" i="47" s="1"/>
  <c r="G198" i="47" s="1"/>
  <c r="C198" i="48" s="1"/>
  <c r="E198" i="48" s="1"/>
  <c r="G198" i="48" s="1"/>
  <c r="C198" i="49" s="1"/>
  <c r="E198" i="49" s="1"/>
  <c r="G198" i="49" s="1"/>
  <c r="C198" i="50" s="1"/>
  <c r="E198" i="50" s="1"/>
  <c r="G198" i="50" s="1"/>
  <c r="C198" i="51" s="1"/>
  <c r="E198" i="51" s="1"/>
  <c r="G198" i="51" s="1"/>
  <c r="C198" i="52" s="1"/>
  <c r="E198" i="52" s="1"/>
  <c r="G198" i="52" s="1"/>
  <c r="C198" i="53" s="1"/>
  <c r="E198" i="53" s="1"/>
  <c r="G198" i="53" s="1"/>
  <c r="C198" i="54" s="1"/>
  <c r="E198" i="54" s="1"/>
  <c r="G198" i="54" s="1"/>
  <c r="C198" i="55" s="1"/>
  <c r="E198" i="55" s="1"/>
  <c r="G198" i="55" s="1"/>
  <c r="C198" i="56" s="1"/>
  <c r="E198" i="56" s="1"/>
  <c r="G198" i="56" s="1"/>
  <c r="C198" i="57" s="1"/>
  <c r="E198" i="57" s="1"/>
  <c r="G198" i="57" s="1"/>
  <c r="C198" i="58" s="1"/>
  <c r="E198" i="58" s="1"/>
  <c r="G198" i="58" s="1"/>
  <c r="C198" i="59" s="1"/>
  <c r="E198" i="59" s="1"/>
  <c r="G198" i="59" s="1"/>
  <c r="C198" i="60" s="1"/>
  <c r="E198" i="60" s="1"/>
  <c r="G198" i="60" s="1"/>
  <c r="C198" i="61" s="1"/>
  <c r="E198" i="61" s="1"/>
  <c r="G198" i="61" s="1"/>
  <c r="C198" i="62" s="1"/>
  <c r="E198" i="62" s="1"/>
  <c r="G198" i="62" s="1"/>
  <c r="C198" i="63" s="1"/>
  <c r="E198" i="63" s="1"/>
  <c r="G198" i="63" s="1"/>
  <c r="C198" i="64" s="1"/>
  <c r="E198" i="64" s="1"/>
  <c r="G198" i="64" s="1"/>
  <c r="E144" i="34"/>
  <c r="G144" i="34" s="1"/>
  <c r="C144" i="35" s="1"/>
  <c r="E144" i="35" s="1"/>
  <c r="G144" i="35" s="1"/>
  <c r="C144" i="36" s="1"/>
  <c r="E144" i="36" s="1"/>
  <c r="G144" i="36" s="1"/>
  <c r="C144" i="37" s="1"/>
  <c r="E144" i="37" s="1"/>
  <c r="G144" i="37" s="1"/>
  <c r="C144" i="38" s="1"/>
  <c r="E144" i="38" s="1"/>
  <c r="G144" i="38" s="1"/>
  <c r="C144" i="39" s="1"/>
  <c r="E144" i="39" s="1"/>
  <c r="G144" i="39" s="1"/>
  <c r="C144" i="40" s="1"/>
  <c r="E144" i="40" s="1"/>
  <c r="G144" i="40" s="1"/>
  <c r="C144" i="41" s="1"/>
  <c r="E144" i="41" s="1"/>
  <c r="G144" i="41" s="1"/>
  <c r="C144" i="42" s="1"/>
  <c r="E144" i="42" s="1"/>
  <c r="G144" i="42" s="1"/>
  <c r="C144" i="43" s="1"/>
  <c r="E144" i="43" s="1"/>
  <c r="G144" i="43" s="1"/>
  <c r="C144" i="44" s="1"/>
  <c r="E144" i="44" s="1"/>
  <c r="G144" i="44" s="1"/>
  <c r="C144" i="45" s="1"/>
  <c r="E144" i="45" s="1"/>
  <c r="G144" i="45" s="1"/>
  <c r="C144" i="46" s="1"/>
  <c r="E144" i="46" s="1"/>
  <c r="G144" i="46" s="1"/>
  <c r="C144" i="47" s="1"/>
  <c r="E144" i="47" s="1"/>
  <c r="G144" i="47" s="1"/>
  <c r="C144" i="48" s="1"/>
  <c r="E144" i="48" s="1"/>
  <c r="G144" i="48" s="1"/>
  <c r="C144" i="49" s="1"/>
  <c r="E144" i="49" s="1"/>
  <c r="G144" i="49" s="1"/>
  <c r="C144" i="50" s="1"/>
  <c r="E144" i="50" s="1"/>
  <c r="G144" i="50" s="1"/>
  <c r="C144" i="51" s="1"/>
  <c r="E144" i="51" s="1"/>
  <c r="G144" i="51" s="1"/>
  <c r="C144" i="52" s="1"/>
  <c r="E144" i="52" s="1"/>
  <c r="G144" i="52" s="1"/>
  <c r="C144" i="53" s="1"/>
  <c r="E144" i="53" s="1"/>
  <c r="G144" i="53" s="1"/>
  <c r="C144" i="54" s="1"/>
  <c r="E144" i="54" s="1"/>
  <c r="G144" i="54" s="1"/>
  <c r="C144" i="55" s="1"/>
  <c r="E144" i="55" s="1"/>
  <c r="G144" i="55" s="1"/>
  <c r="C144" i="56" s="1"/>
  <c r="E144" i="56" s="1"/>
  <c r="G144" i="56" s="1"/>
  <c r="C144" i="57" s="1"/>
  <c r="E144" i="57" s="1"/>
  <c r="G144" i="57" s="1"/>
  <c r="C144" i="58" s="1"/>
  <c r="E144" i="58" s="1"/>
  <c r="G144" i="58" s="1"/>
  <c r="C144" i="59" s="1"/>
  <c r="E144" i="59" s="1"/>
  <c r="G144" i="59" s="1"/>
  <c r="C144" i="60" s="1"/>
  <c r="E144" i="60" s="1"/>
  <c r="G144" i="60" s="1"/>
  <c r="C144" i="61" s="1"/>
  <c r="E144" i="61" s="1"/>
  <c r="G144" i="61" s="1"/>
  <c r="C144" i="62" s="1"/>
  <c r="E144" i="62" s="1"/>
  <c r="G144" i="62" s="1"/>
  <c r="C144" i="63" s="1"/>
  <c r="E144" i="63" s="1"/>
  <c r="G144" i="63" s="1"/>
  <c r="C144" i="64" s="1"/>
  <c r="E144" i="64" s="1"/>
  <c r="G144" i="64" s="1"/>
  <c r="E167" i="34"/>
  <c r="G167" i="34" s="1"/>
  <c r="C167" i="35" s="1"/>
  <c r="E167" i="35" s="1"/>
  <c r="G167" i="35" s="1"/>
  <c r="C167" i="36" s="1"/>
  <c r="E167" i="36" s="1"/>
  <c r="G167" i="36" s="1"/>
  <c r="C167" i="37" s="1"/>
  <c r="E167" i="37" s="1"/>
  <c r="G167" i="37" s="1"/>
  <c r="C167" i="38" s="1"/>
  <c r="E167" i="38" s="1"/>
  <c r="G167" i="38" s="1"/>
  <c r="C167" i="39" s="1"/>
  <c r="E167" i="39" s="1"/>
  <c r="G167" i="39" s="1"/>
  <c r="C167" i="40" s="1"/>
  <c r="E167" i="40" s="1"/>
  <c r="G167" i="40" s="1"/>
  <c r="C167" i="41" s="1"/>
  <c r="E167" i="41" s="1"/>
  <c r="G167" i="41" s="1"/>
  <c r="C167" i="42" s="1"/>
  <c r="E167" i="42" s="1"/>
  <c r="G167" i="42" s="1"/>
  <c r="C167" i="43" s="1"/>
  <c r="E167" i="43" s="1"/>
  <c r="G167" i="43" s="1"/>
  <c r="C167" i="44" s="1"/>
  <c r="E167" i="44" s="1"/>
  <c r="G167" i="44" s="1"/>
  <c r="C167" i="45" s="1"/>
  <c r="E167" i="45" s="1"/>
  <c r="G167" i="45" s="1"/>
  <c r="C167" i="46" s="1"/>
  <c r="E167" i="46" s="1"/>
  <c r="G167" i="46" s="1"/>
  <c r="C167" i="47" s="1"/>
  <c r="E167" i="47" s="1"/>
  <c r="G167" i="47" s="1"/>
  <c r="C167" i="48" s="1"/>
  <c r="E167" i="48" s="1"/>
  <c r="G167" i="48" s="1"/>
  <c r="C167" i="49" s="1"/>
  <c r="E167" i="49" s="1"/>
  <c r="G167" i="49" s="1"/>
  <c r="C167" i="50" s="1"/>
  <c r="E167" i="50" s="1"/>
  <c r="G167" i="50" s="1"/>
  <c r="C167" i="51" s="1"/>
  <c r="E167" i="51" s="1"/>
  <c r="G167" i="51" s="1"/>
  <c r="C167" i="52" s="1"/>
  <c r="E167" i="52" s="1"/>
  <c r="G167" i="52" s="1"/>
  <c r="C167" i="53" s="1"/>
  <c r="E167" i="53" s="1"/>
  <c r="G167" i="53" s="1"/>
  <c r="C167" i="54" s="1"/>
  <c r="E167" i="54" s="1"/>
  <c r="G167" i="54" s="1"/>
  <c r="C167" i="55" s="1"/>
  <c r="E167" i="55" s="1"/>
  <c r="G167" i="55" s="1"/>
  <c r="C167" i="56" s="1"/>
  <c r="E167" i="56" s="1"/>
  <c r="G167" i="56" s="1"/>
  <c r="C167" i="57" s="1"/>
  <c r="E167" i="57" s="1"/>
  <c r="G167" i="57" s="1"/>
  <c r="C167" i="58" s="1"/>
  <c r="E167" i="58" s="1"/>
  <c r="G167" i="58" s="1"/>
  <c r="C167" i="59" s="1"/>
  <c r="E167" i="59" s="1"/>
  <c r="G167" i="59" s="1"/>
  <c r="C167" i="60" s="1"/>
  <c r="E167" i="60" s="1"/>
  <c r="G167" i="60" s="1"/>
  <c r="C167" i="61" s="1"/>
  <c r="E167" i="61" s="1"/>
  <c r="G167" i="61" s="1"/>
  <c r="C167" i="62" s="1"/>
  <c r="E167" i="62" s="1"/>
  <c r="G167" i="62" s="1"/>
  <c r="C167" i="63" s="1"/>
  <c r="E167" i="63" s="1"/>
  <c r="G167" i="63" s="1"/>
  <c r="C167" i="64" s="1"/>
  <c r="E167" i="64" s="1"/>
  <c r="G167" i="64" s="1"/>
  <c r="E94" i="34"/>
  <c r="G94" i="34" s="1"/>
  <c r="C94" i="35" s="1"/>
  <c r="E94" i="35" s="1"/>
  <c r="G94" i="35" s="1"/>
  <c r="C94" i="36" s="1"/>
  <c r="E94" i="36" s="1"/>
  <c r="G94" i="36" s="1"/>
  <c r="C94" i="37" s="1"/>
  <c r="E94" i="37" s="1"/>
  <c r="G94" i="37" s="1"/>
  <c r="C94" i="38" s="1"/>
  <c r="E94" i="38" s="1"/>
  <c r="G94" i="38" s="1"/>
  <c r="C94" i="39" s="1"/>
  <c r="E94" i="39" s="1"/>
  <c r="G94" i="39" s="1"/>
  <c r="C94" i="40" s="1"/>
  <c r="E94" i="40" s="1"/>
  <c r="G94" i="40" s="1"/>
  <c r="C94" i="41" s="1"/>
  <c r="E94" i="41" s="1"/>
  <c r="G94" i="41" s="1"/>
  <c r="C94" i="42" s="1"/>
  <c r="E94" i="42" s="1"/>
  <c r="G94" i="42" s="1"/>
  <c r="C94" i="43" s="1"/>
  <c r="E94" i="43" s="1"/>
  <c r="G94" i="43" s="1"/>
  <c r="C94" i="44" s="1"/>
  <c r="E94" i="44" s="1"/>
  <c r="G94" i="44" s="1"/>
  <c r="C94" i="45" s="1"/>
  <c r="E94" i="45" s="1"/>
  <c r="G94" i="45" s="1"/>
  <c r="C94" i="46" s="1"/>
  <c r="E94" i="46" s="1"/>
  <c r="G94" i="46" s="1"/>
  <c r="C94" i="47" s="1"/>
  <c r="E94" i="47" s="1"/>
  <c r="G94" i="47" s="1"/>
  <c r="C94" i="48" s="1"/>
  <c r="E94" i="48" s="1"/>
  <c r="G94" i="48" s="1"/>
  <c r="C94" i="49" s="1"/>
  <c r="E94" i="49" s="1"/>
  <c r="G94" i="49" s="1"/>
  <c r="C94" i="50" s="1"/>
  <c r="E94" i="50" s="1"/>
  <c r="G94" i="50" s="1"/>
  <c r="C94" i="51" s="1"/>
  <c r="E94" i="51" s="1"/>
  <c r="G94" i="51" s="1"/>
  <c r="C94" i="52" s="1"/>
  <c r="E94" i="52" s="1"/>
  <c r="G94" i="52" s="1"/>
  <c r="C94" i="53" s="1"/>
  <c r="E94" i="53" s="1"/>
  <c r="G94" i="53" s="1"/>
  <c r="C94" i="54" s="1"/>
  <c r="E94" i="54" s="1"/>
  <c r="G94" i="54" s="1"/>
  <c r="C94" i="55" s="1"/>
  <c r="E94" i="55" s="1"/>
  <c r="G94" i="55" s="1"/>
  <c r="C94" i="56" s="1"/>
  <c r="E94" i="56" s="1"/>
  <c r="G94" i="56" s="1"/>
  <c r="C94" i="57" s="1"/>
  <c r="E94" i="57" s="1"/>
  <c r="G94" i="57" s="1"/>
  <c r="C94" i="58" s="1"/>
  <c r="E94" i="58" s="1"/>
  <c r="G94" i="58" s="1"/>
  <c r="C94" i="59" s="1"/>
  <c r="E94" i="59" s="1"/>
  <c r="G94" i="59" s="1"/>
  <c r="C94" i="60" s="1"/>
  <c r="E94" i="60" s="1"/>
  <c r="G94" i="60" s="1"/>
  <c r="C94" i="61" s="1"/>
  <c r="E94" i="61" s="1"/>
  <c r="G94" i="61" s="1"/>
  <c r="C94" i="62" s="1"/>
  <c r="E94" i="62" s="1"/>
  <c r="G94" i="62" s="1"/>
  <c r="C94" i="63" s="1"/>
  <c r="E94" i="63" s="1"/>
  <c r="G94" i="63" s="1"/>
  <c r="C94" i="64" s="1"/>
  <c r="E94" i="64" s="1"/>
  <c r="G94" i="64" s="1"/>
  <c r="E87" i="34"/>
  <c r="G87" i="34" s="1"/>
  <c r="C87" i="35" s="1"/>
  <c r="E87" i="35" s="1"/>
  <c r="G87" i="35" s="1"/>
  <c r="C87" i="36" s="1"/>
  <c r="E87" i="36" s="1"/>
  <c r="G87" i="36" s="1"/>
  <c r="C87" i="37" s="1"/>
  <c r="E87" i="37" s="1"/>
  <c r="G87" i="37" s="1"/>
  <c r="C87" i="38" s="1"/>
  <c r="E87" i="38" s="1"/>
  <c r="G87" i="38" s="1"/>
  <c r="C87" i="39" s="1"/>
  <c r="E87" i="39" s="1"/>
  <c r="G87" i="39" s="1"/>
  <c r="C87" i="40" s="1"/>
  <c r="E87" i="40" s="1"/>
  <c r="G87" i="40" s="1"/>
  <c r="C87" i="41" s="1"/>
  <c r="E87" i="41" s="1"/>
  <c r="G87" i="41" s="1"/>
  <c r="C87" i="42" s="1"/>
  <c r="E87" i="42" s="1"/>
  <c r="G87" i="42" s="1"/>
  <c r="C87" i="43" s="1"/>
  <c r="E87" i="43" s="1"/>
  <c r="G87" i="43" s="1"/>
  <c r="C87" i="44" s="1"/>
  <c r="E87" i="44" s="1"/>
  <c r="G87" i="44" s="1"/>
  <c r="C87" i="45" s="1"/>
  <c r="E87" i="45" s="1"/>
  <c r="G87" i="45" s="1"/>
  <c r="C87" i="46" s="1"/>
  <c r="E87" i="46" s="1"/>
  <c r="G87" i="46" s="1"/>
  <c r="C87" i="47" s="1"/>
  <c r="E87" i="47" s="1"/>
  <c r="G87" i="47" s="1"/>
  <c r="C87" i="48" s="1"/>
  <c r="E87" i="48" s="1"/>
  <c r="G87" i="48" s="1"/>
  <c r="C87" i="49" s="1"/>
  <c r="E87" i="49" s="1"/>
  <c r="G87" i="49" s="1"/>
  <c r="C87" i="50" s="1"/>
  <c r="E87" i="50" s="1"/>
  <c r="G87" i="50" s="1"/>
  <c r="C87" i="51" s="1"/>
  <c r="E87" i="51" s="1"/>
  <c r="G87" i="51" s="1"/>
  <c r="C87" i="52" s="1"/>
  <c r="E87" i="52" s="1"/>
  <c r="G87" i="52" s="1"/>
  <c r="C87" i="53" s="1"/>
  <c r="E87" i="53" s="1"/>
  <c r="G87" i="53" s="1"/>
  <c r="C87" i="54" s="1"/>
  <c r="E87" i="54" s="1"/>
  <c r="G87" i="54" s="1"/>
  <c r="C87" i="55" s="1"/>
  <c r="E87" i="55" s="1"/>
  <c r="G87" i="55" s="1"/>
  <c r="C87" i="56" s="1"/>
  <c r="E87" i="56" s="1"/>
  <c r="G87" i="56" s="1"/>
  <c r="C87" i="57" s="1"/>
  <c r="E87" i="57" s="1"/>
  <c r="G87" i="57" s="1"/>
  <c r="C87" i="58" s="1"/>
  <c r="E87" i="58" s="1"/>
  <c r="G87" i="58" s="1"/>
  <c r="C87" i="59" s="1"/>
  <c r="E87" i="59" s="1"/>
  <c r="G87" i="59" s="1"/>
  <c r="C87" i="60" s="1"/>
  <c r="E87" i="60" s="1"/>
  <c r="G87" i="60" s="1"/>
  <c r="C87" i="61" s="1"/>
  <c r="E87" i="61" s="1"/>
  <c r="G87" i="61" s="1"/>
  <c r="C87" i="62" s="1"/>
  <c r="E87" i="62" s="1"/>
  <c r="G87" i="62" s="1"/>
  <c r="C87" i="63" s="1"/>
  <c r="E87" i="63" s="1"/>
  <c r="G87" i="63" s="1"/>
  <c r="C87" i="64" s="1"/>
  <c r="E87" i="64" s="1"/>
  <c r="G87" i="64" s="1"/>
  <c r="E160" i="34"/>
  <c r="G160" i="34" s="1"/>
  <c r="C160" i="35" s="1"/>
  <c r="E160" i="35" s="1"/>
  <c r="G160" i="35" s="1"/>
  <c r="C160" i="36" s="1"/>
  <c r="E160" i="36" s="1"/>
  <c r="G160" i="36" s="1"/>
  <c r="C160" i="37" s="1"/>
  <c r="E160" i="37" s="1"/>
  <c r="G160" i="37" s="1"/>
  <c r="C160" i="38" s="1"/>
  <c r="E160" i="38" s="1"/>
  <c r="G160" i="38" s="1"/>
  <c r="C160" i="39" s="1"/>
  <c r="E160" i="39" s="1"/>
  <c r="G160" i="39" s="1"/>
  <c r="C160" i="40" s="1"/>
  <c r="E160" i="40" s="1"/>
  <c r="G160" i="40" s="1"/>
  <c r="C160" i="41" s="1"/>
  <c r="E160" i="41" s="1"/>
  <c r="G160" i="41" s="1"/>
  <c r="C160" i="42" s="1"/>
  <c r="E160" i="42" s="1"/>
  <c r="G160" i="42" s="1"/>
  <c r="C160" i="43" s="1"/>
  <c r="E160" i="43" s="1"/>
  <c r="G160" i="43" s="1"/>
  <c r="C160" i="44" s="1"/>
  <c r="E160" i="44" s="1"/>
  <c r="G160" i="44" s="1"/>
  <c r="C160" i="45" s="1"/>
  <c r="E160" i="45" s="1"/>
  <c r="G160" i="45" s="1"/>
  <c r="C160" i="46" s="1"/>
  <c r="E160" i="46" s="1"/>
  <c r="G160" i="46" s="1"/>
  <c r="C160" i="47" s="1"/>
  <c r="E160" i="47" s="1"/>
  <c r="G160" i="47" s="1"/>
  <c r="C160" i="48" s="1"/>
  <c r="E160" i="48" s="1"/>
  <c r="G160" i="48" s="1"/>
  <c r="C160" i="49" s="1"/>
  <c r="E160" i="49" s="1"/>
  <c r="G160" i="49" s="1"/>
  <c r="C160" i="50" s="1"/>
  <c r="E160" i="50" s="1"/>
  <c r="G160" i="50" s="1"/>
  <c r="C160" i="51" s="1"/>
  <c r="E160" i="51" s="1"/>
  <c r="G160" i="51" s="1"/>
  <c r="C160" i="52" s="1"/>
  <c r="E160" i="52" s="1"/>
  <c r="G160" i="52" s="1"/>
  <c r="C160" i="53" s="1"/>
  <c r="E160" i="53" s="1"/>
  <c r="G160" i="53" s="1"/>
  <c r="C160" i="54" s="1"/>
  <c r="E160" i="54" s="1"/>
  <c r="G160" i="54" s="1"/>
  <c r="C160" i="55" s="1"/>
  <c r="E160" i="55" s="1"/>
  <c r="G160" i="55" s="1"/>
  <c r="C160" i="56" s="1"/>
  <c r="E160" i="56" s="1"/>
  <c r="G160" i="56" s="1"/>
  <c r="C160" i="57" s="1"/>
  <c r="E160" i="57" s="1"/>
  <c r="G160" i="57" s="1"/>
  <c r="C160" i="58" s="1"/>
  <c r="E160" i="58" s="1"/>
  <c r="G160" i="58" s="1"/>
  <c r="C160" i="59" s="1"/>
  <c r="E160" i="59" s="1"/>
  <c r="G160" i="59" s="1"/>
  <c r="C160" i="60" s="1"/>
  <c r="E160" i="60" s="1"/>
  <c r="G160" i="60" s="1"/>
  <c r="C160" i="61" s="1"/>
  <c r="E160" i="61" s="1"/>
  <c r="G160" i="61" s="1"/>
  <c r="C160" i="62" s="1"/>
  <c r="E160" i="62" s="1"/>
  <c r="G160" i="62" s="1"/>
  <c r="C160" i="63" s="1"/>
  <c r="E160" i="63" s="1"/>
  <c r="G160" i="63" s="1"/>
  <c r="C160" i="64" s="1"/>
  <c r="E160" i="64" s="1"/>
  <c r="G160" i="64" s="1"/>
  <c r="E111" i="34"/>
  <c r="G111" i="34" s="1"/>
  <c r="C111" i="35" s="1"/>
  <c r="E111" i="35" s="1"/>
  <c r="G111" i="35" s="1"/>
  <c r="C111" i="36" s="1"/>
  <c r="E111" i="36" s="1"/>
  <c r="G111" i="36" s="1"/>
  <c r="C111" i="37" s="1"/>
  <c r="E111" i="37" s="1"/>
  <c r="G111" i="37" s="1"/>
  <c r="C111" i="38" s="1"/>
  <c r="E111" i="38" s="1"/>
  <c r="G111" i="38" s="1"/>
  <c r="C111" i="39" s="1"/>
  <c r="E111" i="39" s="1"/>
  <c r="G111" i="39" s="1"/>
  <c r="C111" i="40" s="1"/>
  <c r="E111" i="40" s="1"/>
  <c r="G111" i="40" s="1"/>
  <c r="C111" i="41" s="1"/>
  <c r="E111" i="41" s="1"/>
  <c r="G111" i="41" s="1"/>
  <c r="C111" i="42" s="1"/>
  <c r="E111" i="42" s="1"/>
  <c r="G111" i="42" s="1"/>
  <c r="C111" i="43" s="1"/>
  <c r="E111" i="43" s="1"/>
  <c r="G111" i="43" s="1"/>
  <c r="C111" i="44" s="1"/>
  <c r="E111" i="44" s="1"/>
  <c r="G111" i="44" s="1"/>
  <c r="C111" i="45" s="1"/>
  <c r="E111" i="45" s="1"/>
  <c r="G111" i="45" s="1"/>
  <c r="C111" i="46" s="1"/>
  <c r="E111" i="46" s="1"/>
  <c r="G111" i="46" s="1"/>
  <c r="C111" i="47" s="1"/>
  <c r="E111" i="47" s="1"/>
  <c r="G111" i="47" s="1"/>
  <c r="C111" i="48" s="1"/>
  <c r="E111" i="48" s="1"/>
  <c r="G111" i="48" s="1"/>
  <c r="C111" i="49" s="1"/>
  <c r="E111" i="49" s="1"/>
  <c r="G111" i="49" s="1"/>
  <c r="C111" i="50" s="1"/>
  <c r="E111" i="50" s="1"/>
  <c r="G111" i="50" s="1"/>
  <c r="C111" i="51" s="1"/>
  <c r="E111" i="51" s="1"/>
  <c r="G111" i="51" s="1"/>
  <c r="C111" i="52" s="1"/>
  <c r="E111" i="52" s="1"/>
  <c r="G111" i="52" s="1"/>
  <c r="C111" i="53" s="1"/>
  <c r="E111" i="53" s="1"/>
  <c r="G111" i="53" s="1"/>
  <c r="C111" i="54" s="1"/>
  <c r="E111" i="54" s="1"/>
  <c r="G111" i="54" s="1"/>
  <c r="C111" i="55" s="1"/>
  <c r="E111" i="55" s="1"/>
  <c r="G111" i="55" s="1"/>
  <c r="C111" i="56" s="1"/>
  <c r="E111" i="56" s="1"/>
  <c r="G111" i="56" s="1"/>
  <c r="C111" i="57" s="1"/>
  <c r="E111" i="57" s="1"/>
  <c r="G111" i="57" s="1"/>
  <c r="C111" i="58" s="1"/>
  <c r="E111" i="58" s="1"/>
  <c r="G111" i="58" s="1"/>
  <c r="C111" i="59" s="1"/>
  <c r="E111" i="59" s="1"/>
  <c r="G111" i="59" s="1"/>
  <c r="C111" i="60" s="1"/>
  <c r="E111" i="60" s="1"/>
  <c r="G111" i="60" s="1"/>
  <c r="C111" i="61" s="1"/>
  <c r="E111" i="61" s="1"/>
  <c r="G111" i="61" s="1"/>
  <c r="C111" i="62" s="1"/>
  <c r="E111" i="62" s="1"/>
  <c r="G111" i="62" s="1"/>
  <c r="C111" i="63" s="1"/>
  <c r="E111" i="63" s="1"/>
  <c r="G111" i="63" s="1"/>
  <c r="C111" i="64" s="1"/>
  <c r="E111" i="64" s="1"/>
  <c r="G111" i="64" s="1"/>
  <c r="E105" i="34"/>
  <c r="G105" i="34" s="1"/>
  <c r="C105" i="35" s="1"/>
  <c r="E105" i="35" s="1"/>
  <c r="G105" i="35" s="1"/>
  <c r="C105" i="36" s="1"/>
  <c r="E105" i="36" s="1"/>
  <c r="G105" i="36" s="1"/>
  <c r="C105" i="37" s="1"/>
  <c r="E105" i="37" s="1"/>
  <c r="G105" i="37" s="1"/>
  <c r="C105" i="38" s="1"/>
  <c r="E105" i="38" s="1"/>
  <c r="G105" i="38" s="1"/>
  <c r="C105" i="39" s="1"/>
  <c r="E105" i="39" s="1"/>
  <c r="G105" i="39" s="1"/>
  <c r="C105" i="40" s="1"/>
  <c r="E105" i="40" s="1"/>
  <c r="G105" i="40" s="1"/>
  <c r="C105" i="41" s="1"/>
  <c r="E105" i="41" s="1"/>
  <c r="G105" i="41" s="1"/>
  <c r="C105" i="42" s="1"/>
  <c r="E105" i="42" s="1"/>
  <c r="G105" i="42" s="1"/>
  <c r="C105" i="43" s="1"/>
  <c r="E105" i="43" s="1"/>
  <c r="G105" i="43" s="1"/>
  <c r="C105" i="44" s="1"/>
  <c r="E105" i="44" s="1"/>
  <c r="G105" i="44" s="1"/>
  <c r="C105" i="45" s="1"/>
  <c r="E105" i="45" s="1"/>
  <c r="G105" i="45" s="1"/>
  <c r="C105" i="46" s="1"/>
  <c r="E105" i="46" s="1"/>
  <c r="G105" i="46" s="1"/>
  <c r="C105" i="47" s="1"/>
  <c r="E105" i="47" s="1"/>
  <c r="G105" i="47" s="1"/>
  <c r="C105" i="48" s="1"/>
  <c r="E105" i="48" s="1"/>
  <c r="G105" i="48" s="1"/>
  <c r="C105" i="49" s="1"/>
  <c r="E105" i="49" s="1"/>
  <c r="G105" i="49" s="1"/>
  <c r="C105" i="50" s="1"/>
  <c r="E105" i="50" s="1"/>
  <c r="G105" i="50" s="1"/>
  <c r="C105" i="51" s="1"/>
  <c r="E105" i="51" s="1"/>
  <c r="G105" i="51" s="1"/>
  <c r="C105" i="52" s="1"/>
  <c r="E105" i="52" s="1"/>
  <c r="G105" i="52" s="1"/>
  <c r="C105" i="53" s="1"/>
  <c r="E105" i="53" s="1"/>
  <c r="G105" i="53" s="1"/>
  <c r="C105" i="54" s="1"/>
  <c r="E105" i="54" s="1"/>
  <c r="G105" i="54" s="1"/>
  <c r="C105" i="55" s="1"/>
  <c r="E105" i="55" s="1"/>
  <c r="G105" i="55" s="1"/>
  <c r="C105" i="56" s="1"/>
  <c r="E105" i="56" s="1"/>
  <c r="G105" i="56" s="1"/>
  <c r="C105" i="57" s="1"/>
  <c r="E105" i="57" s="1"/>
  <c r="G105" i="57" s="1"/>
  <c r="C105" i="58" s="1"/>
  <c r="E105" i="58" s="1"/>
  <c r="G105" i="58" s="1"/>
  <c r="C105" i="59" s="1"/>
  <c r="E105" i="59" s="1"/>
  <c r="G105" i="59" s="1"/>
  <c r="C105" i="60" s="1"/>
  <c r="E105" i="60" s="1"/>
  <c r="G105" i="60" s="1"/>
  <c r="C105" i="61" s="1"/>
  <c r="E105" i="61" s="1"/>
  <c r="G105" i="61" s="1"/>
  <c r="C105" i="62" s="1"/>
  <c r="E105" i="62" s="1"/>
  <c r="G105" i="62" s="1"/>
  <c r="C105" i="63" s="1"/>
  <c r="E105" i="63" s="1"/>
  <c r="G105" i="63" s="1"/>
  <c r="C105" i="64" s="1"/>
  <c r="E105" i="64" s="1"/>
  <c r="G105" i="64" s="1"/>
  <c r="E184" i="34"/>
  <c r="G184" i="34" s="1"/>
  <c r="C184" i="35" s="1"/>
  <c r="E184" i="35" s="1"/>
  <c r="G184" i="35" s="1"/>
  <c r="C184" i="36" s="1"/>
  <c r="E184" i="36" s="1"/>
  <c r="G184" i="36" s="1"/>
  <c r="C184" i="37" s="1"/>
  <c r="E184" i="37" s="1"/>
  <c r="G184" i="37" s="1"/>
  <c r="C184" i="38" s="1"/>
  <c r="E184" i="38" s="1"/>
  <c r="G184" i="38" s="1"/>
  <c r="C184" i="39" s="1"/>
  <c r="E184" i="39" s="1"/>
  <c r="G184" i="39" s="1"/>
  <c r="C184" i="40" s="1"/>
  <c r="E184" i="40" s="1"/>
  <c r="G184" i="40" s="1"/>
  <c r="C184" i="41" s="1"/>
  <c r="E184" i="41" s="1"/>
  <c r="G184" i="41" s="1"/>
  <c r="C184" i="42" s="1"/>
  <c r="E184" i="42" s="1"/>
  <c r="G184" i="42" s="1"/>
  <c r="C184" i="43" s="1"/>
  <c r="E184" i="43" s="1"/>
  <c r="G184" i="43" s="1"/>
  <c r="C184" i="44" s="1"/>
  <c r="E184" i="44" s="1"/>
  <c r="G184" i="44" s="1"/>
  <c r="C184" i="45" s="1"/>
  <c r="E184" i="45" s="1"/>
  <c r="G184" i="45" s="1"/>
  <c r="C184" i="46" s="1"/>
  <c r="E184" i="46" s="1"/>
  <c r="G184" i="46" s="1"/>
  <c r="C184" i="47" s="1"/>
  <c r="E184" i="47" s="1"/>
  <c r="G184" i="47" s="1"/>
  <c r="C184" i="48" s="1"/>
  <c r="E184" i="48" s="1"/>
  <c r="G184" i="48" s="1"/>
  <c r="C184" i="49" s="1"/>
  <c r="E184" i="49" s="1"/>
  <c r="G184" i="49" s="1"/>
  <c r="C184" i="50" s="1"/>
  <c r="E184" i="50" s="1"/>
  <c r="G184" i="50" s="1"/>
  <c r="C184" i="51" s="1"/>
  <c r="E184" i="51" s="1"/>
  <c r="G184" i="51" s="1"/>
  <c r="C184" i="52" s="1"/>
  <c r="E184" i="52" s="1"/>
  <c r="G184" i="52" s="1"/>
  <c r="C184" i="53" s="1"/>
  <c r="E184" i="53" s="1"/>
  <c r="G184" i="53" s="1"/>
  <c r="C184" i="54" s="1"/>
  <c r="E184" i="54" s="1"/>
  <c r="G184" i="54" s="1"/>
  <c r="C184" i="55" s="1"/>
  <c r="E184" i="55" s="1"/>
  <c r="G184" i="55" s="1"/>
  <c r="C184" i="56" s="1"/>
  <c r="E184" i="56" s="1"/>
  <c r="G184" i="56" s="1"/>
  <c r="C184" i="57" s="1"/>
  <c r="E184" i="57" s="1"/>
  <c r="G184" i="57" s="1"/>
  <c r="C184" i="58" s="1"/>
  <c r="E184" i="58" s="1"/>
  <c r="G184" i="58" s="1"/>
  <c r="C184" i="59" s="1"/>
  <c r="E184" i="59" s="1"/>
  <c r="G184" i="59" s="1"/>
  <c r="C184" i="60" s="1"/>
  <c r="E184" i="60" s="1"/>
  <c r="G184" i="60" s="1"/>
  <c r="C184" i="61" s="1"/>
  <c r="E184" i="61" s="1"/>
  <c r="G184" i="61" s="1"/>
  <c r="C184" i="62" s="1"/>
  <c r="E184" i="62" s="1"/>
  <c r="G184" i="62" s="1"/>
  <c r="C184" i="63" s="1"/>
  <c r="E184" i="63" s="1"/>
  <c r="G184" i="63" s="1"/>
  <c r="C184" i="64" s="1"/>
  <c r="E184" i="64" s="1"/>
  <c r="G184" i="64" s="1"/>
  <c r="E7" i="34"/>
  <c r="G7" i="34" s="1"/>
  <c r="C7" i="35" s="1"/>
  <c r="E7" i="35" s="1"/>
  <c r="G7" i="35" s="1"/>
  <c r="C7" i="36" s="1"/>
  <c r="E7" i="36" s="1"/>
  <c r="G7" i="36" s="1"/>
  <c r="C7" i="37" s="1"/>
  <c r="E7" i="37" s="1"/>
  <c r="G7" i="37" s="1"/>
  <c r="C7" i="38" s="1"/>
  <c r="E7" i="38" s="1"/>
  <c r="G7" i="38" s="1"/>
  <c r="C7" i="39" s="1"/>
  <c r="E7" i="39" s="1"/>
  <c r="G7" i="39" s="1"/>
  <c r="C7" i="40" s="1"/>
  <c r="E7" i="40" s="1"/>
  <c r="G7" i="40" s="1"/>
  <c r="C7" i="41" s="1"/>
  <c r="E7" i="41" s="1"/>
  <c r="G7" i="41" s="1"/>
  <c r="C7" i="42" s="1"/>
  <c r="E7" i="42" s="1"/>
  <c r="G7" i="42" s="1"/>
  <c r="C7" i="43" s="1"/>
  <c r="E7" i="43" s="1"/>
  <c r="G7" i="43" s="1"/>
  <c r="C7" i="44" s="1"/>
  <c r="E7" i="44" s="1"/>
  <c r="G7" i="44" s="1"/>
  <c r="C7" i="45" s="1"/>
  <c r="E7" i="45" s="1"/>
  <c r="G7" i="45" s="1"/>
  <c r="C7" i="46" s="1"/>
  <c r="E7" i="46" s="1"/>
  <c r="G7" i="46" s="1"/>
  <c r="C7" i="47" s="1"/>
  <c r="E7" i="47" s="1"/>
  <c r="G7" i="47" s="1"/>
  <c r="C7" i="48" s="1"/>
  <c r="E7" i="48" s="1"/>
  <c r="G7" i="48" s="1"/>
  <c r="C7" i="49" s="1"/>
  <c r="E7" i="49" s="1"/>
  <c r="G7" i="49" s="1"/>
  <c r="C7" i="50" s="1"/>
  <c r="E7" i="50" s="1"/>
  <c r="G7" i="50" s="1"/>
  <c r="C7" i="51" s="1"/>
  <c r="E7" i="51" s="1"/>
  <c r="G7" i="51" s="1"/>
  <c r="C7" i="52" s="1"/>
  <c r="E7" i="52" s="1"/>
  <c r="G7" i="52" s="1"/>
  <c r="C7" i="53" s="1"/>
  <c r="E7" i="53" s="1"/>
  <c r="G7" i="53" s="1"/>
  <c r="C7" i="54" s="1"/>
  <c r="E7" i="54" s="1"/>
  <c r="G7" i="54" s="1"/>
  <c r="C7" i="55" s="1"/>
  <c r="E7" i="55" s="1"/>
  <c r="G7" i="55" s="1"/>
  <c r="C7" i="56" s="1"/>
  <c r="E7" i="56" s="1"/>
  <c r="G7" i="56" s="1"/>
  <c r="C7" i="57" s="1"/>
  <c r="E7" i="57" s="1"/>
  <c r="G7" i="57" s="1"/>
  <c r="C7" i="58" s="1"/>
  <c r="E7" i="58" s="1"/>
  <c r="G7" i="58" s="1"/>
  <c r="C7" i="59" s="1"/>
  <c r="E7" i="59" s="1"/>
  <c r="G7" i="59" s="1"/>
  <c r="C7" i="60" s="1"/>
  <c r="E7" i="60" s="1"/>
  <c r="G7" i="60" s="1"/>
  <c r="C7" i="61" s="1"/>
  <c r="E7" i="61" s="1"/>
  <c r="G7" i="61" s="1"/>
  <c r="C7" i="62" s="1"/>
  <c r="E7" i="62" s="1"/>
  <c r="G7" i="62" s="1"/>
  <c r="C7" i="63" s="1"/>
  <c r="E7" i="63" s="1"/>
  <c r="G7" i="63" s="1"/>
  <c r="C7" i="64" s="1"/>
  <c r="E7" i="64" s="1"/>
  <c r="G7" i="64" s="1"/>
  <c r="E200" i="34"/>
  <c r="G200" i="34" s="1"/>
  <c r="C200" i="35" s="1"/>
  <c r="E200" i="35" s="1"/>
  <c r="G200" i="35" s="1"/>
  <c r="C200" i="36" s="1"/>
  <c r="E200" i="36" s="1"/>
  <c r="G200" i="36" s="1"/>
  <c r="E80" i="34"/>
  <c r="G80" i="34" s="1"/>
  <c r="C80" i="35" s="1"/>
  <c r="E80" i="35" s="1"/>
  <c r="G80" i="35" s="1"/>
  <c r="C80" i="36" s="1"/>
  <c r="E80" i="36" s="1"/>
  <c r="G80" i="36" s="1"/>
  <c r="C80" i="37" s="1"/>
  <c r="E80" i="37" s="1"/>
  <c r="G80" i="37" s="1"/>
  <c r="C80" i="38" s="1"/>
  <c r="E80" i="38" s="1"/>
  <c r="G80" i="38" s="1"/>
  <c r="C80" i="39" s="1"/>
  <c r="E80" i="39" s="1"/>
  <c r="G80" i="39" s="1"/>
  <c r="C80" i="40" s="1"/>
  <c r="E80" i="40" s="1"/>
  <c r="G80" i="40" s="1"/>
  <c r="C80" i="41" s="1"/>
  <c r="E80" i="41" s="1"/>
  <c r="G80" i="41" s="1"/>
  <c r="C80" i="42" s="1"/>
  <c r="E80" i="42" s="1"/>
  <c r="G80" i="42" s="1"/>
  <c r="C80" i="43" s="1"/>
  <c r="E80" i="43" s="1"/>
  <c r="G80" i="43" s="1"/>
  <c r="C80" i="44" s="1"/>
  <c r="E80" i="44" s="1"/>
  <c r="G80" i="44" s="1"/>
  <c r="C80" i="45" s="1"/>
  <c r="E80" i="45" s="1"/>
  <c r="G80" i="45" s="1"/>
  <c r="C80" i="46" s="1"/>
  <c r="E80" i="46" s="1"/>
  <c r="G80" i="46" s="1"/>
  <c r="C80" i="47" s="1"/>
  <c r="E80" i="47" s="1"/>
  <c r="G80" i="47" s="1"/>
  <c r="C80" i="48" s="1"/>
  <c r="E80" i="48" s="1"/>
  <c r="G80" i="48" s="1"/>
  <c r="C80" i="49" s="1"/>
  <c r="E80" i="49" s="1"/>
  <c r="G80" i="49" s="1"/>
  <c r="C80" i="50" s="1"/>
  <c r="E80" i="50" s="1"/>
  <c r="G80" i="50" s="1"/>
  <c r="C80" i="51" s="1"/>
  <c r="E80" i="51" s="1"/>
  <c r="G80" i="51" s="1"/>
  <c r="C80" i="52" s="1"/>
  <c r="E80" i="52" s="1"/>
  <c r="G80" i="52" s="1"/>
  <c r="C80" i="53" s="1"/>
  <c r="E80" i="53" s="1"/>
  <c r="G80" i="53" s="1"/>
  <c r="C80" i="54" s="1"/>
  <c r="E80" i="54" s="1"/>
  <c r="G80" i="54" s="1"/>
  <c r="C80" i="55" s="1"/>
  <c r="E80" i="55" s="1"/>
  <c r="G80" i="55" s="1"/>
  <c r="C80" i="56" s="1"/>
  <c r="E80" i="56" s="1"/>
  <c r="G80" i="56" s="1"/>
  <c r="C80" i="57" s="1"/>
  <c r="E80" i="57" s="1"/>
  <c r="G80" i="57" s="1"/>
  <c r="C80" i="58" s="1"/>
  <c r="E80" i="58" s="1"/>
  <c r="G80" i="58" s="1"/>
  <c r="C80" i="59" s="1"/>
  <c r="E80" i="59" s="1"/>
  <c r="G80" i="59" s="1"/>
  <c r="C80" i="60" s="1"/>
  <c r="E80" i="60" s="1"/>
  <c r="G80" i="60" s="1"/>
  <c r="C80" i="61" s="1"/>
  <c r="E80" i="61" s="1"/>
  <c r="G80" i="61" s="1"/>
  <c r="C80" i="62" s="1"/>
  <c r="E80" i="62" s="1"/>
  <c r="G80" i="62" s="1"/>
  <c r="C80" i="63" s="1"/>
  <c r="E80" i="63" s="1"/>
  <c r="G80" i="63" s="1"/>
  <c r="C80" i="64" s="1"/>
  <c r="E80" i="64" s="1"/>
  <c r="G80" i="64" s="1"/>
  <c r="E186" i="34"/>
  <c r="G186" i="34" s="1"/>
  <c r="C186" i="35" s="1"/>
  <c r="E186" i="35" s="1"/>
  <c r="G186" i="35" s="1"/>
  <c r="C186" i="36" s="1"/>
  <c r="E186" i="36" s="1"/>
  <c r="G186" i="36" s="1"/>
  <c r="C186" i="37" s="1"/>
  <c r="E186" i="37" s="1"/>
  <c r="G186" i="37" s="1"/>
  <c r="C186" i="38" s="1"/>
  <c r="E186" i="38" s="1"/>
  <c r="G186" i="38" s="1"/>
  <c r="C186" i="39" s="1"/>
  <c r="E186" i="39" s="1"/>
  <c r="G186" i="39" s="1"/>
  <c r="C186" i="40" s="1"/>
  <c r="E186" i="40" s="1"/>
  <c r="G186" i="40" s="1"/>
  <c r="C186" i="41" s="1"/>
  <c r="E186" i="41" s="1"/>
  <c r="G186" i="41" s="1"/>
  <c r="C186" i="42" s="1"/>
  <c r="E186" i="42" s="1"/>
  <c r="G186" i="42" s="1"/>
  <c r="C186" i="43" s="1"/>
  <c r="E186" i="43" s="1"/>
  <c r="G186" i="43" s="1"/>
  <c r="C186" i="44" s="1"/>
  <c r="E186" i="44" s="1"/>
  <c r="G186" i="44" s="1"/>
  <c r="C186" i="45" s="1"/>
  <c r="E186" i="45" s="1"/>
  <c r="G186" i="45" s="1"/>
  <c r="C186" i="46" s="1"/>
  <c r="E186" i="46" s="1"/>
  <c r="G186" i="46" s="1"/>
  <c r="C186" i="47" s="1"/>
  <c r="E186" i="47" s="1"/>
  <c r="G186" i="47" s="1"/>
  <c r="C186" i="48" s="1"/>
  <c r="E186" i="48" s="1"/>
  <c r="G186" i="48" s="1"/>
  <c r="C186" i="49" s="1"/>
  <c r="E186" i="49" s="1"/>
  <c r="G186" i="49" s="1"/>
  <c r="C186" i="50" s="1"/>
  <c r="E186" i="50" s="1"/>
  <c r="G186" i="50" s="1"/>
  <c r="C186" i="51" s="1"/>
  <c r="E186" i="51" s="1"/>
  <c r="G186" i="51" s="1"/>
  <c r="C186" i="52" s="1"/>
  <c r="E186" i="52" s="1"/>
  <c r="G186" i="52" s="1"/>
  <c r="C186" i="53" s="1"/>
  <c r="E186" i="53" s="1"/>
  <c r="G186" i="53" s="1"/>
  <c r="C186" i="54" s="1"/>
  <c r="E186" i="54" s="1"/>
  <c r="G186" i="54" s="1"/>
  <c r="C186" i="55" s="1"/>
  <c r="E186" i="55" s="1"/>
  <c r="G186" i="55" s="1"/>
  <c r="C186" i="56" s="1"/>
  <c r="E186" i="56" s="1"/>
  <c r="G186" i="56" s="1"/>
  <c r="C186" i="57" s="1"/>
  <c r="E186" i="57" s="1"/>
  <c r="G186" i="57" s="1"/>
  <c r="C186" i="58" s="1"/>
  <c r="E186" i="58" s="1"/>
  <c r="G186" i="58" s="1"/>
  <c r="C186" i="59" s="1"/>
  <c r="E186" i="59" s="1"/>
  <c r="G186" i="59" s="1"/>
  <c r="C186" i="60" s="1"/>
  <c r="E186" i="60" s="1"/>
  <c r="G186" i="60" s="1"/>
  <c r="C186" i="61" s="1"/>
  <c r="E186" i="61" s="1"/>
  <c r="G186" i="61" s="1"/>
  <c r="C186" i="62" s="1"/>
  <c r="E186" i="62" s="1"/>
  <c r="G186" i="62" s="1"/>
  <c r="C186" i="63" s="1"/>
  <c r="E186" i="63" s="1"/>
  <c r="G186" i="63" s="1"/>
  <c r="C186" i="64" s="1"/>
  <c r="E186" i="64" s="1"/>
  <c r="G186" i="64" s="1"/>
  <c r="E122" i="34"/>
  <c r="G122" i="34" s="1"/>
  <c r="C122" i="35" s="1"/>
  <c r="E122" i="35" s="1"/>
  <c r="G122" i="35" s="1"/>
  <c r="C122" i="36" s="1"/>
  <c r="E122" i="36" s="1"/>
  <c r="G122" i="36" s="1"/>
  <c r="C122" i="37" s="1"/>
  <c r="E122" i="37" s="1"/>
  <c r="G122" i="37" s="1"/>
  <c r="C122" i="38" s="1"/>
  <c r="E122" i="38" s="1"/>
  <c r="G122" i="38" s="1"/>
  <c r="C122" i="39" s="1"/>
  <c r="E122" i="39" s="1"/>
  <c r="G122" i="39" s="1"/>
  <c r="C122" i="40" s="1"/>
  <c r="E122" i="40" s="1"/>
  <c r="G122" i="40" s="1"/>
  <c r="C122" i="41" s="1"/>
  <c r="E122" i="41" s="1"/>
  <c r="G122" i="41" s="1"/>
  <c r="C122" i="42" s="1"/>
  <c r="E122" i="42" s="1"/>
  <c r="G122" i="42" s="1"/>
  <c r="C122" i="43" s="1"/>
  <c r="E122" i="43" s="1"/>
  <c r="G122" i="43" s="1"/>
  <c r="C122" i="44" s="1"/>
  <c r="E122" i="44" s="1"/>
  <c r="G122" i="44" s="1"/>
  <c r="C122" i="45" s="1"/>
  <c r="E122" i="45" s="1"/>
  <c r="G122" i="45" s="1"/>
  <c r="C122" i="46" s="1"/>
  <c r="E122" i="46" s="1"/>
  <c r="G122" i="46" s="1"/>
  <c r="C122" i="47" s="1"/>
  <c r="E122" i="47" s="1"/>
  <c r="G122" i="47" s="1"/>
  <c r="C122" i="48" s="1"/>
  <c r="E122" i="48" s="1"/>
  <c r="G122" i="48" s="1"/>
  <c r="C122" i="49" s="1"/>
  <c r="E122" i="49" s="1"/>
  <c r="G122" i="49" s="1"/>
  <c r="C122" i="50" s="1"/>
  <c r="E122" i="50" s="1"/>
  <c r="G122" i="50" s="1"/>
  <c r="C122" i="51" s="1"/>
  <c r="E122" i="51" s="1"/>
  <c r="G122" i="51" s="1"/>
  <c r="C122" i="52" s="1"/>
  <c r="E122" i="52" s="1"/>
  <c r="G122" i="52" s="1"/>
  <c r="C122" i="53" s="1"/>
  <c r="E122" i="53" s="1"/>
  <c r="G122" i="53" s="1"/>
  <c r="C122" i="54" s="1"/>
  <c r="E122" i="54" s="1"/>
  <c r="G122" i="54" s="1"/>
  <c r="C122" i="55" s="1"/>
  <c r="E122" i="55" s="1"/>
  <c r="G122" i="55" s="1"/>
  <c r="C122" i="56" s="1"/>
  <c r="E122" i="56" s="1"/>
  <c r="G122" i="56" s="1"/>
  <c r="C122" i="57" s="1"/>
  <c r="E122" i="57" s="1"/>
  <c r="G122" i="57" s="1"/>
  <c r="C122" i="58" s="1"/>
  <c r="E122" i="58" s="1"/>
  <c r="G122" i="58" s="1"/>
  <c r="C122" i="59" s="1"/>
  <c r="E122" i="59" s="1"/>
  <c r="G122" i="59" s="1"/>
  <c r="C122" i="60" s="1"/>
  <c r="E122" i="60" s="1"/>
  <c r="G122" i="60" s="1"/>
  <c r="C122" i="61" s="1"/>
  <c r="E122" i="61" s="1"/>
  <c r="G122" i="61" s="1"/>
  <c r="C122" i="62" s="1"/>
  <c r="E122" i="62" s="1"/>
  <c r="G122" i="62" s="1"/>
  <c r="C122" i="63" s="1"/>
  <c r="E122" i="63" s="1"/>
  <c r="G122" i="63" s="1"/>
  <c r="C122" i="64" s="1"/>
  <c r="E122" i="64" s="1"/>
  <c r="G122" i="64" s="1"/>
  <c r="E150" i="34"/>
  <c r="G150" i="34" s="1"/>
  <c r="C150" i="35" s="1"/>
  <c r="E150" i="35" s="1"/>
  <c r="G150" i="35" s="1"/>
  <c r="C150" i="36" s="1"/>
  <c r="E150" i="36" s="1"/>
  <c r="G150" i="36" s="1"/>
  <c r="C150" i="37" s="1"/>
  <c r="E150" i="37" s="1"/>
  <c r="G150" i="37" s="1"/>
  <c r="C150" i="38" s="1"/>
  <c r="E150" i="38" s="1"/>
  <c r="G150" i="38" s="1"/>
  <c r="C150" i="39" s="1"/>
  <c r="E150" i="39" s="1"/>
  <c r="G150" i="39" s="1"/>
  <c r="C150" i="40" s="1"/>
  <c r="E150" i="40" s="1"/>
  <c r="G150" i="40" s="1"/>
  <c r="C150" i="41" s="1"/>
  <c r="E150" i="41" s="1"/>
  <c r="G150" i="41" s="1"/>
  <c r="C150" i="42" s="1"/>
  <c r="E150" i="42" s="1"/>
  <c r="G150" i="42" s="1"/>
  <c r="C150" i="43" s="1"/>
  <c r="E150" i="43" s="1"/>
  <c r="G150" i="43" s="1"/>
  <c r="C150" i="44" s="1"/>
  <c r="E150" i="44" s="1"/>
  <c r="G150" i="44" s="1"/>
  <c r="C150" i="45" s="1"/>
  <c r="E150" i="45" s="1"/>
  <c r="G150" i="45" s="1"/>
  <c r="C150" i="46" s="1"/>
  <c r="E150" i="46" s="1"/>
  <c r="G150" i="46" s="1"/>
  <c r="C150" i="47" s="1"/>
  <c r="E150" i="47" s="1"/>
  <c r="G150" i="47" s="1"/>
  <c r="C150" i="48" s="1"/>
  <c r="E150" i="48" s="1"/>
  <c r="G150" i="48" s="1"/>
  <c r="C150" i="49" s="1"/>
  <c r="E150" i="49" s="1"/>
  <c r="G150" i="49" s="1"/>
  <c r="C150" i="50" s="1"/>
  <c r="E150" i="50" s="1"/>
  <c r="G150" i="50" s="1"/>
  <c r="C150" i="51" s="1"/>
  <c r="E150" i="51" s="1"/>
  <c r="G150" i="51" s="1"/>
  <c r="C150" i="52" s="1"/>
  <c r="E150" i="52" s="1"/>
  <c r="G150" i="52" s="1"/>
  <c r="C150" i="53" s="1"/>
  <c r="E150" i="53" s="1"/>
  <c r="G150" i="53" s="1"/>
  <c r="C150" i="54" s="1"/>
  <c r="E150" i="54" s="1"/>
  <c r="G150" i="54" s="1"/>
  <c r="C150" i="55" s="1"/>
  <c r="E150" i="55" s="1"/>
  <c r="G150" i="55" s="1"/>
  <c r="C150" i="56" s="1"/>
  <c r="E150" i="56" s="1"/>
  <c r="G150" i="56" s="1"/>
  <c r="C150" i="57" s="1"/>
  <c r="E150" i="57" s="1"/>
  <c r="G150" i="57" s="1"/>
  <c r="C150" i="58" s="1"/>
  <c r="E150" i="58" s="1"/>
  <c r="G150" i="58" s="1"/>
  <c r="C150" i="59" s="1"/>
  <c r="E150" i="59" s="1"/>
  <c r="G150" i="59" s="1"/>
  <c r="C150" i="60" s="1"/>
  <c r="E150" i="60" s="1"/>
  <c r="G150" i="60" s="1"/>
  <c r="C150" i="61" s="1"/>
  <c r="E150" i="61" s="1"/>
  <c r="G150" i="61" s="1"/>
  <c r="C150" i="62" s="1"/>
  <c r="E150" i="62" s="1"/>
  <c r="G150" i="62" s="1"/>
  <c r="C150" i="63" s="1"/>
  <c r="E150" i="63" s="1"/>
  <c r="G150" i="63" s="1"/>
  <c r="C150" i="64" s="1"/>
  <c r="E150" i="64" s="1"/>
  <c r="G150" i="64" s="1"/>
  <c r="E78" i="34"/>
  <c r="G78" i="34" s="1"/>
  <c r="C78" i="35" s="1"/>
  <c r="E78" i="35" s="1"/>
  <c r="G78" i="35" s="1"/>
  <c r="C78" i="36" s="1"/>
  <c r="E78" i="36" s="1"/>
  <c r="G78" i="36" s="1"/>
  <c r="C78" i="37" s="1"/>
  <c r="E78" i="37" s="1"/>
  <c r="G78" i="37" s="1"/>
  <c r="C78" i="38" s="1"/>
  <c r="E78" i="38" s="1"/>
  <c r="G78" i="38" s="1"/>
  <c r="C78" i="39" s="1"/>
  <c r="E78" i="39" s="1"/>
  <c r="G78" i="39" s="1"/>
  <c r="C78" i="40" s="1"/>
  <c r="E78" i="40" s="1"/>
  <c r="G78" i="40" s="1"/>
  <c r="C78" i="41" s="1"/>
  <c r="E78" i="41" s="1"/>
  <c r="G78" i="41" s="1"/>
  <c r="C78" i="42" s="1"/>
  <c r="E78" i="42" s="1"/>
  <c r="G78" i="42" s="1"/>
  <c r="C78" i="43" s="1"/>
  <c r="E78" i="43" s="1"/>
  <c r="G78" i="43" s="1"/>
  <c r="C78" i="44" s="1"/>
  <c r="E78" i="44" s="1"/>
  <c r="G78" i="44" s="1"/>
  <c r="C78" i="45" s="1"/>
  <c r="E78" i="45" s="1"/>
  <c r="G78" i="45" s="1"/>
  <c r="C78" i="46" s="1"/>
  <c r="E78" i="46" s="1"/>
  <c r="G78" i="46" s="1"/>
  <c r="C78" i="47" s="1"/>
  <c r="E78" i="47" s="1"/>
  <c r="G78" i="47" s="1"/>
  <c r="C78" i="48" s="1"/>
  <c r="E78" i="48" s="1"/>
  <c r="G78" i="48" s="1"/>
  <c r="C78" i="49" s="1"/>
  <c r="E78" i="49" s="1"/>
  <c r="G78" i="49" s="1"/>
  <c r="C78" i="50" s="1"/>
  <c r="E78" i="50" s="1"/>
  <c r="G78" i="50" s="1"/>
  <c r="C78" i="51" s="1"/>
  <c r="E78" i="51" s="1"/>
  <c r="G78" i="51" s="1"/>
  <c r="C78" i="52" s="1"/>
  <c r="E78" i="52" s="1"/>
  <c r="G78" i="52" s="1"/>
  <c r="C78" i="53" s="1"/>
  <c r="E78" i="53" s="1"/>
  <c r="G78" i="53" s="1"/>
  <c r="C78" i="54" s="1"/>
  <c r="E78" i="54" s="1"/>
  <c r="G78" i="54" s="1"/>
  <c r="C78" i="55" s="1"/>
  <c r="E78" i="55" s="1"/>
  <c r="G78" i="55" s="1"/>
  <c r="C78" i="56" s="1"/>
  <c r="E78" i="56" s="1"/>
  <c r="G78" i="56" s="1"/>
  <c r="C78" i="57" s="1"/>
  <c r="E78" i="57" s="1"/>
  <c r="G78" i="57" s="1"/>
  <c r="C78" i="58" s="1"/>
  <c r="E78" i="58" s="1"/>
  <c r="G78" i="58" s="1"/>
  <c r="C78" i="59" s="1"/>
  <c r="E78" i="59" s="1"/>
  <c r="G78" i="59" s="1"/>
  <c r="C78" i="60" s="1"/>
  <c r="E78" i="60" s="1"/>
  <c r="G78" i="60" s="1"/>
  <c r="C78" i="61" s="1"/>
  <c r="E78" i="61" s="1"/>
  <c r="G78" i="61" s="1"/>
  <c r="C78" i="62" s="1"/>
  <c r="E78" i="62" s="1"/>
  <c r="G78" i="62" s="1"/>
  <c r="C78" i="63" s="1"/>
  <c r="E78" i="63" s="1"/>
  <c r="G78" i="63" s="1"/>
  <c r="C78" i="64" s="1"/>
  <c r="E78" i="64" s="1"/>
  <c r="G78" i="64" s="1"/>
  <c r="E159" i="34"/>
  <c r="G159" i="34" s="1"/>
  <c r="C159" i="35" s="1"/>
  <c r="E159" i="35" s="1"/>
  <c r="G159" i="35" s="1"/>
  <c r="C159" i="36" s="1"/>
  <c r="E159" i="36" s="1"/>
  <c r="G159" i="36" s="1"/>
  <c r="C159" i="37" s="1"/>
  <c r="E159" i="37" s="1"/>
  <c r="G159" i="37" s="1"/>
  <c r="C159" i="38" s="1"/>
  <c r="E159" i="38" s="1"/>
  <c r="G159" i="38" s="1"/>
  <c r="C159" i="39" s="1"/>
  <c r="E159" i="39" s="1"/>
  <c r="G159" i="39" s="1"/>
  <c r="C159" i="40" s="1"/>
  <c r="E159" i="40" s="1"/>
  <c r="G159" i="40" s="1"/>
  <c r="C159" i="41" s="1"/>
  <c r="E159" i="41" s="1"/>
  <c r="G159" i="41" s="1"/>
  <c r="C159" i="42" s="1"/>
  <c r="E159" i="42" s="1"/>
  <c r="G159" i="42" s="1"/>
  <c r="C159" i="43" s="1"/>
  <c r="E159" i="43" s="1"/>
  <c r="G159" i="43" s="1"/>
  <c r="C159" i="44" s="1"/>
  <c r="E159" i="44" s="1"/>
  <c r="G159" i="44" s="1"/>
  <c r="C159" i="45" s="1"/>
  <c r="E159" i="45" s="1"/>
  <c r="G159" i="45" s="1"/>
  <c r="C159" i="46" s="1"/>
  <c r="E159" i="46" s="1"/>
  <c r="G159" i="46" s="1"/>
  <c r="C159" i="47" s="1"/>
  <c r="E159" i="47" s="1"/>
  <c r="G159" i="47" s="1"/>
  <c r="C159" i="48" s="1"/>
  <c r="E159" i="48" s="1"/>
  <c r="G159" i="48" s="1"/>
  <c r="C159" i="49" s="1"/>
  <c r="E159" i="49" s="1"/>
  <c r="G159" i="49" s="1"/>
  <c r="C159" i="50" s="1"/>
  <c r="E159" i="50" s="1"/>
  <c r="G159" i="50" s="1"/>
  <c r="C159" i="51" s="1"/>
  <c r="E159" i="51" s="1"/>
  <c r="G159" i="51" s="1"/>
  <c r="C159" i="52" s="1"/>
  <c r="E159" i="52" s="1"/>
  <c r="G159" i="52" s="1"/>
  <c r="C159" i="53" s="1"/>
  <c r="E159" i="53" s="1"/>
  <c r="G159" i="53" s="1"/>
  <c r="C159" i="54" s="1"/>
  <c r="E159" i="54" s="1"/>
  <c r="G159" i="54" s="1"/>
  <c r="C159" i="55" s="1"/>
  <c r="E159" i="55" s="1"/>
  <c r="G159" i="55" s="1"/>
  <c r="C159" i="56" s="1"/>
  <c r="E159" i="56" s="1"/>
  <c r="G159" i="56" s="1"/>
  <c r="C159" i="57" s="1"/>
  <c r="E159" i="57" s="1"/>
  <c r="G159" i="57" s="1"/>
  <c r="C159" i="58" s="1"/>
  <c r="E159" i="58" s="1"/>
  <c r="G159" i="58" s="1"/>
  <c r="C159" i="59" s="1"/>
  <c r="E159" i="59" s="1"/>
  <c r="G159" i="59" s="1"/>
  <c r="C159" i="60" s="1"/>
  <c r="E159" i="60" s="1"/>
  <c r="G159" i="60" s="1"/>
  <c r="C159" i="61" s="1"/>
  <c r="E159" i="61" s="1"/>
  <c r="G159" i="61" s="1"/>
  <c r="C159" i="62" s="1"/>
  <c r="E159" i="62" s="1"/>
  <c r="G159" i="62" s="1"/>
  <c r="C159" i="63" s="1"/>
  <c r="E159" i="63" s="1"/>
  <c r="G159" i="63" s="1"/>
  <c r="C159" i="64" s="1"/>
  <c r="E159" i="64" s="1"/>
  <c r="G159" i="64" s="1"/>
  <c r="E145" i="34"/>
  <c r="G145" i="34" s="1"/>
  <c r="C145" i="35" s="1"/>
  <c r="E145" i="35" s="1"/>
  <c r="G145" i="35" s="1"/>
  <c r="C145" i="36" s="1"/>
  <c r="E145" i="36" s="1"/>
  <c r="G145" i="36" s="1"/>
  <c r="C145" i="37" s="1"/>
  <c r="E145" i="37" s="1"/>
  <c r="G145" i="37" s="1"/>
  <c r="C145" i="38" s="1"/>
  <c r="E145" i="38" s="1"/>
  <c r="G145" i="38" s="1"/>
  <c r="C145" i="39" s="1"/>
  <c r="E145" i="39" s="1"/>
  <c r="G145" i="39" s="1"/>
  <c r="C145" i="40" s="1"/>
  <c r="E145" i="40" s="1"/>
  <c r="G145" i="40" s="1"/>
  <c r="C145" i="41" s="1"/>
  <c r="E145" i="41" s="1"/>
  <c r="G145" i="41" s="1"/>
  <c r="C145" i="42" s="1"/>
  <c r="E145" i="42" s="1"/>
  <c r="G145" i="42" s="1"/>
  <c r="C145" i="43" s="1"/>
  <c r="E145" i="43" s="1"/>
  <c r="G145" i="43" s="1"/>
  <c r="C145" i="44" s="1"/>
  <c r="E145" i="44" s="1"/>
  <c r="G145" i="44" s="1"/>
  <c r="C145" i="45" s="1"/>
  <c r="E145" i="45" s="1"/>
  <c r="G145" i="45" s="1"/>
  <c r="C145" i="46" s="1"/>
  <c r="E145" i="46" s="1"/>
  <c r="G145" i="46" s="1"/>
  <c r="C145" i="47" s="1"/>
  <c r="E145" i="47" s="1"/>
  <c r="G145" i="47" s="1"/>
  <c r="C145" i="48" s="1"/>
  <c r="E145" i="48" s="1"/>
  <c r="G145" i="48" s="1"/>
  <c r="C145" i="49" s="1"/>
  <c r="E145" i="49" s="1"/>
  <c r="G145" i="49" s="1"/>
  <c r="C145" i="50" s="1"/>
  <c r="E145" i="50" s="1"/>
  <c r="G145" i="50" s="1"/>
  <c r="C145" i="51" s="1"/>
  <c r="E145" i="51" s="1"/>
  <c r="G145" i="51" s="1"/>
  <c r="C145" i="52" s="1"/>
  <c r="E145" i="52" s="1"/>
  <c r="G145" i="52" s="1"/>
  <c r="C145" i="53" s="1"/>
  <c r="E145" i="53" s="1"/>
  <c r="G145" i="53" s="1"/>
  <c r="C145" i="54" s="1"/>
  <c r="E145" i="54" s="1"/>
  <c r="G145" i="54" s="1"/>
  <c r="C145" i="55" s="1"/>
  <c r="E145" i="55" s="1"/>
  <c r="G145" i="55" s="1"/>
  <c r="C145" i="56" s="1"/>
  <c r="E145" i="56" s="1"/>
  <c r="G145" i="56" s="1"/>
  <c r="C145" i="57" s="1"/>
  <c r="E145" i="57" s="1"/>
  <c r="G145" i="57" s="1"/>
  <c r="C145" i="58" s="1"/>
  <c r="E145" i="58" s="1"/>
  <c r="G145" i="58" s="1"/>
  <c r="C145" i="59" s="1"/>
  <c r="E145" i="59" s="1"/>
  <c r="G145" i="59" s="1"/>
  <c r="C145" i="60" s="1"/>
  <c r="E145" i="60" s="1"/>
  <c r="G145" i="60" s="1"/>
  <c r="C145" i="61" s="1"/>
  <c r="E145" i="61" s="1"/>
  <c r="G145" i="61" s="1"/>
  <c r="C145" i="62" s="1"/>
  <c r="E145" i="62" s="1"/>
  <c r="G145" i="62" s="1"/>
  <c r="C145" i="63" s="1"/>
  <c r="E145" i="63" s="1"/>
  <c r="G145" i="63" s="1"/>
  <c r="C145" i="64" s="1"/>
  <c r="E145" i="64" s="1"/>
  <c r="G145" i="64" s="1"/>
  <c r="E168" i="34"/>
  <c r="G168" i="34" s="1"/>
  <c r="C168" i="35" s="1"/>
  <c r="E168" i="35" s="1"/>
  <c r="G168" i="35" s="1"/>
  <c r="C168" i="36" s="1"/>
  <c r="E168" i="36" s="1"/>
  <c r="G168" i="36" s="1"/>
  <c r="C168" i="37" s="1"/>
  <c r="E168" i="37" s="1"/>
  <c r="G168" i="37" s="1"/>
  <c r="C168" i="38" s="1"/>
  <c r="E168" i="38" s="1"/>
  <c r="G168" i="38" s="1"/>
  <c r="C168" i="39" s="1"/>
  <c r="E168" i="39" s="1"/>
  <c r="G168" i="39" s="1"/>
  <c r="C168" i="40" s="1"/>
  <c r="E168" i="40" s="1"/>
  <c r="G168" i="40" s="1"/>
  <c r="C168" i="41" s="1"/>
  <c r="E168" i="41" s="1"/>
  <c r="G168" i="41" s="1"/>
  <c r="C168" i="42" s="1"/>
  <c r="E168" i="42" s="1"/>
  <c r="G168" i="42" s="1"/>
  <c r="C168" i="43" s="1"/>
  <c r="E168" i="43" s="1"/>
  <c r="G168" i="43" s="1"/>
  <c r="C168" i="44" s="1"/>
  <c r="E168" i="44" s="1"/>
  <c r="G168" i="44" s="1"/>
  <c r="C168" i="45" s="1"/>
  <c r="E168" i="45" s="1"/>
  <c r="G168" i="45" s="1"/>
  <c r="C168" i="46" s="1"/>
  <c r="E168" i="46" s="1"/>
  <c r="G168" i="46" s="1"/>
  <c r="C168" i="47" s="1"/>
  <c r="E168" i="47" s="1"/>
  <c r="G168" i="47" s="1"/>
  <c r="C168" i="48" s="1"/>
  <c r="E168" i="48" s="1"/>
  <c r="G168" i="48" s="1"/>
  <c r="C168" i="49" s="1"/>
  <c r="E168" i="49" s="1"/>
  <c r="G168" i="49" s="1"/>
  <c r="C168" i="50" s="1"/>
  <c r="E168" i="50" s="1"/>
  <c r="G168" i="50" s="1"/>
  <c r="C168" i="51" s="1"/>
  <c r="E168" i="51" s="1"/>
  <c r="G168" i="51" s="1"/>
  <c r="C168" i="52" s="1"/>
  <c r="E168" i="52" s="1"/>
  <c r="G168" i="52" s="1"/>
  <c r="C168" i="53" s="1"/>
  <c r="E168" i="53" s="1"/>
  <c r="G168" i="53" s="1"/>
  <c r="C168" i="54" s="1"/>
  <c r="E168" i="54" s="1"/>
  <c r="G168" i="54" s="1"/>
  <c r="C168" i="55" s="1"/>
  <c r="E168" i="55" s="1"/>
  <c r="G168" i="55" s="1"/>
  <c r="C168" i="56" s="1"/>
  <c r="E168" i="56" s="1"/>
  <c r="G168" i="56" s="1"/>
  <c r="C168" i="57" s="1"/>
  <c r="E168" i="57" s="1"/>
  <c r="G168" i="57" s="1"/>
  <c r="C168" i="58" s="1"/>
  <c r="E168" i="58" s="1"/>
  <c r="G168" i="58" s="1"/>
  <c r="C168" i="59" s="1"/>
  <c r="E168" i="59" s="1"/>
  <c r="G168" i="59" s="1"/>
  <c r="C168" i="60" s="1"/>
  <c r="E168" i="60" s="1"/>
  <c r="G168" i="60" s="1"/>
  <c r="C168" i="61" s="1"/>
  <c r="E168" i="61" s="1"/>
  <c r="G168" i="61" s="1"/>
  <c r="C168" i="62" s="1"/>
  <c r="E168" i="62" s="1"/>
  <c r="G168" i="62" s="1"/>
  <c r="C168" i="63" s="1"/>
  <c r="E168" i="63" s="1"/>
  <c r="G168" i="63" s="1"/>
  <c r="C168" i="64" s="1"/>
  <c r="E168" i="64" s="1"/>
  <c r="G168" i="64" s="1"/>
  <c r="E199" i="34"/>
  <c r="G199" i="34" s="1"/>
  <c r="C199" i="35" s="1"/>
  <c r="E199" i="35" s="1"/>
  <c r="G199" i="35" s="1"/>
  <c r="C199" i="36" s="1"/>
  <c r="E199" i="36" s="1"/>
  <c r="G199" i="36" s="1"/>
  <c r="C199" i="37" s="1"/>
  <c r="E199" i="37" s="1"/>
  <c r="G199" i="37" s="1"/>
  <c r="C199" i="38" s="1"/>
  <c r="E199" i="38" s="1"/>
  <c r="G199" i="38" s="1"/>
  <c r="C199" i="39" s="1"/>
  <c r="E199" i="39" s="1"/>
  <c r="G199" i="39" s="1"/>
  <c r="C199" i="40" s="1"/>
  <c r="E199" i="40" s="1"/>
  <c r="G199" i="40" s="1"/>
  <c r="C199" i="41" s="1"/>
  <c r="E199" i="41" s="1"/>
  <c r="G199" i="41" s="1"/>
  <c r="C199" i="42" s="1"/>
  <c r="E199" i="42" s="1"/>
  <c r="G199" i="42" s="1"/>
  <c r="C199" i="43" s="1"/>
  <c r="E199" i="43" s="1"/>
  <c r="G199" i="43" s="1"/>
  <c r="C199" i="44" s="1"/>
  <c r="E199" i="44" s="1"/>
  <c r="G199" i="44" s="1"/>
  <c r="C199" i="45" s="1"/>
  <c r="E199" i="45" s="1"/>
  <c r="G199" i="45" s="1"/>
  <c r="C199" i="46" s="1"/>
  <c r="E199" i="46" s="1"/>
  <c r="G199" i="46" s="1"/>
  <c r="C199" i="47" s="1"/>
  <c r="E199" i="47" s="1"/>
  <c r="G199" i="47" s="1"/>
  <c r="C199" i="48" s="1"/>
  <c r="E199" i="48" s="1"/>
  <c r="G199" i="48" s="1"/>
  <c r="C199" i="49" s="1"/>
  <c r="E199" i="49" s="1"/>
  <c r="G199" i="49" s="1"/>
  <c r="C199" i="50" s="1"/>
  <c r="E199" i="50" s="1"/>
  <c r="G199" i="50" s="1"/>
  <c r="C199" i="51" s="1"/>
  <c r="E199" i="51" s="1"/>
  <c r="G199" i="51" s="1"/>
  <c r="C199" i="52" s="1"/>
  <c r="E199" i="52" s="1"/>
  <c r="G199" i="52" s="1"/>
  <c r="C199" i="53" s="1"/>
  <c r="E199" i="53" s="1"/>
  <c r="G199" i="53" s="1"/>
  <c r="C199" i="54" s="1"/>
  <c r="E199" i="54" s="1"/>
  <c r="G199" i="54" s="1"/>
  <c r="C199" i="55" s="1"/>
  <c r="E199" i="55" s="1"/>
  <c r="G199" i="55" s="1"/>
  <c r="C199" i="56" s="1"/>
  <c r="E199" i="56" s="1"/>
  <c r="G199" i="56" s="1"/>
  <c r="C199" i="57" s="1"/>
  <c r="E199" i="57" s="1"/>
  <c r="G199" i="57" s="1"/>
  <c r="C199" i="58" s="1"/>
  <c r="E199" i="58" s="1"/>
  <c r="G199" i="58" s="1"/>
  <c r="C199" i="59" s="1"/>
  <c r="E199" i="59" s="1"/>
  <c r="G199" i="59" s="1"/>
  <c r="C199" i="60" s="1"/>
  <c r="E199" i="60" s="1"/>
  <c r="G199" i="60" s="1"/>
  <c r="C199" i="61" s="1"/>
  <c r="E199" i="61" s="1"/>
  <c r="G199" i="61" s="1"/>
  <c r="C199" i="62" s="1"/>
  <c r="E199" i="62" s="1"/>
  <c r="G199" i="62" s="1"/>
  <c r="C199" i="63" s="1"/>
  <c r="E199" i="63" s="1"/>
  <c r="G199" i="63" s="1"/>
  <c r="C199" i="64" s="1"/>
  <c r="E199" i="64" s="1"/>
  <c r="G199" i="64" s="1"/>
  <c r="E79" i="34"/>
  <c r="G79" i="34" s="1"/>
  <c r="C79" i="35" s="1"/>
  <c r="E79" i="35" s="1"/>
  <c r="G79" i="35" s="1"/>
  <c r="C79" i="36" s="1"/>
  <c r="E79" i="36" s="1"/>
  <c r="G79" i="36" s="1"/>
  <c r="C79" i="37" s="1"/>
  <c r="E79" i="37" s="1"/>
  <c r="G79" i="37" s="1"/>
  <c r="C79" i="38" s="1"/>
  <c r="E79" i="38" s="1"/>
  <c r="G79" i="38" s="1"/>
  <c r="C79" i="39" s="1"/>
  <c r="E79" i="39" s="1"/>
  <c r="G79" i="39" s="1"/>
  <c r="C79" i="40" s="1"/>
  <c r="E79" i="40" s="1"/>
  <c r="G79" i="40" s="1"/>
  <c r="C79" i="41" s="1"/>
  <c r="E79" i="41" s="1"/>
  <c r="G79" i="41" s="1"/>
  <c r="C79" i="42" s="1"/>
  <c r="E79" i="42" s="1"/>
  <c r="G79" i="42" s="1"/>
  <c r="C79" i="43" s="1"/>
  <c r="E79" i="43" s="1"/>
  <c r="G79" i="43" s="1"/>
  <c r="C79" i="44" s="1"/>
  <c r="E79" i="44" s="1"/>
  <c r="G79" i="44" s="1"/>
  <c r="C79" i="45" s="1"/>
  <c r="E79" i="45" s="1"/>
  <c r="G79" i="45" s="1"/>
  <c r="C79" i="46" s="1"/>
  <c r="E79" i="46" s="1"/>
  <c r="G79" i="46" s="1"/>
  <c r="C79" i="47" s="1"/>
  <c r="E79" i="47" s="1"/>
  <c r="G79" i="47" s="1"/>
  <c r="C79" i="48" s="1"/>
  <c r="E79" i="48" s="1"/>
  <c r="G79" i="48" s="1"/>
  <c r="C79" i="49" s="1"/>
  <c r="E79" i="49" s="1"/>
  <c r="G79" i="49" s="1"/>
  <c r="C79" i="50" s="1"/>
  <c r="E79" i="50" s="1"/>
  <c r="G79" i="50" s="1"/>
  <c r="C79" i="51" s="1"/>
  <c r="E79" i="51" s="1"/>
  <c r="G79" i="51" s="1"/>
  <c r="C79" i="52" s="1"/>
  <c r="E79" i="52" s="1"/>
  <c r="G79" i="52" s="1"/>
  <c r="C79" i="53" s="1"/>
  <c r="E79" i="53" s="1"/>
  <c r="G79" i="53" s="1"/>
  <c r="C79" i="54" s="1"/>
  <c r="E79" i="54" s="1"/>
  <c r="G79" i="54" s="1"/>
  <c r="C79" i="55" s="1"/>
  <c r="E79" i="55" s="1"/>
  <c r="G79" i="55" s="1"/>
  <c r="C79" i="56" s="1"/>
  <c r="E79" i="56" s="1"/>
  <c r="G79" i="56" s="1"/>
  <c r="C79" i="57" s="1"/>
  <c r="E79" i="57" s="1"/>
  <c r="G79" i="57" s="1"/>
  <c r="C79" i="58" s="1"/>
  <c r="E79" i="58" s="1"/>
  <c r="G79" i="58" s="1"/>
  <c r="C79" i="59" s="1"/>
  <c r="E79" i="59" s="1"/>
  <c r="G79" i="59" s="1"/>
  <c r="C79" i="60" s="1"/>
  <c r="E79" i="60" s="1"/>
  <c r="G79" i="60" s="1"/>
  <c r="C79" i="61" s="1"/>
  <c r="E79" i="61" s="1"/>
  <c r="G79" i="61" s="1"/>
  <c r="C79" i="62" s="1"/>
  <c r="E79" i="62" s="1"/>
  <c r="G79" i="62" s="1"/>
  <c r="C79" i="63" s="1"/>
  <c r="E79" i="63" s="1"/>
  <c r="G79" i="63" s="1"/>
  <c r="C79" i="64" s="1"/>
  <c r="E79" i="64" s="1"/>
  <c r="G79" i="64" s="1"/>
  <c r="E182" i="34"/>
  <c r="G182" i="34" s="1"/>
  <c r="C182" i="35" s="1"/>
  <c r="E182" i="35" s="1"/>
  <c r="G182" i="35" s="1"/>
  <c r="C182" i="36" s="1"/>
  <c r="E182" i="36" s="1"/>
  <c r="G182" i="36" s="1"/>
  <c r="C182" i="37" s="1"/>
  <c r="E182" i="37" s="1"/>
  <c r="G182" i="37" s="1"/>
  <c r="C182" i="38" s="1"/>
  <c r="E182" i="38" s="1"/>
  <c r="G182" i="38" s="1"/>
  <c r="C182" i="39" s="1"/>
  <c r="E182" i="39" s="1"/>
  <c r="G182" i="39" s="1"/>
  <c r="C182" i="40" s="1"/>
  <c r="E182" i="40" s="1"/>
  <c r="G182" i="40" s="1"/>
  <c r="C182" i="41" s="1"/>
  <c r="E182" i="41" s="1"/>
  <c r="G182" i="41" s="1"/>
  <c r="C182" i="42" s="1"/>
  <c r="E182" i="42" s="1"/>
  <c r="G182" i="42" s="1"/>
  <c r="C182" i="43" s="1"/>
  <c r="E182" i="43" s="1"/>
  <c r="G182" i="43" s="1"/>
  <c r="C182" i="44" s="1"/>
  <c r="E182" i="44" s="1"/>
  <c r="G182" i="44" s="1"/>
  <c r="C182" i="45" s="1"/>
  <c r="E182" i="45" s="1"/>
  <c r="G182" i="45" s="1"/>
  <c r="C182" i="46" s="1"/>
  <c r="E182" i="46" s="1"/>
  <c r="G182" i="46" s="1"/>
  <c r="C182" i="47" s="1"/>
  <c r="E182" i="47" s="1"/>
  <c r="G182" i="47" s="1"/>
  <c r="C182" i="48" s="1"/>
  <c r="E182" i="48" s="1"/>
  <c r="G182" i="48" s="1"/>
  <c r="C182" i="49" s="1"/>
  <c r="E182" i="49" s="1"/>
  <c r="G182" i="49" s="1"/>
  <c r="C182" i="50" s="1"/>
  <c r="E182" i="50" s="1"/>
  <c r="G182" i="50" s="1"/>
  <c r="C182" i="51" s="1"/>
  <c r="E182" i="51" s="1"/>
  <c r="G182" i="51" s="1"/>
  <c r="C182" i="52" s="1"/>
  <c r="E182" i="52" s="1"/>
  <c r="G182" i="52" s="1"/>
  <c r="C182" i="53" s="1"/>
  <c r="E182" i="53" s="1"/>
  <c r="G182" i="53" s="1"/>
  <c r="C182" i="54" s="1"/>
  <c r="E182" i="54" s="1"/>
  <c r="G182" i="54" s="1"/>
  <c r="C182" i="55" s="1"/>
  <c r="E182" i="55" s="1"/>
  <c r="G182" i="55" s="1"/>
  <c r="C182" i="56" s="1"/>
  <c r="E182" i="56" s="1"/>
  <c r="G182" i="56" s="1"/>
  <c r="C182" i="57" s="1"/>
  <c r="E182" i="57" s="1"/>
  <c r="G182" i="57" s="1"/>
  <c r="C182" i="58" s="1"/>
  <c r="E182" i="58" s="1"/>
  <c r="G182" i="58" s="1"/>
  <c r="C182" i="59" s="1"/>
  <c r="E182" i="59" s="1"/>
  <c r="G182" i="59" s="1"/>
  <c r="C182" i="60" s="1"/>
  <c r="E182" i="60" s="1"/>
  <c r="G182" i="60" s="1"/>
  <c r="C182" i="61" s="1"/>
  <c r="E182" i="61" s="1"/>
  <c r="G182" i="61" s="1"/>
  <c r="C182" i="62" s="1"/>
  <c r="E182" i="62" s="1"/>
  <c r="G182" i="62" s="1"/>
  <c r="C182" i="63" s="1"/>
  <c r="E182" i="63" s="1"/>
  <c r="G182" i="63" s="1"/>
  <c r="C182" i="64" s="1"/>
  <c r="E182" i="64" s="1"/>
  <c r="G182" i="64" s="1"/>
  <c r="E162" i="34"/>
  <c r="G162" i="34" s="1"/>
  <c r="C162" i="35" s="1"/>
  <c r="E162" i="35" s="1"/>
  <c r="G162" i="35" s="1"/>
  <c r="C162" i="36" s="1"/>
  <c r="E162" i="36" s="1"/>
  <c r="G162" i="36" s="1"/>
  <c r="C162" i="37" s="1"/>
  <c r="E162" i="37" s="1"/>
  <c r="G162" i="37" s="1"/>
  <c r="C162" i="38" s="1"/>
  <c r="E162" i="38" s="1"/>
  <c r="G162" i="38" s="1"/>
  <c r="C162" i="39" s="1"/>
  <c r="E162" i="39" s="1"/>
  <c r="G162" i="39" s="1"/>
  <c r="C162" i="40" s="1"/>
  <c r="E162" i="40" s="1"/>
  <c r="G162" i="40" s="1"/>
  <c r="C162" i="41" s="1"/>
  <c r="E162" i="41" s="1"/>
  <c r="G162" i="41" s="1"/>
  <c r="C162" i="42" s="1"/>
  <c r="E162" i="42" s="1"/>
  <c r="G162" i="42" s="1"/>
  <c r="C162" i="43" s="1"/>
  <c r="E162" i="43" s="1"/>
  <c r="G162" i="43" s="1"/>
  <c r="C162" i="44" s="1"/>
  <c r="E162" i="44" s="1"/>
  <c r="G162" i="44" s="1"/>
  <c r="C162" i="45" s="1"/>
  <c r="E162" i="45" s="1"/>
  <c r="G162" i="45" s="1"/>
  <c r="C162" i="46" s="1"/>
  <c r="E162" i="46" s="1"/>
  <c r="G162" i="46" s="1"/>
  <c r="C162" i="47" s="1"/>
  <c r="E162" i="47" s="1"/>
  <c r="G162" i="47" s="1"/>
  <c r="C162" i="48" s="1"/>
  <c r="E162" i="48" s="1"/>
  <c r="G162" i="48" s="1"/>
  <c r="C162" i="49" s="1"/>
  <c r="E162" i="49" s="1"/>
  <c r="G162" i="49" s="1"/>
  <c r="C162" i="50" s="1"/>
  <c r="E162" i="50" s="1"/>
  <c r="G162" i="50" s="1"/>
  <c r="C162" i="51" s="1"/>
  <c r="E162" i="51" s="1"/>
  <c r="G162" i="51" s="1"/>
  <c r="C162" i="52" s="1"/>
  <c r="E162" i="52" s="1"/>
  <c r="G162" i="52" s="1"/>
  <c r="C162" i="53" s="1"/>
  <c r="E162" i="53" s="1"/>
  <c r="G162" i="53" s="1"/>
  <c r="C162" i="54" s="1"/>
  <c r="E162" i="54" s="1"/>
  <c r="G162" i="54" s="1"/>
  <c r="C162" i="55" s="1"/>
  <c r="E162" i="55" s="1"/>
  <c r="G162" i="55" s="1"/>
  <c r="C162" i="56" s="1"/>
  <c r="E162" i="56" s="1"/>
  <c r="G162" i="56" s="1"/>
  <c r="C162" i="57" s="1"/>
  <c r="E162" i="57" s="1"/>
  <c r="G162" i="57" s="1"/>
  <c r="C162" i="58" s="1"/>
  <c r="E162" i="58" s="1"/>
  <c r="G162" i="58" s="1"/>
  <c r="C162" i="59" s="1"/>
  <c r="E162" i="59" s="1"/>
  <c r="G162" i="59" s="1"/>
  <c r="C162" i="60" s="1"/>
  <c r="E162" i="60" s="1"/>
  <c r="G162" i="60" s="1"/>
  <c r="C162" i="61" s="1"/>
  <c r="E162" i="61" s="1"/>
  <c r="G162" i="61" s="1"/>
  <c r="C162" i="62" s="1"/>
  <c r="E162" i="62" s="1"/>
  <c r="G162" i="62" s="1"/>
  <c r="C162" i="63" s="1"/>
  <c r="E162" i="63" s="1"/>
  <c r="G162" i="63" s="1"/>
  <c r="C162" i="64" s="1"/>
  <c r="E162" i="64" s="1"/>
  <c r="G162" i="64" s="1"/>
  <c r="E6" i="34"/>
  <c r="G6" i="34" s="1"/>
  <c r="C6" i="35" s="1"/>
  <c r="E6" i="35" s="1"/>
  <c r="G6" i="35" s="1"/>
  <c r="C6" i="36" s="1"/>
  <c r="E6" i="36" s="1"/>
  <c r="G6" i="36" s="1"/>
  <c r="C6" i="37" s="1"/>
  <c r="E6" i="37" s="1"/>
  <c r="G6" i="37" s="1"/>
  <c r="C6" i="38" s="1"/>
  <c r="E6" i="38" s="1"/>
  <c r="G6" i="38" s="1"/>
  <c r="C6" i="39" s="1"/>
  <c r="E6" i="39" s="1"/>
  <c r="G6" i="39" s="1"/>
  <c r="C6" i="40" s="1"/>
  <c r="E6" i="40" s="1"/>
  <c r="G6" i="40" s="1"/>
  <c r="C6" i="41" s="1"/>
  <c r="E6" i="41" s="1"/>
  <c r="G6" i="41" s="1"/>
  <c r="C6" i="42" s="1"/>
  <c r="E6" i="42" s="1"/>
  <c r="G6" i="42" s="1"/>
  <c r="C6" i="43" s="1"/>
  <c r="E6" i="43" s="1"/>
  <c r="G6" i="43" s="1"/>
  <c r="C6" i="44" s="1"/>
  <c r="E6" i="44" s="1"/>
  <c r="G6" i="44" s="1"/>
  <c r="C6" i="45" s="1"/>
  <c r="E6" i="45" s="1"/>
  <c r="G6" i="45" s="1"/>
  <c r="C6" i="46" s="1"/>
  <c r="E6" i="46" s="1"/>
  <c r="G6" i="46" s="1"/>
  <c r="C6" i="47" s="1"/>
  <c r="E6" i="47" s="1"/>
  <c r="G6" i="47" s="1"/>
  <c r="C6" i="48" s="1"/>
  <c r="E6" i="48" s="1"/>
  <c r="G6" i="48" s="1"/>
  <c r="C6" i="49" s="1"/>
  <c r="E6" i="49" s="1"/>
  <c r="G6" i="49" s="1"/>
  <c r="C6" i="50" s="1"/>
  <c r="E6" i="50" s="1"/>
  <c r="G6" i="50" s="1"/>
  <c r="C6" i="51" s="1"/>
  <c r="E6" i="51" s="1"/>
  <c r="G6" i="51" s="1"/>
  <c r="C6" i="52" s="1"/>
  <c r="E6" i="52" s="1"/>
  <c r="G6" i="52" s="1"/>
  <c r="C6" i="53" s="1"/>
  <c r="E6" i="53" s="1"/>
  <c r="G6" i="53" s="1"/>
  <c r="C6" i="54" s="1"/>
  <c r="E6" i="54" s="1"/>
  <c r="G6" i="54" s="1"/>
  <c r="C6" i="55" s="1"/>
  <c r="E6" i="55" s="1"/>
  <c r="G6" i="55" s="1"/>
  <c r="C6" i="56" s="1"/>
  <c r="E6" i="56" s="1"/>
  <c r="G6" i="56" s="1"/>
  <c r="C6" i="57" s="1"/>
  <c r="E6" i="57" s="1"/>
  <c r="G6" i="57" s="1"/>
  <c r="C6" i="58" s="1"/>
  <c r="E6" i="58" s="1"/>
  <c r="G6" i="58" s="1"/>
  <c r="C6" i="59" s="1"/>
  <c r="E6" i="59" s="1"/>
  <c r="G6" i="59" s="1"/>
  <c r="C6" i="60" s="1"/>
  <c r="E6" i="60" s="1"/>
  <c r="G6" i="60" s="1"/>
  <c r="C6" i="61" s="1"/>
  <c r="E6" i="61" s="1"/>
  <c r="G6" i="61" s="1"/>
  <c r="C6" i="62" s="1"/>
  <c r="E6" i="62" s="1"/>
  <c r="G6" i="62" s="1"/>
  <c r="C6" i="63" s="1"/>
  <c r="E6" i="63" s="1"/>
  <c r="G6" i="63" s="1"/>
  <c r="C6" i="64" s="1"/>
  <c r="E6" i="64" s="1"/>
  <c r="G6" i="64" s="1"/>
  <c r="E88" i="34"/>
  <c r="G88" i="34" s="1"/>
  <c r="C88" i="35" s="1"/>
  <c r="E88" i="35" s="1"/>
  <c r="G88" i="35" s="1"/>
  <c r="C88" i="36" s="1"/>
  <c r="E88" i="36" s="1"/>
  <c r="G88" i="36" s="1"/>
  <c r="C88" i="37" s="1"/>
  <c r="E88" i="37" s="1"/>
  <c r="G88" i="37" s="1"/>
  <c r="C88" i="38" s="1"/>
  <c r="E88" i="38" s="1"/>
  <c r="G88" i="38" s="1"/>
  <c r="C88" i="39" s="1"/>
  <c r="E88" i="39" s="1"/>
  <c r="G88" i="39" s="1"/>
  <c r="C88" i="40" s="1"/>
  <c r="E88" i="40" s="1"/>
  <c r="G88" i="40" s="1"/>
  <c r="C88" i="41" s="1"/>
  <c r="E88" i="41" s="1"/>
  <c r="G88" i="41" s="1"/>
  <c r="C88" i="42" s="1"/>
  <c r="E88" i="42" s="1"/>
  <c r="G88" i="42" s="1"/>
  <c r="C88" i="43" s="1"/>
  <c r="E88" i="43" s="1"/>
  <c r="G88" i="43" s="1"/>
  <c r="C88" i="44" s="1"/>
  <c r="E88" i="44" s="1"/>
  <c r="G88" i="44" s="1"/>
  <c r="C88" i="45" s="1"/>
  <c r="E88" i="45" s="1"/>
  <c r="G88" i="45" s="1"/>
  <c r="C88" i="46" s="1"/>
  <c r="E88" i="46" s="1"/>
  <c r="G88" i="46" s="1"/>
  <c r="C88" i="47" s="1"/>
  <c r="E88" i="47" s="1"/>
  <c r="G88" i="47" s="1"/>
  <c r="C88" i="48" s="1"/>
  <c r="E88" i="48" s="1"/>
  <c r="G88" i="48" s="1"/>
  <c r="C88" i="49" s="1"/>
  <c r="E88" i="49" s="1"/>
  <c r="G88" i="49" s="1"/>
  <c r="C88" i="50" s="1"/>
  <c r="E88" i="50" s="1"/>
  <c r="G88" i="50" s="1"/>
  <c r="C88" i="51" s="1"/>
  <c r="E88" i="51" s="1"/>
  <c r="G88" i="51" s="1"/>
  <c r="C88" i="52" s="1"/>
  <c r="E88" i="52" s="1"/>
  <c r="G88" i="52" s="1"/>
  <c r="C88" i="53" s="1"/>
  <c r="E88" i="53" s="1"/>
  <c r="G88" i="53" s="1"/>
  <c r="C88" i="54" s="1"/>
  <c r="E88" i="54" s="1"/>
  <c r="G88" i="54" s="1"/>
  <c r="C88" i="55" s="1"/>
  <c r="E88" i="55" s="1"/>
  <c r="G88" i="55" s="1"/>
  <c r="C88" i="56" s="1"/>
  <c r="E88" i="56" s="1"/>
  <c r="G88" i="56" s="1"/>
  <c r="C88" i="57" s="1"/>
  <c r="E88" i="57" s="1"/>
  <c r="G88" i="57" s="1"/>
  <c r="C88" i="58" s="1"/>
  <c r="E88" i="58" s="1"/>
  <c r="G88" i="58" s="1"/>
  <c r="C88" i="59" s="1"/>
  <c r="E88" i="59" s="1"/>
  <c r="G88" i="59" s="1"/>
  <c r="C88" i="60" s="1"/>
  <c r="E88" i="60" s="1"/>
  <c r="G88" i="60" s="1"/>
  <c r="C88" i="61" s="1"/>
  <c r="E88" i="61" s="1"/>
  <c r="G88" i="61" s="1"/>
  <c r="C88" i="62" s="1"/>
  <c r="E88" i="62" s="1"/>
  <c r="G88" i="62" s="1"/>
  <c r="C88" i="63" s="1"/>
  <c r="E88" i="63" s="1"/>
  <c r="G88" i="63" s="1"/>
  <c r="C88" i="64" s="1"/>
  <c r="E88" i="64" s="1"/>
  <c r="G88" i="64" s="1"/>
  <c r="E46" i="34"/>
  <c r="G46" i="34" s="1"/>
  <c r="C46" i="35" s="1"/>
  <c r="E46" i="35" s="1"/>
  <c r="G46" i="35" s="1"/>
  <c r="C46" i="36" s="1"/>
  <c r="E46" i="36" s="1"/>
  <c r="G46" i="36" s="1"/>
  <c r="C46" i="37" s="1"/>
  <c r="E46" i="37" s="1"/>
  <c r="G46" i="37" s="1"/>
  <c r="C46" i="38" s="1"/>
  <c r="E46" i="38" s="1"/>
  <c r="G46" i="38" s="1"/>
  <c r="C46" i="39" s="1"/>
  <c r="E46" i="39" s="1"/>
  <c r="G46" i="39" s="1"/>
  <c r="C46" i="40" s="1"/>
  <c r="E46" i="40" s="1"/>
  <c r="G46" i="40" s="1"/>
  <c r="C46" i="41" s="1"/>
  <c r="E46" i="41" s="1"/>
  <c r="G46" i="41" s="1"/>
  <c r="C46" i="42" s="1"/>
  <c r="E46" i="42" s="1"/>
  <c r="G46" i="42" s="1"/>
  <c r="C46" i="43" s="1"/>
  <c r="E46" i="43" s="1"/>
  <c r="G46" i="43" s="1"/>
  <c r="C46" i="44" s="1"/>
  <c r="E46" i="44" s="1"/>
  <c r="G46" i="44" s="1"/>
  <c r="C46" i="45" s="1"/>
  <c r="E46" i="45" s="1"/>
  <c r="G46" i="45" s="1"/>
  <c r="C46" i="46" s="1"/>
  <c r="E46" i="46" s="1"/>
  <c r="G46" i="46" s="1"/>
  <c r="C46" i="47" s="1"/>
  <c r="E46" i="47" s="1"/>
  <c r="G46" i="47" s="1"/>
  <c r="C46" i="48" s="1"/>
  <c r="E46" i="48" s="1"/>
  <c r="G46" i="48" s="1"/>
  <c r="C46" i="49" s="1"/>
  <c r="E46" i="49" s="1"/>
  <c r="G46" i="49" s="1"/>
  <c r="C46" i="50" s="1"/>
  <c r="E46" i="50" s="1"/>
  <c r="G46" i="50" s="1"/>
  <c r="C46" i="51" s="1"/>
  <c r="E46" i="51" s="1"/>
  <c r="G46" i="51" s="1"/>
  <c r="C46" i="52" s="1"/>
  <c r="E46" i="52" s="1"/>
  <c r="G46" i="52" s="1"/>
  <c r="C46" i="53" s="1"/>
  <c r="E46" i="53" s="1"/>
  <c r="G46" i="53" s="1"/>
  <c r="C46" i="54" s="1"/>
  <c r="E46" i="54" s="1"/>
  <c r="G46" i="54" s="1"/>
  <c r="C46" i="55" s="1"/>
  <c r="E46" i="55" s="1"/>
  <c r="G46" i="55" s="1"/>
  <c r="C46" i="56" s="1"/>
  <c r="E46" i="56" s="1"/>
  <c r="G46" i="56" s="1"/>
  <c r="C46" i="57" s="1"/>
  <c r="E46" i="57" s="1"/>
  <c r="G46" i="57" s="1"/>
  <c r="C46" i="58" s="1"/>
  <c r="E46" i="58" s="1"/>
  <c r="G46" i="58" s="1"/>
  <c r="C46" i="59" s="1"/>
  <c r="E46" i="59" s="1"/>
  <c r="G46" i="59" s="1"/>
  <c r="C46" i="60" s="1"/>
  <c r="E46" i="60" s="1"/>
  <c r="G46" i="60" s="1"/>
  <c r="C46" i="61" s="1"/>
  <c r="E46" i="61" s="1"/>
  <c r="G46" i="61" s="1"/>
  <c r="C46" i="62" s="1"/>
  <c r="E46" i="62" s="1"/>
  <c r="G46" i="62" s="1"/>
  <c r="C46" i="63" s="1"/>
  <c r="E46" i="63" s="1"/>
  <c r="G46" i="63" s="1"/>
  <c r="C46" i="64" s="1"/>
  <c r="E46" i="64" s="1"/>
  <c r="G46" i="64" s="1"/>
  <c r="E118" i="34"/>
  <c r="G118" i="34" s="1"/>
  <c r="C118" i="35" s="1"/>
  <c r="E118" i="35" s="1"/>
  <c r="G118" i="35" s="1"/>
  <c r="C118" i="36" s="1"/>
  <c r="E118" i="36" s="1"/>
  <c r="G118" i="36" s="1"/>
  <c r="C118" i="37" s="1"/>
  <c r="E118" i="37" s="1"/>
  <c r="G118" i="37" s="1"/>
  <c r="C118" i="38" s="1"/>
  <c r="E118" i="38" s="1"/>
  <c r="G118" i="38" s="1"/>
  <c r="C118" i="39" s="1"/>
  <c r="E118" i="39" s="1"/>
  <c r="G118" i="39" s="1"/>
  <c r="C118" i="40" s="1"/>
  <c r="E118" i="40" s="1"/>
  <c r="G118" i="40" s="1"/>
  <c r="C118" i="41" s="1"/>
  <c r="E118" i="41" s="1"/>
  <c r="G118" i="41" s="1"/>
  <c r="C118" i="42" s="1"/>
  <c r="E118" i="42" s="1"/>
  <c r="G118" i="42" s="1"/>
  <c r="C118" i="43" s="1"/>
  <c r="E118" i="43" s="1"/>
  <c r="G118" i="43" s="1"/>
  <c r="C118" i="44" s="1"/>
  <c r="E118" i="44" s="1"/>
  <c r="G118" i="44" s="1"/>
  <c r="C118" i="45" s="1"/>
  <c r="E118" i="45" s="1"/>
  <c r="G118" i="45" s="1"/>
  <c r="C118" i="46" s="1"/>
  <c r="E118" i="46" s="1"/>
  <c r="G118" i="46" s="1"/>
  <c r="C118" i="47" s="1"/>
  <c r="E118" i="47" s="1"/>
  <c r="G118" i="47" s="1"/>
  <c r="C118" i="48" s="1"/>
  <c r="E118" i="48" s="1"/>
  <c r="G118" i="48" s="1"/>
  <c r="C118" i="49" s="1"/>
  <c r="E118" i="49" s="1"/>
  <c r="G118" i="49" s="1"/>
  <c r="C118" i="50" s="1"/>
  <c r="E118" i="50" s="1"/>
  <c r="G118" i="50" s="1"/>
  <c r="C118" i="51" s="1"/>
  <c r="E118" i="51" s="1"/>
  <c r="G118" i="51" s="1"/>
  <c r="C118" i="52" s="1"/>
  <c r="E118" i="52" s="1"/>
  <c r="G118" i="52" s="1"/>
  <c r="C118" i="53" s="1"/>
  <c r="E118" i="53" s="1"/>
  <c r="G118" i="53" s="1"/>
  <c r="C118" i="54" s="1"/>
  <c r="E118" i="54" s="1"/>
  <c r="G118" i="54" s="1"/>
  <c r="C118" i="55" s="1"/>
  <c r="E118" i="55" s="1"/>
  <c r="G118" i="55" s="1"/>
  <c r="C118" i="56" s="1"/>
  <c r="E118" i="56" s="1"/>
  <c r="G118" i="56" s="1"/>
  <c r="C118" i="57" s="1"/>
  <c r="E118" i="57" s="1"/>
  <c r="G118" i="57" s="1"/>
  <c r="C118" i="58" s="1"/>
  <c r="E118" i="58" s="1"/>
  <c r="G118" i="58" s="1"/>
  <c r="C118" i="59" s="1"/>
  <c r="E118" i="59" s="1"/>
  <c r="G118" i="59" s="1"/>
  <c r="C118" i="60" s="1"/>
  <c r="E118" i="60" s="1"/>
  <c r="G118" i="60" s="1"/>
  <c r="C118" i="61" s="1"/>
  <c r="E118" i="61" s="1"/>
  <c r="G118" i="61" s="1"/>
  <c r="C118" i="62" s="1"/>
  <c r="E118" i="62" s="1"/>
  <c r="G118" i="62" s="1"/>
  <c r="C118" i="63" s="1"/>
  <c r="E118" i="63" s="1"/>
  <c r="G118" i="63" s="1"/>
  <c r="C118" i="64" s="1"/>
  <c r="E118" i="64" s="1"/>
  <c r="G118" i="64" s="1"/>
  <c r="E8" i="34"/>
  <c r="G8" i="34" s="1"/>
  <c r="C8" i="35" s="1"/>
  <c r="E8" i="35" s="1"/>
  <c r="G8" i="35" s="1"/>
  <c r="C8" i="36" s="1"/>
  <c r="E8" i="36" s="1"/>
  <c r="G8" i="36" s="1"/>
  <c r="C8" i="37" s="1"/>
  <c r="E8" i="37" s="1"/>
  <c r="G8" i="37" s="1"/>
  <c r="C8" i="38" s="1"/>
  <c r="E8" i="38" s="1"/>
  <c r="G8" i="38" s="1"/>
  <c r="C8" i="39" s="1"/>
  <c r="E8" i="39" s="1"/>
  <c r="G8" i="39" s="1"/>
  <c r="C8" i="40" s="1"/>
  <c r="E8" i="40" s="1"/>
  <c r="G8" i="40" s="1"/>
  <c r="C8" i="41" s="1"/>
  <c r="E8" i="41" s="1"/>
  <c r="G8" i="41" s="1"/>
  <c r="C8" i="42" s="1"/>
  <c r="E8" i="42" s="1"/>
  <c r="G8" i="42" s="1"/>
  <c r="C8" i="43" s="1"/>
  <c r="E8" i="43" s="1"/>
  <c r="G8" i="43" s="1"/>
  <c r="C8" i="44" s="1"/>
  <c r="E8" i="44" s="1"/>
  <c r="G8" i="44" s="1"/>
  <c r="C8" i="45" s="1"/>
  <c r="E8" i="45" s="1"/>
  <c r="G8" i="45" s="1"/>
  <c r="C8" i="46" s="1"/>
  <c r="E8" i="46" s="1"/>
  <c r="G8" i="46" s="1"/>
  <c r="C8" i="47" s="1"/>
  <c r="E8" i="47" s="1"/>
  <c r="G8" i="47" s="1"/>
  <c r="C8" i="48" s="1"/>
  <c r="E8" i="48" s="1"/>
  <c r="G8" i="48" s="1"/>
  <c r="C8" i="49" s="1"/>
  <c r="E8" i="49" s="1"/>
  <c r="G8" i="49" s="1"/>
  <c r="C8" i="50" s="1"/>
  <c r="E8" i="50" s="1"/>
  <c r="G8" i="50" s="1"/>
  <c r="C8" i="51" s="1"/>
  <c r="E8" i="51" s="1"/>
  <c r="G8" i="51" s="1"/>
  <c r="C8" i="52" s="1"/>
  <c r="E8" i="52" s="1"/>
  <c r="G8" i="52" s="1"/>
  <c r="C8" i="53" s="1"/>
  <c r="E8" i="53" s="1"/>
  <c r="G8" i="53" s="1"/>
  <c r="C8" i="54" s="1"/>
  <c r="E8" i="54" s="1"/>
  <c r="G8" i="54" s="1"/>
  <c r="C8" i="55" s="1"/>
  <c r="E8" i="55" s="1"/>
  <c r="G8" i="55" s="1"/>
  <c r="C8" i="56" s="1"/>
  <c r="E8" i="56" s="1"/>
  <c r="G8" i="56" s="1"/>
  <c r="C8" i="57" s="1"/>
  <c r="E8" i="57" s="1"/>
  <c r="G8" i="57" s="1"/>
  <c r="C8" i="58" s="1"/>
  <c r="E8" i="58" s="1"/>
  <c r="G8" i="58" s="1"/>
  <c r="C8" i="59" s="1"/>
  <c r="E8" i="59" s="1"/>
  <c r="G8" i="59" s="1"/>
  <c r="C8" i="60" s="1"/>
  <c r="E8" i="60" s="1"/>
  <c r="G8" i="60" s="1"/>
  <c r="C8" i="61" s="1"/>
  <c r="E8" i="61" s="1"/>
  <c r="G8" i="61" s="1"/>
  <c r="C8" i="62" s="1"/>
  <c r="E8" i="62" s="1"/>
  <c r="G8" i="62" s="1"/>
  <c r="C8" i="63" s="1"/>
  <c r="E8" i="63" s="1"/>
  <c r="G8" i="63" s="1"/>
  <c r="C8" i="64" s="1"/>
  <c r="E8" i="64" s="1"/>
  <c r="G8" i="64" s="1"/>
  <c r="E143" i="34"/>
  <c r="G143" i="34" s="1"/>
  <c r="C143" i="35" s="1"/>
  <c r="E143" i="35" s="1"/>
  <c r="G143" i="35" s="1"/>
  <c r="C143" i="36" s="1"/>
  <c r="E143" i="36" s="1"/>
  <c r="G143" i="36" s="1"/>
  <c r="C143" i="37" s="1"/>
  <c r="E143" i="37" s="1"/>
  <c r="G143" i="37" s="1"/>
  <c r="C143" i="38" s="1"/>
  <c r="E143" i="38" s="1"/>
  <c r="G143" i="38" s="1"/>
  <c r="C143" i="39" s="1"/>
  <c r="E143" i="39" s="1"/>
  <c r="G143" i="39" s="1"/>
  <c r="C143" i="40" s="1"/>
  <c r="E143" i="40" s="1"/>
  <c r="G143" i="40" s="1"/>
  <c r="C143" i="41" s="1"/>
  <c r="E143" i="41" s="1"/>
  <c r="G143" i="41" s="1"/>
  <c r="C143" i="42" s="1"/>
  <c r="E143" i="42" s="1"/>
  <c r="G143" i="42" s="1"/>
  <c r="C143" i="43" s="1"/>
  <c r="E143" i="43" s="1"/>
  <c r="G143" i="43" s="1"/>
  <c r="C143" i="44" s="1"/>
  <c r="E143" i="44" s="1"/>
  <c r="G143" i="44" s="1"/>
  <c r="C143" i="45" s="1"/>
  <c r="E143" i="45" s="1"/>
  <c r="G143" i="45" s="1"/>
  <c r="C143" i="46" s="1"/>
  <c r="E143" i="46" s="1"/>
  <c r="G143" i="46" s="1"/>
  <c r="C143" i="47" s="1"/>
  <c r="E143" i="47" s="1"/>
  <c r="G143" i="47" s="1"/>
  <c r="C143" i="48" s="1"/>
  <c r="E143" i="48" s="1"/>
  <c r="G143" i="48" s="1"/>
  <c r="C143" i="49" s="1"/>
  <c r="E143" i="49" s="1"/>
  <c r="G143" i="49" s="1"/>
  <c r="C143" i="50" s="1"/>
  <c r="E143" i="50" s="1"/>
  <c r="G143" i="50" s="1"/>
  <c r="C143" i="51" s="1"/>
  <c r="E143" i="51" s="1"/>
  <c r="G143" i="51" s="1"/>
  <c r="C143" i="52" s="1"/>
  <c r="E143" i="52" s="1"/>
  <c r="G143" i="52" s="1"/>
  <c r="C143" i="53" s="1"/>
  <c r="E143" i="53" s="1"/>
  <c r="G143" i="53" s="1"/>
  <c r="C143" i="54" s="1"/>
  <c r="E143" i="54" s="1"/>
  <c r="G143" i="54" s="1"/>
  <c r="C143" i="55" s="1"/>
  <c r="E143" i="55" s="1"/>
  <c r="G143" i="55" s="1"/>
  <c r="C143" i="56" s="1"/>
  <c r="E143" i="56" s="1"/>
  <c r="G143" i="56" s="1"/>
  <c r="C143" i="57" s="1"/>
  <c r="E143" i="57" s="1"/>
  <c r="G143" i="57" s="1"/>
  <c r="C143" i="58" s="1"/>
  <c r="E143" i="58" s="1"/>
  <c r="G143" i="58" s="1"/>
  <c r="C143" i="59" s="1"/>
  <c r="E143" i="59" s="1"/>
  <c r="G143" i="59" s="1"/>
  <c r="C143" i="60" s="1"/>
  <c r="E143" i="60" s="1"/>
  <c r="G143" i="60" s="1"/>
  <c r="C143" i="61" s="1"/>
  <c r="E143" i="61" s="1"/>
  <c r="G143" i="61" s="1"/>
  <c r="C143" i="62" s="1"/>
  <c r="E143" i="62" s="1"/>
  <c r="G143" i="62" s="1"/>
  <c r="C143" i="63" s="1"/>
  <c r="E143" i="63" s="1"/>
  <c r="G143" i="63" s="1"/>
  <c r="C143" i="64" s="1"/>
  <c r="E143" i="64" s="1"/>
  <c r="G143" i="64" s="1"/>
  <c r="E130" i="34"/>
  <c r="G130" i="34" s="1"/>
  <c r="C130" i="35" s="1"/>
  <c r="E130" i="35" s="1"/>
  <c r="G130" i="35" s="1"/>
  <c r="C130" i="36" s="1"/>
  <c r="E130" i="36" s="1"/>
  <c r="G130" i="36" s="1"/>
  <c r="C130" i="37" s="1"/>
  <c r="E130" i="37" s="1"/>
  <c r="G130" i="37" s="1"/>
  <c r="C130" i="38" s="1"/>
  <c r="E130" i="38" s="1"/>
  <c r="G130" i="38" s="1"/>
  <c r="C130" i="39" s="1"/>
  <c r="E130" i="39" s="1"/>
  <c r="G130" i="39" s="1"/>
  <c r="C130" i="40" s="1"/>
  <c r="E130" i="40" s="1"/>
  <c r="G130" i="40" s="1"/>
  <c r="C130" i="41" s="1"/>
  <c r="E130" i="41" s="1"/>
  <c r="G130" i="41" s="1"/>
  <c r="C130" i="42" s="1"/>
  <c r="E130" i="42" s="1"/>
  <c r="G130" i="42" s="1"/>
  <c r="C130" i="43" s="1"/>
  <c r="E130" i="43" s="1"/>
  <c r="G130" i="43" s="1"/>
  <c r="C130" i="44" s="1"/>
  <c r="E130" i="44" s="1"/>
  <c r="G130" i="44" s="1"/>
  <c r="C130" i="45" s="1"/>
  <c r="E130" i="45" s="1"/>
  <c r="G130" i="45" s="1"/>
  <c r="C130" i="46" s="1"/>
  <c r="E130" i="46" s="1"/>
  <c r="G130" i="46" s="1"/>
  <c r="C130" i="47" s="1"/>
  <c r="E130" i="47" s="1"/>
  <c r="G130" i="47" s="1"/>
  <c r="C130" i="48" s="1"/>
  <c r="E130" i="48" s="1"/>
  <c r="G130" i="48" s="1"/>
  <c r="C130" i="49" s="1"/>
  <c r="E130" i="49" s="1"/>
  <c r="G130" i="49" s="1"/>
  <c r="C130" i="50" s="1"/>
  <c r="E130" i="50" s="1"/>
  <c r="G130" i="50" s="1"/>
  <c r="C130" i="51" s="1"/>
  <c r="E130" i="51" s="1"/>
  <c r="G130" i="51" s="1"/>
  <c r="C130" i="52" s="1"/>
  <c r="E130" i="52" s="1"/>
  <c r="G130" i="52" s="1"/>
  <c r="C130" i="53" s="1"/>
  <c r="E130" i="53" s="1"/>
  <c r="G130" i="53" s="1"/>
  <c r="C130" i="54" s="1"/>
  <c r="E130" i="54" s="1"/>
  <c r="G130" i="54" s="1"/>
  <c r="C130" i="55" s="1"/>
  <c r="E130" i="55" s="1"/>
  <c r="G130" i="55" s="1"/>
  <c r="C130" i="56" s="1"/>
  <c r="E130" i="56" s="1"/>
  <c r="G130" i="56" s="1"/>
  <c r="C130" i="57" s="1"/>
  <c r="E130" i="57" s="1"/>
  <c r="G130" i="57" s="1"/>
  <c r="C130" i="58" s="1"/>
  <c r="E130" i="58" s="1"/>
  <c r="G130" i="58" s="1"/>
  <c r="C130" i="59" s="1"/>
  <c r="E130" i="59" s="1"/>
  <c r="G130" i="59" s="1"/>
  <c r="C130" i="60" s="1"/>
  <c r="E130" i="60" s="1"/>
  <c r="G130" i="60" s="1"/>
  <c r="C130" i="61" s="1"/>
  <c r="E130" i="61" s="1"/>
  <c r="G130" i="61" s="1"/>
  <c r="C130" i="62" s="1"/>
  <c r="E130" i="62" s="1"/>
  <c r="G130" i="62" s="1"/>
  <c r="C130" i="63" s="1"/>
  <c r="E130" i="63" s="1"/>
  <c r="G130" i="63" s="1"/>
  <c r="C130" i="64" s="1"/>
  <c r="E130" i="64" s="1"/>
  <c r="G130" i="64" s="1"/>
  <c r="E114" i="34"/>
  <c r="G114" i="34" s="1"/>
  <c r="C114" i="35" s="1"/>
  <c r="E114" i="35" s="1"/>
  <c r="G114" i="35" s="1"/>
  <c r="C114" i="36" s="1"/>
  <c r="E114" i="36" s="1"/>
  <c r="G114" i="36" s="1"/>
  <c r="C114" i="37" s="1"/>
  <c r="E114" i="37" s="1"/>
  <c r="G114" i="37" s="1"/>
  <c r="C114" i="38" s="1"/>
  <c r="E114" i="38" s="1"/>
  <c r="G114" i="38" s="1"/>
  <c r="C114" i="39" s="1"/>
  <c r="E114" i="39" s="1"/>
  <c r="G114" i="39" s="1"/>
  <c r="C114" i="40" s="1"/>
  <c r="E114" i="40" s="1"/>
  <c r="G114" i="40" s="1"/>
  <c r="C114" i="41" s="1"/>
  <c r="E114" i="41" s="1"/>
  <c r="G114" i="41" s="1"/>
  <c r="C114" i="42" s="1"/>
  <c r="E114" i="42" s="1"/>
  <c r="G114" i="42" s="1"/>
  <c r="C114" i="43" s="1"/>
  <c r="E114" i="43" s="1"/>
  <c r="G114" i="43" s="1"/>
  <c r="C114" i="44" s="1"/>
  <c r="E114" i="44" s="1"/>
  <c r="G114" i="44" s="1"/>
  <c r="C114" i="45" s="1"/>
  <c r="E114" i="45" s="1"/>
  <c r="G114" i="45" s="1"/>
  <c r="C114" i="46" s="1"/>
  <c r="E114" i="46" s="1"/>
  <c r="G114" i="46" s="1"/>
  <c r="C114" i="47" s="1"/>
  <c r="E114" i="47" s="1"/>
  <c r="G114" i="47" s="1"/>
  <c r="C114" i="48" s="1"/>
  <c r="E114" i="48" s="1"/>
  <c r="G114" i="48" s="1"/>
  <c r="C114" i="49" s="1"/>
  <c r="E114" i="49" s="1"/>
  <c r="G114" i="49" s="1"/>
  <c r="C114" i="50" s="1"/>
  <c r="E114" i="50" s="1"/>
  <c r="G114" i="50" s="1"/>
  <c r="C114" i="51" s="1"/>
  <c r="E114" i="51" s="1"/>
  <c r="G114" i="51" s="1"/>
  <c r="C114" i="52" s="1"/>
  <c r="E114" i="52" s="1"/>
  <c r="G114" i="52" s="1"/>
  <c r="C114" i="53" s="1"/>
  <c r="E114" i="53" s="1"/>
  <c r="G114" i="53" s="1"/>
  <c r="C114" i="54" s="1"/>
  <c r="E114" i="54" s="1"/>
  <c r="G114" i="54" s="1"/>
  <c r="C114" i="55" s="1"/>
  <c r="E114" i="55" s="1"/>
  <c r="G114" i="55" s="1"/>
  <c r="C114" i="56" s="1"/>
  <c r="E114" i="56" s="1"/>
  <c r="G114" i="56" s="1"/>
  <c r="C114" i="57" s="1"/>
  <c r="E114" i="57" s="1"/>
  <c r="G114" i="57" s="1"/>
  <c r="C114" i="58" s="1"/>
  <c r="E114" i="58" s="1"/>
  <c r="G114" i="58" s="1"/>
  <c r="C114" i="59" s="1"/>
  <c r="E114" i="59" s="1"/>
  <c r="G114" i="59" s="1"/>
  <c r="C114" i="60" s="1"/>
  <c r="E114" i="60" s="1"/>
  <c r="G114" i="60" s="1"/>
  <c r="C114" i="61" s="1"/>
  <c r="E114" i="61" s="1"/>
  <c r="G114" i="61" s="1"/>
  <c r="C114" i="62" s="1"/>
  <c r="E114" i="62" s="1"/>
  <c r="G114" i="62" s="1"/>
  <c r="C114" i="63" s="1"/>
  <c r="E114" i="63" s="1"/>
  <c r="G114" i="63" s="1"/>
  <c r="C114" i="64" s="1"/>
  <c r="E114" i="64" s="1"/>
  <c r="G114" i="64" s="1"/>
  <c r="E48" i="34"/>
  <c r="G48" i="34" s="1"/>
  <c r="C48" i="35" s="1"/>
  <c r="E48" i="35" s="1"/>
  <c r="G48" i="35" s="1"/>
  <c r="C48" i="36" s="1"/>
  <c r="E48" i="36" s="1"/>
  <c r="G48" i="36" s="1"/>
  <c r="C48" i="37" s="1"/>
  <c r="E48" i="37" s="1"/>
  <c r="G48" i="37" s="1"/>
  <c r="C48" i="38" s="1"/>
  <c r="E48" i="38" s="1"/>
  <c r="G48" i="38" s="1"/>
  <c r="C48" i="39" s="1"/>
  <c r="E48" i="39" s="1"/>
  <c r="G48" i="39" s="1"/>
  <c r="C48" i="40" s="1"/>
  <c r="E48" i="40" s="1"/>
  <c r="G48" i="40" s="1"/>
  <c r="C48" i="41" s="1"/>
  <c r="E48" i="41" s="1"/>
  <c r="G48" i="41" s="1"/>
  <c r="C48" i="42" s="1"/>
  <c r="E48" i="42" s="1"/>
  <c r="G48" i="42" s="1"/>
  <c r="C48" i="43" s="1"/>
  <c r="E48" i="43" s="1"/>
  <c r="G48" i="43" s="1"/>
  <c r="C48" i="44" s="1"/>
  <c r="E48" i="44" s="1"/>
  <c r="G48" i="44" s="1"/>
  <c r="C48" i="45" s="1"/>
  <c r="E48" i="45" s="1"/>
  <c r="G48" i="45" s="1"/>
  <c r="C48" i="46" s="1"/>
  <c r="E48" i="46" s="1"/>
  <c r="G48" i="46" s="1"/>
  <c r="C48" i="47" s="1"/>
  <c r="E48" i="47" s="1"/>
  <c r="G48" i="47" s="1"/>
  <c r="C48" i="48" s="1"/>
  <c r="E48" i="48" s="1"/>
  <c r="G48" i="48" s="1"/>
  <c r="C48" i="49" s="1"/>
  <c r="E48" i="49" s="1"/>
  <c r="G48" i="49" s="1"/>
  <c r="C48" i="50" s="1"/>
  <c r="E48" i="50" s="1"/>
  <c r="G48" i="50" s="1"/>
  <c r="C48" i="51" s="1"/>
  <c r="E48" i="51" s="1"/>
  <c r="G48" i="51" s="1"/>
  <c r="C48" i="52" s="1"/>
  <c r="E48" i="52" s="1"/>
  <c r="G48" i="52" s="1"/>
  <c r="C48" i="53" s="1"/>
  <c r="E48" i="53" s="1"/>
  <c r="G48" i="53" s="1"/>
  <c r="C48" i="54" s="1"/>
  <c r="E48" i="54" s="1"/>
  <c r="G48" i="54" s="1"/>
  <c r="C48" i="55" s="1"/>
  <c r="E48" i="55" s="1"/>
  <c r="G48" i="55" s="1"/>
  <c r="C48" i="56" s="1"/>
  <c r="E48" i="56" s="1"/>
  <c r="G48" i="56" s="1"/>
  <c r="C48" i="57" s="1"/>
  <c r="E48" i="57" s="1"/>
  <c r="G48" i="57" s="1"/>
  <c r="C48" i="58" s="1"/>
  <c r="E48" i="58" s="1"/>
  <c r="G48" i="58" s="1"/>
  <c r="C48" i="59" s="1"/>
  <c r="E48" i="59" s="1"/>
  <c r="G48" i="59" s="1"/>
  <c r="C48" i="60" s="1"/>
  <c r="E48" i="60" s="1"/>
  <c r="G48" i="60" s="1"/>
  <c r="C48" i="61" s="1"/>
  <c r="E48" i="61" s="1"/>
  <c r="G48" i="61" s="1"/>
  <c r="C48" i="62" s="1"/>
  <c r="E48" i="62" s="1"/>
  <c r="G48" i="62" s="1"/>
  <c r="C48" i="63" s="1"/>
  <c r="E48" i="63" s="1"/>
  <c r="G48" i="63" s="1"/>
  <c r="C48" i="64" s="1"/>
  <c r="E48" i="64" s="1"/>
  <c r="G48" i="64" s="1"/>
  <c r="E119" i="34"/>
  <c r="G119" i="34" s="1"/>
  <c r="C119" i="35" s="1"/>
  <c r="E119" i="35" s="1"/>
  <c r="G119" i="35" s="1"/>
  <c r="C119" i="36" s="1"/>
  <c r="E119" i="36" s="1"/>
  <c r="G119" i="36" s="1"/>
  <c r="C119" i="37" s="1"/>
  <c r="E119" i="37" s="1"/>
  <c r="G119" i="37" s="1"/>
  <c r="C119" i="38" s="1"/>
  <c r="E119" i="38" s="1"/>
  <c r="G119" i="38" s="1"/>
  <c r="C119" i="39" s="1"/>
  <c r="E119" i="39" s="1"/>
  <c r="G119" i="39" s="1"/>
  <c r="C119" i="40" s="1"/>
  <c r="E119" i="40" s="1"/>
  <c r="G119" i="40" s="1"/>
  <c r="C119" i="41" s="1"/>
  <c r="E119" i="41" s="1"/>
  <c r="G119" i="41" s="1"/>
  <c r="C119" i="42" s="1"/>
  <c r="E119" i="42" s="1"/>
  <c r="G119" i="42" s="1"/>
  <c r="C119" i="43" s="1"/>
  <c r="E119" i="43" s="1"/>
  <c r="G119" i="43" s="1"/>
  <c r="C119" i="44" s="1"/>
  <c r="E119" i="44" s="1"/>
  <c r="G119" i="44" s="1"/>
  <c r="C119" i="45" s="1"/>
  <c r="E119" i="45" s="1"/>
  <c r="G119" i="45" s="1"/>
  <c r="C119" i="46" s="1"/>
  <c r="E119" i="46" s="1"/>
  <c r="G119" i="46" s="1"/>
  <c r="C119" i="47" s="1"/>
  <c r="E119" i="47" s="1"/>
  <c r="G119" i="47" s="1"/>
  <c r="C119" i="48" s="1"/>
  <c r="E119" i="48" s="1"/>
  <c r="G119" i="48" s="1"/>
  <c r="C119" i="49" s="1"/>
  <c r="E119" i="49" s="1"/>
  <c r="G119" i="49" s="1"/>
  <c r="C119" i="50" s="1"/>
  <c r="E119" i="50" s="1"/>
  <c r="G119" i="50" s="1"/>
  <c r="C119" i="51" s="1"/>
  <c r="E119" i="51" s="1"/>
  <c r="G119" i="51" s="1"/>
  <c r="C119" i="52" s="1"/>
  <c r="E119" i="52" s="1"/>
  <c r="G119" i="52" s="1"/>
  <c r="C119" i="53" s="1"/>
  <c r="E119" i="53" s="1"/>
  <c r="G119" i="53" s="1"/>
  <c r="C119" i="54" s="1"/>
  <c r="E119" i="54" s="1"/>
  <c r="G119" i="54" s="1"/>
  <c r="C119" i="55" s="1"/>
  <c r="E119" i="55" s="1"/>
  <c r="G119" i="55" s="1"/>
  <c r="C119" i="56" s="1"/>
  <c r="E119" i="56" s="1"/>
  <c r="G119" i="56" s="1"/>
  <c r="C119" i="57" s="1"/>
  <c r="E119" i="57" s="1"/>
  <c r="G119" i="57" s="1"/>
  <c r="C119" i="58" s="1"/>
  <c r="E119" i="58" s="1"/>
  <c r="G119" i="58" s="1"/>
  <c r="C119" i="59" s="1"/>
  <c r="E119" i="59" s="1"/>
  <c r="G119" i="59" s="1"/>
  <c r="C119" i="60" s="1"/>
  <c r="E119" i="60" s="1"/>
  <c r="G119" i="60" s="1"/>
  <c r="C119" i="61" s="1"/>
  <c r="E119" i="61" s="1"/>
  <c r="G119" i="61" s="1"/>
  <c r="C119" i="62" s="1"/>
  <c r="E119" i="62" s="1"/>
  <c r="G119" i="62" s="1"/>
  <c r="C119" i="63" s="1"/>
  <c r="E119" i="63" s="1"/>
  <c r="G119" i="63" s="1"/>
  <c r="C119" i="64" s="1"/>
  <c r="E119" i="64" s="1"/>
  <c r="G119" i="64" s="1"/>
  <c r="E174" i="34"/>
  <c r="G174" i="34" s="1"/>
  <c r="C174" i="35" s="1"/>
  <c r="E174" i="35" s="1"/>
  <c r="G174" i="35" s="1"/>
  <c r="C174" i="36" s="1"/>
  <c r="E174" i="36" s="1"/>
  <c r="G174" i="36" s="1"/>
  <c r="C174" i="37" s="1"/>
  <c r="E174" i="37" s="1"/>
  <c r="G174" i="37" s="1"/>
  <c r="C174" i="38" s="1"/>
  <c r="E174" i="38" s="1"/>
  <c r="G174" i="38" s="1"/>
  <c r="C174" i="39" s="1"/>
  <c r="E174" i="39" s="1"/>
  <c r="G174" i="39" s="1"/>
  <c r="C174" i="40" s="1"/>
  <c r="E174" i="40" s="1"/>
  <c r="G174" i="40" s="1"/>
  <c r="C174" i="41" s="1"/>
  <c r="E174" i="41" s="1"/>
  <c r="G174" i="41" s="1"/>
  <c r="C174" i="42" s="1"/>
  <c r="E174" i="42" s="1"/>
  <c r="G174" i="42" s="1"/>
  <c r="C174" i="43" s="1"/>
  <c r="E174" i="43" s="1"/>
  <c r="G174" i="43" s="1"/>
  <c r="C174" i="44" s="1"/>
  <c r="E174" i="44" s="1"/>
  <c r="G174" i="44" s="1"/>
  <c r="C174" i="45" s="1"/>
  <c r="E174" i="45" s="1"/>
  <c r="G174" i="45" s="1"/>
  <c r="C174" i="46" s="1"/>
  <c r="E174" i="46" s="1"/>
  <c r="G174" i="46" s="1"/>
  <c r="C174" i="47" s="1"/>
  <c r="E174" i="47" s="1"/>
  <c r="G174" i="47" s="1"/>
  <c r="C174" i="48" s="1"/>
  <c r="E174" i="48" s="1"/>
  <c r="G174" i="48" s="1"/>
  <c r="C174" i="49" s="1"/>
  <c r="E174" i="49" s="1"/>
  <c r="G174" i="49" s="1"/>
  <c r="C174" i="50" s="1"/>
  <c r="E174" i="50" s="1"/>
  <c r="G174" i="50" s="1"/>
  <c r="C174" i="51" s="1"/>
  <c r="E174" i="51" s="1"/>
  <c r="G174" i="51" s="1"/>
  <c r="C174" i="52" s="1"/>
  <c r="E174" i="52" s="1"/>
  <c r="G174" i="52" s="1"/>
  <c r="C174" i="53" s="1"/>
  <c r="E174" i="53" s="1"/>
  <c r="G174" i="53" s="1"/>
  <c r="C174" i="54" s="1"/>
  <c r="E174" i="54" s="1"/>
  <c r="G174" i="54" s="1"/>
  <c r="C174" i="55" s="1"/>
  <c r="E174" i="55" s="1"/>
  <c r="G174" i="55" s="1"/>
  <c r="C174" i="56" s="1"/>
  <c r="E174" i="56" s="1"/>
  <c r="G174" i="56" s="1"/>
  <c r="C174" i="57" s="1"/>
  <c r="E174" i="57" s="1"/>
  <c r="G174" i="57" s="1"/>
  <c r="C174" i="58" s="1"/>
  <c r="E174" i="58" s="1"/>
  <c r="G174" i="58" s="1"/>
  <c r="C174" i="59" s="1"/>
  <c r="E174" i="59" s="1"/>
  <c r="G174" i="59" s="1"/>
  <c r="C174" i="60" s="1"/>
  <c r="E174" i="60" s="1"/>
  <c r="G174" i="60" s="1"/>
  <c r="C174" i="61" s="1"/>
  <c r="E174" i="61" s="1"/>
  <c r="G174" i="61" s="1"/>
  <c r="C174" i="62" s="1"/>
  <c r="E174" i="62" s="1"/>
  <c r="G174" i="62" s="1"/>
  <c r="C174" i="63" s="1"/>
  <c r="E174" i="63" s="1"/>
  <c r="G174" i="63" s="1"/>
  <c r="C174" i="64" s="1"/>
  <c r="E174" i="64" s="1"/>
  <c r="G174" i="64" s="1"/>
  <c r="E152" i="34"/>
  <c r="G152" i="34" s="1"/>
  <c r="C152" i="35" s="1"/>
  <c r="E152" i="35" s="1"/>
  <c r="G152" i="35" s="1"/>
  <c r="C152" i="36" s="1"/>
  <c r="E152" i="36" s="1"/>
  <c r="G152" i="36" s="1"/>
  <c r="C152" i="37" s="1"/>
  <c r="E152" i="37" s="1"/>
  <c r="G152" i="37" s="1"/>
  <c r="C152" i="38" s="1"/>
  <c r="E152" i="38" s="1"/>
  <c r="G152" i="38" s="1"/>
  <c r="C152" i="39" s="1"/>
  <c r="E152" i="39" s="1"/>
  <c r="G152" i="39" s="1"/>
  <c r="C152" i="40" s="1"/>
  <c r="E152" i="40" s="1"/>
  <c r="G152" i="40" s="1"/>
  <c r="C152" i="41" s="1"/>
  <c r="E152" i="41" s="1"/>
  <c r="G152" i="41" s="1"/>
  <c r="C152" i="42" s="1"/>
  <c r="E152" i="42" s="1"/>
  <c r="G152" i="42" s="1"/>
  <c r="C152" i="43" s="1"/>
  <c r="E152" i="43" s="1"/>
  <c r="G152" i="43" s="1"/>
  <c r="C152" i="44" s="1"/>
  <c r="E152" i="44" s="1"/>
  <c r="G152" i="44" s="1"/>
  <c r="C152" i="45" s="1"/>
  <c r="E152" i="45" s="1"/>
  <c r="G152" i="45" s="1"/>
  <c r="C152" i="46" s="1"/>
  <c r="E152" i="46" s="1"/>
  <c r="G152" i="46" s="1"/>
  <c r="C152" i="47" s="1"/>
  <c r="E152" i="47" s="1"/>
  <c r="G152" i="47" s="1"/>
  <c r="C152" i="48" s="1"/>
  <c r="E152" i="48" s="1"/>
  <c r="G152" i="48" s="1"/>
  <c r="C152" i="49" s="1"/>
  <c r="E152" i="49" s="1"/>
  <c r="G152" i="49" s="1"/>
  <c r="C152" i="50" s="1"/>
  <c r="E152" i="50" s="1"/>
  <c r="G152" i="50" s="1"/>
  <c r="C152" i="51" s="1"/>
  <c r="E152" i="51" s="1"/>
  <c r="G152" i="51" s="1"/>
  <c r="C152" i="52" s="1"/>
  <c r="E152" i="52" s="1"/>
  <c r="G152" i="52" s="1"/>
  <c r="C152" i="53" s="1"/>
  <c r="E152" i="53" s="1"/>
  <c r="G152" i="53" s="1"/>
  <c r="C152" i="54" s="1"/>
  <c r="E152" i="54" s="1"/>
  <c r="G152" i="54" s="1"/>
  <c r="C152" i="55" s="1"/>
  <c r="E152" i="55" s="1"/>
  <c r="G152" i="55" s="1"/>
  <c r="C152" i="56" s="1"/>
  <c r="E152" i="56" s="1"/>
  <c r="G152" i="56" s="1"/>
  <c r="C152" i="57" s="1"/>
  <c r="E152" i="57" s="1"/>
  <c r="G152" i="57" s="1"/>
  <c r="C152" i="58" s="1"/>
  <c r="E152" i="58" s="1"/>
  <c r="G152" i="58" s="1"/>
  <c r="C152" i="59" s="1"/>
  <c r="E152" i="59" s="1"/>
  <c r="G152" i="59" s="1"/>
  <c r="C152" i="60" s="1"/>
  <c r="E152" i="60" s="1"/>
  <c r="G152" i="60" s="1"/>
  <c r="C152" i="61" s="1"/>
  <c r="E152" i="61" s="1"/>
  <c r="G152" i="61" s="1"/>
  <c r="C152" i="62" s="1"/>
  <c r="E152" i="62" s="1"/>
  <c r="G152" i="62" s="1"/>
  <c r="C152" i="63" s="1"/>
  <c r="E152" i="63" s="1"/>
  <c r="G152" i="63" s="1"/>
  <c r="C152" i="64" s="1"/>
  <c r="E152" i="64" s="1"/>
  <c r="G152" i="64" s="1"/>
  <c r="E86" i="34"/>
  <c r="G86" i="34" s="1"/>
  <c r="C86" i="35" s="1"/>
  <c r="E86" i="35" s="1"/>
  <c r="G86" i="35" s="1"/>
  <c r="C86" i="36" s="1"/>
  <c r="E86" i="36" s="1"/>
  <c r="G86" i="36" s="1"/>
  <c r="C86" i="37" s="1"/>
  <c r="E86" i="37" s="1"/>
  <c r="G86" i="37" s="1"/>
  <c r="C86" i="38" s="1"/>
  <c r="E86" i="38" s="1"/>
  <c r="G86" i="38" s="1"/>
  <c r="C86" i="39" s="1"/>
  <c r="E86" i="39" s="1"/>
  <c r="G86" i="39" s="1"/>
  <c r="C86" i="40" s="1"/>
  <c r="E86" i="40" s="1"/>
  <c r="G86" i="40" s="1"/>
  <c r="C86" i="41" s="1"/>
  <c r="E86" i="41" s="1"/>
  <c r="G86" i="41" s="1"/>
  <c r="C86" i="42" s="1"/>
  <c r="E86" i="42" s="1"/>
  <c r="G86" i="42" s="1"/>
  <c r="C86" i="43" s="1"/>
  <c r="E86" i="43" s="1"/>
  <c r="G86" i="43" s="1"/>
  <c r="C86" i="44" s="1"/>
  <c r="E86" i="44" s="1"/>
  <c r="G86" i="44" s="1"/>
  <c r="C86" i="45" s="1"/>
  <c r="E86" i="45" s="1"/>
  <c r="G86" i="45" s="1"/>
  <c r="C86" i="46" s="1"/>
  <c r="E86" i="46" s="1"/>
  <c r="G86" i="46" s="1"/>
  <c r="C86" i="47" s="1"/>
  <c r="E86" i="47" s="1"/>
  <c r="G86" i="47" s="1"/>
  <c r="C86" i="48" s="1"/>
  <c r="E86" i="48" s="1"/>
  <c r="G86" i="48" s="1"/>
  <c r="C86" i="49" s="1"/>
  <c r="E86" i="49" s="1"/>
  <c r="G86" i="49" s="1"/>
  <c r="C86" i="50" s="1"/>
  <c r="E86" i="50" s="1"/>
  <c r="G86" i="50" s="1"/>
  <c r="C86" i="51" s="1"/>
  <c r="E86" i="51" s="1"/>
  <c r="G86" i="51" s="1"/>
  <c r="C86" i="52" s="1"/>
  <c r="E86" i="52" s="1"/>
  <c r="G86" i="52" s="1"/>
  <c r="C86" i="53" s="1"/>
  <c r="E86" i="53" s="1"/>
  <c r="G86" i="53" s="1"/>
  <c r="C86" i="54" s="1"/>
  <c r="E86" i="54" s="1"/>
  <c r="G86" i="54" s="1"/>
  <c r="C86" i="55" s="1"/>
  <c r="E86" i="55" s="1"/>
  <c r="G86" i="55" s="1"/>
  <c r="C86" i="56" s="1"/>
  <c r="E86" i="56" s="1"/>
  <c r="G86" i="56" s="1"/>
  <c r="C86" i="57" s="1"/>
  <c r="E86" i="57" s="1"/>
  <c r="G86" i="57" s="1"/>
  <c r="C86" i="58" s="1"/>
  <c r="E86" i="58" s="1"/>
  <c r="G86" i="58" s="1"/>
  <c r="C86" i="59" s="1"/>
  <c r="E86" i="59" s="1"/>
  <c r="G86" i="59" s="1"/>
  <c r="C86" i="60" s="1"/>
  <c r="E86" i="60" s="1"/>
  <c r="G86" i="60" s="1"/>
  <c r="C86" i="61" s="1"/>
  <c r="E86" i="61" s="1"/>
  <c r="G86" i="61" s="1"/>
  <c r="C86" i="62" s="1"/>
  <c r="E86" i="62" s="1"/>
  <c r="G86" i="62" s="1"/>
  <c r="C86" i="63" s="1"/>
  <c r="E86" i="63" s="1"/>
  <c r="G86" i="63" s="1"/>
  <c r="C86" i="64" s="1"/>
  <c r="E86" i="64" s="1"/>
  <c r="G86" i="64" s="1"/>
  <c r="E30" i="34"/>
  <c r="G30" i="34" s="1"/>
  <c r="C30" i="35" s="1"/>
  <c r="E30" i="35" s="1"/>
  <c r="G30" i="35" s="1"/>
  <c r="C30" i="36" s="1"/>
  <c r="E30" i="36" s="1"/>
  <c r="G30" i="36" s="1"/>
  <c r="C30" i="37" s="1"/>
  <c r="E30" i="37" s="1"/>
  <c r="G30" i="37" s="1"/>
  <c r="C30" i="38" s="1"/>
  <c r="E30" i="38" s="1"/>
  <c r="G30" i="38" s="1"/>
  <c r="C30" i="39" s="1"/>
  <c r="E30" i="39" s="1"/>
  <c r="G30" i="39" s="1"/>
  <c r="C30" i="40" s="1"/>
  <c r="E30" i="40" s="1"/>
  <c r="G30" i="40" s="1"/>
  <c r="C30" i="41" s="1"/>
  <c r="E30" i="41" s="1"/>
  <c r="G30" i="41" s="1"/>
  <c r="C30" i="42" s="1"/>
  <c r="E30" i="42" s="1"/>
  <c r="G30" i="42" s="1"/>
  <c r="C30" i="43" s="1"/>
  <c r="E30" i="43" s="1"/>
  <c r="G30" i="43" s="1"/>
  <c r="C30" i="44" s="1"/>
  <c r="E30" i="44" s="1"/>
  <c r="G30" i="44" s="1"/>
  <c r="C30" i="45" s="1"/>
  <c r="E30" i="45" s="1"/>
  <c r="G30" i="45" s="1"/>
  <c r="C30" i="46" s="1"/>
  <c r="E30" i="46" s="1"/>
  <c r="G30" i="46" s="1"/>
  <c r="C30" i="47" s="1"/>
  <c r="E30" i="47" s="1"/>
  <c r="G30" i="47" s="1"/>
  <c r="C30" i="48" s="1"/>
  <c r="E30" i="48" s="1"/>
  <c r="G30" i="48" s="1"/>
  <c r="C30" i="49" s="1"/>
  <c r="E30" i="49" s="1"/>
  <c r="G30" i="49" s="1"/>
  <c r="C30" i="50" s="1"/>
  <c r="E30" i="50" s="1"/>
  <c r="G30" i="50" s="1"/>
  <c r="C30" i="51" s="1"/>
  <c r="E30" i="51" s="1"/>
  <c r="G30" i="51" s="1"/>
  <c r="C30" i="52" s="1"/>
  <c r="E30" i="52" s="1"/>
  <c r="G30" i="52" s="1"/>
  <c r="C30" i="53" s="1"/>
  <c r="E30" i="53" s="1"/>
  <c r="G30" i="53" s="1"/>
  <c r="C30" i="54" s="1"/>
  <c r="E30" i="54" s="1"/>
  <c r="G30" i="54" s="1"/>
  <c r="C30" i="55" s="1"/>
  <c r="E30" i="55" s="1"/>
  <c r="G30" i="55" s="1"/>
  <c r="C30" i="56" s="1"/>
  <c r="E30" i="56" s="1"/>
  <c r="G30" i="56" s="1"/>
  <c r="C30" i="57" s="1"/>
  <c r="E30" i="57" s="1"/>
  <c r="G30" i="57" s="1"/>
  <c r="C30" i="58" s="1"/>
  <c r="E30" i="58" s="1"/>
  <c r="G30" i="58" s="1"/>
  <c r="C30" i="59" s="1"/>
  <c r="E30" i="59" s="1"/>
  <c r="G30" i="59" s="1"/>
  <c r="C30" i="60" s="1"/>
  <c r="E30" i="60" s="1"/>
  <c r="G30" i="60" s="1"/>
  <c r="C30" i="61" s="1"/>
  <c r="E30" i="61" s="1"/>
  <c r="G30" i="61" s="1"/>
  <c r="C30" i="62" s="1"/>
  <c r="E30" i="62" s="1"/>
  <c r="G30" i="62" s="1"/>
  <c r="C30" i="63" s="1"/>
  <c r="E30" i="63" s="1"/>
  <c r="G30" i="63" s="1"/>
  <c r="C30" i="64" s="1"/>
  <c r="E30" i="64" s="1"/>
  <c r="G30" i="64" s="1"/>
  <c r="E136" i="34"/>
  <c r="G136" i="34" s="1"/>
  <c r="C136" i="35" s="1"/>
  <c r="E136" i="35" s="1"/>
  <c r="G136" i="35" s="1"/>
  <c r="C136" i="36" s="1"/>
  <c r="E136" i="36" s="1"/>
  <c r="G136" i="36" s="1"/>
  <c r="C136" i="37" s="1"/>
  <c r="E136" i="37" s="1"/>
  <c r="G136" i="37" s="1"/>
  <c r="C136" i="38" s="1"/>
  <c r="E136" i="38" s="1"/>
  <c r="G136" i="38" s="1"/>
  <c r="C136" i="39" s="1"/>
  <c r="E136" i="39" s="1"/>
  <c r="G136" i="39" s="1"/>
  <c r="C136" i="40" s="1"/>
  <c r="E136" i="40" s="1"/>
  <c r="G136" i="40" s="1"/>
  <c r="C136" i="41" s="1"/>
  <c r="E136" i="41" s="1"/>
  <c r="G136" i="41" s="1"/>
  <c r="C136" i="42" s="1"/>
  <c r="E136" i="42" s="1"/>
  <c r="G136" i="42" s="1"/>
  <c r="C136" i="43" s="1"/>
  <c r="E136" i="43" s="1"/>
  <c r="G136" i="43" s="1"/>
  <c r="C136" i="44" s="1"/>
  <c r="E136" i="44" s="1"/>
  <c r="G136" i="44" s="1"/>
  <c r="C136" i="45" s="1"/>
  <c r="E136" i="45" s="1"/>
  <c r="G136" i="45" s="1"/>
  <c r="C136" i="46" s="1"/>
  <c r="E136" i="46" s="1"/>
  <c r="G136" i="46" s="1"/>
  <c r="C136" i="47" s="1"/>
  <c r="E136" i="47" s="1"/>
  <c r="G136" i="47" s="1"/>
  <c r="C136" i="48" s="1"/>
  <c r="E136" i="48" s="1"/>
  <c r="G136" i="48" s="1"/>
  <c r="C136" i="49" s="1"/>
  <c r="E136" i="49" s="1"/>
  <c r="G136" i="49" s="1"/>
  <c r="C136" i="50" s="1"/>
  <c r="E136" i="50" s="1"/>
  <c r="G136" i="50" s="1"/>
  <c r="C136" i="51" s="1"/>
  <c r="E136" i="51" s="1"/>
  <c r="G136" i="51" s="1"/>
  <c r="C136" i="52" s="1"/>
  <c r="E136" i="52" s="1"/>
  <c r="G136" i="52" s="1"/>
  <c r="C136" i="53" s="1"/>
  <c r="E136" i="53" s="1"/>
  <c r="G136" i="53" s="1"/>
  <c r="C136" i="54" s="1"/>
  <c r="E136" i="54" s="1"/>
  <c r="G136" i="54" s="1"/>
  <c r="C136" i="55" s="1"/>
  <c r="E136" i="55" s="1"/>
  <c r="G136" i="55" s="1"/>
  <c r="C136" i="56" s="1"/>
  <c r="E136" i="56" s="1"/>
  <c r="G136" i="56" s="1"/>
  <c r="C136" i="57" s="1"/>
  <c r="E136" i="57" s="1"/>
  <c r="G136" i="57" s="1"/>
  <c r="C136" i="58" s="1"/>
  <c r="E136" i="58" s="1"/>
  <c r="G136" i="58" s="1"/>
  <c r="C136" i="59" s="1"/>
  <c r="E136" i="59" s="1"/>
  <c r="G136" i="59" s="1"/>
  <c r="C136" i="60" s="1"/>
  <c r="E136" i="60" s="1"/>
  <c r="G136" i="60" s="1"/>
  <c r="C136" i="61" s="1"/>
  <c r="E136" i="61" s="1"/>
  <c r="G136" i="61" s="1"/>
  <c r="C136" i="62" s="1"/>
  <c r="E136" i="62" s="1"/>
  <c r="G136" i="62" s="1"/>
  <c r="C136" i="63" s="1"/>
  <c r="E136" i="63" s="1"/>
  <c r="G136" i="63" s="1"/>
  <c r="C136" i="64" s="1"/>
  <c r="E136" i="64" s="1"/>
  <c r="G136" i="64" s="1"/>
  <c r="E112" i="34"/>
  <c r="G112" i="34" s="1"/>
  <c r="C112" i="35" s="1"/>
  <c r="E112" i="35" s="1"/>
  <c r="G112" i="35" s="1"/>
  <c r="C112" i="36" s="1"/>
  <c r="E112" i="36" s="1"/>
  <c r="G112" i="36" s="1"/>
  <c r="C112" i="37" s="1"/>
  <c r="E112" i="37" s="1"/>
  <c r="G112" i="37" s="1"/>
  <c r="C112" i="38" s="1"/>
  <c r="E112" i="38" s="1"/>
  <c r="G112" i="38" s="1"/>
  <c r="C112" i="39" s="1"/>
  <c r="E112" i="39" s="1"/>
  <c r="G112" i="39" s="1"/>
  <c r="C112" i="40" s="1"/>
  <c r="E112" i="40" s="1"/>
  <c r="G112" i="40" s="1"/>
  <c r="C112" i="41" s="1"/>
  <c r="E112" i="41" s="1"/>
  <c r="G112" i="41" s="1"/>
  <c r="C112" i="42" s="1"/>
  <c r="E112" i="42" s="1"/>
  <c r="G112" i="42" s="1"/>
  <c r="C112" i="43" s="1"/>
  <c r="E112" i="43" s="1"/>
  <c r="G112" i="43" s="1"/>
  <c r="C112" i="44" s="1"/>
  <c r="E112" i="44" s="1"/>
  <c r="G112" i="44" s="1"/>
  <c r="C112" i="45" s="1"/>
  <c r="E112" i="45" s="1"/>
  <c r="G112" i="45" s="1"/>
  <c r="C112" i="46" s="1"/>
  <c r="E112" i="46" s="1"/>
  <c r="G112" i="46" s="1"/>
  <c r="C112" i="47" s="1"/>
  <c r="E112" i="47" s="1"/>
  <c r="G112" i="47" s="1"/>
  <c r="C112" i="48" s="1"/>
  <c r="E112" i="48" s="1"/>
  <c r="G112" i="48" s="1"/>
  <c r="C112" i="49" s="1"/>
  <c r="E112" i="49" s="1"/>
  <c r="G112" i="49" s="1"/>
  <c r="C112" i="50" s="1"/>
  <c r="E112" i="50" s="1"/>
  <c r="G112" i="50" s="1"/>
  <c r="C112" i="51" s="1"/>
  <c r="E112" i="51" s="1"/>
  <c r="G112" i="51" s="1"/>
  <c r="C112" i="52" s="1"/>
  <c r="E112" i="52" s="1"/>
  <c r="G112" i="52" s="1"/>
  <c r="C112" i="53" s="1"/>
  <c r="E112" i="53" s="1"/>
  <c r="G112" i="53" s="1"/>
  <c r="C112" i="54" s="1"/>
  <c r="E112" i="54" s="1"/>
  <c r="G112" i="54" s="1"/>
  <c r="C112" i="55" s="1"/>
  <c r="E112" i="55" s="1"/>
  <c r="G112" i="55" s="1"/>
  <c r="C112" i="56" s="1"/>
  <c r="E112" i="56" s="1"/>
  <c r="G112" i="56" s="1"/>
  <c r="C112" i="57" s="1"/>
  <c r="E112" i="57" s="1"/>
  <c r="G112" i="57" s="1"/>
  <c r="C112" i="58" s="1"/>
  <c r="E112" i="58" s="1"/>
  <c r="G112" i="58" s="1"/>
  <c r="C112" i="59" s="1"/>
  <c r="E112" i="59" s="1"/>
  <c r="G112" i="59" s="1"/>
  <c r="C112" i="60" s="1"/>
  <c r="E112" i="60" s="1"/>
  <c r="G112" i="60" s="1"/>
  <c r="C112" i="61" s="1"/>
  <c r="E112" i="61" s="1"/>
  <c r="G112" i="61" s="1"/>
  <c r="C112" i="62" s="1"/>
  <c r="E112" i="62" s="1"/>
  <c r="G112" i="62" s="1"/>
  <c r="C112" i="63" s="1"/>
  <c r="E112" i="63" s="1"/>
  <c r="G112" i="63" s="1"/>
  <c r="C112" i="64" s="1"/>
  <c r="E112" i="64" s="1"/>
  <c r="G112" i="64" s="1"/>
  <c r="E25" i="34"/>
  <c r="G25" i="34" s="1"/>
  <c r="C25" i="35" s="1"/>
  <c r="E25" i="35" s="1"/>
  <c r="G25" i="35" s="1"/>
  <c r="C25" i="36" s="1"/>
  <c r="E25" i="36" s="1"/>
  <c r="G25" i="36" s="1"/>
  <c r="C25" i="37" s="1"/>
  <c r="E25" i="37" s="1"/>
  <c r="G25" i="37" s="1"/>
  <c r="C25" i="38" s="1"/>
  <c r="E25" i="38" s="1"/>
  <c r="G25" i="38" s="1"/>
  <c r="C25" i="39" s="1"/>
  <c r="E25" i="39" s="1"/>
  <c r="G25" i="39" s="1"/>
  <c r="C25" i="40" s="1"/>
  <c r="E25" i="40" s="1"/>
  <c r="G25" i="40" s="1"/>
  <c r="C25" i="41" s="1"/>
  <c r="E25" i="41" s="1"/>
  <c r="G25" i="41" s="1"/>
  <c r="C25" i="42" s="1"/>
  <c r="E25" i="42" s="1"/>
  <c r="G25" i="42" s="1"/>
  <c r="C25" i="43" s="1"/>
  <c r="E25" i="43" s="1"/>
  <c r="G25" i="43" s="1"/>
  <c r="C25" i="44" s="1"/>
  <c r="E25" i="44" s="1"/>
  <c r="G25" i="44" s="1"/>
  <c r="C25" i="45" s="1"/>
  <c r="E25" i="45" s="1"/>
  <c r="G25" i="45" s="1"/>
  <c r="C25" i="46" s="1"/>
  <c r="E25" i="46" s="1"/>
  <c r="G25" i="46" s="1"/>
  <c r="C25" i="47" s="1"/>
  <c r="E25" i="47" s="1"/>
  <c r="G25" i="47" s="1"/>
  <c r="C25" i="48" s="1"/>
  <c r="E25" i="48" s="1"/>
  <c r="G25" i="48" s="1"/>
  <c r="C25" i="49" s="1"/>
  <c r="E25" i="49" s="1"/>
  <c r="G25" i="49" s="1"/>
  <c r="C25" i="50" s="1"/>
  <c r="E25" i="50" s="1"/>
  <c r="G25" i="50" s="1"/>
  <c r="C25" i="51" s="1"/>
  <c r="E25" i="51" s="1"/>
  <c r="G25" i="51" s="1"/>
  <c r="C25" i="52" s="1"/>
  <c r="E25" i="52" s="1"/>
  <c r="G25" i="52" s="1"/>
  <c r="C25" i="53" s="1"/>
  <c r="E25" i="53" s="1"/>
  <c r="G25" i="53" s="1"/>
  <c r="C25" i="54" s="1"/>
  <c r="E25" i="54" s="1"/>
  <c r="G25" i="54" s="1"/>
  <c r="C25" i="55" s="1"/>
  <c r="E25" i="55" s="1"/>
  <c r="G25" i="55" s="1"/>
  <c r="C25" i="56" s="1"/>
  <c r="E25" i="56" s="1"/>
  <c r="G25" i="56" s="1"/>
  <c r="C25" i="57" s="1"/>
  <c r="E25" i="57" s="1"/>
  <c r="G25" i="57" s="1"/>
  <c r="C25" i="58" s="1"/>
  <c r="E25" i="58" s="1"/>
  <c r="G25" i="58" s="1"/>
  <c r="C25" i="59" s="1"/>
  <c r="E25" i="59" s="1"/>
  <c r="G25" i="59" s="1"/>
  <c r="C25" i="60" s="1"/>
  <c r="E25" i="60" s="1"/>
  <c r="G25" i="60" s="1"/>
  <c r="C25" i="61" s="1"/>
  <c r="E25" i="61" s="1"/>
  <c r="G25" i="61" s="1"/>
  <c r="C25" i="62" s="1"/>
  <c r="E25" i="62" s="1"/>
  <c r="G25" i="62" s="1"/>
  <c r="C25" i="63" s="1"/>
  <c r="E25" i="63" s="1"/>
  <c r="G25" i="63" s="1"/>
  <c r="C25" i="64" s="1"/>
  <c r="E25" i="64" s="1"/>
  <c r="G25" i="64" s="1"/>
  <c r="E54" i="34"/>
  <c r="G54" i="34" s="1"/>
  <c r="C54" i="35" s="1"/>
  <c r="E54" i="35" s="1"/>
  <c r="G54" i="35" s="1"/>
  <c r="C54" i="36" s="1"/>
  <c r="E54" i="36" s="1"/>
  <c r="G54" i="36" s="1"/>
  <c r="C54" i="37" s="1"/>
  <c r="E54" i="37" s="1"/>
  <c r="G54" i="37" s="1"/>
  <c r="C54" i="38" s="1"/>
  <c r="E54" i="38" s="1"/>
  <c r="G54" i="38" s="1"/>
  <c r="C54" i="39" s="1"/>
  <c r="E54" i="39" s="1"/>
  <c r="G54" i="39" s="1"/>
  <c r="C54" i="40" s="1"/>
  <c r="E54" i="40" s="1"/>
  <c r="G54" i="40" s="1"/>
  <c r="C54" i="41" s="1"/>
  <c r="E54" i="41" s="1"/>
  <c r="G54" i="41" s="1"/>
  <c r="C54" i="42" s="1"/>
  <c r="E54" i="42" s="1"/>
  <c r="G54" i="42" s="1"/>
  <c r="C54" i="43" s="1"/>
  <c r="E54" i="43" s="1"/>
  <c r="G54" i="43" s="1"/>
  <c r="C54" i="44" s="1"/>
  <c r="E54" i="44" s="1"/>
  <c r="G54" i="44" s="1"/>
  <c r="C54" i="45" s="1"/>
  <c r="E54" i="45" s="1"/>
  <c r="G54" i="45" s="1"/>
  <c r="C54" i="46" s="1"/>
  <c r="E54" i="46" s="1"/>
  <c r="G54" i="46" s="1"/>
  <c r="C54" i="47" s="1"/>
  <c r="E54" i="47" s="1"/>
  <c r="G54" i="47" s="1"/>
  <c r="C54" i="48" s="1"/>
  <c r="E54" i="48" s="1"/>
  <c r="G54" i="48" s="1"/>
  <c r="C54" i="49" s="1"/>
  <c r="E54" i="49" s="1"/>
  <c r="G54" i="49" s="1"/>
  <c r="C54" i="50" s="1"/>
  <c r="E54" i="50" s="1"/>
  <c r="G54" i="50" s="1"/>
  <c r="C54" i="51" s="1"/>
  <c r="E54" i="51" s="1"/>
  <c r="G54" i="51" s="1"/>
  <c r="C54" i="52" s="1"/>
  <c r="E54" i="52" s="1"/>
  <c r="G54" i="52" s="1"/>
  <c r="C54" i="53" s="1"/>
  <c r="E54" i="53" s="1"/>
  <c r="G54" i="53" s="1"/>
  <c r="C54" i="54" s="1"/>
  <c r="E54" i="54" s="1"/>
  <c r="G54" i="54" s="1"/>
  <c r="C54" i="55" s="1"/>
  <c r="E54" i="55" s="1"/>
  <c r="G54" i="55" s="1"/>
  <c r="C54" i="56" s="1"/>
  <c r="E54" i="56" s="1"/>
  <c r="G54" i="56" s="1"/>
  <c r="C54" i="57" s="1"/>
  <c r="E54" i="57" s="1"/>
  <c r="G54" i="57" s="1"/>
  <c r="C54" i="58" s="1"/>
  <c r="E54" i="58" s="1"/>
  <c r="G54" i="58" s="1"/>
  <c r="C54" i="59" s="1"/>
  <c r="E54" i="59" s="1"/>
  <c r="G54" i="59" s="1"/>
  <c r="C54" i="60" s="1"/>
  <c r="E54" i="60" s="1"/>
  <c r="G54" i="60" s="1"/>
  <c r="C54" i="61" s="1"/>
  <c r="E54" i="61" s="1"/>
  <c r="G54" i="61" s="1"/>
  <c r="C54" i="62" s="1"/>
  <c r="E54" i="62" s="1"/>
  <c r="G54" i="62" s="1"/>
  <c r="C54" i="63" s="1"/>
  <c r="E54" i="63" s="1"/>
  <c r="G54" i="63" s="1"/>
  <c r="C54" i="64" s="1"/>
  <c r="E54" i="64" s="1"/>
  <c r="G54" i="64" s="1"/>
  <c r="E192" i="34"/>
  <c r="G192" i="34" s="1"/>
  <c r="C192" i="35" s="1"/>
  <c r="E192" i="35" s="1"/>
  <c r="G192" i="35" s="1"/>
  <c r="C192" i="36" s="1"/>
  <c r="E192" i="36" s="1"/>
  <c r="G192" i="36" s="1"/>
  <c r="C192" i="37" s="1"/>
  <c r="E192" i="37" s="1"/>
  <c r="G192" i="37" s="1"/>
  <c r="C192" i="38" s="1"/>
  <c r="E192" i="38" s="1"/>
  <c r="G192" i="38" s="1"/>
  <c r="C192" i="39" s="1"/>
  <c r="E192" i="39" s="1"/>
  <c r="G192" i="39" s="1"/>
  <c r="C192" i="40" s="1"/>
  <c r="E192" i="40" s="1"/>
  <c r="G192" i="40" s="1"/>
  <c r="C192" i="41" s="1"/>
  <c r="E192" i="41" s="1"/>
  <c r="G192" i="41" s="1"/>
  <c r="C192" i="42" s="1"/>
  <c r="E192" i="42" s="1"/>
  <c r="G192" i="42" s="1"/>
  <c r="C192" i="43" s="1"/>
  <c r="E192" i="43" s="1"/>
  <c r="G192" i="43" s="1"/>
  <c r="C192" i="44" s="1"/>
  <c r="E192" i="44" s="1"/>
  <c r="G192" i="44" s="1"/>
  <c r="C192" i="45" s="1"/>
  <c r="E192" i="45" s="1"/>
  <c r="G192" i="45" s="1"/>
  <c r="C192" i="46" s="1"/>
  <c r="E192" i="46" s="1"/>
  <c r="G192" i="46" s="1"/>
  <c r="C192" i="47" s="1"/>
  <c r="E192" i="47" s="1"/>
  <c r="G192" i="47" s="1"/>
  <c r="C192" i="48" s="1"/>
  <c r="E192" i="48" s="1"/>
  <c r="G192" i="48" s="1"/>
  <c r="C192" i="49" s="1"/>
  <c r="E192" i="49" s="1"/>
  <c r="G192" i="49" s="1"/>
  <c r="C192" i="50" s="1"/>
  <c r="E192" i="50" s="1"/>
  <c r="G192" i="50" s="1"/>
  <c r="C192" i="51" s="1"/>
  <c r="E192" i="51" s="1"/>
  <c r="G192" i="51" s="1"/>
  <c r="C192" i="52" s="1"/>
  <c r="E192" i="52" s="1"/>
  <c r="G192" i="52" s="1"/>
  <c r="C192" i="53" s="1"/>
  <c r="E192" i="53" s="1"/>
  <c r="G192" i="53" s="1"/>
  <c r="C192" i="54" s="1"/>
  <c r="E192" i="54" s="1"/>
  <c r="G192" i="54" s="1"/>
  <c r="C192" i="55" s="1"/>
  <c r="E192" i="55" s="1"/>
  <c r="G192" i="55" s="1"/>
  <c r="C192" i="56" s="1"/>
  <c r="E192" i="56" s="1"/>
  <c r="G192" i="56" s="1"/>
  <c r="C192" i="57" s="1"/>
  <c r="E192" i="57" s="1"/>
  <c r="G192" i="57" s="1"/>
  <c r="C192" i="58" s="1"/>
  <c r="E192" i="58" s="1"/>
  <c r="G192" i="58" s="1"/>
  <c r="C192" i="59" s="1"/>
  <c r="E192" i="59" s="1"/>
  <c r="G192" i="59" s="1"/>
  <c r="C192" i="60" s="1"/>
  <c r="E192" i="60" s="1"/>
  <c r="G192" i="60" s="1"/>
  <c r="C192" i="61" s="1"/>
  <c r="E192" i="61" s="1"/>
  <c r="G192" i="61" s="1"/>
  <c r="C192" i="62" s="1"/>
  <c r="E192" i="62" s="1"/>
  <c r="G192" i="62" s="1"/>
  <c r="C192" i="63" s="1"/>
  <c r="E192" i="63" s="1"/>
  <c r="G192" i="63" s="1"/>
  <c r="C192" i="64" s="1"/>
  <c r="E192" i="64" s="1"/>
  <c r="G192" i="64" s="1"/>
  <c r="E73" i="34"/>
  <c r="G73" i="34" s="1"/>
  <c r="C73" i="35" s="1"/>
  <c r="E73" i="35" s="1"/>
  <c r="G73" i="35" s="1"/>
  <c r="C73" i="36" s="1"/>
  <c r="E73" i="36" s="1"/>
  <c r="G73" i="36" s="1"/>
  <c r="C73" i="37" s="1"/>
  <c r="E73" i="37" s="1"/>
  <c r="G73" i="37" s="1"/>
  <c r="C73" i="38" s="1"/>
  <c r="E73" i="38" s="1"/>
  <c r="G73" i="38" s="1"/>
  <c r="C73" i="39" s="1"/>
  <c r="E73" i="39" s="1"/>
  <c r="G73" i="39" s="1"/>
  <c r="C73" i="40" s="1"/>
  <c r="E73" i="40" s="1"/>
  <c r="G73" i="40" s="1"/>
  <c r="C73" i="41" s="1"/>
  <c r="E73" i="41" s="1"/>
  <c r="G73" i="41" s="1"/>
  <c r="C73" i="42" s="1"/>
  <c r="E73" i="42" s="1"/>
  <c r="G73" i="42" s="1"/>
  <c r="C73" i="43" s="1"/>
  <c r="E73" i="43" s="1"/>
  <c r="G73" i="43" s="1"/>
  <c r="C73" i="44" s="1"/>
  <c r="E73" i="44" s="1"/>
  <c r="G73" i="44" s="1"/>
  <c r="C73" i="45" s="1"/>
  <c r="E73" i="45" s="1"/>
  <c r="G73" i="45" s="1"/>
  <c r="C73" i="46" s="1"/>
  <c r="E73" i="46" s="1"/>
  <c r="G73" i="46" s="1"/>
  <c r="C73" i="47" s="1"/>
  <c r="E73" i="47" s="1"/>
  <c r="G73" i="47" s="1"/>
  <c r="C73" i="48" s="1"/>
  <c r="E73" i="48" s="1"/>
  <c r="G73" i="48" s="1"/>
  <c r="C73" i="49" s="1"/>
  <c r="E73" i="49" s="1"/>
  <c r="G73" i="49" s="1"/>
  <c r="C73" i="50" s="1"/>
  <c r="E73" i="50" s="1"/>
  <c r="G73" i="50" s="1"/>
  <c r="C73" i="51" s="1"/>
  <c r="E73" i="51" s="1"/>
  <c r="G73" i="51" s="1"/>
  <c r="C73" i="52" s="1"/>
  <c r="E73" i="52" s="1"/>
  <c r="G73" i="52" s="1"/>
  <c r="C73" i="53" s="1"/>
  <c r="E73" i="53" s="1"/>
  <c r="G73" i="53" s="1"/>
  <c r="C73" i="54" s="1"/>
  <c r="E73" i="54" s="1"/>
  <c r="G73" i="54" s="1"/>
  <c r="C73" i="55" s="1"/>
  <c r="E73" i="55" s="1"/>
  <c r="G73" i="55" s="1"/>
  <c r="C73" i="56" s="1"/>
  <c r="E73" i="56" s="1"/>
  <c r="G73" i="56" s="1"/>
  <c r="C73" i="57" s="1"/>
  <c r="E73" i="57" s="1"/>
  <c r="G73" i="57" s="1"/>
  <c r="C73" i="58" s="1"/>
  <c r="E73" i="58" s="1"/>
  <c r="G73" i="58" s="1"/>
  <c r="C73" i="59" s="1"/>
  <c r="E73" i="59" s="1"/>
  <c r="G73" i="59" s="1"/>
  <c r="C73" i="60" s="1"/>
  <c r="E73" i="60" s="1"/>
  <c r="G73" i="60" s="1"/>
  <c r="C73" i="61" s="1"/>
  <c r="E73" i="61" s="1"/>
  <c r="G73" i="61" s="1"/>
  <c r="C73" i="62" s="1"/>
  <c r="E73" i="62" s="1"/>
  <c r="G73" i="62" s="1"/>
  <c r="C73" i="63" s="1"/>
  <c r="E73" i="63" s="1"/>
  <c r="G73" i="63" s="1"/>
  <c r="C73" i="64" s="1"/>
  <c r="E73" i="64" s="1"/>
  <c r="G73" i="64" s="1"/>
  <c r="E32" i="34"/>
  <c r="G32" i="34" s="1"/>
  <c r="C32" i="35" s="1"/>
  <c r="E32" i="35" s="1"/>
  <c r="G32" i="35" s="1"/>
  <c r="C32" i="36" s="1"/>
  <c r="E32" i="36" s="1"/>
  <c r="G32" i="36" s="1"/>
  <c r="C32" i="37" s="1"/>
  <c r="E32" i="37" s="1"/>
  <c r="G32" i="37" s="1"/>
  <c r="C32" i="38" s="1"/>
  <c r="E32" i="38" s="1"/>
  <c r="G32" i="38" s="1"/>
  <c r="C32" i="39" s="1"/>
  <c r="E32" i="39" s="1"/>
  <c r="G32" i="39" s="1"/>
  <c r="C32" i="40" s="1"/>
  <c r="E32" i="40" s="1"/>
  <c r="G32" i="40" s="1"/>
  <c r="C32" i="41" s="1"/>
  <c r="E32" i="41" s="1"/>
  <c r="G32" i="41" s="1"/>
  <c r="C32" i="42" s="1"/>
  <c r="E32" i="42" s="1"/>
  <c r="G32" i="42" s="1"/>
  <c r="C32" i="43" s="1"/>
  <c r="E32" i="43" s="1"/>
  <c r="G32" i="43" s="1"/>
  <c r="C32" i="44" s="1"/>
  <c r="E32" i="44" s="1"/>
  <c r="G32" i="44" s="1"/>
  <c r="C32" i="45" s="1"/>
  <c r="E32" i="45" s="1"/>
  <c r="G32" i="45" s="1"/>
  <c r="C32" i="46" s="1"/>
  <c r="E32" i="46" s="1"/>
  <c r="G32" i="46" s="1"/>
  <c r="C32" i="47" s="1"/>
  <c r="E32" i="47" s="1"/>
  <c r="G32" i="47" s="1"/>
  <c r="C32" i="48" s="1"/>
  <c r="E32" i="48" s="1"/>
  <c r="G32" i="48" s="1"/>
  <c r="C32" i="49" s="1"/>
  <c r="E32" i="49" s="1"/>
  <c r="G32" i="49" s="1"/>
  <c r="C32" i="50" s="1"/>
  <c r="E32" i="50" s="1"/>
  <c r="G32" i="50" s="1"/>
  <c r="C32" i="51" s="1"/>
  <c r="E32" i="51" s="1"/>
  <c r="G32" i="51" s="1"/>
  <c r="C32" i="52" s="1"/>
  <c r="E32" i="52" s="1"/>
  <c r="G32" i="52" s="1"/>
  <c r="C32" i="53" s="1"/>
  <c r="E32" i="53" s="1"/>
  <c r="G32" i="53" s="1"/>
  <c r="C32" i="54" s="1"/>
  <c r="E32" i="54" s="1"/>
  <c r="G32" i="54" s="1"/>
  <c r="C32" i="55" s="1"/>
  <c r="E32" i="55" s="1"/>
  <c r="G32" i="55" s="1"/>
  <c r="C32" i="56" s="1"/>
  <c r="E32" i="56" s="1"/>
  <c r="G32" i="56" s="1"/>
  <c r="C32" i="57" s="1"/>
  <c r="E32" i="57" s="1"/>
  <c r="G32" i="57" s="1"/>
  <c r="C32" i="58" s="1"/>
  <c r="E32" i="58" s="1"/>
  <c r="G32" i="58" s="1"/>
  <c r="C32" i="59" s="1"/>
  <c r="E32" i="59" s="1"/>
  <c r="G32" i="59" s="1"/>
  <c r="C32" i="60" s="1"/>
  <c r="E32" i="60" s="1"/>
  <c r="G32" i="60" s="1"/>
  <c r="C32" i="61" s="1"/>
  <c r="E32" i="61" s="1"/>
  <c r="G32" i="61" s="1"/>
  <c r="C32" i="62" s="1"/>
  <c r="E32" i="62" s="1"/>
  <c r="G32" i="62" s="1"/>
  <c r="C32" i="63" s="1"/>
  <c r="E32" i="63" s="1"/>
  <c r="G32" i="63" s="1"/>
  <c r="C32" i="64" s="1"/>
  <c r="E32" i="64" s="1"/>
  <c r="G32" i="64" s="1"/>
  <c r="E81" i="34"/>
  <c r="G81" i="34" s="1"/>
  <c r="C81" i="35" s="1"/>
  <c r="E81" i="35" s="1"/>
  <c r="G81" i="35" s="1"/>
  <c r="C81" i="36" s="1"/>
  <c r="E81" i="36" s="1"/>
  <c r="G81" i="36" s="1"/>
  <c r="C81" i="37" s="1"/>
  <c r="E81" i="37" s="1"/>
  <c r="G81" i="37" s="1"/>
  <c r="C81" i="38" s="1"/>
  <c r="E81" i="38" s="1"/>
  <c r="G81" i="38" s="1"/>
  <c r="C81" i="39" s="1"/>
  <c r="E81" i="39" s="1"/>
  <c r="G81" i="39" s="1"/>
  <c r="C81" i="40" s="1"/>
  <c r="E81" i="40" s="1"/>
  <c r="G81" i="40" s="1"/>
  <c r="C81" i="41" s="1"/>
  <c r="E81" i="41" s="1"/>
  <c r="G81" i="41" s="1"/>
  <c r="C81" i="42" s="1"/>
  <c r="E81" i="42" s="1"/>
  <c r="G81" i="42" s="1"/>
  <c r="C81" i="43" s="1"/>
  <c r="E81" i="43" s="1"/>
  <c r="G81" i="43" s="1"/>
  <c r="C81" i="44" s="1"/>
  <c r="E81" i="44" s="1"/>
  <c r="G81" i="44" s="1"/>
  <c r="C81" i="45" s="1"/>
  <c r="E81" i="45" s="1"/>
  <c r="G81" i="45" s="1"/>
  <c r="C81" i="46" s="1"/>
  <c r="E81" i="46" s="1"/>
  <c r="G81" i="46" s="1"/>
  <c r="C81" i="47" s="1"/>
  <c r="E81" i="47" s="1"/>
  <c r="G81" i="47" s="1"/>
  <c r="C81" i="48" s="1"/>
  <c r="E81" i="48" s="1"/>
  <c r="G81" i="48" s="1"/>
  <c r="C81" i="49" s="1"/>
  <c r="E81" i="49" s="1"/>
  <c r="G81" i="49" s="1"/>
  <c r="C81" i="50" s="1"/>
  <c r="E81" i="50" s="1"/>
  <c r="G81" i="50" s="1"/>
  <c r="C81" i="51" s="1"/>
  <c r="E81" i="51" s="1"/>
  <c r="G81" i="51" s="1"/>
  <c r="C81" i="52" s="1"/>
  <c r="E81" i="52" s="1"/>
  <c r="G81" i="52" s="1"/>
  <c r="C81" i="53" s="1"/>
  <c r="E81" i="53" s="1"/>
  <c r="G81" i="53" s="1"/>
  <c r="C81" i="54" s="1"/>
  <c r="E81" i="54" s="1"/>
  <c r="G81" i="54" s="1"/>
  <c r="C81" i="55" s="1"/>
  <c r="E81" i="55" s="1"/>
  <c r="G81" i="55" s="1"/>
  <c r="C81" i="56" s="1"/>
  <c r="E81" i="56" s="1"/>
  <c r="G81" i="56" s="1"/>
  <c r="C81" i="57" s="1"/>
  <c r="E81" i="57" s="1"/>
  <c r="G81" i="57" s="1"/>
  <c r="C81" i="58" s="1"/>
  <c r="E81" i="58" s="1"/>
  <c r="G81" i="58" s="1"/>
  <c r="C81" i="59" s="1"/>
  <c r="E81" i="59" s="1"/>
  <c r="G81" i="59" s="1"/>
  <c r="C81" i="60" s="1"/>
  <c r="E81" i="60" s="1"/>
  <c r="G81" i="60" s="1"/>
  <c r="C81" i="61" s="1"/>
  <c r="E81" i="61" s="1"/>
  <c r="G81" i="61" s="1"/>
  <c r="C81" i="62" s="1"/>
  <c r="E81" i="62" s="1"/>
  <c r="G81" i="62" s="1"/>
  <c r="C81" i="63" s="1"/>
  <c r="E81" i="63" s="1"/>
  <c r="G81" i="63" s="1"/>
  <c r="C81" i="64" s="1"/>
  <c r="E81" i="64" s="1"/>
  <c r="G81" i="64" s="1"/>
  <c r="E191" i="34"/>
  <c r="G191" i="34" s="1"/>
  <c r="C191" i="35" s="1"/>
  <c r="E191" i="35" s="1"/>
  <c r="G191" i="35" s="1"/>
  <c r="C191" i="36" s="1"/>
  <c r="E191" i="36" s="1"/>
  <c r="G191" i="36" s="1"/>
  <c r="C191" i="37" s="1"/>
  <c r="E191" i="37" s="1"/>
  <c r="G191" i="37" s="1"/>
  <c r="C191" i="38" s="1"/>
  <c r="E191" i="38" s="1"/>
  <c r="G191" i="38" s="1"/>
  <c r="C191" i="39" s="1"/>
  <c r="E191" i="39" s="1"/>
  <c r="G191" i="39" s="1"/>
  <c r="C191" i="40" s="1"/>
  <c r="E191" i="40" s="1"/>
  <c r="G191" i="40" s="1"/>
  <c r="C191" i="41" s="1"/>
  <c r="E191" i="41" s="1"/>
  <c r="G191" i="41" s="1"/>
  <c r="C191" i="42" s="1"/>
  <c r="E191" i="42" s="1"/>
  <c r="G191" i="42" s="1"/>
  <c r="C191" i="43" s="1"/>
  <c r="E191" i="43" s="1"/>
  <c r="G191" i="43" s="1"/>
  <c r="C191" i="44" s="1"/>
  <c r="E191" i="44" s="1"/>
  <c r="G191" i="44" s="1"/>
  <c r="C191" i="45" s="1"/>
  <c r="E191" i="45" s="1"/>
  <c r="G191" i="45" s="1"/>
  <c r="C191" i="46" s="1"/>
  <c r="E191" i="46" s="1"/>
  <c r="G191" i="46" s="1"/>
  <c r="C191" i="47" s="1"/>
  <c r="E191" i="47" s="1"/>
  <c r="G191" i="47" s="1"/>
  <c r="C191" i="48" s="1"/>
  <c r="E191" i="48" s="1"/>
  <c r="G191" i="48" s="1"/>
  <c r="C191" i="49" s="1"/>
  <c r="E191" i="49" s="1"/>
  <c r="G191" i="49" s="1"/>
  <c r="C191" i="50" s="1"/>
  <c r="E191" i="50" s="1"/>
  <c r="G191" i="50" s="1"/>
  <c r="C191" i="51" s="1"/>
  <c r="E191" i="51" s="1"/>
  <c r="G191" i="51" s="1"/>
  <c r="C191" i="52" s="1"/>
  <c r="E191" i="52" s="1"/>
  <c r="G191" i="52" s="1"/>
  <c r="C191" i="53" s="1"/>
  <c r="E191" i="53" s="1"/>
  <c r="G191" i="53" s="1"/>
  <c r="C191" i="54" s="1"/>
  <c r="E191" i="54" s="1"/>
  <c r="G191" i="54" s="1"/>
  <c r="C191" i="55" s="1"/>
  <c r="E191" i="55" s="1"/>
  <c r="G191" i="55" s="1"/>
  <c r="C191" i="56" s="1"/>
  <c r="E191" i="56" s="1"/>
  <c r="G191" i="56" s="1"/>
  <c r="C191" i="57" s="1"/>
  <c r="E191" i="57" s="1"/>
  <c r="G191" i="57" s="1"/>
  <c r="C191" i="58" s="1"/>
  <c r="E191" i="58" s="1"/>
  <c r="G191" i="58" s="1"/>
  <c r="C191" i="59" s="1"/>
  <c r="E191" i="59" s="1"/>
  <c r="G191" i="59" s="1"/>
  <c r="C191" i="60" s="1"/>
  <c r="E191" i="60" s="1"/>
  <c r="G191" i="60" s="1"/>
  <c r="C191" i="61" s="1"/>
  <c r="E191" i="61" s="1"/>
  <c r="G191" i="61" s="1"/>
  <c r="C191" i="62" s="1"/>
  <c r="E191" i="62" s="1"/>
  <c r="G191" i="62" s="1"/>
  <c r="C191" i="63" s="1"/>
  <c r="E191" i="63" s="1"/>
  <c r="G191" i="63" s="1"/>
  <c r="C191" i="64" s="1"/>
  <c r="E191" i="64" s="1"/>
  <c r="G191" i="64" s="1"/>
  <c r="E9" i="34"/>
  <c r="G9" i="34" s="1"/>
  <c r="C9" i="35" s="1"/>
  <c r="E9" i="35" s="1"/>
  <c r="G9" i="35" s="1"/>
  <c r="C9" i="36" s="1"/>
  <c r="E9" i="36" s="1"/>
  <c r="G9" i="36" s="1"/>
  <c r="C9" i="37" s="1"/>
  <c r="E9" i="37" s="1"/>
  <c r="G9" i="37" s="1"/>
  <c r="C9" i="38" s="1"/>
  <c r="E9" i="38" s="1"/>
  <c r="G9" i="38" s="1"/>
  <c r="C9" i="39" s="1"/>
  <c r="E9" i="39" s="1"/>
  <c r="G9" i="39" s="1"/>
  <c r="C9" i="40" s="1"/>
  <c r="E9" i="40" s="1"/>
  <c r="G9" i="40" s="1"/>
  <c r="C9" i="41" s="1"/>
  <c r="E9" i="41" s="1"/>
  <c r="G9" i="41" s="1"/>
  <c r="C9" i="42" s="1"/>
  <c r="E9" i="42" s="1"/>
  <c r="G9" i="42" s="1"/>
  <c r="C9" i="43" s="1"/>
  <c r="E9" i="43" s="1"/>
  <c r="G9" i="43" s="1"/>
  <c r="C9" i="44" s="1"/>
  <c r="E9" i="44" s="1"/>
  <c r="G9" i="44" s="1"/>
  <c r="C9" i="45" s="1"/>
  <c r="E9" i="45" s="1"/>
  <c r="G9" i="45" s="1"/>
  <c r="C9" i="46" s="1"/>
  <c r="E9" i="46" s="1"/>
  <c r="G9" i="46" s="1"/>
  <c r="C9" i="47" s="1"/>
  <c r="E9" i="47" s="1"/>
  <c r="G9" i="47" s="1"/>
  <c r="C9" i="48" s="1"/>
  <c r="E9" i="48" s="1"/>
  <c r="G9" i="48" s="1"/>
  <c r="C9" i="49" s="1"/>
  <c r="E9" i="49" s="1"/>
  <c r="G9" i="49" s="1"/>
  <c r="C9" i="50" s="1"/>
  <c r="E9" i="50" s="1"/>
  <c r="G9" i="50" s="1"/>
  <c r="C9" i="51" s="1"/>
  <c r="E9" i="51" s="1"/>
  <c r="G9" i="51" s="1"/>
  <c r="C9" i="52" s="1"/>
  <c r="E9" i="52" s="1"/>
  <c r="G9" i="52" s="1"/>
  <c r="C9" i="53" s="1"/>
  <c r="E9" i="53" s="1"/>
  <c r="G9" i="53" s="1"/>
  <c r="C9" i="54" s="1"/>
  <c r="E9" i="54" s="1"/>
  <c r="G9" i="54" s="1"/>
  <c r="C9" i="55" s="1"/>
  <c r="E9" i="55" s="1"/>
  <c r="G9" i="55" s="1"/>
  <c r="C9" i="56" s="1"/>
  <c r="E9" i="56" s="1"/>
  <c r="G9" i="56" s="1"/>
  <c r="C9" i="57" s="1"/>
  <c r="E9" i="57" s="1"/>
  <c r="G9" i="57" s="1"/>
  <c r="C9" i="58" s="1"/>
  <c r="E9" i="58" s="1"/>
  <c r="G9" i="58" s="1"/>
  <c r="C9" i="59" s="1"/>
  <c r="E9" i="59" s="1"/>
  <c r="G9" i="59" s="1"/>
  <c r="C9" i="60" s="1"/>
  <c r="E9" i="60" s="1"/>
  <c r="G9" i="60" s="1"/>
  <c r="C9" i="61" s="1"/>
  <c r="E9" i="61" s="1"/>
  <c r="G9" i="61" s="1"/>
  <c r="C9" i="62" s="1"/>
  <c r="E9" i="62" s="1"/>
  <c r="G9" i="62" s="1"/>
  <c r="C9" i="63" s="1"/>
  <c r="E9" i="63" s="1"/>
  <c r="G9" i="63" s="1"/>
  <c r="C9" i="64" s="1"/>
  <c r="E9" i="64" s="1"/>
  <c r="G9" i="64" s="1"/>
  <c r="E127" i="34"/>
  <c r="G127" i="34" s="1"/>
  <c r="C127" i="35" s="1"/>
  <c r="E127" i="35" s="1"/>
  <c r="G127" i="35" s="1"/>
  <c r="C127" i="36" s="1"/>
  <c r="E127" i="36" s="1"/>
  <c r="G127" i="36" s="1"/>
  <c r="C127" i="37" s="1"/>
  <c r="E127" i="37" s="1"/>
  <c r="G127" i="37" s="1"/>
  <c r="C127" i="38" s="1"/>
  <c r="E127" i="38" s="1"/>
  <c r="G127" i="38" s="1"/>
  <c r="C127" i="39" s="1"/>
  <c r="E127" i="39" s="1"/>
  <c r="G127" i="39" s="1"/>
  <c r="C127" i="40" s="1"/>
  <c r="E127" i="40" s="1"/>
  <c r="G127" i="40" s="1"/>
  <c r="C127" i="41" s="1"/>
  <c r="E127" i="41" s="1"/>
  <c r="G127" i="41" s="1"/>
  <c r="C127" i="42" s="1"/>
  <c r="E127" i="42" s="1"/>
  <c r="G127" i="42" s="1"/>
  <c r="C127" i="43" s="1"/>
  <c r="E127" i="43" s="1"/>
  <c r="G127" i="43" s="1"/>
  <c r="C127" i="44" s="1"/>
  <c r="E127" i="44" s="1"/>
  <c r="G127" i="44" s="1"/>
  <c r="C127" i="45" s="1"/>
  <c r="E127" i="45" s="1"/>
  <c r="G127" i="45" s="1"/>
  <c r="C127" i="46" s="1"/>
  <c r="E127" i="46" s="1"/>
  <c r="G127" i="46" s="1"/>
  <c r="C127" i="47" s="1"/>
  <c r="E127" i="47" s="1"/>
  <c r="G127" i="47" s="1"/>
  <c r="C127" i="48" s="1"/>
  <c r="E127" i="48" s="1"/>
  <c r="G127" i="48" s="1"/>
  <c r="C127" i="49" s="1"/>
  <c r="E127" i="49" s="1"/>
  <c r="G127" i="49" s="1"/>
  <c r="C127" i="50" s="1"/>
  <c r="E127" i="50" s="1"/>
  <c r="G127" i="50" s="1"/>
  <c r="C127" i="51" s="1"/>
  <c r="E127" i="51" s="1"/>
  <c r="G127" i="51" s="1"/>
  <c r="C127" i="52" s="1"/>
  <c r="E127" i="52" s="1"/>
  <c r="G127" i="52" s="1"/>
  <c r="C127" i="53" s="1"/>
  <c r="E127" i="53" s="1"/>
  <c r="G127" i="53" s="1"/>
  <c r="C127" i="54" s="1"/>
  <c r="E127" i="54" s="1"/>
  <c r="G127" i="54" s="1"/>
  <c r="C127" i="55" s="1"/>
  <c r="E127" i="55" s="1"/>
  <c r="G127" i="55" s="1"/>
  <c r="C127" i="56" s="1"/>
  <c r="E127" i="56" s="1"/>
  <c r="G127" i="56" s="1"/>
  <c r="C127" i="57" s="1"/>
  <c r="E127" i="57" s="1"/>
  <c r="G127" i="57" s="1"/>
  <c r="C127" i="58" s="1"/>
  <c r="E127" i="58" s="1"/>
  <c r="G127" i="58" s="1"/>
  <c r="C127" i="59" s="1"/>
  <c r="E127" i="59" s="1"/>
  <c r="G127" i="59" s="1"/>
  <c r="C127" i="60" s="1"/>
  <c r="E127" i="60" s="1"/>
  <c r="G127" i="60" s="1"/>
  <c r="C127" i="61" s="1"/>
  <c r="E127" i="61" s="1"/>
  <c r="G127" i="61" s="1"/>
  <c r="C127" i="62" s="1"/>
  <c r="E127" i="62" s="1"/>
  <c r="G127" i="62" s="1"/>
  <c r="C127" i="63" s="1"/>
  <c r="E127" i="63" s="1"/>
  <c r="G127" i="63" s="1"/>
  <c r="C127" i="64" s="1"/>
  <c r="E127" i="64" s="1"/>
  <c r="G127" i="64" s="1"/>
  <c r="E104" i="34"/>
  <c r="G104" i="34" s="1"/>
  <c r="C104" i="35" s="1"/>
  <c r="E104" i="35" s="1"/>
  <c r="G104" i="35" s="1"/>
  <c r="C104" i="36" s="1"/>
  <c r="E104" i="36" s="1"/>
  <c r="G104" i="36" s="1"/>
  <c r="C104" i="37" s="1"/>
  <c r="E104" i="37" s="1"/>
  <c r="G104" i="37" s="1"/>
  <c r="C104" i="38" s="1"/>
  <c r="E104" i="38" s="1"/>
  <c r="G104" i="38" s="1"/>
  <c r="C104" i="39" s="1"/>
  <c r="E104" i="39" s="1"/>
  <c r="G104" i="39" s="1"/>
  <c r="C104" i="40" s="1"/>
  <c r="E104" i="40" s="1"/>
  <c r="G104" i="40" s="1"/>
  <c r="C104" i="41" s="1"/>
  <c r="E104" i="41" s="1"/>
  <c r="G104" i="41" s="1"/>
  <c r="C104" i="42" s="1"/>
  <c r="E104" i="42" s="1"/>
  <c r="G104" i="42" s="1"/>
  <c r="C104" i="43" s="1"/>
  <c r="E104" i="43" s="1"/>
  <c r="G104" i="43" s="1"/>
  <c r="C104" i="44" s="1"/>
  <c r="E104" i="44" s="1"/>
  <c r="G104" i="44" s="1"/>
  <c r="C104" i="45" s="1"/>
  <c r="E104" i="45" s="1"/>
  <c r="G104" i="45" s="1"/>
  <c r="C104" i="46" s="1"/>
  <c r="E104" i="46" s="1"/>
  <c r="G104" i="46" s="1"/>
  <c r="C104" i="47" s="1"/>
  <c r="E104" i="47" s="1"/>
  <c r="G104" i="47" s="1"/>
  <c r="C104" i="48" s="1"/>
  <c r="E104" i="48" s="1"/>
  <c r="G104" i="48" s="1"/>
  <c r="C104" i="49" s="1"/>
  <c r="E104" i="49" s="1"/>
  <c r="G104" i="49" s="1"/>
  <c r="C104" i="50" s="1"/>
  <c r="E104" i="50" s="1"/>
  <c r="G104" i="50" s="1"/>
  <c r="C104" i="51" s="1"/>
  <c r="E104" i="51" s="1"/>
  <c r="G104" i="51" s="1"/>
  <c r="C104" i="52" s="1"/>
  <c r="E104" i="52" s="1"/>
  <c r="G104" i="52" s="1"/>
  <c r="C104" i="53" s="1"/>
  <c r="E104" i="53" s="1"/>
  <c r="G104" i="53" s="1"/>
  <c r="C104" i="54" s="1"/>
  <c r="E104" i="54" s="1"/>
  <c r="G104" i="54" s="1"/>
  <c r="C104" i="55" s="1"/>
  <c r="E104" i="55" s="1"/>
  <c r="G104" i="55" s="1"/>
  <c r="C104" i="56" s="1"/>
  <c r="E104" i="56" s="1"/>
  <c r="G104" i="56" s="1"/>
  <c r="C104" i="57" s="1"/>
  <c r="E104" i="57" s="1"/>
  <c r="G104" i="57" s="1"/>
  <c r="C104" i="58" s="1"/>
  <c r="E104" i="58" s="1"/>
  <c r="G104" i="58" s="1"/>
  <c r="C104" i="59" s="1"/>
  <c r="E104" i="59" s="1"/>
  <c r="G104" i="59" s="1"/>
  <c r="C104" i="60" s="1"/>
  <c r="E104" i="60" s="1"/>
  <c r="G104" i="60" s="1"/>
  <c r="C104" i="61" s="1"/>
  <c r="E104" i="61" s="1"/>
  <c r="G104" i="61" s="1"/>
  <c r="C104" i="62" s="1"/>
  <c r="E104" i="62" s="1"/>
  <c r="G104" i="62" s="1"/>
  <c r="C104" i="63" s="1"/>
  <c r="E104" i="63" s="1"/>
  <c r="G104" i="63" s="1"/>
  <c r="C104" i="64" s="1"/>
  <c r="E104" i="64" s="1"/>
  <c r="G104" i="64" s="1"/>
  <c r="E185" i="34"/>
  <c r="G185" i="34" s="1"/>
  <c r="C185" i="35" s="1"/>
  <c r="E185" i="35" s="1"/>
  <c r="G185" i="35" s="1"/>
  <c r="C185" i="36" s="1"/>
  <c r="E185" i="36" s="1"/>
  <c r="G185" i="36" s="1"/>
  <c r="C185" i="37" s="1"/>
  <c r="E185" i="37" s="1"/>
  <c r="G185" i="37" s="1"/>
  <c r="C185" i="38" s="1"/>
  <c r="E185" i="38" s="1"/>
  <c r="G185" i="38" s="1"/>
  <c r="C185" i="39" s="1"/>
  <c r="E185" i="39" s="1"/>
  <c r="G185" i="39" s="1"/>
  <c r="C185" i="40" s="1"/>
  <c r="E185" i="40" s="1"/>
  <c r="G185" i="40" s="1"/>
  <c r="C185" i="41" s="1"/>
  <c r="E185" i="41" s="1"/>
  <c r="G185" i="41" s="1"/>
  <c r="C185" i="42" s="1"/>
  <c r="E185" i="42" s="1"/>
  <c r="G185" i="42" s="1"/>
  <c r="C185" i="43" s="1"/>
  <c r="E185" i="43" s="1"/>
  <c r="G185" i="43" s="1"/>
  <c r="C185" i="44" s="1"/>
  <c r="E185" i="44" s="1"/>
  <c r="G185" i="44" s="1"/>
  <c r="C185" i="45" s="1"/>
  <c r="E185" i="45" s="1"/>
  <c r="G185" i="45" s="1"/>
  <c r="C185" i="46" s="1"/>
  <c r="E185" i="46" s="1"/>
  <c r="G185" i="46" s="1"/>
  <c r="C185" i="47" s="1"/>
  <c r="E185" i="47" s="1"/>
  <c r="G185" i="47" s="1"/>
  <c r="C185" i="48" s="1"/>
  <c r="E185" i="48" s="1"/>
  <c r="G185" i="48" s="1"/>
  <c r="C185" i="49" s="1"/>
  <c r="E185" i="49" s="1"/>
  <c r="G185" i="49" s="1"/>
  <c r="C185" i="50" s="1"/>
  <c r="E185" i="50" s="1"/>
  <c r="G185" i="50" s="1"/>
  <c r="C185" i="51" s="1"/>
  <c r="E185" i="51" s="1"/>
  <c r="G185" i="51" s="1"/>
  <c r="C185" i="52" s="1"/>
  <c r="E185" i="52" s="1"/>
  <c r="G185" i="52" s="1"/>
  <c r="C185" i="53" s="1"/>
  <c r="E185" i="53" s="1"/>
  <c r="G185" i="53" s="1"/>
  <c r="C185" i="54" s="1"/>
  <c r="E185" i="54" s="1"/>
  <c r="G185" i="54" s="1"/>
  <c r="C185" i="55" s="1"/>
  <c r="E185" i="55" s="1"/>
  <c r="G185" i="55" s="1"/>
  <c r="C185" i="56" s="1"/>
  <c r="E185" i="56" s="1"/>
  <c r="G185" i="56" s="1"/>
  <c r="C185" i="57" s="1"/>
  <c r="E185" i="57" s="1"/>
  <c r="G185" i="57" s="1"/>
  <c r="C185" i="58" s="1"/>
  <c r="E185" i="58" s="1"/>
  <c r="G185" i="58" s="1"/>
  <c r="C185" i="59" s="1"/>
  <c r="E185" i="59" s="1"/>
  <c r="G185" i="59" s="1"/>
  <c r="C185" i="60" s="1"/>
  <c r="E185" i="60" s="1"/>
  <c r="G185" i="60" s="1"/>
  <c r="C185" i="61" s="1"/>
  <c r="E185" i="61" s="1"/>
  <c r="G185" i="61" s="1"/>
  <c r="C185" i="62" s="1"/>
  <c r="E185" i="62" s="1"/>
  <c r="G185" i="62" s="1"/>
  <c r="C185" i="63" s="1"/>
  <c r="E185" i="63" s="1"/>
  <c r="G185" i="63" s="1"/>
  <c r="C185" i="64" s="1"/>
  <c r="E185" i="64" s="1"/>
  <c r="G185" i="64" s="1"/>
  <c r="E128" i="34"/>
  <c r="G128" i="34" s="1"/>
  <c r="C128" i="35" s="1"/>
  <c r="E128" i="35" s="1"/>
  <c r="G128" i="35" s="1"/>
  <c r="C128" i="36" s="1"/>
  <c r="E128" i="36" s="1"/>
  <c r="G128" i="36" s="1"/>
  <c r="C128" i="37" s="1"/>
  <c r="E128" i="37" s="1"/>
  <c r="G128" i="37" s="1"/>
  <c r="C128" i="38" s="1"/>
  <c r="E128" i="38" s="1"/>
  <c r="G128" i="38" s="1"/>
  <c r="C128" i="39" s="1"/>
  <c r="E128" i="39" s="1"/>
  <c r="G128" i="39" s="1"/>
  <c r="C128" i="40" s="1"/>
  <c r="E128" i="40" s="1"/>
  <c r="G128" i="40" s="1"/>
  <c r="C128" i="41" s="1"/>
  <c r="E128" i="41" s="1"/>
  <c r="G128" i="41" s="1"/>
  <c r="C128" i="42" s="1"/>
  <c r="E128" i="42" s="1"/>
  <c r="G128" i="42" s="1"/>
  <c r="C128" i="43" s="1"/>
  <c r="E128" i="43" s="1"/>
  <c r="G128" i="43" s="1"/>
  <c r="C128" i="44" s="1"/>
  <c r="E128" i="44" s="1"/>
  <c r="G128" i="44" s="1"/>
  <c r="C128" i="45" s="1"/>
  <c r="E128" i="45" s="1"/>
  <c r="G128" i="45" s="1"/>
  <c r="C128" i="46" s="1"/>
  <c r="E128" i="46" s="1"/>
  <c r="G128" i="46" s="1"/>
  <c r="C128" i="47" s="1"/>
  <c r="E128" i="47" s="1"/>
  <c r="G128" i="47" s="1"/>
  <c r="C128" i="48" s="1"/>
  <c r="E128" i="48" s="1"/>
  <c r="G128" i="48" s="1"/>
  <c r="C128" i="49" s="1"/>
  <c r="E128" i="49" s="1"/>
  <c r="G128" i="49" s="1"/>
  <c r="C128" i="50" s="1"/>
  <c r="E128" i="50" s="1"/>
  <c r="G128" i="50" s="1"/>
  <c r="C128" i="51" s="1"/>
  <c r="E128" i="51" s="1"/>
  <c r="G128" i="51" s="1"/>
  <c r="C128" i="52" s="1"/>
  <c r="E128" i="52" s="1"/>
  <c r="G128" i="52" s="1"/>
  <c r="C128" i="53" s="1"/>
  <c r="E128" i="53" s="1"/>
  <c r="G128" i="53" s="1"/>
  <c r="C128" i="54" s="1"/>
  <c r="E128" i="54" s="1"/>
  <c r="G128" i="54" s="1"/>
  <c r="C128" i="55" s="1"/>
  <c r="E128" i="55" s="1"/>
  <c r="G128" i="55" s="1"/>
  <c r="C128" i="56" s="1"/>
  <c r="E128" i="56" s="1"/>
  <c r="G128" i="56" s="1"/>
  <c r="C128" i="57" s="1"/>
  <c r="E128" i="57" s="1"/>
  <c r="G128" i="57" s="1"/>
  <c r="C128" i="58" s="1"/>
  <c r="E128" i="58" s="1"/>
  <c r="G128" i="58" s="1"/>
  <c r="C128" i="59" s="1"/>
  <c r="E128" i="59" s="1"/>
  <c r="G128" i="59" s="1"/>
  <c r="C128" i="60" s="1"/>
  <c r="E128" i="60" s="1"/>
  <c r="G128" i="60" s="1"/>
  <c r="C128" i="61" s="1"/>
  <c r="E128" i="61" s="1"/>
  <c r="G128" i="61" s="1"/>
  <c r="C128" i="62" s="1"/>
  <c r="E128" i="62" s="1"/>
  <c r="G128" i="62" s="1"/>
  <c r="C128" i="63" s="1"/>
  <c r="E128" i="63" s="1"/>
  <c r="G128" i="63" s="1"/>
  <c r="C128" i="64" s="1"/>
  <c r="E128" i="64" s="1"/>
  <c r="G128" i="64" s="1"/>
  <c r="S6" i="15"/>
  <c r="U6" i="15" s="1"/>
  <c r="J227" i="15"/>
  <c r="S20" i="15"/>
  <c r="E5" i="34"/>
  <c r="G5" i="34" s="1"/>
  <c r="C5" i="35" s="1"/>
  <c r="E5" i="35" s="1"/>
  <c r="G5" i="35" s="1"/>
  <c r="C5" i="36" s="1"/>
  <c r="E5" i="36" s="1"/>
  <c r="G5" i="36" s="1"/>
  <c r="C5" i="37" s="1"/>
  <c r="E5" i="37" s="1"/>
  <c r="G5" i="37" s="1"/>
  <c r="C5" i="38" s="1"/>
  <c r="E5" i="38" s="1"/>
  <c r="G5" i="38" s="1"/>
  <c r="C5" i="39" s="1"/>
  <c r="E5" i="39" s="1"/>
  <c r="G5" i="39" s="1"/>
  <c r="C5" i="40" s="1"/>
  <c r="E5" i="40" s="1"/>
  <c r="G5" i="40" s="1"/>
  <c r="C5" i="41" s="1"/>
  <c r="E5" i="41" s="1"/>
  <c r="G5" i="41" s="1"/>
  <c r="C5" i="42" s="1"/>
  <c r="E5" i="42" s="1"/>
  <c r="G5" i="42" s="1"/>
  <c r="C5" i="43" s="1"/>
  <c r="E5" i="43" s="1"/>
  <c r="G5" i="43" s="1"/>
  <c r="C5" i="44" s="1"/>
  <c r="E5" i="44" s="1"/>
  <c r="G5" i="44" s="1"/>
  <c r="C5" i="45" s="1"/>
  <c r="E5" i="45" s="1"/>
  <c r="G5" i="45" s="1"/>
  <c r="C5" i="46" s="1"/>
  <c r="E5" i="46" s="1"/>
  <c r="G5" i="46" s="1"/>
  <c r="C5" i="47" s="1"/>
  <c r="E5" i="47" s="1"/>
  <c r="G5" i="47" s="1"/>
  <c r="C5" i="48" s="1"/>
  <c r="E5" i="48" s="1"/>
  <c r="G5" i="48" s="1"/>
  <c r="C5" i="49" s="1"/>
  <c r="E5" i="49" s="1"/>
  <c r="G5" i="49" s="1"/>
  <c r="C5" i="50" s="1"/>
  <c r="E5" i="50" s="1"/>
  <c r="G5" i="50" s="1"/>
  <c r="C5" i="51" s="1"/>
  <c r="E5" i="51" s="1"/>
  <c r="G5" i="51" s="1"/>
  <c r="C5" i="52" s="1"/>
  <c r="E5" i="52" s="1"/>
  <c r="G5" i="52" s="1"/>
  <c r="C5" i="53" s="1"/>
  <c r="E5" i="53" s="1"/>
  <c r="G5" i="53" s="1"/>
  <c r="C5" i="54" s="1"/>
  <c r="E5" i="54" s="1"/>
  <c r="G5" i="54" s="1"/>
  <c r="C5" i="55" s="1"/>
  <c r="E5" i="55" s="1"/>
  <c r="G5" i="55" s="1"/>
  <c r="C5" i="56" s="1"/>
  <c r="E5" i="56" s="1"/>
  <c r="G5" i="56" s="1"/>
  <c r="C5" i="57" s="1"/>
  <c r="E5" i="57" s="1"/>
  <c r="G5" i="57" s="1"/>
  <c r="C5" i="58" s="1"/>
  <c r="E5" i="58" s="1"/>
  <c r="G5" i="58" s="1"/>
  <c r="C5" i="59" s="1"/>
  <c r="E5" i="59" s="1"/>
  <c r="G5" i="59" s="1"/>
  <c r="C5" i="60" s="1"/>
  <c r="E5" i="60" s="1"/>
  <c r="G5" i="60" s="1"/>
  <c r="C5" i="61" s="1"/>
  <c r="E5" i="61" s="1"/>
  <c r="G5" i="61" s="1"/>
  <c r="C5" i="62" s="1"/>
  <c r="E5" i="62" s="1"/>
  <c r="G5" i="62" s="1"/>
  <c r="C5" i="63" s="1"/>
  <c r="E5" i="63" s="1"/>
  <c r="G5" i="63" s="1"/>
  <c r="C5" i="64" s="1"/>
  <c r="E5" i="64" s="1"/>
  <c r="G5" i="64" s="1"/>
  <c r="C201" i="37" l="1"/>
  <c r="E201" i="37" s="1"/>
  <c r="G201" i="37" s="1"/>
  <c r="C201" i="38" s="1"/>
  <c r="C202" i="38"/>
  <c r="E202" i="38" s="1"/>
  <c r="G202" i="38" s="1"/>
  <c r="C202" i="39" s="1"/>
  <c r="E202" i="39" s="1"/>
  <c r="G202" i="39" s="1"/>
  <c r="C202" i="40" s="1"/>
  <c r="E202" i="40" s="1"/>
  <c r="G202" i="40" s="1"/>
  <c r="C202" i="41" s="1"/>
  <c r="E202" i="41" s="1"/>
  <c r="G202" i="41" s="1"/>
  <c r="C202" i="42" s="1"/>
  <c r="E202" i="42" s="1"/>
  <c r="G202" i="42" s="1"/>
  <c r="C202" i="43" s="1"/>
  <c r="E202" i="43" s="1"/>
  <c r="G202" i="43" s="1"/>
  <c r="C202" i="44" s="1"/>
  <c r="E202" i="44" s="1"/>
  <c r="G202" i="44" s="1"/>
  <c r="C202" i="45" s="1"/>
  <c r="E202" i="45" s="1"/>
  <c r="G202" i="45" s="1"/>
  <c r="C202" i="46" s="1"/>
  <c r="E202" i="46" s="1"/>
  <c r="G202" i="46" s="1"/>
  <c r="C202" i="47" s="1"/>
  <c r="E202" i="47" s="1"/>
  <c r="G202" i="47" s="1"/>
  <c r="C202" i="48" s="1"/>
  <c r="E202" i="48" s="1"/>
  <c r="G202" i="48" s="1"/>
  <c r="C202" i="49" s="1"/>
  <c r="E202" i="49" s="1"/>
  <c r="G202" i="49" s="1"/>
  <c r="C202" i="50" s="1"/>
  <c r="E202" i="50" s="1"/>
  <c r="G202" i="50" s="1"/>
  <c r="C202" i="51" s="1"/>
  <c r="E202" i="51" s="1"/>
  <c r="G202" i="51" s="1"/>
  <c r="C202" i="52" s="1"/>
  <c r="E202" i="52" s="1"/>
  <c r="G202" i="52" s="1"/>
  <c r="C202" i="53" s="1"/>
  <c r="E202" i="53" s="1"/>
  <c r="G202" i="53" s="1"/>
  <c r="C202" i="54" s="1"/>
  <c r="E202" i="54" s="1"/>
  <c r="G202" i="54" s="1"/>
  <c r="C202" i="55" s="1"/>
  <c r="E202" i="55" s="1"/>
  <c r="G202" i="55" s="1"/>
  <c r="C202" i="56" s="1"/>
  <c r="E202" i="56" s="1"/>
  <c r="G202" i="56" s="1"/>
  <c r="C202" i="57" s="1"/>
  <c r="E202" i="57" s="1"/>
  <c r="G202" i="57" s="1"/>
  <c r="C202" i="58" s="1"/>
  <c r="E202" i="58" s="1"/>
  <c r="G202" i="58" s="1"/>
  <c r="C202" i="59" s="1"/>
  <c r="E202" i="59" s="1"/>
  <c r="G202" i="59" s="1"/>
  <c r="C202" i="60" s="1"/>
  <c r="E202" i="60" s="1"/>
  <c r="G202" i="60" s="1"/>
  <c r="C202" i="61" s="1"/>
  <c r="E202" i="61" s="1"/>
  <c r="G202" i="61" s="1"/>
  <c r="C202" i="62" s="1"/>
  <c r="E202" i="62" s="1"/>
  <c r="G202" i="62" s="1"/>
  <c r="C202" i="63" s="1"/>
  <c r="E202" i="63" s="1"/>
  <c r="G202" i="63" s="1"/>
  <c r="C202" i="64" s="1"/>
  <c r="E202" i="64" s="1"/>
  <c r="G202" i="64" s="1"/>
  <c r="C203" i="38"/>
  <c r="E203" i="38" s="1"/>
  <c r="G203" i="38" s="1"/>
  <c r="C203" i="39" s="1"/>
  <c r="E203" i="39" s="1"/>
  <c r="G203" i="39" s="1"/>
  <c r="C203" i="40" s="1"/>
  <c r="E203" i="40" s="1"/>
  <c r="G203" i="40" s="1"/>
  <c r="C203" i="41" s="1"/>
  <c r="E203" i="41" s="1"/>
  <c r="E200" i="37"/>
  <c r="G200" i="37" s="1"/>
  <c r="C200" i="38" s="1"/>
  <c r="E200" i="38" s="1"/>
  <c r="G200" i="38" s="1"/>
  <c r="C200" i="39" s="1"/>
  <c r="E200" i="39" s="1"/>
  <c r="G200" i="39" s="1"/>
  <c r="C200" i="40" s="1"/>
  <c r="E200" i="40" s="1"/>
  <c r="G200" i="40" s="1"/>
  <c r="C200" i="41" s="1"/>
  <c r="E200" i="41" s="1"/>
  <c r="G200" i="41" s="1"/>
  <c r="C200" i="42" s="1"/>
  <c r="E200" i="42" s="1"/>
  <c r="G200" i="42" s="1"/>
  <c r="C200" i="43" s="1"/>
  <c r="E200" i="43" s="1"/>
  <c r="G200" i="43" s="1"/>
  <c r="C200" i="44" s="1"/>
  <c r="E200" i="44" s="1"/>
  <c r="G200" i="44" s="1"/>
  <c r="C200" i="45" s="1"/>
  <c r="E200" i="45" s="1"/>
  <c r="G200" i="45" s="1"/>
  <c r="C200" i="46" s="1"/>
  <c r="E200" i="46" s="1"/>
  <c r="G200" i="46" s="1"/>
  <c r="C200" i="47" s="1"/>
  <c r="E200" i="47" s="1"/>
  <c r="G200" i="47" s="1"/>
  <c r="C200" i="48" s="1"/>
  <c r="E200" i="48" s="1"/>
  <c r="G200" i="48" s="1"/>
  <c r="C200" i="49" s="1"/>
  <c r="E200" i="49" s="1"/>
  <c r="G200" i="49" s="1"/>
  <c r="C200" i="50" s="1"/>
  <c r="E200" i="50" s="1"/>
  <c r="G200" i="50" s="1"/>
  <c r="C200" i="51" s="1"/>
  <c r="E200" i="51" s="1"/>
  <c r="G200" i="51" s="1"/>
  <c r="C200" i="52" s="1"/>
  <c r="E200" i="52" s="1"/>
  <c r="G200" i="52" s="1"/>
  <c r="C200" i="53" s="1"/>
  <c r="E200" i="53" s="1"/>
  <c r="G200" i="53" s="1"/>
  <c r="C200" i="54" s="1"/>
  <c r="E200" i="54" s="1"/>
  <c r="G200" i="54" s="1"/>
  <c r="C200" i="55" s="1"/>
  <c r="E200" i="55" s="1"/>
  <c r="G200" i="55" s="1"/>
  <c r="C200" i="56" s="1"/>
  <c r="E200" i="56" s="1"/>
  <c r="G200" i="56" s="1"/>
  <c r="C200" i="57" s="1"/>
  <c r="E200" i="57" s="1"/>
  <c r="G200" i="57" s="1"/>
  <c r="C200" i="58" s="1"/>
  <c r="E200" i="58" s="1"/>
  <c r="G200" i="58" s="1"/>
  <c r="C200" i="59" s="1"/>
  <c r="E200" i="59" s="1"/>
  <c r="G200" i="59" s="1"/>
  <c r="C200" i="60" s="1"/>
  <c r="E200" i="60" s="1"/>
  <c r="G200" i="60" s="1"/>
  <c r="C200" i="61" s="1"/>
  <c r="E200" i="61" s="1"/>
  <c r="G200" i="61" s="1"/>
  <c r="C200" i="62" s="1"/>
  <c r="E200" i="62" s="1"/>
  <c r="G200" i="62" s="1"/>
  <c r="C200" i="63" s="1"/>
  <c r="E200" i="63" s="1"/>
  <c r="G200" i="63" s="1"/>
  <c r="C200" i="64" s="1"/>
  <c r="E200" i="64" s="1"/>
  <c r="G200" i="64" s="1"/>
  <c r="C200" i="37"/>
  <c r="C204" i="38"/>
  <c r="E204" i="38" s="1"/>
  <c r="G204" i="38" s="1"/>
  <c r="C204" i="39" s="1"/>
  <c r="E204" i="39" s="1"/>
  <c r="G204" i="39" s="1"/>
  <c r="C204" i="40" s="1"/>
  <c r="E204" i="40" s="1"/>
  <c r="G204" i="40" s="1"/>
  <c r="C204" i="41" s="1"/>
  <c r="E204" i="41" s="1"/>
  <c r="G204" i="41" s="1"/>
  <c r="K216" i="37"/>
  <c r="K219" i="37" s="1"/>
  <c r="D228" i="15"/>
  <c r="D231" i="15" s="1"/>
  <c r="D233" i="15" s="1"/>
  <c r="J230" i="15"/>
  <c r="U20" i="15"/>
  <c r="C204" i="42" l="1"/>
  <c r="E204" i="42" s="1"/>
  <c r="G204" i="42" s="1"/>
  <c r="C204" i="43" s="1"/>
  <c r="E204" i="43" s="1"/>
  <c r="G204" i="43" s="1"/>
  <c r="C204" i="44" s="1"/>
  <c r="E204" i="44" s="1"/>
  <c r="G204" i="44" s="1"/>
  <c r="C204" i="45" s="1"/>
  <c r="E204" i="45" s="1"/>
  <c r="G204" i="45" s="1"/>
  <c r="C204" i="46" s="1"/>
  <c r="E204" i="46" s="1"/>
  <c r="G204" i="46" s="1"/>
  <c r="C204" i="47" s="1"/>
  <c r="E204" i="47" s="1"/>
  <c r="G204" i="47" s="1"/>
  <c r="C204" i="48" s="1"/>
  <c r="E204" i="48" s="1"/>
  <c r="G204" i="48" s="1"/>
  <c r="C204" i="49" s="1"/>
  <c r="E204" i="49" s="1"/>
  <c r="G204" i="49" s="1"/>
  <c r="C204" i="50" s="1"/>
  <c r="E204" i="50" s="1"/>
  <c r="G204" i="50" s="1"/>
  <c r="C204" i="51" s="1"/>
  <c r="E204" i="51" s="1"/>
  <c r="G204" i="51" s="1"/>
  <c r="C204" i="52" s="1"/>
  <c r="E204" i="52" s="1"/>
  <c r="G204" i="52" s="1"/>
  <c r="C204" i="53" s="1"/>
  <c r="E204" i="53" s="1"/>
  <c r="G204" i="53" s="1"/>
  <c r="C204" i="54" s="1"/>
  <c r="E204" i="54" s="1"/>
  <c r="G204" i="54" s="1"/>
  <c r="C204" i="55" s="1"/>
  <c r="E204" i="55" s="1"/>
  <c r="G204" i="55" s="1"/>
  <c r="C204" i="56" s="1"/>
  <c r="E204" i="56" s="1"/>
  <c r="G204" i="56" s="1"/>
  <c r="C204" i="57" s="1"/>
  <c r="E204" i="57" s="1"/>
  <c r="G204" i="57" s="1"/>
  <c r="C204" i="58" s="1"/>
  <c r="E204" i="58" s="1"/>
  <c r="G204" i="58" s="1"/>
  <c r="C204" i="59" s="1"/>
  <c r="E204" i="59" s="1"/>
  <c r="G204" i="59" s="1"/>
  <c r="C204" i="60" s="1"/>
  <c r="E204" i="60" s="1"/>
  <c r="G204" i="60" s="1"/>
  <c r="C204" i="61" s="1"/>
  <c r="E204" i="61" s="1"/>
  <c r="G204" i="61" s="1"/>
  <c r="C204" i="62" s="1"/>
  <c r="E204" i="62" s="1"/>
  <c r="G204" i="62" s="1"/>
  <c r="C204" i="63" s="1"/>
  <c r="E204" i="63" s="1"/>
  <c r="G204" i="63" s="1"/>
  <c r="C204" i="64" s="1"/>
  <c r="E204" i="64" s="1"/>
  <c r="G204" i="64" s="1"/>
  <c r="G203" i="41"/>
  <c r="C203" i="42" s="1"/>
  <c r="E203" i="42" s="1"/>
  <c r="G203" i="42" s="1"/>
  <c r="C203" i="43" s="1"/>
  <c r="E203" i="43" s="1"/>
  <c r="G203" i="43" s="1"/>
  <c r="C203" i="44" s="1"/>
  <c r="E203" i="44" s="1"/>
  <c r="G203" i="44" s="1"/>
  <c r="C203" i="45" s="1"/>
  <c r="E203" i="45" s="1"/>
  <c r="G203" i="45" s="1"/>
  <c r="C203" i="46" s="1"/>
  <c r="E203" i="46" s="1"/>
  <c r="G203" i="46" s="1"/>
  <c r="C203" i="47" s="1"/>
  <c r="E203" i="47" s="1"/>
  <c r="G203" i="47" s="1"/>
  <c r="C203" i="48" s="1"/>
  <c r="E203" i="48" s="1"/>
  <c r="G203" i="48" s="1"/>
  <c r="C203" i="49" s="1"/>
  <c r="E203" i="49" s="1"/>
  <c r="G203" i="49" s="1"/>
  <c r="C203" i="50" s="1"/>
  <c r="E203" i="50" s="1"/>
  <c r="G203" i="50" s="1"/>
  <c r="C203" i="51" s="1"/>
  <c r="E203" i="51" s="1"/>
  <c r="G203" i="51" s="1"/>
  <c r="C203" i="52" s="1"/>
  <c r="E203" i="52" s="1"/>
  <c r="G203" i="52" s="1"/>
  <c r="C203" i="53" s="1"/>
  <c r="E203" i="53" s="1"/>
  <c r="G203" i="53" s="1"/>
  <c r="C203" i="54" s="1"/>
  <c r="E203" i="54" s="1"/>
  <c r="G203" i="54" s="1"/>
  <c r="C203" i="55" s="1"/>
  <c r="E203" i="55" s="1"/>
  <c r="G203" i="55" s="1"/>
  <c r="C203" i="56" s="1"/>
  <c r="E203" i="56" s="1"/>
  <c r="G203" i="56" s="1"/>
  <c r="C203" i="57" s="1"/>
  <c r="E203" i="57" s="1"/>
  <c r="G203" i="57" s="1"/>
  <c r="C203" i="58" s="1"/>
  <c r="E203" i="58" s="1"/>
  <c r="G203" i="58" s="1"/>
  <c r="C203" i="59" s="1"/>
  <c r="E203" i="59" s="1"/>
  <c r="G203" i="59" s="1"/>
  <c r="C203" i="60" s="1"/>
  <c r="E203" i="60" s="1"/>
  <c r="G203" i="60" s="1"/>
  <c r="C203" i="61" s="1"/>
  <c r="E203" i="61" s="1"/>
  <c r="G203" i="61" s="1"/>
  <c r="C203" i="62" s="1"/>
  <c r="E203" i="62" s="1"/>
  <c r="G203" i="62" s="1"/>
  <c r="C203" i="63" s="1"/>
  <c r="E203" i="63" s="1"/>
  <c r="G203" i="63" s="1"/>
  <c r="C203" i="64" s="1"/>
  <c r="E203" i="64" s="1"/>
  <c r="G203" i="64" s="1"/>
  <c r="E201" i="38"/>
  <c r="G201" i="38" s="1"/>
  <c r="C201" i="39" s="1"/>
  <c r="E201" i="39" s="1"/>
  <c r="G201" i="39" s="1"/>
  <c r="C201" i="40" s="1"/>
  <c r="E201" i="40" s="1"/>
  <c r="G201" i="40" s="1"/>
  <c r="C201" i="41" s="1"/>
  <c r="E201" i="41" s="1"/>
  <c r="G201" i="41" s="1"/>
  <c r="C201" i="42" s="1"/>
  <c r="E201" i="42" s="1"/>
  <c r="G201" i="42" s="1"/>
  <c r="C201" i="43" s="1"/>
  <c r="E201" i="43" s="1"/>
  <c r="G201" i="43" s="1"/>
  <c r="C201" i="44" s="1"/>
  <c r="E201" i="44" s="1"/>
  <c r="G201" i="44" s="1"/>
  <c r="C201" i="45" s="1"/>
  <c r="E201" i="45" s="1"/>
  <c r="G201" i="45" s="1"/>
  <c r="C201" i="46" s="1"/>
  <c r="E201" i="46" s="1"/>
  <c r="G201" i="46" s="1"/>
  <c r="C201" i="47" s="1"/>
  <c r="E201" i="47" s="1"/>
  <c r="G201" i="47" s="1"/>
  <c r="C201" i="48" s="1"/>
  <c r="E201" i="48" s="1"/>
  <c r="G201" i="48" s="1"/>
  <c r="C201" i="49" s="1"/>
  <c r="E201" i="49" s="1"/>
  <c r="G201" i="49" s="1"/>
  <c r="C201" i="50" s="1"/>
  <c r="E201" i="50" s="1"/>
  <c r="G201" i="50" s="1"/>
  <c r="C201" i="51" s="1"/>
  <c r="E201" i="51" s="1"/>
  <c r="G201" i="51" s="1"/>
  <c r="C201" i="52" s="1"/>
  <c r="E201" i="52" s="1"/>
  <c r="G201" i="52" s="1"/>
  <c r="C201" i="53" s="1"/>
  <c r="E201" i="53" s="1"/>
  <c r="G201" i="53" s="1"/>
  <c r="C201" i="54" s="1"/>
  <c r="E201" i="54" s="1"/>
  <c r="G201" i="54" s="1"/>
  <c r="C201" i="55" s="1"/>
  <c r="E201" i="55" s="1"/>
  <c r="G201" i="55" s="1"/>
  <c r="C201" i="56" s="1"/>
  <c r="E201" i="56" s="1"/>
  <c r="G201" i="56" s="1"/>
  <c r="C201" i="57" s="1"/>
  <c r="E201" i="57" s="1"/>
  <c r="G201" i="57" s="1"/>
  <c r="C201" i="58" s="1"/>
  <c r="E201" i="58" s="1"/>
  <c r="G201" i="58" s="1"/>
  <c r="C201" i="59" s="1"/>
  <c r="E201" i="59" s="1"/>
  <c r="G201" i="59" s="1"/>
  <c r="C201" i="60" s="1"/>
  <c r="E201" i="60" s="1"/>
  <c r="G201" i="60" s="1"/>
  <c r="C201" i="61" s="1"/>
  <c r="E201" i="61" s="1"/>
  <c r="G201" i="61" s="1"/>
  <c r="C201" i="62" s="1"/>
  <c r="E201" i="62" s="1"/>
  <c r="G201" i="62" s="1"/>
  <c r="C201" i="63" s="1"/>
  <c r="E201" i="63" s="1"/>
  <c r="G201" i="63" s="1"/>
  <c r="C201" i="64" s="1"/>
  <c r="E201" i="64" s="1"/>
  <c r="G201" i="64" s="1"/>
  <c r="B228" i="15"/>
  <c r="B231" i="15" s="1"/>
  <c r="J232" i="15"/>
  <c r="J235" i="15" s="1"/>
  <c r="S5" i="15"/>
  <c r="M36" i="15"/>
  <c r="U5" i="15" l="1"/>
  <c r="U36" i="15" s="1"/>
  <c r="S36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PC29</author>
  </authors>
  <commentList>
    <comment ref="F12" authorId="0" shapeId="0" xr:uid="{CE10350A-7C6E-41D0-88C8-DB20DC8F5837}">
      <text>
        <r>
          <rPr>
            <b/>
            <sz val="9"/>
            <color indexed="81"/>
            <rFont val="Tahoma"/>
            <family val="2"/>
          </rPr>
          <t>โยกไปวัดเขาทำเทียม 5</t>
        </r>
      </text>
    </comment>
    <comment ref="F17" authorId="0" shapeId="0" xr:uid="{62658652-E5EB-4DDE-BAFF-7B3CF89B4DEF}">
      <text>
        <r>
          <rPr>
            <b/>
            <sz val="9"/>
            <color indexed="81"/>
            <rFont val="Tahoma"/>
            <family val="2"/>
          </rPr>
          <t>โยกไปวัดเขาทำเทียม 5</t>
        </r>
      </text>
    </comment>
    <comment ref="F19" authorId="0" shapeId="0" xr:uid="{F29E785F-366D-40AD-B90C-381022B84FA8}">
      <text>
        <r>
          <rPr>
            <b/>
            <sz val="9"/>
            <color indexed="81"/>
            <rFont val="Tahoma"/>
            <family val="2"/>
          </rPr>
          <t>โยกไปวัดเขาทำเทียม</t>
        </r>
      </text>
    </comment>
    <comment ref="F23" authorId="0" shapeId="0" xr:uid="{32C05F40-051F-4A74-B4A6-83D1149AEAE8}">
      <text>
        <r>
          <rPr>
            <b/>
            <sz val="9"/>
            <color indexed="81"/>
            <rFont val="Tahoma"/>
            <family val="2"/>
          </rPr>
          <t>โยกไปวัดเขาทำเทียม 5</t>
        </r>
      </text>
    </comment>
    <comment ref="F24" authorId="0" shapeId="0" xr:uid="{384402FB-2058-48E5-A2DC-E326F3C1BF1D}">
      <text>
        <r>
          <rPr>
            <b/>
            <sz val="9"/>
            <color indexed="81"/>
            <rFont val="Tahoma"/>
            <family val="2"/>
          </rPr>
          <t>โยกไปวัดเขาทำเทียม</t>
        </r>
      </text>
    </comment>
    <comment ref="F29" authorId="0" shapeId="0" xr:uid="{791D748F-A565-4505-BA0B-45910EEDFB8D}">
      <text>
        <r>
          <rPr>
            <b/>
            <sz val="9"/>
            <color indexed="81"/>
            <rFont val="Tahoma"/>
            <family val="2"/>
          </rPr>
          <t>โยกไปวัดเขาทำเทียม</t>
        </r>
      </text>
    </comment>
  </commentList>
</comments>
</file>

<file path=xl/sharedStrings.xml><?xml version="1.0" encoding="utf-8"?>
<sst xmlns="http://schemas.openxmlformats.org/spreadsheetml/2006/main" count="17675" uniqueCount="282">
  <si>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</si>
  <si>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</si>
  <si>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</si>
  <si>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</si>
  <si>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</si>
  <si>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</si>
  <si>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</si>
  <si>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</si>
  <si>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</si>
  <si>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</si>
  <si>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</si>
  <si>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</si>
  <si>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</si>
  <si>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</si>
  <si>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</si>
  <si>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</si>
  <si>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</si>
  <si>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</si>
  <si>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</si>
  <si>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</si>
  <si>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</si>
  <si>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</si>
  <si>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</si>
  <si>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</si>
  <si>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หมดอายุ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</si>
  <si>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</si>
  <si>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</si>
  <si>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</si>
  <si>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</si>
  <si>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</si>
  <si>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</si>
  <si>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</si>
  <si>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</si>
  <si>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</si>
  <si>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</si>
  <si>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</si>
  <si>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</si>
  <si>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</si>
  <si>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</si>
  <si>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</si>
  <si>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</si>
  <si>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</si>
  <si>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</si>
  <si>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</si>
  <si>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</si>
  <si>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</si>
  <si>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</si>
  <si>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</si>
  <si>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</si>
  <si>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</si>
  <si>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</si>
  <si>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</si>
  <si>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</si>
  <si>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</si>
  <si>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</si>
  <si>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</si>
  <si>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</si>
  <si>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</si>
  <si>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</si>
  <si>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</si>
  <si>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</si>
  <si>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</si>
  <si>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</si>
  <si>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</si>
  <si>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</si>
  <si>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</si>
  <si>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</si>
  <si>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</si>
  <si>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</si>
  <si>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</si>
  <si>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</si>
  <si>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</si>
  <si>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</si>
  <si>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</si>
  <si>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</si>
  <si>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</si>
  <si>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</si>
  <si>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</si>
  <si>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</si>
  <si>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</si>
  <si>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</si>
  <si>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</si>
  <si>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</si>
  <si>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</si>
  <si>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</si>
  <si>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</si>
  <si>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</si>
  <si>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</si>
  <si>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</si>
  <si>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</si>
  <si>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</si>
  <si>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</si>
  <si>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</si>
  <si>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</si>
  <si>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</si>
  <si>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</si>
  <si>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</si>
  <si>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</si>
  <si>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</si>
  <si>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</si>
  <si>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</si>
  <si>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</si>
  <si>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</si>
  <si>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</si>
  <si>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เค้กวันเกิด 1/2 ปอนด์</t>
  </si>
  <si>
    <t>เค้กวันเกิด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</si>
  <si>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</si>
  <si>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</si>
  <si>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</si>
  <si>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</si>
  <si>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</si>
  <si>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</si>
  <si>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</si>
  <si>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</si>
  <si>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</si>
  <si>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</si>
  <si>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</si>
  <si>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</si>
  <si>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</si>
  <si>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</si>
  <si>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</si>
  <si>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</si>
  <si>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</si>
  <si>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</si>
  <si>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</si>
  <si>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</si>
  <si>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</si>
  <si>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</si>
  <si>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</si>
  <si>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</si>
  <si>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</si>
  <si>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</si>
  <si>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</si>
  <si>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</si>
  <si>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</si>
  <si>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</si>
  <si>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</si>
  <si>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</si>
  <si>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</si>
  <si>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</si>
  <si>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</si>
  <si>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</si>
  <si>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</si>
  <si>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</si>
  <si>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</si>
  <si>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</si>
  <si>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</si>
  <si>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</si>
  <si>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 ปูอัดสาหร่าย ไร้ขอบ</t>
  </si>
  <si>
    <t>แซนด์วิช 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</si>
  <si>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</si>
  <si>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</si>
  <si>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</si>
  <si>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</si>
  <si>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</si>
  <si>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</si>
  <si>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</si>
  <si>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</si>
  <si>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</si>
  <si>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</si>
  <si>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</si>
  <si>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</si>
  <si>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</si>
  <si>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</si>
  <si>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</si>
  <si>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</si>
  <si>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</si>
  <si>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</si>
  <si>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</si>
  <si>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</si>
  <si>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</si>
  <si>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</si>
  <si>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</si>
  <si>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</si>
  <si>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</si>
  <si>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</si>
  <si>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</si>
  <si>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</si>
  <si>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</si>
  <si>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</si>
  <si>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</si>
  <si>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</si>
  <si>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</si>
  <si>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</si>
  <si>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</si>
  <si>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</si>
  <si>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</si>
  <si>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</si>
  <si>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</si>
  <si>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</si>
  <si>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</si>
  <si>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</si>
  <si>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</si>
  <si>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</si>
  <si>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</si>
  <si>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</si>
  <si>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</si>
  <si>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</si>
  <si>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โบว์กระเช้า</t>
  </si>
  <si>
    <t xml:space="preserve">น้ำผลไม้ </t>
  </si>
  <si>
    <t xml:space="preserve">พายสับปะรด 1 ชิ้น </t>
  </si>
  <si>
    <t xml:space="preserve">คุกกี้มะพร้าว </t>
  </si>
  <si>
    <t>เฉาก๋วย</t>
  </si>
  <si>
    <t xml:space="preserve">ขนมปังแลบลิ้น </t>
  </si>
  <si>
    <t>กล้วยฉาบ</t>
  </si>
  <si>
    <t>เปี๊ยะลาวาไข่เค็ม 1 ชิ้น</t>
  </si>
  <si>
    <t>เจเล่คูล</t>
  </si>
  <si>
    <t xml:space="preserve">โบราณวันแม่ 4 ชิ้น </t>
  </si>
  <si>
    <t>ชุดเบรค</t>
  </si>
  <si>
    <t>ปังเลเยอร์</t>
  </si>
  <si>
    <t>ปังแถวธรรมดา</t>
  </si>
  <si>
    <t>น้ำมะพร้าว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</si>
  <si>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</si>
  <si>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</si>
  <si>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</si>
  <si>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</si>
  <si>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</si>
  <si>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</si>
  <si>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</si>
  <si>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</si>
  <si>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</si>
  <si>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</si>
  <si>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บูธ ตลาดดิโอโซน วันที่ 1-31/12/2566</t>
  </si>
  <si>
    <t>ส่วนลดสินค้า SALE</t>
  </si>
  <si>
    <t>ยอดขายสินค้า SALE</t>
  </si>
  <si>
    <t>ถั่วลันเตา</t>
  </si>
  <si>
    <t>ทองม้วนทรงเครื่อง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</si>
  <si>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</si>
  <si>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</si>
  <si>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</si>
  <si>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</si>
  <si>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</si>
  <si>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</si>
  <si>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</si>
  <si>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</si>
  <si>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</si>
  <si>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</si>
  <si>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</si>
  <si>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</si>
  <si>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</si>
  <si>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</si>
  <si>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</si>
  <si>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</si>
  <si>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</si>
  <si>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</si>
  <si>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</si>
  <si>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</si>
  <si>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</si>
  <si>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</si>
  <si>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</si>
  <si>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</si>
  <si>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</si>
  <si>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สรุป บูธ ตลาดดิโอโซน วันที่ 1-31/12/2566</t>
  </si>
  <si>
    <t>ค่าคอมมิสชั่น ตลาดดิโอโซน</t>
  </si>
  <si>
    <t>เค้กโบราณรวมรส 12 ชิ้น</t>
  </si>
  <si>
    <t>เค้กมะพร้าว 1 ปอนด์</t>
  </si>
  <si>
    <t>เค้กมะพร้าว 1/2 ปอนด์</t>
  </si>
  <si>
    <t>ลด 50%=8</t>
  </si>
  <si>
    <t>แถม 1</t>
  </si>
  <si>
    <t>ลด 50%</t>
  </si>
  <si>
    <t>ค่าถ่าน 55</t>
  </si>
  <si>
    <t>ยอดขายหักส่วนลด</t>
  </si>
  <si>
    <t>ยอดเงินสด</t>
  </si>
  <si>
    <t>ยอดโอน</t>
  </si>
  <si>
    <t>ลด 50%=3</t>
  </si>
  <si>
    <t>ขนมปุยฝ้าย 4 ชิ้น</t>
  </si>
  <si>
    <t xml:space="preserve">ขนมปุยฝ้าย 1 ปอนด์ </t>
  </si>
  <si>
    <t>ลด 50%=2</t>
  </si>
  <si>
    <t>แถม</t>
  </si>
  <si>
    <t>พนง 1</t>
  </si>
  <si>
    <t>ลด50%=1</t>
  </si>
  <si>
    <t>ลด50%=2 / แถม1</t>
  </si>
  <si>
    <t>ลด50%=1 / แถม1</t>
  </si>
  <si>
    <t>โปรคู่</t>
  </si>
  <si>
    <t>แถม1</t>
  </si>
  <si>
    <t>แถม2</t>
  </si>
  <si>
    <t>ถ่าน 55</t>
  </si>
  <si>
    <t>ครัฟฟินรูบี้ช็อคโกแลตสตรอเบอร์รี่</t>
  </si>
  <si>
    <t>ฝอยทองกรอบ</t>
  </si>
  <si>
    <t>ราคาพนักงาน1</t>
  </si>
  <si>
    <t>ไบกอน 79</t>
  </si>
  <si>
    <t>เฉาก๊วย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</si>
</sst>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sz val="8"/>
      <name val="Calibri"/>
      <family val="2"/>
      <charset val="222"/>
      <scheme val="minor"/>
    </font>
    <font>
      <b/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5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8" fillId="5" borderId="16" xfId="1" applyNumberFormat="1" applyFont="1" applyFill="1" applyBorder="1" applyAlignment="1">
      <alignment horizontal="center"/>
    </xf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43" fontId="2" fillId="0" borderId="14" xfId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1" fontId="2" fillId="7" borderId="0" xfId="0" applyNumberFormat="1" applyFont="1" applyFill="1"/>
    <xf numFmtId="43" fontId="2" fillId="2" borderId="1" xfId="0" applyNumberFormat="1" applyFont="1" applyFill="1" applyBorder="1"/>
    <xf numFmtId="0" fontId="3" fillId="0" borderId="0" xfId="0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0" borderId="1" xfId="1" applyNumberFormat="1" applyFont="1" applyBorder="1" applyAlignment="1">
      <alignment horizontal="center"/>
    </xf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0" fontId="8" fillId="11" borderId="19" xfId="0" applyFont="1" applyFill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43" fontId="2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11" fillId="0" borderId="0" xfId="0" applyFont="1"/>
    <xf numFmtId="0" fontId="8" fillId="0" borderId="0" xfId="0" applyFont="1"/>
    <xf numFmtId="0" fontId="11" fillId="0" borderId="0" xfId="0" applyFont="1" applyAlignment="1">
      <alignment horizontal="center"/>
    </xf>
    <xf numFmtId="0" fontId="5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13" fillId="12" borderId="1" xfId="0" applyFont="1" applyFill="1" applyBorder="1"/>
    <xf numFmtId="43" fontId="13" fillId="12" borderId="1" xfId="1" applyFont="1" applyFill="1" applyBorder="1"/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43" fontId="6" fillId="14" borderId="1" xfId="1" applyFont="1" applyFill="1" applyBorder="1" applyAlignment="1">
      <alignment horizontal="center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14" borderId="1" xfId="1" applyFont="1" applyFill="1" applyBorder="1"/>
    <xf numFmtId="0" fontId="14" fillId="12" borderId="1" xfId="0" applyFont="1" applyFill="1" applyBorder="1"/>
    <xf numFmtId="43" fontId="6" fillId="15" borderId="1" xfId="0" applyNumberFormat="1" applyFont="1" applyFill="1" applyBorder="1"/>
    <xf numFmtId="43" fontId="6" fillId="0" borderId="0" xfId="0" applyNumberFormat="1" applyFont="1" applyAlignment="1">
      <alignment horizontal="center"/>
    </xf>
    <xf numFmtId="0" fontId="15" fillId="12" borderId="23" xfId="0" applyFont="1" applyFill="1" applyBorder="1"/>
    <xf numFmtId="0" fontId="13" fillId="0" borderId="0" xfId="0" applyFont="1"/>
    <xf numFmtId="43" fontId="6" fillId="15" borderId="22" xfId="1" applyFont="1" applyFill="1" applyBorder="1"/>
    <xf numFmtId="0" fontId="2" fillId="15" borderId="1" xfId="0" applyFont="1" applyFill="1" applyBorder="1"/>
    <xf numFmtId="43" fontId="2" fillId="0" borderId="14" xfId="2" applyFont="1" applyBorder="1" applyAlignment="1">
      <alignment horizontal="center"/>
    </xf>
    <xf numFmtId="43" fontId="2" fillId="3" borderId="16" xfId="2" applyFont="1" applyFill="1" applyBorder="1"/>
    <xf numFmtId="43" fontId="2" fillId="3" borderId="14" xfId="2" applyFont="1" applyFill="1" applyBorder="1" applyAlignment="1">
      <alignment horizontal="center"/>
    </xf>
    <xf numFmtId="43" fontId="2" fillId="0" borderId="17" xfId="2" applyFont="1" applyBorder="1"/>
    <xf numFmtId="0" fontId="8" fillId="5" borderId="16" xfId="2" applyNumberFormat="1" applyFont="1" applyFill="1" applyBorder="1" applyAlignment="1">
      <alignment horizontal="center"/>
    </xf>
    <xf numFmtId="0" fontId="8" fillId="5" borderId="1" xfId="2" applyNumberFormat="1" applyFont="1" applyFill="1" applyBorder="1" applyAlignment="1">
      <alignment horizontal="center"/>
    </xf>
    <xf numFmtId="43" fontId="2" fillId="0" borderId="14" xfId="2" applyFont="1" applyFill="1" applyBorder="1" applyAlignment="1">
      <alignment horizontal="center"/>
    </xf>
    <xf numFmtId="43" fontId="2" fillId="0" borderId="0" xfId="2" applyFont="1" applyFill="1" applyBorder="1" applyAlignment="1">
      <alignment horizontal="center"/>
    </xf>
    <xf numFmtId="43" fontId="2" fillId="0" borderId="0" xfId="2" applyFont="1" applyFill="1" applyBorder="1"/>
    <xf numFmtId="0" fontId="8" fillId="0" borderId="0" xfId="2" applyNumberFormat="1" applyFont="1" applyFill="1" applyBorder="1" applyAlignment="1">
      <alignment horizontal="center"/>
    </xf>
    <xf numFmtId="43" fontId="2" fillId="0" borderId="18" xfId="2" applyFont="1" applyFill="1" applyBorder="1"/>
    <xf numFmtId="43" fontId="2" fillId="0" borderId="16" xfId="2" applyFont="1" applyFill="1" applyBorder="1"/>
    <xf numFmtId="43" fontId="2" fillId="0" borderId="0" xfId="2" applyFont="1" applyBorder="1" applyAlignment="1">
      <alignment horizontal="center"/>
    </xf>
    <xf numFmtId="43" fontId="10" fillId="6" borderId="1" xfId="2" applyFont="1" applyFill="1" applyBorder="1"/>
    <xf numFmtId="43" fontId="2" fillId="2" borderId="14" xfId="1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0" fontId="10" fillId="0" borderId="0" xfId="0" applyFont="1"/>
    <xf numFmtId="43" fontId="2" fillId="17" borderId="14" xfId="1" applyFont="1" applyFill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6" fillId="8" borderId="22" xfId="0" applyFont="1" applyFill="1" applyBorder="1" applyAlignment="1">
      <alignment horizontal="center" vertical="center"/>
    </xf>
    <xf numFmtId="0" fontId="6" fillId="8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5" fillId="14" borderId="1" xfId="0" applyFont="1" applyFill="1" applyBorder="1" applyAlignment="1">
      <alignment horizontal="center"/>
    </xf>
    <xf numFmtId="0" fontId="5" fillId="15" borderId="1" xfId="0" applyFont="1" applyFill="1" applyBorder="1"/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6" borderId="26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2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43" fontId="9" fillId="2" borderId="0" xfId="2" applyFont="1" applyFill="1" applyBorder="1" applyAlignment="1">
      <alignment horizontal="center"/>
    </xf>
    <xf numFmtId="43" fontId="9" fillId="2" borderId="20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43" fontId="9" fillId="7" borderId="0" xfId="1" applyFont="1" applyFill="1" applyBorder="1" applyAlignment="1">
      <alignment horizontal="center"/>
    </xf>
  </cellXfs>
  <cellStyles count="3">
    <cellStyle name="จุลภาค" xfId="1" builtinId="3"/>
    <cellStyle name="จุลภาค 2" xfId="2" xr:uid="{D19E2BF1-7AE1-4E80-A135-BD343859F518}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Relationship Id="rId1" Type="http://schemas.openxmlformats.org/officeDocument/2006/relationships/externalLinkPath" Target="file:///D:\Users\PC29\Desktop\&#3610;&#3641;&#3608;\2566\&#3648;&#3604;&#3639;&#3629;&#3609;%20&#3614;.&#3618;.%2066\&#3610;&#3641;&#3608;&#3605;&#3621;&#3634;&#3604;&#3604;&#3636;&#3650;&#3629;&#3650;&#3595;&#3609;%20&#3614;.&#3618;.%206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"/>
      <sheetName val="ยกมา"/>
      <sheetName val="วันที่ 1"/>
      <sheetName val="วันที่ 2"/>
      <sheetName val="วันที่ 3"/>
      <sheetName val="วันที่ 4"/>
      <sheetName val="วันที่ 5"/>
      <sheetName val="วันที่ 6"/>
      <sheetName val="วันที่ 7"/>
      <sheetName val="วันที่ 8"/>
      <sheetName val="วันที่ 9"/>
      <sheetName val="วันที่ 10"/>
      <sheetName val="วันที่ 11"/>
      <sheetName val="วันที่ 12"/>
      <sheetName val="วันที่ 13"/>
      <sheetName val="วันที่ 14"/>
      <sheetName val="วันที่ 15"/>
      <sheetName val="วันที่ 16"/>
      <sheetName val="วันที่ 17"/>
      <sheetName val="วันที่ 18"/>
      <sheetName val="วันที่ 19"/>
      <sheetName val="วันที่ 20"/>
      <sheetName val="วันที่ 21"/>
      <sheetName val="วันที่ 22"/>
      <sheetName val="วันที่ 23"/>
      <sheetName val="วันที่ 24"/>
      <sheetName val="วันที่ 25"/>
      <sheetName val="วันที่ 26"/>
      <sheetName val="วันที่ 27"/>
      <sheetName val="วันที่ 28"/>
      <sheetName val="วันที่ 29"/>
      <sheetName val="วันที่ 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">
          <cell r="U6">
            <v>0</v>
          </cell>
        </row>
        <row r="7">
          <cell r="U7">
            <v>0</v>
          </cell>
        </row>
        <row r="8">
          <cell r="U8">
            <v>0</v>
          </cell>
        </row>
        <row r="9">
          <cell r="U9">
            <v>0</v>
          </cell>
        </row>
        <row r="10">
          <cell r="U10">
            <v>0</v>
          </cell>
        </row>
        <row r="11">
          <cell r="U11">
            <v>0</v>
          </cell>
        </row>
        <row r="12">
          <cell r="U12">
            <v>0</v>
          </cell>
        </row>
        <row r="13">
          <cell r="U13">
            <v>0</v>
          </cell>
        </row>
        <row r="14">
          <cell r="U14">
            <v>0</v>
          </cell>
        </row>
        <row r="15">
          <cell r="U15">
            <v>0</v>
          </cell>
        </row>
        <row r="16">
          <cell r="U16">
            <v>0</v>
          </cell>
        </row>
        <row r="17">
          <cell r="U17">
            <v>0</v>
          </cell>
        </row>
        <row r="18">
          <cell r="U18">
            <v>0</v>
          </cell>
        </row>
        <row r="19">
          <cell r="U19">
            <v>0</v>
          </cell>
        </row>
        <row r="20">
          <cell r="U20">
            <v>0</v>
          </cell>
        </row>
        <row r="21">
          <cell r="U21">
            <v>0</v>
          </cell>
        </row>
        <row r="22">
          <cell r="U22">
            <v>0</v>
          </cell>
        </row>
        <row r="23">
          <cell r="U23">
            <v>0</v>
          </cell>
        </row>
        <row r="24">
          <cell r="U24">
            <v>0</v>
          </cell>
        </row>
        <row r="25">
          <cell r="U25">
            <v>0</v>
          </cell>
        </row>
        <row r="26">
          <cell r="U26">
            <v>0</v>
          </cell>
        </row>
        <row r="27">
          <cell r="U27">
            <v>0</v>
          </cell>
        </row>
        <row r="28">
          <cell r="U28">
            <v>0</v>
          </cell>
        </row>
        <row r="29">
          <cell r="U29">
            <v>0</v>
          </cell>
        </row>
        <row r="30">
          <cell r="U30">
            <v>0</v>
          </cell>
        </row>
        <row r="31">
          <cell r="U31">
            <v>0</v>
          </cell>
        </row>
        <row r="32">
          <cell r="U32">
            <v>0</v>
          </cell>
        </row>
        <row r="33">
          <cell r="U33">
            <v>0</v>
          </cell>
        </row>
        <row r="34">
          <cell r="U34">
            <v>0</v>
          </cell>
        </row>
        <row r="35">
          <cell r="U35">
            <v>0</v>
          </cell>
        </row>
        <row r="36">
          <cell r="U36">
            <v>0</v>
          </cell>
        </row>
        <row r="37">
          <cell r="U37">
            <v>0</v>
          </cell>
        </row>
        <row r="38">
          <cell r="U38">
            <v>0</v>
          </cell>
        </row>
        <row r="39">
          <cell r="U39">
            <v>0</v>
          </cell>
        </row>
        <row r="40">
          <cell r="U40">
            <v>0</v>
          </cell>
        </row>
        <row r="41">
          <cell r="U41">
            <v>0</v>
          </cell>
        </row>
        <row r="42">
          <cell r="U42">
            <v>0</v>
          </cell>
        </row>
        <row r="43">
          <cell r="U43">
            <v>0</v>
          </cell>
        </row>
        <row r="44">
          <cell r="U44">
            <v>0</v>
          </cell>
        </row>
        <row r="45">
          <cell r="U45">
            <v>0</v>
          </cell>
        </row>
        <row r="46">
          <cell r="U46">
            <v>0</v>
          </cell>
        </row>
        <row r="47">
          <cell r="U47">
            <v>0</v>
          </cell>
        </row>
        <row r="48">
          <cell r="U48">
            <v>0</v>
          </cell>
        </row>
        <row r="49">
          <cell r="U49">
            <v>0</v>
          </cell>
        </row>
        <row r="50">
          <cell r="U50">
            <v>0</v>
          </cell>
        </row>
        <row r="51">
          <cell r="U51">
            <v>0</v>
          </cell>
        </row>
        <row r="52">
          <cell r="U52">
            <v>0</v>
          </cell>
        </row>
        <row r="53">
          <cell r="U53">
            <v>0</v>
          </cell>
        </row>
        <row r="54">
          <cell r="U54">
            <v>0</v>
          </cell>
        </row>
        <row r="55">
          <cell r="U55">
            <v>0</v>
          </cell>
        </row>
        <row r="56">
          <cell r="U56">
            <v>0</v>
          </cell>
        </row>
        <row r="57">
          <cell r="U57">
            <v>0</v>
          </cell>
        </row>
        <row r="58">
          <cell r="U58">
            <v>0</v>
          </cell>
        </row>
        <row r="59">
          <cell r="U59">
            <v>0</v>
          </cell>
        </row>
        <row r="60">
          <cell r="U60">
            <v>0</v>
          </cell>
        </row>
        <row r="61">
          <cell r="U61">
            <v>0</v>
          </cell>
        </row>
        <row r="62">
          <cell r="U62">
            <v>0</v>
          </cell>
        </row>
        <row r="63">
          <cell r="U63">
            <v>0</v>
          </cell>
        </row>
        <row r="64">
          <cell r="U64">
            <v>0</v>
          </cell>
        </row>
        <row r="65">
          <cell r="U65">
            <v>0</v>
          </cell>
        </row>
        <row r="66">
          <cell r="U66">
            <v>0</v>
          </cell>
        </row>
        <row r="67">
          <cell r="U67">
            <v>0</v>
          </cell>
        </row>
        <row r="68">
          <cell r="U68">
            <v>0</v>
          </cell>
        </row>
        <row r="69">
          <cell r="U69">
            <v>0</v>
          </cell>
        </row>
        <row r="70">
          <cell r="U70">
            <v>0</v>
          </cell>
        </row>
        <row r="71">
          <cell r="U71">
            <v>0</v>
          </cell>
        </row>
        <row r="72">
          <cell r="U72">
            <v>0</v>
          </cell>
        </row>
        <row r="73">
          <cell r="U73">
            <v>0</v>
          </cell>
        </row>
        <row r="74">
          <cell r="U74">
            <v>0</v>
          </cell>
        </row>
        <row r="75">
          <cell r="U75">
            <v>0</v>
          </cell>
        </row>
        <row r="76">
          <cell r="U76">
            <v>0</v>
          </cell>
        </row>
        <row r="77">
          <cell r="U77">
            <v>0</v>
          </cell>
        </row>
        <row r="78">
          <cell r="U78">
            <v>0</v>
          </cell>
        </row>
        <row r="79">
          <cell r="U79">
            <v>0</v>
          </cell>
        </row>
        <row r="80">
          <cell r="U80">
            <v>0</v>
          </cell>
        </row>
        <row r="81">
          <cell r="U81">
            <v>0</v>
          </cell>
        </row>
        <row r="82">
          <cell r="U82">
            <v>0</v>
          </cell>
        </row>
        <row r="83">
          <cell r="U83">
            <v>0</v>
          </cell>
        </row>
        <row r="84">
          <cell r="U84">
            <v>0</v>
          </cell>
        </row>
        <row r="85">
          <cell r="U85">
            <v>0</v>
          </cell>
        </row>
        <row r="86">
          <cell r="U86">
            <v>0</v>
          </cell>
        </row>
        <row r="87">
          <cell r="U87">
            <v>0</v>
          </cell>
        </row>
        <row r="88">
          <cell r="U88">
            <v>0</v>
          </cell>
        </row>
        <row r="89">
          <cell r="U89">
            <v>0</v>
          </cell>
        </row>
        <row r="90">
          <cell r="U90">
            <v>0</v>
          </cell>
        </row>
        <row r="91">
          <cell r="U91">
            <v>0</v>
          </cell>
        </row>
        <row r="92">
          <cell r="U92">
            <v>0</v>
          </cell>
        </row>
        <row r="93">
          <cell r="U93">
            <v>0</v>
          </cell>
        </row>
        <row r="94">
          <cell r="U94">
            <v>0</v>
          </cell>
        </row>
        <row r="95">
          <cell r="U95">
            <v>0</v>
          </cell>
        </row>
        <row r="96">
          <cell r="U96">
            <v>0</v>
          </cell>
        </row>
        <row r="97">
          <cell r="U97">
            <v>0</v>
          </cell>
        </row>
        <row r="98">
          <cell r="U98">
            <v>0</v>
          </cell>
        </row>
        <row r="99">
          <cell r="U99">
            <v>0</v>
          </cell>
        </row>
        <row r="100">
          <cell r="U100">
            <v>0</v>
          </cell>
        </row>
        <row r="101">
          <cell r="U101">
            <v>0</v>
          </cell>
        </row>
        <row r="102">
          <cell r="U102">
            <v>0</v>
          </cell>
        </row>
        <row r="103">
          <cell r="U103">
            <v>0</v>
          </cell>
        </row>
        <row r="104">
          <cell r="U104">
            <v>0</v>
          </cell>
        </row>
      </sheetData>
      <sheetData sheetId="17"/>
      <sheetData sheetId="18">
        <row r="5">
          <cell r="U5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>
        <row r="5">
          <cell r="G5">
            <v>12</v>
          </cell>
        </row>
      </sheetData>
      <sheetData sheetId="31"/>
    </sheetDataSet>
  </externalBook>
</externalLink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6CCF-04F2-40DE-A5FE-7BE2EE8D18DC}">
  <sheetPr>
    <tabColor rgb="FFFF0000"/>
    <pageSetUpPr fitToPage="1"/>
  </sheetPr>
  <dimension ref="A1:V237"/>
  <sheetViews>
    <sheetView tabSelected="1" zoomScaleNormal="100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5" sqref="E5"/>
    </sheetView>
  </sheetViews>
  <sheetFormatPr defaultColWidth="9" defaultRowHeight="25.5"/>
  <cols>
    <col min="1" max="1" width="15.140625" style="2" customWidth="1"/>
    <col min="2" max="2" width="34.28515625" style="2" customWidth="1"/>
    <col min="3" max="3" width="19.42578125" style="2" bestFit="1" customWidth="1"/>
    <col min="4" max="4" width="12.5703125" style="2" customWidth="1"/>
    <col min="5" max="5" width="10.5703125" style="2" customWidth="1"/>
    <col min="6" max="6" width="11.5703125" style="2" customWidth="1"/>
    <col min="7" max="7" width="9.85546875" style="2" customWidth="1"/>
    <col min="8" max="8" width="8.5703125" style="2" customWidth="1"/>
    <col min="9" max="9" width="8.5703125" style="5" customWidth="1"/>
    <col min="10" max="11" width="11.5703125" style="2" customWidth="1"/>
    <col min="12" max="12" width="6.5703125" style="2" customWidth="1"/>
    <col min="13" max="13" width="12.140625" style="1" customWidth="1"/>
    <col min="14" max="14" width="12" style="1" customWidth="1"/>
    <col min="15" max="15" width="12.5703125" style="1" customWidth="1"/>
    <col min="16" max="16" width="9.85546875" style="1" customWidth="1"/>
    <col min="17" max="19" width="11.85546875" style="1" customWidth="1"/>
    <col min="20" max="20" width="14.7109375" style="1" customWidth="1"/>
    <col min="21" max="21" width="13.42578125" style="2" customWidth="1"/>
    <col min="22" max="16384" width="9" style="2"/>
  </cols>
  <sheetData>
    <row r="1" spans="1:22">
      <c r="A1" s="1"/>
    </row>
    <row r="2" spans="1:22" s="3" customFormat="1" ht="29.25">
      <c r="A2" s="99" t="s">
        <v>252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43"/>
      <c r="O2" s="43"/>
      <c r="P2" s="43"/>
      <c r="Q2" s="43"/>
      <c r="R2" s="43"/>
      <c r="S2" s="43"/>
      <c r="T2" s="43"/>
    </row>
    <row r="3" spans="1:22" s="5" customFormat="1">
      <c r="A3" s="100" t="s">
        <v>1</v>
      </c>
      <c r="B3" s="100" t="s">
        <v>2</v>
      </c>
      <c r="C3" s="102" t="s">
        <v>3</v>
      </c>
      <c r="D3" s="102" t="s">
        <v>4</v>
      </c>
      <c r="E3" s="102" t="s">
        <v>5</v>
      </c>
      <c r="F3" s="44" t="s">
        <v>6</v>
      </c>
      <c r="G3" s="102" t="s">
        <v>7</v>
      </c>
      <c r="H3" s="103" t="s">
        <v>8</v>
      </c>
      <c r="I3" s="103"/>
      <c r="J3" s="103"/>
      <c r="K3" s="102" t="s">
        <v>9</v>
      </c>
      <c r="L3" s="104" t="s">
        <v>227</v>
      </c>
      <c r="M3" s="104" t="s">
        <v>228</v>
      </c>
      <c r="N3" s="104" t="s">
        <v>10</v>
      </c>
      <c r="O3" s="104" t="s">
        <v>229</v>
      </c>
      <c r="P3" s="104" t="s">
        <v>230</v>
      </c>
      <c r="Q3" s="105" t="s">
        <v>231</v>
      </c>
      <c r="R3" s="105" t="s">
        <v>232</v>
      </c>
      <c r="S3" s="105" t="s">
        <v>233</v>
      </c>
      <c r="T3" s="104" t="s">
        <v>234</v>
      </c>
      <c r="U3" s="107" t="s">
        <v>235</v>
      </c>
    </row>
    <row r="4" spans="1:22" s="5" customFormat="1">
      <c r="A4" s="101"/>
      <c r="B4" s="101"/>
      <c r="C4" s="102"/>
      <c r="D4" s="102"/>
      <c r="E4" s="102"/>
      <c r="F4" s="44" t="s">
        <v>11</v>
      </c>
      <c r="G4" s="102"/>
      <c r="H4" s="44" t="s">
        <v>12</v>
      </c>
      <c r="I4" s="45" t="s">
        <v>13</v>
      </c>
      <c r="J4" s="44" t="s">
        <v>14</v>
      </c>
      <c r="K4" s="102"/>
      <c r="L4" s="104"/>
      <c r="M4" s="104"/>
      <c r="N4" s="104"/>
      <c r="O4" s="104"/>
      <c r="P4" s="104"/>
      <c r="Q4" s="106"/>
      <c r="R4" s="106"/>
      <c r="S4" s="106"/>
      <c r="T4" s="104"/>
      <c r="U4" s="108"/>
    </row>
    <row r="5" spans="1:22">
      <c r="A5" s="10">
        <v>1</v>
      </c>
      <c r="B5" s="11" t="s">
        <v>15</v>
      </c>
      <c r="C5" s="46">
        <v>2</v>
      </c>
      <c r="D5" s="47">
        <f>+'1'!D5+'2'!D5+'3'!D5+'4'!D5+'5'!D5+'6'!D5+'7'!D5+'8'!D5+'9'!D5+'10'!D5+'11'!D5+'12'!D5+'13'!D5+'14'!D5+'15'!D5+'16'!D5+'17'!D5+'18'!D5+'19'!D5+'20'!D5+'21'!D5+'22'!D5+'23'!D5+'24'!D5+'25'!D5+'26'!D5+'27'!D5+'28'!D5+'29'!D5+'30'!D5+'31'!D5</f>
        <v>60</v>
      </c>
      <c r="E5" s="46">
        <f>+C5+D5</f>
        <v>62</v>
      </c>
      <c r="F5" s="47">
        <f>+'1'!F5+'2'!F5+'3'!F5+'4'!F5+'5'!F5+'6'!F5+'7'!F5+'8'!F5+'9'!F5+'10'!F5+'11'!F5+'12'!F5+'13'!F5+'14'!F5+'15'!F5+'16'!F5+'17'!F5+'18'!F5+'19'!F5+'20'!F5+'21'!F5+'22'!F5+'23'!F5+'24'!F5+'25'!F5+'26'!F5+'27'!F5+'28'!F5+'29'!F5+'30'!F5+'31'!F5</f>
        <v>4</v>
      </c>
      <c r="G5" s="46">
        <v>0</v>
      </c>
      <c r="H5" s="47">
        <f>+'1'!H5+'2'!H5+'3'!H5+'4'!H5+'5'!H5+'6'!H5+'7'!H5+'8'!H5+'9'!H5+'10'!H5+'11'!H5+'12'!H5+'13'!H5+'14'!H5+'15'!H5+'16'!H5+'17'!H5+'18'!H5+'19'!H5+'20'!H5+'21'!H5+'22'!H5+'23'!H5+'24'!H5+'25'!H5+'26'!H5+'27'!H5+'28'!H5+'29'!H5+'30'!H5+'31'!H5</f>
        <v>60</v>
      </c>
      <c r="I5" s="15">
        <v>50</v>
      </c>
      <c r="J5" s="47">
        <f>+'1'!J5+'2'!J5+'3'!J5+'4'!J5+'5'!J5+'6'!J5+'7'!J5+'8'!J5+'9'!J5+'10'!J5+'11'!J5+'12'!J5+'13'!J5+'14'!J5+'15'!J5+'16'!J5+'17'!J5+'18'!J5+'19'!J5+'20'!J5+'21'!J5+'22'!J5+'23'!J5+'24'!J5+'25'!J5+'26'!J5+'27'!J5+'28'!J5+'29'!J5+'30'!J5+'31'!J5</f>
        <v>3000</v>
      </c>
      <c r="K5" s="15"/>
      <c r="L5" s="49">
        <v>1</v>
      </c>
      <c r="M5" s="50">
        <f>+'1'!K207</f>
        <v>3250</v>
      </c>
      <c r="N5" s="50">
        <f>+'1'!K212</f>
        <v>600</v>
      </c>
      <c r="O5" s="50"/>
      <c r="P5" s="50">
        <f>+'1'!K208</f>
        <v>15</v>
      </c>
      <c r="Q5" s="50">
        <f>+'1'!K211</f>
        <v>55</v>
      </c>
      <c r="R5" s="50">
        <f>+'1'!K209</f>
        <v>360</v>
      </c>
      <c r="S5" s="50">
        <f t="shared" ref="S5:S35" si="0">+M5-N5-P5-R5-Q5</f>
        <v>2220</v>
      </c>
      <c r="T5" s="50">
        <f>+'1'!K214</f>
        <v>2220</v>
      </c>
      <c r="U5" s="51">
        <f>+T5-S5</f>
        <v>0</v>
      </c>
      <c r="V5" s="5"/>
    </row>
    <row r="6" spans="1:22">
      <c r="A6" s="10">
        <v>2</v>
      </c>
      <c r="B6" s="11" t="s">
        <v>17</v>
      </c>
      <c r="C6" s="46">
        <v>79</v>
      </c>
      <c r="D6" s="47">
        <f>+'1'!D6+'2'!D6+'3'!D6+'4'!D6+'5'!D6+'6'!D6+'7'!D6+'8'!D6+'9'!D6+'10'!D6+'11'!D6+'12'!D6+'13'!D6+'14'!D6+'15'!D6+'16'!D6+'17'!D6+'18'!D6+'19'!D6+'20'!D6+'21'!D6+'22'!D6+'23'!D6+'24'!D6+'25'!D6+'26'!D6+'27'!D6+'28'!D6+'29'!D6+'30'!D6+'31'!D6</f>
        <v>50</v>
      </c>
      <c r="E6" s="46">
        <f t="shared" ref="E6:E69" si="1">+C6+D6</f>
        <v>129</v>
      </c>
      <c r="F6" s="47">
        <f>+'1'!F6+'2'!F6+'3'!F6+'4'!F6+'5'!F6+'6'!F6+'7'!F6+'8'!F6+'9'!F6+'10'!F6+'11'!F6+'12'!F6+'13'!F6+'14'!F6+'15'!F6+'16'!F6+'17'!F6+'18'!F6+'19'!F6+'20'!F6+'21'!F6+'22'!F6+'23'!F6+'24'!F6+'25'!F6+'26'!F6+'27'!F6+'28'!F6+'29'!F6+'30'!F6+'31'!F6</f>
        <v>0</v>
      </c>
      <c r="G6" s="46">
        <v>0</v>
      </c>
      <c r="H6" s="47">
        <f>+'1'!H6+'2'!H6+'3'!H6+'4'!H6+'5'!H6+'6'!H6+'7'!H6+'8'!H6+'9'!H6+'10'!H6+'11'!H6+'12'!H6+'13'!H6+'14'!H6+'15'!H6+'16'!H6+'17'!H6+'18'!H6+'19'!H6+'20'!H6+'21'!H6+'22'!H6+'23'!H6+'24'!H6+'25'!H6+'26'!H6+'27'!H6+'28'!H6+'29'!H6+'30'!H6+'31'!H6</f>
        <v>105</v>
      </c>
      <c r="I6" s="15">
        <v>100</v>
      </c>
      <c r="J6" s="47">
        <f>+'1'!J6+'2'!J6+'3'!J6+'4'!J6+'5'!J6+'6'!J6+'7'!J6+'8'!J6+'9'!J6+'10'!J6+'11'!J6+'12'!J6+'13'!J6+'14'!J6+'15'!J6+'16'!J6+'17'!J6+'18'!J6+'19'!J6+'20'!J6+'21'!J6+'22'!J6+'23'!J6+'24'!J6+'25'!J6+'26'!J6+'27'!J6+'28'!J6+'29'!J6+'30'!J6+'31'!J6</f>
        <v>10500</v>
      </c>
      <c r="K6" s="15"/>
      <c r="L6" s="49">
        <v>2</v>
      </c>
      <c r="M6" s="50">
        <f>+'2'!K207</f>
        <v>2715</v>
      </c>
      <c r="N6" s="50">
        <f>+'2'!K212</f>
        <v>25</v>
      </c>
      <c r="O6" s="50"/>
      <c r="P6" s="50">
        <f>+'2'!K208</f>
        <v>15</v>
      </c>
      <c r="Q6" s="50">
        <f>+'2'!K211</f>
        <v>0</v>
      </c>
      <c r="R6" s="50">
        <f>+'2'!K209</f>
        <v>670</v>
      </c>
      <c r="S6" s="50">
        <f t="shared" si="0"/>
        <v>2005</v>
      </c>
      <c r="T6" s="50">
        <f>+'2'!K214</f>
        <v>2005</v>
      </c>
      <c r="U6" s="51">
        <f t="shared" ref="U6:U35" si="2">+T6-S6</f>
        <v>0</v>
      </c>
      <c r="V6" s="5"/>
    </row>
    <row r="7" spans="1:22">
      <c r="A7" s="10">
        <v>3</v>
      </c>
      <c r="B7" s="11" t="s">
        <v>18</v>
      </c>
      <c r="C7" s="46">
        <v>0</v>
      </c>
      <c r="D7" s="47">
        <f>+'1'!D7+'2'!D7+'3'!D7+'4'!D7+'5'!D7+'6'!D7+'7'!D7+'8'!D7+'9'!D7+'10'!D7+'11'!D7+'12'!D7+'13'!D7+'14'!D7+'15'!D7+'16'!D7+'17'!D7+'18'!D7+'19'!D7+'20'!D7+'21'!D7+'22'!D7+'23'!D7+'24'!D7+'25'!D7+'26'!D7+'27'!D7+'28'!D7+'29'!D7+'30'!D7+'31'!D7</f>
        <v>0</v>
      </c>
      <c r="E7" s="46">
        <f t="shared" si="1"/>
        <v>0</v>
      </c>
      <c r="F7" s="47">
        <f>+'1'!F7+'2'!F7+'3'!F7+'4'!F7+'5'!F7+'6'!F7+'7'!F7+'8'!F7+'9'!F7+'10'!F7+'11'!F7+'12'!F7+'13'!F7+'14'!F7+'15'!F7+'16'!F7+'17'!F7+'18'!F7+'19'!F7+'20'!F7+'21'!F7+'22'!F7+'23'!F7+'24'!F7+'25'!F7+'26'!F7+'27'!F7+'28'!F7+'29'!F7+'30'!F7+'31'!F7</f>
        <v>0</v>
      </c>
      <c r="G7" s="46">
        <v>0</v>
      </c>
      <c r="H7" s="47">
        <f>+'1'!H7+'2'!H7+'3'!H7+'4'!H7+'5'!H7+'6'!H7+'7'!H7+'8'!H7+'9'!H7+'10'!H7+'11'!H7+'12'!H7+'13'!H7+'14'!H7+'15'!H7+'16'!H7+'17'!H7+'18'!H7+'19'!H7+'20'!H7+'21'!H7+'22'!H7+'23'!H7+'24'!H7+'25'!H7+'26'!H7+'27'!H7+'28'!H7+'29'!H7+'30'!H7+'31'!H7</f>
        <v>0</v>
      </c>
      <c r="I7" s="15">
        <v>50</v>
      </c>
      <c r="J7" s="47">
        <f>+'1'!J7+'2'!J7+'3'!J7+'4'!J7+'5'!J7+'6'!J7+'7'!J7+'8'!J7+'9'!J7+'10'!J7+'11'!J7+'12'!J7+'13'!J7+'14'!J7+'15'!J7+'16'!J7+'17'!J7+'18'!J7+'19'!J7+'20'!J7+'21'!J7+'22'!J7+'23'!J7+'24'!J7+'25'!J7+'26'!J7+'27'!J7+'28'!J7+'29'!J7+'30'!J7+'31'!J7</f>
        <v>0</v>
      </c>
      <c r="K7" s="15"/>
      <c r="L7" s="49">
        <v>3</v>
      </c>
      <c r="M7" s="50">
        <f>+'3'!K208</f>
        <v>4080</v>
      </c>
      <c r="N7" s="50">
        <f>+'3'!K213</f>
        <v>1000</v>
      </c>
      <c r="O7" s="50"/>
      <c r="P7" s="50">
        <f>+'3'!K209</f>
        <v>15</v>
      </c>
      <c r="Q7" s="50">
        <f>+'3'!K212</f>
        <v>0</v>
      </c>
      <c r="R7" s="50">
        <f>+'3'!K210</f>
        <v>900</v>
      </c>
      <c r="S7" s="50">
        <f t="shared" si="0"/>
        <v>2165</v>
      </c>
      <c r="T7" s="50">
        <f>+'3'!K215</f>
        <v>2165</v>
      </c>
      <c r="U7" s="51">
        <f t="shared" si="2"/>
        <v>0</v>
      </c>
      <c r="V7" s="5"/>
    </row>
    <row r="8" spans="1:22">
      <c r="A8" s="10">
        <v>4</v>
      </c>
      <c r="B8" s="11" t="s">
        <v>19</v>
      </c>
      <c r="C8" s="46">
        <v>0</v>
      </c>
      <c r="D8" s="47">
        <f>+'1'!D8+'2'!D8+'3'!D8+'4'!D8+'5'!D8+'6'!D8+'7'!D8+'8'!D8+'9'!D8+'10'!D8+'11'!D8+'12'!D8+'13'!D8+'14'!D8+'15'!D8+'16'!D8+'17'!D8+'18'!D8+'19'!D8+'20'!D8+'21'!D8+'22'!D8+'23'!D8+'24'!D8+'25'!D8+'26'!D8+'27'!D8+'28'!D8+'29'!D8+'30'!D8+'31'!D8</f>
        <v>0</v>
      </c>
      <c r="E8" s="46">
        <f t="shared" si="1"/>
        <v>0</v>
      </c>
      <c r="F8" s="47">
        <f>+'1'!F8+'2'!F8+'3'!F8+'4'!F8+'5'!F8+'6'!F8+'7'!F8+'8'!F8+'9'!F8+'10'!F8+'11'!F8+'12'!F8+'13'!F8+'14'!F8+'15'!F8+'16'!F8+'17'!F8+'18'!F8+'19'!F8+'20'!F8+'21'!F8+'22'!F8+'23'!F8+'24'!F8+'25'!F8+'26'!F8+'27'!F8+'28'!F8+'29'!F8+'30'!F8+'31'!F8</f>
        <v>0</v>
      </c>
      <c r="G8" s="46">
        <v>0</v>
      </c>
      <c r="H8" s="47">
        <f>+'1'!H8+'2'!H8+'3'!H8+'4'!H8+'5'!H8+'6'!H8+'7'!H8+'8'!H8+'9'!H8+'10'!H8+'11'!H8+'12'!H8+'13'!H8+'14'!H8+'15'!H8+'16'!H8+'17'!H8+'18'!H8+'19'!H8+'20'!H8+'21'!H8+'22'!H8+'23'!H8+'24'!H8+'25'!H8+'26'!H8+'27'!H8+'28'!H8+'29'!H8+'30'!H8+'31'!H8</f>
        <v>0</v>
      </c>
      <c r="I8" s="15">
        <v>100</v>
      </c>
      <c r="J8" s="47">
        <f>+'1'!J8+'2'!J8+'3'!J8+'4'!J8+'5'!J8+'6'!J8+'7'!J8+'8'!J8+'9'!J8+'10'!J8+'11'!J8+'12'!J8+'13'!J8+'14'!J8+'15'!J8+'16'!J8+'17'!J8+'18'!J8+'19'!J8+'20'!J8+'21'!J8+'22'!J8+'23'!J8+'24'!J8+'25'!J8+'26'!J8+'27'!J8+'28'!J8+'29'!J8+'30'!J8+'31'!J8</f>
        <v>0</v>
      </c>
      <c r="K8" s="15"/>
      <c r="L8" s="49">
        <v>4</v>
      </c>
      <c r="M8" s="50">
        <f>+'4'!K208</f>
        <v>2645</v>
      </c>
      <c r="N8" s="50">
        <f>+'4'!K213</f>
        <v>0</v>
      </c>
      <c r="O8" s="50"/>
      <c r="P8" s="50">
        <f>+'4'!K209</f>
        <v>15</v>
      </c>
      <c r="Q8" s="50">
        <f>+'4'!K212</f>
        <v>0</v>
      </c>
      <c r="R8" s="50">
        <f>+'4'!K210</f>
        <v>620</v>
      </c>
      <c r="S8" s="50">
        <f t="shared" si="0"/>
        <v>2010</v>
      </c>
      <c r="T8" s="50">
        <f>+'4'!K215</f>
        <v>2010</v>
      </c>
      <c r="U8" s="51">
        <f t="shared" si="2"/>
        <v>0</v>
      </c>
      <c r="V8" s="5"/>
    </row>
    <row r="9" spans="1:22">
      <c r="A9" s="10">
        <v>5</v>
      </c>
      <c r="B9" s="11" t="s">
        <v>20</v>
      </c>
      <c r="C9" s="46">
        <v>0</v>
      </c>
      <c r="D9" s="47">
        <f>+'1'!D9+'2'!D9+'3'!D9+'4'!D9+'5'!D9+'6'!D9+'7'!D9+'8'!D9+'9'!D9+'10'!D9+'11'!D9+'12'!D9+'13'!D9+'14'!D9+'15'!D9+'16'!D9+'17'!D9+'18'!D9+'19'!D9+'20'!D9+'21'!D9+'22'!D9+'23'!D9+'24'!D9+'25'!D9+'26'!D9+'27'!D9+'28'!D9+'29'!D9+'30'!D9+'31'!D9</f>
        <v>175</v>
      </c>
      <c r="E9" s="46">
        <f t="shared" si="1"/>
        <v>175</v>
      </c>
      <c r="F9" s="47">
        <f>+'1'!F9+'2'!F9+'3'!F9+'4'!F9+'5'!F9+'6'!F9+'7'!F9+'8'!F9+'9'!F9+'10'!F9+'11'!F9+'12'!F9+'13'!F9+'14'!F9+'15'!F9+'16'!F9+'17'!F9+'18'!F9+'19'!F9+'20'!F9+'21'!F9+'22'!F9+'23'!F9+'24'!F9+'25'!F9+'26'!F9+'27'!F9+'28'!F9+'29'!F9+'30'!F9+'31'!F9</f>
        <v>0</v>
      </c>
      <c r="G9" s="46">
        <v>0</v>
      </c>
      <c r="H9" s="47">
        <f>+'1'!H9+'2'!H9+'3'!H9+'4'!H9+'5'!H9+'6'!H9+'7'!H9+'8'!H9+'9'!H9+'10'!H9+'11'!H9+'12'!H9+'13'!H9+'14'!H9+'15'!H9+'16'!H9+'17'!H9+'18'!H9+'19'!H9+'20'!H9+'21'!H9+'22'!H9+'23'!H9+'24'!H9+'25'!H9+'26'!H9+'27'!H9+'28'!H9+'29'!H9+'30'!H9+'31'!H9</f>
        <v>175</v>
      </c>
      <c r="I9" s="15">
        <v>12</v>
      </c>
      <c r="J9" s="47">
        <f>+'1'!J9+'2'!J9+'3'!J9+'4'!J9+'5'!J9+'6'!J9+'7'!J9+'8'!J9+'9'!J9+'10'!J9+'11'!J9+'12'!J9+'13'!J9+'14'!J9+'15'!J9+'16'!J9+'17'!J9+'18'!J9+'19'!J9+'20'!J9+'21'!J9+'22'!J9+'23'!J9+'24'!J9+'25'!J9+'26'!J9+'27'!J9+'28'!J9+'29'!J9+'30'!J9+'31'!J9</f>
        <v>2100</v>
      </c>
      <c r="K9" s="15"/>
      <c r="L9" s="49">
        <v>5</v>
      </c>
      <c r="M9" s="50">
        <f>+'5'!K208</f>
        <v>2830</v>
      </c>
      <c r="N9" s="50">
        <f>+'5'!K213</f>
        <v>1300</v>
      </c>
      <c r="O9" s="50"/>
      <c r="P9" s="50">
        <f>+'5'!K209</f>
        <v>15</v>
      </c>
      <c r="Q9" s="50">
        <f>+'5'!K212</f>
        <v>0</v>
      </c>
      <c r="R9" s="50">
        <f>+'5'!K210</f>
        <v>1300</v>
      </c>
      <c r="S9" s="50">
        <f t="shared" si="0"/>
        <v>215</v>
      </c>
      <c r="T9" s="50">
        <f>+'5'!K215</f>
        <v>215</v>
      </c>
      <c r="U9" s="51">
        <f t="shared" si="2"/>
        <v>0</v>
      </c>
      <c r="V9" s="5"/>
    </row>
    <row r="10" spans="1:22">
      <c r="A10" s="10">
        <v>6</v>
      </c>
      <c r="B10" s="11" t="s">
        <v>21</v>
      </c>
      <c r="C10" s="46">
        <v>0</v>
      </c>
      <c r="D10" s="47">
        <f>+'1'!D10+'2'!D10+'3'!D10+'4'!D10+'5'!D10+'6'!D10+'7'!D10+'8'!D10+'9'!D10+'10'!D10+'11'!D10+'12'!D10+'13'!D10+'14'!D10+'15'!D10+'16'!D10+'17'!D10+'18'!D10+'19'!D10+'20'!D10+'21'!D10+'22'!D10+'23'!D10+'24'!D10+'25'!D10+'26'!D10+'27'!D10+'28'!D10+'29'!D10+'30'!D10+'31'!D10</f>
        <v>0</v>
      </c>
      <c r="E10" s="46">
        <f t="shared" si="1"/>
        <v>0</v>
      </c>
      <c r="F10" s="47">
        <f>+'1'!F10+'2'!F10+'3'!F10+'4'!F10+'5'!F10+'6'!F10+'7'!F10+'8'!F10+'9'!F10+'10'!F10+'11'!F10+'12'!F10+'13'!F10+'14'!F10+'15'!F10+'16'!F10+'17'!F10+'18'!F10+'19'!F10+'20'!F10+'21'!F10+'22'!F10+'23'!F10+'24'!F10+'25'!F10+'26'!F10+'27'!F10+'28'!F10+'29'!F10+'30'!F10+'31'!F10</f>
        <v>0</v>
      </c>
      <c r="G10" s="46">
        <v>0</v>
      </c>
      <c r="H10" s="47">
        <f>+'1'!H10+'2'!H10+'3'!H10+'4'!H10+'5'!H10+'6'!H10+'7'!H10+'8'!H10+'9'!H10+'10'!H10+'11'!H10+'12'!H10+'13'!H10+'14'!H10+'15'!H10+'16'!H10+'17'!H10+'18'!H10+'19'!H10+'20'!H10+'21'!H10+'22'!H10+'23'!H10+'24'!H10+'25'!H10+'26'!H10+'27'!H10+'28'!H10+'29'!H10+'30'!H10+'31'!H10</f>
        <v>0</v>
      </c>
      <c r="I10" s="15">
        <v>15</v>
      </c>
      <c r="J10" s="47">
        <f>+'1'!J10+'2'!J10+'3'!J10+'4'!J10+'5'!J10+'6'!J10+'7'!J10+'8'!J10+'9'!J10+'10'!J10+'11'!J10+'12'!J10+'13'!J10+'14'!J10+'15'!J10+'16'!J10+'17'!J10+'18'!J10+'19'!J10+'20'!J10+'21'!J10+'22'!J10+'23'!J10+'24'!J10+'25'!J10+'26'!J10+'27'!J10+'28'!J10+'29'!J10+'30'!J10+'31'!J10</f>
        <v>0</v>
      </c>
      <c r="K10" s="15"/>
      <c r="L10" s="49">
        <v>6</v>
      </c>
      <c r="M10" s="50">
        <f>+'6'!K208</f>
        <v>2030</v>
      </c>
      <c r="N10" s="50">
        <f>+'6'!K213</f>
        <v>220</v>
      </c>
      <c r="O10" s="50"/>
      <c r="P10" s="50">
        <f>+'6'!K209</f>
        <v>15</v>
      </c>
      <c r="Q10" s="50">
        <f>+'6'!K212</f>
        <v>0</v>
      </c>
      <c r="R10" s="50">
        <f>+'6'!K210</f>
        <v>220</v>
      </c>
      <c r="S10" s="50">
        <f t="shared" si="0"/>
        <v>1575</v>
      </c>
      <c r="T10" s="50">
        <f>+'6'!K215</f>
        <v>1575</v>
      </c>
      <c r="U10" s="51">
        <f t="shared" si="2"/>
        <v>0</v>
      </c>
      <c r="V10" s="5"/>
    </row>
    <row r="11" spans="1:22">
      <c r="A11" s="10">
        <v>7</v>
      </c>
      <c r="B11" s="20" t="s">
        <v>22</v>
      </c>
      <c r="C11" s="46">
        <v>0</v>
      </c>
      <c r="D11" s="47">
        <f>+'1'!D11+'2'!D11+'3'!D11+'4'!D11+'5'!D11+'6'!D11+'7'!D11+'8'!D11+'9'!D11+'10'!D11+'11'!D11+'12'!D11+'13'!D11+'14'!D11+'15'!D11+'16'!D11+'17'!D11+'18'!D11+'19'!D11+'20'!D11+'21'!D11+'22'!D11+'23'!D11+'24'!D11+'25'!D11+'26'!D11+'27'!D11+'28'!D11+'29'!D11+'30'!D11+'31'!D11</f>
        <v>0</v>
      </c>
      <c r="E11" s="46">
        <f t="shared" si="1"/>
        <v>0</v>
      </c>
      <c r="F11" s="47">
        <f>+'1'!F11+'2'!F11+'3'!F11+'4'!F11+'5'!F11+'6'!F11+'7'!F11+'8'!F11+'9'!F11+'10'!F11+'11'!F11+'12'!F11+'13'!F11+'14'!F11+'15'!F11+'16'!F11+'17'!F11+'18'!F11+'19'!F11+'20'!F11+'21'!F11+'22'!F11+'23'!F11+'24'!F11+'25'!F11+'26'!F11+'27'!F11+'28'!F11+'29'!F11+'30'!F11+'31'!F11</f>
        <v>0</v>
      </c>
      <c r="G11" s="46">
        <v>0</v>
      </c>
      <c r="H11" s="47">
        <f>+'1'!H11+'2'!H11+'3'!H11+'4'!H11+'5'!H11+'6'!H11+'7'!H11+'8'!H11+'9'!H11+'10'!H11+'11'!H11+'12'!H11+'13'!H11+'14'!H11+'15'!H11+'16'!H11+'17'!H11+'18'!H11+'19'!H11+'20'!H11+'21'!H11+'22'!H11+'23'!H11+'24'!H11+'25'!H11+'26'!H11+'27'!H11+'28'!H11+'29'!H11+'30'!H11+'31'!H11</f>
        <v>0</v>
      </c>
      <c r="I11" s="15">
        <v>40</v>
      </c>
      <c r="J11" s="47">
        <f>+'1'!J11+'2'!J11+'3'!J11+'4'!J11+'5'!J11+'6'!J11+'7'!J11+'8'!J11+'9'!J11+'10'!J11+'11'!J11+'12'!J11+'13'!J11+'14'!J11+'15'!J11+'16'!J11+'17'!J11+'18'!J11+'19'!J11+'20'!J11+'21'!J11+'22'!J11+'23'!J11+'24'!J11+'25'!J11+'26'!J11+'27'!J11+'28'!J11+'29'!J11+'30'!J11+'31'!J11</f>
        <v>0</v>
      </c>
      <c r="K11" s="15"/>
      <c r="L11" s="49">
        <v>7</v>
      </c>
      <c r="M11" s="50">
        <f>+'7'!K208</f>
        <v>7660</v>
      </c>
      <c r="N11" s="50">
        <f>+'7'!K213</f>
        <v>610</v>
      </c>
      <c r="O11" s="50"/>
      <c r="P11" s="50">
        <f>+'7'!K209</f>
        <v>15</v>
      </c>
      <c r="Q11" s="50">
        <f>+'7'!K212</f>
        <v>0</v>
      </c>
      <c r="R11" s="50">
        <f>+'7'!K210</f>
        <v>895</v>
      </c>
      <c r="S11" s="50">
        <f t="shared" si="0"/>
        <v>6140</v>
      </c>
      <c r="T11" s="50">
        <f>+'7'!K215</f>
        <v>6140</v>
      </c>
      <c r="U11" s="51">
        <f t="shared" si="2"/>
        <v>0</v>
      </c>
      <c r="V11" s="5"/>
    </row>
    <row r="12" spans="1:22">
      <c r="A12" s="10">
        <v>8</v>
      </c>
      <c r="B12" s="20" t="s">
        <v>23</v>
      </c>
      <c r="C12" s="46">
        <v>28</v>
      </c>
      <c r="D12" s="47">
        <f>+'1'!D12+'2'!D12+'3'!D12+'4'!D12+'5'!D12+'6'!D12+'7'!D12+'8'!D12+'9'!D12+'10'!D12+'11'!D12+'12'!D12+'13'!D12+'14'!D12+'15'!D12+'16'!D12+'17'!D12+'18'!D12+'19'!D12+'20'!D12+'21'!D12+'22'!D12+'23'!D12+'24'!D12+'25'!D12+'26'!D12+'27'!D12+'28'!D12+'29'!D12+'30'!D12+'31'!D12</f>
        <v>15</v>
      </c>
      <c r="E12" s="46">
        <f t="shared" si="1"/>
        <v>43</v>
      </c>
      <c r="F12" s="47">
        <f>+'1'!F12+'2'!F12+'3'!F12+'4'!F12+'5'!F12+'6'!F12+'7'!F12+'8'!F12+'9'!F12+'10'!F12+'11'!F12+'12'!F12+'13'!F12+'14'!F12+'15'!F12+'16'!F12+'17'!F12+'18'!F12+'19'!F12+'20'!F12+'21'!F12+'22'!F12+'23'!F12+'24'!F12+'25'!F12+'26'!F12+'27'!F12+'28'!F12+'29'!F12+'30'!F12+'31'!F12</f>
        <v>8</v>
      </c>
      <c r="G12" s="46">
        <v>0</v>
      </c>
      <c r="H12" s="47">
        <f>+'1'!H12+'2'!H12+'3'!H12+'4'!H12+'5'!H12+'6'!H12+'7'!H12+'8'!H12+'9'!H12+'10'!H12+'11'!H12+'12'!H12+'13'!H12+'14'!H12+'15'!H12+'16'!H12+'17'!H12+'18'!H12+'19'!H12+'20'!H12+'21'!H12+'22'!H12+'23'!H12+'24'!H12+'25'!H12+'26'!H12+'27'!H12+'28'!H12+'29'!H12+'30'!H12+'31'!H12</f>
        <v>25</v>
      </c>
      <c r="I12" s="21">
        <v>50</v>
      </c>
      <c r="J12" s="47">
        <f>+'1'!J12+'2'!J12+'3'!J12+'4'!J12+'5'!J12+'6'!J12+'7'!J12+'8'!J12+'9'!J12+'10'!J12+'11'!J12+'12'!J12+'13'!J12+'14'!J12+'15'!J12+'16'!J12+'17'!J12+'18'!J12+'19'!J12+'20'!J12+'21'!J12+'22'!J12+'23'!J12+'24'!J12+'25'!J12+'26'!J12+'27'!J12+'28'!J12+'29'!J12+'30'!J12+'31'!J12</f>
        <v>1250</v>
      </c>
      <c r="K12" s="15"/>
      <c r="L12" s="49">
        <v>8</v>
      </c>
      <c r="M12" s="50">
        <f>+'8'!K208</f>
        <v>10740</v>
      </c>
      <c r="N12" s="50">
        <f>+'8'!K213</f>
        <v>610</v>
      </c>
      <c r="O12" s="50"/>
      <c r="P12" s="50">
        <f>+'8'!K209</f>
        <v>15</v>
      </c>
      <c r="Q12" s="50">
        <f>+'8'!K212</f>
        <v>0</v>
      </c>
      <c r="R12" s="50">
        <f>+'8'!K210</f>
        <v>2800</v>
      </c>
      <c r="S12" s="50">
        <f t="shared" si="0"/>
        <v>7315</v>
      </c>
      <c r="T12" s="50">
        <f>+'8'!K215</f>
        <v>7315</v>
      </c>
      <c r="U12" s="51">
        <f t="shared" si="2"/>
        <v>0</v>
      </c>
      <c r="V12" s="5"/>
    </row>
    <row r="13" spans="1:22">
      <c r="A13" s="10">
        <v>9</v>
      </c>
      <c r="B13" s="20" t="s">
        <v>25</v>
      </c>
      <c r="C13" s="46">
        <v>0</v>
      </c>
      <c r="D13" s="47">
        <f>+'1'!D13+'2'!D13+'3'!D13+'4'!D13+'5'!D13+'6'!D13+'7'!D13+'8'!D13+'9'!D13+'10'!D13+'11'!D13+'12'!D13+'13'!D13+'14'!D13+'15'!D13+'16'!D13+'17'!D13+'18'!D13+'19'!D13+'20'!D13+'21'!D13+'22'!D13+'23'!D13+'24'!D13+'25'!D13+'26'!D13+'27'!D13+'28'!D13+'29'!D13+'30'!D13+'31'!D13</f>
        <v>0</v>
      </c>
      <c r="E13" s="46">
        <f t="shared" si="1"/>
        <v>0</v>
      </c>
      <c r="F13" s="47">
        <f>+'1'!F13+'2'!F13+'3'!F13+'4'!F13+'5'!F13+'6'!F13+'7'!F13+'8'!F13+'9'!F13+'10'!F13+'11'!F13+'12'!F13+'13'!F13+'14'!F13+'15'!F13+'16'!F13+'17'!F13+'18'!F13+'19'!F13+'20'!F13+'21'!F13+'22'!F13+'23'!F13+'24'!F13+'25'!F13+'26'!F13+'27'!F13+'28'!F13+'29'!F13+'30'!F13+'31'!F13</f>
        <v>0</v>
      </c>
      <c r="G13" s="46">
        <v>0</v>
      </c>
      <c r="H13" s="47">
        <f>+'1'!H13+'2'!H13+'3'!H13+'4'!H13+'5'!H13+'6'!H13+'7'!H13+'8'!H13+'9'!H13+'10'!H13+'11'!H13+'12'!H13+'13'!H13+'14'!H13+'15'!H13+'16'!H13+'17'!H13+'18'!H13+'19'!H13+'20'!H13+'21'!H13+'22'!H13+'23'!H13+'24'!H13+'25'!H13+'26'!H13+'27'!H13+'28'!H13+'29'!H13+'30'!H13+'31'!H13</f>
        <v>0</v>
      </c>
      <c r="I13" s="21">
        <v>55</v>
      </c>
      <c r="J13" s="47">
        <f>+'1'!J13+'2'!J13+'3'!J13+'4'!J13+'5'!J13+'6'!J13+'7'!J13+'8'!J13+'9'!J13+'10'!J13+'11'!J13+'12'!J13+'13'!J13+'14'!J13+'15'!J13+'16'!J13+'17'!J13+'18'!J13+'19'!J13+'20'!J13+'21'!J13+'22'!J13+'23'!J13+'24'!J13+'25'!J13+'26'!J13+'27'!J13+'28'!J13+'29'!J13+'30'!J13+'31'!J13</f>
        <v>0</v>
      </c>
      <c r="K13" s="15"/>
      <c r="L13" s="49">
        <v>9</v>
      </c>
      <c r="M13" s="50">
        <f>+'9'!K208</f>
        <v>2895</v>
      </c>
      <c r="N13" s="50">
        <f>+'9'!K213</f>
        <v>0</v>
      </c>
      <c r="O13" s="50"/>
      <c r="P13" s="50">
        <f>+'9'!K209</f>
        <v>15</v>
      </c>
      <c r="Q13" s="50">
        <f>+'9'!K212</f>
        <v>0</v>
      </c>
      <c r="R13" s="50">
        <f>+'9'!K210</f>
        <v>1300</v>
      </c>
      <c r="S13" s="50">
        <f t="shared" si="0"/>
        <v>1580</v>
      </c>
      <c r="T13" s="50">
        <f>+'9'!K215</f>
        <v>1580</v>
      </c>
      <c r="U13" s="51">
        <f t="shared" si="2"/>
        <v>0</v>
      </c>
      <c r="V13" s="5"/>
    </row>
    <row r="14" spans="1:22">
      <c r="A14" s="10">
        <v>10</v>
      </c>
      <c r="B14" s="20" t="s">
        <v>26</v>
      </c>
      <c r="C14" s="46">
        <v>3</v>
      </c>
      <c r="D14" s="47">
        <f>+'1'!D14+'2'!D14+'3'!D14+'4'!D14+'5'!D14+'6'!D14+'7'!D14+'8'!D14+'9'!D14+'10'!D14+'11'!D14+'12'!D14+'13'!D14+'14'!D14+'15'!D14+'16'!D14+'17'!D14+'18'!D14+'19'!D14+'20'!D14+'21'!D14+'22'!D14+'23'!D14+'24'!D14+'25'!D14+'26'!D14+'27'!D14+'28'!D14+'29'!D14+'30'!D14+'31'!D14</f>
        <v>9</v>
      </c>
      <c r="E14" s="46">
        <f t="shared" si="1"/>
        <v>12</v>
      </c>
      <c r="F14" s="47">
        <f>+'1'!F14+'2'!F14+'3'!F14+'4'!F14+'5'!F14+'6'!F14+'7'!F14+'8'!F14+'9'!F14+'10'!F14+'11'!F14+'12'!F14+'13'!F14+'14'!F14+'15'!F14+'16'!F14+'17'!F14+'18'!F14+'19'!F14+'20'!F14+'21'!F14+'22'!F14+'23'!F14+'24'!F14+'25'!F14+'26'!F14+'27'!F14+'28'!F14+'29'!F14+'30'!F14+'31'!F14</f>
        <v>4</v>
      </c>
      <c r="G14" s="46">
        <v>0</v>
      </c>
      <c r="H14" s="47">
        <f>+'1'!H14+'2'!H14+'3'!H14+'4'!H14+'5'!H14+'6'!H14+'7'!H14+'8'!H14+'9'!H14+'10'!H14+'11'!H14+'12'!H14+'13'!H14+'14'!H14+'15'!H14+'16'!H14+'17'!H14+'18'!H14+'19'!H14+'20'!H14+'21'!H14+'22'!H14+'23'!H14+'24'!H14+'25'!H14+'26'!H14+'27'!H14+'28'!H14+'29'!H14+'30'!H14+'31'!H14</f>
        <v>7</v>
      </c>
      <c r="I14" s="21">
        <v>65</v>
      </c>
      <c r="J14" s="47">
        <f>+'1'!J14+'2'!J14+'3'!J14+'4'!J14+'5'!J14+'6'!J14+'7'!J14+'8'!J14+'9'!J14+'10'!J14+'11'!J14+'12'!J14+'13'!J14+'14'!J14+'15'!J14+'16'!J14+'17'!J14+'18'!J14+'19'!J14+'20'!J14+'21'!J14+'22'!J14+'23'!J14+'24'!J14+'25'!J14+'26'!J14+'27'!J14+'28'!J14+'29'!J14+'30'!J14+'31'!J14</f>
        <v>455</v>
      </c>
      <c r="K14" s="15"/>
      <c r="L14" s="49">
        <v>10</v>
      </c>
      <c r="M14" s="50">
        <f>+'10'!K208</f>
        <v>3425</v>
      </c>
      <c r="N14" s="50">
        <f>+'10'!K213</f>
        <v>0</v>
      </c>
      <c r="O14" s="50"/>
      <c r="P14" s="50">
        <f>+'10'!K209</f>
        <v>15</v>
      </c>
      <c r="Q14" s="50">
        <f>+'10'!K212</f>
        <v>0</v>
      </c>
      <c r="R14" s="50">
        <f>+'10'!K210</f>
        <v>760</v>
      </c>
      <c r="S14" s="50">
        <f t="shared" si="0"/>
        <v>2650</v>
      </c>
      <c r="T14" s="50">
        <f>+'10'!K215</f>
        <v>2650</v>
      </c>
      <c r="U14" s="51">
        <f t="shared" si="2"/>
        <v>0</v>
      </c>
      <c r="V14" s="5"/>
    </row>
    <row r="15" spans="1:22">
      <c r="A15" s="10">
        <v>11</v>
      </c>
      <c r="B15" s="11" t="s">
        <v>27</v>
      </c>
      <c r="C15" s="46">
        <v>11</v>
      </c>
      <c r="D15" s="47">
        <f>+'1'!D15+'2'!D15+'3'!D15+'4'!D15+'5'!D15+'6'!D15+'7'!D15+'8'!D15+'9'!D15+'10'!D15+'11'!D15+'12'!D15+'13'!D15+'14'!D15+'15'!D15+'16'!D15+'17'!D15+'18'!D15+'19'!D15+'20'!D15+'21'!D15+'22'!D15+'23'!D15+'24'!D15+'25'!D15+'26'!D15+'27'!D15+'28'!D15+'29'!D15+'30'!D15+'31'!D15</f>
        <v>20</v>
      </c>
      <c r="E15" s="46">
        <f t="shared" si="1"/>
        <v>31</v>
      </c>
      <c r="F15" s="47">
        <f>+'1'!F15+'2'!F15+'3'!F15+'4'!F15+'5'!F15+'6'!F15+'7'!F15+'8'!F15+'9'!F15+'10'!F15+'11'!F15+'12'!F15+'13'!F15+'14'!F15+'15'!F15+'16'!F15+'17'!F15+'18'!F15+'19'!F15+'20'!F15+'21'!F15+'22'!F15+'23'!F15+'24'!F15+'25'!F15+'26'!F15+'27'!F15+'28'!F15+'29'!F15+'30'!F15+'31'!F15</f>
        <v>2</v>
      </c>
      <c r="G15" s="46">
        <v>0</v>
      </c>
      <c r="H15" s="47">
        <f>+'1'!H15+'2'!H15+'3'!H15+'4'!H15+'5'!H15+'6'!H15+'7'!H15+'8'!H15+'9'!H15+'10'!H15+'11'!H15+'12'!H15+'13'!H15+'14'!H15+'15'!H15+'16'!H15+'17'!H15+'18'!H15+'19'!H15+'20'!H15+'21'!H15+'22'!H15+'23'!H15+'24'!H15+'25'!H15+'26'!H15+'27'!H15+'28'!H15+'29'!H15+'30'!H15+'31'!H15</f>
        <v>13</v>
      </c>
      <c r="I15" s="21">
        <v>50</v>
      </c>
      <c r="J15" s="47">
        <f>+'1'!J15+'2'!J15+'3'!J15+'4'!J15+'5'!J15+'6'!J15+'7'!J15+'8'!J15+'9'!J15+'10'!J15+'11'!J15+'12'!J15+'13'!J15+'14'!J15+'15'!J15+'16'!J15+'17'!J15+'18'!J15+'19'!J15+'20'!J15+'21'!J15+'22'!J15+'23'!J15+'24'!J15+'25'!J15+'26'!J15+'27'!J15+'28'!J15+'29'!J15+'30'!J15+'31'!J15</f>
        <v>650</v>
      </c>
      <c r="K15" s="15"/>
      <c r="L15" s="49">
        <v>11</v>
      </c>
      <c r="M15" s="50">
        <f>+'11'!K208</f>
        <v>4315</v>
      </c>
      <c r="N15" s="50">
        <f>+'11'!K213</f>
        <v>0</v>
      </c>
      <c r="O15" s="50"/>
      <c r="P15" s="50">
        <f>+'11'!K209</f>
        <v>15</v>
      </c>
      <c r="Q15" s="50">
        <f>+'11'!K212</f>
        <v>0</v>
      </c>
      <c r="R15" s="50">
        <f>+'11'!K210</f>
        <v>1600</v>
      </c>
      <c r="S15" s="50">
        <f t="shared" si="0"/>
        <v>2700</v>
      </c>
      <c r="T15" s="50">
        <f>+'11'!K215</f>
        <v>2700</v>
      </c>
      <c r="U15" s="51">
        <f t="shared" si="2"/>
        <v>0</v>
      </c>
      <c r="V15" s="5"/>
    </row>
    <row r="16" spans="1:22">
      <c r="A16" s="10">
        <v>12</v>
      </c>
      <c r="B16" s="11" t="s">
        <v>28</v>
      </c>
      <c r="C16" s="46">
        <v>0</v>
      </c>
      <c r="D16" s="47">
        <f>+'1'!D16+'2'!D16+'3'!D16+'4'!D16+'5'!D16+'6'!D16+'7'!D16+'8'!D16+'9'!D16+'10'!D16+'11'!D16+'12'!D16+'13'!D16+'14'!D16+'15'!D16+'16'!D16+'17'!D16+'18'!D16+'19'!D16+'20'!D16+'21'!D16+'22'!D16+'23'!D16+'24'!D16+'25'!D16+'26'!D16+'27'!D16+'28'!D16+'29'!D16+'30'!D16+'31'!D16</f>
        <v>0</v>
      </c>
      <c r="E16" s="46">
        <f t="shared" si="1"/>
        <v>0</v>
      </c>
      <c r="F16" s="47">
        <f>+'1'!F16+'2'!F16+'3'!F16+'4'!F16+'5'!F16+'6'!F16+'7'!F16+'8'!F16+'9'!F16+'10'!F16+'11'!F16+'12'!F16+'13'!F16+'14'!F16+'15'!F16+'16'!F16+'17'!F16+'18'!F16+'19'!F16+'20'!F16+'21'!F16+'22'!F16+'23'!F16+'24'!F16+'25'!F16+'26'!F16+'27'!F16+'28'!F16+'29'!F16+'30'!F16+'31'!F16</f>
        <v>0</v>
      </c>
      <c r="G16" s="46">
        <v>0</v>
      </c>
      <c r="H16" s="47">
        <f>+'1'!H16+'2'!H16+'3'!H16+'4'!H16+'5'!H16+'6'!H16+'7'!H16+'8'!H16+'9'!H16+'10'!H16+'11'!H16+'12'!H16+'13'!H16+'14'!H16+'15'!H16+'16'!H16+'17'!H16+'18'!H16+'19'!H16+'20'!H16+'21'!H16+'22'!H16+'23'!H16+'24'!H16+'25'!H16+'26'!H16+'27'!H16+'28'!H16+'29'!H16+'30'!H16+'31'!H16</f>
        <v>0</v>
      </c>
      <c r="I16" s="15">
        <v>50</v>
      </c>
      <c r="J16" s="47">
        <f>+'1'!J16+'2'!J16+'3'!J16+'4'!J16+'5'!J16+'6'!J16+'7'!J16+'8'!J16+'9'!J16+'10'!J16+'11'!J16+'12'!J16+'13'!J16+'14'!J16+'15'!J16+'16'!J16+'17'!J16+'18'!J16+'19'!J16+'20'!J16+'21'!J16+'22'!J16+'23'!J16+'24'!J16+'25'!J16+'26'!J16+'27'!J16+'28'!J16+'29'!J16+'30'!J16+'31'!J16</f>
        <v>0</v>
      </c>
      <c r="K16" s="15"/>
      <c r="L16" s="49">
        <v>12</v>
      </c>
      <c r="M16" s="50">
        <f>+'12'!K210</f>
        <v>2475</v>
      </c>
      <c r="N16" s="50">
        <f>+'12'!K215</f>
        <v>100</v>
      </c>
      <c r="O16" s="50"/>
      <c r="P16" s="50">
        <f>+'12'!K211</f>
        <v>15</v>
      </c>
      <c r="Q16" s="50">
        <f>+'12'!K214</f>
        <v>55</v>
      </c>
      <c r="R16" s="50">
        <f>+'12'!K212</f>
        <v>820</v>
      </c>
      <c r="S16" s="50">
        <f t="shared" si="0"/>
        <v>1485</v>
      </c>
      <c r="T16" s="50">
        <f>+'12'!K217</f>
        <v>1485</v>
      </c>
      <c r="U16" s="51">
        <f t="shared" si="2"/>
        <v>0</v>
      </c>
      <c r="V16" s="5"/>
    </row>
    <row r="17" spans="1:22">
      <c r="A17" s="10">
        <v>13</v>
      </c>
      <c r="B17" s="11" t="s">
        <v>29</v>
      </c>
      <c r="C17" s="46">
        <v>10</v>
      </c>
      <c r="D17" s="47">
        <f>+'1'!D17+'2'!D17+'3'!D17+'4'!D17+'5'!D17+'6'!D17+'7'!D17+'8'!D17+'9'!D17+'10'!D17+'11'!D17+'12'!D17+'13'!D17+'14'!D17+'15'!D17+'16'!D17+'17'!D17+'18'!D17+'19'!D17+'20'!D17+'21'!D17+'22'!D17+'23'!D17+'24'!D17+'25'!D17+'26'!D17+'27'!D17+'28'!D17+'29'!D17+'30'!D17+'31'!D17</f>
        <v>10</v>
      </c>
      <c r="E17" s="46">
        <f t="shared" si="1"/>
        <v>20</v>
      </c>
      <c r="F17" s="47">
        <f>+'1'!F17+'2'!F17+'3'!F17+'4'!F17+'5'!F17+'6'!F17+'7'!F17+'8'!F17+'9'!F17+'10'!F17+'11'!F17+'12'!F17+'13'!F17+'14'!F17+'15'!F17+'16'!F17+'17'!F17+'18'!F17+'19'!F17+'20'!F17+'21'!F17+'22'!F17+'23'!F17+'24'!F17+'25'!F17+'26'!F17+'27'!F17+'28'!F17+'29'!F17+'30'!F17+'31'!F17</f>
        <v>9</v>
      </c>
      <c r="G17" s="46">
        <v>0</v>
      </c>
      <c r="H17" s="47">
        <f>+'1'!H17+'2'!H17+'3'!H17+'4'!H17+'5'!H17+'6'!H17+'7'!H17+'8'!H17+'9'!H17+'10'!H17+'11'!H17+'12'!H17+'13'!H17+'14'!H17+'15'!H17+'16'!H17+'17'!H17+'18'!H17+'19'!H17+'20'!H17+'21'!H17+'22'!H17+'23'!H17+'24'!H17+'25'!H17+'26'!H17+'27'!H17+'28'!H17+'29'!H17+'30'!H17+'31'!H17</f>
        <v>23</v>
      </c>
      <c r="I17" s="15">
        <v>50</v>
      </c>
      <c r="J17" s="47">
        <f>+'1'!J17+'2'!J17+'3'!J17+'4'!J17+'5'!J17+'6'!J17+'7'!J17+'8'!J17+'9'!J17+'10'!J17+'11'!J17+'12'!J17+'13'!J17+'14'!J17+'15'!J17+'16'!J17+'17'!J17+'18'!J17+'19'!J17+'20'!J17+'21'!J17+'22'!J17+'23'!J17+'24'!J17+'25'!J17+'26'!J17+'27'!J17+'28'!J17+'29'!J17+'30'!J17+'31'!J17</f>
        <v>1150</v>
      </c>
      <c r="K17" s="15"/>
      <c r="L17" s="49">
        <v>13</v>
      </c>
      <c r="M17" s="50">
        <f>+'13'!K210</f>
        <v>3075</v>
      </c>
      <c r="N17" s="50">
        <f>+'13'!K215</f>
        <v>20</v>
      </c>
      <c r="O17" s="50"/>
      <c r="P17" s="50">
        <f>+'13'!K211</f>
        <v>15</v>
      </c>
      <c r="Q17" s="50">
        <f>+'13'!K214</f>
        <v>0</v>
      </c>
      <c r="R17" s="50">
        <f>+'13'!K212</f>
        <v>230</v>
      </c>
      <c r="S17" s="50">
        <f t="shared" si="0"/>
        <v>2810</v>
      </c>
      <c r="T17" s="50">
        <f>+'13'!K217</f>
        <v>2810</v>
      </c>
      <c r="U17" s="51">
        <f t="shared" si="2"/>
        <v>0</v>
      </c>
      <c r="V17" s="5"/>
    </row>
    <row r="18" spans="1:22">
      <c r="A18" s="10">
        <v>14</v>
      </c>
      <c r="B18" s="20" t="s">
        <v>30</v>
      </c>
      <c r="C18" s="46">
        <v>0</v>
      </c>
      <c r="D18" s="47">
        <f>+'1'!D18+'2'!D18+'3'!D18+'4'!D18+'5'!D18+'6'!D18+'7'!D18+'8'!D18+'9'!D18+'10'!D18+'11'!D18+'12'!D18+'13'!D18+'14'!D18+'15'!D18+'16'!D18+'17'!D18+'18'!D18+'19'!D18+'20'!D18+'21'!D18+'22'!D18+'23'!D18+'24'!D18+'25'!D18+'26'!D18+'27'!D18+'28'!D18+'29'!D18+'30'!D18+'31'!D18</f>
        <v>0</v>
      </c>
      <c r="E18" s="46">
        <f t="shared" si="1"/>
        <v>0</v>
      </c>
      <c r="F18" s="47">
        <f>+'1'!F18+'2'!F18+'3'!F18+'4'!F18+'5'!F18+'6'!F18+'7'!F18+'8'!F18+'9'!F18+'10'!F18+'11'!F18+'12'!F18+'13'!F18+'14'!F18+'15'!F18+'16'!F18+'17'!F18+'18'!F18+'19'!F18+'20'!F18+'21'!F18+'22'!F18+'23'!F18+'24'!F18+'25'!F18+'26'!F18+'27'!F18+'28'!F18+'29'!F18+'30'!F18+'31'!F18</f>
        <v>0</v>
      </c>
      <c r="G18" s="46">
        <v>0</v>
      </c>
      <c r="H18" s="47">
        <f>+'1'!H18+'2'!H18+'3'!H18+'4'!H18+'5'!H18+'6'!H18+'7'!H18+'8'!H18+'9'!H18+'10'!H18+'11'!H18+'12'!H18+'13'!H18+'14'!H18+'15'!H18+'16'!H18+'17'!H18+'18'!H18+'19'!H18+'20'!H18+'21'!H18+'22'!H18+'23'!H18+'24'!H18+'25'!H18+'26'!H18+'27'!H18+'28'!H18+'29'!H18+'30'!H18+'31'!H18</f>
        <v>0</v>
      </c>
      <c r="I18" s="21">
        <v>50</v>
      </c>
      <c r="J18" s="47">
        <f>+'1'!J18+'2'!J18+'3'!J18+'4'!J18+'5'!J18+'6'!J18+'7'!J18+'8'!J18+'9'!J18+'10'!J18+'11'!J18+'12'!J18+'13'!J18+'14'!J18+'15'!J18+'16'!J18+'17'!J18+'18'!J18+'19'!J18+'20'!J18+'21'!J18+'22'!J18+'23'!J18+'24'!J18+'25'!J18+'26'!J18+'27'!J18+'28'!J18+'29'!J18+'30'!J18+'31'!J18</f>
        <v>0</v>
      </c>
      <c r="K18" s="15"/>
      <c r="L18" s="49">
        <v>14</v>
      </c>
      <c r="M18" s="50">
        <f>+'14'!K210</f>
        <v>7480</v>
      </c>
      <c r="N18" s="50">
        <f>+'14'!K215</f>
        <v>300</v>
      </c>
      <c r="O18" s="50"/>
      <c r="P18" s="50">
        <f>+'14'!K211</f>
        <v>15</v>
      </c>
      <c r="Q18" s="50">
        <f>+'14'!K214</f>
        <v>79</v>
      </c>
      <c r="R18" s="50">
        <f>+'14'!K212</f>
        <v>500</v>
      </c>
      <c r="S18" s="50">
        <f t="shared" si="0"/>
        <v>6586</v>
      </c>
      <c r="T18" s="50">
        <f>+'14'!K217</f>
        <v>6586</v>
      </c>
      <c r="U18" s="51">
        <f t="shared" si="2"/>
        <v>0</v>
      </c>
      <c r="V18" s="5"/>
    </row>
    <row r="19" spans="1:22">
      <c r="A19" s="10">
        <v>15</v>
      </c>
      <c r="B19" s="11" t="s">
        <v>31</v>
      </c>
      <c r="C19" s="46">
        <v>16</v>
      </c>
      <c r="D19" s="47">
        <f>+'1'!D19+'2'!D19+'3'!D19+'4'!D19+'5'!D19+'6'!D19+'7'!D19+'8'!D19+'9'!D19+'10'!D19+'11'!D19+'12'!D19+'13'!D19+'14'!D19+'15'!D19+'16'!D19+'17'!D19+'18'!D19+'19'!D19+'20'!D19+'21'!D19+'22'!D19+'23'!D19+'24'!D19+'25'!D19+'26'!D19+'27'!D19+'28'!D19+'29'!D19+'30'!D19+'31'!D19</f>
        <v>15</v>
      </c>
      <c r="E19" s="46">
        <f t="shared" si="1"/>
        <v>31</v>
      </c>
      <c r="F19" s="47">
        <f>+'1'!F19+'2'!F19+'3'!F19+'4'!F19+'5'!F19+'6'!F19+'7'!F19+'8'!F19+'9'!F19+'10'!F19+'11'!F19+'12'!F19+'13'!F19+'14'!F19+'15'!F19+'16'!F19+'17'!F19+'18'!F19+'19'!F19+'20'!F19+'21'!F19+'22'!F19+'23'!F19+'24'!F19+'25'!F19+'26'!F19+'27'!F19+'28'!F19+'29'!F19+'30'!F19+'31'!F19</f>
        <v>8</v>
      </c>
      <c r="G19" s="46">
        <v>0</v>
      </c>
      <c r="H19" s="47">
        <f>+'1'!H19+'2'!H19+'3'!H19+'4'!H19+'5'!H19+'6'!H19+'7'!H19+'8'!H19+'9'!H19+'10'!H19+'11'!H19+'12'!H19+'13'!H19+'14'!H19+'15'!H19+'16'!H19+'17'!H19+'18'!H19+'19'!H19+'20'!H19+'21'!H19+'22'!H19+'23'!H19+'24'!H19+'25'!H19+'26'!H19+'27'!H19+'28'!H19+'29'!H19+'30'!H19+'31'!H19</f>
        <v>16</v>
      </c>
      <c r="I19" s="15">
        <v>50</v>
      </c>
      <c r="J19" s="47">
        <f>+'1'!J19+'2'!J19+'3'!J19+'4'!J19+'5'!J19+'6'!J19+'7'!J19+'8'!J19+'9'!J19+'10'!J19+'11'!J19+'12'!J19+'13'!J19+'14'!J19+'15'!J19+'16'!J19+'17'!J19+'18'!J19+'19'!J19+'20'!J19+'21'!J19+'22'!J19+'23'!J19+'24'!J19+'25'!J19+'26'!J19+'27'!J19+'28'!J19+'29'!J19+'30'!J19+'31'!J19</f>
        <v>800</v>
      </c>
      <c r="K19" s="15"/>
      <c r="L19" s="49">
        <v>15</v>
      </c>
      <c r="M19" s="50">
        <f>+'15'!K210</f>
        <v>1755</v>
      </c>
      <c r="N19" s="50">
        <f>+'15'!K215</f>
        <v>0</v>
      </c>
      <c r="O19" s="50"/>
      <c r="P19" s="50">
        <f>+'15'!K211</f>
        <v>15</v>
      </c>
      <c r="Q19" s="50">
        <f>+'15'!K214</f>
        <v>100</v>
      </c>
      <c r="R19" s="50">
        <f>+'15'!K212</f>
        <v>270</v>
      </c>
      <c r="S19" s="50">
        <f t="shared" si="0"/>
        <v>1370</v>
      </c>
      <c r="T19" s="50">
        <f>+'15'!K217</f>
        <v>1370</v>
      </c>
      <c r="U19" s="51">
        <f t="shared" si="2"/>
        <v>0</v>
      </c>
      <c r="V19" s="5"/>
    </row>
    <row r="20" spans="1:22">
      <c r="A20" s="10">
        <v>16</v>
      </c>
      <c r="B20" s="11" t="s">
        <v>32</v>
      </c>
      <c r="C20" s="46">
        <v>0</v>
      </c>
      <c r="D20" s="47">
        <f>+'1'!D20+'2'!D20+'3'!D20+'4'!D20+'5'!D20+'6'!D20+'7'!D20+'8'!D20+'9'!D20+'10'!D20+'11'!D20+'12'!D20+'13'!D20+'14'!D20+'15'!D20+'16'!D20+'17'!D20+'18'!D20+'19'!D20+'20'!D20+'21'!D20+'22'!D20+'23'!D20+'24'!D20+'25'!D20+'26'!D20+'27'!D20+'28'!D20+'29'!D20+'30'!D20+'31'!D20</f>
        <v>0</v>
      </c>
      <c r="E20" s="46">
        <f t="shared" si="1"/>
        <v>0</v>
      </c>
      <c r="F20" s="47">
        <f>+'1'!F20+'2'!F20+'3'!F20+'4'!F20+'5'!F20+'6'!F20+'7'!F20+'8'!F20+'9'!F20+'10'!F20+'11'!F20+'12'!F20+'13'!F20+'14'!F20+'15'!F20+'16'!F20+'17'!F20+'18'!F20+'19'!F20+'20'!F20+'21'!F20+'22'!F20+'23'!F20+'24'!F20+'25'!F20+'26'!F20+'27'!F20+'28'!F20+'29'!F20+'30'!F20+'31'!F20</f>
        <v>0</v>
      </c>
      <c r="G20" s="46">
        <v>0</v>
      </c>
      <c r="H20" s="47">
        <f>+'1'!H20+'2'!H20+'3'!H20+'4'!H20+'5'!H20+'6'!H20+'7'!H20+'8'!H20+'9'!H20+'10'!H20+'11'!H20+'12'!H20+'13'!H20+'14'!H20+'15'!H20+'16'!H20+'17'!H20+'18'!H20+'19'!H20+'20'!H20+'21'!H20+'22'!H20+'23'!H20+'24'!H20+'25'!H20+'26'!H20+'27'!H20+'28'!H20+'29'!H20+'30'!H20+'31'!H20</f>
        <v>0</v>
      </c>
      <c r="I20" s="15">
        <v>50</v>
      </c>
      <c r="J20" s="47">
        <f>+'1'!J20+'2'!J20+'3'!J20+'4'!J20+'5'!J20+'6'!J20+'7'!J20+'8'!J20+'9'!J20+'10'!J20+'11'!J20+'12'!J20+'13'!J20+'14'!J20+'15'!J20+'16'!J20+'17'!J20+'18'!J20+'19'!J20+'20'!J20+'21'!J20+'22'!J20+'23'!J20+'24'!J20+'25'!J20+'26'!J20+'27'!J20+'28'!J20+'29'!J20+'30'!J20+'31'!J20</f>
        <v>0</v>
      </c>
      <c r="K20" s="15"/>
      <c r="L20" s="49">
        <v>16</v>
      </c>
      <c r="M20" s="50">
        <f>+'16'!K207</f>
        <v>0</v>
      </c>
      <c r="N20" s="50">
        <f>+'16'!K212</f>
        <v>0</v>
      </c>
      <c r="O20" s="50"/>
      <c r="P20" s="50">
        <f>+'16'!K208</f>
        <v>0</v>
      </c>
      <c r="Q20" s="50">
        <f>+'16'!K211</f>
        <v>0</v>
      </c>
      <c r="R20" s="50">
        <f>+'16'!K209</f>
        <v>0</v>
      </c>
      <c r="S20" s="50">
        <f t="shared" si="0"/>
        <v>0</v>
      </c>
      <c r="T20" s="50">
        <f>+'16'!K214</f>
        <v>0</v>
      </c>
      <c r="U20" s="51">
        <f t="shared" si="2"/>
        <v>0</v>
      </c>
      <c r="V20" s="5"/>
    </row>
    <row r="21" spans="1:22">
      <c r="A21" s="10">
        <v>17</v>
      </c>
      <c r="B21" s="11" t="s">
        <v>33</v>
      </c>
      <c r="C21" s="46">
        <v>0</v>
      </c>
      <c r="D21" s="47">
        <f>+'1'!D21+'2'!D21+'3'!D21+'4'!D21+'5'!D21+'6'!D21+'7'!D21+'8'!D21+'9'!D21+'10'!D21+'11'!D21+'12'!D21+'13'!D21+'14'!D21+'15'!D21+'16'!D21+'17'!D21+'18'!D21+'19'!D21+'20'!D21+'21'!D21+'22'!D21+'23'!D21+'24'!D21+'25'!D21+'26'!D21+'27'!D21+'28'!D21+'29'!D21+'30'!D21+'31'!D21</f>
        <v>0</v>
      </c>
      <c r="E21" s="46">
        <f t="shared" si="1"/>
        <v>0</v>
      </c>
      <c r="F21" s="47">
        <f>+'1'!F21+'2'!F21+'3'!F21+'4'!F21+'5'!F21+'6'!F21+'7'!F21+'8'!F21+'9'!F21+'10'!F21+'11'!F21+'12'!F21+'13'!F21+'14'!F21+'15'!F21+'16'!F21+'17'!F21+'18'!F21+'19'!F21+'20'!F21+'21'!F21+'22'!F21+'23'!F21+'24'!F21+'25'!F21+'26'!F21+'27'!F21+'28'!F21+'29'!F21+'30'!F21+'31'!F21</f>
        <v>0</v>
      </c>
      <c r="G21" s="46">
        <v>0</v>
      </c>
      <c r="H21" s="47">
        <f>+'1'!H21+'2'!H21+'3'!H21+'4'!H21+'5'!H21+'6'!H21+'7'!H21+'8'!H21+'9'!H21+'10'!H21+'11'!H21+'12'!H21+'13'!H21+'14'!H21+'15'!H21+'16'!H21+'17'!H21+'18'!H21+'19'!H21+'20'!H21+'21'!H21+'22'!H21+'23'!H21+'24'!H21+'25'!H21+'26'!H21+'27'!H21+'28'!H21+'29'!H21+'30'!H21+'31'!H21</f>
        <v>0</v>
      </c>
      <c r="I21" s="15">
        <v>50</v>
      </c>
      <c r="J21" s="47">
        <f>+'1'!J21+'2'!J21+'3'!J21+'4'!J21+'5'!J21+'6'!J21+'7'!J21+'8'!J21+'9'!J21+'10'!J21+'11'!J21+'12'!J21+'13'!J21+'14'!J21+'15'!J21+'16'!J21+'17'!J21+'18'!J21+'19'!J21+'20'!J21+'21'!J21+'22'!J21+'23'!J21+'24'!J21+'25'!J21+'26'!J21+'27'!J21+'28'!J21+'29'!J21+'30'!J21+'31'!J21</f>
        <v>0</v>
      </c>
      <c r="K21" s="15"/>
      <c r="L21" s="49">
        <v>17</v>
      </c>
      <c r="M21" s="50">
        <f>+'17'!K207</f>
        <v>0</v>
      </c>
      <c r="N21" s="50">
        <f>+'17'!K212</f>
        <v>0</v>
      </c>
      <c r="O21" s="50"/>
      <c r="P21" s="50">
        <f>+'17'!K208</f>
        <v>0</v>
      </c>
      <c r="Q21" s="50">
        <f>+'17'!K211</f>
        <v>0</v>
      </c>
      <c r="R21" s="50">
        <f>+'17'!K209</f>
        <v>0</v>
      </c>
      <c r="S21" s="50">
        <f t="shared" si="0"/>
        <v>0</v>
      </c>
      <c r="T21" s="50">
        <f>+'17'!K214</f>
        <v>0</v>
      </c>
      <c r="U21" s="51">
        <f t="shared" si="2"/>
        <v>0</v>
      </c>
      <c r="V21" s="5"/>
    </row>
    <row r="22" spans="1:22">
      <c r="A22" s="10">
        <v>18</v>
      </c>
      <c r="B22" s="11" t="s">
        <v>34</v>
      </c>
      <c r="C22" s="46">
        <v>0</v>
      </c>
      <c r="D22" s="47">
        <f>+'1'!D22+'2'!D22+'3'!D22+'4'!D22+'5'!D22+'6'!D22+'7'!D22+'8'!D22+'9'!D22+'10'!D22+'11'!D22+'12'!D22+'13'!D22+'14'!D22+'15'!D22+'16'!D22+'17'!D22+'18'!D22+'19'!D22+'20'!D22+'21'!D22+'22'!D22+'23'!D22+'24'!D22+'25'!D22+'26'!D22+'27'!D22+'28'!D22+'29'!D22+'30'!D22+'31'!D22</f>
        <v>6</v>
      </c>
      <c r="E22" s="46">
        <f t="shared" si="1"/>
        <v>6</v>
      </c>
      <c r="F22" s="47">
        <f>+'1'!F22+'2'!F22+'3'!F22+'4'!F22+'5'!F22+'6'!F22+'7'!F22+'8'!F22+'9'!F22+'10'!F22+'11'!F22+'12'!F22+'13'!F22+'14'!F22+'15'!F22+'16'!F22+'17'!F22+'18'!F22+'19'!F22+'20'!F22+'21'!F22+'22'!F22+'23'!F22+'24'!F22+'25'!F22+'26'!F22+'27'!F22+'28'!F22+'29'!F22+'30'!F22+'31'!F22</f>
        <v>5</v>
      </c>
      <c r="G22" s="46">
        <v>0</v>
      </c>
      <c r="H22" s="47">
        <f>+'1'!H22+'2'!H22+'3'!H22+'4'!H22+'5'!H22+'6'!H22+'7'!H22+'8'!H22+'9'!H22+'10'!H22+'11'!H22+'12'!H22+'13'!H22+'14'!H22+'15'!H22+'16'!H22+'17'!H22+'18'!H22+'19'!H22+'20'!H22+'21'!H22+'22'!H22+'23'!H22+'24'!H22+'25'!H22+'26'!H22+'27'!H22+'28'!H22+'29'!H22+'30'!H22+'31'!H22</f>
        <v>1</v>
      </c>
      <c r="I22" s="15">
        <v>85</v>
      </c>
      <c r="J22" s="47">
        <f>+'1'!J22+'2'!J22+'3'!J22+'4'!J22+'5'!J22+'6'!J22+'7'!J22+'8'!J22+'9'!J22+'10'!J22+'11'!J22+'12'!J22+'13'!J22+'14'!J22+'15'!J22+'16'!J22+'17'!J22+'18'!J22+'19'!J22+'20'!J22+'21'!J22+'22'!J22+'23'!J22+'24'!J22+'25'!J22+'26'!J22+'27'!J22+'28'!J22+'29'!J22+'30'!J22+'31'!J22</f>
        <v>85</v>
      </c>
      <c r="K22" s="15"/>
      <c r="L22" s="49">
        <v>18</v>
      </c>
      <c r="M22" s="50">
        <f>+'18'!K207</f>
        <v>0</v>
      </c>
      <c r="N22" s="50">
        <f>+'18'!K212</f>
        <v>0</v>
      </c>
      <c r="O22" s="50"/>
      <c r="P22" s="50">
        <f>+'18'!K208</f>
        <v>0</v>
      </c>
      <c r="Q22" s="50">
        <f>+'18'!K211</f>
        <v>0</v>
      </c>
      <c r="R22" s="50">
        <f>+'18'!K209</f>
        <v>0</v>
      </c>
      <c r="S22" s="50">
        <f t="shared" si="0"/>
        <v>0</v>
      </c>
      <c r="T22" s="50">
        <f>+'18'!K214</f>
        <v>0</v>
      </c>
      <c r="U22" s="51">
        <f t="shared" si="2"/>
        <v>0</v>
      </c>
      <c r="V22" s="5"/>
    </row>
    <row r="23" spans="1:22">
      <c r="A23" s="10">
        <v>19</v>
      </c>
      <c r="B23" s="11" t="s">
        <v>35</v>
      </c>
      <c r="C23" s="46">
        <v>85</v>
      </c>
      <c r="D23" s="47">
        <f>+'1'!D23+'2'!D23+'3'!D23+'4'!D23+'5'!D23+'6'!D23+'7'!D23+'8'!D23+'9'!D23+'10'!D23+'11'!D23+'12'!D23+'13'!D23+'14'!D23+'15'!D23+'16'!D23+'17'!D23+'18'!D23+'19'!D23+'20'!D23+'21'!D23+'22'!D23+'23'!D23+'24'!D23+'25'!D23+'26'!D23+'27'!D23+'28'!D23+'29'!D23+'30'!D23+'31'!D23</f>
        <v>40</v>
      </c>
      <c r="E23" s="46">
        <f t="shared" si="1"/>
        <v>125</v>
      </c>
      <c r="F23" s="47">
        <f>+'1'!F23+'2'!F23+'3'!F23+'4'!F23+'5'!F23+'6'!F23+'7'!F23+'8'!F23+'9'!F23+'10'!F23+'11'!F23+'12'!F23+'13'!F23+'14'!F23+'15'!F23+'16'!F23+'17'!F23+'18'!F23+'19'!F23+'20'!F23+'21'!F23+'22'!F23+'23'!F23+'24'!F23+'25'!F23+'26'!F23+'27'!F23+'28'!F23+'29'!F23+'30'!F23+'31'!F23</f>
        <v>10</v>
      </c>
      <c r="G23" s="46">
        <v>0</v>
      </c>
      <c r="H23" s="47">
        <f>+'1'!H23+'2'!H23+'3'!H23+'4'!H23+'5'!H23+'6'!H23+'7'!H23+'8'!H23+'9'!H23+'10'!H23+'11'!H23+'12'!H23+'13'!H23+'14'!H23+'15'!H23+'16'!H23+'17'!H23+'18'!H23+'19'!H23+'20'!H23+'21'!H23+'22'!H23+'23'!H23+'24'!H23+'25'!H23+'26'!H23+'27'!H23+'28'!H23+'29'!H23+'30'!H23+'31'!H23</f>
        <v>67</v>
      </c>
      <c r="I23" s="15">
        <v>100</v>
      </c>
      <c r="J23" s="47">
        <f>+'1'!J23+'2'!J23+'3'!J23+'4'!J23+'5'!J23+'6'!J23+'7'!J23+'8'!J23+'9'!J23+'10'!J23+'11'!J23+'12'!J23+'13'!J23+'14'!J23+'15'!J23+'16'!J23+'17'!J23+'18'!J23+'19'!J23+'20'!J23+'21'!J23+'22'!J23+'23'!J23+'24'!J23+'25'!J23+'26'!J23+'27'!J23+'28'!J23+'29'!J23+'30'!J23+'31'!J23</f>
        <v>6700</v>
      </c>
      <c r="K23" s="15"/>
      <c r="L23" s="49">
        <v>19</v>
      </c>
      <c r="M23" s="50">
        <f>+'19'!K207</f>
        <v>0</v>
      </c>
      <c r="N23" s="50">
        <f>+'19'!K212</f>
        <v>0</v>
      </c>
      <c r="O23" s="50"/>
      <c r="P23" s="50">
        <f>+'19'!K208</f>
        <v>0</v>
      </c>
      <c r="Q23" s="50">
        <f>+'19'!K211</f>
        <v>0</v>
      </c>
      <c r="R23" s="50">
        <f>+'19'!K209</f>
        <v>0</v>
      </c>
      <c r="S23" s="50">
        <f t="shared" si="0"/>
        <v>0</v>
      </c>
      <c r="T23" s="50">
        <f>+'19'!K214</f>
        <v>0</v>
      </c>
      <c r="U23" s="51">
        <f t="shared" si="2"/>
        <v>0</v>
      </c>
      <c r="V23" s="5"/>
    </row>
    <row r="24" spans="1:22">
      <c r="A24" s="10">
        <v>20</v>
      </c>
      <c r="B24" s="11" t="s">
        <v>36</v>
      </c>
      <c r="C24" s="46">
        <v>12</v>
      </c>
      <c r="D24" s="47">
        <f>+'1'!D24+'2'!D24+'3'!D24+'4'!D24+'5'!D24+'6'!D24+'7'!D24+'8'!D24+'9'!D24+'10'!D24+'11'!D24+'12'!D24+'13'!D24+'14'!D24+'15'!D24+'16'!D24+'17'!D24+'18'!D24+'19'!D24+'20'!D24+'21'!D24+'22'!D24+'23'!D24+'24'!D24+'25'!D24+'26'!D24+'27'!D24+'28'!D24+'29'!D24+'30'!D24+'31'!D24</f>
        <v>15</v>
      </c>
      <c r="E24" s="46">
        <f t="shared" si="1"/>
        <v>27</v>
      </c>
      <c r="F24" s="47">
        <f>+'1'!F24+'2'!F24+'3'!F24+'4'!F24+'5'!F24+'6'!F24+'7'!F24+'8'!F24+'9'!F24+'10'!F24+'11'!F24+'12'!F24+'13'!F24+'14'!F24+'15'!F24+'16'!F24+'17'!F24+'18'!F24+'19'!F24+'20'!F24+'21'!F24+'22'!F24+'23'!F24+'24'!F24+'25'!F24+'26'!F24+'27'!F24+'28'!F24+'29'!F24+'30'!F24+'31'!F24</f>
        <v>10</v>
      </c>
      <c r="G24" s="46">
        <v>0</v>
      </c>
      <c r="H24" s="47">
        <f>+'1'!H24+'2'!H24+'3'!H24+'4'!H24+'5'!H24+'6'!H24+'7'!H24+'8'!H24+'9'!H24+'10'!H24+'11'!H24+'12'!H24+'13'!H24+'14'!H24+'15'!H24+'16'!H24+'17'!H24+'18'!H24+'19'!H24+'20'!H24+'21'!H24+'22'!H24+'23'!H24+'24'!H24+'25'!H24+'26'!H24+'27'!H24+'28'!H24+'29'!H24+'30'!H24+'31'!H24</f>
        <v>22</v>
      </c>
      <c r="I24" s="19">
        <v>100</v>
      </c>
      <c r="J24" s="47">
        <f>+'1'!J24+'2'!J24+'3'!J24+'4'!J24+'5'!J24+'6'!J24+'7'!J24+'8'!J24+'9'!J24+'10'!J24+'11'!J24+'12'!J24+'13'!J24+'14'!J24+'15'!J24+'16'!J24+'17'!J24+'18'!J24+'19'!J24+'20'!J24+'21'!J24+'22'!J24+'23'!J24+'24'!J24+'25'!J24+'26'!J24+'27'!J24+'28'!J24+'29'!J24+'30'!J24+'31'!J24</f>
        <v>2200</v>
      </c>
      <c r="K24" s="15"/>
      <c r="L24" s="49">
        <v>20</v>
      </c>
      <c r="M24" s="50">
        <f>+'20'!K207</f>
        <v>0</v>
      </c>
      <c r="N24" s="50">
        <f>+'20'!K212</f>
        <v>0</v>
      </c>
      <c r="O24" s="50"/>
      <c r="P24" s="50">
        <f>+'20'!K208</f>
        <v>0</v>
      </c>
      <c r="Q24" s="50">
        <f>+'20'!K211</f>
        <v>0</v>
      </c>
      <c r="R24" s="50">
        <f>+'20'!K209</f>
        <v>0</v>
      </c>
      <c r="S24" s="50">
        <f t="shared" si="0"/>
        <v>0</v>
      </c>
      <c r="T24" s="50">
        <f>+'20'!K214</f>
        <v>0</v>
      </c>
      <c r="U24" s="51">
        <f t="shared" si="2"/>
        <v>0</v>
      </c>
      <c r="V24" s="5"/>
    </row>
    <row r="25" spans="1:22">
      <c r="A25" s="10">
        <v>21</v>
      </c>
      <c r="B25" s="11" t="s">
        <v>37</v>
      </c>
      <c r="C25" s="46">
        <v>0</v>
      </c>
      <c r="D25" s="47">
        <f>+'1'!D25+'2'!D25+'3'!D25+'4'!D25+'5'!D25+'6'!D25+'7'!D25+'8'!D25+'9'!D25+'10'!D25+'11'!D25+'12'!D25+'13'!D25+'14'!D25+'15'!D25+'16'!D25+'17'!D25+'18'!D25+'19'!D25+'20'!D25+'21'!D25+'22'!D25+'23'!D25+'24'!D25+'25'!D25+'26'!D25+'27'!D25+'28'!D25+'29'!D25+'30'!D25+'31'!D25</f>
        <v>0</v>
      </c>
      <c r="E25" s="46">
        <f t="shared" si="1"/>
        <v>0</v>
      </c>
      <c r="F25" s="47">
        <f>+'1'!F25+'2'!F25+'3'!F25+'4'!F25+'5'!F25+'6'!F25+'7'!F25+'8'!F25+'9'!F25+'10'!F25+'11'!F25+'12'!F25+'13'!F25+'14'!F25+'15'!F25+'16'!F25+'17'!F25+'18'!F25+'19'!F25+'20'!F25+'21'!F25+'22'!F25+'23'!F25+'24'!F25+'25'!F25+'26'!F25+'27'!F25+'28'!F25+'29'!F25+'30'!F25+'31'!F25</f>
        <v>0</v>
      </c>
      <c r="G25" s="46">
        <v>0</v>
      </c>
      <c r="H25" s="47">
        <f>+'1'!H25+'2'!H25+'3'!H25+'4'!H25+'5'!H25+'6'!H25+'7'!H25+'8'!H25+'9'!H25+'10'!H25+'11'!H25+'12'!H25+'13'!H25+'14'!H25+'15'!H25+'16'!H25+'17'!H25+'18'!H25+'19'!H25+'20'!H25+'21'!H25+'22'!H25+'23'!H25+'24'!H25+'25'!H25+'26'!H25+'27'!H25+'28'!H25+'29'!H25+'30'!H25+'31'!H25</f>
        <v>0</v>
      </c>
      <c r="I25" s="19">
        <v>100</v>
      </c>
      <c r="J25" s="47">
        <f>+'1'!J25+'2'!J25+'3'!J25+'4'!J25+'5'!J25+'6'!J25+'7'!J25+'8'!J25+'9'!J25+'10'!J25+'11'!J25+'12'!J25+'13'!J25+'14'!J25+'15'!J25+'16'!J25+'17'!J25+'18'!J25+'19'!J25+'20'!J25+'21'!J25+'22'!J25+'23'!J25+'24'!J25+'25'!J25+'26'!J25+'27'!J25+'28'!J25+'29'!J25+'30'!J25+'31'!J25</f>
        <v>0</v>
      </c>
      <c r="K25" s="15"/>
      <c r="L25" s="49">
        <v>21</v>
      </c>
      <c r="M25" s="50">
        <f>+'21'!K207</f>
        <v>0</v>
      </c>
      <c r="N25" s="50">
        <f>+'21'!K212</f>
        <v>0</v>
      </c>
      <c r="O25" s="50"/>
      <c r="P25" s="50">
        <f>+'21'!K208</f>
        <v>0</v>
      </c>
      <c r="Q25" s="50">
        <f>+'21'!K211</f>
        <v>0</v>
      </c>
      <c r="R25" s="50">
        <f>+'21'!K209</f>
        <v>0</v>
      </c>
      <c r="S25" s="50">
        <f t="shared" si="0"/>
        <v>0</v>
      </c>
      <c r="T25" s="50">
        <f>+'21'!K214</f>
        <v>0</v>
      </c>
      <c r="U25" s="51">
        <f t="shared" si="2"/>
        <v>0</v>
      </c>
      <c r="V25" s="5"/>
    </row>
    <row r="26" spans="1:22">
      <c r="A26" s="10">
        <v>22</v>
      </c>
      <c r="B26" s="11" t="s">
        <v>38</v>
      </c>
      <c r="C26" s="46">
        <v>0</v>
      </c>
      <c r="D26" s="47">
        <f>+'1'!D26+'2'!D26+'3'!D26+'4'!D26+'5'!D26+'6'!D26+'7'!D26+'8'!D26+'9'!D26+'10'!D26+'11'!D26+'12'!D26+'13'!D26+'14'!D26+'15'!D26+'16'!D26+'17'!D26+'18'!D26+'19'!D26+'20'!D26+'21'!D26+'22'!D26+'23'!D26+'24'!D26+'25'!D26+'26'!D26+'27'!D26+'28'!D26+'29'!D26+'30'!D26+'31'!D26</f>
        <v>0</v>
      </c>
      <c r="E26" s="46">
        <f t="shared" si="1"/>
        <v>0</v>
      </c>
      <c r="F26" s="47">
        <f>+'1'!F26+'2'!F26+'3'!F26+'4'!F26+'5'!F26+'6'!F26+'7'!F26+'8'!F26+'9'!F26+'10'!F26+'11'!F26+'12'!F26+'13'!F26+'14'!F26+'15'!F26+'16'!F26+'17'!F26+'18'!F26+'19'!F26+'20'!F26+'21'!F26+'22'!F26+'23'!F26+'24'!F26+'25'!F26+'26'!F26+'27'!F26+'28'!F26+'29'!F26+'30'!F26+'31'!F26</f>
        <v>0</v>
      </c>
      <c r="G26" s="46">
        <v>0</v>
      </c>
      <c r="H26" s="47">
        <f>+'1'!H26+'2'!H26+'3'!H26+'4'!H26+'5'!H26+'6'!H26+'7'!H26+'8'!H26+'9'!H26+'10'!H26+'11'!H26+'12'!H26+'13'!H26+'14'!H26+'15'!H26+'16'!H26+'17'!H26+'18'!H26+'19'!H26+'20'!H26+'21'!H26+'22'!H26+'23'!H26+'24'!H26+'25'!H26+'26'!H26+'27'!H26+'28'!H26+'29'!H26+'30'!H26+'31'!H26</f>
        <v>0</v>
      </c>
      <c r="I26" s="19">
        <v>100</v>
      </c>
      <c r="J26" s="47">
        <f>+'1'!J26+'2'!J26+'3'!J26+'4'!J26+'5'!J26+'6'!J26+'7'!J26+'8'!J26+'9'!J26+'10'!J26+'11'!J26+'12'!J26+'13'!J26+'14'!J26+'15'!J26+'16'!J26+'17'!J26+'18'!J26+'19'!J26+'20'!J26+'21'!J26+'22'!J26+'23'!J26+'24'!J26+'25'!J26+'26'!J26+'27'!J26+'28'!J26+'29'!J26+'30'!J26+'31'!J26</f>
        <v>0</v>
      </c>
      <c r="K26" s="15"/>
      <c r="L26" s="49">
        <v>22</v>
      </c>
      <c r="M26" s="50">
        <f>+'22'!K207</f>
        <v>0</v>
      </c>
      <c r="N26" s="50">
        <f>+'22'!K212</f>
        <v>0</v>
      </c>
      <c r="O26" s="50"/>
      <c r="P26" s="50">
        <f>+'22'!K208</f>
        <v>0</v>
      </c>
      <c r="Q26" s="50">
        <f>+'22'!K211</f>
        <v>0</v>
      </c>
      <c r="R26" s="50">
        <f>+'22'!K209</f>
        <v>0</v>
      </c>
      <c r="S26" s="50">
        <f t="shared" si="0"/>
        <v>0</v>
      </c>
      <c r="T26" s="50">
        <f>+'22'!K214</f>
        <v>0</v>
      </c>
      <c r="U26" s="51">
        <f t="shared" si="2"/>
        <v>0</v>
      </c>
      <c r="V26" s="5"/>
    </row>
    <row r="27" spans="1:22">
      <c r="A27" s="10">
        <v>23</v>
      </c>
      <c r="B27" s="20" t="s">
        <v>39</v>
      </c>
      <c r="C27" s="46">
        <v>0</v>
      </c>
      <c r="D27" s="47">
        <f>+'1'!D27+'2'!D27+'3'!D27+'4'!D27+'5'!D27+'6'!D27+'7'!D27+'8'!D27+'9'!D27+'10'!D27+'11'!D27+'12'!D27+'13'!D27+'14'!D27+'15'!D27+'16'!D27+'17'!D27+'18'!D27+'19'!D27+'20'!D27+'21'!D27+'22'!D27+'23'!D27+'24'!D27+'25'!D27+'26'!D27+'27'!D27+'28'!D27+'29'!D27+'30'!D27+'31'!D27</f>
        <v>0</v>
      </c>
      <c r="E27" s="46">
        <f t="shared" si="1"/>
        <v>0</v>
      </c>
      <c r="F27" s="47">
        <f>+'1'!F27+'2'!F27+'3'!F27+'4'!F27+'5'!F27+'6'!F27+'7'!F27+'8'!F27+'9'!F27+'10'!F27+'11'!F27+'12'!F27+'13'!F27+'14'!F27+'15'!F27+'16'!F27+'17'!F27+'18'!F27+'19'!F27+'20'!F27+'21'!F27+'22'!F27+'23'!F27+'24'!F27+'25'!F27+'26'!F27+'27'!F27+'28'!F27+'29'!F27+'30'!F27+'31'!F27</f>
        <v>0</v>
      </c>
      <c r="G27" s="46">
        <v>0</v>
      </c>
      <c r="H27" s="47">
        <f>+'1'!H27+'2'!H27+'3'!H27+'4'!H27+'5'!H27+'6'!H27+'7'!H27+'8'!H27+'9'!H27+'10'!H27+'11'!H27+'12'!H27+'13'!H27+'14'!H27+'15'!H27+'16'!H27+'17'!H27+'18'!H27+'19'!H27+'20'!H27+'21'!H27+'22'!H27+'23'!H27+'24'!H27+'25'!H27+'26'!H27+'27'!H27+'28'!H27+'29'!H27+'30'!H27+'31'!H27</f>
        <v>0</v>
      </c>
      <c r="I27" s="21">
        <v>100</v>
      </c>
      <c r="J27" s="47">
        <f>+'1'!J27+'2'!J27+'3'!J27+'4'!J27+'5'!J27+'6'!J27+'7'!J27+'8'!J27+'9'!J27+'10'!J27+'11'!J27+'12'!J27+'13'!J27+'14'!J27+'15'!J27+'16'!J27+'17'!J27+'18'!J27+'19'!J27+'20'!J27+'21'!J27+'22'!J27+'23'!J27+'24'!J27+'25'!J27+'26'!J27+'27'!J27+'28'!J27+'29'!J27+'30'!J27+'31'!J27</f>
        <v>0</v>
      </c>
      <c r="K27" s="15"/>
      <c r="L27" s="49">
        <v>23</v>
      </c>
      <c r="M27" s="50">
        <f>+'23'!K207</f>
        <v>0</v>
      </c>
      <c r="N27" s="50">
        <f>+'23'!K212</f>
        <v>0</v>
      </c>
      <c r="O27" s="50"/>
      <c r="P27" s="50">
        <f>+'23'!K208</f>
        <v>0</v>
      </c>
      <c r="Q27" s="50">
        <f>+'23'!K211</f>
        <v>0</v>
      </c>
      <c r="R27" s="50">
        <f>+'23'!K209</f>
        <v>0</v>
      </c>
      <c r="S27" s="50">
        <f t="shared" si="0"/>
        <v>0</v>
      </c>
      <c r="T27" s="50">
        <f>+'23'!K214</f>
        <v>0</v>
      </c>
      <c r="U27" s="51">
        <f t="shared" si="2"/>
        <v>0</v>
      </c>
      <c r="V27" s="5"/>
    </row>
    <row r="28" spans="1:22">
      <c r="A28" s="10">
        <v>24</v>
      </c>
      <c r="B28" s="20" t="s">
        <v>40</v>
      </c>
      <c r="C28" s="46">
        <v>0</v>
      </c>
      <c r="D28" s="47">
        <f>+'1'!D28+'2'!D28+'3'!D28+'4'!D28+'5'!D28+'6'!D28+'7'!D28+'8'!D28+'9'!D28+'10'!D28+'11'!D28+'12'!D28+'13'!D28+'14'!D28+'15'!D28+'16'!D28+'17'!D28+'18'!D28+'19'!D28+'20'!D28+'21'!D28+'22'!D28+'23'!D28+'24'!D28+'25'!D28+'26'!D28+'27'!D28+'28'!D28+'29'!D28+'30'!D28+'31'!D28</f>
        <v>0</v>
      </c>
      <c r="E28" s="46">
        <f t="shared" si="1"/>
        <v>0</v>
      </c>
      <c r="F28" s="47">
        <f>+'1'!F28+'2'!F28+'3'!F28+'4'!F28+'5'!F28+'6'!F28+'7'!F28+'8'!F28+'9'!F28+'10'!F28+'11'!F28+'12'!F28+'13'!F28+'14'!F28+'15'!F28+'16'!F28+'17'!F28+'18'!F28+'19'!F28+'20'!F28+'21'!F28+'22'!F28+'23'!F28+'24'!F28+'25'!F28+'26'!F28+'27'!F28+'28'!F28+'29'!F28+'30'!F28+'31'!F28</f>
        <v>0</v>
      </c>
      <c r="G28" s="46">
        <v>0</v>
      </c>
      <c r="H28" s="47">
        <f>+'1'!H28+'2'!H28+'3'!H28+'4'!H28+'5'!H28+'6'!H28+'7'!H28+'8'!H28+'9'!H28+'10'!H28+'11'!H28+'12'!H28+'13'!H28+'14'!H28+'15'!H28+'16'!H28+'17'!H28+'18'!H28+'19'!H28+'20'!H28+'21'!H28+'22'!H28+'23'!H28+'24'!H28+'25'!H28+'26'!H28+'27'!H28+'28'!H28+'29'!H28+'30'!H28+'31'!H28</f>
        <v>0</v>
      </c>
      <c r="I28" s="21">
        <v>100</v>
      </c>
      <c r="J28" s="47">
        <f>+'1'!J28+'2'!J28+'3'!J28+'4'!J28+'5'!J28+'6'!J28+'7'!J28+'8'!J28+'9'!J28+'10'!J28+'11'!J28+'12'!J28+'13'!J28+'14'!J28+'15'!J28+'16'!J28+'17'!J28+'18'!J28+'19'!J28+'20'!J28+'21'!J28+'22'!J28+'23'!J28+'24'!J28+'25'!J28+'26'!J28+'27'!J28+'28'!J28+'29'!J28+'30'!J28+'31'!J28</f>
        <v>0</v>
      </c>
      <c r="K28" s="15"/>
      <c r="L28" s="49">
        <v>24</v>
      </c>
      <c r="M28" s="50">
        <f>+'24'!K207</f>
        <v>0</v>
      </c>
      <c r="N28" s="50">
        <f>+'24'!K212</f>
        <v>0</v>
      </c>
      <c r="O28" s="50"/>
      <c r="P28" s="50">
        <f>+'24'!K208</f>
        <v>0</v>
      </c>
      <c r="Q28" s="50">
        <f>+'24'!K211</f>
        <v>0</v>
      </c>
      <c r="R28" s="50">
        <f>+'24'!K209</f>
        <v>0</v>
      </c>
      <c r="S28" s="50">
        <f t="shared" si="0"/>
        <v>0</v>
      </c>
      <c r="T28" s="50">
        <f>+'24'!K214</f>
        <v>0</v>
      </c>
      <c r="U28" s="51">
        <f t="shared" si="2"/>
        <v>0</v>
      </c>
      <c r="V28" s="5"/>
    </row>
    <row r="29" spans="1:22">
      <c r="A29" s="10">
        <v>25</v>
      </c>
      <c r="B29" s="11" t="s">
        <v>41</v>
      </c>
      <c r="C29" s="46">
        <v>22</v>
      </c>
      <c r="D29" s="47">
        <f>+'1'!D29+'2'!D29+'3'!D29+'4'!D29+'5'!D29+'6'!D29+'7'!D29+'8'!D29+'9'!D29+'10'!D29+'11'!D29+'12'!D29+'13'!D29+'14'!D29+'15'!D29+'16'!D29+'17'!D29+'18'!D29+'19'!D29+'20'!D29+'21'!D29+'22'!D29+'23'!D29+'24'!D29+'25'!D29+'26'!D29+'27'!D29+'28'!D29+'29'!D29+'30'!D29+'31'!D29</f>
        <v>15</v>
      </c>
      <c r="E29" s="46">
        <f t="shared" si="1"/>
        <v>37</v>
      </c>
      <c r="F29" s="47">
        <f>+'1'!F29+'2'!F29+'3'!F29+'4'!F29+'5'!F29+'6'!F29+'7'!F29+'8'!F29+'9'!F29+'10'!F29+'11'!F29+'12'!F29+'13'!F29+'14'!F29+'15'!F29+'16'!F29+'17'!F29+'18'!F29+'19'!F29+'20'!F29+'21'!F29+'22'!F29+'23'!F29+'24'!F29+'25'!F29+'26'!F29+'27'!F29+'28'!F29+'29'!F29+'30'!F29+'31'!F29</f>
        <v>10</v>
      </c>
      <c r="G29" s="46">
        <v>0</v>
      </c>
      <c r="H29" s="47">
        <f>+'1'!H29+'2'!H29+'3'!H29+'4'!H29+'5'!H29+'6'!H29+'7'!H29+'8'!H29+'9'!H29+'10'!H29+'11'!H29+'12'!H29+'13'!H29+'14'!H29+'15'!H29+'16'!H29+'17'!H29+'18'!H29+'19'!H29+'20'!H29+'21'!H29+'22'!H29+'23'!H29+'24'!H29+'25'!H29+'26'!H29+'27'!H29+'28'!H29+'29'!H29+'30'!H29+'31'!H29</f>
        <v>15</v>
      </c>
      <c r="I29" s="15">
        <v>100</v>
      </c>
      <c r="J29" s="47">
        <f>+'1'!J29+'2'!J29+'3'!J29+'4'!J29+'5'!J29+'6'!J29+'7'!J29+'8'!J29+'9'!J29+'10'!J29+'11'!J29+'12'!J29+'13'!J29+'14'!J29+'15'!J29+'16'!J29+'17'!J29+'18'!J29+'19'!J29+'20'!J29+'21'!J29+'22'!J29+'23'!J29+'24'!J29+'25'!J29+'26'!J29+'27'!J29+'28'!J29+'29'!J29+'30'!J29+'31'!J29</f>
        <v>1500</v>
      </c>
      <c r="K29" s="15"/>
      <c r="L29" s="49">
        <v>25</v>
      </c>
      <c r="M29" s="50">
        <f>+'25'!K207</f>
        <v>0</v>
      </c>
      <c r="N29" s="50">
        <f>+'25'!K212</f>
        <v>0</v>
      </c>
      <c r="O29" s="50"/>
      <c r="P29" s="50">
        <f>+'25'!K208</f>
        <v>0</v>
      </c>
      <c r="Q29" s="50">
        <f>+'25'!K211</f>
        <v>0</v>
      </c>
      <c r="R29" s="50">
        <f>+'25'!K209</f>
        <v>0</v>
      </c>
      <c r="S29" s="50">
        <f t="shared" si="0"/>
        <v>0</v>
      </c>
      <c r="T29" s="50">
        <f>+'25'!K214</f>
        <v>0</v>
      </c>
      <c r="U29" s="51">
        <f t="shared" si="2"/>
        <v>0</v>
      </c>
      <c r="V29" s="5"/>
    </row>
    <row r="30" spans="1:22">
      <c r="A30" s="10">
        <v>26</v>
      </c>
      <c r="B30" s="11" t="s">
        <v>42</v>
      </c>
      <c r="C30" s="46">
        <v>0</v>
      </c>
      <c r="D30" s="47">
        <f>+'1'!D30+'2'!D30+'3'!D30+'4'!D30+'5'!D30+'6'!D30+'7'!D30+'8'!D30+'9'!D30+'10'!D30+'11'!D30+'12'!D30+'13'!D30+'14'!D30+'15'!D30+'16'!D30+'17'!D30+'18'!D30+'19'!D30+'20'!D30+'21'!D30+'22'!D30+'23'!D30+'24'!D30+'25'!D30+'26'!D30+'27'!D30+'28'!D30+'29'!D30+'30'!D30+'31'!D30</f>
        <v>0</v>
      </c>
      <c r="E30" s="46">
        <f t="shared" si="1"/>
        <v>0</v>
      </c>
      <c r="F30" s="47">
        <f>+'1'!F30+'2'!F30+'3'!F30+'4'!F30+'5'!F30+'6'!F30+'7'!F30+'8'!F30+'9'!F30+'10'!F30+'11'!F30+'12'!F30+'13'!F30+'14'!F30+'15'!F30+'16'!F30+'17'!F30+'18'!F30+'19'!F30+'20'!F30+'21'!F30+'22'!F30+'23'!F30+'24'!F30+'25'!F30+'26'!F30+'27'!F30+'28'!F30+'29'!F30+'30'!F30+'31'!F30</f>
        <v>0</v>
      </c>
      <c r="G30" s="46">
        <v>0</v>
      </c>
      <c r="H30" s="47">
        <f>+'1'!H30+'2'!H30+'3'!H30+'4'!H30+'5'!H30+'6'!H30+'7'!H30+'8'!H30+'9'!H30+'10'!H30+'11'!H30+'12'!H30+'13'!H30+'14'!H30+'15'!H30+'16'!H30+'17'!H30+'18'!H30+'19'!H30+'20'!H30+'21'!H30+'22'!H30+'23'!H30+'24'!H30+'25'!H30+'26'!H30+'27'!H30+'28'!H30+'29'!H30+'30'!H30+'31'!H30</f>
        <v>0</v>
      </c>
      <c r="I30" s="15">
        <v>100</v>
      </c>
      <c r="J30" s="47">
        <f>+'1'!J30+'2'!J30+'3'!J30+'4'!J30+'5'!J30+'6'!J30+'7'!J30+'8'!J30+'9'!J30+'10'!J30+'11'!J30+'12'!J30+'13'!J30+'14'!J30+'15'!J30+'16'!J30+'17'!J30+'18'!J30+'19'!J30+'20'!J30+'21'!J30+'22'!J30+'23'!J30+'24'!J30+'25'!J30+'26'!J30+'27'!J30+'28'!J30+'29'!J30+'30'!J30+'31'!J30</f>
        <v>0</v>
      </c>
      <c r="K30" s="15"/>
      <c r="L30" s="49">
        <v>26</v>
      </c>
      <c r="M30" s="50">
        <f>+'26'!K207</f>
        <v>0</v>
      </c>
      <c r="N30" s="50">
        <f>+'26'!K212</f>
        <v>0</v>
      </c>
      <c r="O30" s="50"/>
      <c r="P30" s="50">
        <f>+'26'!K208</f>
        <v>0</v>
      </c>
      <c r="Q30" s="50">
        <f>+'26'!K211</f>
        <v>0</v>
      </c>
      <c r="R30" s="50">
        <f>+'26'!K209</f>
        <v>0</v>
      </c>
      <c r="S30" s="50">
        <f t="shared" si="0"/>
        <v>0</v>
      </c>
      <c r="T30" s="50">
        <f>+'26'!K214</f>
        <v>0</v>
      </c>
      <c r="U30" s="51">
        <f t="shared" si="2"/>
        <v>0</v>
      </c>
      <c r="V30" s="5"/>
    </row>
    <row r="31" spans="1:22">
      <c r="A31" s="10">
        <v>27</v>
      </c>
      <c r="B31" s="11" t="s">
        <v>43</v>
      </c>
      <c r="C31" s="46">
        <v>0</v>
      </c>
      <c r="D31" s="47">
        <f>+'1'!D31+'2'!D31+'3'!D31+'4'!D31+'5'!D31+'6'!D31+'7'!D31+'8'!D31+'9'!D31+'10'!D31+'11'!D31+'12'!D31+'13'!D31+'14'!D31+'15'!D31+'16'!D31+'17'!D31+'18'!D31+'19'!D31+'20'!D31+'21'!D31+'22'!D31+'23'!D31+'24'!D31+'25'!D31+'26'!D31+'27'!D31+'28'!D31+'29'!D31+'30'!D31+'31'!D31</f>
        <v>0</v>
      </c>
      <c r="E31" s="46">
        <f t="shared" si="1"/>
        <v>0</v>
      </c>
      <c r="F31" s="47">
        <f>+'1'!F31+'2'!F31+'3'!F31+'4'!F31+'5'!F31+'6'!F31+'7'!F31+'8'!F31+'9'!F31+'10'!F31+'11'!F31+'12'!F31+'13'!F31+'14'!F31+'15'!F31+'16'!F31+'17'!F31+'18'!F31+'19'!F31+'20'!F31+'21'!F31+'22'!F31+'23'!F31+'24'!F31+'25'!F31+'26'!F31+'27'!F31+'28'!F31+'29'!F31+'30'!F31+'31'!F31</f>
        <v>0</v>
      </c>
      <c r="G31" s="46">
        <v>0</v>
      </c>
      <c r="H31" s="47">
        <f>+'1'!H31+'2'!H31+'3'!H31+'4'!H31+'5'!H31+'6'!H31+'7'!H31+'8'!H31+'9'!H31+'10'!H31+'11'!H31+'12'!H31+'13'!H31+'14'!H31+'15'!H31+'16'!H31+'17'!H31+'18'!H31+'19'!H31+'20'!H31+'21'!H31+'22'!H31+'23'!H31+'24'!H31+'25'!H31+'26'!H31+'27'!H31+'28'!H31+'29'!H31+'30'!H31+'31'!H31</f>
        <v>0</v>
      </c>
      <c r="I31" s="15">
        <v>100</v>
      </c>
      <c r="J31" s="47">
        <f>+'1'!J31+'2'!J31+'3'!J31+'4'!J31+'5'!J31+'6'!J31+'7'!J31+'8'!J31+'9'!J31+'10'!J31+'11'!J31+'12'!J31+'13'!J31+'14'!J31+'15'!J31+'16'!J31+'17'!J31+'18'!J31+'19'!J31+'20'!J31+'21'!J31+'22'!J31+'23'!J31+'24'!J31+'25'!J31+'26'!J31+'27'!J31+'28'!J31+'29'!J31+'30'!J31+'31'!J31</f>
        <v>0</v>
      </c>
      <c r="K31" s="15"/>
      <c r="L31" s="49">
        <v>27</v>
      </c>
      <c r="M31" s="50">
        <f>+'27'!K207</f>
        <v>0</v>
      </c>
      <c r="N31" s="50">
        <f>+'27'!K212</f>
        <v>0</v>
      </c>
      <c r="O31" s="50"/>
      <c r="P31" s="50">
        <f>+'27'!K208</f>
        <v>0</v>
      </c>
      <c r="Q31" s="50">
        <f>+'27'!K211</f>
        <v>0</v>
      </c>
      <c r="R31" s="50">
        <f>+'27'!K209</f>
        <v>0</v>
      </c>
      <c r="S31" s="50">
        <f t="shared" si="0"/>
        <v>0</v>
      </c>
      <c r="T31" s="50">
        <f>+'27'!K214</f>
        <v>0</v>
      </c>
      <c r="U31" s="51">
        <f t="shared" si="2"/>
        <v>0</v>
      </c>
      <c r="V31" s="5"/>
    </row>
    <row r="32" spans="1:22">
      <c r="A32" s="10">
        <v>28</v>
      </c>
      <c r="B32" s="11" t="s">
        <v>44</v>
      </c>
      <c r="C32" s="46">
        <v>0</v>
      </c>
      <c r="D32" s="47">
        <f>+'1'!D32+'2'!D32+'3'!D32+'4'!D32+'5'!D32+'6'!D32+'7'!D32+'8'!D32+'9'!D32+'10'!D32+'11'!D32+'12'!D32+'13'!D32+'14'!D32+'15'!D32+'16'!D32+'17'!D32+'18'!D32+'19'!D32+'20'!D32+'21'!D32+'22'!D32+'23'!D32+'24'!D32+'25'!D32+'26'!D32+'27'!D32+'28'!D32+'29'!D32+'30'!D32+'31'!D32</f>
        <v>0</v>
      </c>
      <c r="E32" s="46">
        <f t="shared" si="1"/>
        <v>0</v>
      </c>
      <c r="F32" s="47">
        <f>+'1'!F32+'2'!F32+'3'!F32+'4'!F32+'5'!F32+'6'!F32+'7'!F32+'8'!F32+'9'!F32+'10'!F32+'11'!F32+'12'!F32+'13'!F32+'14'!F32+'15'!F32+'16'!F32+'17'!F32+'18'!F32+'19'!F32+'20'!F32+'21'!F32+'22'!F32+'23'!F32+'24'!F32+'25'!F32+'26'!F32+'27'!F32+'28'!F32+'29'!F32+'30'!F32+'31'!F32</f>
        <v>0</v>
      </c>
      <c r="G32" s="46">
        <v>0</v>
      </c>
      <c r="H32" s="47">
        <f>+'1'!H32+'2'!H32+'3'!H32+'4'!H32+'5'!H32+'6'!H32+'7'!H32+'8'!H32+'9'!H32+'10'!H32+'11'!H32+'12'!H32+'13'!H32+'14'!H32+'15'!H32+'16'!H32+'17'!H32+'18'!H32+'19'!H32+'20'!H32+'21'!H32+'22'!H32+'23'!H32+'24'!H32+'25'!H32+'26'!H32+'27'!H32+'28'!H32+'29'!H32+'30'!H32+'31'!H32</f>
        <v>0</v>
      </c>
      <c r="I32" s="15">
        <v>130</v>
      </c>
      <c r="J32" s="47">
        <f>+'1'!J32+'2'!J32+'3'!J32+'4'!J32+'5'!J32+'6'!J32+'7'!J32+'8'!J32+'9'!J32+'10'!J32+'11'!J32+'12'!J32+'13'!J32+'14'!J32+'15'!J32+'16'!J32+'17'!J32+'18'!J32+'19'!J32+'20'!J32+'21'!J32+'22'!J32+'23'!J32+'24'!J32+'25'!J32+'26'!J32+'27'!J32+'28'!J32+'29'!J32+'30'!J32+'31'!J32</f>
        <v>0</v>
      </c>
      <c r="K32" s="15"/>
      <c r="L32" s="49">
        <v>28</v>
      </c>
      <c r="M32" s="50">
        <f>+'28'!K207</f>
        <v>0</v>
      </c>
      <c r="N32" s="50">
        <f>+'28'!K212</f>
        <v>0</v>
      </c>
      <c r="O32" s="50"/>
      <c r="P32" s="50">
        <f>+'28'!K208</f>
        <v>0</v>
      </c>
      <c r="Q32" s="50">
        <f>+'28'!K211</f>
        <v>0</v>
      </c>
      <c r="R32" s="50">
        <f>+'28'!K209</f>
        <v>0</v>
      </c>
      <c r="S32" s="50">
        <f t="shared" si="0"/>
        <v>0</v>
      </c>
      <c r="T32" s="50">
        <f>+'28'!K214</f>
        <v>0</v>
      </c>
      <c r="U32" s="51">
        <f t="shared" si="2"/>
        <v>0</v>
      </c>
      <c r="V32" s="5"/>
    </row>
    <row r="33" spans="1:22">
      <c r="A33" s="10">
        <v>29</v>
      </c>
      <c r="B33" s="11" t="s">
        <v>45</v>
      </c>
      <c r="C33" s="46">
        <v>4</v>
      </c>
      <c r="D33" s="47">
        <f>+'1'!D33+'2'!D33+'3'!D33+'4'!D33+'5'!D33+'6'!D33+'7'!D33+'8'!D33+'9'!D33+'10'!D33+'11'!D33+'12'!D33+'13'!D33+'14'!D33+'15'!D33+'16'!D33+'17'!D33+'18'!D33+'19'!D33+'20'!D33+'21'!D33+'22'!D33+'23'!D33+'24'!D33+'25'!D33+'26'!D33+'27'!D33+'28'!D33+'29'!D33+'30'!D33+'31'!D33</f>
        <v>0</v>
      </c>
      <c r="E33" s="46">
        <f t="shared" si="1"/>
        <v>4</v>
      </c>
      <c r="F33" s="47">
        <f>+'1'!F33+'2'!F33+'3'!F33+'4'!F33+'5'!F33+'6'!F33+'7'!F33+'8'!F33+'9'!F33+'10'!F33+'11'!F33+'12'!F33+'13'!F33+'14'!F33+'15'!F33+'16'!F33+'17'!F33+'18'!F33+'19'!F33+'20'!F33+'21'!F33+'22'!F33+'23'!F33+'24'!F33+'25'!F33+'26'!F33+'27'!F33+'28'!F33+'29'!F33+'30'!F33+'31'!F33</f>
        <v>0</v>
      </c>
      <c r="G33" s="46">
        <v>0</v>
      </c>
      <c r="H33" s="47">
        <f>+'1'!H33+'2'!H33+'3'!H33+'4'!H33+'5'!H33+'6'!H33+'7'!H33+'8'!H33+'9'!H33+'10'!H33+'11'!H33+'12'!H33+'13'!H33+'14'!H33+'15'!H33+'16'!H33+'17'!H33+'18'!H33+'19'!H33+'20'!H33+'21'!H33+'22'!H33+'23'!H33+'24'!H33+'25'!H33+'26'!H33+'27'!H33+'28'!H33+'29'!H33+'30'!H33+'31'!H33</f>
        <v>0</v>
      </c>
      <c r="I33" s="15">
        <v>130</v>
      </c>
      <c r="J33" s="47">
        <f>+'1'!J33+'2'!J33+'3'!J33+'4'!J33+'5'!J33+'6'!J33+'7'!J33+'8'!J33+'9'!J33+'10'!J33+'11'!J33+'12'!J33+'13'!J33+'14'!J33+'15'!J33+'16'!J33+'17'!J33+'18'!J33+'19'!J33+'20'!J33+'21'!J33+'22'!J33+'23'!J33+'24'!J33+'25'!J33+'26'!J33+'27'!J33+'28'!J33+'29'!J33+'30'!J33+'31'!J33</f>
        <v>0</v>
      </c>
      <c r="K33" s="15"/>
      <c r="L33" s="49">
        <v>29</v>
      </c>
      <c r="M33" s="50">
        <f>+'29'!K207</f>
        <v>0</v>
      </c>
      <c r="N33" s="50">
        <f>+'29'!K212</f>
        <v>0</v>
      </c>
      <c r="O33" s="50"/>
      <c r="P33" s="50">
        <f>+'29'!K208</f>
        <v>0</v>
      </c>
      <c r="Q33" s="50">
        <f>+'29'!K211</f>
        <v>0</v>
      </c>
      <c r="R33" s="50">
        <f>+'29'!K209</f>
        <v>0</v>
      </c>
      <c r="S33" s="50">
        <f t="shared" si="0"/>
        <v>0</v>
      </c>
      <c r="T33" s="50">
        <f>+'29'!K214</f>
        <v>0</v>
      </c>
      <c r="U33" s="51">
        <f t="shared" si="2"/>
        <v>0</v>
      </c>
      <c r="V33" s="5"/>
    </row>
    <row r="34" spans="1:22">
      <c r="A34" s="10">
        <v>30</v>
      </c>
      <c r="B34" s="11" t="s">
        <v>46</v>
      </c>
      <c r="C34" s="46">
        <v>0</v>
      </c>
      <c r="D34" s="47">
        <f>+'1'!D34+'2'!D34+'3'!D34+'4'!D34+'5'!D34+'6'!D34+'7'!D34+'8'!D34+'9'!D34+'10'!D34+'11'!D34+'12'!D34+'13'!D34+'14'!D34+'15'!D34+'16'!D34+'17'!D34+'18'!D34+'19'!D34+'20'!D34+'21'!D34+'22'!D34+'23'!D34+'24'!D34+'25'!D34+'26'!D34+'27'!D34+'28'!D34+'29'!D34+'30'!D34+'31'!D34</f>
        <v>9</v>
      </c>
      <c r="E34" s="46">
        <f t="shared" si="1"/>
        <v>9</v>
      </c>
      <c r="F34" s="47">
        <f>+'1'!F34+'2'!F34+'3'!F34+'4'!F34+'5'!F34+'6'!F34+'7'!F34+'8'!F34+'9'!F34+'10'!F34+'11'!F34+'12'!F34+'13'!F34+'14'!F34+'15'!F34+'16'!F34+'17'!F34+'18'!F34+'19'!F34+'20'!F34+'21'!F34+'22'!F34+'23'!F34+'24'!F34+'25'!F34+'26'!F34+'27'!F34+'28'!F34+'29'!F34+'30'!F34+'31'!F34</f>
        <v>2</v>
      </c>
      <c r="G34" s="46">
        <v>0</v>
      </c>
      <c r="H34" s="47">
        <f>+'1'!H34+'2'!H34+'3'!H34+'4'!H34+'5'!H34+'6'!H34+'7'!H34+'8'!H34+'9'!H34+'10'!H34+'11'!H34+'12'!H34+'13'!H34+'14'!H34+'15'!H34+'16'!H34+'17'!H34+'18'!H34+'19'!H34+'20'!H34+'21'!H34+'22'!H34+'23'!H34+'24'!H34+'25'!H34+'26'!H34+'27'!H34+'28'!H34+'29'!H34+'30'!H34+'31'!H34</f>
        <v>8</v>
      </c>
      <c r="I34" s="15">
        <v>130</v>
      </c>
      <c r="J34" s="47">
        <f>+'1'!J34+'2'!J34+'3'!J34+'4'!J34+'5'!J34+'6'!J34+'7'!J34+'8'!J34+'9'!J34+'10'!J34+'11'!J34+'12'!J34+'13'!J34+'14'!J34+'15'!J34+'16'!J34+'17'!J34+'18'!J34+'19'!J34+'20'!J34+'21'!J34+'22'!J34+'23'!J34+'24'!J34+'25'!J34+'26'!J34+'27'!J34+'28'!J34+'29'!J34+'30'!J34+'31'!J34</f>
        <v>1040</v>
      </c>
      <c r="K34" s="15"/>
      <c r="L34" s="49">
        <v>30</v>
      </c>
      <c r="M34" s="50">
        <f>+'30'!K207</f>
        <v>0</v>
      </c>
      <c r="N34" s="50">
        <f>+'30'!K212</f>
        <v>0</v>
      </c>
      <c r="O34" s="50"/>
      <c r="P34" s="50">
        <f>+'29'!K208</f>
        <v>0</v>
      </c>
      <c r="Q34" s="50">
        <f>+'30'!K211</f>
        <v>0</v>
      </c>
      <c r="R34" s="50">
        <f>+'30'!K209</f>
        <v>0</v>
      </c>
      <c r="S34" s="50">
        <f t="shared" si="0"/>
        <v>0</v>
      </c>
      <c r="T34" s="50">
        <f>+'30'!K214</f>
        <v>0</v>
      </c>
      <c r="U34" s="51">
        <f t="shared" si="2"/>
        <v>0</v>
      </c>
      <c r="V34" s="5"/>
    </row>
    <row r="35" spans="1:22">
      <c r="A35" s="10">
        <v>31</v>
      </c>
      <c r="B35" s="11" t="s">
        <v>47</v>
      </c>
      <c r="C35" s="46">
        <v>0</v>
      </c>
      <c r="D35" s="47">
        <f>+'1'!D35+'2'!D35+'3'!D35+'4'!D35+'5'!D35+'6'!D35+'7'!D35+'8'!D35+'9'!D35+'10'!D35+'11'!D35+'12'!D35+'13'!D35+'14'!D35+'15'!D35+'16'!D35+'17'!D35+'18'!D35+'19'!D35+'20'!D35+'21'!D35+'22'!D35+'23'!D35+'24'!D35+'25'!D35+'26'!D35+'27'!D35+'28'!D35+'29'!D35+'30'!D35+'31'!D35</f>
        <v>6</v>
      </c>
      <c r="E35" s="46">
        <f t="shared" si="1"/>
        <v>6</v>
      </c>
      <c r="F35" s="47">
        <f>+'1'!F35+'2'!F35+'3'!F35+'4'!F35+'5'!F35+'6'!F35+'7'!F35+'8'!F35+'9'!F35+'10'!F35+'11'!F35+'12'!F35+'13'!F35+'14'!F35+'15'!F35+'16'!F35+'17'!F35+'18'!F35+'19'!F35+'20'!F35+'21'!F35+'22'!F35+'23'!F35+'24'!F35+'25'!F35+'26'!F35+'27'!F35+'28'!F35+'29'!F35+'30'!F35+'31'!F35</f>
        <v>4</v>
      </c>
      <c r="G35" s="46">
        <v>0</v>
      </c>
      <c r="H35" s="47">
        <f>+'1'!H35+'2'!H35+'3'!H35+'4'!H35+'5'!H35+'6'!H35+'7'!H35+'8'!H35+'9'!H35+'10'!H35+'11'!H35+'12'!H35+'13'!H35+'14'!H35+'15'!H35+'16'!H35+'17'!H35+'18'!H35+'19'!H35+'20'!H35+'21'!H35+'22'!H35+'23'!H35+'24'!H35+'25'!H35+'26'!H35+'27'!H35+'28'!H35+'29'!H35+'30'!H35+'31'!H35</f>
        <v>6</v>
      </c>
      <c r="I35" s="15">
        <v>130</v>
      </c>
      <c r="J35" s="47">
        <f>+'1'!J35+'2'!J35+'3'!J35+'4'!J35+'5'!J35+'6'!J35+'7'!J35+'8'!J35+'9'!J35+'10'!J35+'11'!J35+'12'!J35+'13'!J35+'14'!J35+'15'!J35+'16'!J35+'17'!J35+'18'!J35+'19'!J35+'20'!J35+'21'!J35+'22'!J35+'23'!J35+'24'!J35+'25'!J35+'26'!J35+'27'!J35+'28'!J35+'29'!J35+'30'!J35+'31'!J35</f>
        <v>780</v>
      </c>
      <c r="K35" s="15"/>
      <c r="L35" s="49">
        <v>31</v>
      </c>
      <c r="M35" s="50">
        <f>+'31'!K207</f>
        <v>0</v>
      </c>
      <c r="N35" s="50">
        <f>+'31'!K212</f>
        <v>0</v>
      </c>
      <c r="O35" s="50"/>
      <c r="P35" s="50">
        <f>+'31'!K208</f>
        <v>0</v>
      </c>
      <c r="Q35" s="50">
        <f>+'31'!K211</f>
        <v>0</v>
      </c>
      <c r="R35" s="50">
        <f>+'31'!K209</f>
        <v>0</v>
      </c>
      <c r="S35" s="50">
        <f t="shared" si="0"/>
        <v>0</v>
      </c>
      <c r="T35" s="50">
        <f>+'31'!K214</f>
        <v>0</v>
      </c>
      <c r="U35" s="51">
        <f t="shared" si="2"/>
        <v>0</v>
      </c>
      <c r="V35" s="5"/>
    </row>
    <row r="36" spans="1:22">
      <c r="A36" s="10">
        <v>32</v>
      </c>
      <c r="B36" s="11" t="s">
        <v>48</v>
      </c>
      <c r="C36" s="46">
        <v>0</v>
      </c>
      <c r="D36" s="47">
        <f>+'1'!D36+'2'!D36+'3'!D36+'4'!D36+'5'!D36+'6'!D36+'7'!D36+'8'!D36+'9'!D36+'10'!D36+'11'!D36+'12'!D36+'13'!D36+'14'!D36+'15'!D36+'16'!D36+'17'!D36+'18'!D36+'19'!D36+'20'!D36+'21'!D36+'22'!D36+'23'!D36+'24'!D36+'25'!D36+'26'!D36+'27'!D36+'28'!D36+'29'!D36+'30'!D36+'31'!D36</f>
        <v>0</v>
      </c>
      <c r="E36" s="46">
        <f t="shared" si="1"/>
        <v>0</v>
      </c>
      <c r="F36" s="47">
        <f>+'1'!F36+'2'!F36+'3'!F36+'4'!F36+'5'!F36+'6'!F36+'7'!F36+'8'!F36+'9'!F36+'10'!F36+'11'!F36+'12'!F36+'13'!F36+'14'!F36+'15'!F36+'16'!F36+'17'!F36+'18'!F36+'19'!F36+'20'!F36+'21'!F36+'22'!F36+'23'!F36+'24'!F36+'25'!F36+'26'!F36+'27'!F36+'28'!F36+'29'!F36+'30'!F36+'31'!F36</f>
        <v>0</v>
      </c>
      <c r="G36" s="46">
        <v>0</v>
      </c>
      <c r="H36" s="47">
        <f>+'1'!H36+'2'!H36+'3'!H36+'4'!H36+'5'!H36+'6'!H36+'7'!H36+'8'!H36+'9'!H36+'10'!H36+'11'!H36+'12'!H36+'13'!H36+'14'!H36+'15'!H36+'16'!H36+'17'!H36+'18'!H36+'19'!H36+'20'!H36+'21'!H36+'22'!H36+'23'!H36+'24'!H36+'25'!H36+'26'!H36+'27'!H36+'28'!H36+'29'!H36+'30'!H36+'31'!H36</f>
        <v>0</v>
      </c>
      <c r="I36" s="15">
        <v>100</v>
      </c>
      <c r="J36" s="47">
        <f>+'1'!J36+'2'!J36+'3'!J36+'4'!J36+'5'!J36+'6'!J36+'7'!J36+'8'!J36+'9'!J36+'10'!J36+'11'!J36+'12'!J36+'13'!J36+'14'!J36+'15'!J36+'16'!J36+'17'!J36+'18'!J36+'19'!J36+'20'!J36+'21'!J36+'22'!J36+'23'!J36+'24'!J36+'25'!J36+'26'!J36+'27'!J36+'28'!J36+'29'!J36+'30'!J36+'31'!J36</f>
        <v>0</v>
      </c>
      <c r="K36" s="15"/>
      <c r="L36" s="52" t="s">
        <v>5</v>
      </c>
      <c r="M36" s="53">
        <f t="shared" ref="M36:T36" si="3">SUM(M5:M35)</f>
        <v>61370</v>
      </c>
      <c r="N36" s="53">
        <f t="shared" si="3"/>
        <v>4785</v>
      </c>
      <c r="O36" s="53">
        <f t="shared" si="3"/>
        <v>0</v>
      </c>
      <c r="P36" s="53">
        <f t="shared" si="3"/>
        <v>225</v>
      </c>
      <c r="Q36" s="53">
        <f t="shared" si="3"/>
        <v>289</v>
      </c>
      <c r="R36" s="53">
        <f>SUM(R5:R35)</f>
        <v>13245</v>
      </c>
      <c r="S36" s="53">
        <f t="shared" si="3"/>
        <v>42826</v>
      </c>
      <c r="T36" s="53">
        <f t="shared" si="3"/>
        <v>42826</v>
      </c>
      <c r="U36" s="53">
        <f>SUM(U5:U35)</f>
        <v>0</v>
      </c>
      <c r="V36" s="5"/>
    </row>
    <row r="37" spans="1:22">
      <c r="A37" s="10">
        <v>33</v>
      </c>
      <c r="B37" s="11" t="s">
        <v>49</v>
      </c>
      <c r="C37" s="46">
        <v>0</v>
      </c>
      <c r="D37" s="47">
        <f>+'1'!D37+'2'!D37+'3'!D37+'4'!D37+'5'!D37+'6'!D37+'7'!D37+'8'!D37+'9'!D37+'10'!D37+'11'!D37+'12'!D37+'13'!D37+'14'!D37+'15'!D37+'16'!D37+'17'!D37+'18'!D37+'19'!D37+'20'!D37+'21'!D37+'22'!D37+'23'!D37+'24'!D37+'25'!D37+'26'!D37+'27'!D37+'28'!D37+'29'!D37+'30'!D37+'31'!D37</f>
        <v>25</v>
      </c>
      <c r="E37" s="46">
        <f t="shared" si="1"/>
        <v>25</v>
      </c>
      <c r="F37" s="47">
        <f>+'1'!F37+'2'!F37+'3'!F37+'4'!F37+'5'!F37+'6'!F37+'7'!F37+'8'!F37+'9'!F37+'10'!F37+'11'!F37+'12'!F37+'13'!F37+'14'!F37+'15'!F37+'16'!F37+'17'!F37+'18'!F37+'19'!F37+'20'!F37+'21'!F37+'22'!F37+'23'!F37+'24'!F37+'25'!F37+'26'!F37+'27'!F37+'28'!F37+'29'!F37+'30'!F37+'31'!F37</f>
        <v>1</v>
      </c>
      <c r="G37" s="46">
        <v>0</v>
      </c>
      <c r="H37" s="47">
        <f>+'1'!H37+'2'!H37+'3'!H37+'4'!H37+'5'!H37+'6'!H37+'7'!H37+'8'!H37+'9'!H37+'10'!H37+'11'!H37+'12'!H37+'13'!H37+'14'!H37+'15'!H37+'16'!H37+'17'!H37+'18'!H37+'19'!H37+'20'!H37+'21'!H37+'22'!H37+'23'!H37+'24'!H37+'25'!H37+'26'!H37+'27'!H37+'28'!H37+'29'!H37+'30'!H37+'31'!H37</f>
        <v>23</v>
      </c>
      <c r="I37" s="15">
        <v>100</v>
      </c>
      <c r="J37" s="47">
        <f>+'1'!J37+'2'!J37+'3'!J37+'4'!J37+'5'!J37+'6'!J37+'7'!J37+'8'!J37+'9'!J37+'10'!J37+'11'!J37+'12'!J37+'13'!J37+'14'!J37+'15'!J37+'16'!J37+'17'!J37+'18'!J37+'19'!J37+'20'!J37+'21'!J37+'22'!J37+'23'!J37+'24'!J37+'25'!J37+'26'!J37+'27'!J37+'28'!J37+'29'!J37+'30'!J37+'31'!J37</f>
        <v>2300</v>
      </c>
      <c r="K37" s="15"/>
      <c r="P37" s="54"/>
      <c r="S37" s="54"/>
      <c r="U37" s="5"/>
    </row>
    <row r="38" spans="1:22">
      <c r="A38" s="10">
        <v>34</v>
      </c>
      <c r="B38" s="11" t="s">
        <v>50</v>
      </c>
      <c r="C38" s="46">
        <v>4</v>
      </c>
      <c r="D38" s="47">
        <f>+'1'!D38+'2'!D38+'3'!D38+'4'!D38+'5'!D38+'6'!D38+'7'!D38+'8'!D38+'9'!D38+'10'!D38+'11'!D38+'12'!D38+'13'!D38+'14'!D38+'15'!D38+'16'!D38+'17'!D38+'18'!D38+'19'!D38+'20'!D38+'21'!D38+'22'!D38+'23'!D38+'24'!D38+'25'!D38+'26'!D38+'27'!D38+'28'!D38+'29'!D38+'30'!D38+'31'!D38</f>
        <v>20</v>
      </c>
      <c r="E38" s="46">
        <f t="shared" si="1"/>
        <v>24</v>
      </c>
      <c r="F38" s="47">
        <f>+'1'!F38+'2'!F38+'3'!F38+'4'!F38+'5'!F38+'6'!F38+'7'!F38+'8'!F38+'9'!F38+'10'!F38+'11'!F38+'12'!F38+'13'!F38+'14'!F38+'15'!F38+'16'!F38+'17'!F38+'18'!F38+'19'!F38+'20'!F38+'21'!F38+'22'!F38+'23'!F38+'24'!F38+'25'!F38+'26'!F38+'27'!F38+'28'!F38+'29'!F38+'30'!F38+'31'!F38</f>
        <v>2</v>
      </c>
      <c r="G38" s="46">
        <v>0</v>
      </c>
      <c r="H38" s="47">
        <f>+'1'!H38+'2'!H38+'3'!H38+'4'!H38+'5'!H38+'6'!H38+'7'!H38+'8'!H38+'9'!H38+'10'!H38+'11'!H38+'12'!H38+'13'!H38+'14'!H38+'15'!H38+'16'!H38+'17'!H38+'18'!H38+'19'!H38+'20'!H38+'21'!H38+'22'!H38+'23'!H38+'24'!H38+'25'!H38+'26'!H38+'27'!H38+'28'!H38+'29'!H38+'30'!H38+'31'!H38</f>
        <v>20</v>
      </c>
      <c r="I38" s="15">
        <v>50</v>
      </c>
      <c r="J38" s="47">
        <f>+'1'!J38+'2'!J38+'3'!J38+'4'!J38+'5'!J38+'6'!J38+'7'!J38+'8'!J38+'9'!J38+'10'!J38+'11'!J38+'12'!J38+'13'!J38+'14'!J38+'15'!J38+'16'!J38+'17'!J38+'18'!J38+'19'!J38+'20'!J38+'21'!J38+'22'!J38+'23'!J38+'24'!J38+'25'!J38+'26'!J38+'27'!J38+'28'!J38+'29'!J38+'30'!J38+'31'!J38</f>
        <v>1000</v>
      </c>
      <c r="K38" s="15"/>
      <c r="M38" s="55"/>
      <c r="N38" s="54"/>
      <c r="U38" s="5"/>
    </row>
    <row r="39" spans="1:22">
      <c r="A39" s="10">
        <v>35</v>
      </c>
      <c r="B39" s="11" t="s">
        <v>51</v>
      </c>
      <c r="C39" s="46">
        <v>4</v>
      </c>
      <c r="D39" s="47">
        <f>+'1'!D39+'2'!D39+'3'!D39+'4'!D39+'5'!D39+'6'!D39+'7'!D39+'8'!D39+'9'!D39+'10'!D39+'11'!D39+'12'!D39+'13'!D39+'14'!D39+'15'!D39+'16'!D39+'17'!D39+'18'!D39+'19'!D39+'20'!D39+'21'!D39+'22'!D39+'23'!D39+'24'!D39+'25'!D39+'26'!D39+'27'!D39+'28'!D39+'29'!D39+'30'!D39+'31'!D39</f>
        <v>18</v>
      </c>
      <c r="E39" s="46">
        <f t="shared" si="1"/>
        <v>22</v>
      </c>
      <c r="F39" s="47">
        <f>+'1'!F39+'2'!F39+'3'!F39+'4'!F39+'5'!F39+'6'!F39+'7'!F39+'8'!F39+'9'!F39+'10'!F39+'11'!F39+'12'!F39+'13'!F39+'14'!F39+'15'!F39+'16'!F39+'17'!F39+'18'!F39+'19'!F39+'20'!F39+'21'!F39+'22'!F39+'23'!F39+'24'!F39+'25'!F39+'26'!F39+'27'!F39+'28'!F39+'29'!F39+'30'!F39+'31'!F39</f>
        <v>7</v>
      </c>
      <c r="G39" s="46">
        <v>0</v>
      </c>
      <c r="H39" s="47">
        <f>+'1'!H39+'2'!H39+'3'!H39+'4'!H39+'5'!H39+'6'!H39+'7'!H39+'8'!H39+'9'!H39+'10'!H39+'11'!H39+'12'!H39+'13'!H39+'14'!H39+'15'!H39+'16'!H39+'17'!H39+'18'!H39+'19'!H39+'20'!H39+'21'!H39+'22'!H39+'23'!H39+'24'!H39+'25'!H39+'26'!H39+'27'!H39+'28'!H39+'29'!H39+'30'!H39+'31'!H39</f>
        <v>13</v>
      </c>
      <c r="I39" s="15">
        <v>50</v>
      </c>
      <c r="J39" s="47">
        <f>+'1'!J39+'2'!J39+'3'!J39+'4'!J39+'5'!J39+'6'!J39+'7'!J39+'8'!J39+'9'!J39+'10'!J39+'11'!J39+'12'!J39+'13'!J39+'14'!J39+'15'!J39+'16'!J39+'17'!J39+'18'!J39+'19'!J39+'20'!J39+'21'!J39+'22'!J39+'23'!J39+'24'!J39+'25'!J39+'26'!J39+'27'!J39+'28'!J39+'29'!J39+'30'!J39+'31'!J39</f>
        <v>650</v>
      </c>
      <c r="K39" s="15"/>
      <c r="M39" s="56"/>
      <c r="O39" s="54"/>
      <c r="U39" s="5"/>
    </row>
    <row r="40" spans="1:22">
      <c r="A40" s="10">
        <v>36</v>
      </c>
      <c r="B40" s="11" t="s">
        <v>52</v>
      </c>
      <c r="C40" s="46">
        <v>4</v>
      </c>
      <c r="D40" s="47">
        <f>+'1'!D40+'2'!D40+'3'!D40+'4'!D40+'5'!D40+'6'!D40+'7'!D40+'8'!D40+'9'!D40+'10'!D40+'11'!D40+'12'!D40+'13'!D40+'14'!D40+'15'!D40+'16'!D40+'17'!D40+'18'!D40+'19'!D40+'20'!D40+'21'!D40+'22'!D40+'23'!D40+'24'!D40+'25'!D40+'26'!D40+'27'!D40+'28'!D40+'29'!D40+'30'!D40+'31'!D40</f>
        <v>18</v>
      </c>
      <c r="E40" s="46">
        <f t="shared" si="1"/>
        <v>22</v>
      </c>
      <c r="F40" s="47">
        <f>+'1'!F40+'2'!F40+'3'!F40+'4'!F40+'5'!F40+'6'!F40+'7'!F40+'8'!F40+'9'!F40+'10'!F40+'11'!F40+'12'!F40+'13'!F40+'14'!F40+'15'!F40+'16'!F40+'17'!F40+'18'!F40+'19'!F40+'20'!F40+'21'!F40+'22'!F40+'23'!F40+'24'!F40+'25'!F40+'26'!F40+'27'!F40+'28'!F40+'29'!F40+'30'!F40+'31'!F40</f>
        <v>3</v>
      </c>
      <c r="G40" s="46">
        <v>0</v>
      </c>
      <c r="H40" s="47">
        <f>+'1'!H40+'2'!H40+'3'!H40+'4'!H40+'5'!H40+'6'!H40+'7'!H40+'8'!H40+'9'!H40+'10'!H40+'11'!H40+'12'!H40+'13'!H40+'14'!H40+'15'!H40+'16'!H40+'17'!H40+'18'!H40+'19'!H40+'20'!H40+'21'!H40+'22'!H40+'23'!H40+'24'!H40+'25'!H40+'26'!H40+'27'!H40+'28'!H40+'29'!H40+'30'!H40+'31'!H40</f>
        <v>13</v>
      </c>
      <c r="I40" s="15">
        <v>50</v>
      </c>
      <c r="J40" s="47">
        <f>+'1'!J40+'2'!J40+'3'!J40+'4'!J40+'5'!J40+'6'!J40+'7'!J40+'8'!J40+'9'!J40+'10'!J40+'11'!J40+'12'!J40+'13'!J40+'14'!J40+'15'!J40+'16'!J40+'17'!J40+'18'!J40+'19'!J40+'20'!J40+'21'!J40+'22'!J40+'23'!J40+'24'!J40+'25'!J40+'26'!J40+'27'!J40+'28'!J40+'29'!J40+'30'!J40+'31'!J40</f>
        <v>650</v>
      </c>
      <c r="K40" s="15"/>
      <c r="M40" s="56"/>
      <c r="U40" s="5"/>
    </row>
    <row r="41" spans="1:22">
      <c r="A41" s="10">
        <v>37</v>
      </c>
      <c r="B41" s="11" t="s">
        <v>53</v>
      </c>
      <c r="C41" s="46">
        <v>14</v>
      </c>
      <c r="D41" s="47">
        <f>+'1'!D41+'2'!D41+'3'!D41+'4'!D41+'5'!D41+'6'!D41+'7'!D41+'8'!D41+'9'!D41+'10'!D41+'11'!D41+'12'!D41+'13'!D41+'14'!D41+'15'!D41+'16'!D41+'17'!D41+'18'!D41+'19'!D41+'20'!D41+'21'!D41+'22'!D41+'23'!D41+'24'!D41+'25'!D41+'26'!D41+'27'!D41+'28'!D41+'29'!D41+'30'!D41+'31'!D41</f>
        <v>10</v>
      </c>
      <c r="E41" s="46">
        <f t="shared" si="1"/>
        <v>24</v>
      </c>
      <c r="F41" s="47">
        <f>+'1'!F41+'2'!F41+'3'!F41+'4'!F41+'5'!F41+'6'!F41+'7'!F41+'8'!F41+'9'!F41+'10'!F41+'11'!F41+'12'!F41+'13'!F41+'14'!F41+'15'!F41+'16'!F41+'17'!F41+'18'!F41+'19'!F41+'20'!F41+'21'!F41+'22'!F41+'23'!F41+'24'!F41+'25'!F41+'26'!F41+'27'!F41+'28'!F41+'29'!F41+'30'!F41+'31'!F41</f>
        <v>0</v>
      </c>
      <c r="G41" s="46">
        <v>0</v>
      </c>
      <c r="H41" s="47">
        <f>+'1'!H41+'2'!H41+'3'!H41+'4'!H41+'5'!H41+'6'!H41+'7'!H41+'8'!H41+'9'!H41+'10'!H41+'11'!H41+'12'!H41+'13'!H41+'14'!H41+'15'!H41+'16'!H41+'17'!H41+'18'!H41+'19'!H41+'20'!H41+'21'!H41+'22'!H41+'23'!H41+'24'!H41+'25'!H41+'26'!H41+'27'!H41+'28'!H41+'29'!H41+'30'!H41+'31'!H41</f>
        <v>6</v>
      </c>
      <c r="I41" s="15">
        <v>50</v>
      </c>
      <c r="J41" s="47">
        <f>+'1'!J41+'2'!J41+'3'!J41+'4'!J41+'5'!J41+'6'!J41+'7'!J41+'8'!J41+'9'!J41+'10'!J41+'11'!J41+'12'!J41+'13'!J41+'14'!J41+'15'!J41+'16'!J41+'17'!J41+'18'!J41+'19'!J41+'20'!J41+'21'!J41+'22'!J41+'23'!J41+'24'!J41+'25'!J41+'26'!J41+'27'!J41+'28'!J41+'29'!J41+'30'!J41+'31'!J41</f>
        <v>300</v>
      </c>
      <c r="K41" s="15"/>
      <c r="M41" s="56"/>
      <c r="U41" s="5"/>
    </row>
    <row r="42" spans="1:22">
      <c r="A42" s="10">
        <v>38</v>
      </c>
      <c r="B42" s="11" t="s">
        <v>54</v>
      </c>
      <c r="C42" s="46">
        <v>14</v>
      </c>
      <c r="D42" s="47">
        <f>+'1'!D42+'2'!D42+'3'!D42+'4'!D42+'5'!D42+'6'!D42+'7'!D42+'8'!D42+'9'!D42+'10'!D42+'11'!D42+'12'!D42+'13'!D42+'14'!D42+'15'!D42+'16'!D42+'17'!D42+'18'!D42+'19'!D42+'20'!D42+'21'!D42+'22'!D42+'23'!D42+'24'!D42+'25'!D42+'26'!D42+'27'!D42+'28'!D42+'29'!D42+'30'!D42+'31'!D42</f>
        <v>5</v>
      </c>
      <c r="E42" s="46">
        <f t="shared" si="1"/>
        <v>19</v>
      </c>
      <c r="F42" s="47">
        <f>+'1'!F42+'2'!F42+'3'!F42+'4'!F42+'5'!F42+'6'!F42+'7'!F42+'8'!F42+'9'!F42+'10'!F42+'11'!F42+'12'!F42+'13'!F42+'14'!F42+'15'!F42+'16'!F42+'17'!F42+'18'!F42+'19'!F42+'20'!F42+'21'!F42+'22'!F42+'23'!F42+'24'!F42+'25'!F42+'26'!F42+'27'!F42+'28'!F42+'29'!F42+'30'!F42+'31'!F42</f>
        <v>2</v>
      </c>
      <c r="G42" s="46">
        <v>0</v>
      </c>
      <c r="H42" s="47">
        <f>+'1'!H42+'2'!H42+'3'!H42+'4'!H42+'5'!H42+'6'!H42+'7'!H42+'8'!H42+'9'!H42+'10'!H42+'11'!H42+'12'!H42+'13'!H42+'14'!H42+'15'!H42+'16'!H42+'17'!H42+'18'!H42+'19'!H42+'20'!H42+'21'!H42+'22'!H42+'23'!H42+'24'!H42+'25'!H42+'26'!H42+'27'!H42+'28'!H42+'29'!H42+'30'!H42+'31'!H42</f>
        <v>8</v>
      </c>
      <c r="I42" s="15">
        <v>50</v>
      </c>
      <c r="J42" s="47">
        <f>+'1'!J42+'2'!J42+'3'!J42+'4'!J42+'5'!J42+'6'!J42+'7'!J42+'8'!J42+'9'!J42+'10'!J42+'11'!J42+'12'!J42+'13'!J42+'14'!J42+'15'!J42+'16'!J42+'17'!J42+'18'!J42+'19'!J42+'20'!J42+'21'!J42+'22'!J42+'23'!J42+'24'!J42+'25'!J42+'26'!J42+'27'!J42+'28'!J42+'29'!J42+'30'!J42+'31'!J42</f>
        <v>400</v>
      </c>
      <c r="K42" s="15"/>
      <c r="M42" s="56"/>
      <c r="U42" s="5"/>
    </row>
    <row r="43" spans="1:22">
      <c r="A43" s="10">
        <v>39</v>
      </c>
      <c r="B43" s="11" t="s">
        <v>55</v>
      </c>
      <c r="C43" s="46">
        <v>16</v>
      </c>
      <c r="D43" s="47">
        <f>+'1'!D43+'2'!D43+'3'!D43+'4'!D43+'5'!D43+'6'!D43+'7'!D43+'8'!D43+'9'!D43+'10'!D43+'11'!D43+'12'!D43+'13'!D43+'14'!D43+'15'!D43+'16'!D43+'17'!D43+'18'!D43+'19'!D43+'20'!D43+'21'!D43+'22'!D43+'23'!D43+'24'!D43+'25'!D43+'26'!D43+'27'!D43+'28'!D43+'29'!D43+'30'!D43+'31'!D43</f>
        <v>5</v>
      </c>
      <c r="E43" s="46">
        <f t="shared" si="1"/>
        <v>21</v>
      </c>
      <c r="F43" s="47">
        <f>+'1'!F43+'2'!F43+'3'!F43+'4'!F43+'5'!F43+'6'!F43+'7'!F43+'8'!F43+'9'!F43+'10'!F43+'11'!F43+'12'!F43+'13'!F43+'14'!F43+'15'!F43+'16'!F43+'17'!F43+'18'!F43+'19'!F43+'20'!F43+'21'!F43+'22'!F43+'23'!F43+'24'!F43+'25'!F43+'26'!F43+'27'!F43+'28'!F43+'29'!F43+'30'!F43+'31'!F43</f>
        <v>3</v>
      </c>
      <c r="G43" s="46">
        <v>0</v>
      </c>
      <c r="H43" s="47">
        <f>+'1'!H43+'2'!H43+'3'!H43+'4'!H43+'5'!H43+'6'!H43+'7'!H43+'8'!H43+'9'!H43+'10'!H43+'11'!H43+'12'!H43+'13'!H43+'14'!H43+'15'!H43+'16'!H43+'17'!H43+'18'!H43+'19'!H43+'20'!H43+'21'!H43+'22'!H43+'23'!H43+'24'!H43+'25'!H43+'26'!H43+'27'!H43+'28'!H43+'29'!H43+'30'!H43+'31'!H43</f>
        <v>2</v>
      </c>
      <c r="I43" s="15">
        <v>50</v>
      </c>
      <c r="J43" s="47">
        <f>+'1'!J43+'2'!J43+'3'!J43+'4'!J43+'5'!J43+'6'!J43+'7'!J43+'8'!J43+'9'!J43+'10'!J43+'11'!J43+'12'!J43+'13'!J43+'14'!J43+'15'!J43+'16'!J43+'17'!J43+'18'!J43+'19'!J43+'20'!J43+'21'!J43+'22'!J43+'23'!J43+'24'!J43+'25'!J43+'26'!J43+'27'!J43+'28'!J43+'29'!J43+'30'!J43+'31'!J43</f>
        <v>100</v>
      </c>
      <c r="K43" s="15"/>
      <c r="M43" s="56"/>
      <c r="U43" s="5"/>
    </row>
    <row r="44" spans="1:22">
      <c r="A44" s="10">
        <v>40</v>
      </c>
      <c r="B44" s="11" t="s">
        <v>56</v>
      </c>
      <c r="C44" s="46">
        <v>5</v>
      </c>
      <c r="D44" s="47">
        <f>+'1'!D44+'2'!D44+'3'!D44+'4'!D44+'5'!D44+'6'!D44+'7'!D44+'8'!D44+'9'!D44+'10'!D44+'11'!D44+'12'!D44+'13'!D44+'14'!D44+'15'!D44+'16'!D44+'17'!D44+'18'!D44+'19'!D44+'20'!D44+'21'!D44+'22'!D44+'23'!D44+'24'!D44+'25'!D44+'26'!D44+'27'!D44+'28'!D44+'29'!D44+'30'!D44+'31'!D44</f>
        <v>10</v>
      </c>
      <c r="E44" s="46">
        <f t="shared" si="1"/>
        <v>15</v>
      </c>
      <c r="F44" s="47">
        <f>+'1'!F44+'2'!F44+'3'!F44+'4'!F44+'5'!F44+'6'!F44+'7'!F44+'8'!F44+'9'!F44+'10'!F44+'11'!F44+'12'!F44+'13'!F44+'14'!F44+'15'!F44+'16'!F44+'17'!F44+'18'!F44+'19'!F44+'20'!F44+'21'!F44+'22'!F44+'23'!F44+'24'!F44+'25'!F44+'26'!F44+'27'!F44+'28'!F44+'29'!F44+'30'!F44+'31'!F44</f>
        <v>0</v>
      </c>
      <c r="G44" s="46">
        <v>0</v>
      </c>
      <c r="H44" s="47">
        <f>+'1'!H44+'2'!H44+'3'!H44+'4'!H44+'5'!H44+'6'!H44+'7'!H44+'8'!H44+'9'!H44+'10'!H44+'11'!H44+'12'!H44+'13'!H44+'14'!H44+'15'!H44+'16'!H44+'17'!H44+'18'!H44+'19'!H44+'20'!H44+'21'!H44+'22'!H44+'23'!H44+'24'!H44+'25'!H44+'26'!H44+'27'!H44+'28'!H44+'29'!H44+'30'!H44+'31'!H44</f>
        <v>8</v>
      </c>
      <c r="I44" s="15">
        <v>50</v>
      </c>
      <c r="J44" s="47">
        <f>+'1'!J44+'2'!J44+'3'!J44+'4'!J44+'5'!J44+'6'!J44+'7'!J44+'8'!J44+'9'!J44+'10'!J44+'11'!J44+'12'!J44+'13'!J44+'14'!J44+'15'!J44+'16'!J44+'17'!J44+'18'!J44+'19'!J44+'20'!J44+'21'!J44+'22'!J44+'23'!J44+'24'!J44+'25'!J44+'26'!J44+'27'!J44+'28'!J44+'29'!J44+'30'!J44+'31'!J44</f>
        <v>400</v>
      </c>
      <c r="K44" s="15"/>
      <c r="M44" s="56"/>
      <c r="U44" s="5"/>
    </row>
    <row r="45" spans="1:22">
      <c r="A45" s="10">
        <v>41</v>
      </c>
      <c r="B45" s="11" t="s">
        <v>57</v>
      </c>
      <c r="C45" s="46">
        <v>0</v>
      </c>
      <c r="D45" s="47">
        <f>+'1'!D45+'2'!D45+'3'!D45+'4'!D45+'5'!D45+'6'!D45+'7'!D45+'8'!D45+'9'!D45+'10'!D45+'11'!D45+'12'!D45+'13'!D45+'14'!D45+'15'!D45+'16'!D45+'17'!D45+'18'!D45+'19'!D45+'20'!D45+'21'!D45+'22'!D45+'23'!D45+'24'!D45+'25'!D45+'26'!D45+'27'!D45+'28'!D45+'29'!D45+'30'!D45+'31'!D45</f>
        <v>0</v>
      </c>
      <c r="E45" s="46">
        <f t="shared" si="1"/>
        <v>0</v>
      </c>
      <c r="F45" s="47">
        <f>+'1'!F45+'2'!F45+'3'!F45+'4'!F45+'5'!F45+'6'!F45+'7'!F45+'8'!F45+'9'!F45+'10'!F45+'11'!F45+'12'!F45+'13'!F45+'14'!F45+'15'!F45+'16'!F45+'17'!F45+'18'!F45+'19'!F45+'20'!F45+'21'!F45+'22'!F45+'23'!F45+'24'!F45+'25'!F45+'26'!F45+'27'!F45+'28'!F45+'29'!F45+'30'!F45+'31'!F45</f>
        <v>1</v>
      </c>
      <c r="G45" s="46">
        <v>0</v>
      </c>
      <c r="H45" s="47">
        <f>+'1'!H45+'2'!H45+'3'!H45+'4'!H45+'5'!H45+'6'!H45+'7'!H45+'8'!H45+'9'!H45+'10'!H45+'11'!H45+'12'!H45+'13'!H45+'14'!H45+'15'!H45+'16'!H45+'17'!H45+'18'!H45+'19'!H45+'20'!H45+'21'!H45+'22'!H45+'23'!H45+'24'!H45+'25'!H45+'26'!H45+'27'!H45+'28'!H45+'29'!H45+'30'!H45+'31'!H45</f>
        <v>4</v>
      </c>
      <c r="I45" s="15">
        <v>50</v>
      </c>
      <c r="J45" s="47">
        <f>+'1'!J45+'2'!J45+'3'!J45+'4'!J45+'5'!J45+'6'!J45+'7'!J45+'8'!J45+'9'!J45+'10'!J45+'11'!J45+'12'!J45+'13'!J45+'14'!J45+'15'!J45+'16'!J45+'17'!J45+'18'!J45+'19'!J45+'20'!J45+'21'!J45+'22'!J45+'23'!J45+'24'!J45+'25'!J45+'26'!J45+'27'!J45+'28'!J45+'29'!J45+'30'!J45+'31'!J45</f>
        <v>200</v>
      </c>
      <c r="K45" s="15"/>
      <c r="M45" s="56"/>
      <c r="O45" s="54"/>
      <c r="U45" s="5"/>
    </row>
    <row r="46" spans="1:22">
      <c r="A46" s="10">
        <v>42</v>
      </c>
      <c r="B46" s="11" t="s">
        <v>58</v>
      </c>
      <c r="C46" s="46">
        <v>18</v>
      </c>
      <c r="D46" s="47">
        <f>+'1'!D46+'2'!D46+'3'!D46+'4'!D46+'5'!D46+'6'!D46+'7'!D46+'8'!D46+'9'!D46+'10'!D46+'11'!D46+'12'!D46+'13'!D46+'14'!D46+'15'!D46+'16'!D46+'17'!D46+'18'!D46+'19'!D46+'20'!D46+'21'!D46+'22'!D46+'23'!D46+'24'!D46+'25'!D46+'26'!D46+'27'!D46+'28'!D46+'29'!D46+'30'!D46+'31'!D46</f>
        <v>10</v>
      </c>
      <c r="E46" s="46">
        <f t="shared" si="1"/>
        <v>28</v>
      </c>
      <c r="F46" s="47">
        <f>+'1'!F46+'2'!F46+'3'!F46+'4'!F46+'5'!F46+'6'!F46+'7'!F46+'8'!F46+'9'!F46+'10'!F46+'11'!F46+'12'!F46+'13'!F46+'14'!F46+'15'!F46+'16'!F46+'17'!F46+'18'!F46+'19'!F46+'20'!F46+'21'!F46+'22'!F46+'23'!F46+'24'!F46+'25'!F46+'26'!F46+'27'!F46+'28'!F46+'29'!F46+'30'!F46+'31'!F46</f>
        <v>0</v>
      </c>
      <c r="G46" s="46">
        <v>0</v>
      </c>
      <c r="H46" s="47">
        <f>+'1'!H46+'2'!H46+'3'!H46+'4'!H46+'5'!H46+'6'!H46+'7'!H46+'8'!H46+'9'!H46+'10'!H46+'11'!H46+'12'!H46+'13'!H46+'14'!H46+'15'!H46+'16'!H46+'17'!H46+'18'!H46+'19'!H46+'20'!H46+'21'!H46+'22'!H46+'23'!H46+'24'!H46+'25'!H46+'26'!H46+'27'!H46+'28'!H46+'29'!H46+'30'!H46+'31'!H46</f>
        <v>7</v>
      </c>
      <c r="I46" s="15">
        <v>50</v>
      </c>
      <c r="J46" s="47">
        <f>+'1'!J46+'2'!J46+'3'!J46+'4'!J46+'5'!J46+'6'!J46+'7'!J46+'8'!J46+'9'!J46+'10'!J46+'11'!J46+'12'!J46+'13'!J46+'14'!J46+'15'!J46+'16'!J46+'17'!J46+'18'!J46+'19'!J46+'20'!J46+'21'!J46+'22'!J46+'23'!J46+'24'!J46+'25'!J46+'26'!J46+'27'!J46+'28'!J46+'29'!J46+'30'!J46+'31'!J46</f>
        <v>350</v>
      </c>
      <c r="K46" s="23"/>
      <c r="M46" s="56"/>
      <c r="U46" s="5"/>
    </row>
    <row r="47" spans="1:22">
      <c r="A47" s="10">
        <v>43</v>
      </c>
      <c r="B47" s="11" t="s">
        <v>59</v>
      </c>
      <c r="C47" s="46">
        <v>0</v>
      </c>
      <c r="D47" s="47">
        <f>+'1'!D47+'2'!D47+'3'!D47+'4'!D47+'5'!D47+'6'!D47+'7'!D47+'8'!D47+'9'!D47+'10'!D47+'11'!D47+'12'!D47+'13'!D47+'14'!D47+'15'!D47+'16'!D47+'17'!D47+'18'!D47+'19'!D47+'20'!D47+'21'!D47+'22'!D47+'23'!D47+'24'!D47+'25'!D47+'26'!D47+'27'!D47+'28'!D47+'29'!D47+'30'!D47+'31'!D47</f>
        <v>15</v>
      </c>
      <c r="E47" s="46">
        <f t="shared" si="1"/>
        <v>15</v>
      </c>
      <c r="F47" s="47">
        <f>+'1'!F47+'2'!F47+'3'!F47+'4'!F47+'5'!F47+'6'!F47+'7'!F47+'8'!F47+'9'!F47+'10'!F47+'11'!F47+'12'!F47+'13'!F47+'14'!F47+'15'!F47+'16'!F47+'17'!F47+'18'!F47+'19'!F47+'20'!F47+'21'!F47+'22'!F47+'23'!F47+'24'!F47+'25'!F47+'26'!F47+'27'!F47+'28'!F47+'29'!F47+'30'!F47+'31'!F47</f>
        <v>0</v>
      </c>
      <c r="G47" s="46">
        <v>0</v>
      </c>
      <c r="H47" s="47">
        <f>+'1'!H47+'2'!H47+'3'!H47+'4'!H47+'5'!H47+'6'!H47+'7'!H47+'8'!H47+'9'!H47+'10'!H47+'11'!H47+'12'!H47+'13'!H47+'14'!H47+'15'!H47+'16'!H47+'17'!H47+'18'!H47+'19'!H47+'20'!H47+'21'!H47+'22'!H47+'23'!H47+'24'!H47+'25'!H47+'26'!H47+'27'!H47+'28'!H47+'29'!H47+'30'!H47+'31'!H47</f>
        <v>16</v>
      </c>
      <c r="I47" s="15">
        <v>50</v>
      </c>
      <c r="J47" s="47">
        <f>+'1'!J47+'2'!J47+'3'!J47+'4'!J47+'5'!J47+'6'!J47+'7'!J47+'8'!J47+'9'!J47+'10'!J47+'11'!J47+'12'!J47+'13'!J47+'14'!J47+'15'!J47+'16'!J47+'17'!J47+'18'!J47+'19'!J47+'20'!J47+'21'!J47+'22'!J47+'23'!J47+'24'!J47+'25'!J47+'26'!J47+'27'!J47+'28'!J47+'29'!J47+'30'!J47+'31'!J47</f>
        <v>800</v>
      </c>
      <c r="K47" s="23"/>
      <c r="M47" s="56"/>
      <c r="U47" s="5"/>
    </row>
    <row r="48" spans="1:22">
      <c r="A48" s="10">
        <v>44</v>
      </c>
      <c r="B48" s="11" t="s">
        <v>60</v>
      </c>
      <c r="C48" s="46">
        <v>8</v>
      </c>
      <c r="D48" s="47">
        <f>+'1'!D48+'2'!D48+'3'!D48+'4'!D48+'5'!D48+'6'!D48+'7'!D48+'8'!D48+'9'!D48+'10'!D48+'11'!D48+'12'!D48+'13'!D48+'14'!D48+'15'!D48+'16'!D48+'17'!D48+'18'!D48+'19'!D48+'20'!D48+'21'!D48+'22'!D48+'23'!D48+'24'!D48+'25'!D48+'26'!D48+'27'!D48+'28'!D48+'29'!D48+'30'!D48+'31'!D48</f>
        <v>5</v>
      </c>
      <c r="E48" s="46">
        <f t="shared" si="1"/>
        <v>13</v>
      </c>
      <c r="F48" s="47">
        <f>+'1'!F48+'2'!F48+'3'!F48+'4'!F48+'5'!F48+'6'!F48+'7'!F48+'8'!F48+'9'!F48+'10'!F48+'11'!F48+'12'!F48+'13'!F48+'14'!F48+'15'!F48+'16'!F48+'17'!F48+'18'!F48+'19'!F48+'20'!F48+'21'!F48+'22'!F48+'23'!F48+'24'!F48+'25'!F48+'26'!F48+'27'!F48+'28'!F48+'29'!F48+'30'!F48+'31'!F48</f>
        <v>0</v>
      </c>
      <c r="G48" s="46">
        <v>0</v>
      </c>
      <c r="H48" s="47">
        <f>+'1'!H48+'2'!H48+'3'!H48+'4'!H48+'5'!H48+'6'!H48+'7'!H48+'8'!H48+'9'!H48+'10'!H48+'11'!H48+'12'!H48+'13'!H48+'14'!H48+'15'!H48+'16'!H48+'17'!H48+'18'!H48+'19'!H48+'20'!H48+'21'!H48+'22'!H48+'23'!H48+'24'!H48+'25'!H48+'26'!H48+'27'!H48+'28'!H48+'29'!H48+'30'!H48+'31'!H48</f>
        <v>4</v>
      </c>
      <c r="I48" s="15">
        <v>50</v>
      </c>
      <c r="J48" s="47">
        <f>+'1'!J48+'2'!J48+'3'!J48+'4'!J48+'5'!J48+'6'!J48+'7'!J48+'8'!J48+'9'!J48+'10'!J48+'11'!J48+'12'!J48+'13'!J48+'14'!J48+'15'!J48+'16'!J48+'17'!J48+'18'!J48+'19'!J48+'20'!J48+'21'!J48+'22'!J48+'23'!J48+'24'!J48+'25'!J48+'26'!J48+'27'!J48+'28'!J48+'29'!J48+'30'!J48+'31'!J48</f>
        <v>200</v>
      </c>
      <c r="K48" s="23"/>
      <c r="M48" s="56"/>
      <c r="U48" s="5"/>
    </row>
    <row r="49" spans="1:21">
      <c r="A49" s="10">
        <v>45</v>
      </c>
      <c r="B49" s="11" t="s">
        <v>61</v>
      </c>
      <c r="C49" s="46">
        <v>11</v>
      </c>
      <c r="D49" s="47">
        <f>+'1'!D49+'2'!D49+'3'!D49+'4'!D49+'5'!D49+'6'!D49+'7'!D49+'8'!D49+'9'!D49+'10'!D49+'11'!D49+'12'!D49+'13'!D49+'14'!D49+'15'!D49+'16'!D49+'17'!D49+'18'!D49+'19'!D49+'20'!D49+'21'!D49+'22'!D49+'23'!D49+'24'!D49+'25'!D49+'26'!D49+'27'!D49+'28'!D49+'29'!D49+'30'!D49+'31'!D49</f>
        <v>0</v>
      </c>
      <c r="E49" s="46">
        <f t="shared" si="1"/>
        <v>11</v>
      </c>
      <c r="F49" s="47">
        <f>+'1'!F49+'2'!F49+'3'!F49+'4'!F49+'5'!F49+'6'!F49+'7'!F49+'8'!F49+'9'!F49+'10'!F49+'11'!F49+'12'!F49+'13'!F49+'14'!F49+'15'!F49+'16'!F49+'17'!F49+'18'!F49+'19'!F49+'20'!F49+'21'!F49+'22'!F49+'23'!F49+'24'!F49+'25'!F49+'26'!F49+'27'!F49+'28'!F49+'29'!F49+'30'!F49+'31'!F49</f>
        <v>6</v>
      </c>
      <c r="G49" s="46">
        <v>0</v>
      </c>
      <c r="H49" s="47">
        <f>+'1'!H49+'2'!H49+'3'!H49+'4'!H49+'5'!H49+'6'!H49+'7'!H49+'8'!H49+'9'!H49+'10'!H49+'11'!H49+'12'!H49+'13'!H49+'14'!H49+'15'!H49+'16'!H49+'17'!H49+'18'!H49+'19'!H49+'20'!H49+'21'!H49+'22'!H49+'23'!H49+'24'!H49+'25'!H49+'26'!H49+'27'!H49+'28'!H49+'29'!H49+'30'!H49+'31'!H49</f>
        <v>4</v>
      </c>
      <c r="I49" s="15">
        <v>50</v>
      </c>
      <c r="J49" s="47">
        <f>+'1'!J49+'2'!J49+'3'!J49+'4'!J49+'5'!J49+'6'!J49+'7'!J49+'8'!J49+'9'!J49+'10'!J49+'11'!J49+'12'!J49+'13'!J49+'14'!J49+'15'!J49+'16'!J49+'17'!J49+'18'!J49+'19'!J49+'20'!J49+'21'!J49+'22'!J49+'23'!J49+'24'!J49+'25'!J49+'26'!J49+'27'!J49+'28'!J49+'29'!J49+'30'!J49+'31'!J49</f>
        <v>200</v>
      </c>
      <c r="K49" s="23"/>
      <c r="M49" s="56"/>
      <c r="U49" s="5"/>
    </row>
    <row r="50" spans="1:21">
      <c r="A50" s="10">
        <v>46</v>
      </c>
      <c r="B50" s="11" t="s">
        <v>62</v>
      </c>
      <c r="C50" s="46">
        <v>5</v>
      </c>
      <c r="D50" s="47">
        <f>+'1'!D50+'2'!D50+'3'!D50+'4'!D50+'5'!D50+'6'!D50+'7'!D50+'8'!D50+'9'!D50+'10'!D50+'11'!D50+'12'!D50+'13'!D50+'14'!D50+'15'!D50+'16'!D50+'17'!D50+'18'!D50+'19'!D50+'20'!D50+'21'!D50+'22'!D50+'23'!D50+'24'!D50+'25'!D50+'26'!D50+'27'!D50+'28'!D50+'29'!D50+'30'!D50+'31'!D50</f>
        <v>0</v>
      </c>
      <c r="E50" s="46">
        <f t="shared" si="1"/>
        <v>5</v>
      </c>
      <c r="F50" s="47">
        <f>+'1'!F50+'2'!F50+'3'!F50+'4'!F50+'5'!F50+'6'!F50+'7'!F50+'8'!F50+'9'!F50+'10'!F50+'11'!F50+'12'!F50+'13'!F50+'14'!F50+'15'!F50+'16'!F50+'17'!F50+'18'!F50+'19'!F50+'20'!F50+'21'!F50+'22'!F50+'23'!F50+'24'!F50+'25'!F50+'26'!F50+'27'!F50+'28'!F50+'29'!F50+'30'!F50+'31'!F50</f>
        <v>0</v>
      </c>
      <c r="G50" s="46">
        <v>0</v>
      </c>
      <c r="H50" s="47">
        <f>+'1'!H50+'2'!H50+'3'!H50+'4'!H50+'5'!H50+'6'!H50+'7'!H50+'8'!H50+'9'!H50+'10'!H50+'11'!H50+'12'!H50+'13'!H50+'14'!H50+'15'!H50+'16'!H50+'17'!H50+'18'!H50+'19'!H50+'20'!H50+'21'!H50+'22'!H50+'23'!H50+'24'!H50+'25'!H50+'26'!H50+'27'!H50+'28'!H50+'29'!H50+'30'!H50+'31'!H50</f>
        <v>0</v>
      </c>
      <c r="I50" s="15">
        <v>120</v>
      </c>
      <c r="J50" s="47">
        <f>+'1'!J50+'2'!J50+'3'!J50+'4'!J50+'5'!J50+'6'!J50+'7'!J50+'8'!J50+'9'!J50+'10'!J50+'11'!J50+'12'!J50+'13'!J50+'14'!J50+'15'!J50+'16'!J50+'17'!J50+'18'!J50+'19'!J50+'20'!J50+'21'!J50+'22'!J50+'23'!J50+'24'!J50+'25'!J50+'26'!J50+'27'!J50+'28'!J50+'29'!J50+'30'!J50+'31'!J50</f>
        <v>0</v>
      </c>
      <c r="K50" s="23"/>
      <c r="M50" s="56"/>
      <c r="U50" s="5"/>
    </row>
    <row r="51" spans="1:21">
      <c r="A51" s="10">
        <v>47</v>
      </c>
      <c r="B51" s="11" t="s">
        <v>63</v>
      </c>
      <c r="C51" s="46">
        <v>5</v>
      </c>
      <c r="D51" s="47">
        <f>+'1'!D51+'2'!D51+'3'!D51+'4'!D51+'5'!D51+'6'!D51+'7'!D51+'8'!D51+'9'!D51+'10'!D51+'11'!D51+'12'!D51+'13'!D51+'14'!D51+'15'!D51+'16'!D51+'17'!D51+'18'!D51+'19'!D51+'20'!D51+'21'!D51+'22'!D51+'23'!D51+'24'!D51+'25'!D51+'26'!D51+'27'!D51+'28'!D51+'29'!D51+'30'!D51+'31'!D51</f>
        <v>0</v>
      </c>
      <c r="E51" s="46">
        <f t="shared" si="1"/>
        <v>5</v>
      </c>
      <c r="F51" s="47">
        <f>+'1'!F51+'2'!F51+'3'!F51+'4'!F51+'5'!F51+'6'!F51+'7'!F51+'8'!F51+'9'!F51+'10'!F51+'11'!F51+'12'!F51+'13'!F51+'14'!F51+'15'!F51+'16'!F51+'17'!F51+'18'!F51+'19'!F51+'20'!F51+'21'!F51+'22'!F51+'23'!F51+'24'!F51+'25'!F51+'26'!F51+'27'!F51+'28'!F51+'29'!F51+'30'!F51+'31'!F51</f>
        <v>0</v>
      </c>
      <c r="G51" s="46">
        <v>0</v>
      </c>
      <c r="H51" s="47">
        <f>+'1'!H51+'2'!H51+'3'!H51+'4'!H51+'5'!H51+'6'!H51+'7'!H51+'8'!H51+'9'!H51+'10'!H51+'11'!H51+'12'!H51+'13'!H51+'14'!H51+'15'!H51+'16'!H51+'17'!H51+'18'!H51+'19'!H51+'20'!H51+'21'!H51+'22'!H51+'23'!H51+'24'!H51+'25'!H51+'26'!H51+'27'!H51+'28'!H51+'29'!H51+'30'!H51+'31'!H51</f>
        <v>0</v>
      </c>
      <c r="I51" s="15">
        <v>120</v>
      </c>
      <c r="J51" s="47">
        <f>+'1'!J51+'2'!J51+'3'!J51+'4'!J51+'5'!J51+'6'!J51+'7'!J51+'8'!J51+'9'!J51+'10'!J51+'11'!J51+'12'!J51+'13'!J51+'14'!J51+'15'!J51+'16'!J51+'17'!J51+'18'!J51+'19'!J51+'20'!J51+'21'!J51+'22'!J51+'23'!J51+'24'!J51+'25'!J51+'26'!J51+'27'!J51+'28'!J51+'29'!J51+'30'!J51+'31'!J51</f>
        <v>0</v>
      </c>
      <c r="K51" s="23"/>
      <c r="M51" s="56"/>
      <c r="U51" s="5"/>
    </row>
    <row r="52" spans="1:21">
      <c r="A52" s="10">
        <v>48</v>
      </c>
      <c r="B52" s="11" t="s">
        <v>64</v>
      </c>
      <c r="C52" s="46">
        <v>0</v>
      </c>
      <c r="D52" s="47">
        <f>+'1'!D52+'2'!D52+'3'!D52+'4'!D52+'5'!D52+'6'!D52+'7'!D52+'8'!D52+'9'!D52+'10'!D52+'11'!D52+'12'!D52+'13'!D52+'14'!D52+'15'!D52+'16'!D52+'17'!D52+'18'!D52+'19'!D52+'20'!D52+'21'!D52+'22'!D52+'23'!D52+'24'!D52+'25'!D52+'26'!D52+'27'!D52+'28'!D52+'29'!D52+'30'!D52+'31'!D52</f>
        <v>0</v>
      </c>
      <c r="E52" s="46">
        <f t="shared" si="1"/>
        <v>0</v>
      </c>
      <c r="F52" s="47">
        <f>+'1'!F52+'2'!F52+'3'!F52+'4'!F52+'5'!F52+'6'!F52+'7'!F52+'8'!F52+'9'!F52+'10'!F52+'11'!F52+'12'!F52+'13'!F52+'14'!F52+'15'!F52+'16'!F52+'17'!F52+'18'!F52+'19'!F52+'20'!F52+'21'!F52+'22'!F52+'23'!F52+'24'!F52+'25'!F52+'26'!F52+'27'!F52+'28'!F52+'29'!F52+'30'!F52+'31'!F52</f>
        <v>0</v>
      </c>
      <c r="G52" s="46">
        <v>0</v>
      </c>
      <c r="H52" s="47">
        <f>+'1'!H52+'2'!H52+'3'!H52+'4'!H52+'5'!H52+'6'!H52+'7'!H52+'8'!H52+'9'!H52+'10'!H52+'11'!H52+'12'!H52+'13'!H52+'14'!H52+'15'!H52+'16'!H52+'17'!H52+'18'!H52+'19'!H52+'20'!H52+'21'!H52+'22'!H52+'23'!H52+'24'!H52+'25'!H52+'26'!H52+'27'!H52+'28'!H52+'29'!H52+'30'!H52+'31'!H52</f>
        <v>0</v>
      </c>
      <c r="I52" s="19">
        <v>120</v>
      </c>
      <c r="J52" s="47">
        <f>+'1'!J52+'2'!J52+'3'!J52+'4'!J52+'5'!J52+'6'!J52+'7'!J52+'8'!J52+'9'!J52+'10'!J52+'11'!J52+'12'!J52+'13'!J52+'14'!J52+'15'!J52+'16'!J52+'17'!J52+'18'!J52+'19'!J52+'20'!J52+'21'!J52+'22'!J52+'23'!J52+'24'!J52+'25'!J52+'26'!J52+'27'!J52+'28'!J52+'29'!J52+'30'!J52+'31'!J52</f>
        <v>0</v>
      </c>
      <c r="K52" s="23"/>
      <c r="M52" s="56"/>
      <c r="U52" s="5"/>
    </row>
    <row r="53" spans="1:21">
      <c r="A53" s="10">
        <v>49</v>
      </c>
      <c r="B53" s="11" t="s">
        <v>65</v>
      </c>
      <c r="C53" s="46">
        <v>0</v>
      </c>
      <c r="D53" s="47">
        <f>+'1'!D53+'2'!D53+'3'!D53+'4'!D53+'5'!D53+'6'!D53+'7'!D53+'8'!D53+'9'!D53+'10'!D53+'11'!D53+'12'!D53+'13'!D53+'14'!D53+'15'!D53+'16'!D53+'17'!D53+'18'!D53+'19'!D53+'20'!D53+'21'!D53+'22'!D53+'23'!D53+'24'!D53+'25'!D53+'26'!D53+'27'!D53+'28'!D53+'29'!D53+'30'!D53+'31'!D53</f>
        <v>0</v>
      </c>
      <c r="E53" s="46">
        <f t="shared" si="1"/>
        <v>0</v>
      </c>
      <c r="F53" s="47">
        <f>+'1'!F53+'2'!F53+'3'!F53+'4'!F53+'5'!F53+'6'!F53+'7'!F53+'8'!F53+'9'!F53+'10'!F53+'11'!F53+'12'!F53+'13'!F53+'14'!F53+'15'!F53+'16'!F53+'17'!F53+'18'!F53+'19'!F53+'20'!F53+'21'!F53+'22'!F53+'23'!F53+'24'!F53+'25'!F53+'26'!F53+'27'!F53+'28'!F53+'29'!F53+'30'!F53+'31'!F53</f>
        <v>0</v>
      </c>
      <c r="G53" s="46">
        <v>0</v>
      </c>
      <c r="H53" s="47">
        <f>+'1'!H53+'2'!H53+'3'!H53+'4'!H53+'5'!H53+'6'!H53+'7'!H53+'8'!H53+'9'!H53+'10'!H53+'11'!H53+'12'!H53+'13'!H53+'14'!H53+'15'!H53+'16'!H53+'17'!H53+'18'!H53+'19'!H53+'20'!H53+'21'!H53+'22'!H53+'23'!H53+'24'!H53+'25'!H53+'26'!H53+'27'!H53+'28'!H53+'29'!H53+'30'!H53+'31'!H53</f>
        <v>0</v>
      </c>
      <c r="I53" s="15">
        <v>120</v>
      </c>
      <c r="J53" s="47">
        <f>+'1'!J53+'2'!J53+'3'!J53+'4'!J53+'5'!J53+'6'!J53+'7'!J53+'8'!J53+'9'!J53+'10'!J53+'11'!J53+'12'!J53+'13'!J53+'14'!J53+'15'!J53+'16'!J53+'17'!J53+'18'!J53+'19'!J53+'20'!J53+'21'!J53+'22'!J53+'23'!J53+'24'!J53+'25'!J53+'26'!J53+'27'!J53+'28'!J53+'29'!J53+'30'!J53+'31'!J53</f>
        <v>0</v>
      </c>
      <c r="K53" s="23"/>
      <c r="M53" s="56"/>
      <c r="U53" s="5"/>
    </row>
    <row r="54" spans="1:21">
      <c r="A54" s="10">
        <v>50</v>
      </c>
      <c r="B54" s="11" t="s">
        <v>66</v>
      </c>
      <c r="C54" s="46">
        <v>7</v>
      </c>
      <c r="D54" s="47">
        <f>+'1'!D54+'2'!D54+'3'!D54+'4'!D54+'5'!D54+'6'!D54+'7'!D54+'8'!D54+'9'!D54+'10'!D54+'11'!D54+'12'!D54+'13'!D54+'14'!D54+'15'!D54+'16'!D54+'17'!D54+'18'!D54+'19'!D54+'20'!D54+'21'!D54+'22'!D54+'23'!D54+'24'!D54+'25'!D54+'26'!D54+'27'!D54+'28'!D54+'29'!D54+'30'!D54+'31'!D54</f>
        <v>0</v>
      </c>
      <c r="E54" s="46">
        <f t="shared" si="1"/>
        <v>7</v>
      </c>
      <c r="F54" s="47">
        <f>+'1'!F54+'2'!F54+'3'!F54+'4'!F54+'5'!F54+'6'!F54+'7'!F54+'8'!F54+'9'!F54+'10'!F54+'11'!F54+'12'!F54+'13'!F54+'14'!F54+'15'!F54+'16'!F54+'17'!F54+'18'!F54+'19'!F54+'20'!F54+'21'!F54+'22'!F54+'23'!F54+'24'!F54+'25'!F54+'26'!F54+'27'!F54+'28'!F54+'29'!F54+'30'!F54+'31'!F54</f>
        <v>0</v>
      </c>
      <c r="G54" s="46">
        <v>0</v>
      </c>
      <c r="H54" s="47">
        <f>+'1'!H54+'2'!H54+'3'!H54+'4'!H54+'5'!H54+'6'!H54+'7'!H54+'8'!H54+'9'!H54+'10'!H54+'11'!H54+'12'!H54+'13'!H54+'14'!H54+'15'!H54+'16'!H54+'17'!H54+'18'!H54+'19'!H54+'20'!H54+'21'!H54+'22'!H54+'23'!H54+'24'!H54+'25'!H54+'26'!H54+'27'!H54+'28'!H54+'29'!H54+'30'!H54+'31'!H54</f>
        <v>0</v>
      </c>
      <c r="I54" s="15">
        <v>120</v>
      </c>
      <c r="J54" s="47">
        <f>+'1'!J54+'2'!J54+'3'!J54+'4'!J54+'5'!J54+'6'!J54+'7'!J54+'8'!J54+'9'!J54+'10'!J54+'11'!J54+'12'!J54+'13'!J54+'14'!J54+'15'!J54+'16'!J54+'17'!J54+'18'!J54+'19'!J54+'20'!J54+'21'!J54+'22'!J54+'23'!J54+'24'!J54+'25'!J54+'26'!J54+'27'!J54+'28'!J54+'29'!J54+'30'!J54+'31'!J54</f>
        <v>0</v>
      </c>
      <c r="K54" s="23"/>
      <c r="M54" s="56"/>
      <c r="U54" s="5"/>
    </row>
    <row r="55" spans="1:21">
      <c r="A55" s="10">
        <v>51</v>
      </c>
      <c r="B55" s="11" t="s">
        <v>67</v>
      </c>
      <c r="C55" s="46">
        <v>10</v>
      </c>
      <c r="D55" s="47">
        <f>+'1'!D55+'2'!D55+'3'!D55+'4'!D55+'5'!D55+'6'!D55+'7'!D55+'8'!D55+'9'!D55+'10'!D55+'11'!D55+'12'!D55+'13'!D55+'14'!D55+'15'!D55+'16'!D55+'17'!D55+'18'!D55+'19'!D55+'20'!D55+'21'!D55+'22'!D55+'23'!D55+'24'!D55+'25'!D55+'26'!D55+'27'!D55+'28'!D55+'29'!D55+'30'!D55+'31'!D55</f>
        <v>0</v>
      </c>
      <c r="E55" s="46">
        <f t="shared" si="1"/>
        <v>10</v>
      </c>
      <c r="F55" s="47">
        <f>+'1'!F55+'2'!F55+'3'!F55+'4'!F55+'5'!F55+'6'!F55+'7'!F55+'8'!F55+'9'!F55+'10'!F55+'11'!F55+'12'!F55+'13'!F55+'14'!F55+'15'!F55+'16'!F55+'17'!F55+'18'!F55+'19'!F55+'20'!F55+'21'!F55+'22'!F55+'23'!F55+'24'!F55+'25'!F55+'26'!F55+'27'!F55+'28'!F55+'29'!F55+'30'!F55+'31'!F55</f>
        <v>0</v>
      </c>
      <c r="G55" s="46">
        <v>0</v>
      </c>
      <c r="H55" s="47">
        <f>+'1'!H55+'2'!H55+'3'!H55+'4'!H55+'5'!H55+'6'!H55+'7'!H55+'8'!H55+'9'!H55+'10'!H55+'11'!H55+'12'!H55+'13'!H55+'14'!H55+'15'!H55+'16'!H55+'17'!H55+'18'!H55+'19'!H55+'20'!H55+'21'!H55+'22'!H55+'23'!H55+'24'!H55+'25'!H55+'26'!H55+'27'!H55+'28'!H55+'29'!H55+'30'!H55+'31'!H55</f>
        <v>0</v>
      </c>
      <c r="I55" s="19">
        <v>120</v>
      </c>
      <c r="J55" s="47">
        <f>+'1'!J55+'2'!J55+'3'!J55+'4'!J55+'5'!J55+'6'!J55+'7'!J55+'8'!J55+'9'!J55+'10'!J55+'11'!J55+'12'!J55+'13'!J55+'14'!J55+'15'!J55+'16'!J55+'17'!J55+'18'!J55+'19'!J55+'20'!J55+'21'!J55+'22'!J55+'23'!J55+'24'!J55+'25'!J55+'26'!J55+'27'!J55+'28'!J55+'29'!J55+'30'!J55+'31'!J55</f>
        <v>0</v>
      </c>
      <c r="K55" s="21"/>
      <c r="M55" s="56"/>
      <c r="U55" s="5"/>
    </row>
    <row r="56" spans="1:21">
      <c r="A56" s="10">
        <v>52</v>
      </c>
      <c r="B56" s="11" t="s">
        <v>68</v>
      </c>
      <c r="C56" s="46">
        <v>0</v>
      </c>
      <c r="D56" s="47">
        <f>+'1'!D56+'2'!D56+'3'!D56+'4'!D56+'5'!D56+'6'!D56+'7'!D56+'8'!D56+'9'!D56+'10'!D56+'11'!D56+'12'!D56+'13'!D56+'14'!D56+'15'!D56+'16'!D56+'17'!D56+'18'!D56+'19'!D56+'20'!D56+'21'!D56+'22'!D56+'23'!D56+'24'!D56+'25'!D56+'26'!D56+'27'!D56+'28'!D56+'29'!D56+'30'!D56+'31'!D56</f>
        <v>0</v>
      </c>
      <c r="E56" s="46">
        <f t="shared" si="1"/>
        <v>0</v>
      </c>
      <c r="F56" s="47">
        <f>+'1'!F56+'2'!F56+'3'!F56+'4'!F56+'5'!F56+'6'!F56+'7'!F56+'8'!F56+'9'!F56+'10'!F56+'11'!F56+'12'!F56+'13'!F56+'14'!F56+'15'!F56+'16'!F56+'17'!F56+'18'!F56+'19'!F56+'20'!F56+'21'!F56+'22'!F56+'23'!F56+'24'!F56+'25'!F56+'26'!F56+'27'!F56+'28'!F56+'29'!F56+'30'!F56+'31'!F56</f>
        <v>0</v>
      </c>
      <c r="G56" s="46">
        <v>0</v>
      </c>
      <c r="H56" s="47">
        <f>+'1'!H56+'2'!H56+'3'!H56+'4'!H56+'5'!H56+'6'!H56+'7'!H56+'8'!H56+'9'!H56+'10'!H56+'11'!H56+'12'!H56+'13'!H56+'14'!H56+'15'!H56+'16'!H56+'17'!H56+'18'!H56+'19'!H56+'20'!H56+'21'!H56+'22'!H56+'23'!H56+'24'!H56+'25'!H56+'26'!H56+'27'!H56+'28'!H56+'29'!H56+'30'!H56+'31'!H56</f>
        <v>0</v>
      </c>
      <c r="I56" s="19">
        <v>120</v>
      </c>
      <c r="J56" s="47">
        <f>+'1'!J56+'2'!J56+'3'!J56+'4'!J56+'5'!J56+'6'!J56+'7'!J56+'8'!J56+'9'!J56+'10'!J56+'11'!J56+'12'!J56+'13'!J56+'14'!J56+'15'!J56+'16'!J56+'17'!J56+'18'!J56+'19'!J56+'20'!J56+'21'!J56+'22'!J56+'23'!J56+'24'!J56+'25'!J56+'26'!J56+'27'!J56+'28'!J56+'29'!J56+'30'!J56+'31'!J56</f>
        <v>0</v>
      </c>
      <c r="K56" s="21"/>
      <c r="M56" s="56"/>
      <c r="U56" s="5"/>
    </row>
    <row r="57" spans="1:21">
      <c r="A57" s="10">
        <v>53</v>
      </c>
      <c r="B57" s="11" t="s">
        <v>69</v>
      </c>
      <c r="C57" s="46">
        <v>10</v>
      </c>
      <c r="D57" s="47">
        <f>+'1'!D57+'2'!D57+'3'!D57+'4'!D57+'5'!D57+'6'!D57+'7'!D57+'8'!D57+'9'!D57+'10'!D57+'11'!D57+'12'!D57+'13'!D57+'14'!D57+'15'!D57+'16'!D57+'17'!D57+'18'!D57+'19'!D57+'20'!D57+'21'!D57+'22'!D57+'23'!D57+'24'!D57+'25'!D57+'26'!D57+'27'!D57+'28'!D57+'29'!D57+'30'!D57+'31'!D57</f>
        <v>0</v>
      </c>
      <c r="E57" s="46">
        <f t="shared" si="1"/>
        <v>10</v>
      </c>
      <c r="F57" s="47">
        <f>+'1'!F57+'2'!F57+'3'!F57+'4'!F57+'5'!F57+'6'!F57+'7'!F57+'8'!F57+'9'!F57+'10'!F57+'11'!F57+'12'!F57+'13'!F57+'14'!F57+'15'!F57+'16'!F57+'17'!F57+'18'!F57+'19'!F57+'20'!F57+'21'!F57+'22'!F57+'23'!F57+'24'!F57+'25'!F57+'26'!F57+'27'!F57+'28'!F57+'29'!F57+'30'!F57+'31'!F57</f>
        <v>0</v>
      </c>
      <c r="G57" s="46">
        <v>0</v>
      </c>
      <c r="H57" s="47">
        <f>+'1'!H57+'2'!H57+'3'!H57+'4'!H57+'5'!H57+'6'!H57+'7'!H57+'8'!H57+'9'!H57+'10'!H57+'11'!H57+'12'!H57+'13'!H57+'14'!H57+'15'!H57+'16'!H57+'17'!H57+'18'!H57+'19'!H57+'20'!H57+'21'!H57+'22'!H57+'23'!H57+'24'!H57+'25'!H57+'26'!H57+'27'!H57+'28'!H57+'29'!H57+'30'!H57+'31'!H57</f>
        <v>0</v>
      </c>
      <c r="I57" s="19">
        <v>120</v>
      </c>
      <c r="J57" s="47">
        <f>+'1'!J57+'2'!J57+'3'!J57+'4'!J57+'5'!J57+'6'!J57+'7'!J57+'8'!J57+'9'!J57+'10'!J57+'11'!J57+'12'!J57+'13'!J57+'14'!J57+'15'!J57+'16'!J57+'17'!J57+'18'!J57+'19'!J57+'20'!J57+'21'!J57+'22'!J57+'23'!J57+'24'!J57+'25'!J57+'26'!J57+'27'!J57+'28'!J57+'29'!J57+'30'!J57+'31'!J57</f>
        <v>0</v>
      </c>
      <c r="K57" s="21"/>
      <c r="M57" s="56"/>
      <c r="U57" s="5"/>
    </row>
    <row r="58" spans="1:21">
      <c r="A58" s="10">
        <v>54</v>
      </c>
      <c r="B58" s="11" t="s">
        <v>70</v>
      </c>
      <c r="C58" s="46">
        <v>0</v>
      </c>
      <c r="D58" s="47">
        <f>+'1'!D58+'2'!D58+'3'!D58+'4'!D58+'5'!D58+'6'!D58+'7'!D58+'8'!D58+'9'!D58+'10'!D58+'11'!D58+'12'!D58+'13'!D58+'14'!D58+'15'!D58+'16'!D58+'17'!D58+'18'!D58+'19'!D58+'20'!D58+'21'!D58+'22'!D58+'23'!D58+'24'!D58+'25'!D58+'26'!D58+'27'!D58+'28'!D58+'29'!D58+'30'!D58+'31'!D58</f>
        <v>0</v>
      </c>
      <c r="E58" s="46">
        <f t="shared" si="1"/>
        <v>0</v>
      </c>
      <c r="F58" s="47">
        <f>+'1'!F58+'2'!F58+'3'!F58+'4'!F58+'5'!F58+'6'!F58+'7'!F58+'8'!F58+'9'!F58+'10'!F58+'11'!F58+'12'!F58+'13'!F58+'14'!F58+'15'!F58+'16'!F58+'17'!F58+'18'!F58+'19'!F58+'20'!F58+'21'!F58+'22'!F58+'23'!F58+'24'!F58+'25'!F58+'26'!F58+'27'!F58+'28'!F58+'29'!F58+'30'!F58+'31'!F58</f>
        <v>0</v>
      </c>
      <c r="G58" s="46">
        <v>0</v>
      </c>
      <c r="H58" s="47">
        <f>+'1'!H58+'2'!H58+'3'!H58+'4'!H58+'5'!H58+'6'!H58+'7'!H58+'8'!H58+'9'!H58+'10'!H58+'11'!H58+'12'!H58+'13'!H58+'14'!H58+'15'!H58+'16'!H58+'17'!H58+'18'!H58+'19'!H58+'20'!H58+'21'!H58+'22'!H58+'23'!H58+'24'!H58+'25'!H58+'26'!H58+'27'!H58+'28'!H58+'29'!H58+'30'!H58+'31'!H58</f>
        <v>0</v>
      </c>
      <c r="I58" s="19">
        <v>120</v>
      </c>
      <c r="J58" s="47">
        <f>+'1'!J58+'2'!J58+'3'!J58+'4'!J58+'5'!J58+'6'!J58+'7'!J58+'8'!J58+'9'!J58+'10'!J58+'11'!J58+'12'!J58+'13'!J58+'14'!J58+'15'!J58+'16'!J58+'17'!J58+'18'!J58+'19'!J58+'20'!J58+'21'!J58+'22'!J58+'23'!J58+'24'!J58+'25'!J58+'26'!J58+'27'!J58+'28'!J58+'29'!J58+'30'!J58+'31'!J58</f>
        <v>0</v>
      </c>
      <c r="K58" s="21"/>
      <c r="M58" s="56"/>
      <c r="U58" s="5"/>
    </row>
    <row r="59" spans="1:21">
      <c r="A59" s="10">
        <v>55</v>
      </c>
      <c r="B59" s="11" t="s">
        <v>71</v>
      </c>
      <c r="C59" s="46">
        <v>0</v>
      </c>
      <c r="D59" s="47">
        <f>+'1'!D59+'2'!D59+'3'!D59+'4'!D59+'5'!D59+'6'!D59+'7'!D59+'8'!D59+'9'!D59+'10'!D59+'11'!D59+'12'!D59+'13'!D59+'14'!D59+'15'!D59+'16'!D59+'17'!D59+'18'!D59+'19'!D59+'20'!D59+'21'!D59+'22'!D59+'23'!D59+'24'!D59+'25'!D59+'26'!D59+'27'!D59+'28'!D59+'29'!D59+'30'!D59+'31'!D59</f>
        <v>0</v>
      </c>
      <c r="E59" s="46">
        <f t="shared" si="1"/>
        <v>0</v>
      </c>
      <c r="F59" s="47">
        <f>+'1'!F59+'2'!F59+'3'!F59+'4'!F59+'5'!F59+'6'!F59+'7'!F59+'8'!F59+'9'!F59+'10'!F59+'11'!F59+'12'!F59+'13'!F59+'14'!F59+'15'!F59+'16'!F59+'17'!F59+'18'!F59+'19'!F59+'20'!F59+'21'!F59+'22'!F59+'23'!F59+'24'!F59+'25'!F59+'26'!F59+'27'!F59+'28'!F59+'29'!F59+'30'!F59+'31'!F59</f>
        <v>0</v>
      </c>
      <c r="G59" s="46">
        <v>0</v>
      </c>
      <c r="H59" s="47">
        <f>+'1'!H59+'2'!H59+'3'!H59+'4'!H59+'5'!H59+'6'!H59+'7'!H59+'8'!H59+'9'!H59+'10'!H59+'11'!H59+'12'!H59+'13'!H59+'14'!H59+'15'!H59+'16'!H59+'17'!H59+'18'!H59+'19'!H59+'20'!H59+'21'!H59+'22'!H59+'23'!H59+'24'!H59+'25'!H59+'26'!H59+'27'!H59+'28'!H59+'29'!H59+'30'!H59+'31'!H59</f>
        <v>0</v>
      </c>
      <c r="I59" s="15">
        <v>70</v>
      </c>
      <c r="J59" s="47">
        <f>+'1'!J59+'2'!J59+'3'!J59+'4'!J59+'5'!J59+'6'!J59+'7'!J59+'8'!J59+'9'!J59+'10'!J59+'11'!J59+'12'!J59+'13'!J59+'14'!J59+'15'!J59+'16'!J59+'17'!J59+'18'!J59+'19'!J59+'20'!J59+'21'!J59+'22'!J59+'23'!J59+'24'!J59+'25'!J59+'26'!J59+'27'!J59+'28'!J59+'29'!J59+'30'!J59+'31'!J59</f>
        <v>0</v>
      </c>
      <c r="K59" s="20"/>
      <c r="M59" s="56"/>
      <c r="U59" s="5"/>
    </row>
    <row r="60" spans="1:21">
      <c r="A60" s="10">
        <v>56</v>
      </c>
      <c r="B60" s="11" t="s">
        <v>72</v>
      </c>
      <c r="C60" s="46">
        <v>0</v>
      </c>
      <c r="D60" s="47">
        <f>+'1'!D60+'2'!D60+'3'!D60+'4'!D60+'5'!D60+'6'!D60+'7'!D60+'8'!D60+'9'!D60+'10'!D60+'11'!D60+'12'!D60+'13'!D60+'14'!D60+'15'!D60+'16'!D60+'17'!D60+'18'!D60+'19'!D60+'20'!D60+'21'!D60+'22'!D60+'23'!D60+'24'!D60+'25'!D60+'26'!D60+'27'!D60+'28'!D60+'29'!D60+'30'!D60+'31'!D60</f>
        <v>0</v>
      </c>
      <c r="E60" s="46">
        <f t="shared" si="1"/>
        <v>0</v>
      </c>
      <c r="F60" s="47">
        <f>+'1'!F60+'2'!F60+'3'!F60+'4'!F60+'5'!F60+'6'!F60+'7'!F60+'8'!F60+'9'!F60+'10'!F60+'11'!F60+'12'!F60+'13'!F60+'14'!F60+'15'!F60+'16'!F60+'17'!F60+'18'!F60+'19'!F60+'20'!F60+'21'!F60+'22'!F60+'23'!F60+'24'!F60+'25'!F60+'26'!F60+'27'!F60+'28'!F60+'29'!F60+'30'!F60+'31'!F60</f>
        <v>0</v>
      </c>
      <c r="G60" s="46">
        <v>0</v>
      </c>
      <c r="H60" s="47">
        <f>+'1'!H60+'2'!H60+'3'!H60+'4'!H60+'5'!H60+'6'!H60+'7'!H60+'8'!H60+'9'!H60+'10'!H60+'11'!H60+'12'!H60+'13'!H60+'14'!H60+'15'!H60+'16'!H60+'17'!H60+'18'!H60+'19'!H60+'20'!H60+'21'!H60+'22'!H60+'23'!H60+'24'!H60+'25'!H60+'26'!H60+'27'!H60+'28'!H60+'29'!H60+'30'!H60+'31'!H60</f>
        <v>0</v>
      </c>
      <c r="I60" s="19">
        <v>80</v>
      </c>
      <c r="J60" s="47">
        <f>+'1'!J60+'2'!J60+'3'!J60+'4'!J60+'5'!J60+'6'!J60+'7'!J60+'8'!J60+'9'!J60+'10'!J60+'11'!J60+'12'!J60+'13'!J60+'14'!J60+'15'!J60+'16'!J60+'17'!J60+'18'!J60+'19'!J60+'20'!J60+'21'!J60+'22'!J60+'23'!J60+'24'!J60+'25'!J60+'26'!J60+'27'!J60+'28'!J60+'29'!J60+'30'!J60+'31'!J60</f>
        <v>0</v>
      </c>
      <c r="K60" s="20"/>
      <c r="M60" s="56"/>
      <c r="U60" s="5"/>
    </row>
    <row r="61" spans="1:21">
      <c r="A61" s="10">
        <v>57</v>
      </c>
      <c r="B61" s="11" t="s">
        <v>73</v>
      </c>
      <c r="C61" s="46">
        <v>0</v>
      </c>
      <c r="D61" s="47">
        <f>+'1'!D61+'2'!D61+'3'!D61+'4'!D61+'5'!D61+'6'!D61+'7'!D61+'8'!D61+'9'!D61+'10'!D61+'11'!D61+'12'!D61+'13'!D61+'14'!D61+'15'!D61+'16'!D61+'17'!D61+'18'!D61+'19'!D61+'20'!D61+'21'!D61+'22'!D61+'23'!D61+'24'!D61+'25'!D61+'26'!D61+'27'!D61+'28'!D61+'29'!D61+'30'!D61+'31'!D61</f>
        <v>6</v>
      </c>
      <c r="E61" s="46">
        <f t="shared" si="1"/>
        <v>6</v>
      </c>
      <c r="F61" s="47">
        <f>+'1'!F61+'2'!F61+'3'!F61+'4'!F61+'5'!F61+'6'!F61+'7'!F61+'8'!F61+'9'!F61+'10'!F61+'11'!F61+'12'!F61+'13'!F61+'14'!F61+'15'!F61+'16'!F61+'17'!F61+'18'!F61+'19'!F61+'20'!F61+'21'!F61+'22'!F61+'23'!F61+'24'!F61+'25'!F61+'26'!F61+'27'!F61+'28'!F61+'29'!F61+'30'!F61+'31'!F61</f>
        <v>2</v>
      </c>
      <c r="G61" s="46">
        <v>0</v>
      </c>
      <c r="H61" s="47">
        <f>+'1'!H61+'2'!H61+'3'!H61+'4'!H61+'5'!H61+'6'!H61+'7'!H61+'8'!H61+'9'!H61+'10'!H61+'11'!H61+'12'!H61+'13'!H61+'14'!H61+'15'!H61+'16'!H61+'17'!H61+'18'!H61+'19'!H61+'20'!H61+'21'!H61+'22'!H61+'23'!H61+'24'!H61+'25'!H61+'26'!H61+'27'!H61+'28'!H61+'29'!H61+'30'!H61+'31'!H61</f>
        <v>6</v>
      </c>
      <c r="I61" s="15">
        <v>50</v>
      </c>
      <c r="J61" s="47">
        <f>+'1'!J61+'2'!J61+'3'!J61+'4'!J61+'5'!J61+'6'!J61+'7'!J61+'8'!J61+'9'!J61+'10'!J61+'11'!J61+'12'!J61+'13'!J61+'14'!J61+'15'!J61+'16'!J61+'17'!J61+'18'!J61+'19'!J61+'20'!J61+'21'!J61+'22'!J61+'23'!J61+'24'!J61+'25'!J61+'26'!J61+'27'!J61+'28'!J61+'29'!J61+'30'!J61+'31'!J61</f>
        <v>300</v>
      </c>
      <c r="K61" s="20"/>
      <c r="M61" s="56"/>
      <c r="U61" s="5"/>
    </row>
    <row r="62" spans="1:21">
      <c r="A62" s="10">
        <v>58</v>
      </c>
      <c r="B62" s="20" t="s">
        <v>74</v>
      </c>
      <c r="C62" s="46">
        <v>3</v>
      </c>
      <c r="D62" s="47">
        <f>+'1'!D62+'2'!D62+'3'!D62+'4'!D62+'5'!D62+'6'!D62+'7'!D62+'8'!D62+'9'!D62+'10'!D62+'11'!D62+'12'!D62+'13'!D62+'14'!D62+'15'!D62+'16'!D62+'17'!D62+'18'!D62+'19'!D62+'20'!D62+'21'!D62+'22'!D62+'23'!D62+'24'!D62+'25'!D62+'26'!D62+'27'!D62+'28'!D62+'29'!D62+'30'!D62+'31'!D62</f>
        <v>8</v>
      </c>
      <c r="E62" s="46">
        <f t="shared" si="1"/>
        <v>11</v>
      </c>
      <c r="F62" s="47">
        <f>+'1'!F62+'2'!F62+'3'!F62+'4'!F62+'5'!F62+'6'!F62+'7'!F62+'8'!F62+'9'!F62+'10'!F62+'11'!F62+'12'!F62+'13'!F62+'14'!F62+'15'!F62+'16'!F62+'17'!F62+'18'!F62+'19'!F62+'20'!F62+'21'!F62+'22'!F62+'23'!F62+'24'!F62+'25'!F62+'26'!F62+'27'!F62+'28'!F62+'29'!F62+'30'!F62+'31'!F62</f>
        <v>4</v>
      </c>
      <c r="G62" s="46">
        <v>0</v>
      </c>
      <c r="H62" s="47">
        <f>+'1'!H62+'2'!H62+'3'!H62+'4'!H62+'5'!H62+'6'!H62+'7'!H62+'8'!H62+'9'!H62+'10'!H62+'11'!H62+'12'!H62+'13'!H62+'14'!H62+'15'!H62+'16'!H62+'17'!H62+'18'!H62+'19'!H62+'20'!H62+'21'!H62+'22'!H62+'23'!H62+'24'!H62+'25'!H62+'26'!H62+'27'!H62+'28'!H62+'29'!H62+'30'!H62+'31'!H62</f>
        <v>7</v>
      </c>
      <c r="I62" s="21">
        <v>50</v>
      </c>
      <c r="J62" s="47">
        <f>+'1'!J62+'2'!J62+'3'!J62+'4'!J62+'5'!J62+'6'!J62+'7'!J62+'8'!J62+'9'!J62+'10'!J62+'11'!J62+'12'!J62+'13'!J62+'14'!J62+'15'!J62+'16'!J62+'17'!J62+'18'!J62+'19'!J62+'20'!J62+'21'!J62+'22'!J62+'23'!J62+'24'!J62+'25'!J62+'26'!J62+'27'!J62+'28'!J62+'29'!J62+'30'!J62+'31'!J62</f>
        <v>350</v>
      </c>
      <c r="K62" s="20"/>
      <c r="M62" s="56"/>
      <c r="U62" s="5"/>
    </row>
    <row r="63" spans="1:21">
      <c r="A63" s="10">
        <v>59</v>
      </c>
      <c r="B63" s="20" t="s">
        <v>75</v>
      </c>
      <c r="C63" s="46">
        <v>1</v>
      </c>
      <c r="D63" s="47">
        <f>+'1'!D63+'2'!D63+'3'!D63+'4'!D63+'5'!D63+'6'!D63+'7'!D63+'8'!D63+'9'!D63+'10'!D63+'11'!D63+'12'!D63+'13'!D63+'14'!D63+'15'!D63+'16'!D63+'17'!D63+'18'!D63+'19'!D63+'20'!D63+'21'!D63+'22'!D63+'23'!D63+'24'!D63+'25'!D63+'26'!D63+'27'!D63+'28'!D63+'29'!D63+'30'!D63+'31'!D63</f>
        <v>9</v>
      </c>
      <c r="E63" s="46">
        <f t="shared" si="1"/>
        <v>10</v>
      </c>
      <c r="F63" s="47">
        <f>+'1'!F63+'2'!F63+'3'!F63+'4'!F63+'5'!F63+'6'!F63+'7'!F63+'8'!F63+'9'!F63+'10'!F63+'11'!F63+'12'!F63+'13'!F63+'14'!F63+'15'!F63+'16'!F63+'17'!F63+'18'!F63+'19'!F63+'20'!F63+'21'!F63+'22'!F63+'23'!F63+'24'!F63+'25'!F63+'26'!F63+'27'!F63+'28'!F63+'29'!F63+'30'!F63+'31'!F63</f>
        <v>2</v>
      </c>
      <c r="G63" s="46">
        <v>0</v>
      </c>
      <c r="H63" s="47">
        <f>+'1'!H63+'2'!H63+'3'!H63+'4'!H63+'5'!H63+'6'!H63+'7'!H63+'8'!H63+'9'!H63+'10'!H63+'11'!H63+'12'!H63+'13'!H63+'14'!H63+'15'!H63+'16'!H63+'17'!H63+'18'!H63+'19'!H63+'20'!H63+'21'!H63+'22'!H63+'23'!H63+'24'!H63+'25'!H63+'26'!H63+'27'!H63+'28'!H63+'29'!H63+'30'!H63+'31'!H63</f>
        <v>8</v>
      </c>
      <c r="I63" s="21">
        <v>50</v>
      </c>
      <c r="J63" s="47">
        <f>+'1'!J63+'2'!J63+'3'!J63+'4'!J63+'5'!J63+'6'!J63+'7'!J63+'8'!J63+'9'!J63+'10'!J63+'11'!J63+'12'!J63+'13'!J63+'14'!J63+'15'!J63+'16'!J63+'17'!J63+'18'!J63+'19'!J63+'20'!J63+'21'!J63+'22'!J63+'23'!J63+'24'!J63+'25'!J63+'26'!J63+'27'!J63+'28'!J63+'29'!J63+'30'!J63+'31'!J63</f>
        <v>400</v>
      </c>
      <c r="K63" s="20"/>
      <c r="M63" s="56"/>
      <c r="U63" s="5"/>
    </row>
    <row r="64" spans="1:21">
      <c r="A64" s="10">
        <v>60</v>
      </c>
      <c r="B64" s="11" t="s">
        <v>76</v>
      </c>
      <c r="C64" s="46">
        <v>0</v>
      </c>
      <c r="D64" s="47">
        <f>+'1'!D64+'2'!D64+'3'!D64+'4'!D64+'5'!D64+'6'!D64+'7'!D64+'8'!D64+'9'!D64+'10'!D64+'11'!D64+'12'!D64+'13'!D64+'14'!D64+'15'!D64+'16'!D64+'17'!D64+'18'!D64+'19'!D64+'20'!D64+'21'!D64+'22'!D64+'23'!D64+'24'!D64+'25'!D64+'26'!D64+'27'!D64+'28'!D64+'29'!D64+'30'!D64+'31'!D64</f>
        <v>0</v>
      </c>
      <c r="E64" s="46">
        <f t="shared" si="1"/>
        <v>0</v>
      </c>
      <c r="F64" s="47">
        <f>+'1'!F64+'2'!F64+'3'!F64+'4'!F64+'5'!F64+'6'!F64+'7'!F64+'8'!F64+'9'!F64+'10'!F64+'11'!F64+'12'!F64+'13'!F64+'14'!F64+'15'!F64+'16'!F64+'17'!F64+'18'!F64+'19'!F64+'20'!F64+'21'!F64+'22'!F64+'23'!F64+'24'!F64+'25'!F64+'26'!F64+'27'!F64+'28'!F64+'29'!F64+'30'!F64+'31'!F64</f>
        <v>0</v>
      </c>
      <c r="G64" s="46">
        <v>0</v>
      </c>
      <c r="H64" s="47">
        <f>+'1'!H64+'2'!H64+'3'!H64+'4'!H64+'5'!H64+'6'!H64+'7'!H64+'8'!H64+'9'!H64+'10'!H64+'11'!H64+'12'!H64+'13'!H64+'14'!H64+'15'!H64+'16'!H64+'17'!H64+'18'!H64+'19'!H64+'20'!H64+'21'!H64+'22'!H64+'23'!H64+'24'!H64+'25'!H64+'26'!H64+'27'!H64+'28'!H64+'29'!H64+'30'!H64+'31'!H64</f>
        <v>0</v>
      </c>
      <c r="I64" s="19">
        <v>30</v>
      </c>
      <c r="J64" s="47">
        <f>+'1'!J64+'2'!J64+'3'!J64+'4'!J64+'5'!J64+'6'!J64+'7'!J64+'8'!J64+'9'!J64+'10'!J64+'11'!J64+'12'!J64+'13'!J64+'14'!J64+'15'!J64+'16'!J64+'17'!J64+'18'!J64+'19'!J64+'20'!J64+'21'!J64+'22'!J64+'23'!J64+'24'!J64+'25'!J64+'26'!J64+'27'!J64+'28'!J64+'29'!J64+'30'!J64+'31'!J64</f>
        <v>0</v>
      </c>
      <c r="K64" s="20"/>
      <c r="M64" s="56"/>
      <c r="U64" s="5"/>
    </row>
    <row r="65" spans="1:21">
      <c r="A65" s="10">
        <v>61</v>
      </c>
      <c r="B65" s="11" t="s">
        <v>77</v>
      </c>
      <c r="C65" s="46">
        <v>0</v>
      </c>
      <c r="D65" s="47">
        <f>+'1'!D65+'2'!D65+'3'!D65+'4'!D65+'5'!D65+'6'!D65+'7'!D65+'8'!D65+'9'!D65+'10'!D65+'11'!D65+'12'!D65+'13'!D65+'14'!D65+'15'!D65+'16'!D65+'17'!D65+'18'!D65+'19'!D65+'20'!D65+'21'!D65+'22'!D65+'23'!D65+'24'!D65+'25'!D65+'26'!D65+'27'!D65+'28'!D65+'29'!D65+'30'!D65+'31'!D65</f>
        <v>0</v>
      </c>
      <c r="E65" s="46">
        <f t="shared" si="1"/>
        <v>0</v>
      </c>
      <c r="F65" s="47">
        <f>+'1'!F65+'2'!F65+'3'!F65+'4'!F65+'5'!F65+'6'!F65+'7'!F65+'8'!F65+'9'!F65+'10'!F65+'11'!F65+'12'!F65+'13'!F65+'14'!F65+'15'!F65+'16'!F65+'17'!F65+'18'!F65+'19'!F65+'20'!F65+'21'!F65+'22'!F65+'23'!F65+'24'!F65+'25'!F65+'26'!F65+'27'!F65+'28'!F65+'29'!F65+'30'!F65+'31'!F65</f>
        <v>0</v>
      </c>
      <c r="G65" s="46">
        <v>0</v>
      </c>
      <c r="H65" s="47">
        <f>+'1'!H65+'2'!H65+'3'!H65+'4'!H65+'5'!H65+'6'!H65+'7'!H65+'8'!H65+'9'!H65+'10'!H65+'11'!H65+'12'!H65+'13'!H65+'14'!H65+'15'!H65+'16'!H65+'17'!H65+'18'!H65+'19'!H65+'20'!H65+'21'!H65+'22'!H65+'23'!H65+'24'!H65+'25'!H65+'26'!H65+'27'!H65+'28'!H65+'29'!H65+'30'!H65+'31'!H65</f>
        <v>0</v>
      </c>
      <c r="I65" s="19">
        <v>30</v>
      </c>
      <c r="J65" s="47">
        <f>+'1'!J65+'2'!J65+'3'!J65+'4'!J65+'5'!J65+'6'!J65+'7'!J65+'8'!J65+'9'!J65+'10'!J65+'11'!J65+'12'!J65+'13'!J65+'14'!J65+'15'!J65+'16'!J65+'17'!J65+'18'!J65+'19'!J65+'20'!J65+'21'!J65+'22'!J65+'23'!J65+'24'!J65+'25'!J65+'26'!J65+'27'!J65+'28'!J65+'29'!J65+'30'!J65+'31'!J65</f>
        <v>0</v>
      </c>
      <c r="K65" s="20"/>
      <c r="M65" s="56"/>
      <c r="U65" s="5"/>
    </row>
    <row r="66" spans="1:21">
      <c r="A66" s="10">
        <v>62</v>
      </c>
      <c r="B66" s="11" t="s">
        <v>78</v>
      </c>
      <c r="C66" s="46">
        <v>0</v>
      </c>
      <c r="D66" s="47">
        <f>+'1'!D66+'2'!D66+'3'!D66+'4'!D66+'5'!D66+'6'!D66+'7'!D66+'8'!D66+'9'!D66+'10'!D66+'11'!D66+'12'!D66+'13'!D66+'14'!D66+'15'!D66+'16'!D66+'17'!D66+'18'!D66+'19'!D66+'20'!D66+'21'!D66+'22'!D66+'23'!D66+'24'!D66+'25'!D66+'26'!D66+'27'!D66+'28'!D66+'29'!D66+'30'!D66+'31'!D66</f>
        <v>0</v>
      </c>
      <c r="E66" s="46">
        <f t="shared" si="1"/>
        <v>0</v>
      </c>
      <c r="F66" s="47">
        <f>+'1'!F66+'2'!F66+'3'!F66+'4'!F66+'5'!F66+'6'!F66+'7'!F66+'8'!F66+'9'!F66+'10'!F66+'11'!F66+'12'!F66+'13'!F66+'14'!F66+'15'!F66+'16'!F66+'17'!F66+'18'!F66+'19'!F66+'20'!F66+'21'!F66+'22'!F66+'23'!F66+'24'!F66+'25'!F66+'26'!F66+'27'!F66+'28'!F66+'29'!F66+'30'!F66+'31'!F66</f>
        <v>0</v>
      </c>
      <c r="G66" s="46">
        <v>0</v>
      </c>
      <c r="H66" s="47">
        <f>+'1'!H66+'2'!H66+'3'!H66+'4'!H66+'5'!H66+'6'!H66+'7'!H66+'8'!H66+'9'!H66+'10'!H66+'11'!H66+'12'!H66+'13'!H66+'14'!H66+'15'!H66+'16'!H66+'17'!H66+'18'!H66+'19'!H66+'20'!H66+'21'!H66+'22'!H66+'23'!H66+'24'!H66+'25'!H66+'26'!H66+'27'!H66+'28'!H66+'29'!H66+'30'!H66+'31'!H66</f>
        <v>0</v>
      </c>
      <c r="I66" s="15">
        <v>50</v>
      </c>
      <c r="J66" s="47">
        <f>+'1'!J66+'2'!J66+'3'!J66+'4'!J66+'5'!J66+'6'!J66+'7'!J66+'8'!J66+'9'!J66+'10'!J66+'11'!J66+'12'!J66+'13'!J66+'14'!J66+'15'!J66+'16'!J66+'17'!J66+'18'!J66+'19'!J66+'20'!J66+'21'!J66+'22'!J66+'23'!J66+'24'!J66+'25'!J66+'26'!J66+'27'!J66+'28'!J66+'29'!J66+'30'!J66+'31'!J66</f>
        <v>0</v>
      </c>
      <c r="K66" s="20"/>
      <c r="M66" s="56"/>
      <c r="U66" s="5"/>
    </row>
    <row r="67" spans="1:21">
      <c r="A67" s="10">
        <v>63</v>
      </c>
      <c r="B67" s="11" t="s">
        <v>79</v>
      </c>
      <c r="C67" s="46">
        <v>3</v>
      </c>
      <c r="D67" s="47">
        <f>+'1'!D67+'2'!D67+'3'!D67+'4'!D67+'5'!D67+'6'!D67+'7'!D67+'8'!D67+'9'!D67+'10'!D67+'11'!D67+'12'!D67+'13'!D67+'14'!D67+'15'!D67+'16'!D67+'17'!D67+'18'!D67+'19'!D67+'20'!D67+'21'!D67+'22'!D67+'23'!D67+'24'!D67+'25'!D67+'26'!D67+'27'!D67+'28'!D67+'29'!D67+'30'!D67+'31'!D67</f>
        <v>15</v>
      </c>
      <c r="E67" s="46">
        <f t="shared" si="1"/>
        <v>18</v>
      </c>
      <c r="F67" s="47">
        <f>+'1'!F67+'2'!F67+'3'!F67+'4'!F67+'5'!F67+'6'!F67+'7'!F67+'8'!F67+'9'!F67+'10'!F67+'11'!F67+'12'!F67+'13'!F67+'14'!F67+'15'!F67+'16'!F67+'17'!F67+'18'!F67+'19'!F67+'20'!F67+'21'!F67+'22'!F67+'23'!F67+'24'!F67+'25'!F67+'26'!F67+'27'!F67+'28'!F67+'29'!F67+'30'!F67+'31'!F67</f>
        <v>0</v>
      </c>
      <c r="G67" s="46">
        <v>0</v>
      </c>
      <c r="H67" s="47">
        <f>+'1'!H67+'2'!H67+'3'!H67+'4'!H67+'5'!H67+'6'!H67+'7'!H67+'8'!H67+'9'!H67+'10'!H67+'11'!H67+'12'!H67+'13'!H67+'14'!H67+'15'!H67+'16'!H67+'17'!H67+'18'!H67+'19'!H67+'20'!H67+'21'!H67+'22'!H67+'23'!H67+'24'!H67+'25'!H67+'26'!H67+'27'!H67+'28'!H67+'29'!H67+'30'!H67+'31'!H67</f>
        <v>15</v>
      </c>
      <c r="I67" s="15">
        <v>50</v>
      </c>
      <c r="J67" s="47">
        <f>+'1'!J67+'2'!J67+'3'!J67+'4'!J67+'5'!J67+'6'!J67+'7'!J67+'8'!J67+'9'!J67+'10'!J67+'11'!J67+'12'!J67+'13'!J67+'14'!J67+'15'!J67+'16'!J67+'17'!J67+'18'!J67+'19'!J67+'20'!J67+'21'!J67+'22'!J67+'23'!J67+'24'!J67+'25'!J67+'26'!J67+'27'!J67+'28'!J67+'29'!J67+'30'!J67+'31'!J67</f>
        <v>750</v>
      </c>
      <c r="K67" s="20"/>
      <c r="M67" s="56"/>
      <c r="U67" s="5"/>
    </row>
    <row r="68" spans="1:21">
      <c r="A68" s="10">
        <v>64</v>
      </c>
      <c r="B68" s="20" t="s">
        <v>80</v>
      </c>
      <c r="C68" s="46">
        <v>0</v>
      </c>
      <c r="D68" s="47">
        <f>+'1'!D68+'2'!D68+'3'!D68+'4'!D68+'5'!D68+'6'!D68+'7'!D68+'8'!D68+'9'!D68+'10'!D68+'11'!D68+'12'!D68+'13'!D68+'14'!D68+'15'!D68+'16'!D68+'17'!D68+'18'!D68+'19'!D68+'20'!D68+'21'!D68+'22'!D68+'23'!D68+'24'!D68+'25'!D68+'26'!D68+'27'!D68+'28'!D68+'29'!D68+'30'!D68+'31'!D68</f>
        <v>0</v>
      </c>
      <c r="E68" s="46">
        <f t="shared" si="1"/>
        <v>0</v>
      </c>
      <c r="F68" s="47">
        <f>+'1'!F68+'2'!F68+'3'!F68+'4'!F68+'5'!F68+'6'!F68+'7'!F68+'8'!F68+'9'!F68+'10'!F68+'11'!F68+'12'!F68+'13'!F68+'14'!F68+'15'!F68+'16'!F68+'17'!F68+'18'!F68+'19'!F68+'20'!F68+'21'!F68+'22'!F68+'23'!F68+'24'!F68+'25'!F68+'26'!F68+'27'!F68+'28'!F68+'29'!F68+'30'!F68+'31'!F68</f>
        <v>0</v>
      </c>
      <c r="G68" s="46">
        <v>0</v>
      </c>
      <c r="H68" s="47">
        <f>+'1'!H68+'2'!H68+'3'!H68+'4'!H68+'5'!H68+'6'!H68+'7'!H68+'8'!H68+'9'!H68+'10'!H68+'11'!H68+'12'!H68+'13'!H68+'14'!H68+'15'!H68+'16'!H68+'17'!H68+'18'!H68+'19'!H68+'20'!H68+'21'!H68+'22'!H68+'23'!H68+'24'!H68+'25'!H68+'26'!H68+'27'!H68+'28'!H68+'29'!H68+'30'!H68+'31'!H68</f>
        <v>0</v>
      </c>
      <c r="I68" s="21">
        <v>35</v>
      </c>
      <c r="J68" s="47">
        <f>+'1'!J68+'2'!J68+'3'!J68+'4'!J68+'5'!J68+'6'!J68+'7'!J68+'8'!J68+'9'!J68+'10'!J68+'11'!J68+'12'!J68+'13'!J68+'14'!J68+'15'!J68+'16'!J68+'17'!J68+'18'!J68+'19'!J68+'20'!J68+'21'!J68+'22'!J68+'23'!J68+'24'!J68+'25'!J68+'26'!J68+'27'!J68+'28'!J68+'29'!J68+'30'!J68+'31'!J68</f>
        <v>0</v>
      </c>
      <c r="K68" s="20"/>
      <c r="M68" s="56"/>
      <c r="U68" s="5"/>
    </row>
    <row r="69" spans="1:21">
      <c r="A69" s="10">
        <v>65</v>
      </c>
      <c r="B69" s="20" t="s">
        <v>81</v>
      </c>
      <c r="C69" s="46">
        <v>0</v>
      </c>
      <c r="D69" s="47">
        <f>+'1'!D69+'2'!D69+'3'!D69+'4'!D69+'5'!D69+'6'!D69+'7'!D69+'8'!D69+'9'!D69+'10'!D69+'11'!D69+'12'!D69+'13'!D69+'14'!D69+'15'!D69+'16'!D69+'17'!D69+'18'!D69+'19'!D69+'20'!D69+'21'!D69+'22'!D69+'23'!D69+'24'!D69+'25'!D69+'26'!D69+'27'!D69+'28'!D69+'29'!D69+'30'!D69+'31'!D69</f>
        <v>0</v>
      </c>
      <c r="E69" s="46">
        <f t="shared" si="1"/>
        <v>0</v>
      </c>
      <c r="F69" s="47">
        <f>+'1'!F69+'2'!F69+'3'!F69+'4'!F69+'5'!F69+'6'!F69+'7'!F69+'8'!F69+'9'!F69+'10'!F69+'11'!F69+'12'!F69+'13'!F69+'14'!F69+'15'!F69+'16'!F69+'17'!F69+'18'!F69+'19'!F69+'20'!F69+'21'!F69+'22'!F69+'23'!F69+'24'!F69+'25'!F69+'26'!F69+'27'!F69+'28'!F69+'29'!F69+'30'!F69+'31'!F69</f>
        <v>0</v>
      </c>
      <c r="G69" s="46">
        <v>0</v>
      </c>
      <c r="H69" s="47">
        <f>+'1'!H69+'2'!H69+'3'!H69+'4'!H69+'5'!H69+'6'!H69+'7'!H69+'8'!H69+'9'!H69+'10'!H69+'11'!H69+'12'!H69+'13'!H69+'14'!H69+'15'!H69+'16'!H69+'17'!H69+'18'!H69+'19'!H69+'20'!H69+'21'!H69+'22'!H69+'23'!H69+'24'!H69+'25'!H69+'26'!H69+'27'!H69+'28'!H69+'29'!H69+'30'!H69+'31'!H69</f>
        <v>0</v>
      </c>
      <c r="I69" s="21">
        <v>25</v>
      </c>
      <c r="J69" s="47">
        <f>+'1'!J69+'2'!J69+'3'!J69+'4'!J69+'5'!J69+'6'!J69+'7'!J69+'8'!J69+'9'!J69+'10'!J69+'11'!J69+'12'!J69+'13'!J69+'14'!J69+'15'!J69+'16'!J69+'17'!J69+'18'!J69+'19'!J69+'20'!J69+'21'!J69+'22'!J69+'23'!J69+'24'!J69+'25'!J69+'26'!J69+'27'!J69+'28'!J69+'29'!J69+'30'!J69+'31'!J69</f>
        <v>0</v>
      </c>
      <c r="K69" s="20"/>
      <c r="M69" s="56"/>
      <c r="U69" s="5"/>
    </row>
    <row r="70" spans="1:21">
      <c r="A70" s="10">
        <v>66</v>
      </c>
      <c r="B70" s="20" t="s">
        <v>82</v>
      </c>
      <c r="C70" s="46">
        <v>4</v>
      </c>
      <c r="D70" s="47">
        <f>+'1'!D70+'2'!D70+'3'!D70+'4'!D70+'5'!D70+'6'!D70+'7'!D70+'8'!D70+'9'!D70+'10'!D70+'11'!D70+'12'!D70+'13'!D70+'14'!D70+'15'!D70+'16'!D70+'17'!D70+'18'!D70+'19'!D70+'20'!D70+'21'!D70+'22'!D70+'23'!D70+'24'!D70+'25'!D70+'26'!D70+'27'!D70+'28'!D70+'29'!D70+'30'!D70+'31'!D70</f>
        <v>25</v>
      </c>
      <c r="E70" s="46">
        <f t="shared" ref="E70:E202" si="4">+C70+D70</f>
        <v>29</v>
      </c>
      <c r="F70" s="47">
        <f>+'1'!F70+'2'!F70+'3'!F70+'4'!F70+'5'!F70+'6'!F70+'7'!F70+'8'!F70+'9'!F70+'10'!F70+'11'!F70+'12'!F70+'13'!F70+'14'!F70+'15'!F70+'16'!F70+'17'!F70+'18'!F70+'19'!F70+'20'!F70+'21'!F70+'22'!F70+'23'!F70+'24'!F70+'25'!F70+'26'!F70+'27'!F70+'28'!F70+'29'!F70+'30'!F70+'31'!F70</f>
        <v>0</v>
      </c>
      <c r="G70" s="46">
        <v>0</v>
      </c>
      <c r="H70" s="47">
        <f>+'1'!H70+'2'!H70+'3'!H70+'4'!H70+'5'!H70+'6'!H70+'7'!H70+'8'!H70+'9'!H70+'10'!H70+'11'!H70+'12'!H70+'13'!H70+'14'!H70+'15'!H70+'16'!H70+'17'!H70+'18'!H70+'19'!H70+'20'!H70+'21'!H70+'22'!H70+'23'!H70+'24'!H70+'25'!H70+'26'!H70+'27'!H70+'28'!H70+'29'!H70+'30'!H70+'31'!H70</f>
        <v>24</v>
      </c>
      <c r="I70" s="21">
        <v>50</v>
      </c>
      <c r="J70" s="47">
        <f>+'1'!J70+'2'!J70+'3'!J70+'4'!J70+'5'!J70+'6'!J70+'7'!J70+'8'!J70+'9'!J70+'10'!J70+'11'!J70+'12'!J70+'13'!J70+'14'!J70+'15'!J70+'16'!J70+'17'!J70+'18'!J70+'19'!J70+'20'!J70+'21'!J70+'22'!J70+'23'!J70+'24'!J70+'25'!J70+'26'!J70+'27'!J70+'28'!J70+'29'!J70+'30'!J70+'31'!J70</f>
        <v>1200</v>
      </c>
      <c r="K70" s="20"/>
      <c r="M70" s="56"/>
      <c r="U70" s="5"/>
    </row>
    <row r="71" spans="1:21">
      <c r="A71" s="10">
        <v>67</v>
      </c>
      <c r="B71" s="20" t="s">
        <v>83</v>
      </c>
      <c r="C71" s="46">
        <v>0</v>
      </c>
      <c r="D71" s="47">
        <f>+'1'!D71+'2'!D71+'3'!D71+'4'!D71+'5'!D71+'6'!D71+'7'!D71+'8'!D71+'9'!D71+'10'!D71+'11'!D71+'12'!D71+'13'!D71+'14'!D71+'15'!D71+'16'!D71+'17'!D71+'18'!D71+'19'!D71+'20'!D71+'21'!D71+'22'!D71+'23'!D71+'24'!D71+'25'!D71+'26'!D71+'27'!D71+'28'!D71+'29'!D71+'30'!D71+'31'!D71</f>
        <v>0</v>
      </c>
      <c r="E71" s="46">
        <f t="shared" si="4"/>
        <v>0</v>
      </c>
      <c r="F71" s="47">
        <f>+'1'!F71+'2'!F71+'3'!F71+'4'!F71+'5'!F71+'6'!F71+'7'!F71+'8'!F71+'9'!F71+'10'!F71+'11'!F71+'12'!F71+'13'!F71+'14'!F71+'15'!F71+'16'!F71+'17'!F71+'18'!F71+'19'!F71+'20'!F71+'21'!F71+'22'!F71+'23'!F71+'24'!F71+'25'!F71+'26'!F71+'27'!F71+'28'!F71+'29'!F71+'30'!F71+'31'!F71</f>
        <v>0</v>
      </c>
      <c r="G71" s="46">
        <v>0</v>
      </c>
      <c r="H71" s="47">
        <f>+'1'!H71+'2'!H71+'3'!H71+'4'!H71+'5'!H71+'6'!H71+'7'!H71+'8'!H71+'9'!H71+'10'!H71+'11'!H71+'12'!H71+'13'!H71+'14'!H71+'15'!H71+'16'!H71+'17'!H71+'18'!H71+'19'!H71+'20'!H71+'21'!H71+'22'!H71+'23'!H71+'24'!H71+'25'!H71+'26'!H71+'27'!H71+'28'!H71+'29'!H71+'30'!H71+'31'!H71</f>
        <v>0</v>
      </c>
      <c r="I71" s="21">
        <v>60</v>
      </c>
      <c r="J71" s="47">
        <f>+'1'!J71+'2'!J71+'3'!J71+'4'!J71+'5'!J71+'6'!J71+'7'!J71+'8'!J71+'9'!J71+'10'!J71+'11'!J71+'12'!J71+'13'!J71+'14'!J71+'15'!J71+'16'!J71+'17'!J71+'18'!J71+'19'!J71+'20'!J71+'21'!J71+'22'!J71+'23'!J71+'24'!J71+'25'!J71+'26'!J71+'27'!J71+'28'!J71+'29'!J71+'30'!J71+'31'!J71</f>
        <v>0</v>
      </c>
      <c r="K71" s="20"/>
      <c r="M71" s="56"/>
      <c r="U71" s="5"/>
    </row>
    <row r="72" spans="1:21">
      <c r="A72" s="10">
        <v>68</v>
      </c>
      <c r="B72" s="20" t="s">
        <v>84</v>
      </c>
      <c r="C72" s="46">
        <v>0</v>
      </c>
      <c r="D72" s="47">
        <f>+'1'!D72+'2'!D72+'3'!D72+'4'!D72+'5'!D72+'6'!D72+'7'!D72+'8'!D72+'9'!D72+'10'!D72+'11'!D72+'12'!D72+'13'!D72+'14'!D72+'15'!D72+'16'!D72+'17'!D72+'18'!D72+'19'!D72+'20'!D72+'21'!D72+'22'!D72+'23'!D72+'24'!D72+'25'!D72+'26'!D72+'27'!D72+'28'!D72+'29'!D72+'30'!D72+'31'!D72</f>
        <v>0</v>
      </c>
      <c r="E72" s="46">
        <f t="shared" si="4"/>
        <v>0</v>
      </c>
      <c r="F72" s="47">
        <f>+'1'!F72+'2'!F72+'3'!F72+'4'!F72+'5'!F72+'6'!F72+'7'!F72+'8'!F72+'9'!F72+'10'!F72+'11'!F72+'12'!F72+'13'!F72+'14'!F72+'15'!F72+'16'!F72+'17'!F72+'18'!F72+'19'!F72+'20'!F72+'21'!F72+'22'!F72+'23'!F72+'24'!F72+'25'!F72+'26'!F72+'27'!F72+'28'!F72+'29'!F72+'30'!F72+'31'!F72</f>
        <v>0</v>
      </c>
      <c r="G72" s="46">
        <v>0</v>
      </c>
      <c r="H72" s="47">
        <f>+'1'!H72+'2'!H72+'3'!H72+'4'!H72+'5'!H72+'6'!H72+'7'!H72+'8'!H72+'9'!H72+'10'!H72+'11'!H72+'12'!H72+'13'!H72+'14'!H72+'15'!H72+'16'!H72+'17'!H72+'18'!H72+'19'!H72+'20'!H72+'21'!H72+'22'!H72+'23'!H72+'24'!H72+'25'!H72+'26'!H72+'27'!H72+'28'!H72+'29'!H72+'30'!H72+'31'!H72</f>
        <v>0</v>
      </c>
      <c r="I72" s="23">
        <v>50</v>
      </c>
      <c r="J72" s="47">
        <f>+'1'!J72+'2'!J72+'3'!J72+'4'!J72+'5'!J72+'6'!J72+'7'!J72+'8'!J72+'9'!J72+'10'!J72+'11'!J72+'12'!J72+'13'!J72+'14'!J72+'15'!J72+'16'!J72+'17'!J72+'18'!J72+'19'!J72+'20'!J72+'21'!J72+'22'!J72+'23'!J72+'24'!J72+'25'!J72+'26'!J72+'27'!J72+'28'!J72+'29'!J72+'30'!J72+'31'!J72</f>
        <v>0</v>
      </c>
      <c r="K72" s="20"/>
      <c r="M72" s="56"/>
      <c r="U72" s="5"/>
    </row>
    <row r="73" spans="1:21">
      <c r="A73" s="10">
        <v>69</v>
      </c>
      <c r="B73" s="20" t="s">
        <v>85</v>
      </c>
      <c r="C73" s="46">
        <v>0</v>
      </c>
      <c r="D73" s="47">
        <f>+'1'!D73+'2'!D73+'3'!D73+'4'!D73+'5'!D73+'6'!D73+'7'!D73+'8'!D73+'9'!D73+'10'!D73+'11'!D73+'12'!D73+'13'!D73+'14'!D73+'15'!D73+'16'!D73+'17'!D73+'18'!D73+'19'!D73+'20'!D73+'21'!D73+'22'!D73+'23'!D73+'24'!D73+'25'!D73+'26'!D73+'27'!D73+'28'!D73+'29'!D73+'30'!D73+'31'!D73</f>
        <v>0</v>
      </c>
      <c r="E73" s="46">
        <f t="shared" si="4"/>
        <v>0</v>
      </c>
      <c r="F73" s="47">
        <f>+'1'!F73+'2'!F73+'3'!F73+'4'!F73+'5'!F73+'6'!F73+'7'!F73+'8'!F73+'9'!F73+'10'!F73+'11'!F73+'12'!F73+'13'!F73+'14'!F73+'15'!F73+'16'!F73+'17'!F73+'18'!F73+'19'!F73+'20'!F73+'21'!F73+'22'!F73+'23'!F73+'24'!F73+'25'!F73+'26'!F73+'27'!F73+'28'!F73+'29'!F73+'30'!F73+'31'!F73</f>
        <v>0</v>
      </c>
      <c r="G73" s="46">
        <v>0</v>
      </c>
      <c r="H73" s="47">
        <f>+'1'!H73+'2'!H73+'3'!H73+'4'!H73+'5'!H73+'6'!H73+'7'!H73+'8'!H73+'9'!H73+'10'!H73+'11'!H73+'12'!H73+'13'!H73+'14'!H73+'15'!H73+'16'!H73+'17'!H73+'18'!H73+'19'!H73+'20'!H73+'21'!H73+'22'!H73+'23'!H73+'24'!H73+'25'!H73+'26'!H73+'27'!H73+'28'!H73+'29'!H73+'30'!H73+'31'!H73</f>
        <v>0</v>
      </c>
      <c r="I73" s="21">
        <v>60</v>
      </c>
      <c r="J73" s="47">
        <f>+'1'!J73+'2'!J73+'3'!J73+'4'!J73+'5'!J73+'6'!J73+'7'!J73+'8'!J73+'9'!J73+'10'!J73+'11'!J73+'12'!J73+'13'!J73+'14'!J73+'15'!J73+'16'!J73+'17'!J73+'18'!J73+'19'!J73+'20'!J73+'21'!J73+'22'!J73+'23'!J73+'24'!J73+'25'!J73+'26'!J73+'27'!J73+'28'!J73+'29'!J73+'30'!J73+'31'!J73</f>
        <v>0</v>
      </c>
      <c r="K73" s="20"/>
      <c r="M73" s="56"/>
      <c r="U73" s="5"/>
    </row>
    <row r="74" spans="1:21">
      <c r="A74" s="10">
        <v>70</v>
      </c>
      <c r="B74" s="20" t="s">
        <v>86</v>
      </c>
      <c r="C74" s="46">
        <v>0</v>
      </c>
      <c r="D74" s="47">
        <f>+'1'!D74+'2'!D74+'3'!D74+'4'!D74+'5'!D74+'6'!D74+'7'!D74+'8'!D74+'9'!D74+'10'!D74+'11'!D74+'12'!D74+'13'!D74+'14'!D74+'15'!D74+'16'!D74+'17'!D74+'18'!D74+'19'!D74+'20'!D74+'21'!D74+'22'!D74+'23'!D74+'24'!D74+'25'!D74+'26'!D74+'27'!D74+'28'!D74+'29'!D74+'30'!D74+'31'!D74</f>
        <v>0</v>
      </c>
      <c r="E74" s="46">
        <f t="shared" si="4"/>
        <v>0</v>
      </c>
      <c r="F74" s="47">
        <f>+'1'!F74+'2'!F74+'3'!F74+'4'!F74+'5'!F74+'6'!F74+'7'!F74+'8'!F74+'9'!F74+'10'!F74+'11'!F74+'12'!F74+'13'!F74+'14'!F74+'15'!F74+'16'!F74+'17'!F74+'18'!F74+'19'!F74+'20'!F74+'21'!F74+'22'!F74+'23'!F74+'24'!F74+'25'!F74+'26'!F74+'27'!F74+'28'!F74+'29'!F74+'30'!F74+'31'!F74</f>
        <v>0</v>
      </c>
      <c r="G74" s="46">
        <v>0</v>
      </c>
      <c r="H74" s="47">
        <f>+'1'!H74+'2'!H74+'3'!H74+'4'!H74+'5'!H74+'6'!H74+'7'!H74+'8'!H74+'9'!H74+'10'!H74+'11'!H74+'12'!H74+'13'!H74+'14'!H74+'15'!H74+'16'!H74+'17'!H74+'18'!H74+'19'!H74+'20'!H74+'21'!H74+'22'!H74+'23'!H74+'24'!H74+'25'!H74+'26'!H74+'27'!H74+'28'!H74+'29'!H74+'30'!H74+'31'!H74</f>
        <v>0</v>
      </c>
      <c r="I74" s="23">
        <v>120</v>
      </c>
      <c r="J74" s="47">
        <f>+'1'!J74+'2'!J74+'3'!J74+'4'!J74+'5'!J74+'6'!J74+'7'!J74+'8'!J74+'9'!J74+'10'!J74+'11'!J74+'12'!J74+'13'!J74+'14'!J74+'15'!J74+'16'!J74+'17'!J74+'18'!J74+'19'!J74+'20'!J74+'21'!J74+'22'!J74+'23'!J74+'24'!J74+'25'!J74+'26'!J74+'27'!J74+'28'!J74+'29'!J74+'30'!J74+'31'!J74</f>
        <v>0</v>
      </c>
      <c r="K74" s="20"/>
      <c r="M74" s="56"/>
      <c r="U74" s="5"/>
    </row>
    <row r="75" spans="1:21">
      <c r="A75" s="10">
        <v>71</v>
      </c>
      <c r="B75" s="20" t="s">
        <v>87</v>
      </c>
      <c r="C75" s="46">
        <v>0</v>
      </c>
      <c r="D75" s="47">
        <f>+'1'!D75+'2'!D75+'3'!D75+'4'!D75+'5'!D75+'6'!D75+'7'!D75+'8'!D75+'9'!D75+'10'!D75+'11'!D75+'12'!D75+'13'!D75+'14'!D75+'15'!D75+'16'!D75+'17'!D75+'18'!D75+'19'!D75+'20'!D75+'21'!D75+'22'!D75+'23'!D75+'24'!D75+'25'!D75+'26'!D75+'27'!D75+'28'!D75+'29'!D75+'30'!D75+'31'!D75</f>
        <v>0</v>
      </c>
      <c r="E75" s="46">
        <f t="shared" si="4"/>
        <v>0</v>
      </c>
      <c r="F75" s="47">
        <f>+'1'!F75+'2'!F75+'3'!F75+'4'!F75+'5'!F75+'6'!F75+'7'!F75+'8'!F75+'9'!F75+'10'!F75+'11'!F75+'12'!F75+'13'!F75+'14'!F75+'15'!F75+'16'!F75+'17'!F75+'18'!F75+'19'!F75+'20'!F75+'21'!F75+'22'!F75+'23'!F75+'24'!F75+'25'!F75+'26'!F75+'27'!F75+'28'!F75+'29'!F75+'30'!F75+'31'!F75</f>
        <v>0</v>
      </c>
      <c r="G75" s="46">
        <v>0</v>
      </c>
      <c r="H75" s="47">
        <f>+'1'!H75+'2'!H75+'3'!H75+'4'!H75+'5'!H75+'6'!H75+'7'!H75+'8'!H75+'9'!H75+'10'!H75+'11'!H75+'12'!H75+'13'!H75+'14'!H75+'15'!H75+'16'!H75+'17'!H75+'18'!H75+'19'!H75+'20'!H75+'21'!H75+'22'!H75+'23'!H75+'24'!H75+'25'!H75+'26'!H75+'27'!H75+'28'!H75+'29'!H75+'30'!H75+'31'!H75</f>
        <v>0</v>
      </c>
      <c r="I75" s="23">
        <v>60</v>
      </c>
      <c r="J75" s="47">
        <f>+'1'!J75+'2'!J75+'3'!J75+'4'!J75+'5'!J75+'6'!J75+'7'!J75+'8'!J75+'9'!J75+'10'!J75+'11'!J75+'12'!J75+'13'!J75+'14'!J75+'15'!J75+'16'!J75+'17'!J75+'18'!J75+'19'!J75+'20'!J75+'21'!J75+'22'!J75+'23'!J75+'24'!J75+'25'!J75+'26'!J75+'27'!J75+'28'!J75+'29'!J75+'30'!J75+'31'!J75</f>
        <v>0</v>
      </c>
      <c r="K75" s="20"/>
      <c r="M75" s="56"/>
      <c r="U75" s="5"/>
    </row>
    <row r="76" spans="1:21">
      <c r="A76" s="10">
        <v>72</v>
      </c>
      <c r="B76" s="20" t="s">
        <v>88</v>
      </c>
      <c r="C76" s="46">
        <v>0</v>
      </c>
      <c r="D76" s="47">
        <f>+'1'!D76+'2'!D76+'3'!D76+'4'!D76+'5'!D76+'6'!D76+'7'!D76+'8'!D76+'9'!D76+'10'!D76+'11'!D76+'12'!D76+'13'!D76+'14'!D76+'15'!D76+'16'!D76+'17'!D76+'18'!D76+'19'!D76+'20'!D76+'21'!D76+'22'!D76+'23'!D76+'24'!D76+'25'!D76+'26'!D76+'27'!D76+'28'!D76+'29'!D76+'30'!D76+'31'!D76</f>
        <v>0</v>
      </c>
      <c r="E76" s="46">
        <f t="shared" si="4"/>
        <v>0</v>
      </c>
      <c r="F76" s="47">
        <f>+'1'!F76+'2'!F76+'3'!F76+'4'!F76+'5'!F76+'6'!F76+'7'!F76+'8'!F76+'9'!F76+'10'!F76+'11'!F76+'12'!F76+'13'!F76+'14'!F76+'15'!F76+'16'!F76+'17'!F76+'18'!F76+'19'!F76+'20'!F76+'21'!F76+'22'!F76+'23'!F76+'24'!F76+'25'!F76+'26'!F76+'27'!F76+'28'!F76+'29'!F76+'30'!F76+'31'!F76</f>
        <v>0</v>
      </c>
      <c r="G76" s="46">
        <v>0</v>
      </c>
      <c r="H76" s="47">
        <f>+'1'!H76+'2'!H76+'3'!H76+'4'!H76+'5'!H76+'6'!H76+'7'!H76+'8'!H76+'9'!H76+'10'!H76+'11'!H76+'12'!H76+'13'!H76+'14'!H76+'15'!H76+'16'!H76+'17'!H76+'18'!H76+'19'!H76+'20'!H76+'21'!H76+'22'!H76+'23'!H76+'24'!H76+'25'!H76+'26'!H76+'27'!H76+'28'!H76+'29'!H76+'30'!H76+'31'!H76</f>
        <v>0</v>
      </c>
      <c r="I76" s="23">
        <v>120</v>
      </c>
      <c r="J76" s="47">
        <f>+'1'!J76+'2'!J76+'3'!J76+'4'!J76+'5'!J76+'6'!J76+'7'!J76+'8'!J76+'9'!J76+'10'!J76+'11'!J76+'12'!J76+'13'!J76+'14'!J76+'15'!J76+'16'!J76+'17'!J76+'18'!J76+'19'!J76+'20'!J76+'21'!J76+'22'!J76+'23'!J76+'24'!J76+'25'!J76+'26'!J76+'27'!J76+'28'!J76+'29'!J76+'30'!J76+'31'!J76</f>
        <v>0</v>
      </c>
      <c r="K76" s="20"/>
      <c r="M76" s="56"/>
      <c r="U76" s="5"/>
    </row>
    <row r="77" spans="1:21">
      <c r="A77" s="10">
        <v>73</v>
      </c>
      <c r="B77" s="20" t="s">
        <v>89</v>
      </c>
      <c r="C77" s="46">
        <v>6</v>
      </c>
      <c r="D77" s="47">
        <f>+'1'!D77+'2'!D77+'3'!D77+'4'!D77+'5'!D77+'6'!D77+'7'!D77+'8'!D77+'9'!D77+'10'!D77+'11'!D77+'12'!D77+'13'!D77+'14'!D77+'15'!D77+'16'!D77+'17'!D77+'18'!D77+'19'!D77+'20'!D77+'21'!D77+'22'!D77+'23'!D77+'24'!D77+'25'!D77+'26'!D77+'27'!D77+'28'!D77+'29'!D77+'30'!D77+'31'!D77</f>
        <v>10</v>
      </c>
      <c r="E77" s="46">
        <f t="shared" si="4"/>
        <v>16</v>
      </c>
      <c r="F77" s="47">
        <f>+'1'!F77+'2'!F77+'3'!F77+'4'!F77+'5'!F77+'6'!F77+'7'!F77+'8'!F77+'9'!F77+'10'!F77+'11'!F77+'12'!F77+'13'!F77+'14'!F77+'15'!F77+'16'!F77+'17'!F77+'18'!F77+'19'!F77+'20'!F77+'21'!F77+'22'!F77+'23'!F77+'24'!F77+'25'!F77+'26'!F77+'27'!F77+'28'!F77+'29'!F77+'30'!F77+'31'!F77</f>
        <v>2</v>
      </c>
      <c r="G77" s="46">
        <v>0</v>
      </c>
      <c r="H77" s="47">
        <f>+'1'!H77+'2'!H77+'3'!H77+'4'!H77+'5'!H77+'6'!H77+'7'!H77+'8'!H77+'9'!H77+'10'!H77+'11'!H77+'12'!H77+'13'!H77+'14'!H77+'15'!H77+'16'!H77+'17'!H77+'18'!H77+'19'!H77+'20'!H77+'21'!H77+'22'!H77+'23'!H77+'24'!H77+'25'!H77+'26'!H77+'27'!H77+'28'!H77+'29'!H77+'30'!H77+'31'!H77</f>
        <v>13</v>
      </c>
      <c r="I77" s="21">
        <v>50</v>
      </c>
      <c r="J77" s="47">
        <f>+'1'!J77+'2'!J77+'3'!J77+'4'!J77+'5'!J77+'6'!J77+'7'!J77+'8'!J77+'9'!J77+'10'!J77+'11'!J77+'12'!J77+'13'!J77+'14'!J77+'15'!J77+'16'!J77+'17'!J77+'18'!J77+'19'!J77+'20'!J77+'21'!J77+'22'!J77+'23'!J77+'24'!J77+'25'!J77+'26'!J77+'27'!J77+'28'!J77+'29'!J77+'30'!J77+'31'!J77</f>
        <v>650</v>
      </c>
      <c r="K77" s="20"/>
      <c r="M77" s="56"/>
      <c r="U77" s="5"/>
    </row>
    <row r="78" spans="1:21">
      <c r="A78" s="10">
        <v>74</v>
      </c>
      <c r="B78" s="20" t="s">
        <v>90</v>
      </c>
      <c r="C78" s="46">
        <v>0</v>
      </c>
      <c r="D78" s="47">
        <f>+'1'!D78+'2'!D78+'3'!D78+'4'!D78+'5'!D78+'6'!D78+'7'!D78+'8'!D78+'9'!D78+'10'!D78+'11'!D78+'12'!D78+'13'!D78+'14'!D78+'15'!D78+'16'!D78+'17'!D78+'18'!D78+'19'!D78+'20'!D78+'21'!D78+'22'!D78+'23'!D78+'24'!D78+'25'!D78+'26'!D78+'27'!D78+'28'!D78+'29'!D78+'30'!D78+'31'!D78</f>
        <v>6</v>
      </c>
      <c r="E78" s="46">
        <f t="shared" si="4"/>
        <v>6</v>
      </c>
      <c r="F78" s="47">
        <f>+'1'!F78+'2'!F78+'3'!F78+'4'!F78+'5'!F78+'6'!F78+'7'!F78+'8'!F78+'9'!F78+'10'!F78+'11'!F78+'12'!F78+'13'!F78+'14'!F78+'15'!F78+'16'!F78+'17'!F78+'18'!F78+'19'!F78+'20'!F78+'21'!F78+'22'!F78+'23'!F78+'24'!F78+'25'!F78+'26'!F78+'27'!F78+'28'!F78+'29'!F78+'30'!F78+'31'!F78</f>
        <v>0</v>
      </c>
      <c r="G78" s="46">
        <v>0</v>
      </c>
      <c r="H78" s="47">
        <f>+'1'!H78+'2'!H78+'3'!H78+'4'!H78+'5'!H78+'6'!H78+'7'!H78+'8'!H78+'9'!H78+'10'!H78+'11'!H78+'12'!H78+'13'!H78+'14'!H78+'15'!H78+'16'!H78+'17'!H78+'18'!H78+'19'!H78+'20'!H78+'21'!H78+'22'!H78+'23'!H78+'24'!H78+'25'!H78+'26'!H78+'27'!H78+'28'!H78+'29'!H78+'30'!H78+'31'!H78</f>
        <v>6</v>
      </c>
      <c r="I78" s="23">
        <v>120</v>
      </c>
      <c r="J78" s="47">
        <f>+'1'!J78+'2'!J78+'3'!J78+'4'!J78+'5'!J78+'6'!J78+'7'!J78+'8'!J78+'9'!J78+'10'!J78+'11'!J78+'12'!J78+'13'!J78+'14'!J78+'15'!J78+'16'!J78+'17'!J78+'18'!J78+'19'!J78+'20'!J78+'21'!J78+'22'!J78+'23'!J78+'24'!J78+'25'!J78+'26'!J78+'27'!J78+'28'!J78+'29'!J78+'30'!J78+'31'!J78</f>
        <v>720</v>
      </c>
      <c r="K78" s="20"/>
      <c r="M78" s="56"/>
      <c r="T78" s="5"/>
    </row>
    <row r="79" spans="1:21">
      <c r="A79" s="10">
        <v>75</v>
      </c>
      <c r="B79" s="20" t="s">
        <v>91</v>
      </c>
      <c r="C79" s="46">
        <v>8</v>
      </c>
      <c r="D79" s="47">
        <f>+'1'!D79+'2'!D79+'3'!D79+'4'!D79+'5'!D79+'6'!D79+'7'!D79+'8'!D79+'9'!D79+'10'!D79+'11'!D79+'12'!D79+'13'!D79+'14'!D79+'15'!D79+'16'!D79+'17'!D79+'18'!D79+'19'!D79+'20'!D79+'21'!D79+'22'!D79+'23'!D79+'24'!D79+'25'!D79+'26'!D79+'27'!D79+'28'!D79+'29'!D79+'30'!D79+'31'!D79</f>
        <v>25</v>
      </c>
      <c r="E79" s="46">
        <f t="shared" si="4"/>
        <v>33</v>
      </c>
      <c r="F79" s="47">
        <f>+'1'!F79+'2'!F79+'3'!F79+'4'!F79+'5'!F79+'6'!F79+'7'!F79+'8'!F79+'9'!F79+'10'!F79+'11'!F79+'12'!F79+'13'!F79+'14'!F79+'15'!F79+'16'!F79+'17'!F79+'18'!F79+'19'!F79+'20'!F79+'21'!F79+'22'!F79+'23'!F79+'24'!F79+'25'!F79+'26'!F79+'27'!F79+'28'!F79+'29'!F79+'30'!F79+'31'!F79</f>
        <v>1</v>
      </c>
      <c r="G79" s="46">
        <v>0</v>
      </c>
      <c r="H79" s="47">
        <f>+'1'!H79+'2'!H79+'3'!H79+'4'!H79+'5'!H79+'6'!H79+'7'!H79+'8'!H79+'9'!H79+'10'!H79+'11'!H79+'12'!H79+'13'!H79+'14'!H79+'15'!H79+'16'!H79+'17'!H79+'18'!H79+'19'!H79+'20'!H79+'21'!H79+'22'!H79+'23'!H79+'24'!H79+'25'!H79+'26'!H79+'27'!H79+'28'!H79+'29'!H79+'30'!H79+'31'!H79</f>
        <v>22</v>
      </c>
      <c r="I79" s="23">
        <v>50</v>
      </c>
      <c r="J79" s="47">
        <f>+'1'!J79+'2'!J79+'3'!J79+'4'!J79+'5'!J79+'6'!J79+'7'!J79+'8'!J79+'9'!J79+'10'!J79+'11'!J79+'12'!J79+'13'!J79+'14'!J79+'15'!J79+'16'!J79+'17'!J79+'18'!J79+'19'!J79+'20'!J79+'21'!J79+'22'!J79+'23'!J79+'24'!J79+'25'!J79+'26'!J79+'27'!J79+'28'!J79+'29'!J79+'30'!J79+'31'!J79</f>
        <v>1100</v>
      </c>
      <c r="K79" s="20"/>
      <c r="M79" s="56"/>
      <c r="T79" s="5"/>
    </row>
    <row r="80" spans="1:21">
      <c r="A80" s="10">
        <v>76</v>
      </c>
      <c r="B80" s="20" t="s">
        <v>92</v>
      </c>
      <c r="C80" s="46">
        <v>0</v>
      </c>
      <c r="D80" s="47">
        <f>+'1'!D80+'2'!D80+'3'!D80+'4'!D80+'5'!D80+'6'!D80+'7'!D80+'8'!D80+'9'!D80+'10'!D80+'11'!D80+'12'!D80+'13'!D80+'14'!D80+'15'!D80+'16'!D80+'17'!D80+'18'!D80+'19'!D80+'20'!D80+'21'!D80+'22'!D80+'23'!D80+'24'!D80+'25'!D80+'26'!D80+'27'!D80+'28'!D80+'29'!D80+'30'!D80+'31'!D80</f>
        <v>0</v>
      </c>
      <c r="E80" s="46">
        <f t="shared" si="4"/>
        <v>0</v>
      </c>
      <c r="F80" s="47">
        <f>+'1'!F80+'2'!F80+'3'!F80+'4'!F80+'5'!F80+'6'!F80+'7'!F80+'8'!F80+'9'!F80+'10'!F80+'11'!F80+'12'!F80+'13'!F80+'14'!F80+'15'!F80+'16'!F80+'17'!F80+'18'!F80+'19'!F80+'20'!F80+'21'!F80+'22'!F80+'23'!F80+'24'!F80+'25'!F80+'26'!F80+'27'!F80+'28'!F80+'29'!F80+'30'!F80+'31'!F80</f>
        <v>0</v>
      </c>
      <c r="G80" s="46">
        <v>0</v>
      </c>
      <c r="H80" s="47">
        <f>+'1'!H80+'2'!H80+'3'!H80+'4'!H80+'5'!H80+'6'!H80+'7'!H80+'8'!H80+'9'!H80+'10'!H80+'11'!H80+'12'!H80+'13'!H80+'14'!H80+'15'!H80+'16'!H80+'17'!H80+'18'!H80+'19'!H80+'20'!H80+'21'!H80+'22'!H80+'23'!H80+'24'!H80+'25'!H80+'26'!H80+'27'!H80+'28'!H80+'29'!H80+'30'!H80+'31'!H80</f>
        <v>0</v>
      </c>
      <c r="I80" s="23">
        <v>50</v>
      </c>
      <c r="J80" s="47">
        <f>+'1'!J80+'2'!J80+'3'!J80+'4'!J80+'5'!J80+'6'!J80+'7'!J80+'8'!J80+'9'!J80+'10'!J80+'11'!J80+'12'!J80+'13'!J80+'14'!J80+'15'!J80+'16'!J80+'17'!J80+'18'!J80+'19'!J80+'20'!J80+'21'!J80+'22'!J80+'23'!J80+'24'!J80+'25'!J80+'26'!J80+'27'!J80+'28'!J80+'29'!J80+'30'!J80+'31'!J80</f>
        <v>0</v>
      </c>
      <c r="K80" s="20"/>
      <c r="M80" s="56"/>
      <c r="T80" s="5"/>
    </row>
    <row r="81" spans="1:21">
      <c r="A81" s="10">
        <v>77</v>
      </c>
      <c r="B81" s="20" t="s">
        <v>93</v>
      </c>
      <c r="C81" s="46">
        <v>2</v>
      </c>
      <c r="D81" s="47">
        <f>+'1'!D81+'2'!D81+'3'!D81+'4'!D81+'5'!D81+'6'!D81+'7'!D81+'8'!D81+'9'!D81+'10'!D81+'11'!D81+'12'!D81+'13'!D81+'14'!D81+'15'!D81+'16'!D81+'17'!D81+'18'!D81+'19'!D81+'20'!D81+'21'!D81+'22'!D81+'23'!D81+'24'!D81+'25'!D81+'26'!D81+'27'!D81+'28'!D81+'29'!D81+'30'!D81+'31'!D81</f>
        <v>3</v>
      </c>
      <c r="E81" s="46">
        <f t="shared" si="4"/>
        <v>5</v>
      </c>
      <c r="F81" s="47">
        <f>+'1'!F81+'2'!F81+'3'!F81+'4'!F81+'5'!F81+'6'!F81+'7'!F81+'8'!F81+'9'!F81+'10'!F81+'11'!F81+'12'!F81+'13'!F81+'14'!F81+'15'!F81+'16'!F81+'17'!F81+'18'!F81+'19'!F81+'20'!F81+'21'!F81+'22'!F81+'23'!F81+'24'!F81+'25'!F81+'26'!F81+'27'!F81+'28'!F81+'29'!F81+'30'!F81+'31'!F81</f>
        <v>0</v>
      </c>
      <c r="G81" s="46">
        <v>0</v>
      </c>
      <c r="H81" s="47">
        <f>+'1'!H81+'2'!H81+'3'!H81+'4'!H81+'5'!H81+'6'!H81+'7'!H81+'8'!H81+'9'!H81+'10'!H81+'11'!H81+'12'!H81+'13'!H81+'14'!H81+'15'!H81+'16'!H81+'17'!H81+'18'!H81+'19'!H81+'20'!H81+'21'!H81+'22'!H81+'23'!H81+'24'!H81+'25'!H81+'26'!H81+'27'!H81+'28'!H81+'29'!H81+'30'!H81+'31'!H81</f>
        <v>1</v>
      </c>
      <c r="I81" s="21">
        <v>55</v>
      </c>
      <c r="J81" s="47">
        <f>+'1'!J81+'2'!J81+'3'!J81+'4'!J81+'5'!J81+'6'!J81+'7'!J81+'8'!J81+'9'!J81+'10'!J81+'11'!J81+'12'!J81+'13'!J81+'14'!J81+'15'!J81+'16'!J81+'17'!J81+'18'!J81+'19'!J81+'20'!J81+'21'!J81+'22'!J81+'23'!J81+'24'!J81+'25'!J81+'26'!J81+'27'!J81+'28'!J81+'29'!J81+'30'!J81+'31'!J81</f>
        <v>55</v>
      </c>
      <c r="K81" s="20"/>
      <c r="M81" s="56"/>
      <c r="T81" s="5"/>
    </row>
    <row r="82" spans="1:21">
      <c r="A82" s="10">
        <v>78</v>
      </c>
      <c r="B82" s="20" t="s">
        <v>94</v>
      </c>
      <c r="C82" s="46">
        <v>6</v>
      </c>
      <c r="D82" s="47">
        <f>+'1'!D82+'2'!D82+'3'!D82+'4'!D82+'5'!D82+'6'!D82+'7'!D82+'8'!D82+'9'!D82+'10'!D82+'11'!D82+'12'!D82+'13'!D82+'14'!D82+'15'!D82+'16'!D82+'17'!D82+'18'!D82+'19'!D82+'20'!D82+'21'!D82+'22'!D82+'23'!D82+'24'!D82+'25'!D82+'26'!D82+'27'!D82+'28'!D82+'29'!D82+'30'!D82+'31'!D82</f>
        <v>5</v>
      </c>
      <c r="E82" s="46">
        <f t="shared" si="4"/>
        <v>11</v>
      </c>
      <c r="F82" s="47">
        <f>+'1'!F82+'2'!F82+'3'!F82+'4'!F82+'5'!F82+'6'!F82+'7'!F82+'8'!F82+'9'!F82+'10'!F82+'11'!F82+'12'!F82+'13'!F82+'14'!F82+'15'!F82+'16'!F82+'17'!F82+'18'!F82+'19'!F82+'20'!F82+'21'!F82+'22'!F82+'23'!F82+'24'!F82+'25'!F82+'26'!F82+'27'!F82+'28'!F82+'29'!F82+'30'!F82+'31'!F82</f>
        <v>0</v>
      </c>
      <c r="G82" s="46">
        <v>0</v>
      </c>
      <c r="H82" s="47">
        <f>+'1'!H82+'2'!H82+'3'!H82+'4'!H82+'5'!H82+'6'!H82+'7'!H82+'8'!H82+'9'!H82+'10'!H82+'11'!H82+'12'!H82+'13'!H82+'14'!H82+'15'!H82+'16'!H82+'17'!H82+'18'!H82+'19'!H82+'20'!H82+'21'!H82+'22'!H82+'23'!H82+'24'!H82+'25'!H82+'26'!H82+'27'!H82+'28'!H82+'29'!H82+'30'!H82+'31'!H82</f>
        <v>5</v>
      </c>
      <c r="I82" s="23">
        <v>55</v>
      </c>
      <c r="J82" s="47">
        <f>+'1'!J82+'2'!J82+'3'!J82+'4'!J82+'5'!J82+'6'!J82+'7'!J82+'8'!J82+'9'!J82+'10'!J82+'11'!J82+'12'!J82+'13'!J82+'14'!J82+'15'!J82+'16'!J82+'17'!J82+'18'!J82+'19'!J82+'20'!J82+'21'!J82+'22'!J82+'23'!J82+'24'!J82+'25'!J82+'26'!J82+'27'!J82+'28'!J82+'29'!J82+'30'!J82+'31'!J82</f>
        <v>275</v>
      </c>
      <c r="K82" s="20"/>
      <c r="M82" s="56"/>
      <c r="U82" s="5"/>
    </row>
    <row r="83" spans="1:21">
      <c r="A83" s="10">
        <v>79</v>
      </c>
      <c r="B83" s="20" t="s">
        <v>95</v>
      </c>
      <c r="C83" s="46">
        <v>0</v>
      </c>
      <c r="D83" s="47">
        <f>+'1'!D83+'2'!D83+'3'!D83+'4'!D83+'5'!D83+'6'!D83+'7'!D83+'8'!D83+'9'!D83+'10'!D83+'11'!D83+'12'!D83+'13'!D83+'14'!D83+'15'!D83+'16'!D83+'17'!D83+'18'!D83+'19'!D83+'20'!D83+'21'!D83+'22'!D83+'23'!D83+'24'!D83+'25'!D83+'26'!D83+'27'!D83+'28'!D83+'29'!D83+'30'!D83+'31'!D83</f>
        <v>0</v>
      </c>
      <c r="E83" s="46">
        <f t="shared" si="4"/>
        <v>0</v>
      </c>
      <c r="F83" s="47">
        <f>+'1'!F83+'2'!F83+'3'!F83+'4'!F83+'5'!F83+'6'!F83+'7'!F83+'8'!F83+'9'!F83+'10'!F83+'11'!F83+'12'!F83+'13'!F83+'14'!F83+'15'!F83+'16'!F83+'17'!F83+'18'!F83+'19'!F83+'20'!F83+'21'!F83+'22'!F83+'23'!F83+'24'!F83+'25'!F83+'26'!F83+'27'!F83+'28'!F83+'29'!F83+'30'!F83+'31'!F83</f>
        <v>0</v>
      </c>
      <c r="G83" s="46">
        <v>0</v>
      </c>
      <c r="H83" s="47">
        <f>+'1'!H83+'2'!H83+'3'!H83+'4'!H83+'5'!H83+'6'!H83+'7'!H83+'8'!H83+'9'!H83+'10'!H83+'11'!H83+'12'!H83+'13'!H83+'14'!H83+'15'!H83+'16'!H83+'17'!H83+'18'!H83+'19'!H83+'20'!H83+'21'!H83+'22'!H83+'23'!H83+'24'!H83+'25'!H83+'26'!H83+'27'!H83+'28'!H83+'29'!H83+'30'!H83+'31'!H83</f>
        <v>0</v>
      </c>
      <c r="I83" s="23">
        <v>55</v>
      </c>
      <c r="J83" s="47">
        <f>+'1'!J83+'2'!J83+'3'!J83+'4'!J83+'5'!J83+'6'!J83+'7'!J83+'8'!J83+'9'!J83+'10'!J83+'11'!J83+'12'!J83+'13'!J83+'14'!J83+'15'!J83+'16'!J83+'17'!J83+'18'!J83+'19'!J83+'20'!J83+'21'!J83+'22'!J83+'23'!J83+'24'!J83+'25'!J83+'26'!J83+'27'!J83+'28'!J83+'29'!J83+'30'!J83+'31'!J83</f>
        <v>0</v>
      </c>
      <c r="K83" s="20"/>
      <c r="M83" s="56"/>
      <c r="U83" s="5"/>
    </row>
    <row r="84" spans="1:21">
      <c r="A84" s="10">
        <v>80</v>
      </c>
      <c r="B84" s="20" t="s">
        <v>96</v>
      </c>
      <c r="C84" s="46">
        <v>0</v>
      </c>
      <c r="D84" s="47">
        <f>+'1'!D84+'2'!D84+'3'!D84+'4'!D84+'5'!D84+'6'!D84+'7'!D84+'8'!D84+'9'!D84+'10'!D84+'11'!D84+'12'!D84+'13'!D84+'14'!D84+'15'!D84+'16'!D84+'17'!D84+'18'!D84+'19'!D84+'20'!D84+'21'!D84+'22'!D84+'23'!D84+'24'!D84+'25'!D84+'26'!D84+'27'!D84+'28'!D84+'29'!D84+'30'!D84+'31'!D84</f>
        <v>0</v>
      </c>
      <c r="E84" s="46">
        <f t="shared" si="4"/>
        <v>0</v>
      </c>
      <c r="F84" s="47">
        <f>+'1'!F84+'2'!F84+'3'!F84+'4'!F84+'5'!F84+'6'!F84+'7'!F84+'8'!F84+'9'!F84+'10'!F84+'11'!F84+'12'!F84+'13'!F84+'14'!F84+'15'!F84+'16'!F84+'17'!F84+'18'!F84+'19'!F84+'20'!F84+'21'!F84+'22'!F84+'23'!F84+'24'!F84+'25'!F84+'26'!F84+'27'!F84+'28'!F84+'29'!F84+'30'!F84+'31'!F84</f>
        <v>0</v>
      </c>
      <c r="G84" s="46">
        <v>0</v>
      </c>
      <c r="H84" s="47">
        <f>+'1'!H84+'2'!H84+'3'!H84+'4'!H84+'5'!H84+'6'!H84+'7'!H84+'8'!H84+'9'!H84+'10'!H84+'11'!H84+'12'!H84+'13'!H84+'14'!H84+'15'!H84+'16'!H84+'17'!H84+'18'!H84+'19'!H84+'20'!H84+'21'!H84+'22'!H84+'23'!H84+'24'!H84+'25'!H84+'26'!H84+'27'!H84+'28'!H84+'29'!H84+'30'!H84+'31'!H84</f>
        <v>0</v>
      </c>
      <c r="I84" s="23">
        <v>55</v>
      </c>
      <c r="J84" s="47">
        <f>+'1'!J84+'2'!J84+'3'!J84+'4'!J84+'5'!J84+'6'!J84+'7'!J84+'8'!J84+'9'!J84+'10'!J84+'11'!J84+'12'!J84+'13'!J84+'14'!J84+'15'!J84+'16'!J84+'17'!J84+'18'!J84+'19'!J84+'20'!J84+'21'!J84+'22'!J84+'23'!J84+'24'!J84+'25'!J84+'26'!J84+'27'!J84+'28'!J84+'29'!J84+'30'!J84+'31'!J84</f>
        <v>0</v>
      </c>
      <c r="K84" s="20"/>
      <c r="M84" s="56"/>
      <c r="U84" s="5"/>
    </row>
    <row r="85" spans="1:21">
      <c r="A85" s="10">
        <v>81</v>
      </c>
      <c r="B85" s="20" t="s">
        <v>97</v>
      </c>
      <c r="C85" s="46">
        <v>4</v>
      </c>
      <c r="D85" s="47">
        <f>+'1'!D85+'2'!D85+'3'!D85+'4'!D85+'5'!D85+'6'!D85+'7'!D85+'8'!D85+'9'!D85+'10'!D85+'11'!D85+'12'!D85+'13'!D85+'14'!D85+'15'!D85+'16'!D85+'17'!D85+'18'!D85+'19'!D85+'20'!D85+'21'!D85+'22'!D85+'23'!D85+'24'!D85+'25'!D85+'26'!D85+'27'!D85+'28'!D85+'29'!D85+'30'!D85+'31'!D85</f>
        <v>0</v>
      </c>
      <c r="E85" s="46">
        <f t="shared" si="4"/>
        <v>4</v>
      </c>
      <c r="F85" s="47">
        <f>+'1'!F85+'2'!F85+'3'!F85+'4'!F85+'5'!F85+'6'!F85+'7'!F85+'8'!F85+'9'!F85+'10'!F85+'11'!F85+'12'!F85+'13'!F85+'14'!F85+'15'!F85+'16'!F85+'17'!F85+'18'!F85+'19'!F85+'20'!F85+'21'!F85+'22'!F85+'23'!F85+'24'!F85+'25'!F85+'26'!F85+'27'!F85+'28'!F85+'29'!F85+'30'!F85+'31'!F85</f>
        <v>0</v>
      </c>
      <c r="G85" s="46">
        <v>0</v>
      </c>
      <c r="H85" s="47">
        <f>+'1'!H85+'2'!H85+'3'!H85+'4'!H85+'5'!H85+'6'!H85+'7'!H85+'8'!H85+'9'!H85+'10'!H85+'11'!H85+'12'!H85+'13'!H85+'14'!H85+'15'!H85+'16'!H85+'17'!H85+'18'!H85+'19'!H85+'20'!H85+'21'!H85+'22'!H85+'23'!H85+'24'!H85+'25'!H85+'26'!H85+'27'!H85+'28'!H85+'29'!H85+'30'!H85+'31'!H85</f>
        <v>5</v>
      </c>
      <c r="I85" s="23">
        <v>100</v>
      </c>
      <c r="J85" s="47">
        <f>+'1'!J85+'2'!J85+'3'!J85+'4'!J85+'5'!J85+'6'!J85+'7'!J85+'8'!J85+'9'!J85+'10'!J85+'11'!J85+'12'!J85+'13'!J85+'14'!J85+'15'!J85+'16'!J85+'17'!J85+'18'!J85+'19'!J85+'20'!J85+'21'!J85+'22'!J85+'23'!J85+'24'!J85+'25'!J85+'26'!J85+'27'!J85+'28'!J85+'29'!J85+'30'!J85+'31'!J85</f>
        <v>500</v>
      </c>
      <c r="K85" s="20"/>
      <c r="M85" s="56"/>
      <c r="U85" s="5"/>
    </row>
    <row r="86" spans="1:21">
      <c r="A86" s="10">
        <v>82</v>
      </c>
      <c r="B86" s="20" t="s">
        <v>98</v>
      </c>
      <c r="C86" s="46">
        <v>2</v>
      </c>
      <c r="D86" s="47">
        <f>+'1'!D86+'2'!D86+'3'!D86+'4'!D86+'5'!D86+'6'!D86+'7'!D86+'8'!D86+'9'!D86+'10'!D86+'11'!D86+'12'!D86+'13'!D86+'14'!D86+'15'!D86+'16'!D86+'17'!D86+'18'!D86+'19'!D86+'20'!D86+'21'!D86+'22'!D86+'23'!D86+'24'!D86+'25'!D86+'26'!D86+'27'!D86+'28'!D86+'29'!D86+'30'!D86+'31'!D86</f>
        <v>0</v>
      </c>
      <c r="E86" s="46">
        <f t="shared" si="4"/>
        <v>2</v>
      </c>
      <c r="F86" s="47">
        <f>+'1'!F86+'2'!F86+'3'!F86+'4'!F86+'5'!F86+'6'!F86+'7'!F86+'8'!F86+'9'!F86+'10'!F86+'11'!F86+'12'!F86+'13'!F86+'14'!F86+'15'!F86+'16'!F86+'17'!F86+'18'!F86+'19'!F86+'20'!F86+'21'!F86+'22'!F86+'23'!F86+'24'!F86+'25'!F86+'26'!F86+'27'!F86+'28'!F86+'29'!F86+'30'!F86+'31'!F86</f>
        <v>0</v>
      </c>
      <c r="G86" s="46">
        <v>0</v>
      </c>
      <c r="H86" s="47">
        <f>+'1'!H86+'2'!H86+'3'!H86+'4'!H86+'5'!H86+'6'!H86+'7'!H86+'8'!H86+'9'!H86+'10'!H86+'11'!H86+'12'!H86+'13'!H86+'14'!H86+'15'!H86+'16'!H86+'17'!H86+'18'!H86+'19'!H86+'20'!H86+'21'!H86+'22'!H86+'23'!H86+'24'!H86+'25'!H86+'26'!H86+'27'!H86+'28'!H86+'29'!H86+'30'!H86+'31'!H86</f>
        <v>1</v>
      </c>
      <c r="I86" s="21">
        <v>55</v>
      </c>
      <c r="J86" s="47">
        <f>+'1'!J86+'2'!J86+'3'!J86+'4'!J86+'5'!J86+'6'!J86+'7'!J86+'8'!J86+'9'!J86+'10'!J86+'11'!J86+'12'!J86+'13'!J86+'14'!J86+'15'!J86+'16'!J86+'17'!J86+'18'!J86+'19'!J86+'20'!J86+'21'!J86+'22'!J86+'23'!J86+'24'!J86+'25'!J86+'26'!J86+'27'!J86+'28'!J86+'29'!J86+'30'!J86+'31'!J86</f>
        <v>55</v>
      </c>
      <c r="K86" s="20"/>
      <c r="M86" s="56"/>
      <c r="U86" s="5"/>
    </row>
    <row r="87" spans="1:21">
      <c r="A87" s="10">
        <v>83</v>
      </c>
      <c r="B87" s="20" t="s">
        <v>99</v>
      </c>
      <c r="C87" s="46">
        <v>4</v>
      </c>
      <c r="D87" s="47">
        <f>+'1'!D87+'2'!D87+'3'!D87+'4'!D87+'5'!D87+'6'!D87+'7'!D87+'8'!D87+'9'!D87+'10'!D87+'11'!D87+'12'!D87+'13'!D87+'14'!D87+'15'!D87+'16'!D87+'17'!D87+'18'!D87+'19'!D87+'20'!D87+'21'!D87+'22'!D87+'23'!D87+'24'!D87+'25'!D87+'26'!D87+'27'!D87+'28'!D87+'29'!D87+'30'!D87+'31'!D87</f>
        <v>5</v>
      </c>
      <c r="E87" s="46">
        <f t="shared" si="4"/>
        <v>9</v>
      </c>
      <c r="F87" s="47">
        <f>+'1'!F87+'2'!F87+'3'!F87+'4'!F87+'5'!F87+'6'!F87+'7'!F87+'8'!F87+'9'!F87+'10'!F87+'11'!F87+'12'!F87+'13'!F87+'14'!F87+'15'!F87+'16'!F87+'17'!F87+'18'!F87+'19'!F87+'20'!F87+'21'!F87+'22'!F87+'23'!F87+'24'!F87+'25'!F87+'26'!F87+'27'!F87+'28'!F87+'29'!F87+'30'!F87+'31'!F87</f>
        <v>0</v>
      </c>
      <c r="G87" s="46">
        <v>0</v>
      </c>
      <c r="H87" s="47">
        <f>+'1'!H87+'2'!H87+'3'!H87+'4'!H87+'5'!H87+'6'!H87+'7'!H87+'8'!H87+'9'!H87+'10'!H87+'11'!H87+'12'!H87+'13'!H87+'14'!H87+'15'!H87+'16'!H87+'17'!H87+'18'!H87+'19'!H87+'20'!H87+'21'!H87+'22'!H87+'23'!H87+'24'!H87+'25'!H87+'26'!H87+'27'!H87+'28'!H87+'29'!H87+'30'!H87+'31'!H87</f>
        <v>6</v>
      </c>
      <c r="I87" s="21">
        <v>60</v>
      </c>
      <c r="J87" s="47">
        <f>+'1'!J87+'2'!J87+'3'!J87+'4'!J87+'5'!J87+'6'!J87+'7'!J87+'8'!J87+'9'!J87+'10'!J87+'11'!J87+'12'!J87+'13'!J87+'14'!J87+'15'!J87+'16'!J87+'17'!J87+'18'!J87+'19'!J87+'20'!J87+'21'!J87+'22'!J87+'23'!J87+'24'!J87+'25'!J87+'26'!J87+'27'!J87+'28'!J87+'29'!J87+'30'!J87+'31'!J87</f>
        <v>360</v>
      </c>
      <c r="K87" s="20"/>
      <c r="M87" s="56"/>
      <c r="U87" s="5"/>
    </row>
    <row r="88" spans="1:21">
      <c r="A88" s="10">
        <v>84</v>
      </c>
      <c r="B88" s="20" t="s">
        <v>100</v>
      </c>
      <c r="C88" s="46">
        <v>9</v>
      </c>
      <c r="D88" s="47">
        <f>+'1'!D88+'2'!D88+'3'!D88+'4'!D88+'5'!D88+'6'!D88+'7'!D88+'8'!D88+'9'!D88+'10'!D88+'11'!D88+'12'!D88+'13'!D88+'14'!D88+'15'!D88+'16'!D88+'17'!D88+'18'!D88+'19'!D88+'20'!D88+'21'!D88+'22'!D88+'23'!D88+'24'!D88+'25'!D88+'26'!D88+'27'!D88+'28'!D88+'29'!D88+'30'!D88+'31'!D88</f>
        <v>0</v>
      </c>
      <c r="E88" s="46">
        <f t="shared" si="4"/>
        <v>9</v>
      </c>
      <c r="F88" s="47">
        <f>+'1'!F88+'2'!F88+'3'!F88+'4'!F88+'5'!F88+'6'!F88+'7'!F88+'8'!F88+'9'!F88+'10'!F88+'11'!F88+'12'!F88+'13'!F88+'14'!F88+'15'!F88+'16'!F88+'17'!F88+'18'!F88+'19'!F88+'20'!F88+'21'!F88+'22'!F88+'23'!F88+'24'!F88+'25'!F88+'26'!F88+'27'!F88+'28'!F88+'29'!F88+'30'!F88+'31'!F88</f>
        <v>0</v>
      </c>
      <c r="G88" s="46">
        <v>0</v>
      </c>
      <c r="H88" s="47">
        <f>+'1'!H88+'2'!H88+'3'!H88+'4'!H88+'5'!H88+'6'!H88+'7'!H88+'8'!H88+'9'!H88+'10'!H88+'11'!H88+'12'!H88+'13'!H88+'14'!H88+'15'!H88+'16'!H88+'17'!H88+'18'!H88+'19'!H88+'20'!H88+'21'!H88+'22'!H88+'23'!H88+'24'!H88+'25'!H88+'26'!H88+'27'!H88+'28'!H88+'29'!H88+'30'!H88+'31'!H88</f>
        <v>4</v>
      </c>
      <c r="I88" s="21">
        <v>100</v>
      </c>
      <c r="J88" s="47">
        <f>+'1'!J88+'2'!J88+'3'!J88+'4'!J88+'5'!J88+'6'!J88+'7'!J88+'8'!J88+'9'!J88+'10'!J88+'11'!J88+'12'!J88+'13'!J88+'14'!J88+'15'!J88+'16'!J88+'17'!J88+'18'!J88+'19'!J88+'20'!J88+'21'!J88+'22'!J88+'23'!J88+'24'!J88+'25'!J88+'26'!J88+'27'!J88+'28'!J88+'29'!J88+'30'!J88+'31'!J88</f>
        <v>400</v>
      </c>
      <c r="K88" s="20"/>
      <c r="M88" s="56"/>
      <c r="U88" s="5"/>
    </row>
    <row r="89" spans="1:21">
      <c r="A89" s="10">
        <v>85</v>
      </c>
      <c r="B89" s="20" t="s">
        <v>101</v>
      </c>
      <c r="C89" s="46">
        <v>0</v>
      </c>
      <c r="D89" s="47">
        <f>+'1'!D89+'2'!D89+'3'!D89+'4'!D89+'5'!D89+'6'!D89+'7'!D89+'8'!D89+'9'!D89+'10'!D89+'11'!D89+'12'!D89+'13'!D89+'14'!D89+'15'!D89+'16'!D89+'17'!D89+'18'!D89+'19'!D89+'20'!D89+'21'!D89+'22'!D89+'23'!D89+'24'!D89+'25'!D89+'26'!D89+'27'!D89+'28'!D89+'29'!D89+'30'!D89+'31'!D89</f>
        <v>0</v>
      </c>
      <c r="E89" s="46">
        <f t="shared" si="4"/>
        <v>0</v>
      </c>
      <c r="F89" s="47">
        <f>+'1'!F89+'2'!F89+'3'!F89+'4'!F89+'5'!F89+'6'!F89+'7'!F89+'8'!F89+'9'!F89+'10'!F89+'11'!F89+'12'!F89+'13'!F89+'14'!F89+'15'!F89+'16'!F89+'17'!F89+'18'!F89+'19'!F89+'20'!F89+'21'!F89+'22'!F89+'23'!F89+'24'!F89+'25'!F89+'26'!F89+'27'!F89+'28'!F89+'29'!F89+'30'!F89+'31'!F89</f>
        <v>0</v>
      </c>
      <c r="G89" s="46">
        <v>0</v>
      </c>
      <c r="H89" s="47">
        <f>+'1'!H89+'2'!H89+'3'!H89+'4'!H89+'5'!H89+'6'!H89+'7'!H89+'8'!H89+'9'!H89+'10'!H89+'11'!H89+'12'!H89+'13'!H89+'14'!H89+'15'!H89+'16'!H89+'17'!H89+'18'!H89+'19'!H89+'20'!H89+'21'!H89+'22'!H89+'23'!H89+'24'!H89+'25'!H89+'26'!H89+'27'!H89+'28'!H89+'29'!H89+'30'!H89+'31'!H89</f>
        <v>0</v>
      </c>
      <c r="I89" s="21">
        <v>55</v>
      </c>
      <c r="J89" s="47">
        <f>+'1'!J89+'2'!J89+'3'!J89+'4'!J89+'5'!J89+'6'!J89+'7'!J89+'8'!J89+'9'!J89+'10'!J89+'11'!J89+'12'!J89+'13'!J89+'14'!J89+'15'!J89+'16'!J89+'17'!J89+'18'!J89+'19'!J89+'20'!J89+'21'!J89+'22'!J89+'23'!J89+'24'!J89+'25'!J89+'26'!J89+'27'!J89+'28'!J89+'29'!J89+'30'!J89+'31'!J89</f>
        <v>0</v>
      </c>
      <c r="K89" s="20"/>
      <c r="M89" s="56"/>
      <c r="U89" s="5"/>
    </row>
    <row r="90" spans="1:21">
      <c r="A90" s="10">
        <v>86</v>
      </c>
      <c r="B90" s="20" t="s">
        <v>102</v>
      </c>
      <c r="C90" s="46">
        <v>0</v>
      </c>
      <c r="D90" s="47">
        <f>+'1'!D90+'2'!D90+'3'!D90+'4'!D90+'5'!D90+'6'!D90+'7'!D90+'8'!D90+'9'!D90+'10'!D90+'11'!D90+'12'!D90+'13'!D90+'14'!D90+'15'!D90+'16'!D90+'17'!D90+'18'!D90+'19'!D90+'20'!D90+'21'!D90+'22'!D90+'23'!D90+'24'!D90+'25'!D90+'26'!D90+'27'!D90+'28'!D90+'29'!D90+'30'!D90+'31'!D90</f>
        <v>9</v>
      </c>
      <c r="E90" s="46">
        <f t="shared" si="4"/>
        <v>9</v>
      </c>
      <c r="F90" s="47">
        <f>+'1'!F90+'2'!F90+'3'!F90+'4'!F90+'5'!F90+'6'!F90+'7'!F90+'8'!F90+'9'!F90+'10'!F90+'11'!F90+'12'!F90+'13'!F90+'14'!F90+'15'!F90+'16'!F90+'17'!F90+'18'!F90+'19'!F90+'20'!F90+'21'!F90+'22'!F90+'23'!F90+'24'!F90+'25'!F90+'26'!F90+'27'!F90+'28'!F90+'29'!F90+'30'!F90+'31'!F90</f>
        <v>0</v>
      </c>
      <c r="G90" s="46">
        <v>0</v>
      </c>
      <c r="H90" s="47">
        <f>+'1'!H90+'2'!H90+'3'!H90+'4'!H90+'5'!H90+'6'!H90+'7'!H90+'8'!H90+'9'!H90+'10'!H90+'11'!H90+'12'!H90+'13'!H90+'14'!H90+'15'!H90+'16'!H90+'17'!H90+'18'!H90+'19'!H90+'20'!H90+'21'!H90+'22'!H90+'23'!H90+'24'!H90+'25'!H90+'26'!H90+'27'!H90+'28'!H90+'29'!H90+'30'!H90+'31'!H90</f>
        <v>4</v>
      </c>
      <c r="I90" s="21">
        <v>50</v>
      </c>
      <c r="J90" s="47">
        <f>+'1'!J90+'2'!J90+'3'!J90+'4'!J90+'5'!J90+'6'!J90+'7'!J90+'8'!J90+'9'!J90+'10'!J90+'11'!J90+'12'!J90+'13'!J90+'14'!J90+'15'!J90+'16'!J90+'17'!J90+'18'!J90+'19'!J90+'20'!J90+'21'!J90+'22'!J90+'23'!J90+'24'!J90+'25'!J90+'26'!J90+'27'!J90+'28'!J90+'29'!J90+'30'!J90+'31'!J90</f>
        <v>200</v>
      </c>
      <c r="K90" s="20"/>
      <c r="M90" s="56"/>
      <c r="U90" s="5"/>
    </row>
    <row r="91" spans="1:21">
      <c r="A91" s="10">
        <v>87</v>
      </c>
      <c r="B91" s="20" t="s">
        <v>103</v>
      </c>
      <c r="C91" s="46">
        <v>0</v>
      </c>
      <c r="D91" s="47">
        <f>+'1'!D91+'2'!D91+'3'!D91+'4'!D91+'5'!D91+'6'!D91+'7'!D91+'8'!D91+'9'!D91+'10'!D91+'11'!D91+'12'!D91+'13'!D91+'14'!D91+'15'!D91+'16'!D91+'17'!D91+'18'!D91+'19'!D91+'20'!D91+'21'!D91+'22'!D91+'23'!D91+'24'!D91+'25'!D91+'26'!D91+'27'!D91+'28'!D91+'29'!D91+'30'!D91+'31'!D91</f>
        <v>3</v>
      </c>
      <c r="E91" s="46">
        <f t="shared" si="4"/>
        <v>3</v>
      </c>
      <c r="F91" s="47">
        <f>+'1'!F91+'2'!F91+'3'!F91+'4'!F91+'5'!F91+'6'!F91+'7'!F91+'8'!F91+'9'!F91+'10'!F91+'11'!F91+'12'!F91+'13'!F91+'14'!F91+'15'!F91+'16'!F91+'17'!F91+'18'!F91+'19'!F91+'20'!F91+'21'!F91+'22'!F91+'23'!F91+'24'!F91+'25'!F91+'26'!F91+'27'!F91+'28'!F91+'29'!F91+'30'!F91+'31'!F91</f>
        <v>0</v>
      </c>
      <c r="G91" s="46">
        <v>0</v>
      </c>
      <c r="H91" s="47">
        <f>+'1'!H91+'2'!H91+'3'!H91+'4'!H91+'5'!H91+'6'!H91+'7'!H91+'8'!H91+'9'!H91+'10'!H91+'11'!H91+'12'!H91+'13'!H91+'14'!H91+'15'!H91+'16'!H91+'17'!H91+'18'!H91+'19'!H91+'20'!H91+'21'!H91+'22'!H91+'23'!H91+'24'!H91+'25'!H91+'26'!H91+'27'!H91+'28'!H91+'29'!H91+'30'!H91+'31'!H91</f>
        <v>6</v>
      </c>
      <c r="I91" s="23">
        <v>50</v>
      </c>
      <c r="J91" s="47">
        <f>+'1'!J91+'2'!J91+'3'!J91+'4'!J91+'5'!J91+'6'!J91+'7'!J91+'8'!J91+'9'!J91+'10'!J91+'11'!J91+'12'!J91+'13'!J91+'14'!J91+'15'!J91+'16'!J91+'17'!J91+'18'!J91+'19'!J91+'20'!J91+'21'!J91+'22'!J91+'23'!J91+'24'!J91+'25'!J91+'26'!J91+'27'!J91+'28'!J91+'29'!J91+'30'!J91+'31'!J91</f>
        <v>300</v>
      </c>
      <c r="K91" s="20"/>
      <c r="M91" s="56"/>
      <c r="U91" s="5"/>
    </row>
    <row r="92" spans="1:21">
      <c r="A92" s="10">
        <v>88</v>
      </c>
      <c r="B92" s="20" t="s">
        <v>104</v>
      </c>
      <c r="C92" s="46">
        <v>0</v>
      </c>
      <c r="D92" s="47">
        <f>+'1'!D92+'2'!D92+'3'!D92+'4'!D92+'5'!D92+'6'!D92+'7'!D92+'8'!D92+'9'!D92+'10'!D92+'11'!D92+'12'!D92+'13'!D92+'14'!D92+'15'!D92+'16'!D92+'17'!D92+'18'!D92+'19'!D92+'20'!D92+'21'!D92+'22'!D92+'23'!D92+'24'!D92+'25'!D92+'26'!D92+'27'!D92+'28'!D92+'29'!D92+'30'!D92+'31'!D92</f>
        <v>0</v>
      </c>
      <c r="E92" s="46">
        <f t="shared" si="4"/>
        <v>0</v>
      </c>
      <c r="F92" s="47">
        <f>+'1'!F92+'2'!F92+'3'!F92+'4'!F92+'5'!F92+'6'!F92+'7'!F92+'8'!F92+'9'!F92+'10'!F92+'11'!F92+'12'!F92+'13'!F92+'14'!F92+'15'!F92+'16'!F92+'17'!F92+'18'!F92+'19'!F92+'20'!F92+'21'!F92+'22'!F92+'23'!F92+'24'!F92+'25'!F92+'26'!F92+'27'!F92+'28'!F92+'29'!F92+'30'!F92+'31'!F92</f>
        <v>0</v>
      </c>
      <c r="G92" s="46">
        <v>0</v>
      </c>
      <c r="H92" s="47">
        <f>+'1'!H92+'2'!H92+'3'!H92+'4'!H92+'5'!H92+'6'!H92+'7'!H92+'8'!H92+'9'!H92+'10'!H92+'11'!H92+'12'!H92+'13'!H92+'14'!H92+'15'!H92+'16'!H92+'17'!H92+'18'!H92+'19'!H92+'20'!H92+'21'!H92+'22'!H92+'23'!H92+'24'!H92+'25'!H92+'26'!H92+'27'!H92+'28'!H92+'29'!H92+'30'!H92+'31'!H92</f>
        <v>0</v>
      </c>
      <c r="I92" s="23">
        <v>120</v>
      </c>
      <c r="J92" s="47">
        <f>+'1'!J92+'2'!J92+'3'!J92+'4'!J92+'5'!J92+'6'!J92+'7'!J92+'8'!J92+'9'!J92+'10'!J92+'11'!J92+'12'!J92+'13'!J92+'14'!J92+'15'!J92+'16'!J92+'17'!J92+'18'!J92+'19'!J92+'20'!J92+'21'!J92+'22'!J92+'23'!J92+'24'!J92+'25'!J92+'26'!J92+'27'!J92+'28'!J92+'29'!J92+'30'!J92+'31'!J92</f>
        <v>0</v>
      </c>
      <c r="K92" s="20"/>
      <c r="M92" s="56"/>
      <c r="U92" s="5"/>
    </row>
    <row r="93" spans="1:21">
      <c r="A93" s="10">
        <v>89</v>
      </c>
      <c r="B93" s="20" t="s">
        <v>105</v>
      </c>
      <c r="C93" s="46">
        <v>0</v>
      </c>
      <c r="D93" s="47">
        <f>+'1'!D93+'2'!D93+'3'!D93+'4'!D93+'5'!D93+'6'!D93+'7'!D93+'8'!D93+'9'!D93+'10'!D93+'11'!D93+'12'!D93+'13'!D93+'14'!D93+'15'!D93+'16'!D93+'17'!D93+'18'!D93+'19'!D93+'20'!D93+'21'!D93+'22'!D93+'23'!D93+'24'!D93+'25'!D93+'26'!D93+'27'!D93+'28'!D93+'29'!D93+'30'!D93+'31'!D93</f>
        <v>0</v>
      </c>
      <c r="E93" s="46">
        <f t="shared" si="4"/>
        <v>0</v>
      </c>
      <c r="F93" s="47">
        <f>+'1'!F93+'2'!F93+'3'!F93+'4'!F93+'5'!F93+'6'!F93+'7'!F93+'8'!F93+'9'!F93+'10'!F93+'11'!F93+'12'!F93+'13'!F93+'14'!F93+'15'!F93+'16'!F93+'17'!F93+'18'!F93+'19'!F93+'20'!F93+'21'!F93+'22'!F93+'23'!F93+'24'!F93+'25'!F93+'26'!F93+'27'!F93+'28'!F93+'29'!F93+'30'!F93+'31'!F93</f>
        <v>0</v>
      </c>
      <c r="G93" s="46">
        <v>0</v>
      </c>
      <c r="H93" s="47">
        <f>+'1'!H93+'2'!H93+'3'!H93+'4'!H93+'5'!H93+'6'!H93+'7'!H93+'8'!H93+'9'!H93+'10'!H93+'11'!H93+'12'!H93+'13'!H93+'14'!H93+'15'!H93+'16'!H93+'17'!H93+'18'!H93+'19'!H93+'20'!H93+'21'!H93+'22'!H93+'23'!H93+'24'!H93+'25'!H93+'26'!H93+'27'!H93+'28'!H93+'29'!H93+'30'!H93+'31'!H93</f>
        <v>0</v>
      </c>
      <c r="I93" s="21">
        <v>250</v>
      </c>
      <c r="J93" s="47">
        <f>+'1'!J93+'2'!J93+'3'!J93+'4'!J93+'5'!J93+'6'!J93+'7'!J93+'8'!J93+'9'!J93+'10'!J93+'11'!J93+'12'!J93+'13'!J93+'14'!J93+'15'!J93+'16'!J93+'17'!J93+'18'!J93+'19'!J93+'20'!J93+'21'!J93+'22'!J93+'23'!J93+'24'!J93+'25'!J93+'26'!J93+'27'!J93+'28'!J93+'29'!J93+'30'!J93+'31'!J93</f>
        <v>0</v>
      </c>
      <c r="K93" s="20"/>
      <c r="M93" s="56"/>
      <c r="U93" s="5"/>
    </row>
    <row r="94" spans="1:21">
      <c r="A94" s="10">
        <v>90</v>
      </c>
      <c r="B94" s="20" t="s">
        <v>106</v>
      </c>
      <c r="C94" s="46">
        <v>0</v>
      </c>
      <c r="D94" s="47">
        <f>+'1'!D94+'2'!D94+'3'!D94+'4'!D94+'5'!D94+'6'!D94+'7'!D94+'8'!D94+'9'!D94+'10'!D94+'11'!D94+'12'!D94+'13'!D94+'14'!D94+'15'!D94+'16'!D94+'17'!D94+'18'!D94+'19'!D94+'20'!D94+'21'!D94+'22'!D94+'23'!D94+'24'!D94+'25'!D94+'26'!D94+'27'!D94+'28'!D94+'29'!D94+'30'!D94+'31'!D94</f>
        <v>0</v>
      </c>
      <c r="E94" s="46">
        <f t="shared" si="4"/>
        <v>0</v>
      </c>
      <c r="F94" s="47">
        <f>+'1'!F94+'2'!F94+'3'!F94+'4'!F94+'5'!F94+'6'!F94+'7'!F94+'8'!F94+'9'!F94+'10'!F94+'11'!F94+'12'!F94+'13'!F94+'14'!F94+'15'!F94+'16'!F94+'17'!F94+'18'!F94+'19'!F94+'20'!F94+'21'!F94+'22'!F94+'23'!F94+'24'!F94+'25'!F94+'26'!F94+'27'!F94+'28'!F94+'29'!F94+'30'!F94+'31'!F94</f>
        <v>0</v>
      </c>
      <c r="G94" s="46">
        <v>0</v>
      </c>
      <c r="H94" s="47">
        <f>+'1'!H94+'2'!H94+'3'!H94+'4'!H94+'5'!H94+'6'!H94+'7'!H94+'8'!H94+'9'!H94+'10'!H94+'11'!H94+'12'!H94+'13'!H94+'14'!H94+'15'!H94+'16'!H94+'17'!H94+'18'!H94+'19'!H94+'20'!H94+'21'!H94+'22'!H94+'23'!H94+'24'!H94+'25'!H94+'26'!H94+'27'!H94+'28'!H94+'29'!H94+'30'!H94+'31'!H94</f>
        <v>0</v>
      </c>
      <c r="I94" s="21">
        <v>120</v>
      </c>
      <c r="J94" s="47">
        <f>+'1'!J94+'2'!J94+'3'!J94+'4'!J94+'5'!J94+'6'!J94+'7'!J94+'8'!J94+'9'!J94+'10'!J94+'11'!J94+'12'!J94+'13'!J94+'14'!J94+'15'!J94+'16'!J94+'17'!J94+'18'!J94+'19'!J94+'20'!J94+'21'!J94+'22'!J94+'23'!J94+'24'!J94+'25'!J94+'26'!J94+'27'!J94+'28'!J94+'29'!J94+'30'!J94+'31'!J94</f>
        <v>0</v>
      </c>
      <c r="K94" s="20"/>
      <c r="M94" s="56"/>
      <c r="U94" s="5"/>
    </row>
    <row r="95" spans="1:21">
      <c r="A95" s="10">
        <v>91</v>
      </c>
      <c r="B95" s="20" t="s">
        <v>107</v>
      </c>
      <c r="C95" s="46">
        <v>0</v>
      </c>
      <c r="D95" s="47">
        <f>+'1'!D95+'2'!D95+'3'!D95+'4'!D95+'5'!D95+'6'!D95+'7'!D95+'8'!D95+'9'!D95+'10'!D95+'11'!D95+'12'!D95+'13'!D95+'14'!D95+'15'!D95+'16'!D95+'17'!D95+'18'!D95+'19'!D95+'20'!D95+'21'!D95+'22'!D95+'23'!D95+'24'!D95+'25'!D95+'26'!D95+'27'!D95+'28'!D95+'29'!D95+'30'!D95+'31'!D95</f>
        <v>0</v>
      </c>
      <c r="E95" s="46">
        <f t="shared" si="4"/>
        <v>0</v>
      </c>
      <c r="F95" s="47">
        <f>+'1'!F95+'2'!F95+'3'!F95+'4'!F95+'5'!F95+'6'!F95+'7'!F95+'8'!F95+'9'!F95+'10'!F95+'11'!F95+'12'!F95+'13'!F95+'14'!F95+'15'!F95+'16'!F95+'17'!F95+'18'!F95+'19'!F95+'20'!F95+'21'!F95+'22'!F95+'23'!F95+'24'!F95+'25'!F95+'26'!F95+'27'!F95+'28'!F95+'29'!F95+'30'!F95+'31'!F95</f>
        <v>0</v>
      </c>
      <c r="G95" s="46">
        <v>0</v>
      </c>
      <c r="H95" s="47">
        <f>+'1'!H95+'2'!H95+'3'!H95+'4'!H95+'5'!H95+'6'!H95+'7'!H95+'8'!H95+'9'!H95+'10'!H95+'11'!H95+'12'!H95+'13'!H95+'14'!H95+'15'!H95+'16'!H95+'17'!H95+'18'!H95+'19'!H95+'20'!H95+'21'!H95+'22'!H95+'23'!H95+'24'!H95+'25'!H95+'26'!H95+'27'!H95+'28'!H95+'29'!H95+'30'!H95+'31'!H95</f>
        <v>0</v>
      </c>
      <c r="I95" s="21">
        <v>120</v>
      </c>
      <c r="J95" s="47">
        <f>+'1'!J95+'2'!J95+'3'!J95+'4'!J95+'5'!J95+'6'!J95+'7'!J95+'8'!J95+'9'!J95+'10'!J95+'11'!J95+'12'!J95+'13'!J95+'14'!J95+'15'!J95+'16'!J95+'17'!J95+'18'!J95+'19'!J95+'20'!J95+'21'!J95+'22'!J95+'23'!J95+'24'!J95+'25'!J95+'26'!J95+'27'!J95+'28'!J95+'29'!J95+'30'!J95+'31'!J95</f>
        <v>0</v>
      </c>
      <c r="K95" s="20"/>
      <c r="M95" s="56"/>
      <c r="U95" s="5"/>
    </row>
    <row r="96" spans="1:21">
      <c r="A96" s="10">
        <v>92</v>
      </c>
      <c r="B96" s="20" t="s">
        <v>108</v>
      </c>
      <c r="C96" s="46">
        <v>0</v>
      </c>
      <c r="D96" s="47">
        <f>+'1'!D96+'2'!D96+'3'!D96+'4'!D96+'5'!D96+'6'!D96+'7'!D96+'8'!D96+'9'!D96+'10'!D96+'11'!D96+'12'!D96+'13'!D96+'14'!D96+'15'!D96+'16'!D96+'17'!D96+'18'!D96+'19'!D96+'20'!D96+'21'!D96+'22'!D96+'23'!D96+'24'!D96+'25'!D96+'26'!D96+'27'!D96+'28'!D96+'29'!D96+'30'!D96+'31'!D96</f>
        <v>0</v>
      </c>
      <c r="E96" s="46">
        <f t="shared" si="4"/>
        <v>0</v>
      </c>
      <c r="F96" s="47">
        <f>+'1'!F96+'2'!F96+'3'!F96+'4'!F96+'5'!F96+'6'!F96+'7'!F96+'8'!F96+'9'!F96+'10'!F96+'11'!F96+'12'!F96+'13'!F96+'14'!F96+'15'!F96+'16'!F96+'17'!F96+'18'!F96+'19'!F96+'20'!F96+'21'!F96+'22'!F96+'23'!F96+'24'!F96+'25'!F96+'26'!F96+'27'!F96+'28'!F96+'29'!F96+'30'!F96+'31'!F96</f>
        <v>0</v>
      </c>
      <c r="G96" s="46">
        <v>0</v>
      </c>
      <c r="H96" s="47">
        <f>+'1'!H96+'2'!H96+'3'!H96+'4'!H96+'5'!H96+'6'!H96+'7'!H96+'8'!H96+'9'!H96+'10'!H96+'11'!H96+'12'!H96+'13'!H96+'14'!H96+'15'!H96+'16'!H96+'17'!H96+'18'!H96+'19'!H96+'20'!H96+'21'!H96+'22'!H96+'23'!H96+'24'!H96+'25'!H96+'26'!H96+'27'!H96+'28'!H96+'29'!H96+'30'!H96+'31'!H96</f>
        <v>0</v>
      </c>
      <c r="I96" s="21">
        <v>120</v>
      </c>
      <c r="J96" s="47">
        <f>+'1'!J96+'2'!J96+'3'!J96+'4'!J96+'5'!J96+'6'!J96+'7'!J96+'8'!J96+'9'!J96+'10'!J96+'11'!J96+'12'!J96+'13'!J96+'14'!J96+'15'!J96+'16'!J96+'17'!J96+'18'!J96+'19'!J96+'20'!J96+'21'!J96+'22'!J96+'23'!J96+'24'!J96+'25'!J96+'26'!J96+'27'!J96+'28'!J96+'29'!J96+'30'!J96+'31'!J96</f>
        <v>0</v>
      </c>
      <c r="K96" s="20"/>
      <c r="M96" s="56"/>
      <c r="U96" s="5"/>
    </row>
    <row r="97" spans="1:21">
      <c r="A97" s="10">
        <v>93</v>
      </c>
      <c r="B97" s="20" t="s">
        <v>109</v>
      </c>
      <c r="C97" s="46">
        <v>0</v>
      </c>
      <c r="D97" s="47">
        <f>+'1'!D97+'2'!D97+'3'!D97+'4'!D97+'5'!D97+'6'!D97+'7'!D97+'8'!D97+'9'!D97+'10'!D97+'11'!D97+'12'!D97+'13'!D97+'14'!D97+'15'!D97+'16'!D97+'17'!D97+'18'!D97+'19'!D97+'20'!D97+'21'!D97+'22'!D97+'23'!D97+'24'!D97+'25'!D97+'26'!D97+'27'!D97+'28'!D97+'29'!D97+'30'!D97+'31'!D97</f>
        <v>0</v>
      </c>
      <c r="E97" s="46">
        <f t="shared" si="4"/>
        <v>0</v>
      </c>
      <c r="F97" s="47">
        <f>+'1'!F97+'2'!F97+'3'!F97+'4'!F97+'5'!F97+'6'!F97+'7'!F97+'8'!F97+'9'!F97+'10'!F97+'11'!F97+'12'!F97+'13'!F97+'14'!F97+'15'!F97+'16'!F97+'17'!F97+'18'!F97+'19'!F97+'20'!F97+'21'!F97+'22'!F97+'23'!F97+'24'!F97+'25'!F97+'26'!F97+'27'!F97+'28'!F97+'29'!F97+'30'!F97+'31'!F97</f>
        <v>0</v>
      </c>
      <c r="G97" s="46">
        <v>0</v>
      </c>
      <c r="H97" s="47">
        <f>+'1'!H97+'2'!H97+'3'!H97+'4'!H97+'5'!H97+'6'!H97+'7'!H97+'8'!H97+'9'!H97+'10'!H97+'11'!H97+'12'!H97+'13'!H97+'14'!H97+'15'!H97+'16'!H97+'17'!H97+'18'!H97+'19'!H97+'20'!H97+'21'!H97+'22'!H97+'23'!H97+'24'!H97+'25'!H97+'26'!H97+'27'!H97+'28'!H97+'29'!H97+'30'!H97+'31'!H97</f>
        <v>0</v>
      </c>
      <c r="I97" s="21">
        <v>45</v>
      </c>
      <c r="J97" s="47">
        <f>+'1'!J97+'2'!J97+'3'!J97+'4'!J97+'5'!J97+'6'!J97+'7'!J97+'8'!J97+'9'!J97+'10'!J97+'11'!J97+'12'!J97+'13'!J97+'14'!J97+'15'!J97+'16'!J97+'17'!J97+'18'!J97+'19'!J97+'20'!J97+'21'!J97+'22'!J97+'23'!J97+'24'!J97+'25'!J97+'26'!J97+'27'!J97+'28'!J97+'29'!J97+'30'!J97+'31'!J97</f>
        <v>0</v>
      </c>
      <c r="K97" s="20"/>
      <c r="M97" s="56"/>
      <c r="U97" s="5"/>
    </row>
    <row r="98" spans="1:21">
      <c r="A98" s="10">
        <v>94</v>
      </c>
      <c r="B98" s="20" t="s">
        <v>110</v>
      </c>
      <c r="C98" s="46">
        <v>0</v>
      </c>
      <c r="D98" s="47">
        <f>+'1'!D98+'2'!D98+'3'!D98+'4'!D98+'5'!D98+'6'!D98+'7'!D98+'8'!D98+'9'!D98+'10'!D98+'11'!D98+'12'!D98+'13'!D98+'14'!D98+'15'!D98+'16'!D98+'17'!D98+'18'!D98+'19'!D98+'20'!D98+'21'!D98+'22'!D98+'23'!D98+'24'!D98+'25'!D98+'26'!D98+'27'!D98+'28'!D98+'29'!D98+'30'!D98+'31'!D98</f>
        <v>0</v>
      </c>
      <c r="E98" s="46">
        <f t="shared" si="4"/>
        <v>0</v>
      </c>
      <c r="F98" s="47">
        <f>+'1'!F98+'2'!F98+'3'!F98+'4'!F98+'5'!F98+'6'!F98+'7'!F98+'8'!F98+'9'!F98+'10'!F98+'11'!F98+'12'!F98+'13'!F98+'14'!F98+'15'!F98+'16'!F98+'17'!F98+'18'!F98+'19'!F98+'20'!F98+'21'!F98+'22'!F98+'23'!F98+'24'!F98+'25'!F98+'26'!F98+'27'!F98+'28'!F98+'29'!F98+'30'!F98+'31'!F98</f>
        <v>0</v>
      </c>
      <c r="G98" s="46">
        <v>0</v>
      </c>
      <c r="H98" s="47">
        <f>+'1'!H98+'2'!H98+'3'!H98+'4'!H98+'5'!H98+'6'!H98+'7'!H98+'8'!H98+'9'!H98+'10'!H98+'11'!H98+'12'!H98+'13'!H98+'14'!H98+'15'!H98+'16'!H98+'17'!H98+'18'!H98+'19'!H98+'20'!H98+'21'!H98+'22'!H98+'23'!H98+'24'!H98+'25'!H98+'26'!H98+'27'!H98+'28'!H98+'29'!H98+'30'!H98+'31'!H98</f>
        <v>0</v>
      </c>
      <c r="I98" s="21">
        <v>50</v>
      </c>
      <c r="J98" s="47">
        <f>+'1'!J98+'2'!J98+'3'!J98+'4'!J98+'5'!J98+'6'!J98+'7'!J98+'8'!J98+'9'!J98+'10'!J98+'11'!J98+'12'!J98+'13'!J98+'14'!J98+'15'!J98+'16'!J98+'17'!J98+'18'!J98+'19'!J98+'20'!J98+'21'!J98+'22'!J98+'23'!J98+'24'!J98+'25'!J98+'26'!J98+'27'!J98+'28'!J98+'29'!J98+'30'!J98+'31'!J98</f>
        <v>0</v>
      </c>
      <c r="K98" s="20"/>
      <c r="M98" s="56"/>
      <c r="U98" s="5"/>
    </row>
    <row r="99" spans="1:21">
      <c r="A99" s="10">
        <v>95</v>
      </c>
      <c r="B99" s="20" t="s">
        <v>111</v>
      </c>
      <c r="C99" s="46">
        <v>0</v>
      </c>
      <c r="D99" s="47">
        <f>+'1'!D99+'2'!D99+'3'!D99+'4'!D99+'5'!D99+'6'!D99+'7'!D99+'8'!D99+'9'!D99+'10'!D99+'11'!D99+'12'!D99+'13'!D99+'14'!D99+'15'!D99+'16'!D99+'17'!D99+'18'!D99+'19'!D99+'20'!D99+'21'!D99+'22'!D99+'23'!D99+'24'!D99+'25'!D99+'26'!D99+'27'!D99+'28'!D99+'29'!D99+'30'!D99+'31'!D99</f>
        <v>0</v>
      </c>
      <c r="E99" s="46">
        <f t="shared" si="4"/>
        <v>0</v>
      </c>
      <c r="F99" s="47">
        <f>+'1'!F99+'2'!F99+'3'!F99+'4'!F99+'5'!F99+'6'!F99+'7'!F99+'8'!F99+'9'!F99+'10'!F99+'11'!F99+'12'!F99+'13'!F99+'14'!F99+'15'!F99+'16'!F99+'17'!F99+'18'!F99+'19'!F99+'20'!F99+'21'!F99+'22'!F99+'23'!F99+'24'!F99+'25'!F99+'26'!F99+'27'!F99+'28'!F99+'29'!F99+'30'!F99+'31'!F99</f>
        <v>0</v>
      </c>
      <c r="G99" s="46">
        <v>0</v>
      </c>
      <c r="H99" s="47">
        <f>+'1'!H99+'2'!H99+'3'!H99+'4'!H99+'5'!H99+'6'!H99+'7'!H99+'8'!H99+'9'!H99+'10'!H99+'11'!H99+'12'!H99+'13'!H99+'14'!H99+'15'!H99+'16'!H99+'17'!H99+'18'!H99+'19'!H99+'20'!H99+'21'!H99+'22'!H99+'23'!H99+'24'!H99+'25'!H99+'26'!H99+'27'!H99+'28'!H99+'29'!H99+'30'!H99+'31'!H99</f>
        <v>0</v>
      </c>
      <c r="I99" s="21">
        <v>50</v>
      </c>
      <c r="J99" s="47">
        <f>+'1'!J99+'2'!J99+'3'!J99+'4'!J99+'5'!J99+'6'!J99+'7'!J99+'8'!J99+'9'!J99+'10'!J99+'11'!J99+'12'!J99+'13'!J99+'14'!J99+'15'!J99+'16'!J99+'17'!J99+'18'!J99+'19'!J99+'20'!J99+'21'!J99+'22'!J99+'23'!J99+'24'!J99+'25'!J99+'26'!J99+'27'!J99+'28'!J99+'29'!J99+'30'!J99+'31'!J99</f>
        <v>0</v>
      </c>
      <c r="K99" s="20"/>
      <c r="M99" s="56"/>
      <c r="U99" s="5"/>
    </row>
    <row r="100" spans="1:21">
      <c r="A100" s="10">
        <v>96</v>
      </c>
      <c r="B100" s="20" t="s">
        <v>112</v>
      </c>
      <c r="C100" s="46">
        <v>0</v>
      </c>
      <c r="D100" s="47">
        <f>+'1'!D100+'2'!D100+'3'!D100+'4'!D100+'5'!D100+'6'!D100+'7'!D100+'8'!D100+'9'!D100+'10'!D100+'11'!D100+'12'!D100+'13'!D100+'14'!D100+'15'!D100+'16'!D100+'17'!D100+'18'!D100+'19'!D100+'20'!D100+'21'!D100+'22'!D100+'23'!D100+'24'!D100+'25'!D100+'26'!D100+'27'!D100+'28'!D100+'29'!D100+'30'!D100+'31'!D100</f>
        <v>0</v>
      </c>
      <c r="E100" s="46">
        <f t="shared" si="4"/>
        <v>0</v>
      </c>
      <c r="F100" s="47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'!F100</f>
        <v>0</v>
      </c>
      <c r="G100" s="46">
        <v>0</v>
      </c>
      <c r="H100" s="47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'!H100</f>
        <v>0</v>
      </c>
      <c r="I100" s="21">
        <v>60</v>
      </c>
      <c r="J100" s="47">
        <f>+'1'!J100+'2'!J100+'3'!J100+'4'!J100+'5'!J100+'6'!J100+'7'!J100+'8'!J100+'9'!J100+'10'!J100+'11'!J100+'12'!J100+'13'!J100+'14'!J100+'15'!J100+'16'!J100+'17'!J100+'18'!J100+'19'!J100+'20'!J100+'21'!J100+'22'!J100+'23'!J100+'24'!J100+'25'!J100+'26'!J100+'27'!J100+'28'!J100+'29'!J100+'30'!J100+'31'!J100</f>
        <v>0</v>
      </c>
      <c r="K100" s="20"/>
      <c r="M100" s="56"/>
      <c r="U100" s="5"/>
    </row>
    <row r="101" spans="1:21">
      <c r="A101" s="10">
        <v>97</v>
      </c>
      <c r="B101" s="20" t="s">
        <v>226</v>
      </c>
      <c r="C101" s="46">
        <v>6</v>
      </c>
      <c r="D101" s="47">
        <f>+'1'!D101+'2'!D101+'3'!D101+'4'!D101+'5'!D101+'6'!D101+'7'!D101+'8'!D101+'9'!D101+'10'!D101+'11'!D101+'12'!D101+'13'!D101+'14'!D101+'15'!D101+'16'!D101+'17'!D101+'18'!D101+'19'!D101+'20'!D101+'21'!D101+'22'!D101+'23'!D101+'24'!D101+'25'!D101+'26'!D101+'27'!D101+'28'!D101+'29'!D101+'30'!D101+'31'!D101</f>
        <v>10</v>
      </c>
      <c r="E101" s="46">
        <f t="shared" si="4"/>
        <v>16</v>
      </c>
      <c r="F101" s="47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'!F101</f>
        <v>0</v>
      </c>
      <c r="G101" s="46">
        <v>0</v>
      </c>
      <c r="H101" s="47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'!H101</f>
        <v>1</v>
      </c>
      <c r="I101" s="21">
        <v>55</v>
      </c>
      <c r="J101" s="47">
        <f>+'1'!J101+'2'!J101+'3'!J101+'4'!J101+'5'!J101+'6'!J101+'7'!J101+'8'!J101+'9'!J101+'10'!J101+'11'!J101+'12'!J101+'13'!J101+'14'!J101+'15'!J101+'16'!J101+'17'!J101+'18'!J101+'19'!J101+'20'!J101+'21'!J101+'22'!J101+'23'!J101+'24'!J101+'25'!J101+'26'!J101+'27'!J101+'28'!J101+'29'!J101+'30'!J101+'31'!J101</f>
        <v>55</v>
      </c>
      <c r="K101" s="20"/>
      <c r="M101" s="56"/>
      <c r="U101" s="5"/>
    </row>
    <row r="102" spans="1:21">
      <c r="A102" s="10">
        <v>98</v>
      </c>
      <c r="B102" s="20" t="s">
        <v>113</v>
      </c>
      <c r="C102" s="46">
        <v>0</v>
      </c>
      <c r="D102" s="47">
        <f>+'1'!D102+'2'!D102+'3'!D102+'4'!D102+'5'!D102+'6'!D102+'7'!D102+'8'!D102+'9'!D102+'10'!D102+'11'!D102+'12'!D102+'13'!D102+'14'!D102+'15'!D102+'16'!D102+'17'!D102+'18'!D102+'19'!D102+'20'!D102+'21'!D102+'22'!D102+'23'!D102+'24'!D102+'25'!D102+'26'!D102+'27'!D102+'28'!D102+'29'!D102+'30'!D102+'31'!D102</f>
        <v>10</v>
      </c>
      <c r="E102" s="46">
        <f t="shared" si="4"/>
        <v>10</v>
      </c>
      <c r="F102" s="47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'!F102</f>
        <v>0</v>
      </c>
      <c r="G102" s="46">
        <v>0</v>
      </c>
      <c r="H102" s="47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'!H102</f>
        <v>9</v>
      </c>
      <c r="I102" s="21">
        <v>50</v>
      </c>
      <c r="J102" s="47">
        <f>+'1'!J102+'2'!J102+'3'!J102+'4'!J102+'5'!J102+'6'!J102+'7'!J102+'8'!J102+'9'!J102+'10'!J102+'11'!J102+'12'!J102+'13'!J102+'14'!J102+'15'!J102+'16'!J102+'17'!J102+'18'!J102+'19'!J102+'20'!J102+'21'!J102+'22'!J102+'23'!J102+'24'!J102+'25'!J102+'26'!J102+'27'!J102+'28'!J102+'29'!J102+'30'!J102+'31'!J102</f>
        <v>450</v>
      </c>
      <c r="K102" s="20"/>
      <c r="M102" s="56"/>
      <c r="U102" s="5"/>
    </row>
    <row r="103" spans="1:21">
      <c r="A103" s="10">
        <v>99</v>
      </c>
      <c r="B103" s="20" t="s">
        <v>114</v>
      </c>
      <c r="C103" s="46">
        <v>0</v>
      </c>
      <c r="D103" s="47">
        <f>+'1'!D103+'2'!D103+'3'!D103+'4'!D103+'5'!D103+'6'!D103+'7'!D103+'8'!D103+'9'!D103+'10'!D103+'11'!D103+'12'!D103+'13'!D103+'14'!D103+'15'!D103+'16'!D103+'17'!D103+'18'!D103+'19'!D103+'20'!D103+'21'!D103+'22'!D103+'23'!D103+'24'!D103+'25'!D103+'26'!D103+'27'!D103+'28'!D103+'29'!D103+'30'!D103+'31'!D103</f>
        <v>0</v>
      </c>
      <c r="E103" s="46">
        <f t="shared" si="4"/>
        <v>0</v>
      </c>
      <c r="F103" s="47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'!F103</f>
        <v>0</v>
      </c>
      <c r="G103" s="46">
        <v>0</v>
      </c>
      <c r="H103" s="47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'!H103</f>
        <v>0</v>
      </c>
      <c r="I103" s="21">
        <v>100</v>
      </c>
      <c r="J103" s="47">
        <f>+'1'!J103+'2'!J103+'3'!J103+'4'!J103+'5'!J103+'6'!J103+'7'!J103+'8'!J103+'9'!J103+'10'!J103+'11'!J103+'12'!J103+'13'!J103+'14'!J103+'15'!J103+'16'!J103+'17'!J103+'18'!J103+'19'!J103+'20'!J103+'21'!J103+'22'!J103+'23'!J103+'24'!J103+'25'!J103+'26'!J103+'27'!J103+'28'!J103+'29'!J103+'30'!J103+'31'!J103</f>
        <v>0</v>
      </c>
      <c r="K103" s="20"/>
      <c r="M103" s="56"/>
      <c r="U103" s="5"/>
    </row>
    <row r="104" spans="1:21">
      <c r="A104" s="10">
        <v>100</v>
      </c>
      <c r="B104" s="20" t="s">
        <v>115</v>
      </c>
      <c r="C104" s="46">
        <v>0</v>
      </c>
      <c r="D104" s="47">
        <f>+'1'!D104+'2'!D104+'3'!D104+'4'!D104+'5'!D104+'6'!D104+'7'!D104+'8'!D104+'9'!D104+'10'!D104+'11'!D104+'12'!D104+'13'!D104+'14'!D104+'15'!D104+'16'!D104+'17'!D104+'18'!D104+'19'!D104+'20'!D104+'21'!D104+'22'!D104+'23'!D104+'24'!D104+'25'!D104+'26'!D104+'27'!D104+'28'!D104+'29'!D104+'30'!D104+'31'!D104</f>
        <v>0</v>
      </c>
      <c r="E104" s="46">
        <f t="shared" si="4"/>
        <v>0</v>
      </c>
      <c r="F104" s="47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'!F104</f>
        <v>0</v>
      </c>
      <c r="G104" s="46">
        <v>0</v>
      </c>
      <c r="H104" s="47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'!H104</f>
        <v>0</v>
      </c>
      <c r="I104" s="21">
        <v>100</v>
      </c>
      <c r="J104" s="47">
        <f>+'1'!J104+'2'!J104+'3'!J104+'4'!J104+'5'!J104+'6'!J104+'7'!J104+'8'!J104+'9'!J104+'10'!J104+'11'!J104+'12'!J104+'13'!J104+'14'!J104+'15'!J104+'16'!J104+'17'!J104+'18'!J104+'19'!J104+'20'!J104+'21'!J104+'22'!J104+'23'!J104+'24'!J104+'25'!J104+'26'!J104+'27'!J104+'28'!J104+'29'!J104+'30'!J104+'31'!J104</f>
        <v>0</v>
      </c>
      <c r="K104" s="20"/>
      <c r="M104" s="56"/>
      <c r="U104" s="5"/>
    </row>
    <row r="105" spans="1:21">
      <c r="A105" s="10">
        <v>101</v>
      </c>
      <c r="B105" s="20" t="s">
        <v>116</v>
      </c>
      <c r="C105" s="46">
        <v>0</v>
      </c>
      <c r="D105" s="47">
        <f>+'1'!D105+'2'!D105+'3'!D105+'4'!D105+'5'!D105+'6'!D105+'7'!D105+'8'!D105+'9'!D105+'10'!D105+'11'!D105+'12'!D105+'13'!D105+'14'!D105+'15'!D105+'16'!D105+'17'!D105+'18'!D105+'19'!D105+'20'!D105+'21'!D105+'22'!D105+'23'!D105+'24'!D105+'25'!D105+'26'!D105+'27'!D105+'28'!D105+'29'!D105+'30'!D105+'31'!D105</f>
        <v>0</v>
      </c>
      <c r="E105" s="46">
        <f t="shared" si="4"/>
        <v>0</v>
      </c>
      <c r="F105" s="47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'!F105</f>
        <v>0</v>
      </c>
      <c r="G105" s="46">
        <v>0</v>
      </c>
      <c r="H105" s="47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'!H105</f>
        <v>0</v>
      </c>
      <c r="I105" s="23">
        <v>30</v>
      </c>
      <c r="J105" s="47">
        <f>+'1'!J105+'2'!J105+'3'!J105+'4'!J105+'5'!J105+'6'!J105+'7'!J105+'8'!J105+'9'!J105+'10'!J105+'11'!J105+'12'!J105+'13'!J105+'14'!J105+'15'!J105+'16'!J105+'17'!J105+'18'!J105+'19'!J105+'20'!J105+'21'!J105+'22'!J105+'23'!J105+'24'!J105+'25'!J105+'26'!J105+'27'!J105+'28'!J105+'29'!J105+'30'!J105+'31'!J105</f>
        <v>0</v>
      </c>
      <c r="K105" s="20"/>
      <c r="M105" s="56"/>
      <c r="U105" s="5"/>
    </row>
    <row r="106" spans="1:21">
      <c r="A106" s="10">
        <v>102</v>
      </c>
      <c r="B106" s="20" t="s">
        <v>117</v>
      </c>
      <c r="C106" s="46">
        <v>0</v>
      </c>
      <c r="D106" s="47">
        <f>+'1'!D106+'2'!D106+'3'!D106+'4'!D106+'5'!D106+'6'!D106+'7'!D106+'8'!D106+'9'!D106+'10'!D106+'11'!D106+'12'!D106+'13'!D106+'14'!D106+'15'!D106+'16'!D106+'17'!D106+'18'!D106+'19'!D106+'20'!D106+'21'!D106+'22'!D106+'23'!D106+'24'!D106+'25'!D106+'26'!D106+'27'!D106+'28'!D106+'29'!D106+'30'!D106+'31'!D106</f>
        <v>0</v>
      </c>
      <c r="E106" s="46">
        <f t="shared" si="4"/>
        <v>0</v>
      </c>
      <c r="F106" s="47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'!F106</f>
        <v>0</v>
      </c>
      <c r="G106" s="46">
        <v>0</v>
      </c>
      <c r="H106" s="47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'!H106</f>
        <v>0</v>
      </c>
      <c r="I106" s="23">
        <v>20</v>
      </c>
      <c r="J106" s="47">
        <f>+'1'!J106+'2'!J106+'3'!J106+'4'!J106+'5'!J106+'6'!J106+'7'!J106+'8'!J106+'9'!J106+'10'!J106+'11'!J106+'12'!J106+'13'!J106+'14'!J106+'15'!J106+'16'!J106+'17'!J106+'18'!J106+'19'!J106+'20'!J106+'21'!J106+'22'!J106+'23'!J106+'24'!J106+'25'!J106+'26'!J106+'27'!J106+'28'!J106+'29'!J106+'30'!J106+'31'!J106</f>
        <v>0</v>
      </c>
      <c r="K106" s="20"/>
      <c r="M106" s="56"/>
      <c r="U106" s="5"/>
    </row>
    <row r="107" spans="1:21">
      <c r="A107" s="10">
        <v>103</v>
      </c>
      <c r="B107" s="20" t="s">
        <v>118</v>
      </c>
      <c r="C107" s="46">
        <v>0</v>
      </c>
      <c r="D107" s="47">
        <f>+'1'!D107+'2'!D107+'3'!D107+'4'!D107+'5'!D107+'6'!D107+'7'!D107+'8'!D107+'9'!D107+'10'!D107+'11'!D107+'12'!D107+'13'!D107+'14'!D107+'15'!D107+'16'!D107+'17'!D107+'18'!D107+'19'!D107+'20'!D107+'21'!D107+'22'!D107+'23'!D107+'24'!D107+'25'!D107+'26'!D107+'27'!D107+'28'!D107+'29'!D107+'30'!D107+'31'!D107</f>
        <v>0</v>
      </c>
      <c r="E107" s="46">
        <f t="shared" si="4"/>
        <v>0</v>
      </c>
      <c r="F107" s="47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'!F107</f>
        <v>0</v>
      </c>
      <c r="G107" s="46">
        <v>0</v>
      </c>
      <c r="H107" s="47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'!H107</f>
        <v>0</v>
      </c>
      <c r="I107" s="21">
        <v>100</v>
      </c>
      <c r="J107" s="47">
        <f>+'1'!J107+'2'!J107+'3'!J107+'4'!J107+'5'!J107+'6'!J107+'7'!J107+'8'!J107+'9'!J107+'10'!J107+'11'!J107+'12'!J107+'13'!J107+'14'!J107+'15'!J107+'16'!J107+'17'!J107+'18'!J107+'19'!J107+'20'!J107+'21'!J107+'22'!J107+'23'!J107+'24'!J107+'25'!J107+'26'!J107+'27'!J107+'28'!J107+'29'!J107+'30'!J107+'31'!J107</f>
        <v>0</v>
      </c>
      <c r="K107" s="20"/>
      <c r="M107" s="56"/>
      <c r="U107" s="5"/>
    </row>
    <row r="108" spans="1:21">
      <c r="A108" s="10">
        <v>104</v>
      </c>
      <c r="B108" s="20" t="s">
        <v>120</v>
      </c>
      <c r="C108" s="46">
        <v>0</v>
      </c>
      <c r="D108" s="47">
        <f>+'1'!D108+'2'!D108+'3'!D108+'4'!D108+'5'!D108+'6'!D108+'7'!D108+'8'!D108+'9'!D108+'10'!D108+'11'!D108+'12'!D108+'13'!D108+'14'!D108+'15'!D108+'16'!D108+'17'!D108+'18'!D108+'19'!D108+'20'!D108+'21'!D108+'22'!D108+'23'!D108+'24'!D108+'25'!D108+'26'!D108+'27'!D108+'28'!D108+'29'!D108+'30'!D108+'31'!D108</f>
        <v>0</v>
      </c>
      <c r="E108" s="46">
        <f t="shared" si="4"/>
        <v>0</v>
      </c>
      <c r="F108" s="47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'!F108</f>
        <v>0</v>
      </c>
      <c r="G108" s="46">
        <v>0</v>
      </c>
      <c r="H108" s="47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'!H108</f>
        <v>0</v>
      </c>
      <c r="I108" s="21">
        <v>80</v>
      </c>
      <c r="J108" s="47">
        <f>+'1'!J108+'2'!J108+'3'!J108+'4'!J108+'5'!J108+'6'!J108+'7'!J108+'8'!J108+'9'!J108+'10'!J108+'11'!J108+'12'!J108+'13'!J108+'14'!J108+'15'!J108+'16'!J108+'17'!J108+'18'!J108+'19'!J108+'20'!J108+'21'!J108+'22'!J108+'23'!J108+'24'!J108+'25'!J108+'26'!J108+'27'!J108+'28'!J108+'29'!J108+'30'!J108+'31'!J108</f>
        <v>0</v>
      </c>
      <c r="K108" s="20"/>
      <c r="M108" s="56"/>
      <c r="U108" s="5"/>
    </row>
    <row r="109" spans="1:21">
      <c r="A109" s="10">
        <v>105</v>
      </c>
      <c r="B109" s="20" t="s">
        <v>121</v>
      </c>
      <c r="C109" s="46">
        <v>0</v>
      </c>
      <c r="D109" s="47">
        <f>+'1'!D109+'2'!D109+'3'!D109+'4'!D109+'5'!D109+'6'!D109+'7'!D109+'8'!D109+'9'!D109+'10'!D109+'11'!D109+'12'!D109+'13'!D109+'14'!D109+'15'!D109+'16'!D109+'17'!D109+'18'!D109+'19'!D109+'20'!D109+'21'!D109+'22'!D109+'23'!D109+'24'!D109+'25'!D109+'26'!D109+'27'!D109+'28'!D109+'29'!D109+'30'!D109+'31'!D109</f>
        <v>0</v>
      </c>
      <c r="E109" s="46">
        <f t="shared" si="4"/>
        <v>0</v>
      </c>
      <c r="F109" s="47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'!F109</f>
        <v>0</v>
      </c>
      <c r="G109" s="46">
        <v>0</v>
      </c>
      <c r="H109" s="47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'!H109</f>
        <v>0</v>
      </c>
      <c r="I109" s="21">
        <v>60</v>
      </c>
      <c r="J109" s="47">
        <f>+'1'!J109+'2'!J109+'3'!J109+'4'!J109+'5'!J109+'6'!J109+'7'!J109+'8'!J109+'9'!J109+'10'!J109+'11'!J109+'12'!J109+'13'!J109+'14'!J109+'15'!J109+'16'!J109+'17'!J109+'18'!J109+'19'!J109+'20'!J109+'21'!J109+'22'!J109+'23'!J109+'24'!J109+'25'!J109+'26'!J109+'27'!J109+'28'!J109+'29'!J109+'30'!J109+'31'!J109</f>
        <v>0</v>
      </c>
      <c r="K109" s="20"/>
      <c r="M109" s="56"/>
      <c r="U109" s="5"/>
    </row>
    <row r="110" spans="1:21">
      <c r="A110" s="10">
        <v>106</v>
      </c>
      <c r="B110" s="20" t="s">
        <v>122</v>
      </c>
      <c r="C110" s="46">
        <v>0</v>
      </c>
      <c r="D110" s="47">
        <f>+'1'!D110+'2'!D110+'3'!D110+'4'!D110+'5'!D110+'6'!D110+'7'!D110+'8'!D110+'9'!D110+'10'!D110+'11'!D110+'12'!D110+'13'!D110+'14'!D110+'15'!D110+'16'!D110+'17'!D110+'18'!D110+'19'!D110+'20'!D110+'21'!D110+'22'!D110+'23'!D110+'24'!D110+'25'!D110+'26'!D110+'27'!D110+'28'!D110+'29'!D110+'30'!D110+'31'!D110</f>
        <v>0</v>
      </c>
      <c r="E110" s="46">
        <f t="shared" si="4"/>
        <v>0</v>
      </c>
      <c r="F110" s="47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'!F110</f>
        <v>0</v>
      </c>
      <c r="G110" s="46">
        <v>0</v>
      </c>
      <c r="H110" s="47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'!H110</f>
        <v>0</v>
      </c>
      <c r="I110" s="21">
        <v>35</v>
      </c>
      <c r="J110" s="47">
        <f>+'1'!J110+'2'!J110+'3'!J110+'4'!J110+'5'!J110+'6'!J110+'7'!J110+'8'!J110+'9'!J110+'10'!J110+'11'!J110+'12'!J110+'13'!J110+'14'!J110+'15'!J110+'16'!J110+'17'!J110+'18'!J110+'19'!J110+'20'!J110+'21'!J110+'22'!J110+'23'!J110+'24'!J110+'25'!J110+'26'!J110+'27'!J110+'28'!J110+'29'!J110+'30'!J110+'31'!J110</f>
        <v>0</v>
      </c>
      <c r="K110" s="20"/>
      <c r="M110" s="56"/>
      <c r="U110" s="5"/>
    </row>
    <row r="111" spans="1:21">
      <c r="A111" s="10">
        <v>107</v>
      </c>
      <c r="B111" s="20" t="s">
        <v>123</v>
      </c>
      <c r="C111" s="46">
        <v>0</v>
      </c>
      <c r="D111" s="47">
        <f>+'1'!D111+'2'!D111+'3'!D111+'4'!D111+'5'!D111+'6'!D111+'7'!D111+'8'!D111+'9'!D111+'10'!D111+'11'!D111+'12'!D111+'13'!D111+'14'!D111+'15'!D111+'16'!D111+'17'!D111+'18'!D111+'19'!D111+'20'!D111+'21'!D111+'22'!D111+'23'!D111+'24'!D111+'25'!D111+'26'!D111+'27'!D111+'28'!D111+'29'!D111+'30'!D111+'31'!D111</f>
        <v>0</v>
      </c>
      <c r="E111" s="46">
        <f t="shared" si="4"/>
        <v>0</v>
      </c>
      <c r="F111" s="47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'!F111</f>
        <v>0</v>
      </c>
      <c r="G111" s="46">
        <v>0</v>
      </c>
      <c r="H111" s="47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'!H111</f>
        <v>0</v>
      </c>
      <c r="I111" s="21">
        <v>35</v>
      </c>
      <c r="J111" s="47">
        <f>+'1'!J111+'2'!J111+'3'!J111+'4'!J111+'5'!J111+'6'!J111+'7'!J111+'8'!J111+'9'!J111+'10'!J111+'11'!J111+'12'!J111+'13'!J111+'14'!J111+'15'!J111+'16'!J111+'17'!J111+'18'!J111+'19'!J111+'20'!J111+'21'!J111+'22'!J111+'23'!J111+'24'!J111+'25'!J111+'26'!J111+'27'!J111+'28'!J111+'29'!J111+'30'!J111+'31'!J111</f>
        <v>0</v>
      </c>
      <c r="K111" s="20"/>
      <c r="M111" s="56"/>
      <c r="U111" s="5"/>
    </row>
    <row r="112" spans="1:21">
      <c r="A112" s="10">
        <v>108</v>
      </c>
      <c r="B112" s="20" t="s">
        <v>124</v>
      </c>
      <c r="C112" s="46">
        <v>0</v>
      </c>
      <c r="D112" s="47">
        <f>+'1'!D112+'2'!D112+'3'!D112+'4'!D112+'5'!D112+'6'!D112+'7'!D112+'8'!D112+'9'!D112+'10'!D112+'11'!D112+'12'!D112+'13'!D112+'14'!D112+'15'!D112+'16'!D112+'17'!D112+'18'!D112+'19'!D112+'20'!D112+'21'!D112+'22'!D112+'23'!D112+'24'!D112+'25'!D112+'26'!D112+'27'!D112+'28'!D112+'29'!D112+'30'!D112+'31'!D112</f>
        <v>0</v>
      </c>
      <c r="E112" s="46">
        <f t="shared" si="4"/>
        <v>0</v>
      </c>
      <c r="F112" s="47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'!F112</f>
        <v>0</v>
      </c>
      <c r="G112" s="46">
        <v>0</v>
      </c>
      <c r="H112" s="47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'!H112</f>
        <v>0</v>
      </c>
      <c r="I112" s="21">
        <v>35</v>
      </c>
      <c r="J112" s="47">
        <f>+'1'!J112+'2'!J112+'3'!J112+'4'!J112+'5'!J112+'6'!J112+'7'!J112+'8'!J112+'9'!J112+'10'!J112+'11'!J112+'12'!J112+'13'!J112+'14'!J112+'15'!J112+'16'!J112+'17'!J112+'18'!J112+'19'!J112+'20'!J112+'21'!J112+'22'!J112+'23'!J112+'24'!J112+'25'!J112+'26'!J112+'27'!J112+'28'!J112+'29'!J112+'30'!J112+'31'!J112</f>
        <v>0</v>
      </c>
      <c r="K112" s="20"/>
      <c r="M112" s="56"/>
      <c r="U112" s="5"/>
    </row>
    <row r="113" spans="1:21">
      <c r="A113" s="10">
        <v>109</v>
      </c>
      <c r="B113" s="20" t="s">
        <v>125</v>
      </c>
      <c r="C113" s="46">
        <v>0</v>
      </c>
      <c r="D113" s="47">
        <f>+'1'!D113+'2'!D113+'3'!D113+'4'!D113+'5'!D113+'6'!D113+'7'!D113+'8'!D113+'9'!D113+'10'!D113+'11'!D113+'12'!D113+'13'!D113+'14'!D113+'15'!D113+'16'!D113+'17'!D113+'18'!D113+'19'!D113+'20'!D113+'21'!D113+'22'!D113+'23'!D113+'24'!D113+'25'!D113+'26'!D113+'27'!D113+'28'!D113+'29'!D113+'30'!D113+'31'!D113</f>
        <v>0</v>
      </c>
      <c r="E113" s="46">
        <f t="shared" si="4"/>
        <v>0</v>
      </c>
      <c r="F113" s="47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'!F113</f>
        <v>0</v>
      </c>
      <c r="G113" s="46">
        <v>0</v>
      </c>
      <c r="H113" s="47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'!H113</f>
        <v>0</v>
      </c>
      <c r="I113" s="21">
        <v>35</v>
      </c>
      <c r="J113" s="47">
        <f>+'1'!J113+'2'!J113+'3'!J113+'4'!J113+'5'!J113+'6'!J113+'7'!J113+'8'!J113+'9'!J113+'10'!J113+'11'!J113+'12'!J113+'13'!J113+'14'!J113+'15'!J113+'16'!J113+'17'!J113+'18'!J113+'19'!J113+'20'!J113+'21'!J113+'22'!J113+'23'!J113+'24'!J113+'25'!J113+'26'!J113+'27'!J113+'28'!J113+'29'!J113+'30'!J113+'31'!J113</f>
        <v>0</v>
      </c>
      <c r="K113" s="20"/>
      <c r="M113" s="56"/>
      <c r="U113" s="5"/>
    </row>
    <row r="114" spans="1:21">
      <c r="A114" s="10">
        <v>110</v>
      </c>
      <c r="B114" s="20" t="s">
        <v>126</v>
      </c>
      <c r="C114" s="46">
        <v>0</v>
      </c>
      <c r="D114" s="47">
        <f>+'1'!D114+'2'!D114+'3'!D114+'4'!D114+'5'!D114+'6'!D114+'7'!D114+'8'!D114+'9'!D114+'10'!D114+'11'!D114+'12'!D114+'13'!D114+'14'!D114+'15'!D114+'16'!D114+'17'!D114+'18'!D114+'19'!D114+'20'!D114+'21'!D114+'22'!D114+'23'!D114+'24'!D114+'25'!D114+'26'!D114+'27'!D114+'28'!D114+'29'!D114+'30'!D114+'31'!D114</f>
        <v>0</v>
      </c>
      <c r="E114" s="46">
        <f t="shared" si="4"/>
        <v>0</v>
      </c>
      <c r="F114" s="47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'!F114</f>
        <v>0</v>
      </c>
      <c r="G114" s="46">
        <v>0</v>
      </c>
      <c r="H114" s="47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'!H114</f>
        <v>0</v>
      </c>
      <c r="I114" s="21">
        <v>35</v>
      </c>
      <c r="J114" s="47">
        <f>+'1'!J114+'2'!J114+'3'!J114+'4'!J114+'5'!J114+'6'!J114+'7'!J114+'8'!J114+'9'!J114+'10'!J114+'11'!J114+'12'!J114+'13'!J114+'14'!J114+'15'!J114+'16'!J114+'17'!J114+'18'!J114+'19'!J114+'20'!J114+'21'!J114+'22'!J114+'23'!J114+'24'!J114+'25'!J114+'26'!J114+'27'!J114+'28'!J114+'29'!J114+'30'!J114+'31'!J114</f>
        <v>0</v>
      </c>
      <c r="K114" s="20"/>
      <c r="M114" s="56"/>
      <c r="U114" s="5"/>
    </row>
    <row r="115" spans="1:21">
      <c r="A115" s="10">
        <v>111</v>
      </c>
      <c r="B115" s="20" t="s">
        <v>127</v>
      </c>
      <c r="C115" s="46">
        <v>0</v>
      </c>
      <c r="D115" s="47">
        <f>+'1'!D115+'2'!D115+'3'!D115+'4'!D115+'5'!D115+'6'!D115+'7'!D115+'8'!D115+'9'!D115+'10'!D115+'11'!D115+'12'!D115+'13'!D115+'14'!D115+'15'!D115+'16'!D115+'17'!D115+'18'!D115+'19'!D115+'20'!D115+'21'!D115+'22'!D115+'23'!D115+'24'!D115+'25'!D115+'26'!D115+'27'!D115+'28'!D115+'29'!D115+'30'!D115+'31'!D115</f>
        <v>0</v>
      </c>
      <c r="E115" s="46">
        <f t="shared" si="4"/>
        <v>0</v>
      </c>
      <c r="F115" s="47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'!F115</f>
        <v>0</v>
      </c>
      <c r="G115" s="46">
        <v>0</v>
      </c>
      <c r="H115" s="47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'!H115</f>
        <v>0</v>
      </c>
      <c r="I115" s="21">
        <v>50</v>
      </c>
      <c r="J115" s="47">
        <f>+'1'!J115+'2'!J115+'3'!J115+'4'!J115+'5'!J115+'6'!J115+'7'!J115+'8'!J115+'9'!J115+'10'!J115+'11'!J115+'12'!J115+'13'!J115+'14'!J115+'15'!J115+'16'!J115+'17'!J115+'18'!J115+'19'!J115+'20'!J115+'21'!J115+'22'!J115+'23'!J115+'24'!J115+'25'!J115+'26'!J115+'27'!J115+'28'!J115+'29'!J115+'30'!J115+'31'!J115</f>
        <v>0</v>
      </c>
      <c r="K115" s="20"/>
      <c r="M115" s="56"/>
      <c r="U115" s="5"/>
    </row>
    <row r="116" spans="1:21">
      <c r="A116" s="10">
        <v>112</v>
      </c>
      <c r="B116" s="20" t="s">
        <v>128</v>
      </c>
      <c r="C116" s="46">
        <v>0</v>
      </c>
      <c r="D116" s="47">
        <f>+'1'!D116+'2'!D116+'3'!D116+'4'!D116+'5'!D116+'6'!D116+'7'!D116+'8'!D116+'9'!D116+'10'!D116+'11'!D116+'12'!D116+'13'!D116+'14'!D116+'15'!D116+'16'!D116+'17'!D116+'18'!D116+'19'!D116+'20'!D116+'21'!D116+'22'!D116+'23'!D116+'24'!D116+'25'!D116+'26'!D116+'27'!D116+'28'!D116+'29'!D116+'30'!D116+'31'!D116</f>
        <v>0</v>
      </c>
      <c r="E116" s="46">
        <f t="shared" si="4"/>
        <v>0</v>
      </c>
      <c r="F116" s="47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'!F116</f>
        <v>0</v>
      </c>
      <c r="G116" s="46">
        <v>0</v>
      </c>
      <c r="H116" s="47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'!H116</f>
        <v>0</v>
      </c>
      <c r="I116" s="21">
        <v>50</v>
      </c>
      <c r="J116" s="47">
        <f>+'1'!J116+'2'!J116+'3'!J116+'4'!J116+'5'!J116+'6'!J116+'7'!J116+'8'!J116+'9'!J116+'10'!J116+'11'!J116+'12'!J116+'13'!J116+'14'!J116+'15'!J116+'16'!J116+'17'!J116+'18'!J116+'19'!J116+'20'!J116+'21'!J116+'22'!J116+'23'!J116+'24'!J116+'25'!J116+'26'!J116+'27'!J116+'28'!J116+'29'!J116+'30'!J116+'31'!J116</f>
        <v>0</v>
      </c>
      <c r="K116" s="20"/>
      <c r="M116" s="56"/>
      <c r="U116" s="5"/>
    </row>
    <row r="117" spans="1:21">
      <c r="A117" s="10">
        <v>113</v>
      </c>
      <c r="B117" s="20" t="s">
        <v>129</v>
      </c>
      <c r="C117" s="46">
        <v>0</v>
      </c>
      <c r="D117" s="47">
        <f>+'1'!D117+'2'!D117+'3'!D117+'4'!D117+'5'!D117+'6'!D117+'7'!D117+'8'!D117+'9'!D117+'10'!D117+'11'!D117+'12'!D117+'13'!D117+'14'!D117+'15'!D117+'16'!D117+'17'!D117+'18'!D117+'19'!D117+'20'!D117+'21'!D117+'22'!D117+'23'!D117+'24'!D117+'25'!D117+'26'!D117+'27'!D117+'28'!D117+'29'!D117+'30'!D117+'31'!D117</f>
        <v>0</v>
      </c>
      <c r="E117" s="46">
        <f t="shared" si="4"/>
        <v>0</v>
      </c>
      <c r="F117" s="47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'!F117</f>
        <v>0</v>
      </c>
      <c r="G117" s="46">
        <v>0</v>
      </c>
      <c r="H117" s="47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'!H117</f>
        <v>0</v>
      </c>
      <c r="I117" s="21">
        <v>50</v>
      </c>
      <c r="J117" s="47">
        <f>+'1'!J117+'2'!J117+'3'!J117+'4'!J117+'5'!J117+'6'!J117+'7'!J117+'8'!J117+'9'!J117+'10'!J117+'11'!J117+'12'!J117+'13'!J117+'14'!J117+'15'!J117+'16'!J117+'17'!J117+'18'!J117+'19'!J117+'20'!J117+'21'!J117+'22'!J117+'23'!J117+'24'!J117+'25'!J117+'26'!J117+'27'!J117+'28'!J117+'29'!J117+'30'!J117+'31'!J117</f>
        <v>0</v>
      </c>
      <c r="K117" s="20"/>
      <c r="M117" s="56"/>
      <c r="U117" s="5"/>
    </row>
    <row r="118" spans="1:21">
      <c r="A118" s="10">
        <v>114</v>
      </c>
      <c r="B118" s="20" t="s">
        <v>130</v>
      </c>
      <c r="C118" s="46">
        <v>0</v>
      </c>
      <c r="D118" s="47">
        <f>+'1'!D118+'2'!D118+'3'!D118+'4'!D118+'5'!D118+'6'!D118+'7'!D118+'8'!D118+'9'!D118+'10'!D118+'11'!D118+'12'!D118+'13'!D118+'14'!D118+'15'!D118+'16'!D118+'17'!D118+'18'!D118+'19'!D118+'20'!D118+'21'!D118+'22'!D118+'23'!D118+'24'!D118+'25'!D118+'26'!D118+'27'!D118+'28'!D118+'29'!D118+'30'!D118+'31'!D118</f>
        <v>0</v>
      </c>
      <c r="E118" s="46">
        <f t="shared" si="4"/>
        <v>0</v>
      </c>
      <c r="F118" s="47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'!F118</f>
        <v>0</v>
      </c>
      <c r="G118" s="46">
        <v>0</v>
      </c>
      <c r="H118" s="47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'!H118</f>
        <v>0</v>
      </c>
      <c r="I118" s="21">
        <v>50</v>
      </c>
      <c r="J118" s="47">
        <f>+'1'!J118+'2'!J118+'3'!J118+'4'!J118+'5'!J118+'6'!J118+'7'!J118+'8'!J118+'9'!J118+'10'!J118+'11'!J118+'12'!J118+'13'!J118+'14'!J118+'15'!J118+'16'!J118+'17'!J118+'18'!J118+'19'!J118+'20'!J118+'21'!J118+'22'!J118+'23'!J118+'24'!J118+'25'!J118+'26'!J118+'27'!J118+'28'!J118+'29'!J118+'30'!J118+'31'!J118</f>
        <v>0</v>
      </c>
      <c r="K118" s="20"/>
      <c r="M118" s="56"/>
      <c r="U118" s="5"/>
    </row>
    <row r="119" spans="1:21">
      <c r="A119" s="10">
        <v>115</v>
      </c>
      <c r="B119" s="20" t="s">
        <v>131</v>
      </c>
      <c r="C119" s="46">
        <v>0</v>
      </c>
      <c r="D119" s="47">
        <f>+'1'!D119+'2'!D119+'3'!D119+'4'!D119+'5'!D119+'6'!D119+'7'!D119+'8'!D119+'9'!D119+'10'!D119+'11'!D119+'12'!D119+'13'!D119+'14'!D119+'15'!D119+'16'!D119+'17'!D119+'18'!D119+'19'!D119+'20'!D119+'21'!D119+'22'!D119+'23'!D119+'24'!D119+'25'!D119+'26'!D119+'27'!D119+'28'!D119+'29'!D119+'30'!D119+'31'!D119</f>
        <v>0</v>
      </c>
      <c r="E119" s="46">
        <f t="shared" si="4"/>
        <v>0</v>
      </c>
      <c r="F119" s="47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'!F119</f>
        <v>0</v>
      </c>
      <c r="G119" s="46">
        <v>0</v>
      </c>
      <c r="H119" s="47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'!H119</f>
        <v>0</v>
      </c>
      <c r="I119" s="21">
        <v>50</v>
      </c>
      <c r="J119" s="47">
        <f>+'1'!J119+'2'!J119+'3'!J119+'4'!J119+'5'!J119+'6'!J119+'7'!J119+'8'!J119+'9'!J119+'10'!J119+'11'!J119+'12'!J119+'13'!J119+'14'!J119+'15'!J119+'16'!J119+'17'!J119+'18'!J119+'19'!J119+'20'!J119+'21'!J119+'22'!J119+'23'!J119+'24'!J119+'25'!J119+'26'!J119+'27'!J119+'28'!J119+'29'!J119+'30'!J119+'31'!J119</f>
        <v>0</v>
      </c>
      <c r="K119" s="20"/>
      <c r="M119" s="56"/>
      <c r="U119" s="5"/>
    </row>
    <row r="120" spans="1:21">
      <c r="A120" s="10">
        <v>116</v>
      </c>
      <c r="B120" s="20" t="s">
        <v>132</v>
      </c>
      <c r="C120" s="46">
        <v>0</v>
      </c>
      <c r="D120" s="47">
        <f>+'1'!D120+'2'!D120+'3'!D120+'4'!D120+'5'!D120+'6'!D120+'7'!D120+'8'!D120+'9'!D120+'10'!D120+'11'!D120+'12'!D120+'13'!D120+'14'!D120+'15'!D120+'16'!D120+'17'!D120+'18'!D120+'19'!D120+'20'!D120+'21'!D120+'22'!D120+'23'!D120+'24'!D120+'25'!D120+'26'!D120+'27'!D120+'28'!D120+'29'!D120+'30'!D120+'31'!D120</f>
        <v>0</v>
      </c>
      <c r="E120" s="46">
        <f t="shared" si="4"/>
        <v>0</v>
      </c>
      <c r="F120" s="47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'!F120</f>
        <v>0</v>
      </c>
      <c r="G120" s="46">
        <v>0</v>
      </c>
      <c r="H120" s="47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'!H120</f>
        <v>0</v>
      </c>
      <c r="I120" s="21">
        <v>50</v>
      </c>
      <c r="J120" s="47">
        <f>+'1'!J120+'2'!J120+'3'!J120+'4'!J120+'5'!J120+'6'!J120+'7'!J120+'8'!J120+'9'!J120+'10'!J120+'11'!J120+'12'!J120+'13'!J120+'14'!J120+'15'!J120+'16'!J120+'17'!J120+'18'!J120+'19'!J120+'20'!J120+'21'!J120+'22'!J120+'23'!J120+'24'!J120+'25'!J120+'26'!J120+'27'!J120+'28'!J120+'29'!J120+'30'!J120+'31'!J120</f>
        <v>0</v>
      </c>
      <c r="K120" s="20"/>
      <c r="M120" s="56"/>
      <c r="U120" s="5"/>
    </row>
    <row r="121" spans="1:21">
      <c r="A121" s="10">
        <v>117</v>
      </c>
      <c r="B121" s="20" t="s">
        <v>133</v>
      </c>
      <c r="C121" s="46">
        <v>0</v>
      </c>
      <c r="D121" s="47">
        <f>+'1'!D121+'2'!D121+'3'!D121+'4'!D121+'5'!D121+'6'!D121+'7'!D121+'8'!D121+'9'!D121+'10'!D121+'11'!D121+'12'!D121+'13'!D121+'14'!D121+'15'!D121+'16'!D121+'17'!D121+'18'!D121+'19'!D121+'20'!D121+'21'!D121+'22'!D121+'23'!D121+'24'!D121+'25'!D121+'26'!D121+'27'!D121+'28'!D121+'29'!D121+'30'!D121+'31'!D121</f>
        <v>0</v>
      </c>
      <c r="E121" s="46">
        <f t="shared" si="4"/>
        <v>0</v>
      </c>
      <c r="F121" s="47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'!F121</f>
        <v>0</v>
      </c>
      <c r="G121" s="46">
        <v>0</v>
      </c>
      <c r="H121" s="47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'!H121</f>
        <v>0</v>
      </c>
      <c r="I121" s="21">
        <v>40</v>
      </c>
      <c r="J121" s="47">
        <f>+'1'!J121+'2'!J121+'3'!J121+'4'!J121+'5'!J121+'6'!J121+'7'!J121+'8'!J121+'9'!J121+'10'!J121+'11'!J121+'12'!J121+'13'!J121+'14'!J121+'15'!J121+'16'!J121+'17'!J121+'18'!J121+'19'!J121+'20'!J121+'21'!J121+'22'!J121+'23'!J121+'24'!J121+'25'!J121+'26'!J121+'27'!J121+'28'!J121+'29'!J121+'30'!J121+'31'!J121</f>
        <v>0</v>
      </c>
      <c r="K121" s="20"/>
      <c r="M121" s="56"/>
      <c r="U121" s="5"/>
    </row>
    <row r="122" spans="1:21">
      <c r="A122" s="10">
        <v>118</v>
      </c>
      <c r="B122" s="20" t="s">
        <v>134</v>
      </c>
      <c r="C122" s="46">
        <v>0</v>
      </c>
      <c r="D122" s="47">
        <f>+'1'!D122+'2'!D122+'3'!D122+'4'!D122+'5'!D122+'6'!D122+'7'!D122+'8'!D122+'9'!D122+'10'!D122+'11'!D122+'12'!D122+'13'!D122+'14'!D122+'15'!D122+'16'!D122+'17'!D122+'18'!D122+'19'!D122+'20'!D122+'21'!D122+'22'!D122+'23'!D122+'24'!D122+'25'!D122+'26'!D122+'27'!D122+'28'!D122+'29'!D122+'30'!D122+'31'!D122</f>
        <v>0</v>
      </c>
      <c r="E122" s="46">
        <f t="shared" si="4"/>
        <v>0</v>
      </c>
      <c r="F122" s="47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'!F122</f>
        <v>0</v>
      </c>
      <c r="G122" s="46">
        <v>0</v>
      </c>
      <c r="H122" s="47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'!H122</f>
        <v>0</v>
      </c>
      <c r="I122" s="21">
        <v>35</v>
      </c>
      <c r="J122" s="47">
        <f>+'1'!J122+'2'!J122+'3'!J122+'4'!J122+'5'!J122+'6'!J122+'7'!J122+'8'!J122+'9'!J122+'10'!J122+'11'!J122+'12'!J122+'13'!J122+'14'!J122+'15'!J122+'16'!J122+'17'!J122+'18'!J122+'19'!J122+'20'!J122+'21'!J122+'22'!J122+'23'!J122+'24'!J122+'25'!J122+'26'!J122+'27'!J122+'28'!J122+'29'!J122+'30'!J122+'31'!J122</f>
        <v>0</v>
      </c>
      <c r="K122" s="20"/>
      <c r="M122" s="56"/>
      <c r="U122" s="5"/>
    </row>
    <row r="123" spans="1:21">
      <c r="A123" s="10">
        <v>119</v>
      </c>
      <c r="B123" s="20" t="s">
        <v>135</v>
      </c>
      <c r="C123" s="46">
        <v>0</v>
      </c>
      <c r="D123" s="47">
        <f>+'1'!D123+'2'!D123+'3'!D123+'4'!D123+'5'!D123+'6'!D123+'7'!D123+'8'!D123+'9'!D123+'10'!D123+'11'!D123+'12'!D123+'13'!D123+'14'!D123+'15'!D123+'16'!D123+'17'!D123+'18'!D123+'19'!D123+'20'!D123+'21'!D123+'22'!D123+'23'!D123+'24'!D123+'25'!D123+'26'!D123+'27'!D123+'28'!D123+'29'!D123+'30'!D123+'31'!D123</f>
        <v>0</v>
      </c>
      <c r="E123" s="46">
        <f t="shared" si="4"/>
        <v>0</v>
      </c>
      <c r="F123" s="47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'!F123</f>
        <v>0</v>
      </c>
      <c r="G123" s="46">
        <v>0</v>
      </c>
      <c r="H123" s="47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'!H123</f>
        <v>0</v>
      </c>
      <c r="I123" s="21">
        <v>40</v>
      </c>
      <c r="J123" s="47">
        <f>+'1'!J123+'2'!J123+'3'!J123+'4'!J123+'5'!J123+'6'!J123+'7'!J123+'8'!J123+'9'!J123+'10'!J123+'11'!J123+'12'!J123+'13'!J123+'14'!J123+'15'!J123+'16'!J123+'17'!J123+'18'!J123+'19'!J123+'20'!J123+'21'!J123+'22'!J123+'23'!J123+'24'!J123+'25'!J123+'26'!J123+'27'!J123+'28'!J123+'29'!J123+'30'!J123+'31'!J123</f>
        <v>0</v>
      </c>
      <c r="K123" s="20"/>
      <c r="M123" s="56"/>
      <c r="U123" s="5"/>
    </row>
    <row r="124" spans="1:21">
      <c r="A124" s="10">
        <v>120</v>
      </c>
      <c r="B124" s="20" t="s">
        <v>136</v>
      </c>
      <c r="C124" s="46">
        <v>0</v>
      </c>
      <c r="D124" s="47">
        <f>+'1'!D124+'2'!D124+'3'!D124+'4'!D124+'5'!D124+'6'!D124+'7'!D124+'8'!D124+'9'!D124+'10'!D124+'11'!D124+'12'!D124+'13'!D124+'14'!D124+'15'!D124+'16'!D124+'17'!D124+'18'!D124+'19'!D124+'20'!D124+'21'!D124+'22'!D124+'23'!D124+'24'!D124+'25'!D124+'26'!D124+'27'!D124+'28'!D124+'29'!D124+'30'!D124+'31'!D124</f>
        <v>0</v>
      </c>
      <c r="E124" s="46">
        <f t="shared" si="4"/>
        <v>0</v>
      </c>
      <c r="F124" s="47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'!F124</f>
        <v>0</v>
      </c>
      <c r="G124" s="46">
        <v>0</v>
      </c>
      <c r="H124" s="47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'!H124</f>
        <v>0</v>
      </c>
      <c r="I124" s="21">
        <v>40</v>
      </c>
      <c r="J124" s="47">
        <f>+'1'!J124+'2'!J124+'3'!J124+'4'!J124+'5'!J124+'6'!J124+'7'!J124+'8'!J124+'9'!J124+'10'!J124+'11'!J124+'12'!J124+'13'!J124+'14'!J124+'15'!J124+'16'!J124+'17'!J124+'18'!J124+'19'!J124+'20'!J124+'21'!J124+'22'!J124+'23'!J124+'24'!J124+'25'!J124+'26'!J124+'27'!J124+'28'!J124+'29'!J124+'30'!J124+'31'!J124</f>
        <v>0</v>
      </c>
      <c r="K124" s="20"/>
      <c r="M124" s="56"/>
      <c r="U124" s="5"/>
    </row>
    <row r="125" spans="1:21">
      <c r="A125" s="10">
        <v>121</v>
      </c>
      <c r="B125" s="20" t="s">
        <v>137</v>
      </c>
      <c r="C125" s="46">
        <v>0</v>
      </c>
      <c r="D125" s="47">
        <f>+'1'!D125+'2'!D125+'3'!D125+'4'!D125+'5'!D125+'6'!D125+'7'!D125+'8'!D125+'9'!D125+'10'!D125+'11'!D125+'12'!D125+'13'!D125+'14'!D125+'15'!D125+'16'!D125+'17'!D125+'18'!D125+'19'!D125+'20'!D125+'21'!D125+'22'!D125+'23'!D125+'24'!D125+'25'!D125+'26'!D125+'27'!D125+'28'!D125+'29'!D125+'30'!D125+'31'!D125</f>
        <v>0</v>
      </c>
      <c r="E125" s="46">
        <f t="shared" si="4"/>
        <v>0</v>
      </c>
      <c r="F125" s="47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'!F125</f>
        <v>0</v>
      </c>
      <c r="G125" s="46">
        <v>0</v>
      </c>
      <c r="H125" s="47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'!H125</f>
        <v>0</v>
      </c>
      <c r="I125" s="21">
        <v>30</v>
      </c>
      <c r="J125" s="47">
        <f>+'1'!J125+'2'!J125+'3'!J125+'4'!J125+'5'!J125+'6'!J125+'7'!J125+'8'!J125+'9'!J125+'10'!J125+'11'!J125+'12'!J125+'13'!J125+'14'!J125+'15'!J125+'16'!J125+'17'!J125+'18'!J125+'19'!J125+'20'!J125+'21'!J125+'22'!J125+'23'!J125+'24'!J125+'25'!J125+'26'!J125+'27'!J125+'28'!J125+'29'!J125+'30'!J125+'31'!J125</f>
        <v>0</v>
      </c>
      <c r="K125" s="20"/>
      <c r="M125" s="56"/>
      <c r="U125" s="5"/>
    </row>
    <row r="126" spans="1:21">
      <c r="A126" s="10">
        <v>122</v>
      </c>
      <c r="B126" s="20" t="s">
        <v>138</v>
      </c>
      <c r="C126" s="46">
        <v>0</v>
      </c>
      <c r="D126" s="47">
        <f>+'1'!D126+'2'!D126+'3'!D126+'4'!D126+'5'!D126+'6'!D126+'7'!D126+'8'!D126+'9'!D126+'10'!D126+'11'!D126+'12'!D126+'13'!D126+'14'!D126+'15'!D126+'16'!D126+'17'!D126+'18'!D126+'19'!D126+'20'!D126+'21'!D126+'22'!D126+'23'!D126+'24'!D126+'25'!D126+'26'!D126+'27'!D126+'28'!D126+'29'!D126+'30'!D126+'31'!D126</f>
        <v>0</v>
      </c>
      <c r="E126" s="46">
        <f t="shared" si="4"/>
        <v>0</v>
      </c>
      <c r="F126" s="47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'!F126</f>
        <v>0</v>
      </c>
      <c r="G126" s="46">
        <v>0</v>
      </c>
      <c r="H126" s="47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'!H126</f>
        <v>0</v>
      </c>
      <c r="I126" s="21">
        <v>40</v>
      </c>
      <c r="J126" s="47">
        <f>+'1'!J126+'2'!J126+'3'!J126+'4'!J126+'5'!J126+'6'!J126+'7'!J126+'8'!J126+'9'!J126+'10'!J126+'11'!J126+'12'!J126+'13'!J126+'14'!J126+'15'!J126+'16'!J126+'17'!J126+'18'!J126+'19'!J126+'20'!J126+'21'!J126+'22'!J126+'23'!J126+'24'!J126+'25'!J126+'26'!J126+'27'!J126+'28'!J126+'29'!J126+'30'!J126+'31'!J126</f>
        <v>0</v>
      </c>
      <c r="K126" s="20"/>
      <c r="M126" s="56"/>
      <c r="U126" s="5"/>
    </row>
    <row r="127" spans="1:21">
      <c r="A127" s="10">
        <v>123</v>
      </c>
      <c r="B127" s="20" t="s">
        <v>139</v>
      </c>
      <c r="C127" s="46">
        <v>0</v>
      </c>
      <c r="D127" s="47">
        <f>+'1'!D127+'2'!D127+'3'!D127+'4'!D127+'5'!D127+'6'!D127+'7'!D127+'8'!D127+'9'!D127+'10'!D127+'11'!D127+'12'!D127+'13'!D127+'14'!D127+'15'!D127+'16'!D127+'17'!D127+'18'!D127+'19'!D127+'20'!D127+'21'!D127+'22'!D127+'23'!D127+'24'!D127+'25'!D127+'26'!D127+'27'!D127+'28'!D127+'29'!D127+'30'!D127+'31'!D127</f>
        <v>0</v>
      </c>
      <c r="E127" s="46">
        <f t="shared" si="4"/>
        <v>0</v>
      </c>
      <c r="F127" s="47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'!F127</f>
        <v>0</v>
      </c>
      <c r="G127" s="46">
        <v>0</v>
      </c>
      <c r="H127" s="47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'!H127</f>
        <v>0</v>
      </c>
      <c r="I127" s="21">
        <v>20</v>
      </c>
      <c r="J127" s="47">
        <f>+'1'!J127+'2'!J127+'3'!J127+'4'!J127+'5'!J127+'6'!J127+'7'!J127+'8'!J127+'9'!J127+'10'!J127+'11'!J127+'12'!J127+'13'!J127+'14'!J127+'15'!J127+'16'!J127+'17'!J127+'18'!J127+'19'!J127+'20'!J127+'21'!J127+'22'!J127+'23'!J127+'24'!J127+'25'!J127+'26'!J127+'27'!J127+'28'!J127+'29'!J127+'30'!J127+'31'!J127</f>
        <v>0</v>
      </c>
      <c r="K127" s="20"/>
      <c r="M127" s="56"/>
      <c r="U127" s="5"/>
    </row>
    <row r="128" spans="1:21">
      <c r="A128" s="10">
        <v>124</v>
      </c>
      <c r="B128" s="20" t="s">
        <v>140</v>
      </c>
      <c r="C128" s="46">
        <v>0</v>
      </c>
      <c r="D128" s="47">
        <f>+'1'!D128+'2'!D128+'3'!D128+'4'!D128+'5'!D128+'6'!D128+'7'!D128+'8'!D128+'9'!D128+'10'!D128+'11'!D128+'12'!D128+'13'!D128+'14'!D128+'15'!D128+'16'!D128+'17'!D128+'18'!D128+'19'!D128+'20'!D128+'21'!D128+'22'!D128+'23'!D128+'24'!D128+'25'!D128+'26'!D128+'27'!D128+'28'!D128+'29'!D128+'30'!D128+'31'!D128</f>
        <v>0</v>
      </c>
      <c r="E128" s="46">
        <f t="shared" si="4"/>
        <v>0</v>
      </c>
      <c r="F128" s="47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'!F128</f>
        <v>0</v>
      </c>
      <c r="G128" s="46">
        <v>0</v>
      </c>
      <c r="H128" s="47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'!H128</f>
        <v>0</v>
      </c>
      <c r="I128" s="21">
        <v>35</v>
      </c>
      <c r="J128" s="47">
        <f>+'1'!J128+'2'!J128+'3'!J128+'4'!J128+'5'!J128+'6'!J128+'7'!J128+'8'!J128+'9'!J128+'10'!J128+'11'!J128+'12'!J128+'13'!J128+'14'!J128+'15'!J128+'16'!J128+'17'!J128+'18'!J128+'19'!J128+'20'!J128+'21'!J128+'22'!J128+'23'!J128+'24'!J128+'25'!J128+'26'!J128+'27'!J128+'28'!J128+'29'!J128+'30'!J128+'31'!J128</f>
        <v>0</v>
      </c>
      <c r="K128" s="20"/>
      <c r="M128" s="56"/>
      <c r="U128" s="5"/>
    </row>
    <row r="129" spans="1:21">
      <c r="A129" s="10">
        <v>125</v>
      </c>
      <c r="B129" s="20" t="s">
        <v>141</v>
      </c>
      <c r="C129" s="46">
        <v>0</v>
      </c>
      <c r="D129" s="47">
        <f>+'1'!D129+'2'!D129+'3'!D129+'4'!D129+'5'!D129+'6'!D129+'7'!D129+'8'!D129+'9'!D129+'10'!D129+'11'!D129+'12'!D129+'13'!D129+'14'!D129+'15'!D129+'16'!D129+'17'!D129+'18'!D129+'19'!D129+'20'!D129+'21'!D129+'22'!D129+'23'!D129+'24'!D129+'25'!D129+'26'!D129+'27'!D129+'28'!D129+'29'!D129+'30'!D129+'31'!D129</f>
        <v>0</v>
      </c>
      <c r="E129" s="46">
        <f t="shared" si="4"/>
        <v>0</v>
      </c>
      <c r="F129" s="47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'!F129</f>
        <v>0</v>
      </c>
      <c r="G129" s="46">
        <v>0</v>
      </c>
      <c r="H129" s="47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'!H129</f>
        <v>0</v>
      </c>
      <c r="I129" s="21">
        <v>40</v>
      </c>
      <c r="J129" s="47">
        <f>+'1'!J129+'2'!J129+'3'!J129+'4'!J129+'5'!J129+'6'!J129+'7'!J129+'8'!J129+'9'!J129+'10'!J129+'11'!J129+'12'!J129+'13'!J129+'14'!J129+'15'!J129+'16'!J129+'17'!J129+'18'!J129+'19'!J129+'20'!J129+'21'!J129+'22'!J129+'23'!J129+'24'!J129+'25'!J129+'26'!J129+'27'!J129+'28'!J129+'29'!J129+'30'!J129+'31'!J129</f>
        <v>0</v>
      </c>
      <c r="K129" s="20"/>
      <c r="M129" s="56"/>
      <c r="U129" s="5"/>
    </row>
    <row r="130" spans="1:21">
      <c r="A130" s="10">
        <v>126</v>
      </c>
      <c r="B130" s="20" t="s">
        <v>142</v>
      </c>
      <c r="C130" s="46">
        <v>0</v>
      </c>
      <c r="D130" s="47">
        <f>+'1'!D130+'2'!D130+'3'!D130+'4'!D130+'5'!D130+'6'!D130+'7'!D130+'8'!D130+'9'!D130+'10'!D130+'11'!D130+'12'!D130+'13'!D130+'14'!D130+'15'!D130+'16'!D130+'17'!D130+'18'!D130+'19'!D130+'20'!D130+'21'!D130+'22'!D130+'23'!D130+'24'!D130+'25'!D130+'26'!D130+'27'!D130+'28'!D130+'29'!D130+'30'!D130+'31'!D130</f>
        <v>0</v>
      </c>
      <c r="E130" s="46">
        <f t="shared" si="4"/>
        <v>0</v>
      </c>
      <c r="F130" s="47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'!F130</f>
        <v>0</v>
      </c>
      <c r="G130" s="46">
        <v>0</v>
      </c>
      <c r="H130" s="47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'!H130</f>
        <v>0</v>
      </c>
      <c r="I130" s="21">
        <v>50</v>
      </c>
      <c r="J130" s="47">
        <f>+'1'!J130+'2'!J130+'3'!J130+'4'!J130+'5'!J130+'6'!J130+'7'!J130+'8'!J130+'9'!J130+'10'!J130+'11'!J130+'12'!J130+'13'!J130+'14'!J130+'15'!J130+'16'!J130+'17'!J130+'18'!J130+'19'!J130+'20'!J130+'21'!J130+'22'!J130+'23'!J130+'24'!J130+'25'!J130+'26'!J130+'27'!J130+'28'!J130+'29'!J130+'30'!J130+'31'!J130</f>
        <v>0</v>
      </c>
      <c r="K130" s="20"/>
      <c r="M130" s="56"/>
      <c r="U130" s="5"/>
    </row>
    <row r="131" spans="1:21">
      <c r="A131" s="10">
        <v>127</v>
      </c>
      <c r="B131" s="20" t="s">
        <v>143</v>
      </c>
      <c r="C131" s="46">
        <v>0</v>
      </c>
      <c r="D131" s="47">
        <f>+'1'!D131+'2'!D131+'3'!D131+'4'!D131+'5'!D131+'6'!D131+'7'!D131+'8'!D131+'9'!D131+'10'!D131+'11'!D131+'12'!D131+'13'!D131+'14'!D131+'15'!D131+'16'!D131+'17'!D131+'18'!D131+'19'!D131+'20'!D131+'21'!D131+'22'!D131+'23'!D131+'24'!D131+'25'!D131+'26'!D131+'27'!D131+'28'!D131+'29'!D131+'30'!D131+'31'!D131</f>
        <v>0</v>
      </c>
      <c r="E131" s="46">
        <f t="shared" si="4"/>
        <v>0</v>
      </c>
      <c r="F131" s="47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'!F131</f>
        <v>0</v>
      </c>
      <c r="G131" s="46">
        <v>0</v>
      </c>
      <c r="H131" s="47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'!H131</f>
        <v>0</v>
      </c>
      <c r="I131" s="21">
        <v>55</v>
      </c>
      <c r="J131" s="47">
        <f>+'1'!J131+'2'!J131+'3'!J131+'4'!J131+'5'!J131+'6'!J131+'7'!J131+'8'!J131+'9'!J131+'10'!J131+'11'!J131+'12'!J131+'13'!J131+'14'!J131+'15'!J131+'16'!J131+'17'!J131+'18'!J131+'19'!J131+'20'!J131+'21'!J131+'22'!J131+'23'!J131+'24'!J131+'25'!J131+'26'!J131+'27'!J131+'28'!J131+'29'!J131+'30'!J131+'31'!J131</f>
        <v>0</v>
      </c>
      <c r="K131" s="20"/>
      <c r="M131" s="56"/>
      <c r="U131" s="5"/>
    </row>
    <row r="132" spans="1:21">
      <c r="A132" s="10">
        <v>128</v>
      </c>
      <c r="B132" s="20" t="s">
        <v>144</v>
      </c>
      <c r="C132" s="46">
        <v>0</v>
      </c>
      <c r="D132" s="47">
        <f>+'1'!D132+'2'!D132+'3'!D132+'4'!D132+'5'!D132+'6'!D132+'7'!D132+'8'!D132+'9'!D132+'10'!D132+'11'!D132+'12'!D132+'13'!D132+'14'!D132+'15'!D132+'16'!D132+'17'!D132+'18'!D132+'19'!D132+'20'!D132+'21'!D132+'22'!D132+'23'!D132+'24'!D132+'25'!D132+'26'!D132+'27'!D132+'28'!D132+'29'!D132+'30'!D132+'31'!D132</f>
        <v>0</v>
      </c>
      <c r="E132" s="46">
        <f t="shared" si="4"/>
        <v>0</v>
      </c>
      <c r="F132" s="47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'!F132</f>
        <v>0</v>
      </c>
      <c r="G132" s="46">
        <v>0</v>
      </c>
      <c r="H132" s="47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'!H132</f>
        <v>0</v>
      </c>
      <c r="I132" s="21">
        <v>55</v>
      </c>
      <c r="J132" s="47">
        <f>+'1'!J132+'2'!J132+'3'!J132+'4'!J132+'5'!J132+'6'!J132+'7'!J132+'8'!J132+'9'!J132+'10'!J132+'11'!J132+'12'!J132+'13'!J132+'14'!J132+'15'!J132+'16'!J132+'17'!J132+'18'!J132+'19'!J132+'20'!J132+'21'!J132+'22'!J132+'23'!J132+'24'!J132+'25'!J132+'26'!J132+'27'!J132+'28'!J132+'29'!J132+'30'!J132+'31'!J132</f>
        <v>0</v>
      </c>
      <c r="K132" s="20"/>
      <c r="M132" s="56"/>
      <c r="U132" s="5"/>
    </row>
    <row r="133" spans="1:21">
      <c r="A133" s="10">
        <v>129</v>
      </c>
      <c r="B133" s="20" t="s">
        <v>145</v>
      </c>
      <c r="C133" s="46">
        <v>0</v>
      </c>
      <c r="D133" s="47">
        <f>+'1'!D133+'2'!D133+'3'!D133+'4'!D133+'5'!D133+'6'!D133+'7'!D133+'8'!D133+'9'!D133+'10'!D133+'11'!D133+'12'!D133+'13'!D133+'14'!D133+'15'!D133+'16'!D133+'17'!D133+'18'!D133+'19'!D133+'20'!D133+'21'!D133+'22'!D133+'23'!D133+'24'!D133+'25'!D133+'26'!D133+'27'!D133+'28'!D133+'29'!D133+'30'!D133+'31'!D133</f>
        <v>0</v>
      </c>
      <c r="E133" s="46">
        <f t="shared" si="4"/>
        <v>0</v>
      </c>
      <c r="F133" s="47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'!F133</f>
        <v>0</v>
      </c>
      <c r="G133" s="46">
        <v>0</v>
      </c>
      <c r="H133" s="47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'!H133</f>
        <v>0</v>
      </c>
      <c r="I133" s="21">
        <v>45</v>
      </c>
      <c r="J133" s="47">
        <f>+'1'!J133+'2'!J133+'3'!J133+'4'!J133+'5'!J133+'6'!J133+'7'!J133+'8'!J133+'9'!J133+'10'!J133+'11'!J133+'12'!J133+'13'!J133+'14'!J133+'15'!J133+'16'!J133+'17'!J133+'18'!J133+'19'!J133+'20'!J133+'21'!J133+'22'!J133+'23'!J133+'24'!J133+'25'!J133+'26'!J133+'27'!J133+'28'!J133+'29'!J133+'30'!J133+'31'!J133</f>
        <v>0</v>
      </c>
      <c r="K133" s="20"/>
      <c r="M133" s="56"/>
      <c r="U133" s="5"/>
    </row>
    <row r="134" spans="1:21">
      <c r="A134" s="10">
        <v>130</v>
      </c>
      <c r="B134" s="20" t="s">
        <v>146</v>
      </c>
      <c r="C134" s="46">
        <v>0</v>
      </c>
      <c r="D134" s="47">
        <f>+'1'!D134+'2'!D134+'3'!D134+'4'!D134+'5'!D134+'6'!D134+'7'!D134+'8'!D134+'9'!D134+'10'!D134+'11'!D134+'12'!D134+'13'!D134+'14'!D134+'15'!D134+'16'!D134+'17'!D134+'18'!D134+'19'!D134+'20'!D134+'21'!D134+'22'!D134+'23'!D134+'24'!D134+'25'!D134+'26'!D134+'27'!D134+'28'!D134+'29'!D134+'30'!D134+'31'!D134</f>
        <v>0</v>
      </c>
      <c r="E134" s="46">
        <f t="shared" si="4"/>
        <v>0</v>
      </c>
      <c r="F134" s="47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'!F134</f>
        <v>0</v>
      </c>
      <c r="G134" s="46">
        <v>0</v>
      </c>
      <c r="H134" s="47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'!H134</f>
        <v>0</v>
      </c>
      <c r="I134" s="21">
        <v>45</v>
      </c>
      <c r="J134" s="47">
        <f>+'1'!J134+'2'!J134+'3'!J134+'4'!J134+'5'!J134+'6'!J134+'7'!J134+'8'!J134+'9'!J134+'10'!J134+'11'!J134+'12'!J134+'13'!J134+'14'!J134+'15'!J134+'16'!J134+'17'!J134+'18'!J134+'19'!J134+'20'!J134+'21'!J134+'22'!J134+'23'!J134+'24'!J134+'25'!J134+'26'!J134+'27'!J134+'28'!J134+'29'!J134+'30'!J134+'31'!J134</f>
        <v>0</v>
      </c>
      <c r="K134" s="20"/>
      <c r="M134" s="56"/>
      <c r="U134" s="5"/>
    </row>
    <row r="135" spans="1:21">
      <c r="A135" s="10">
        <v>131</v>
      </c>
      <c r="B135" s="20" t="s">
        <v>147</v>
      </c>
      <c r="C135" s="46">
        <v>0</v>
      </c>
      <c r="D135" s="47">
        <f>+'1'!D135+'2'!D135+'3'!D135+'4'!D135+'5'!D135+'6'!D135+'7'!D135+'8'!D135+'9'!D135+'10'!D135+'11'!D135+'12'!D135+'13'!D135+'14'!D135+'15'!D135+'16'!D135+'17'!D135+'18'!D135+'19'!D135+'20'!D135+'21'!D135+'22'!D135+'23'!D135+'24'!D135+'25'!D135+'26'!D135+'27'!D135+'28'!D135+'29'!D135+'30'!D135+'31'!D135</f>
        <v>0</v>
      </c>
      <c r="E135" s="46">
        <f t="shared" si="4"/>
        <v>0</v>
      </c>
      <c r="F135" s="47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'!F135</f>
        <v>0</v>
      </c>
      <c r="G135" s="46">
        <v>0</v>
      </c>
      <c r="H135" s="47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'!H135</f>
        <v>0</v>
      </c>
      <c r="I135" s="21">
        <v>55</v>
      </c>
      <c r="J135" s="47">
        <f>+'1'!J135+'2'!J135+'3'!J135+'4'!J135+'5'!J135+'6'!J135+'7'!J135+'8'!J135+'9'!J135+'10'!J135+'11'!J135+'12'!J135+'13'!J135+'14'!J135+'15'!J135+'16'!J135+'17'!J135+'18'!J135+'19'!J135+'20'!J135+'21'!J135+'22'!J135+'23'!J135+'24'!J135+'25'!J135+'26'!J135+'27'!J135+'28'!J135+'29'!J135+'30'!J135+'31'!J135</f>
        <v>0</v>
      </c>
      <c r="K135" s="20"/>
      <c r="M135" s="56"/>
      <c r="U135" s="5"/>
    </row>
    <row r="136" spans="1:21">
      <c r="A136" s="10">
        <v>132</v>
      </c>
      <c r="B136" s="20" t="s">
        <v>148</v>
      </c>
      <c r="C136" s="46">
        <v>0</v>
      </c>
      <c r="D136" s="47">
        <f>+'1'!D136+'2'!D136+'3'!D136+'4'!D136+'5'!D136+'6'!D136+'7'!D136+'8'!D136+'9'!D136+'10'!D136+'11'!D136+'12'!D136+'13'!D136+'14'!D136+'15'!D136+'16'!D136+'17'!D136+'18'!D136+'19'!D136+'20'!D136+'21'!D136+'22'!D136+'23'!D136+'24'!D136+'25'!D136+'26'!D136+'27'!D136+'28'!D136+'29'!D136+'30'!D136+'31'!D136</f>
        <v>0</v>
      </c>
      <c r="E136" s="46">
        <f t="shared" si="4"/>
        <v>0</v>
      </c>
      <c r="F136" s="47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'!F136</f>
        <v>0</v>
      </c>
      <c r="G136" s="46">
        <v>0</v>
      </c>
      <c r="H136" s="47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'!H136</f>
        <v>0</v>
      </c>
      <c r="I136" s="21">
        <v>45</v>
      </c>
      <c r="J136" s="47">
        <f>+'1'!J136+'2'!J136+'3'!J136+'4'!J136+'5'!J136+'6'!J136+'7'!J136+'8'!J136+'9'!J136+'10'!J136+'11'!J136+'12'!J136+'13'!J136+'14'!J136+'15'!J136+'16'!J136+'17'!J136+'18'!J136+'19'!J136+'20'!J136+'21'!J136+'22'!J136+'23'!J136+'24'!J136+'25'!J136+'26'!J136+'27'!J136+'28'!J136+'29'!J136+'30'!J136+'31'!J136</f>
        <v>0</v>
      </c>
      <c r="K136" s="20"/>
      <c r="M136" s="56"/>
      <c r="U136" s="5"/>
    </row>
    <row r="137" spans="1:21">
      <c r="A137" s="10">
        <v>133</v>
      </c>
      <c r="B137" s="20" t="s">
        <v>149</v>
      </c>
      <c r="C137" s="46">
        <v>0</v>
      </c>
      <c r="D137" s="47">
        <f>+'1'!D137+'2'!D137+'3'!D137+'4'!D137+'5'!D137+'6'!D137+'7'!D137+'8'!D137+'9'!D137+'10'!D137+'11'!D137+'12'!D137+'13'!D137+'14'!D137+'15'!D137+'16'!D137+'17'!D137+'18'!D137+'19'!D137+'20'!D137+'21'!D137+'22'!D137+'23'!D137+'24'!D137+'25'!D137+'26'!D137+'27'!D137+'28'!D137+'29'!D137+'30'!D137+'31'!D137</f>
        <v>0</v>
      </c>
      <c r="E137" s="46">
        <f t="shared" si="4"/>
        <v>0</v>
      </c>
      <c r="F137" s="47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'!F137</f>
        <v>0</v>
      </c>
      <c r="G137" s="46">
        <v>0</v>
      </c>
      <c r="H137" s="47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'!H137</f>
        <v>0</v>
      </c>
      <c r="I137" s="21">
        <v>45</v>
      </c>
      <c r="J137" s="47">
        <f>+'1'!J137+'2'!J137+'3'!J137+'4'!J137+'5'!J137+'6'!J137+'7'!J137+'8'!J137+'9'!J137+'10'!J137+'11'!J137+'12'!J137+'13'!J137+'14'!J137+'15'!J137+'16'!J137+'17'!J137+'18'!J137+'19'!J137+'20'!J137+'21'!J137+'22'!J137+'23'!J137+'24'!J137+'25'!J137+'26'!J137+'27'!J137+'28'!J137+'29'!J137+'30'!J137+'31'!J137</f>
        <v>0</v>
      </c>
      <c r="K137" s="20"/>
      <c r="M137" s="56"/>
      <c r="U137" s="5"/>
    </row>
    <row r="138" spans="1:21">
      <c r="A138" s="10">
        <v>134</v>
      </c>
      <c r="B138" s="20" t="s">
        <v>150</v>
      </c>
      <c r="C138" s="46">
        <v>0</v>
      </c>
      <c r="D138" s="47">
        <f>+'1'!D138+'2'!D138+'3'!D138+'4'!D138+'5'!D138+'6'!D138+'7'!D138+'8'!D138+'9'!D138+'10'!D138+'11'!D138+'12'!D138+'13'!D138+'14'!D138+'15'!D138+'16'!D138+'17'!D138+'18'!D138+'19'!D138+'20'!D138+'21'!D138+'22'!D138+'23'!D138+'24'!D138+'25'!D138+'26'!D138+'27'!D138+'28'!D138+'29'!D138+'30'!D138+'31'!D138</f>
        <v>0</v>
      </c>
      <c r="E138" s="46">
        <f t="shared" si="4"/>
        <v>0</v>
      </c>
      <c r="F138" s="47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'!F138</f>
        <v>0</v>
      </c>
      <c r="G138" s="46">
        <v>0</v>
      </c>
      <c r="H138" s="47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'!H138</f>
        <v>0</v>
      </c>
      <c r="I138" s="21">
        <v>45</v>
      </c>
      <c r="J138" s="47">
        <f>+'1'!J138+'2'!J138+'3'!J138+'4'!J138+'5'!J138+'6'!J138+'7'!J138+'8'!J138+'9'!J138+'10'!J138+'11'!J138+'12'!J138+'13'!J138+'14'!J138+'15'!J138+'16'!J138+'17'!J138+'18'!J138+'19'!J138+'20'!J138+'21'!J138+'22'!J138+'23'!J138+'24'!J138+'25'!J138+'26'!J138+'27'!J138+'28'!J138+'29'!J138+'30'!J138+'31'!J138</f>
        <v>0</v>
      </c>
      <c r="K138" s="20"/>
      <c r="M138" s="56"/>
      <c r="U138" s="5"/>
    </row>
    <row r="139" spans="1:21">
      <c r="A139" s="10">
        <v>135</v>
      </c>
      <c r="B139" s="20" t="s">
        <v>151</v>
      </c>
      <c r="C139" s="46">
        <v>0</v>
      </c>
      <c r="D139" s="47">
        <f>+'1'!D139+'2'!D139+'3'!D139+'4'!D139+'5'!D139+'6'!D139+'7'!D139+'8'!D139+'9'!D139+'10'!D139+'11'!D139+'12'!D139+'13'!D139+'14'!D139+'15'!D139+'16'!D139+'17'!D139+'18'!D139+'19'!D139+'20'!D139+'21'!D139+'22'!D139+'23'!D139+'24'!D139+'25'!D139+'26'!D139+'27'!D139+'28'!D139+'29'!D139+'30'!D139+'31'!D139</f>
        <v>0</v>
      </c>
      <c r="E139" s="46">
        <f t="shared" si="4"/>
        <v>0</v>
      </c>
      <c r="F139" s="47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'!F139</f>
        <v>0</v>
      </c>
      <c r="G139" s="46">
        <v>0</v>
      </c>
      <c r="H139" s="47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'!H139</f>
        <v>0</v>
      </c>
      <c r="I139" s="21">
        <v>45</v>
      </c>
      <c r="J139" s="47">
        <f>+'1'!J139+'2'!J139+'3'!J139+'4'!J139+'5'!J139+'6'!J139+'7'!J139+'8'!J139+'9'!J139+'10'!J139+'11'!J139+'12'!J139+'13'!J139+'14'!J139+'15'!J139+'16'!J139+'17'!J139+'18'!J139+'19'!J139+'20'!J139+'21'!J139+'22'!J139+'23'!J139+'24'!J139+'25'!J139+'26'!J139+'27'!J139+'28'!J139+'29'!J139+'30'!J139+'31'!J139</f>
        <v>0</v>
      </c>
      <c r="K139" s="20"/>
      <c r="M139" s="56"/>
      <c r="U139" s="5"/>
    </row>
    <row r="140" spans="1:21">
      <c r="A140" s="10">
        <v>136</v>
      </c>
      <c r="B140" s="20" t="s">
        <v>152</v>
      </c>
      <c r="C140" s="46">
        <v>0</v>
      </c>
      <c r="D140" s="47">
        <f>+'1'!D140+'2'!D140+'3'!D140+'4'!D140+'5'!D140+'6'!D140+'7'!D140+'8'!D140+'9'!D140+'10'!D140+'11'!D140+'12'!D140+'13'!D140+'14'!D140+'15'!D140+'16'!D140+'17'!D140+'18'!D140+'19'!D140+'20'!D140+'21'!D140+'22'!D140+'23'!D140+'24'!D140+'25'!D140+'26'!D140+'27'!D140+'28'!D140+'29'!D140+'30'!D140+'31'!D140</f>
        <v>0</v>
      </c>
      <c r="E140" s="46">
        <f t="shared" si="4"/>
        <v>0</v>
      </c>
      <c r="F140" s="47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'!F140</f>
        <v>0</v>
      </c>
      <c r="G140" s="46">
        <v>0</v>
      </c>
      <c r="H140" s="47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'!H140</f>
        <v>0</v>
      </c>
      <c r="I140" s="21">
        <v>45</v>
      </c>
      <c r="J140" s="47">
        <f>+'1'!J140+'2'!J140+'3'!J140+'4'!J140+'5'!J140+'6'!J140+'7'!J140+'8'!J140+'9'!J140+'10'!J140+'11'!J140+'12'!J140+'13'!J140+'14'!J140+'15'!J140+'16'!J140+'17'!J140+'18'!J140+'19'!J140+'20'!J140+'21'!J140+'22'!J140+'23'!J140+'24'!J140+'25'!J140+'26'!J140+'27'!J140+'28'!J140+'29'!J140+'30'!J140+'31'!J140</f>
        <v>0</v>
      </c>
      <c r="K140" s="20"/>
      <c r="M140" s="56"/>
      <c r="U140" s="5"/>
    </row>
    <row r="141" spans="1:21">
      <c r="A141" s="10">
        <v>137</v>
      </c>
      <c r="B141" s="20" t="s">
        <v>153</v>
      </c>
      <c r="C141" s="46">
        <v>0</v>
      </c>
      <c r="D141" s="47">
        <f>+'1'!D141+'2'!D141+'3'!D141+'4'!D141+'5'!D141+'6'!D141+'7'!D141+'8'!D141+'9'!D141+'10'!D141+'11'!D141+'12'!D141+'13'!D141+'14'!D141+'15'!D141+'16'!D141+'17'!D141+'18'!D141+'19'!D141+'20'!D141+'21'!D141+'22'!D141+'23'!D141+'24'!D141+'25'!D141+'26'!D141+'27'!D141+'28'!D141+'29'!D141+'30'!D141+'31'!D141</f>
        <v>0</v>
      </c>
      <c r="E141" s="46">
        <f t="shared" si="4"/>
        <v>0</v>
      </c>
      <c r="F141" s="47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'!F141</f>
        <v>0</v>
      </c>
      <c r="G141" s="46">
        <v>0</v>
      </c>
      <c r="H141" s="47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'!H141</f>
        <v>0</v>
      </c>
      <c r="I141" s="21">
        <v>45</v>
      </c>
      <c r="J141" s="47">
        <f>+'1'!J141+'2'!J141+'3'!J141+'4'!J141+'5'!J141+'6'!J141+'7'!J141+'8'!J141+'9'!J141+'10'!J141+'11'!J141+'12'!J141+'13'!J141+'14'!J141+'15'!J141+'16'!J141+'17'!J141+'18'!J141+'19'!J141+'20'!J141+'21'!J141+'22'!J141+'23'!J141+'24'!J141+'25'!J141+'26'!J141+'27'!J141+'28'!J141+'29'!J141+'30'!J141+'31'!J141</f>
        <v>0</v>
      </c>
      <c r="K141" s="20"/>
      <c r="M141" s="56"/>
      <c r="U141" s="5"/>
    </row>
    <row r="142" spans="1:21">
      <c r="A142" s="10">
        <v>138</v>
      </c>
      <c r="B142" s="20" t="s">
        <v>154</v>
      </c>
      <c r="C142" s="46">
        <v>0</v>
      </c>
      <c r="D142" s="47">
        <f>+'1'!D142+'2'!D142+'3'!D142+'4'!D142+'5'!D142+'6'!D142+'7'!D142+'8'!D142+'9'!D142+'10'!D142+'11'!D142+'12'!D142+'13'!D142+'14'!D142+'15'!D142+'16'!D142+'17'!D142+'18'!D142+'19'!D142+'20'!D142+'21'!D142+'22'!D142+'23'!D142+'24'!D142+'25'!D142+'26'!D142+'27'!D142+'28'!D142+'29'!D142+'30'!D142+'31'!D142</f>
        <v>0</v>
      </c>
      <c r="E142" s="46">
        <f t="shared" si="4"/>
        <v>0</v>
      </c>
      <c r="F142" s="47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'!F142</f>
        <v>0</v>
      </c>
      <c r="G142" s="46">
        <v>0</v>
      </c>
      <c r="H142" s="47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'!H142</f>
        <v>0</v>
      </c>
      <c r="I142" s="21">
        <v>120</v>
      </c>
      <c r="J142" s="47">
        <f>+'1'!J142+'2'!J142+'3'!J142+'4'!J142+'5'!J142+'6'!J142+'7'!J142+'8'!J142+'9'!J142+'10'!J142+'11'!J142+'12'!J142+'13'!J142+'14'!J142+'15'!J142+'16'!J142+'17'!J142+'18'!J142+'19'!J142+'20'!J142+'21'!J142+'22'!J142+'23'!J142+'24'!J142+'25'!J142+'26'!J142+'27'!J142+'28'!J142+'29'!J142+'30'!J142+'31'!J142</f>
        <v>0</v>
      </c>
      <c r="K142" s="20"/>
      <c r="M142" s="56"/>
      <c r="U142" s="5"/>
    </row>
    <row r="143" spans="1:21">
      <c r="A143" s="10">
        <v>139</v>
      </c>
      <c r="B143" s="20" t="s">
        <v>155</v>
      </c>
      <c r="C143" s="46">
        <v>0</v>
      </c>
      <c r="D143" s="47">
        <f>+'1'!D143+'2'!D143+'3'!D143+'4'!D143+'5'!D143+'6'!D143+'7'!D143+'8'!D143+'9'!D143+'10'!D143+'11'!D143+'12'!D143+'13'!D143+'14'!D143+'15'!D143+'16'!D143+'17'!D143+'18'!D143+'19'!D143+'20'!D143+'21'!D143+'22'!D143+'23'!D143+'24'!D143+'25'!D143+'26'!D143+'27'!D143+'28'!D143+'29'!D143+'30'!D143+'31'!D143</f>
        <v>0</v>
      </c>
      <c r="E143" s="46">
        <f t="shared" si="4"/>
        <v>0</v>
      </c>
      <c r="F143" s="47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'!F143</f>
        <v>0</v>
      </c>
      <c r="G143" s="46">
        <v>0</v>
      </c>
      <c r="H143" s="47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'!H143</f>
        <v>0</v>
      </c>
      <c r="I143" s="21">
        <v>120</v>
      </c>
      <c r="J143" s="47">
        <f>+'1'!J143+'2'!J143+'3'!J143+'4'!J143+'5'!J143+'6'!J143+'7'!J143+'8'!J143+'9'!J143+'10'!J143+'11'!J143+'12'!J143+'13'!J143+'14'!J143+'15'!J143+'16'!J143+'17'!J143+'18'!J143+'19'!J143+'20'!J143+'21'!J143+'22'!J143+'23'!J143+'24'!J143+'25'!J143+'26'!J143+'27'!J143+'28'!J143+'29'!J143+'30'!J143+'31'!J143</f>
        <v>0</v>
      </c>
      <c r="K143" s="20"/>
      <c r="M143" s="56"/>
      <c r="U143" s="5"/>
    </row>
    <row r="144" spans="1:21">
      <c r="A144" s="10">
        <v>140</v>
      </c>
      <c r="B144" s="20" t="s">
        <v>156</v>
      </c>
      <c r="C144" s="46">
        <v>0</v>
      </c>
      <c r="D144" s="47">
        <f>+'1'!D144+'2'!D144+'3'!D144+'4'!D144+'5'!D144+'6'!D144+'7'!D144+'8'!D144+'9'!D144+'10'!D144+'11'!D144+'12'!D144+'13'!D144+'14'!D144+'15'!D144+'16'!D144+'17'!D144+'18'!D144+'19'!D144+'20'!D144+'21'!D144+'22'!D144+'23'!D144+'24'!D144+'25'!D144+'26'!D144+'27'!D144+'28'!D144+'29'!D144+'30'!D144+'31'!D144</f>
        <v>0</v>
      </c>
      <c r="E144" s="46">
        <f t="shared" si="4"/>
        <v>0</v>
      </c>
      <c r="F144" s="47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'!F144</f>
        <v>0</v>
      </c>
      <c r="G144" s="46">
        <v>0</v>
      </c>
      <c r="H144" s="47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'!H144</f>
        <v>0</v>
      </c>
      <c r="I144" s="21">
        <v>120</v>
      </c>
      <c r="J144" s="47">
        <f>+'1'!J144+'2'!J144+'3'!J144+'4'!J144+'5'!J144+'6'!J144+'7'!J144+'8'!J144+'9'!J144+'10'!J144+'11'!J144+'12'!J144+'13'!J144+'14'!J144+'15'!J144+'16'!J144+'17'!J144+'18'!J144+'19'!J144+'20'!J144+'21'!J144+'22'!J144+'23'!J144+'24'!J144+'25'!J144+'26'!J144+'27'!J144+'28'!J144+'29'!J144+'30'!J144+'31'!J144</f>
        <v>0</v>
      </c>
      <c r="K144" s="20"/>
      <c r="M144" s="56"/>
      <c r="U144" s="5"/>
    </row>
    <row r="145" spans="1:21">
      <c r="A145" s="10">
        <v>141</v>
      </c>
      <c r="B145" s="20" t="s">
        <v>157</v>
      </c>
      <c r="C145" s="46">
        <v>0</v>
      </c>
      <c r="D145" s="47">
        <f>+'1'!D145+'2'!D145+'3'!D145+'4'!D145+'5'!D145+'6'!D145+'7'!D145+'8'!D145+'9'!D145+'10'!D145+'11'!D145+'12'!D145+'13'!D145+'14'!D145+'15'!D145+'16'!D145+'17'!D145+'18'!D145+'19'!D145+'20'!D145+'21'!D145+'22'!D145+'23'!D145+'24'!D145+'25'!D145+'26'!D145+'27'!D145+'28'!D145+'29'!D145+'30'!D145+'31'!D145</f>
        <v>0</v>
      </c>
      <c r="E145" s="46">
        <f t="shared" si="4"/>
        <v>0</v>
      </c>
      <c r="F145" s="47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'!F145</f>
        <v>0</v>
      </c>
      <c r="G145" s="46">
        <v>0</v>
      </c>
      <c r="H145" s="47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'!H145</f>
        <v>0</v>
      </c>
      <c r="I145" s="21">
        <v>120</v>
      </c>
      <c r="J145" s="47">
        <f>+'1'!J145+'2'!J145+'3'!J145+'4'!J145+'5'!J145+'6'!J145+'7'!J145+'8'!J145+'9'!J145+'10'!J145+'11'!J145+'12'!J145+'13'!J145+'14'!J145+'15'!J145+'16'!J145+'17'!J145+'18'!J145+'19'!J145+'20'!J145+'21'!J145+'22'!J145+'23'!J145+'24'!J145+'25'!J145+'26'!J145+'27'!J145+'28'!J145+'29'!J145+'30'!J145+'31'!J145</f>
        <v>0</v>
      </c>
      <c r="K145" s="20"/>
      <c r="M145" s="56"/>
      <c r="U145" s="5"/>
    </row>
    <row r="146" spans="1:21">
      <c r="A146" s="10">
        <v>142</v>
      </c>
      <c r="B146" s="20" t="s">
        <v>158</v>
      </c>
      <c r="C146" s="46">
        <v>0</v>
      </c>
      <c r="D146" s="47">
        <f>+'1'!D146+'2'!D146+'3'!D146+'4'!D146+'5'!D146+'6'!D146+'7'!D146+'8'!D146+'9'!D146+'10'!D146+'11'!D146+'12'!D146+'13'!D146+'14'!D146+'15'!D146+'16'!D146+'17'!D146+'18'!D146+'19'!D146+'20'!D146+'21'!D146+'22'!D146+'23'!D146+'24'!D146+'25'!D146+'26'!D146+'27'!D146+'28'!D146+'29'!D146+'30'!D146+'31'!D146</f>
        <v>0</v>
      </c>
      <c r="E146" s="46">
        <f t="shared" si="4"/>
        <v>0</v>
      </c>
      <c r="F146" s="47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'!F146</f>
        <v>0</v>
      </c>
      <c r="G146" s="46">
        <v>0</v>
      </c>
      <c r="H146" s="47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'!H146</f>
        <v>0</v>
      </c>
      <c r="I146" s="21">
        <v>185</v>
      </c>
      <c r="J146" s="47">
        <f>+'1'!J146+'2'!J146+'3'!J146+'4'!J146+'5'!J146+'6'!J146+'7'!J146+'8'!J146+'9'!J146+'10'!J146+'11'!J146+'12'!J146+'13'!J146+'14'!J146+'15'!J146+'16'!J146+'17'!J146+'18'!J146+'19'!J146+'20'!J146+'21'!J146+'22'!J146+'23'!J146+'24'!J146+'25'!J146+'26'!J146+'27'!J146+'28'!J146+'29'!J146+'30'!J146+'31'!J146</f>
        <v>0</v>
      </c>
      <c r="K146" s="20"/>
      <c r="M146" s="56"/>
      <c r="U146" s="5"/>
    </row>
    <row r="147" spans="1:21">
      <c r="A147" s="10">
        <v>143</v>
      </c>
      <c r="B147" s="20" t="s">
        <v>159</v>
      </c>
      <c r="C147" s="46">
        <v>0</v>
      </c>
      <c r="D147" s="47">
        <f>+'1'!D147+'2'!D147+'3'!D147+'4'!D147+'5'!D147+'6'!D147+'7'!D147+'8'!D147+'9'!D147+'10'!D147+'11'!D147+'12'!D147+'13'!D147+'14'!D147+'15'!D147+'16'!D147+'17'!D147+'18'!D147+'19'!D147+'20'!D147+'21'!D147+'22'!D147+'23'!D147+'24'!D147+'25'!D147+'26'!D147+'27'!D147+'28'!D147+'29'!D147+'30'!D147+'31'!D147</f>
        <v>0</v>
      </c>
      <c r="E147" s="46">
        <f t="shared" si="4"/>
        <v>0</v>
      </c>
      <c r="F147" s="47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'!F147</f>
        <v>0</v>
      </c>
      <c r="G147" s="46">
        <v>0</v>
      </c>
      <c r="H147" s="47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'!H147</f>
        <v>0</v>
      </c>
      <c r="I147" s="21">
        <v>185</v>
      </c>
      <c r="J147" s="47">
        <f>+'1'!J147+'2'!J147+'3'!J147+'4'!J147+'5'!J147+'6'!J147+'7'!J147+'8'!J147+'9'!J147+'10'!J147+'11'!J147+'12'!J147+'13'!J147+'14'!J147+'15'!J147+'16'!J147+'17'!J147+'18'!J147+'19'!J147+'20'!J147+'21'!J147+'22'!J147+'23'!J147+'24'!J147+'25'!J147+'26'!J147+'27'!J147+'28'!J147+'29'!J147+'30'!J147+'31'!J147</f>
        <v>0</v>
      </c>
      <c r="K147" s="20"/>
      <c r="M147" s="56"/>
      <c r="U147" s="5"/>
    </row>
    <row r="148" spans="1:21">
      <c r="A148" s="10">
        <v>144</v>
      </c>
      <c r="B148" s="20" t="s">
        <v>160</v>
      </c>
      <c r="C148" s="46">
        <v>0</v>
      </c>
      <c r="D148" s="47">
        <f>+'1'!D148+'2'!D148+'3'!D148+'4'!D148+'5'!D148+'6'!D148+'7'!D148+'8'!D148+'9'!D148+'10'!D148+'11'!D148+'12'!D148+'13'!D148+'14'!D148+'15'!D148+'16'!D148+'17'!D148+'18'!D148+'19'!D148+'20'!D148+'21'!D148+'22'!D148+'23'!D148+'24'!D148+'25'!D148+'26'!D148+'27'!D148+'28'!D148+'29'!D148+'30'!D148+'31'!D148</f>
        <v>0</v>
      </c>
      <c r="E148" s="46">
        <f t="shared" si="4"/>
        <v>0</v>
      </c>
      <c r="F148" s="47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'!F148</f>
        <v>0</v>
      </c>
      <c r="G148" s="46">
        <v>0</v>
      </c>
      <c r="H148" s="47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'!H148</f>
        <v>0</v>
      </c>
      <c r="I148" s="21">
        <v>185</v>
      </c>
      <c r="J148" s="47">
        <f>+'1'!J148+'2'!J148+'3'!J148+'4'!J148+'5'!J148+'6'!J148+'7'!J148+'8'!J148+'9'!J148+'10'!J148+'11'!J148+'12'!J148+'13'!J148+'14'!J148+'15'!J148+'16'!J148+'17'!J148+'18'!J148+'19'!J148+'20'!J148+'21'!J148+'22'!J148+'23'!J148+'24'!J148+'25'!J148+'26'!J148+'27'!J148+'28'!J148+'29'!J148+'30'!J148+'31'!J148</f>
        <v>0</v>
      </c>
      <c r="K148" s="20"/>
      <c r="M148" s="56"/>
      <c r="U148" s="5"/>
    </row>
    <row r="149" spans="1:21">
      <c r="A149" s="10">
        <v>145</v>
      </c>
      <c r="B149" s="20" t="s">
        <v>161</v>
      </c>
      <c r="C149" s="46">
        <v>0</v>
      </c>
      <c r="D149" s="47">
        <f>+'1'!D149+'2'!D149+'3'!D149+'4'!D149+'5'!D149+'6'!D149+'7'!D149+'8'!D149+'9'!D149+'10'!D149+'11'!D149+'12'!D149+'13'!D149+'14'!D149+'15'!D149+'16'!D149+'17'!D149+'18'!D149+'19'!D149+'20'!D149+'21'!D149+'22'!D149+'23'!D149+'24'!D149+'25'!D149+'26'!D149+'27'!D149+'28'!D149+'29'!D149+'30'!D149+'31'!D149</f>
        <v>0</v>
      </c>
      <c r="E149" s="46">
        <f t="shared" si="4"/>
        <v>0</v>
      </c>
      <c r="F149" s="47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'!F149</f>
        <v>0</v>
      </c>
      <c r="G149" s="46">
        <v>0</v>
      </c>
      <c r="H149" s="47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'!H149</f>
        <v>0</v>
      </c>
      <c r="I149" s="21">
        <v>185</v>
      </c>
      <c r="J149" s="47">
        <f>+'1'!J149+'2'!J149+'3'!J149+'4'!J149+'5'!J149+'6'!J149+'7'!J149+'8'!J149+'9'!J149+'10'!J149+'11'!J149+'12'!J149+'13'!J149+'14'!J149+'15'!J149+'16'!J149+'17'!J149+'18'!J149+'19'!J149+'20'!J149+'21'!J149+'22'!J149+'23'!J149+'24'!J149+'25'!J149+'26'!J149+'27'!J149+'28'!J149+'29'!J149+'30'!J149+'31'!J149</f>
        <v>0</v>
      </c>
      <c r="K149" s="20"/>
      <c r="M149" s="56"/>
      <c r="U149" s="5"/>
    </row>
    <row r="150" spans="1:21">
      <c r="A150" s="10">
        <v>146</v>
      </c>
      <c r="B150" s="20" t="s">
        <v>162</v>
      </c>
      <c r="C150" s="46">
        <v>0</v>
      </c>
      <c r="D150" s="47">
        <f>+'1'!D150+'2'!D150+'3'!D150+'4'!D150+'5'!D150+'6'!D150+'7'!D150+'8'!D150+'9'!D150+'10'!D150+'11'!D150+'12'!D150+'13'!D150+'14'!D150+'15'!D150+'16'!D150+'17'!D150+'18'!D150+'19'!D150+'20'!D150+'21'!D150+'22'!D150+'23'!D150+'24'!D150+'25'!D150+'26'!D150+'27'!D150+'28'!D150+'29'!D150+'30'!D150+'31'!D150</f>
        <v>0</v>
      </c>
      <c r="E150" s="46">
        <f t="shared" si="4"/>
        <v>0</v>
      </c>
      <c r="F150" s="47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'!F150</f>
        <v>0</v>
      </c>
      <c r="G150" s="46">
        <v>0</v>
      </c>
      <c r="H150" s="47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'!H150</f>
        <v>5</v>
      </c>
      <c r="I150" s="21">
        <v>120</v>
      </c>
      <c r="J150" s="47">
        <f>+'1'!J150+'2'!J150+'3'!J150+'4'!J150+'5'!J150+'6'!J150+'7'!J150+'8'!J150+'9'!J150+'10'!J150+'11'!J150+'12'!J150+'13'!J150+'14'!J150+'15'!J150+'16'!J150+'17'!J150+'18'!J150+'19'!J150+'20'!J150+'21'!J150+'22'!J150+'23'!J150+'24'!J150+'25'!J150+'26'!J150+'27'!J150+'28'!J150+'29'!J150+'30'!J150+'31'!J150</f>
        <v>600</v>
      </c>
      <c r="K150" s="20"/>
      <c r="M150" s="56"/>
      <c r="U150" s="5"/>
    </row>
    <row r="151" spans="1:21">
      <c r="A151" s="10">
        <v>147</v>
      </c>
      <c r="B151" s="20" t="s">
        <v>163</v>
      </c>
      <c r="C151" s="46">
        <v>0</v>
      </c>
      <c r="D151" s="47">
        <f>+'1'!D151+'2'!D151+'3'!D151+'4'!D151+'5'!D151+'6'!D151+'7'!D151+'8'!D151+'9'!D151+'10'!D151+'11'!D151+'12'!D151+'13'!D151+'14'!D151+'15'!D151+'16'!D151+'17'!D151+'18'!D151+'19'!D151+'20'!D151+'21'!D151+'22'!D151+'23'!D151+'24'!D151+'25'!D151+'26'!D151+'27'!D151+'28'!D151+'29'!D151+'30'!D151+'31'!D151</f>
        <v>0</v>
      </c>
      <c r="E151" s="46">
        <f t="shared" si="4"/>
        <v>0</v>
      </c>
      <c r="F151" s="47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'!F151</f>
        <v>0</v>
      </c>
      <c r="G151" s="46">
        <v>0</v>
      </c>
      <c r="H151" s="47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'!H151</f>
        <v>5</v>
      </c>
      <c r="I151" s="21">
        <v>120</v>
      </c>
      <c r="J151" s="47">
        <f>+'1'!J151+'2'!J151+'3'!J151+'4'!J151+'5'!J151+'6'!J151+'7'!J151+'8'!J151+'9'!J151+'10'!J151+'11'!J151+'12'!J151+'13'!J151+'14'!J151+'15'!J151+'16'!J151+'17'!J151+'18'!J151+'19'!J151+'20'!J151+'21'!J151+'22'!J151+'23'!J151+'24'!J151+'25'!J151+'26'!J151+'27'!J151+'28'!J151+'29'!J151+'30'!J151+'31'!J151</f>
        <v>600</v>
      </c>
      <c r="K151" s="20"/>
      <c r="M151" s="56"/>
      <c r="U151" s="5"/>
    </row>
    <row r="152" spans="1:21">
      <c r="A152" s="10">
        <v>148</v>
      </c>
      <c r="B152" s="20" t="s">
        <v>164</v>
      </c>
      <c r="C152" s="46">
        <v>7</v>
      </c>
      <c r="D152" s="47">
        <f>+'1'!D152+'2'!D152+'3'!D152+'4'!D152+'5'!D152+'6'!D152+'7'!D152+'8'!D152+'9'!D152+'10'!D152+'11'!D152+'12'!D152+'13'!D152+'14'!D152+'15'!D152+'16'!D152+'17'!D152+'18'!D152+'19'!D152+'20'!D152+'21'!D152+'22'!D152+'23'!D152+'24'!D152+'25'!D152+'26'!D152+'27'!D152+'28'!D152+'29'!D152+'30'!D152+'31'!D152</f>
        <v>0</v>
      </c>
      <c r="E152" s="46">
        <f t="shared" si="4"/>
        <v>7</v>
      </c>
      <c r="F152" s="47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'!F152</f>
        <v>0</v>
      </c>
      <c r="G152" s="46">
        <v>0</v>
      </c>
      <c r="H152" s="47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'!H152</f>
        <v>4</v>
      </c>
      <c r="I152" s="21">
        <v>120</v>
      </c>
      <c r="J152" s="47">
        <f>+'1'!J152+'2'!J152+'3'!J152+'4'!J152+'5'!J152+'6'!J152+'7'!J152+'8'!J152+'9'!J152+'10'!J152+'11'!J152+'12'!J152+'13'!J152+'14'!J152+'15'!J152+'16'!J152+'17'!J152+'18'!J152+'19'!J152+'20'!J152+'21'!J152+'22'!J152+'23'!J152+'24'!J152+'25'!J152+'26'!J152+'27'!J152+'28'!J152+'29'!J152+'30'!J152+'31'!J152</f>
        <v>480</v>
      </c>
      <c r="K152" s="20"/>
      <c r="M152" s="56"/>
      <c r="U152" s="5"/>
    </row>
    <row r="153" spans="1:21">
      <c r="A153" s="10">
        <v>149</v>
      </c>
      <c r="B153" s="20" t="s">
        <v>165</v>
      </c>
      <c r="C153" s="46">
        <v>0</v>
      </c>
      <c r="D153" s="47">
        <f>+'1'!D153+'2'!D153+'3'!D153+'4'!D153+'5'!D153+'6'!D153+'7'!D153+'8'!D153+'9'!D153+'10'!D153+'11'!D153+'12'!D153+'13'!D153+'14'!D153+'15'!D153+'16'!D153+'17'!D153+'18'!D153+'19'!D153+'20'!D153+'21'!D153+'22'!D153+'23'!D153+'24'!D153+'25'!D153+'26'!D153+'27'!D153+'28'!D153+'29'!D153+'30'!D153+'31'!D153</f>
        <v>0</v>
      </c>
      <c r="E153" s="46">
        <f t="shared" si="4"/>
        <v>0</v>
      </c>
      <c r="F153" s="47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'!F153</f>
        <v>0</v>
      </c>
      <c r="G153" s="46">
        <v>0</v>
      </c>
      <c r="H153" s="47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'!H153</f>
        <v>3</v>
      </c>
      <c r="I153" s="21">
        <v>120</v>
      </c>
      <c r="J153" s="47">
        <f>+'1'!J153+'2'!J153+'3'!J153+'4'!J153+'5'!J153+'6'!J153+'7'!J153+'8'!J153+'9'!J153+'10'!J153+'11'!J153+'12'!J153+'13'!J153+'14'!J153+'15'!J153+'16'!J153+'17'!J153+'18'!J153+'19'!J153+'20'!J153+'21'!J153+'22'!J153+'23'!J153+'24'!J153+'25'!J153+'26'!J153+'27'!J153+'28'!J153+'29'!J153+'30'!J153+'31'!J153</f>
        <v>360</v>
      </c>
      <c r="K153" s="20"/>
      <c r="M153" s="56"/>
      <c r="U153" s="5"/>
    </row>
    <row r="154" spans="1:21">
      <c r="A154" s="10">
        <v>150</v>
      </c>
      <c r="B154" s="20" t="s">
        <v>166</v>
      </c>
      <c r="C154" s="46">
        <v>1</v>
      </c>
      <c r="D154" s="47">
        <f>+'1'!D154+'2'!D154+'3'!D154+'4'!D154+'5'!D154+'6'!D154+'7'!D154+'8'!D154+'9'!D154+'10'!D154+'11'!D154+'12'!D154+'13'!D154+'14'!D154+'15'!D154+'16'!D154+'17'!D154+'18'!D154+'19'!D154+'20'!D154+'21'!D154+'22'!D154+'23'!D154+'24'!D154+'25'!D154+'26'!D154+'27'!D154+'28'!D154+'29'!D154+'30'!D154+'31'!D154</f>
        <v>0</v>
      </c>
      <c r="E154" s="46">
        <f t="shared" si="4"/>
        <v>1</v>
      </c>
      <c r="F154" s="47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'!F154</f>
        <v>0</v>
      </c>
      <c r="G154" s="46">
        <v>0</v>
      </c>
      <c r="H154" s="47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'!H154</f>
        <v>0</v>
      </c>
      <c r="I154" s="21">
        <v>185</v>
      </c>
      <c r="J154" s="47">
        <f>+'1'!J154+'2'!J154+'3'!J154+'4'!J154+'5'!J154+'6'!J154+'7'!J154+'8'!J154+'9'!J154+'10'!J154+'11'!J154+'12'!J154+'13'!J154+'14'!J154+'15'!J154+'16'!J154+'17'!J154+'18'!J154+'19'!J154+'20'!J154+'21'!J154+'22'!J154+'23'!J154+'24'!J154+'25'!J154+'26'!J154+'27'!J154+'28'!J154+'29'!J154+'30'!J154+'31'!J154</f>
        <v>0</v>
      </c>
      <c r="K154" s="20"/>
      <c r="M154" s="56"/>
      <c r="U154" s="5"/>
    </row>
    <row r="155" spans="1:21">
      <c r="A155" s="10">
        <v>151</v>
      </c>
      <c r="B155" s="20" t="s">
        <v>167</v>
      </c>
      <c r="C155" s="46">
        <v>6</v>
      </c>
      <c r="D155" s="47">
        <f>+'1'!D155+'2'!D155+'3'!D155+'4'!D155+'5'!D155+'6'!D155+'7'!D155+'8'!D155+'9'!D155+'10'!D155+'11'!D155+'12'!D155+'13'!D155+'14'!D155+'15'!D155+'16'!D155+'17'!D155+'18'!D155+'19'!D155+'20'!D155+'21'!D155+'22'!D155+'23'!D155+'24'!D155+'25'!D155+'26'!D155+'27'!D155+'28'!D155+'29'!D155+'30'!D155+'31'!D155</f>
        <v>0</v>
      </c>
      <c r="E155" s="46">
        <f t="shared" si="4"/>
        <v>6</v>
      </c>
      <c r="F155" s="47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'!F155</f>
        <v>0</v>
      </c>
      <c r="G155" s="46">
        <v>0</v>
      </c>
      <c r="H155" s="47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'!H155</f>
        <v>0</v>
      </c>
      <c r="I155" s="21">
        <v>185</v>
      </c>
      <c r="J155" s="47">
        <f>+'1'!J155+'2'!J155+'3'!J155+'4'!J155+'5'!J155+'6'!J155+'7'!J155+'8'!J155+'9'!J155+'10'!J155+'11'!J155+'12'!J155+'13'!J155+'14'!J155+'15'!J155+'16'!J155+'17'!J155+'18'!J155+'19'!J155+'20'!J155+'21'!J155+'22'!J155+'23'!J155+'24'!J155+'25'!J155+'26'!J155+'27'!J155+'28'!J155+'29'!J155+'30'!J155+'31'!J155</f>
        <v>0</v>
      </c>
      <c r="K155" s="20"/>
      <c r="M155" s="56"/>
      <c r="U155" s="5"/>
    </row>
    <row r="156" spans="1:21">
      <c r="A156" s="10">
        <v>152</v>
      </c>
      <c r="B156" s="20" t="s">
        <v>168</v>
      </c>
      <c r="C156" s="46">
        <v>4</v>
      </c>
      <c r="D156" s="47">
        <f>+'1'!D156+'2'!D156+'3'!D156+'4'!D156+'5'!D156+'6'!D156+'7'!D156+'8'!D156+'9'!D156+'10'!D156+'11'!D156+'12'!D156+'13'!D156+'14'!D156+'15'!D156+'16'!D156+'17'!D156+'18'!D156+'19'!D156+'20'!D156+'21'!D156+'22'!D156+'23'!D156+'24'!D156+'25'!D156+'26'!D156+'27'!D156+'28'!D156+'29'!D156+'30'!D156+'31'!D156</f>
        <v>0</v>
      </c>
      <c r="E156" s="46">
        <f t="shared" si="4"/>
        <v>4</v>
      </c>
      <c r="F156" s="47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'!F156</f>
        <v>0</v>
      </c>
      <c r="G156" s="46">
        <v>0</v>
      </c>
      <c r="H156" s="47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'!H156</f>
        <v>0</v>
      </c>
      <c r="I156" s="21">
        <v>185</v>
      </c>
      <c r="J156" s="47">
        <f>+'1'!J156+'2'!J156+'3'!J156+'4'!J156+'5'!J156+'6'!J156+'7'!J156+'8'!J156+'9'!J156+'10'!J156+'11'!J156+'12'!J156+'13'!J156+'14'!J156+'15'!J156+'16'!J156+'17'!J156+'18'!J156+'19'!J156+'20'!J156+'21'!J156+'22'!J156+'23'!J156+'24'!J156+'25'!J156+'26'!J156+'27'!J156+'28'!J156+'29'!J156+'30'!J156+'31'!J156</f>
        <v>0</v>
      </c>
      <c r="K156" s="20"/>
      <c r="M156" s="56"/>
      <c r="U156" s="5"/>
    </row>
    <row r="157" spans="1:21">
      <c r="A157" s="10">
        <v>153</v>
      </c>
      <c r="B157" s="20" t="s">
        <v>169</v>
      </c>
      <c r="C157" s="46">
        <v>9</v>
      </c>
      <c r="D157" s="47">
        <f>+'1'!D157+'2'!D157+'3'!D157+'4'!D157+'5'!D157+'6'!D157+'7'!D157+'8'!D157+'9'!D157+'10'!D157+'11'!D157+'12'!D157+'13'!D157+'14'!D157+'15'!D157+'16'!D157+'17'!D157+'18'!D157+'19'!D157+'20'!D157+'21'!D157+'22'!D157+'23'!D157+'24'!D157+'25'!D157+'26'!D157+'27'!D157+'28'!D157+'29'!D157+'30'!D157+'31'!D157</f>
        <v>0</v>
      </c>
      <c r="E157" s="46">
        <f t="shared" si="4"/>
        <v>9</v>
      </c>
      <c r="F157" s="47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'!F157</f>
        <v>0</v>
      </c>
      <c r="G157" s="46">
        <v>0</v>
      </c>
      <c r="H157" s="47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'!H157</f>
        <v>0</v>
      </c>
      <c r="I157" s="21">
        <v>185</v>
      </c>
      <c r="J157" s="47">
        <f>+'1'!J157+'2'!J157+'3'!J157+'4'!J157+'5'!J157+'6'!J157+'7'!J157+'8'!J157+'9'!J157+'10'!J157+'11'!J157+'12'!J157+'13'!J157+'14'!J157+'15'!J157+'16'!J157+'17'!J157+'18'!J157+'19'!J157+'20'!J157+'21'!J157+'22'!J157+'23'!J157+'24'!J157+'25'!J157+'26'!J157+'27'!J157+'28'!J157+'29'!J157+'30'!J157+'31'!J157</f>
        <v>0</v>
      </c>
      <c r="K157" s="20"/>
      <c r="M157" s="56"/>
      <c r="U157" s="5"/>
    </row>
    <row r="158" spans="1:21">
      <c r="A158" s="10">
        <v>154</v>
      </c>
      <c r="B158" s="20" t="s">
        <v>170</v>
      </c>
      <c r="C158" s="46">
        <v>0</v>
      </c>
      <c r="D158" s="47">
        <f>+'1'!D158+'2'!D158+'3'!D158+'4'!D158+'5'!D158+'6'!D158+'7'!D158+'8'!D158+'9'!D158+'10'!D158+'11'!D158+'12'!D158+'13'!D158+'14'!D158+'15'!D158+'16'!D158+'17'!D158+'18'!D158+'19'!D158+'20'!D158+'21'!D158+'22'!D158+'23'!D158+'24'!D158+'25'!D158+'26'!D158+'27'!D158+'28'!D158+'29'!D158+'30'!D158+'31'!D158</f>
        <v>0</v>
      </c>
      <c r="E158" s="46">
        <f t="shared" si="4"/>
        <v>0</v>
      </c>
      <c r="F158" s="47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'!F158</f>
        <v>0</v>
      </c>
      <c r="G158" s="46">
        <v>0</v>
      </c>
      <c r="H158" s="47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'!H158</f>
        <v>0</v>
      </c>
      <c r="I158" s="21">
        <v>135</v>
      </c>
      <c r="J158" s="47">
        <f>+'1'!J158+'2'!J158+'3'!J158+'4'!J158+'5'!J158+'6'!J158+'7'!J158+'8'!J158+'9'!J158+'10'!J158+'11'!J158+'12'!J158+'13'!J158+'14'!J158+'15'!J158+'16'!J158+'17'!J158+'18'!J158+'19'!J158+'20'!J158+'21'!J158+'22'!J158+'23'!J158+'24'!J158+'25'!J158+'26'!J158+'27'!J158+'28'!J158+'29'!J158+'30'!J158+'31'!J158</f>
        <v>0</v>
      </c>
      <c r="K158" s="20"/>
      <c r="M158" s="56"/>
      <c r="U158" s="5"/>
    </row>
    <row r="159" spans="1:21">
      <c r="A159" s="10">
        <v>155</v>
      </c>
      <c r="B159" s="20" t="s">
        <v>171</v>
      </c>
      <c r="C159" s="46">
        <v>0</v>
      </c>
      <c r="D159" s="47">
        <f>+'1'!D159+'2'!D159+'3'!D159+'4'!D159+'5'!D159+'6'!D159+'7'!D159+'8'!D159+'9'!D159+'10'!D159+'11'!D159+'12'!D159+'13'!D159+'14'!D159+'15'!D159+'16'!D159+'17'!D159+'18'!D159+'19'!D159+'20'!D159+'21'!D159+'22'!D159+'23'!D159+'24'!D159+'25'!D159+'26'!D159+'27'!D159+'28'!D159+'29'!D159+'30'!D159+'31'!D159</f>
        <v>0</v>
      </c>
      <c r="E159" s="46">
        <f t="shared" si="4"/>
        <v>0</v>
      </c>
      <c r="F159" s="47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'!F159</f>
        <v>0</v>
      </c>
      <c r="G159" s="46">
        <v>0</v>
      </c>
      <c r="H159" s="47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'!H159</f>
        <v>0</v>
      </c>
      <c r="I159" s="21">
        <v>90</v>
      </c>
      <c r="J159" s="47">
        <f>+'1'!J159+'2'!J159+'3'!J159+'4'!J159+'5'!J159+'6'!J159+'7'!J159+'8'!J159+'9'!J159+'10'!J159+'11'!J159+'12'!J159+'13'!J159+'14'!J159+'15'!J159+'16'!J159+'17'!J159+'18'!J159+'19'!J159+'20'!J159+'21'!J159+'22'!J159+'23'!J159+'24'!J159+'25'!J159+'26'!J159+'27'!J159+'28'!J159+'29'!J159+'30'!J159+'31'!J159</f>
        <v>0</v>
      </c>
      <c r="K159" s="20"/>
      <c r="M159" s="56"/>
      <c r="U159" s="5"/>
    </row>
    <row r="160" spans="1:21">
      <c r="A160" s="10">
        <v>156</v>
      </c>
      <c r="B160" s="20" t="s">
        <v>172</v>
      </c>
      <c r="C160" s="46">
        <v>0</v>
      </c>
      <c r="D160" s="47">
        <f>+'1'!D160+'2'!D160+'3'!D160+'4'!D160+'5'!D160+'6'!D160+'7'!D160+'8'!D160+'9'!D160+'10'!D160+'11'!D160+'12'!D160+'13'!D160+'14'!D160+'15'!D160+'16'!D160+'17'!D160+'18'!D160+'19'!D160+'20'!D160+'21'!D160+'22'!D160+'23'!D160+'24'!D160+'25'!D160+'26'!D160+'27'!D160+'28'!D160+'29'!D160+'30'!D160+'31'!D160</f>
        <v>0</v>
      </c>
      <c r="E160" s="46">
        <f t="shared" si="4"/>
        <v>0</v>
      </c>
      <c r="F160" s="47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'!F160</f>
        <v>0</v>
      </c>
      <c r="G160" s="46">
        <v>0</v>
      </c>
      <c r="H160" s="47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'!H160</f>
        <v>0</v>
      </c>
      <c r="I160" s="21">
        <v>90</v>
      </c>
      <c r="J160" s="47">
        <f>+'1'!J160+'2'!J160+'3'!J160+'4'!J160+'5'!J160+'6'!J160+'7'!J160+'8'!J160+'9'!J160+'10'!J160+'11'!J160+'12'!J160+'13'!J160+'14'!J160+'15'!J160+'16'!J160+'17'!J160+'18'!J160+'19'!J160+'20'!J160+'21'!J160+'22'!J160+'23'!J160+'24'!J160+'25'!J160+'26'!J160+'27'!J160+'28'!J160+'29'!J160+'30'!J160+'31'!J160</f>
        <v>0</v>
      </c>
      <c r="K160" s="20"/>
      <c r="M160" s="56"/>
      <c r="U160" s="5"/>
    </row>
    <row r="161" spans="1:21">
      <c r="A161" s="10">
        <v>157</v>
      </c>
      <c r="B161" s="20" t="s">
        <v>173</v>
      </c>
      <c r="C161" s="46">
        <v>0</v>
      </c>
      <c r="D161" s="47">
        <f>+'1'!D161+'2'!D161+'3'!D161+'4'!D161+'5'!D161+'6'!D161+'7'!D161+'8'!D161+'9'!D161+'10'!D161+'11'!D161+'12'!D161+'13'!D161+'14'!D161+'15'!D161+'16'!D161+'17'!D161+'18'!D161+'19'!D161+'20'!D161+'21'!D161+'22'!D161+'23'!D161+'24'!D161+'25'!D161+'26'!D161+'27'!D161+'28'!D161+'29'!D161+'30'!D161+'31'!D161</f>
        <v>0</v>
      </c>
      <c r="E161" s="46">
        <f t="shared" si="4"/>
        <v>0</v>
      </c>
      <c r="F161" s="47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'!F161</f>
        <v>0</v>
      </c>
      <c r="G161" s="46">
        <v>0</v>
      </c>
      <c r="H161" s="47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'!H161</f>
        <v>0</v>
      </c>
      <c r="I161" s="21">
        <v>90</v>
      </c>
      <c r="J161" s="47">
        <f>+'1'!J161+'2'!J161+'3'!J161+'4'!J161+'5'!J161+'6'!J161+'7'!J161+'8'!J161+'9'!J161+'10'!J161+'11'!J161+'12'!J161+'13'!J161+'14'!J161+'15'!J161+'16'!J161+'17'!J161+'18'!J161+'19'!J161+'20'!J161+'21'!J161+'22'!J161+'23'!J161+'24'!J161+'25'!J161+'26'!J161+'27'!J161+'28'!J161+'29'!J161+'30'!J161+'31'!J161</f>
        <v>0</v>
      </c>
      <c r="K161" s="20"/>
      <c r="M161" s="56"/>
      <c r="U161" s="5"/>
    </row>
    <row r="162" spans="1:21">
      <c r="A162" s="10">
        <v>158</v>
      </c>
      <c r="B162" s="20" t="s">
        <v>174</v>
      </c>
      <c r="C162" s="46">
        <v>0</v>
      </c>
      <c r="D162" s="47">
        <f>+'1'!D162+'2'!D162+'3'!D162+'4'!D162+'5'!D162+'6'!D162+'7'!D162+'8'!D162+'9'!D162+'10'!D162+'11'!D162+'12'!D162+'13'!D162+'14'!D162+'15'!D162+'16'!D162+'17'!D162+'18'!D162+'19'!D162+'20'!D162+'21'!D162+'22'!D162+'23'!D162+'24'!D162+'25'!D162+'26'!D162+'27'!D162+'28'!D162+'29'!D162+'30'!D162+'31'!D162</f>
        <v>0</v>
      </c>
      <c r="E162" s="46">
        <f t="shared" si="4"/>
        <v>0</v>
      </c>
      <c r="F162" s="47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'!F162</f>
        <v>0</v>
      </c>
      <c r="G162" s="46">
        <v>0</v>
      </c>
      <c r="H162" s="47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'!H162</f>
        <v>0</v>
      </c>
      <c r="I162" s="21">
        <v>90</v>
      </c>
      <c r="J162" s="47">
        <f>+'1'!J162+'2'!J162+'3'!J162+'4'!J162+'5'!J162+'6'!J162+'7'!J162+'8'!J162+'9'!J162+'10'!J162+'11'!J162+'12'!J162+'13'!J162+'14'!J162+'15'!J162+'16'!J162+'17'!J162+'18'!J162+'19'!J162+'20'!J162+'21'!J162+'22'!J162+'23'!J162+'24'!J162+'25'!J162+'26'!J162+'27'!J162+'28'!J162+'29'!J162+'30'!J162+'31'!J162</f>
        <v>0</v>
      </c>
      <c r="K162" s="20"/>
      <c r="M162" s="56"/>
      <c r="U162" s="5"/>
    </row>
    <row r="163" spans="1:21">
      <c r="A163" s="10">
        <v>159</v>
      </c>
      <c r="B163" s="20" t="s">
        <v>175</v>
      </c>
      <c r="C163" s="46">
        <v>0</v>
      </c>
      <c r="D163" s="47">
        <f>+'1'!D163+'2'!D163+'3'!D163+'4'!D163+'5'!D163+'6'!D163+'7'!D163+'8'!D163+'9'!D163+'10'!D163+'11'!D163+'12'!D163+'13'!D163+'14'!D163+'15'!D163+'16'!D163+'17'!D163+'18'!D163+'19'!D163+'20'!D163+'21'!D163+'22'!D163+'23'!D163+'24'!D163+'25'!D163+'26'!D163+'27'!D163+'28'!D163+'29'!D163+'30'!D163+'31'!D163</f>
        <v>0</v>
      </c>
      <c r="E163" s="46">
        <f t="shared" si="4"/>
        <v>0</v>
      </c>
      <c r="F163" s="47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'!F163</f>
        <v>0</v>
      </c>
      <c r="G163" s="46">
        <v>0</v>
      </c>
      <c r="H163" s="47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'!H163</f>
        <v>0</v>
      </c>
      <c r="I163" s="21">
        <v>25</v>
      </c>
      <c r="J163" s="47">
        <f>+'1'!J163+'2'!J163+'3'!J163+'4'!J163+'5'!J163+'6'!J163+'7'!J163+'8'!J163+'9'!J163+'10'!J163+'11'!J163+'12'!J163+'13'!J163+'14'!J163+'15'!J163+'16'!J163+'17'!J163+'18'!J163+'19'!J163+'20'!J163+'21'!J163+'22'!J163+'23'!J163+'24'!J163+'25'!J163+'26'!J163+'27'!J163+'28'!J163+'29'!J163+'30'!J163+'31'!J163</f>
        <v>0</v>
      </c>
      <c r="K163" s="20"/>
      <c r="M163" s="56"/>
      <c r="U163" s="5"/>
    </row>
    <row r="164" spans="1:21">
      <c r="A164" s="10">
        <v>160</v>
      </c>
      <c r="B164" s="20" t="s">
        <v>176</v>
      </c>
      <c r="C164" s="46">
        <v>0</v>
      </c>
      <c r="D164" s="47">
        <f>+'1'!D164+'2'!D164+'3'!D164+'4'!D164+'5'!D164+'6'!D164+'7'!D164+'8'!D164+'9'!D164+'10'!D164+'11'!D164+'12'!D164+'13'!D164+'14'!D164+'15'!D164+'16'!D164+'17'!D164+'18'!D164+'19'!D164+'20'!D164+'21'!D164+'22'!D164+'23'!D164+'24'!D164+'25'!D164+'26'!D164+'27'!D164+'28'!D164+'29'!D164+'30'!D164+'31'!D164</f>
        <v>0</v>
      </c>
      <c r="E164" s="46">
        <f t="shared" si="4"/>
        <v>0</v>
      </c>
      <c r="F164" s="47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'!F164</f>
        <v>0</v>
      </c>
      <c r="G164" s="46">
        <v>0</v>
      </c>
      <c r="H164" s="47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'!H164</f>
        <v>0</v>
      </c>
      <c r="I164" s="21">
        <v>50</v>
      </c>
      <c r="J164" s="47">
        <f>+'1'!J164+'2'!J164+'3'!J164+'4'!J164+'5'!J164+'6'!J164+'7'!J164+'8'!J164+'9'!J164+'10'!J164+'11'!J164+'12'!J164+'13'!J164+'14'!J164+'15'!J164+'16'!J164+'17'!J164+'18'!J164+'19'!J164+'20'!J164+'21'!J164+'22'!J164+'23'!J164+'24'!J164+'25'!J164+'26'!J164+'27'!J164+'28'!J164+'29'!J164+'30'!J164+'31'!J164</f>
        <v>0</v>
      </c>
      <c r="K164" s="20"/>
      <c r="M164" s="56"/>
      <c r="U164" s="5"/>
    </row>
    <row r="165" spans="1:21">
      <c r="A165" s="10">
        <v>161</v>
      </c>
      <c r="B165" s="20" t="s">
        <v>177</v>
      </c>
      <c r="C165" s="46">
        <v>0</v>
      </c>
      <c r="D165" s="47">
        <f>+'1'!D165+'2'!D165+'3'!D165+'4'!D165+'5'!D165+'6'!D165+'7'!D165+'8'!D165+'9'!D165+'10'!D165+'11'!D165+'12'!D165+'13'!D165+'14'!D165+'15'!D165+'16'!D165+'17'!D165+'18'!D165+'19'!D165+'20'!D165+'21'!D165+'22'!D165+'23'!D165+'24'!D165+'25'!D165+'26'!D165+'27'!D165+'28'!D165+'29'!D165+'30'!D165+'31'!D165</f>
        <v>0</v>
      </c>
      <c r="E165" s="46">
        <f t="shared" si="4"/>
        <v>0</v>
      </c>
      <c r="F165" s="47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'!F165</f>
        <v>0</v>
      </c>
      <c r="G165" s="46">
        <v>0</v>
      </c>
      <c r="H165" s="47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'!H165</f>
        <v>0</v>
      </c>
      <c r="I165" s="21">
        <v>50</v>
      </c>
      <c r="J165" s="47">
        <f>+'1'!J165+'2'!J165+'3'!J165+'4'!J165+'5'!J165+'6'!J165+'7'!J165+'8'!J165+'9'!J165+'10'!J165+'11'!J165+'12'!J165+'13'!J165+'14'!J165+'15'!J165+'16'!J165+'17'!J165+'18'!J165+'19'!J165+'20'!J165+'21'!J165+'22'!J165+'23'!J165+'24'!J165+'25'!J165+'26'!J165+'27'!J165+'28'!J165+'29'!J165+'30'!J165+'31'!J165</f>
        <v>0</v>
      </c>
      <c r="K165" s="20"/>
      <c r="M165" s="56"/>
      <c r="U165" s="5"/>
    </row>
    <row r="166" spans="1:21">
      <c r="A166" s="10">
        <v>162</v>
      </c>
      <c r="B166" s="20" t="s">
        <v>178</v>
      </c>
      <c r="C166" s="46">
        <v>0</v>
      </c>
      <c r="D166" s="47">
        <f>+'1'!D166+'2'!D166+'3'!D166+'4'!D166+'5'!D166+'6'!D166+'7'!D166+'8'!D166+'9'!D166+'10'!D166+'11'!D166+'12'!D166+'13'!D166+'14'!D166+'15'!D166+'16'!D166+'17'!D166+'18'!D166+'19'!D166+'20'!D166+'21'!D166+'22'!D166+'23'!D166+'24'!D166+'25'!D166+'26'!D166+'27'!D166+'28'!D166+'29'!D166+'30'!D166+'31'!D166</f>
        <v>0</v>
      </c>
      <c r="E166" s="46">
        <f t="shared" si="4"/>
        <v>0</v>
      </c>
      <c r="F166" s="47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'!F166</f>
        <v>0</v>
      </c>
      <c r="G166" s="46">
        <v>0</v>
      </c>
      <c r="H166" s="47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'!H166</f>
        <v>0</v>
      </c>
      <c r="I166" s="21">
        <v>50</v>
      </c>
      <c r="J166" s="47">
        <f>+'1'!J166+'2'!J166+'3'!J166+'4'!J166+'5'!J166+'6'!J166+'7'!J166+'8'!J166+'9'!J166+'10'!J166+'11'!J166+'12'!J166+'13'!J166+'14'!J166+'15'!J166+'16'!J166+'17'!J166+'18'!J166+'19'!J166+'20'!J166+'21'!J166+'22'!J166+'23'!J166+'24'!J166+'25'!J166+'26'!J166+'27'!J166+'28'!J166+'29'!J166+'30'!J166+'31'!J166</f>
        <v>0</v>
      </c>
      <c r="K166" s="20"/>
      <c r="M166" s="56"/>
      <c r="U166" s="5"/>
    </row>
    <row r="167" spans="1:21">
      <c r="A167" s="10">
        <v>163</v>
      </c>
      <c r="B167" s="20" t="s">
        <v>179</v>
      </c>
      <c r="C167" s="46">
        <v>0</v>
      </c>
      <c r="D167" s="47">
        <f>+'1'!D167+'2'!D167+'3'!D167+'4'!D167+'5'!D167+'6'!D167+'7'!D167+'8'!D167+'9'!D167+'10'!D167+'11'!D167+'12'!D167+'13'!D167+'14'!D167+'15'!D167+'16'!D167+'17'!D167+'18'!D167+'19'!D167+'20'!D167+'21'!D167+'22'!D167+'23'!D167+'24'!D167+'25'!D167+'26'!D167+'27'!D167+'28'!D167+'29'!D167+'30'!D167+'31'!D167</f>
        <v>0</v>
      </c>
      <c r="E167" s="46">
        <f t="shared" si="4"/>
        <v>0</v>
      </c>
      <c r="F167" s="47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'!F167</f>
        <v>0</v>
      </c>
      <c r="G167" s="46">
        <v>0</v>
      </c>
      <c r="H167" s="47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'!H167</f>
        <v>0</v>
      </c>
      <c r="I167" s="21">
        <v>50</v>
      </c>
      <c r="J167" s="47">
        <f>+'1'!J167+'2'!J167+'3'!J167+'4'!J167+'5'!J167+'6'!J167+'7'!J167+'8'!J167+'9'!J167+'10'!J167+'11'!J167+'12'!J167+'13'!J167+'14'!J167+'15'!J167+'16'!J167+'17'!J167+'18'!J167+'19'!J167+'20'!J167+'21'!J167+'22'!J167+'23'!J167+'24'!J167+'25'!J167+'26'!J167+'27'!J167+'28'!J167+'29'!J167+'30'!J167+'31'!J167</f>
        <v>0</v>
      </c>
      <c r="K167" s="20"/>
      <c r="M167" s="56"/>
      <c r="U167" s="5"/>
    </row>
    <row r="168" spans="1:21">
      <c r="A168" s="10">
        <v>164</v>
      </c>
      <c r="B168" s="20" t="s">
        <v>180</v>
      </c>
      <c r="C168" s="46">
        <v>16</v>
      </c>
      <c r="D168" s="47">
        <f>+'1'!D168+'2'!D168+'3'!D168+'4'!D168+'5'!D168+'6'!D168+'7'!D168+'8'!D168+'9'!D168+'10'!D168+'11'!D168+'12'!D168+'13'!D168+'14'!D168+'15'!D168+'16'!D168+'17'!D168+'18'!D168+'19'!D168+'20'!D168+'21'!D168+'22'!D168+'23'!D168+'24'!D168+'25'!D168+'26'!D168+'27'!D168+'28'!D168+'29'!D168+'30'!D168+'31'!D168</f>
        <v>0</v>
      </c>
      <c r="E168" s="46">
        <f t="shared" si="4"/>
        <v>16</v>
      </c>
      <c r="F168" s="47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'!F168</f>
        <v>0</v>
      </c>
      <c r="G168" s="46">
        <v>0</v>
      </c>
      <c r="H168" s="47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'!H168</f>
        <v>0</v>
      </c>
      <c r="I168" s="21">
        <v>55</v>
      </c>
      <c r="J168" s="47">
        <f>+'1'!J168+'2'!J168+'3'!J168+'4'!J168+'5'!J168+'6'!J168+'7'!J168+'8'!J168+'9'!J168+'10'!J168+'11'!J168+'12'!J168+'13'!J168+'14'!J168+'15'!J168+'16'!J168+'17'!J168+'18'!J168+'19'!J168+'20'!J168+'21'!J168+'22'!J168+'23'!J168+'24'!J168+'25'!J168+'26'!J168+'27'!J168+'28'!J168+'29'!J168+'30'!J168+'31'!J168</f>
        <v>0</v>
      </c>
      <c r="K168" s="20"/>
      <c r="M168" s="56"/>
      <c r="U168" s="5"/>
    </row>
    <row r="169" spans="1:21">
      <c r="A169" s="10">
        <v>165</v>
      </c>
      <c r="B169" s="20" t="s">
        <v>181</v>
      </c>
      <c r="C169" s="46">
        <v>15</v>
      </c>
      <c r="D169" s="47">
        <f>+'1'!D169+'2'!D169+'3'!D169+'4'!D169+'5'!D169+'6'!D169+'7'!D169+'8'!D169+'9'!D169+'10'!D169+'11'!D169+'12'!D169+'13'!D169+'14'!D169+'15'!D169+'16'!D169+'17'!D169+'18'!D169+'19'!D169+'20'!D169+'21'!D169+'22'!D169+'23'!D169+'24'!D169+'25'!D169+'26'!D169+'27'!D169+'28'!D169+'29'!D169+'30'!D169+'31'!D169</f>
        <v>0</v>
      </c>
      <c r="E169" s="46">
        <f t="shared" si="4"/>
        <v>15</v>
      </c>
      <c r="F169" s="47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'!F169</f>
        <v>0</v>
      </c>
      <c r="G169" s="46">
        <v>0</v>
      </c>
      <c r="H169" s="47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'!H169</f>
        <v>0</v>
      </c>
      <c r="I169" s="21">
        <v>85</v>
      </c>
      <c r="J169" s="47">
        <f>+'1'!J169+'2'!J169+'3'!J169+'4'!J169+'5'!J169+'6'!J169+'7'!J169+'8'!J169+'9'!J169+'10'!J169+'11'!J169+'12'!J169+'13'!J169+'14'!J169+'15'!J169+'16'!J169+'17'!J169+'18'!J169+'19'!J169+'20'!J169+'21'!J169+'22'!J169+'23'!J169+'24'!J169+'25'!J169+'26'!J169+'27'!J169+'28'!J169+'29'!J169+'30'!J169+'31'!J169</f>
        <v>0</v>
      </c>
      <c r="K169" s="20"/>
      <c r="M169" s="56"/>
      <c r="U169" s="5"/>
    </row>
    <row r="170" spans="1:21">
      <c r="A170" s="10">
        <v>166</v>
      </c>
      <c r="B170" s="20" t="s">
        <v>182</v>
      </c>
      <c r="C170" s="46">
        <v>0</v>
      </c>
      <c r="D170" s="47">
        <f>+'1'!D170+'2'!D170+'3'!D170+'4'!D170+'5'!D170+'6'!D170+'7'!D170+'8'!D170+'9'!D170+'10'!D170+'11'!D170+'12'!D170+'13'!D170+'14'!D170+'15'!D170+'16'!D170+'17'!D170+'18'!D170+'19'!D170+'20'!D170+'21'!D170+'22'!D170+'23'!D170+'24'!D170+'25'!D170+'26'!D170+'27'!D170+'28'!D170+'29'!D170+'30'!D170+'31'!D170</f>
        <v>0</v>
      </c>
      <c r="E170" s="46">
        <f t="shared" si="4"/>
        <v>0</v>
      </c>
      <c r="F170" s="47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'!F170</f>
        <v>0</v>
      </c>
      <c r="G170" s="46">
        <v>0</v>
      </c>
      <c r="H170" s="47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'!H170</f>
        <v>0</v>
      </c>
      <c r="I170" s="21">
        <v>80</v>
      </c>
      <c r="J170" s="47">
        <f>+'1'!J170+'2'!J170+'3'!J170+'4'!J170+'5'!J170+'6'!J170+'7'!J170+'8'!J170+'9'!J170+'10'!J170+'11'!J170+'12'!J170+'13'!J170+'14'!J170+'15'!J170+'16'!J170+'17'!J170+'18'!J170+'19'!J170+'20'!J170+'21'!J170+'22'!J170+'23'!J170+'24'!J170+'25'!J170+'26'!J170+'27'!J170+'28'!J170+'29'!J170+'30'!J170+'31'!J170</f>
        <v>0</v>
      </c>
      <c r="K170" s="20"/>
      <c r="M170" s="56"/>
      <c r="U170" s="5"/>
    </row>
    <row r="171" spans="1:21">
      <c r="A171" s="10">
        <v>167</v>
      </c>
      <c r="B171" s="20" t="s">
        <v>225</v>
      </c>
      <c r="C171" s="46">
        <v>3</v>
      </c>
      <c r="D171" s="47">
        <f>+'1'!D171+'2'!D171+'3'!D171+'4'!D171+'5'!D171+'6'!D171+'7'!D171+'8'!D171+'9'!D171+'10'!D171+'11'!D171+'12'!D171+'13'!D171+'14'!D171+'15'!D171+'16'!D171+'17'!D171+'18'!D171+'19'!D171+'20'!D171+'21'!D171+'22'!D171+'23'!D171+'24'!D171+'25'!D171+'26'!D171+'27'!D171+'28'!D171+'29'!D171+'30'!D171+'31'!D171</f>
        <v>0</v>
      </c>
      <c r="E171" s="46">
        <f t="shared" si="4"/>
        <v>3</v>
      </c>
      <c r="F171" s="47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'!F171</f>
        <v>0</v>
      </c>
      <c r="G171" s="46">
        <v>0</v>
      </c>
      <c r="H171" s="47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'!H171</f>
        <v>0</v>
      </c>
      <c r="I171" s="21">
        <v>40</v>
      </c>
      <c r="J171" s="47">
        <f>+'1'!J171+'2'!J171+'3'!J171+'4'!J171+'5'!J171+'6'!J171+'7'!J171+'8'!J171+'9'!J171+'10'!J171+'11'!J171+'12'!J171+'13'!J171+'14'!J171+'15'!J171+'16'!J171+'17'!J171+'18'!J171+'19'!J171+'20'!J171+'21'!J171+'22'!J171+'23'!J171+'24'!J171+'25'!J171+'26'!J171+'27'!J171+'28'!J171+'29'!J171+'30'!J171+'31'!J171</f>
        <v>0</v>
      </c>
      <c r="K171" s="20"/>
      <c r="M171" s="56"/>
      <c r="U171" s="5"/>
    </row>
    <row r="172" spans="1:21">
      <c r="A172" s="10">
        <v>168</v>
      </c>
      <c r="B172" s="20" t="s">
        <v>183</v>
      </c>
      <c r="C172" s="46">
        <v>0</v>
      </c>
      <c r="D172" s="47">
        <f>+'1'!D172+'2'!D172+'3'!D172+'4'!D172+'5'!D172+'6'!D172+'7'!D172+'8'!D172+'9'!D172+'10'!D172+'11'!D172+'12'!D172+'13'!D172+'14'!D172+'15'!D172+'16'!D172+'17'!D172+'18'!D172+'19'!D172+'20'!D172+'21'!D172+'22'!D172+'23'!D172+'24'!D172+'25'!D172+'26'!D172+'27'!D172+'28'!D172+'29'!D172+'30'!D172+'31'!D172</f>
        <v>0</v>
      </c>
      <c r="E172" s="46">
        <f t="shared" si="4"/>
        <v>0</v>
      </c>
      <c r="F172" s="47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'!F172</f>
        <v>0</v>
      </c>
      <c r="G172" s="46">
        <v>0</v>
      </c>
      <c r="H172" s="47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'!H172</f>
        <v>0</v>
      </c>
      <c r="I172" s="21">
        <v>120</v>
      </c>
      <c r="J172" s="47">
        <f>+'1'!J172+'2'!J172+'3'!J172+'4'!J172+'5'!J172+'6'!J172+'7'!J172+'8'!J172+'9'!J172+'10'!J172+'11'!J172+'12'!J172+'13'!J172+'14'!J172+'15'!J172+'16'!J172+'17'!J172+'18'!J172+'19'!J172+'20'!J172+'21'!J172+'22'!J172+'23'!J172+'24'!J172+'25'!J172+'26'!J172+'27'!J172+'28'!J172+'29'!J172+'30'!J172+'31'!J172</f>
        <v>0</v>
      </c>
      <c r="K172" s="20"/>
      <c r="M172" s="56"/>
      <c r="U172" s="5"/>
    </row>
    <row r="173" spans="1:21">
      <c r="A173" s="10">
        <v>169</v>
      </c>
      <c r="B173" s="20" t="s">
        <v>184</v>
      </c>
      <c r="C173" s="46">
        <v>0</v>
      </c>
      <c r="D173" s="47">
        <f>+'1'!D173+'2'!D173+'3'!D173+'4'!D173+'5'!D173+'6'!D173+'7'!D173+'8'!D173+'9'!D173+'10'!D173+'11'!D173+'12'!D173+'13'!D173+'14'!D173+'15'!D173+'16'!D173+'17'!D173+'18'!D173+'19'!D173+'20'!D173+'21'!D173+'22'!D173+'23'!D173+'24'!D173+'25'!D173+'26'!D173+'27'!D173+'28'!D173+'29'!D173+'30'!D173+'31'!D173</f>
        <v>0</v>
      </c>
      <c r="E173" s="46">
        <f t="shared" si="4"/>
        <v>0</v>
      </c>
      <c r="F173" s="47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'!F173</f>
        <v>0</v>
      </c>
      <c r="G173" s="46">
        <v>0</v>
      </c>
      <c r="H173" s="47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'!H173</f>
        <v>0</v>
      </c>
      <c r="I173" s="21">
        <v>120</v>
      </c>
      <c r="J173" s="47">
        <f>+'1'!J173+'2'!J173+'3'!J173+'4'!J173+'5'!J173+'6'!J173+'7'!J173+'8'!J173+'9'!J173+'10'!J173+'11'!J173+'12'!J173+'13'!J173+'14'!J173+'15'!J173+'16'!J173+'17'!J173+'18'!J173+'19'!J173+'20'!J173+'21'!J173+'22'!J173+'23'!J173+'24'!J173+'25'!J173+'26'!J173+'27'!J173+'28'!J173+'29'!J173+'30'!J173+'31'!J173</f>
        <v>0</v>
      </c>
      <c r="K173" s="20"/>
      <c r="M173" s="56"/>
      <c r="U173" s="5"/>
    </row>
    <row r="174" spans="1:21">
      <c r="A174" s="10">
        <v>170</v>
      </c>
      <c r="B174" s="20" t="s">
        <v>185</v>
      </c>
      <c r="C174" s="46">
        <v>0</v>
      </c>
      <c r="D174" s="47">
        <f>+'1'!D174+'2'!D174+'3'!D174+'4'!D174+'5'!D174+'6'!D174+'7'!D174+'8'!D174+'9'!D174+'10'!D174+'11'!D174+'12'!D174+'13'!D174+'14'!D174+'15'!D174+'16'!D174+'17'!D174+'18'!D174+'19'!D174+'20'!D174+'21'!D174+'22'!D174+'23'!D174+'24'!D174+'25'!D174+'26'!D174+'27'!D174+'28'!D174+'29'!D174+'30'!D174+'31'!D174</f>
        <v>0</v>
      </c>
      <c r="E174" s="46">
        <f t="shared" si="4"/>
        <v>0</v>
      </c>
      <c r="F174" s="47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'!F174</f>
        <v>0</v>
      </c>
      <c r="G174" s="46">
        <v>0</v>
      </c>
      <c r="H174" s="47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'!H174</f>
        <v>0</v>
      </c>
      <c r="I174" s="21">
        <v>55</v>
      </c>
      <c r="J174" s="47">
        <f>+'1'!J174+'2'!J174+'3'!J174+'4'!J174+'5'!J174+'6'!J174+'7'!J174+'8'!J174+'9'!J174+'10'!J174+'11'!J174+'12'!J174+'13'!J174+'14'!J174+'15'!J174+'16'!J174+'17'!J174+'18'!J174+'19'!J174+'20'!J174+'21'!J174+'22'!J174+'23'!J174+'24'!J174+'25'!J174+'26'!J174+'27'!J174+'28'!J174+'29'!J174+'30'!J174+'31'!J174</f>
        <v>0</v>
      </c>
      <c r="K174" s="20"/>
      <c r="M174" s="56"/>
      <c r="U174" s="5"/>
    </row>
    <row r="175" spans="1:21">
      <c r="A175" s="10">
        <v>171</v>
      </c>
      <c r="B175" s="20" t="s">
        <v>186</v>
      </c>
      <c r="C175" s="46">
        <v>0</v>
      </c>
      <c r="D175" s="47">
        <f>+'1'!D175+'2'!D175+'3'!D175+'4'!D175+'5'!D175+'6'!D175+'7'!D175+'8'!D175+'9'!D175+'10'!D175+'11'!D175+'12'!D175+'13'!D175+'14'!D175+'15'!D175+'16'!D175+'17'!D175+'18'!D175+'19'!D175+'20'!D175+'21'!D175+'22'!D175+'23'!D175+'24'!D175+'25'!D175+'26'!D175+'27'!D175+'28'!D175+'29'!D175+'30'!D175+'31'!D175</f>
        <v>0</v>
      </c>
      <c r="E175" s="46">
        <f t="shared" si="4"/>
        <v>0</v>
      </c>
      <c r="F175" s="47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'!F175</f>
        <v>0</v>
      </c>
      <c r="G175" s="46">
        <v>0</v>
      </c>
      <c r="H175" s="47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'!H175</f>
        <v>0</v>
      </c>
      <c r="I175" s="21">
        <v>50</v>
      </c>
      <c r="J175" s="47">
        <f>+'1'!J175+'2'!J175+'3'!J175+'4'!J175+'5'!J175+'6'!J175+'7'!J175+'8'!J175+'9'!J175+'10'!J175+'11'!J175+'12'!J175+'13'!J175+'14'!J175+'15'!J175+'16'!J175+'17'!J175+'18'!J175+'19'!J175+'20'!J175+'21'!J175+'22'!J175+'23'!J175+'24'!J175+'25'!J175+'26'!J175+'27'!J175+'28'!J175+'29'!J175+'30'!J175+'31'!J175</f>
        <v>0</v>
      </c>
      <c r="K175" s="20"/>
      <c r="M175" s="56"/>
      <c r="U175" s="5"/>
    </row>
    <row r="176" spans="1:21">
      <c r="A176" s="10">
        <v>172</v>
      </c>
      <c r="B176" s="20" t="s">
        <v>187</v>
      </c>
      <c r="C176" s="46">
        <v>0</v>
      </c>
      <c r="D176" s="47">
        <f>+'1'!D176+'2'!D176+'3'!D176+'4'!D176+'5'!D176+'6'!D176+'7'!D176+'8'!D176+'9'!D176+'10'!D176+'11'!D176+'12'!D176+'13'!D176+'14'!D176+'15'!D176+'16'!D176+'17'!D176+'18'!D176+'19'!D176+'20'!D176+'21'!D176+'22'!D176+'23'!D176+'24'!D176+'25'!D176+'26'!D176+'27'!D176+'28'!D176+'29'!D176+'30'!D176+'31'!D176</f>
        <v>0</v>
      </c>
      <c r="E176" s="46">
        <f t="shared" si="4"/>
        <v>0</v>
      </c>
      <c r="F176" s="47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'!F176</f>
        <v>0</v>
      </c>
      <c r="G176" s="46">
        <v>0</v>
      </c>
      <c r="H176" s="47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'!H176</f>
        <v>0</v>
      </c>
      <c r="I176" s="21">
        <v>50</v>
      </c>
      <c r="J176" s="47">
        <f>+'1'!J176+'2'!J176+'3'!J176+'4'!J176+'5'!J176+'6'!J176+'7'!J176+'8'!J176+'9'!J176+'10'!J176+'11'!J176+'12'!J176+'13'!J176+'14'!J176+'15'!J176+'16'!J176+'17'!J176+'18'!J176+'19'!J176+'20'!J176+'21'!J176+'22'!J176+'23'!J176+'24'!J176+'25'!J176+'26'!J176+'27'!J176+'28'!J176+'29'!J176+'30'!J176+'31'!J176</f>
        <v>0</v>
      </c>
      <c r="K176" s="20"/>
      <c r="M176" s="56"/>
      <c r="U176" s="5"/>
    </row>
    <row r="177" spans="1:21">
      <c r="A177" s="10">
        <v>173</v>
      </c>
      <c r="B177" s="20" t="s">
        <v>188</v>
      </c>
      <c r="C177" s="46">
        <v>0</v>
      </c>
      <c r="D177" s="47">
        <f>+'1'!D177+'2'!D177+'3'!D177+'4'!D177+'5'!D177+'6'!D177+'7'!D177+'8'!D177+'9'!D177+'10'!D177+'11'!D177+'12'!D177+'13'!D177+'14'!D177+'15'!D177+'16'!D177+'17'!D177+'18'!D177+'19'!D177+'20'!D177+'21'!D177+'22'!D177+'23'!D177+'24'!D177+'25'!D177+'26'!D177+'27'!D177+'28'!D177+'29'!D177+'30'!D177+'31'!D177</f>
        <v>0</v>
      </c>
      <c r="E177" s="46">
        <f t="shared" si="4"/>
        <v>0</v>
      </c>
      <c r="F177" s="47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'!F177</f>
        <v>0</v>
      </c>
      <c r="G177" s="46">
        <v>0</v>
      </c>
      <c r="H177" s="47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'!H177</f>
        <v>0</v>
      </c>
      <c r="I177" s="21">
        <v>120</v>
      </c>
      <c r="J177" s="47">
        <f>+'1'!J177+'2'!J177+'3'!J177+'4'!J177+'5'!J177+'6'!J177+'7'!J177+'8'!J177+'9'!J177+'10'!J177+'11'!J177+'12'!J177+'13'!J177+'14'!J177+'15'!J177+'16'!J177+'17'!J177+'18'!J177+'19'!J177+'20'!J177+'21'!J177+'22'!J177+'23'!J177+'24'!J177+'25'!J177+'26'!J177+'27'!J177+'28'!J177+'29'!J177+'30'!J177+'31'!J177</f>
        <v>0</v>
      </c>
      <c r="K177" s="20"/>
      <c r="M177" s="56"/>
      <c r="U177" s="5"/>
    </row>
    <row r="178" spans="1:21">
      <c r="A178" s="10">
        <v>174</v>
      </c>
      <c r="B178" s="20" t="s">
        <v>189</v>
      </c>
      <c r="C178" s="46">
        <v>0</v>
      </c>
      <c r="D178" s="47">
        <f>+'1'!D178+'2'!D178+'3'!D178+'4'!D178+'5'!D178+'6'!D178+'7'!D178+'8'!D178+'9'!D178+'10'!D178+'11'!D178+'12'!D178+'13'!D178+'14'!D178+'15'!D178+'16'!D178+'17'!D178+'18'!D178+'19'!D178+'20'!D178+'21'!D178+'22'!D178+'23'!D178+'24'!D178+'25'!D178+'26'!D178+'27'!D178+'28'!D178+'29'!D178+'30'!D178+'31'!D178</f>
        <v>15</v>
      </c>
      <c r="E178" s="46">
        <f t="shared" si="4"/>
        <v>15</v>
      </c>
      <c r="F178" s="47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'!F178</f>
        <v>0</v>
      </c>
      <c r="G178" s="46">
        <v>0</v>
      </c>
      <c r="H178" s="47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'!H178</f>
        <v>14</v>
      </c>
      <c r="I178" s="21">
        <v>120</v>
      </c>
      <c r="J178" s="47">
        <f>+'1'!J178+'2'!J178+'3'!J178+'4'!J178+'5'!J178+'6'!J178+'7'!J178+'8'!J178+'9'!J178+'10'!J178+'11'!J178+'12'!J178+'13'!J178+'14'!J178+'15'!J178+'16'!J178+'17'!J178+'18'!J178+'19'!J178+'20'!J178+'21'!J178+'22'!J178+'23'!J178+'24'!J178+'25'!J178+'26'!J178+'27'!J178+'28'!J178+'29'!J178+'30'!J178+'31'!J178</f>
        <v>1680</v>
      </c>
      <c r="K178" s="20"/>
      <c r="M178" s="56"/>
      <c r="U178" s="5"/>
    </row>
    <row r="179" spans="1:21">
      <c r="A179" s="10">
        <v>175</v>
      </c>
      <c r="B179" s="20" t="s">
        <v>190</v>
      </c>
      <c r="C179" s="46">
        <v>0</v>
      </c>
      <c r="D179" s="47">
        <f>+'1'!D179+'2'!D179+'3'!D179+'4'!D179+'5'!D179+'6'!D179+'7'!D179+'8'!D179+'9'!D179+'10'!D179+'11'!D179+'12'!D179+'13'!D179+'14'!D179+'15'!D179+'16'!D179+'17'!D179+'18'!D179+'19'!D179+'20'!D179+'21'!D179+'22'!D179+'23'!D179+'24'!D179+'25'!D179+'26'!D179+'27'!D179+'28'!D179+'29'!D179+'30'!D179+'31'!D179</f>
        <v>0</v>
      </c>
      <c r="E179" s="46">
        <f t="shared" si="4"/>
        <v>0</v>
      </c>
      <c r="F179" s="47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'!F179</f>
        <v>0</v>
      </c>
      <c r="G179" s="46">
        <v>0</v>
      </c>
      <c r="H179" s="47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'!H179</f>
        <v>0</v>
      </c>
      <c r="I179" s="21">
        <v>10</v>
      </c>
      <c r="J179" s="47">
        <f>+'1'!J179+'2'!J179+'3'!J179+'4'!J179+'5'!J179+'6'!J179+'7'!J179+'8'!J179+'9'!J179+'10'!J179+'11'!J179+'12'!J179+'13'!J179+'14'!J179+'15'!J179+'16'!J179+'17'!J179+'18'!J179+'19'!J179+'20'!J179+'21'!J179+'22'!J179+'23'!J179+'24'!J179+'25'!J179+'26'!J179+'27'!J179+'28'!J179+'29'!J179+'30'!J179+'31'!J179</f>
        <v>0</v>
      </c>
      <c r="K179" s="20"/>
      <c r="M179" s="56"/>
      <c r="U179" s="5"/>
    </row>
    <row r="180" spans="1:21">
      <c r="A180" s="10">
        <v>176</v>
      </c>
      <c r="B180" s="20" t="s">
        <v>191</v>
      </c>
      <c r="C180" s="46">
        <v>0</v>
      </c>
      <c r="D180" s="47">
        <f>+'1'!D180+'2'!D180+'3'!D180+'4'!D180+'5'!D180+'6'!D180+'7'!D180+'8'!D180+'9'!D180+'10'!D180+'11'!D180+'12'!D180+'13'!D180+'14'!D180+'15'!D180+'16'!D180+'17'!D180+'18'!D180+'19'!D180+'20'!D180+'21'!D180+'22'!D180+'23'!D180+'24'!D180+'25'!D180+'26'!D180+'27'!D180+'28'!D180+'29'!D180+'30'!D180+'31'!D180</f>
        <v>0</v>
      </c>
      <c r="E180" s="46">
        <f t="shared" si="4"/>
        <v>0</v>
      </c>
      <c r="F180" s="47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'!F180</f>
        <v>0</v>
      </c>
      <c r="G180" s="46">
        <v>0</v>
      </c>
      <c r="H180" s="47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'!H180</f>
        <v>0</v>
      </c>
      <c r="I180" s="21">
        <v>35</v>
      </c>
      <c r="J180" s="47">
        <f>+'1'!J180+'2'!J180+'3'!J180+'4'!J180+'5'!J180+'6'!J180+'7'!J180+'8'!J180+'9'!J180+'10'!J180+'11'!J180+'12'!J180+'13'!J180+'14'!J180+'15'!J180+'16'!J180+'17'!J180+'18'!J180+'19'!J180+'20'!J180+'21'!J180+'22'!J180+'23'!J180+'24'!J180+'25'!J180+'26'!J180+'27'!J180+'28'!J180+'29'!J180+'30'!J180+'31'!J180</f>
        <v>0</v>
      </c>
      <c r="K180" s="20"/>
      <c r="M180" s="56"/>
      <c r="U180" s="5"/>
    </row>
    <row r="181" spans="1:21">
      <c r="A181" s="10">
        <v>177</v>
      </c>
      <c r="B181" s="20" t="s">
        <v>192</v>
      </c>
      <c r="C181" s="46">
        <v>0</v>
      </c>
      <c r="D181" s="47">
        <f>+'1'!D181+'2'!D181+'3'!D181+'4'!D181+'5'!D181+'6'!D181+'7'!D181+'8'!D181+'9'!D181+'10'!D181+'11'!D181+'12'!D181+'13'!D181+'14'!D181+'15'!D181+'16'!D181+'17'!D181+'18'!D181+'19'!D181+'20'!D181+'21'!D181+'22'!D181+'23'!D181+'24'!D181+'25'!D181+'26'!D181+'27'!D181+'28'!D181+'29'!D181+'30'!D181+'31'!D181</f>
        <v>0</v>
      </c>
      <c r="E181" s="46">
        <f t="shared" si="4"/>
        <v>0</v>
      </c>
      <c r="F181" s="47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'!F181</f>
        <v>0</v>
      </c>
      <c r="G181" s="46">
        <v>0</v>
      </c>
      <c r="H181" s="47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'!H181</f>
        <v>0</v>
      </c>
      <c r="I181" s="21">
        <v>10</v>
      </c>
      <c r="J181" s="47">
        <f>+'1'!J181+'2'!J181+'3'!J181+'4'!J181+'5'!J181+'6'!J181+'7'!J181+'8'!J181+'9'!J181+'10'!J181+'11'!J181+'12'!J181+'13'!J181+'14'!J181+'15'!J181+'16'!J181+'17'!J181+'18'!J181+'19'!J181+'20'!J181+'21'!J181+'22'!J181+'23'!J181+'24'!J181+'25'!J181+'26'!J181+'27'!J181+'28'!J181+'29'!J181+'30'!J181+'31'!J181</f>
        <v>0</v>
      </c>
      <c r="K181" s="20"/>
      <c r="M181" s="56"/>
      <c r="U181" s="5"/>
    </row>
    <row r="182" spans="1:21">
      <c r="A182" s="10">
        <v>178</v>
      </c>
      <c r="B182" s="20" t="s">
        <v>193</v>
      </c>
      <c r="C182" s="46">
        <v>0</v>
      </c>
      <c r="D182" s="47">
        <f>+'1'!D182+'2'!D182+'3'!D182+'4'!D182+'5'!D182+'6'!D182+'7'!D182+'8'!D182+'9'!D182+'10'!D182+'11'!D182+'12'!D182+'13'!D182+'14'!D182+'15'!D182+'16'!D182+'17'!D182+'18'!D182+'19'!D182+'20'!D182+'21'!D182+'22'!D182+'23'!D182+'24'!D182+'25'!D182+'26'!D182+'27'!D182+'28'!D182+'29'!D182+'30'!D182+'31'!D182</f>
        <v>0</v>
      </c>
      <c r="E182" s="46">
        <f t="shared" si="4"/>
        <v>0</v>
      </c>
      <c r="F182" s="47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'!F182</f>
        <v>0</v>
      </c>
      <c r="G182" s="46">
        <v>0</v>
      </c>
      <c r="H182" s="47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'!H182</f>
        <v>0</v>
      </c>
      <c r="I182" s="21">
        <v>10</v>
      </c>
      <c r="J182" s="47">
        <f>+'1'!J182+'2'!J182+'3'!J182+'4'!J182+'5'!J182+'6'!J182+'7'!J182+'8'!J182+'9'!J182+'10'!J182+'11'!J182+'12'!J182+'13'!J182+'14'!J182+'15'!J182+'16'!J182+'17'!J182+'18'!J182+'19'!J182+'20'!J182+'21'!J182+'22'!J182+'23'!J182+'24'!J182+'25'!J182+'26'!J182+'27'!J182+'28'!J182+'29'!J182+'30'!J182+'31'!J182</f>
        <v>0</v>
      </c>
      <c r="K182" s="20"/>
      <c r="M182" s="56"/>
      <c r="U182" s="5"/>
    </row>
    <row r="183" spans="1:21">
      <c r="A183" s="10">
        <v>179</v>
      </c>
      <c r="B183" s="20" t="s">
        <v>194</v>
      </c>
      <c r="C183" s="46">
        <v>0</v>
      </c>
      <c r="D183" s="47">
        <f>+'1'!D183+'2'!D183+'3'!D183+'4'!D183+'5'!D183+'6'!D183+'7'!D183+'8'!D183+'9'!D183+'10'!D183+'11'!D183+'12'!D183+'13'!D183+'14'!D183+'15'!D183+'16'!D183+'17'!D183+'18'!D183+'19'!D183+'20'!D183+'21'!D183+'22'!D183+'23'!D183+'24'!D183+'25'!D183+'26'!D183+'27'!D183+'28'!D183+'29'!D183+'30'!D183+'31'!D183</f>
        <v>0</v>
      </c>
      <c r="E183" s="46">
        <f t="shared" si="4"/>
        <v>0</v>
      </c>
      <c r="F183" s="47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'!F183</f>
        <v>0</v>
      </c>
      <c r="G183" s="46">
        <v>0</v>
      </c>
      <c r="H183" s="47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'!H183</f>
        <v>0</v>
      </c>
      <c r="I183" s="21">
        <v>10</v>
      </c>
      <c r="J183" s="47">
        <f>+'1'!J183+'2'!J183+'3'!J183+'4'!J183+'5'!J183+'6'!J183+'7'!J183+'8'!J183+'9'!J183+'10'!J183+'11'!J183+'12'!J183+'13'!J183+'14'!J183+'15'!J183+'16'!J183+'17'!J183+'18'!J183+'19'!J183+'20'!J183+'21'!J183+'22'!J183+'23'!J183+'24'!J183+'25'!J183+'26'!J183+'27'!J183+'28'!J183+'29'!J183+'30'!J183+'31'!J183</f>
        <v>0</v>
      </c>
      <c r="K183" s="20"/>
      <c r="M183" s="56"/>
      <c r="U183" s="5"/>
    </row>
    <row r="184" spans="1:21">
      <c r="A184" s="10">
        <v>180</v>
      </c>
      <c r="B184" s="20" t="s">
        <v>195</v>
      </c>
      <c r="C184" s="46">
        <v>0</v>
      </c>
      <c r="D184" s="47">
        <f>+'1'!D184+'2'!D184+'3'!D184+'4'!D184+'5'!D184+'6'!D184+'7'!D184+'8'!D184+'9'!D184+'10'!D184+'11'!D184+'12'!D184+'13'!D184+'14'!D184+'15'!D184+'16'!D184+'17'!D184+'18'!D184+'19'!D184+'20'!D184+'21'!D184+'22'!D184+'23'!D184+'24'!D184+'25'!D184+'26'!D184+'27'!D184+'28'!D184+'29'!D184+'30'!D184+'31'!D184</f>
        <v>0</v>
      </c>
      <c r="E184" s="46">
        <f t="shared" si="4"/>
        <v>0</v>
      </c>
      <c r="F184" s="47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'!F184</f>
        <v>0</v>
      </c>
      <c r="G184" s="46">
        <v>0</v>
      </c>
      <c r="H184" s="47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'!H184</f>
        <v>0</v>
      </c>
      <c r="I184" s="21">
        <v>10</v>
      </c>
      <c r="J184" s="47">
        <f>+'1'!J184+'2'!J184+'3'!J184+'4'!J184+'5'!J184+'6'!J184+'7'!J184+'8'!J184+'9'!J184+'10'!J184+'11'!J184+'12'!J184+'13'!J184+'14'!J184+'15'!J184+'16'!J184+'17'!J184+'18'!J184+'19'!J184+'20'!J184+'21'!J184+'22'!J184+'23'!J184+'24'!J184+'25'!J184+'26'!J184+'27'!J184+'28'!J184+'29'!J184+'30'!J184+'31'!J184</f>
        <v>0</v>
      </c>
      <c r="K184" s="20"/>
      <c r="M184" s="56"/>
      <c r="U184" s="5"/>
    </row>
    <row r="185" spans="1:21">
      <c r="A185" s="10">
        <v>181</v>
      </c>
      <c r="B185" s="20" t="s">
        <v>196</v>
      </c>
      <c r="C185" s="46">
        <v>0</v>
      </c>
      <c r="D185" s="47">
        <f>+'1'!D185+'2'!D185+'3'!D185+'4'!D185+'5'!D185+'6'!D185+'7'!D185+'8'!D185+'9'!D185+'10'!D185+'11'!D185+'12'!D185+'13'!D185+'14'!D185+'15'!D185+'16'!D185+'17'!D185+'18'!D185+'19'!D185+'20'!D185+'21'!D185+'22'!D185+'23'!D185+'24'!D185+'25'!D185+'26'!D185+'27'!D185+'28'!D185+'29'!D185+'30'!D185+'31'!D185</f>
        <v>0</v>
      </c>
      <c r="E185" s="46">
        <f t="shared" si="4"/>
        <v>0</v>
      </c>
      <c r="F185" s="47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'!F185</f>
        <v>0</v>
      </c>
      <c r="G185" s="46">
        <v>0</v>
      </c>
      <c r="H185" s="47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'!H185</f>
        <v>0</v>
      </c>
      <c r="I185" s="21">
        <v>10</v>
      </c>
      <c r="J185" s="47">
        <f>+'1'!J185+'2'!J185+'3'!J185+'4'!J185+'5'!J185+'6'!J185+'7'!J185+'8'!J185+'9'!J185+'10'!J185+'11'!J185+'12'!J185+'13'!J185+'14'!J185+'15'!J185+'16'!J185+'17'!J185+'18'!J185+'19'!J185+'20'!J185+'21'!J185+'22'!J185+'23'!J185+'24'!J185+'25'!J185+'26'!J185+'27'!J185+'28'!J185+'29'!J185+'30'!J185+'31'!J185</f>
        <v>0</v>
      </c>
      <c r="K185" s="20"/>
      <c r="M185" s="56"/>
      <c r="U185" s="5"/>
    </row>
    <row r="186" spans="1:21">
      <c r="A186" s="10">
        <v>182</v>
      </c>
      <c r="B186" s="20" t="s">
        <v>197</v>
      </c>
      <c r="C186" s="46">
        <v>0</v>
      </c>
      <c r="D186" s="47">
        <f>+'1'!D186+'2'!D186+'3'!D186+'4'!D186+'5'!D186+'6'!D186+'7'!D186+'8'!D186+'9'!D186+'10'!D186+'11'!D186+'12'!D186+'13'!D186+'14'!D186+'15'!D186+'16'!D186+'17'!D186+'18'!D186+'19'!D186+'20'!D186+'21'!D186+'22'!D186+'23'!D186+'24'!D186+'25'!D186+'26'!D186+'27'!D186+'28'!D186+'29'!D186+'30'!D186+'31'!D186</f>
        <v>0</v>
      </c>
      <c r="E186" s="46">
        <f t="shared" si="4"/>
        <v>0</v>
      </c>
      <c r="F186" s="47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'!F186</f>
        <v>0</v>
      </c>
      <c r="G186" s="46">
        <v>0</v>
      </c>
      <c r="H186" s="47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'!H186</f>
        <v>0</v>
      </c>
      <c r="I186" s="21">
        <v>25</v>
      </c>
      <c r="J186" s="47">
        <f>+'1'!J186+'2'!J186+'3'!J186+'4'!J186+'5'!J186+'6'!J186+'7'!J186+'8'!J186+'9'!J186+'10'!J186+'11'!J186+'12'!J186+'13'!J186+'14'!J186+'15'!J186+'16'!J186+'17'!J186+'18'!J186+'19'!J186+'20'!J186+'21'!J186+'22'!J186+'23'!J186+'24'!J186+'25'!J186+'26'!J186+'27'!J186+'28'!J186+'29'!J186+'30'!J186+'31'!J186</f>
        <v>0</v>
      </c>
      <c r="K186" s="20"/>
      <c r="M186" s="56"/>
      <c r="U186" s="5"/>
    </row>
    <row r="187" spans="1:21">
      <c r="A187" s="10">
        <v>183</v>
      </c>
      <c r="B187" s="20" t="s">
        <v>198</v>
      </c>
      <c r="C187" s="46">
        <v>0</v>
      </c>
      <c r="D187" s="47">
        <f>+'1'!D187+'2'!D187+'3'!D187+'4'!D187+'5'!D187+'6'!D187+'7'!D187+'8'!D187+'9'!D187+'10'!D187+'11'!D187+'12'!D187+'13'!D187+'14'!D187+'15'!D187+'16'!D187+'17'!D187+'18'!D187+'19'!D187+'20'!D187+'21'!D187+'22'!D187+'23'!D187+'24'!D187+'25'!D187+'26'!D187+'27'!D187+'28'!D187+'29'!D187+'30'!D187+'31'!D187</f>
        <v>0</v>
      </c>
      <c r="E187" s="46">
        <f t="shared" si="4"/>
        <v>0</v>
      </c>
      <c r="F187" s="47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'!F187</f>
        <v>0</v>
      </c>
      <c r="G187" s="46">
        <v>0</v>
      </c>
      <c r="H187" s="47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'!H187</f>
        <v>0</v>
      </c>
      <c r="I187" s="15">
        <v>50</v>
      </c>
      <c r="J187" s="47">
        <f>+'1'!J187+'2'!J187+'3'!J187+'4'!J187+'5'!J187+'6'!J187+'7'!J187+'8'!J187+'9'!J187+'10'!J187+'11'!J187+'12'!J187+'13'!J187+'14'!J187+'15'!J187+'16'!J187+'17'!J187+'18'!J187+'19'!J187+'20'!J187+'21'!J187+'22'!J187+'23'!J187+'24'!J187+'25'!J187+'26'!J187+'27'!J187+'28'!J187+'29'!J187+'30'!J187+'31'!J187</f>
        <v>0</v>
      </c>
      <c r="K187" s="20"/>
      <c r="M187" s="56"/>
      <c r="U187" s="5"/>
    </row>
    <row r="188" spans="1:21">
      <c r="A188" s="10">
        <v>184</v>
      </c>
      <c r="B188" s="20" t="s">
        <v>199</v>
      </c>
      <c r="C188" s="46">
        <v>0</v>
      </c>
      <c r="D188" s="47">
        <f>+'1'!D188+'2'!D188+'3'!D188+'4'!D188+'5'!D188+'6'!D188+'7'!D188+'8'!D188+'9'!D188+'10'!D188+'11'!D188+'12'!D188+'13'!D188+'14'!D188+'15'!D188+'16'!D188+'17'!D188+'18'!D188+'19'!D188+'20'!D188+'21'!D188+'22'!D188+'23'!D188+'24'!D188+'25'!D188+'26'!D188+'27'!D188+'28'!D188+'29'!D188+'30'!D188+'31'!D188</f>
        <v>0</v>
      </c>
      <c r="E188" s="46">
        <f t="shared" si="4"/>
        <v>0</v>
      </c>
      <c r="F188" s="47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'!F188</f>
        <v>0</v>
      </c>
      <c r="G188" s="46">
        <v>0</v>
      </c>
      <c r="H188" s="47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'!H188</f>
        <v>0</v>
      </c>
      <c r="I188" s="15">
        <v>10</v>
      </c>
      <c r="J188" s="47">
        <f>+'1'!J188+'2'!J188+'3'!J188+'4'!J188+'5'!J188+'6'!J188+'7'!J188+'8'!J188+'9'!J188+'10'!J188+'11'!J188+'12'!J188+'13'!J188+'14'!J188+'15'!J188+'16'!J188+'17'!J188+'18'!J188+'19'!J188+'20'!J188+'21'!J188+'22'!J188+'23'!J188+'24'!J188+'25'!J188+'26'!J188+'27'!J188+'28'!J188+'29'!J188+'30'!J188+'31'!J188</f>
        <v>0</v>
      </c>
      <c r="K188" s="20"/>
      <c r="M188" s="56"/>
      <c r="U188" s="5"/>
    </row>
    <row r="189" spans="1:21">
      <c r="A189" s="10">
        <v>185</v>
      </c>
      <c r="B189" s="20" t="s">
        <v>200</v>
      </c>
      <c r="C189" s="46">
        <v>0</v>
      </c>
      <c r="D189" s="47">
        <f>+'1'!D189+'2'!D189+'3'!D189+'4'!D189+'5'!D189+'6'!D189+'7'!D189+'8'!D189+'9'!D189+'10'!D189+'11'!D189+'12'!D189+'13'!D189+'14'!D189+'15'!D189+'16'!D189+'17'!D189+'18'!D189+'19'!D189+'20'!D189+'21'!D189+'22'!D189+'23'!D189+'24'!D189+'25'!D189+'26'!D189+'27'!D189+'28'!D189+'29'!D189+'30'!D189+'31'!D189</f>
        <v>0</v>
      </c>
      <c r="E189" s="46">
        <f t="shared" si="4"/>
        <v>0</v>
      </c>
      <c r="F189" s="47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'!F189</f>
        <v>0</v>
      </c>
      <c r="G189" s="46">
        <v>0</v>
      </c>
      <c r="H189" s="47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'!H189</f>
        <v>0</v>
      </c>
      <c r="I189" s="15">
        <v>15</v>
      </c>
      <c r="J189" s="47">
        <f>+'1'!J189+'2'!J189+'3'!J189+'4'!J189+'5'!J189+'6'!J189+'7'!J189+'8'!J189+'9'!J189+'10'!J189+'11'!J189+'12'!J189+'13'!J189+'14'!J189+'15'!J189+'16'!J189+'17'!J189+'18'!J189+'19'!J189+'20'!J189+'21'!J189+'22'!J189+'23'!J189+'24'!J189+'25'!J189+'26'!J189+'27'!J189+'28'!J189+'29'!J189+'30'!J189+'31'!J189</f>
        <v>0</v>
      </c>
      <c r="K189" s="20"/>
      <c r="M189" s="56"/>
      <c r="U189" s="5"/>
    </row>
    <row r="190" spans="1:21">
      <c r="A190" s="10">
        <v>186</v>
      </c>
      <c r="B190" s="20" t="s">
        <v>201</v>
      </c>
      <c r="C190" s="46">
        <v>0</v>
      </c>
      <c r="D190" s="47">
        <f>+'1'!D190+'2'!D190+'3'!D190+'4'!D190+'5'!D190+'6'!D190+'7'!D190+'8'!D190+'9'!D190+'10'!D190+'11'!D190+'12'!D190+'13'!D190+'14'!D190+'15'!D190+'16'!D190+'17'!D190+'18'!D190+'19'!D190+'20'!D190+'21'!D190+'22'!D190+'23'!D190+'24'!D190+'25'!D190+'26'!D190+'27'!D190+'28'!D190+'29'!D190+'30'!D190+'31'!D190</f>
        <v>0</v>
      </c>
      <c r="E190" s="46">
        <f t="shared" si="4"/>
        <v>0</v>
      </c>
      <c r="F190" s="47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'!F190</f>
        <v>0</v>
      </c>
      <c r="G190" s="46">
        <v>0</v>
      </c>
      <c r="H190" s="47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'!H190</f>
        <v>0</v>
      </c>
      <c r="I190" s="15">
        <v>50</v>
      </c>
      <c r="J190" s="47">
        <f>+'1'!J190+'2'!J190+'3'!J190+'4'!J190+'5'!J190+'6'!J190+'7'!J190+'8'!J190+'9'!J190+'10'!J190+'11'!J190+'12'!J190+'13'!J190+'14'!J190+'15'!J190+'16'!J190+'17'!J190+'18'!J190+'19'!J190+'20'!J190+'21'!J190+'22'!J190+'23'!J190+'24'!J190+'25'!J190+'26'!J190+'27'!J190+'28'!J190+'29'!J190+'30'!J190+'31'!J190</f>
        <v>0</v>
      </c>
      <c r="K190" s="20"/>
      <c r="M190" s="56"/>
      <c r="U190" s="5"/>
    </row>
    <row r="191" spans="1:21">
      <c r="A191" s="10">
        <v>187</v>
      </c>
      <c r="B191" s="20" t="s">
        <v>202</v>
      </c>
      <c r="C191" s="46">
        <v>0</v>
      </c>
      <c r="D191" s="47">
        <f>+'1'!D191+'2'!D191+'3'!D191+'4'!D191+'5'!D191+'6'!D191+'7'!D191+'8'!D191+'9'!D191+'10'!D191+'11'!D191+'12'!D191+'13'!D191+'14'!D191+'15'!D191+'16'!D191+'17'!D191+'18'!D191+'19'!D191+'20'!D191+'21'!D191+'22'!D191+'23'!D191+'24'!D191+'25'!D191+'26'!D191+'27'!D191+'28'!D191+'29'!D191+'30'!D191+'31'!D191</f>
        <v>12</v>
      </c>
      <c r="E191" s="46">
        <f t="shared" si="4"/>
        <v>12</v>
      </c>
      <c r="F191" s="47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'!F191</f>
        <v>0</v>
      </c>
      <c r="G191" s="46">
        <v>0</v>
      </c>
      <c r="H191" s="47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'!H191</f>
        <v>2</v>
      </c>
      <c r="I191" s="15">
        <v>15</v>
      </c>
      <c r="J191" s="47">
        <f>+'1'!J191+'2'!J191+'3'!J191+'4'!J191+'5'!J191+'6'!J191+'7'!J191+'8'!J191+'9'!J191+'10'!J191+'11'!J191+'12'!J191+'13'!J191+'14'!J191+'15'!J191+'16'!J191+'17'!J191+'18'!J191+'19'!J191+'20'!J191+'21'!J191+'22'!J191+'23'!J191+'24'!J191+'25'!J191+'26'!J191+'27'!J191+'28'!J191+'29'!J191+'30'!J191+'31'!J191</f>
        <v>30</v>
      </c>
      <c r="K191" s="20"/>
      <c r="M191" s="56"/>
      <c r="U191" s="5"/>
    </row>
    <row r="192" spans="1:21">
      <c r="A192" s="10">
        <v>188</v>
      </c>
      <c r="B192" s="20" t="s">
        <v>203</v>
      </c>
      <c r="C192" s="46">
        <v>0</v>
      </c>
      <c r="D192" s="47">
        <f>+'1'!D192+'2'!D192+'3'!D192+'4'!D192+'5'!D192+'6'!D192+'7'!D192+'8'!D192+'9'!D192+'10'!D192+'11'!D192+'12'!D192+'13'!D192+'14'!D192+'15'!D192+'16'!D192+'17'!D192+'18'!D192+'19'!D192+'20'!D192+'21'!D192+'22'!D192+'23'!D192+'24'!D192+'25'!D192+'26'!D192+'27'!D192+'28'!D192+'29'!D192+'30'!D192+'31'!D192</f>
        <v>0</v>
      </c>
      <c r="E192" s="46">
        <f t="shared" si="4"/>
        <v>0</v>
      </c>
      <c r="F192" s="47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'!F192</f>
        <v>0</v>
      </c>
      <c r="G192" s="46">
        <v>0</v>
      </c>
      <c r="H192" s="47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'!H192</f>
        <v>0</v>
      </c>
      <c r="I192" s="15">
        <v>55</v>
      </c>
      <c r="J192" s="47">
        <f>+'1'!J192+'2'!J192+'3'!J192+'4'!J192+'5'!J192+'6'!J192+'7'!J192+'8'!J192+'9'!J192+'10'!J192+'11'!J192+'12'!J192+'13'!J192+'14'!J192+'15'!J192+'16'!J192+'17'!J192+'18'!J192+'19'!J192+'20'!J192+'21'!J192+'22'!J192+'23'!J192+'24'!J192+'25'!J192+'26'!J192+'27'!J192+'28'!J192+'29'!J192+'30'!J192+'31'!J192</f>
        <v>0</v>
      </c>
      <c r="K192" s="20"/>
      <c r="M192" s="56"/>
      <c r="U192" s="5"/>
    </row>
    <row r="193" spans="1:21">
      <c r="A193" s="10">
        <v>189</v>
      </c>
      <c r="B193" s="20" t="s">
        <v>204</v>
      </c>
      <c r="C193" s="46">
        <v>0</v>
      </c>
      <c r="D193" s="47">
        <f>+'1'!D193+'2'!D193+'3'!D193+'4'!D193+'5'!D193+'6'!D193+'7'!D193+'8'!D193+'9'!D193+'10'!D193+'11'!D193+'12'!D193+'13'!D193+'14'!D193+'15'!D193+'16'!D193+'17'!D193+'18'!D193+'19'!D193+'20'!D193+'21'!D193+'22'!D193+'23'!D193+'24'!D193+'25'!D193+'26'!D193+'27'!D193+'28'!D193+'29'!D193+'30'!D193+'31'!D193</f>
        <v>0</v>
      </c>
      <c r="E193" s="46">
        <f t="shared" si="4"/>
        <v>0</v>
      </c>
      <c r="F193" s="47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'!F193</f>
        <v>0</v>
      </c>
      <c r="G193" s="46">
        <v>0</v>
      </c>
      <c r="H193" s="47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'!H193</f>
        <v>0</v>
      </c>
      <c r="I193" s="15">
        <v>25</v>
      </c>
      <c r="J193" s="47">
        <f>+'1'!J193+'2'!J193+'3'!J193+'4'!J193+'5'!J193+'6'!J193+'7'!J193+'8'!J193+'9'!J193+'10'!J193+'11'!J193+'12'!J193+'13'!J193+'14'!J193+'15'!J193+'16'!J193+'17'!J193+'18'!J193+'19'!J193+'20'!J193+'21'!J193+'22'!J193+'23'!J193+'24'!J193+'25'!J193+'26'!J193+'27'!J193+'28'!J193+'29'!J193+'30'!J193+'31'!J193</f>
        <v>0</v>
      </c>
      <c r="K193" s="20"/>
      <c r="M193" s="56"/>
      <c r="U193" s="5"/>
    </row>
    <row r="194" spans="1:21">
      <c r="A194" s="10">
        <v>190</v>
      </c>
      <c r="B194" s="20" t="s">
        <v>205</v>
      </c>
      <c r="C194" s="46">
        <v>0</v>
      </c>
      <c r="D194" s="47">
        <f>+'1'!D194+'2'!D194+'3'!D194+'4'!D194+'5'!D194+'6'!D194+'7'!D194+'8'!D194+'9'!D194+'10'!D194+'11'!D194+'12'!D194+'13'!D194+'14'!D194+'15'!D194+'16'!D194+'17'!D194+'18'!D194+'19'!D194+'20'!D194+'21'!D194+'22'!D194+'23'!D194+'24'!D194+'25'!D194+'26'!D194+'27'!D194+'28'!D194+'29'!D194+'30'!D194+'31'!D194</f>
        <v>0</v>
      </c>
      <c r="E194" s="46">
        <f t="shared" si="4"/>
        <v>0</v>
      </c>
      <c r="F194" s="47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'!F194</f>
        <v>0</v>
      </c>
      <c r="G194" s="46">
        <v>0</v>
      </c>
      <c r="H194" s="47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'!H194</f>
        <v>0</v>
      </c>
      <c r="I194" s="15">
        <v>25</v>
      </c>
      <c r="J194" s="47">
        <f>+'1'!J194+'2'!J194+'3'!J194+'4'!J194+'5'!J194+'6'!J194+'7'!J194+'8'!J194+'9'!J194+'10'!J194+'11'!J194+'12'!J194+'13'!J194+'14'!J194+'15'!J194+'16'!J194+'17'!J194+'18'!J194+'19'!J194+'20'!J194+'21'!J194+'22'!J194+'23'!J194+'24'!J194+'25'!J194+'26'!J194+'27'!J194+'28'!J194+'29'!J194+'30'!J194+'31'!J194</f>
        <v>0</v>
      </c>
      <c r="K194" s="20"/>
      <c r="M194" s="56"/>
      <c r="U194" s="5"/>
    </row>
    <row r="195" spans="1:21">
      <c r="A195" s="10">
        <v>191</v>
      </c>
      <c r="B195" s="20" t="s">
        <v>206</v>
      </c>
      <c r="C195" s="46">
        <v>0</v>
      </c>
      <c r="D195" s="47">
        <f>+'1'!D195+'2'!D195+'3'!D195+'4'!D195+'5'!D195+'6'!D195+'7'!D195+'8'!D195+'9'!D195+'10'!D195+'11'!D195+'12'!D195+'13'!D195+'14'!D195+'15'!D195+'16'!D195+'17'!D195+'18'!D195+'19'!D195+'20'!D195+'21'!D195+'22'!D195+'23'!D195+'24'!D195+'25'!D195+'26'!D195+'27'!D195+'28'!D195+'29'!D195+'30'!D195+'31'!D195</f>
        <v>0</v>
      </c>
      <c r="E195" s="46">
        <f t="shared" si="4"/>
        <v>0</v>
      </c>
      <c r="F195" s="47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'!F195</f>
        <v>0</v>
      </c>
      <c r="G195" s="46">
        <v>0</v>
      </c>
      <c r="H195" s="47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'!H195</f>
        <v>0</v>
      </c>
      <c r="I195" s="15">
        <v>15</v>
      </c>
      <c r="J195" s="47">
        <f>+'1'!J195+'2'!J195+'3'!J195+'4'!J195+'5'!J195+'6'!J195+'7'!J195+'8'!J195+'9'!J195+'10'!J195+'11'!J195+'12'!J195+'13'!J195+'14'!J195+'15'!J195+'16'!J195+'17'!J195+'18'!J195+'19'!J195+'20'!J195+'21'!J195+'22'!J195+'23'!J195+'24'!J195+'25'!J195+'26'!J195+'27'!J195+'28'!J195+'29'!J195+'30'!J195+'31'!J195</f>
        <v>0</v>
      </c>
      <c r="K195" s="20"/>
      <c r="M195" s="56"/>
      <c r="U195" s="5"/>
    </row>
    <row r="196" spans="1:21">
      <c r="A196" s="10">
        <v>192</v>
      </c>
      <c r="B196" s="20" t="s">
        <v>207</v>
      </c>
      <c r="C196" s="46">
        <v>0</v>
      </c>
      <c r="D196" s="47">
        <f>+'1'!D196+'2'!D196+'3'!D196+'4'!D196+'5'!D196+'6'!D196+'7'!D196+'8'!D196+'9'!D196+'10'!D196+'11'!D196+'12'!D196+'13'!D196+'14'!D196+'15'!D196+'16'!D196+'17'!D196+'18'!D196+'19'!D196+'20'!D196+'21'!D196+'22'!D196+'23'!D196+'24'!D196+'25'!D196+'26'!D196+'27'!D196+'28'!D196+'29'!D196+'30'!D196+'31'!D196</f>
        <v>0</v>
      </c>
      <c r="E196" s="46">
        <f t="shared" si="4"/>
        <v>0</v>
      </c>
      <c r="F196" s="47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'!F196</f>
        <v>0</v>
      </c>
      <c r="G196" s="46">
        <v>0</v>
      </c>
      <c r="H196" s="47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'!H196</f>
        <v>0</v>
      </c>
      <c r="I196" s="15">
        <v>45</v>
      </c>
      <c r="J196" s="47">
        <f>+'1'!J196+'2'!J196+'3'!J196+'4'!J196+'5'!J196+'6'!J196+'7'!J196+'8'!J196+'9'!J196+'10'!J196+'11'!J196+'12'!J196+'13'!J196+'14'!J196+'15'!J196+'16'!J196+'17'!J196+'18'!J196+'19'!J196+'20'!J196+'21'!J196+'22'!J196+'23'!J196+'24'!J196+'25'!J196+'26'!J196+'27'!J196+'28'!J196+'29'!J196+'30'!J196+'31'!J196</f>
        <v>0</v>
      </c>
      <c r="K196" s="20"/>
      <c r="M196" s="56"/>
      <c r="U196" s="5"/>
    </row>
    <row r="197" spans="1:21">
      <c r="A197" s="10">
        <v>193</v>
      </c>
      <c r="B197" s="20" t="s">
        <v>208</v>
      </c>
      <c r="C197" s="46">
        <v>0</v>
      </c>
      <c r="D197" s="47">
        <f>+'1'!D197+'2'!D197+'3'!D197+'4'!D197+'5'!D197+'6'!D197+'7'!D197+'8'!D197+'9'!D197+'10'!D197+'11'!D197+'12'!D197+'13'!D197+'14'!D197+'15'!D197+'16'!D197+'17'!D197+'18'!D197+'19'!D197+'20'!D197+'21'!D197+'22'!D197+'23'!D197+'24'!D197+'25'!D197+'26'!D197+'27'!D197+'28'!D197+'29'!D197+'30'!D197+'31'!D197</f>
        <v>0</v>
      </c>
      <c r="E197" s="46">
        <f t="shared" si="4"/>
        <v>0</v>
      </c>
      <c r="F197" s="47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'!F197</f>
        <v>0</v>
      </c>
      <c r="G197" s="46">
        <v>0</v>
      </c>
      <c r="H197" s="47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'!H197</f>
        <v>0</v>
      </c>
      <c r="I197" s="15">
        <v>25</v>
      </c>
      <c r="J197" s="47">
        <f>+'1'!J197+'2'!J197+'3'!J197+'4'!J197+'5'!J197+'6'!J197+'7'!J197+'8'!J197+'9'!J197+'10'!J197+'11'!J197+'12'!J197+'13'!J197+'14'!J197+'15'!J197+'16'!J197+'17'!J197+'18'!J197+'19'!J197+'20'!J197+'21'!J197+'22'!J197+'23'!J197+'24'!J197+'25'!J197+'26'!J197+'27'!J197+'28'!J197+'29'!J197+'30'!J197+'31'!J197</f>
        <v>0</v>
      </c>
      <c r="K197" s="20"/>
      <c r="M197" s="56"/>
      <c r="U197" s="5"/>
    </row>
    <row r="198" spans="1:21">
      <c r="A198" s="10">
        <v>194</v>
      </c>
      <c r="B198" s="20" t="s">
        <v>209</v>
      </c>
      <c r="C198" s="46">
        <v>0</v>
      </c>
      <c r="D198" s="47">
        <f>+'1'!D198+'2'!D198+'3'!D198+'4'!D198+'5'!D198+'6'!D198+'7'!D198+'8'!D198+'9'!D198+'10'!D198+'11'!D198+'12'!D198+'13'!D198+'14'!D198+'15'!D198+'16'!D198+'17'!D198+'18'!D198+'19'!D198+'20'!D198+'21'!D198+'22'!D198+'23'!D198+'24'!D198+'25'!D198+'26'!D198+'27'!D198+'28'!D198+'29'!D198+'30'!D198+'31'!D198</f>
        <v>0</v>
      </c>
      <c r="E198" s="46">
        <f t="shared" si="4"/>
        <v>0</v>
      </c>
      <c r="F198" s="47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'!F198</f>
        <v>0</v>
      </c>
      <c r="G198" s="46">
        <v>0</v>
      </c>
      <c r="H198" s="47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'!H198</f>
        <v>0</v>
      </c>
      <c r="I198" s="15">
        <v>65</v>
      </c>
      <c r="J198" s="47">
        <f>+'1'!J198+'2'!J198+'3'!J198+'4'!J198+'5'!J198+'6'!J198+'7'!J198+'8'!J198+'9'!J198+'10'!J198+'11'!J198+'12'!J198+'13'!J198+'14'!J198+'15'!J198+'16'!J198+'17'!J198+'18'!J198+'19'!J198+'20'!J198+'21'!J198+'22'!J198+'23'!J198+'24'!J198+'25'!J198+'26'!J198+'27'!J198+'28'!J198+'29'!J198+'30'!J198+'31'!J198</f>
        <v>0</v>
      </c>
      <c r="K198" s="20"/>
      <c r="M198" s="56"/>
      <c r="U198" s="5"/>
    </row>
    <row r="199" spans="1:21">
      <c r="A199" s="10">
        <v>195</v>
      </c>
      <c r="B199" s="20" t="s">
        <v>210</v>
      </c>
      <c r="C199" s="46">
        <v>0</v>
      </c>
      <c r="D199" s="47">
        <f>+'1'!D199+'2'!D199+'3'!D199+'4'!D199+'5'!D199+'6'!D199+'7'!D199+'8'!D199+'9'!D199+'10'!D199+'11'!D199+'12'!D199+'13'!D199+'14'!D199+'15'!D199+'16'!D199+'17'!D199+'18'!D199+'19'!D199+'20'!D199+'21'!D199+'22'!D199+'23'!D199+'24'!D199+'25'!D199+'26'!D199+'27'!D199+'28'!D199+'29'!D199+'30'!D199+'31'!D199</f>
        <v>0</v>
      </c>
      <c r="E199" s="46">
        <f t="shared" si="4"/>
        <v>0</v>
      </c>
      <c r="F199" s="47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'!F199</f>
        <v>0</v>
      </c>
      <c r="G199" s="46">
        <v>0</v>
      </c>
      <c r="H199" s="47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'!H199</f>
        <v>0</v>
      </c>
      <c r="I199" s="15">
        <v>50</v>
      </c>
      <c r="J199" s="47">
        <f>+'1'!J199+'2'!J199+'3'!J199+'4'!J199+'5'!J199+'6'!J199+'7'!J199+'8'!J199+'9'!J199+'10'!J199+'11'!J199+'12'!J199+'13'!J199+'14'!J199+'15'!J199+'16'!J199+'17'!J199+'18'!J199+'19'!J199+'20'!J199+'21'!J199+'22'!J199+'23'!J199+'24'!J199+'25'!J199+'26'!J199+'27'!J199+'28'!J199+'29'!J199+'30'!J199+'31'!J199</f>
        <v>0</v>
      </c>
      <c r="K199" s="20"/>
      <c r="M199" s="56"/>
      <c r="U199" s="5"/>
    </row>
    <row r="200" spans="1:21">
      <c r="A200" s="10">
        <v>196</v>
      </c>
      <c r="B200" s="20" t="s">
        <v>211</v>
      </c>
      <c r="C200" s="46">
        <v>15</v>
      </c>
      <c r="D200" s="47">
        <f>+'1'!D200+'2'!D200+'3'!D200+'4'!D200+'5'!D200+'6'!D200+'7'!D200+'8'!D200+'9'!D200+'10'!D200+'11'!D200+'12'!D200+'13'!D200+'14'!D200+'15'!D200+'16'!D200+'17'!D200+'18'!D200+'19'!D200+'20'!D200+'21'!D200+'22'!D200+'23'!D200+'24'!D200+'25'!D200+'26'!D200+'27'!D200+'28'!D200+'29'!D200+'30'!D200+'31'!D200</f>
        <v>0</v>
      </c>
      <c r="E200" s="46">
        <f t="shared" si="4"/>
        <v>15</v>
      </c>
      <c r="F200" s="47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'!F200</f>
        <v>0</v>
      </c>
      <c r="G200" s="46">
        <v>0</v>
      </c>
      <c r="H200" s="47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'!H200</f>
        <v>0</v>
      </c>
      <c r="I200" s="15">
        <v>10</v>
      </c>
      <c r="J200" s="47">
        <f>+'1'!J200+'2'!J200+'3'!J200+'4'!J200+'5'!J200+'6'!J200+'7'!J200+'8'!J200+'9'!J200+'10'!J200+'11'!J200+'12'!J200+'13'!J200+'14'!J200+'15'!J200+'16'!J200+'17'!J200+'18'!J200+'19'!J200+'20'!J200+'21'!J200+'22'!J200+'23'!J200+'24'!J200+'25'!J200+'26'!J200+'27'!J200+'28'!J200+'29'!J200+'30'!J200+'31'!J200</f>
        <v>0</v>
      </c>
      <c r="K200" s="20"/>
      <c r="M200" s="56"/>
      <c r="U200" s="5"/>
    </row>
    <row r="201" spans="1:21">
      <c r="A201" s="10">
        <v>197</v>
      </c>
      <c r="B201" s="20" t="s">
        <v>254</v>
      </c>
      <c r="C201" s="46">
        <v>0</v>
      </c>
      <c r="D201" s="47">
        <f>+'1'!D201+'2'!D201+'3'!D201+'4'!D201+'5'!D201+'6'!D201+'7'!D201+'8'!D201+'9'!D201+'10'!D201+'11'!D201+'12'!D201+'13'!D201+'14'!D201+'15'!D201+'16'!D201+'17'!D201+'18'!D201+'19'!D201+'20'!D201+'21'!D201+'22'!D201+'23'!D201+'24'!D201+'25'!D201+'26'!D201+'27'!D201+'28'!D201+'29'!D201+'30'!D201+'31'!D201</f>
        <v>0</v>
      </c>
      <c r="E201" s="46">
        <f t="shared" si="4"/>
        <v>0</v>
      </c>
      <c r="F201" s="47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'!F201</f>
        <v>0</v>
      </c>
      <c r="G201" s="46">
        <v>0</v>
      </c>
      <c r="H201" s="47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'!H201</f>
        <v>0</v>
      </c>
      <c r="I201" s="15">
        <v>120</v>
      </c>
      <c r="J201" s="47">
        <f>+'1'!J201+'2'!J201+'3'!J201+'4'!J201+'5'!J201+'6'!J201+'7'!J201+'8'!J201+'9'!J201+'10'!J201+'11'!J201+'12'!J201+'13'!J201+'14'!J201+'15'!J201+'16'!J201+'17'!J201+'18'!J201+'19'!J201+'20'!J201+'21'!J201+'22'!J201+'23'!J201+'24'!J201+'25'!J201+'26'!J201+'27'!J201+'28'!J201+'29'!J201+'30'!J201+'31'!J201</f>
        <v>0</v>
      </c>
      <c r="K201" s="20"/>
      <c r="M201" s="56"/>
      <c r="U201" s="5"/>
    </row>
    <row r="202" spans="1:21">
      <c r="A202" s="10">
        <v>198</v>
      </c>
      <c r="B202" s="20" t="s">
        <v>255</v>
      </c>
      <c r="C202" s="46">
        <v>0</v>
      </c>
      <c r="D202" s="47">
        <f>+'1'!D202+'2'!D202+'3'!D202+'4'!D202+'5'!D202+'6'!D202+'7'!D202+'8'!D202+'9'!D202+'10'!D202+'11'!D202+'12'!D202+'13'!D202+'14'!D202+'15'!D202+'16'!D202+'17'!D202+'18'!D202+'19'!D202+'20'!D202+'21'!D202+'22'!D202+'23'!D202+'24'!D202+'25'!D202+'26'!D202+'27'!D202+'28'!D202+'29'!D202+'30'!D202+'31'!D202</f>
        <v>12</v>
      </c>
      <c r="E202" s="46">
        <f t="shared" si="4"/>
        <v>12</v>
      </c>
      <c r="F202" s="47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'!F202</f>
        <v>2</v>
      </c>
      <c r="G202" s="46">
        <v>0</v>
      </c>
      <c r="H202" s="47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'!H202</f>
        <v>9</v>
      </c>
      <c r="I202" s="15">
        <v>250</v>
      </c>
      <c r="J202" s="47">
        <f>+'1'!J202+'2'!J202+'3'!J202+'4'!J202+'5'!J202+'6'!J202+'7'!J202+'8'!J202+'9'!J202+'10'!J202+'11'!J202+'12'!J202+'13'!J202+'14'!J202+'15'!J202+'16'!J202+'17'!J202+'18'!J202+'19'!J202+'20'!J202+'21'!J202+'22'!J202+'23'!J202+'24'!J202+'25'!J202+'26'!J202+'27'!J202+'28'!J202+'29'!J202+'30'!J202+'31'!J202</f>
        <v>2250</v>
      </c>
      <c r="K202" s="20"/>
      <c r="M202" s="56"/>
      <c r="U202" s="5"/>
    </row>
    <row r="203" spans="1:21">
      <c r="A203" s="10">
        <v>199</v>
      </c>
      <c r="B203" s="20" t="s">
        <v>256</v>
      </c>
      <c r="C203" s="46">
        <v>0</v>
      </c>
      <c r="D203" s="47">
        <f>+'1'!D203+'2'!D203+'3'!D203+'4'!D203+'5'!D203+'6'!D203+'7'!D203+'8'!D203+'9'!D203+'10'!D203+'11'!D203+'12'!D203+'13'!D203+'14'!D203+'15'!D203+'16'!D203+'17'!D203+'18'!D203+'19'!D203+'20'!D203+'21'!D203+'22'!D203+'23'!D203+'24'!D203+'25'!D203+'26'!D203+'27'!D203+'28'!D203+'29'!D203+'30'!D203+'31'!D203</f>
        <v>32</v>
      </c>
      <c r="E203" s="46">
        <f t="shared" ref="E203:E224" si="5">+C203+D203</f>
        <v>32</v>
      </c>
      <c r="F203" s="47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'!F203</f>
        <v>0</v>
      </c>
      <c r="G203" s="46">
        <v>0</v>
      </c>
      <c r="H203" s="47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'!H203</f>
        <v>35</v>
      </c>
      <c r="I203" s="15">
        <v>120</v>
      </c>
      <c r="J203" s="47">
        <f>+'1'!J203+'2'!J203+'3'!J203+'4'!J203+'5'!J203+'6'!J203+'7'!J203+'8'!J203+'9'!J203+'10'!J203+'11'!J203+'12'!J203+'13'!J203+'14'!J203+'15'!J203+'16'!J203+'17'!J203+'18'!J203+'19'!J203+'20'!J203+'21'!J203+'22'!J203+'23'!J203+'24'!J203+'25'!J203+'26'!J203+'27'!J203+'28'!J203+'29'!J203+'30'!J203+'31'!J203</f>
        <v>4200</v>
      </c>
      <c r="K203" s="20"/>
      <c r="M203" s="56"/>
      <c r="U203" s="5"/>
    </row>
    <row r="204" spans="1:21">
      <c r="A204" s="10">
        <v>200</v>
      </c>
      <c r="B204" s="20"/>
      <c r="C204" s="46">
        <v>0</v>
      </c>
      <c r="D204" s="47">
        <f>+'1'!D204+'2'!D204+'3'!D205+'4'!D204+'5'!D205+'6'!D204+'7'!D204+'8'!D204+'9'!D204+'10'!D204+'11'!D204+'12'!D204+'13'!D204+'14'!D204+'15'!D204+'16'!D204+'17'!D204+'18'!D204+'19'!D204+'20'!D204+'21'!D204+'22'!D204+'23'!D204+'24'!D204+'25'!D204+'26'!D204+'27'!D204+'28'!D204+'29'!D204+'30'!D204+'31'!D204</f>
        <v>58</v>
      </c>
      <c r="E204" s="46">
        <f t="shared" si="5"/>
        <v>58</v>
      </c>
      <c r="F204" s="47">
        <f>+'1'!F204+'2'!F204+'3'!F205+'4'!F204+'5'!F205+'6'!F204+'7'!F204+'8'!F204+'9'!F204+'10'!F204+'11'!F204+'12'!F204+'13'!F204+'14'!F204+'15'!F204+'16'!F204+'17'!F204+'18'!F204+'19'!F204+'20'!F204+'21'!F204+'22'!F204+'23'!F204+'24'!F204+'25'!F204+'26'!F204+'27'!F204+'28'!F204+'29'!F204+'30'!F204+'31'!F204</f>
        <v>15</v>
      </c>
      <c r="G204" s="46">
        <v>0</v>
      </c>
      <c r="H204" s="47">
        <f>+'1'!H204+'2'!H204+'3'!H205+'4'!H204+'5'!H205+'6'!H204+'7'!H204+'8'!H204+'9'!H204+'10'!H204+'11'!H204+'12'!H204+'13'!H204+'14'!H204+'15'!H204+'16'!H204+'17'!H204+'18'!H204+'19'!H204+'20'!H204+'21'!H204+'22'!H204+'23'!H204+'24'!H204+'25'!H204+'26'!H204+'27'!H204+'28'!H204+'29'!H204+'30'!H204+'31'!H204</f>
        <v>44</v>
      </c>
      <c r="I204" s="15">
        <v>0</v>
      </c>
      <c r="J204" s="47">
        <f>+'1'!J204+'2'!J204+'3'!J205+'4'!J204+'5'!J205+'6'!J204+'7'!J204+'8'!J204+'9'!J204+'10'!J204+'11'!J204+'12'!J204+'13'!J204+'14'!J204+'15'!J204+'16'!J204+'17'!J204+'18'!J204+'19'!J204+'20'!J204+'21'!J204+'22'!J204+'23'!J204+'24'!J204+'25'!J204+'26'!J204+'27'!J204+'28'!J204+'29'!J204+'30'!J204+'31'!J204</f>
        <v>2200</v>
      </c>
      <c r="K204" s="20"/>
      <c r="M204" s="56"/>
      <c r="U204" s="5"/>
    </row>
    <row r="205" spans="1:21">
      <c r="A205" s="10">
        <v>201</v>
      </c>
      <c r="B205" s="11"/>
      <c r="C205" s="46">
        <v>0</v>
      </c>
      <c r="D205" s="47">
        <f>+'1'!D205+'2'!D205+'3'!D206+'4'!D206+'5'!D206+'6'!D206+'7'!D206+'8'!D206+'9'!D206+'10'!D206+'11'!D206+'12'!D208+'13'!D208+'14'!D208+'15'!D208+'16'!D205+'17'!D205+'18'!D205+'19'!D205+'20'!D205+'21'!D205+'22'!D205+'23'!D205+'24'!D205+'25'!D205+'26'!D205+'27'!D205+'28'!D205+'29'!D205+'30'!D205+'31'!D205</f>
        <v>0</v>
      </c>
      <c r="E205" s="46">
        <f t="shared" si="5"/>
        <v>0</v>
      </c>
      <c r="F205" s="47">
        <f>+'1'!F205+'2'!F205+'3'!F206+'4'!F206+'5'!F206+'6'!F206+'7'!F206+'8'!F206+'9'!F206+'10'!F206+'11'!F206+'12'!F208+'13'!F208+'14'!F208+'15'!F208+'16'!F205+'17'!F205+'18'!F205+'19'!F205+'20'!F205+'21'!F205+'22'!F205+'23'!F205+'24'!F205+'25'!F205+'26'!F205+'27'!F205+'28'!F205+'29'!F205+'30'!F205+'31'!F205</f>
        <v>0</v>
      </c>
      <c r="G205" s="46">
        <v>0</v>
      </c>
      <c r="H205" s="47">
        <f>+'1'!H205+'2'!H205+'3'!H206+'4'!H206+'5'!H206+'6'!H206+'7'!H206+'8'!H206+'9'!H206+'10'!H206+'11'!H206+'12'!H208+'13'!H208+'14'!H208+'15'!H208+'16'!H205+'17'!H205+'18'!H205+'19'!H205+'20'!H205+'21'!H205+'22'!H205+'23'!H205+'24'!H205+'25'!H205+'26'!H205+'27'!H205+'28'!H205+'29'!H205+'30'!H205+'31'!H205</f>
        <v>0</v>
      </c>
      <c r="I205" s="48">
        <v>0</v>
      </c>
      <c r="J205" s="47">
        <f>+'1'!J205+'2'!J205+'3'!J206+'4'!J206+'5'!J206+'6'!J206+'7'!J206+'8'!J206+'9'!J206+'10'!J206+'11'!J206+'12'!J208+'13'!J208+'14'!J208+'15'!J208+'16'!J205+'17'!J205+'18'!J205+'19'!J205+'20'!J205+'21'!J205+'22'!J205+'23'!J205+'24'!J205+'25'!J205+'26'!J205+'27'!J205+'28'!J205+'29'!J205+'30'!J205+'31'!J205</f>
        <v>0</v>
      </c>
      <c r="K205" s="20"/>
      <c r="M205" s="56"/>
      <c r="U205" s="5"/>
    </row>
    <row r="206" spans="1:21">
      <c r="A206" s="10">
        <v>202</v>
      </c>
      <c r="B206" s="11"/>
      <c r="C206" s="46">
        <v>0</v>
      </c>
      <c r="D206" s="47">
        <f>+'1'!D206+'2'!D206+'3'!D207+'4'!D207+'5'!D207+'6'!D207+'7'!D207+'8'!D207+'9'!D207+'10'!D207+'11'!D207+'12'!D209+'13'!D209+'14'!D209+'15'!D209+'16'!D206+'17'!D206+'18'!D206+'19'!D206+'20'!D206+'21'!D206+'22'!D206+'23'!D206+'24'!D206+'25'!D206+'26'!D206+'27'!D206+'28'!D206+'29'!D206+'30'!D206+'31'!D206</f>
        <v>0</v>
      </c>
      <c r="E206" s="46">
        <f t="shared" si="5"/>
        <v>0</v>
      </c>
      <c r="F206" s="47">
        <f>+'1'!F206+'2'!F206+'3'!F207+'4'!F207+'5'!F207+'6'!F207+'7'!F207+'8'!F207+'9'!F207+'10'!F207+'11'!F207+'12'!F209+'13'!F209+'14'!F209+'15'!F209+'16'!F206+'17'!F206+'18'!F206+'19'!F206+'20'!F206+'21'!F206+'22'!F206+'23'!F206+'24'!F206+'25'!F206+'26'!F206+'27'!F206+'28'!F206+'29'!F206+'30'!F206+'31'!F206</f>
        <v>0</v>
      </c>
      <c r="G206" s="46">
        <v>0</v>
      </c>
      <c r="H206" s="47" t="e">
        <f>+'1'!H206+'2'!H206+'3'!H207+'4'!H207+'5'!H207+'6'!H207+'7'!H207+'8'!H207+'9'!H207+'10'!H207+'11'!H207+'12'!H209+'13'!H209+'14'!H209+'15'!H209+'16'!H206+'17'!H206+'18'!H206+'19'!H206+'20'!H206+'21'!H206+'22'!H206+'23'!H206+'24'!H206+'25'!H206+'26'!H206+'27'!H206+'28'!H206+'29'!H206+'30'!H206+'31'!H206</f>
        <v>#VALUE!</v>
      </c>
      <c r="I206" s="48">
        <v>0</v>
      </c>
      <c r="J206" s="47">
        <f>+'1'!J206+'2'!J206+'3'!J207+'4'!J207+'5'!J207+'6'!J207+'7'!J207+'8'!J207+'9'!J207+'10'!J207+'11'!J207+'12'!J209+'13'!J209+'14'!J209+'15'!J209+'16'!J206+'17'!J206+'18'!J206+'19'!J206+'20'!J206+'21'!J206+'22'!J206+'23'!J206+'24'!J206+'25'!J206+'26'!J206+'27'!J206+'28'!J206+'29'!J206+'30'!J206+'31'!J206</f>
        <v>0</v>
      </c>
      <c r="K206" s="20"/>
      <c r="M206" s="56"/>
      <c r="U206" s="5"/>
    </row>
    <row r="207" spans="1:21">
      <c r="A207" s="10">
        <v>203</v>
      </c>
      <c r="B207" s="11"/>
      <c r="C207" s="46">
        <v>0</v>
      </c>
      <c r="D207" s="47">
        <f>+'1'!D207+'2'!D207+'3'!D208+'4'!D208+'5'!D208+'6'!D208+'7'!D208+'8'!D208+'9'!D208+'10'!D208+'11'!D208+'12'!D210+'13'!D210+'14'!D210+'15'!D210+'16'!D207+'17'!D207+'18'!D207+'19'!D207+'20'!D207+'21'!D207+'22'!D207+'23'!D207+'24'!D207+'25'!D207+'26'!D207+'27'!D207+'28'!D207+'29'!D207+'30'!D207+'31'!D207</f>
        <v>0</v>
      </c>
      <c r="E207" s="46">
        <f t="shared" si="5"/>
        <v>0</v>
      </c>
      <c r="F207" s="47">
        <f>+'1'!F207+'2'!F207+'3'!F208+'4'!F208+'5'!F208+'6'!F208+'7'!F208+'8'!F208+'9'!F208+'10'!F208+'11'!F208+'12'!F210+'13'!F210+'14'!F210+'15'!F210+'16'!F207+'17'!F207+'18'!F207+'19'!F207+'20'!F207+'21'!F207+'22'!F207+'23'!F207+'24'!F207+'25'!F207+'26'!F207+'27'!F207+'28'!F207+'29'!F207+'30'!F207+'31'!F207</f>
        <v>0</v>
      </c>
      <c r="G207" s="46">
        <v>0</v>
      </c>
      <c r="H207" s="47">
        <f>+'1'!H207+'2'!H207+'3'!H208+'4'!H208+'5'!H208+'6'!H208+'7'!H208+'8'!H208+'9'!H208+'10'!H208+'11'!H208+'12'!H210+'13'!H210+'14'!H210+'15'!H210+'16'!H207+'17'!H207+'18'!H207+'19'!H207+'20'!H207+'21'!H207+'22'!H207+'23'!H207+'24'!H207+'25'!H207+'26'!H207+'27'!H207+'28'!H207+'29'!H207+'30'!H207+'31'!H207</f>
        <v>0</v>
      </c>
      <c r="I207" s="48">
        <v>0</v>
      </c>
      <c r="J207" s="47">
        <f>+'1'!J207+'2'!J207+'3'!J208+'4'!J208+'5'!J208+'6'!J208+'7'!J208+'8'!J208+'9'!J208+'10'!J208+'11'!J208+'12'!J210+'13'!J210+'14'!J210+'15'!J210+'16'!J207+'17'!J207+'18'!J207+'19'!J207+'20'!J207+'21'!J207+'22'!J207+'23'!J207+'24'!J207+'25'!J207+'26'!J207+'27'!J207+'28'!J207+'29'!J207+'30'!J207+'31'!J207</f>
        <v>0</v>
      </c>
      <c r="K207" s="20"/>
      <c r="M207" s="56"/>
      <c r="U207" s="5"/>
    </row>
    <row r="208" spans="1:21">
      <c r="A208" s="10">
        <v>204</v>
      </c>
      <c r="B208" s="11"/>
      <c r="C208" s="46">
        <v>0</v>
      </c>
      <c r="D208" s="47">
        <f>+'1'!D208+'2'!D208+'3'!D209+'4'!D209+'5'!D209+'6'!D209+'7'!D209+'8'!D209+'9'!D209+'10'!D209+'11'!D209+'12'!D211+'13'!D211+'14'!D211+'15'!D211+'16'!D208+'17'!D208+'18'!D208+'19'!D208+'20'!D208+'21'!D208+'22'!D208+'23'!D208+'24'!D208+'25'!D208+'26'!D208+'27'!D208+'28'!D208+'29'!D208+'30'!D208+'31'!D208</f>
        <v>0</v>
      </c>
      <c r="E208" s="46">
        <f t="shared" si="5"/>
        <v>0</v>
      </c>
      <c r="F208" s="47">
        <f>+'1'!F208+'2'!F208+'3'!F209+'4'!F209+'5'!F209+'6'!F209+'7'!F209+'8'!F209+'9'!F209+'10'!F209+'11'!F209+'12'!F211+'13'!F211+'14'!F211+'15'!F211+'16'!F208+'17'!F208+'18'!F208+'19'!F208+'20'!F208+'21'!F208+'22'!F208+'23'!F208+'24'!F208+'25'!F208+'26'!F208+'27'!F208+'28'!F208+'29'!F208+'30'!F208+'31'!F208</f>
        <v>0</v>
      </c>
      <c r="G208" s="46">
        <v>0</v>
      </c>
      <c r="H208" s="47">
        <f>+'1'!H208+'2'!H208+'3'!H209+'4'!H209+'5'!H209+'6'!H209+'7'!H209+'8'!H209+'9'!H209+'10'!H209+'11'!H209+'12'!H211+'13'!H211+'14'!H211+'15'!H211+'16'!H208+'17'!H208+'18'!H208+'19'!H208+'20'!H208+'21'!H208+'22'!H208+'23'!H208+'24'!H208+'25'!H208+'26'!H208+'27'!H208+'28'!H208+'29'!H208+'30'!H208+'31'!H208</f>
        <v>0</v>
      </c>
      <c r="I208" s="48">
        <v>0</v>
      </c>
      <c r="J208" s="47">
        <f>+'1'!J208+'2'!J208+'3'!J209+'4'!J209+'5'!J209+'6'!J209+'7'!J209+'8'!J209+'9'!J209+'10'!J209+'11'!J209+'12'!J211+'13'!J211+'14'!J211+'15'!J211+'16'!J208+'17'!J208+'18'!J208+'19'!J208+'20'!J208+'21'!J208+'22'!J208+'23'!J208+'24'!J208+'25'!J208+'26'!J208+'27'!J208+'28'!J208+'29'!J208+'30'!J208+'31'!J208</f>
        <v>0</v>
      </c>
      <c r="K208" s="20"/>
      <c r="M208" s="56"/>
      <c r="U208" s="5"/>
    </row>
    <row r="209" spans="1:21">
      <c r="A209" s="10">
        <v>205</v>
      </c>
      <c r="B209" s="11"/>
      <c r="C209" s="46">
        <v>0</v>
      </c>
      <c r="D209" s="47">
        <f>+'1'!D209+'2'!D209+'3'!D210+'4'!D210+'5'!D210+'6'!D210+'7'!D210+'8'!D210+'9'!D210+'10'!D210+'11'!D210+'12'!D212+'13'!D212+'14'!D212+'15'!D212+'16'!D209+'17'!D209+'18'!D209+'19'!D209+'20'!D209+'21'!D209+'22'!D209+'23'!D209+'24'!D209+'25'!D209+'26'!D209+'27'!D209+'28'!D209+'29'!D209+'30'!D209+'31'!D209</f>
        <v>0</v>
      </c>
      <c r="E209" s="46">
        <f t="shared" si="5"/>
        <v>0</v>
      </c>
      <c r="F209" s="47">
        <f>+'1'!F209+'2'!F209+'3'!F210+'4'!F210+'5'!F210+'6'!F210+'7'!F210+'8'!F210+'9'!F210+'10'!F210+'11'!F210+'12'!F212+'13'!F212+'14'!F212+'15'!F212+'16'!F209+'17'!F209+'18'!F209+'19'!F209+'20'!F209+'21'!F209+'22'!F209+'23'!F209+'24'!F209+'25'!F209+'26'!F209+'27'!F209+'28'!F209+'29'!F209+'30'!F209+'31'!F209</f>
        <v>0</v>
      </c>
      <c r="G209" s="46">
        <v>0</v>
      </c>
      <c r="H209" s="47">
        <f>+'1'!H209+'2'!H209+'3'!H210+'4'!H210+'5'!H210+'6'!H210+'7'!H210+'8'!H210+'9'!H210+'10'!H210+'11'!H210+'12'!H212+'13'!H212+'14'!H212+'15'!H212+'16'!H209+'17'!H209+'18'!H209+'19'!H209+'20'!H209+'21'!H209+'22'!H209+'23'!H209+'24'!H209+'25'!H209+'26'!H209+'27'!H209+'28'!H209+'29'!H209+'30'!H209+'31'!H209</f>
        <v>0</v>
      </c>
      <c r="I209" s="48">
        <v>0</v>
      </c>
      <c r="J209" s="47">
        <f>+'1'!J209+'2'!J209+'3'!J210+'4'!J210+'5'!J210+'6'!J210+'7'!J210+'8'!J210+'9'!J210+'10'!J210+'11'!J210+'12'!J212+'13'!J212+'14'!J212+'15'!J212+'16'!J209+'17'!J209+'18'!J209+'19'!J209+'20'!J209+'21'!J209+'22'!J209+'23'!J209+'24'!J209+'25'!J209+'26'!J209+'27'!J209+'28'!J209+'29'!J209+'30'!J209+'31'!J209</f>
        <v>0</v>
      </c>
      <c r="K209" s="20"/>
      <c r="M209" s="56"/>
      <c r="U209" s="5"/>
    </row>
    <row r="210" spans="1:21">
      <c r="A210" s="10">
        <v>206</v>
      </c>
      <c r="B210" s="11"/>
      <c r="C210" s="46">
        <v>0</v>
      </c>
      <c r="D210" s="47">
        <f>+'1'!D210+'2'!D210+'3'!D211+'4'!D211+'5'!D211+'6'!D211+'7'!D211+'8'!D211+'9'!D211+'10'!D211+'11'!D211+'12'!D213+'13'!D213+'14'!D213+'15'!D213+'16'!D210+'17'!D210+'18'!D210+'19'!D210+'20'!D210+'21'!D210+'22'!D210+'23'!D210+'24'!D210+'25'!D210+'26'!D210+'27'!D210+'28'!D210+'29'!D210+'30'!D210+'31'!D210</f>
        <v>0</v>
      </c>
      <c r="E210" s="46">
        <f t="shared" si="5"/>
        <v>0</v>
      </c>
      <c r="F210" s="47">
        <f>+'1'!F210+'2'!F210+'3'!F211+'4'!F211+'5'!F211+'6'!F211+'7'!F211+'8'!F211+'9'!F211+'10'!F211+'11'!F211+'12'!F213+'13'!F213+'14'!F213+'15'!F213+'16'!F210+'17'!F210+'18'!F210+'19'!F210+'20'!F210+'21'!F210+'22'!F210+'23'!F210+'24'!F210+'25'!F210+'26'!F210+'27'!F210+'28'!F210+'29'!F210+'30'!F210+'31'!F210</f>
        <v>0</v>
      </c>
      <c r="G210" s="46">
        <v>0</v>
      </c>
      <c r="H210" s="47">
        <f>+'1'!H210+'2'!H210+'3'!H211+'4'!H211+'5'!H211+'6'!H211+'7'!H211+'8'!H211+'9'!H211+'10'!H211+'11'!H211+'12'!H213+'13'!H213+'14'!H213+'15'!H213+'16'!H210+'17'!H210+'18'!H210+'19'!H210+'20'!H210+'21'!H210+'22'!H210+'23'!H210+'24'!H210+'25'!H210+'26'!H210+'27'!H210+'28'!H210+'29'!H210+'30'!H210+'31'!H210</f>
        <v>0</v>
      </c>
      <c r="I210" s="48">
        <v>0</v>
      </c>
      <c r="J210" s="47">
        <f>+'1'!J210+'2'!J210+'3'!J211+'4'!J211+'5'!J211+'6'!J211+'7'!J211+'8'!J211+'9'!J211+'10'!J211+'11'!J211+'12'!J213+'13'!J213+'14'!J213+'15'!J213+'16'!J210+'17'!J210+'18'!J210+'19'!J210+'20'!J210+'21'!J210+'22'!J210+'23'!J210+'24'!J210+'25'!J210+'26'!J210+'27'!J210+'28'!J210+'29'!J210+'30'!J210+'31'!J210</f>
        <v>0</v>
      </c>
      <c r="K210" s="20"/>
      <c r="M210" s="56"/>
      <c r="U210" s="5"/>
    </row>
    <row r="211" spans="1:21">
      <c r="A211" s="10">
        <v>207</v>
      </c>
      <c r="B211" s="11"/>
      <c r="C211" s="46">
        <v>0</v>
      </c>
      <c r="D211" s="47">
        <f>+'1'!D211+'2'!D211+'3'!D212+'4'!D212+'5'!D212+'6'!D212+'7'!D212+'8'!D212+'9'!D212+'10'!D212+'11'!D212+'12'!D214+'13'!D214+'14'!D214+'15'!D214+'16'!D211+'17'!D211+'18'!D211+'19'!D211+'20'!D211+'21'!D211+'22'!D211+'23'!D211+'24'!D211+'25'!D211+'26'!D211+'27'!D211+'28'!D211+'29'!D211+'30'!D211+'31'!D211</f>
        <v>0</v>
      </c>
      <c r="E211" s="46">
        <f t="shared" si="5"/>
        <v>0</v>
      </c>
      <c r="F211" s="47" t="e">
        <f>+'1'!F211+'2'!F211+'3'!F212+'4'!F212+'5'!F212+'6'!F212+'7'!F212+'8'!F212+'9'!F212+'10'!F212+'11'!F212+'12'!F214+'13'!F214+'14'!F214+'15'!F214+'16'!F211+'17'!F211+'18'!F211+'19'!F211+'20'!F211+'21'!F211+'22'!F211+'23'!F211+'24'!F211+'25'!F211+'26'!F211+'27'!F211+'28'!F211+'29'!F211+'30'!F211+'31'!F211</f>
        <v>#VALUE!</v>
      </c>
      <c r="G211" s="46">
        <v>0</v>
      </c>
      <c r="H211" s="47">
        <f>+'1'!H211+'2'!H211+'3'!H212+'4'!H212+'5'!H212+'6'!H212+'7'!H212+'8'!H212+'9'!H212+'10'!H212+'11'!H212+'12'!H214+'13'!H214+'14'!H214+'15'!H214+'16'!H211+'17'!H211+'18'!H211+'19'!H211+'20'!H211+'21'!H211+'22'!H211+'23'!H211+'24'!H211+'25'!H211+'26'!H211+'27'!H211+'28'!H211+'29'!H211+'30'!H211+'31'!H211</f>
        <v>0</v>
      </c>
      <c r="I211" s="48">
        <v>0</v>
      </c>
      <c r="J211" s="47">
        <f>+'1'!J211+'2'!J211+'3'!J212+'4'!J212+'5'!J212+'6'!J212+'7'!J212+'8'!J212+'9'!J212+'10'!J212+'11'!J212+'12'!J214+'13'!J214+'14'!J214+'15'!J214+'16'!J211+'17'!J211+'18'!J211+'19'!J211+'20'!J211+'21'!J211+'22'!J211+'23'!J211+'24'!J211+'25'!J211+'26'!J211+'27'!J211+'28'!J211+'29'!J211+'30'!J211+'31'!J211</f>
        <v>0</v>
      </c>
      <c r="K211" s="20"/>
      <c r="M211" s="56"/>
      <c r="U211" s="5"/>
    </row>
    <row r="212" spans="1:21">
      <c r="A212" s="10">
        <v>208</v>
      </c>
      <c r="B212" s="11"/>
      <c r="C212" s="46">
        <v>0</v>
      </c>
      <c r="D212" s="47">
        <f>+'1'!D212+'2'!D212+'3'!D213+'4'!D213+'5'!D213+'6'!D213+'7'!D213+'8'!D213+'9'!D213+'10'!D213+'11'!D213+'12'!D215+'13'!D215+'14'!D215+'15'!D215+'16'!D212+'17'!D212+'18'!D212+'19'!D212+'20'!D212+'21'!D212+'22'!D212+'23'!D212+'24'!D212+'25'!D212+'26'!D212+'27'!D212+'28'!D212+'29'!D212+'30'!D212+'31'!D212</f>
        <v>0</v>
      </c>
      <c r="E212" s="46">
        <f t="shared" si="5"/>
        <v>0</v>
      </c>
      <c r="F212" s="47">
        <f>+'1'!F212+'2'!F212+'3'!F213+'4'!F213+'5'!F213+'6'!F213+'7'!F213+'8'!F213+'9'!F213+'10'!F213+'11'!F213+'12'!F215+'13'!F215+'14'!F215+'15'!F215+'16'!F212+'17'!F212+'18'!F212+'19'!F212+'20'!F212+'21'!F212+'22'!F212+'23'!F212+'24'!F212+'25'!F212+'26'!F212+'27'!F212+'28'!F212+'29'!F212+'30'!F212+'31'!F212</f>
        <v>0</v>
      </c>
      <c r="G212" s="46">
        <v>0</v>
      </c>
      <c r="H212" s="47">
        <f>+'1'!H212+'2'!H212+'3'!H213+'4'!H213+'5'!H213+'6'!H213+'7'!H213+'8'!H213+'9'!H213+'10'!H213+'11'!H213+'12'!H215+'13'!H215+'14'!H215+'15'!H215+'16'!H212+'17'!H212+'18'!H212+'19'!H212+'20'!H212+'21'!H212+'22'!H212+'23'!H212+'24'!H212+'25'!H212+'26'!H212+'27'!H212+'28'!H212+'29'!H212+'30'!H212+'31'!H212</f>
        <v>0</v>
      </c>
      <c r="I212" s="48">
        <v>0</v>
      </c>
      <c r="J212" s="47">
        <f>+'1'!J212+'2'!J212+'3'!J213+'4'!J213+'5'!J213+'6'!J213+'7'!J213+'8'!J213+'9'!J213+'10'!J213+'11'!J213+'12'!J215+'13'!J215+'14'!J215+'15'!J215+'16'!J212+'17'!J212+'18'!J212+'19'!J212+'20'!J212+'21'!J212+'22'!J212+'23'!J212+'24'!J212+'25'!J212+'26'!J212+'27'!J212+'28'!J212+'29'!J212+'30'!J212+'31'!J212</f>
        <v>0</v>
      </c>
      <c r="K212" s="20"/>
      <c r="M212" s="56"/>
      <c r="U212" s="5"/>
    </row>
    <row r="213" spans="1:21">
      <c r="A213" s="10">
        <v>209</v>
      </c>
      <c r="B213" s="11"/>
      <c r="C213" s="46">
        <v>0</v>
      </c>
      <c r="D213" s="47">
        <f>+'1'!D213+'2'!D213+'3'!D214+'4'!D214+'5'!D214+'6'!D214+'7'!D214+'8'!D214+'9'!D214+'10'!D214+'11'!D214+'12'!D216+'13'!D216+'14'!D216+'15'!D216+'16'!D213+'17'!D213+'18'!D213+'19'!D213+'20'!D213+'21'!D213+'22'!D213+'23'!D213+'24'!D213+'25'!D213+'26'!D213+'27'!D213+'28'!D213+'29'!D213+'30'!D213+'31'!D213</f>
        <v>0</v>
      </c>
      <c r="E213" s="46">
        <f t="shared" si="5"/>
        <v>0</v>
      </c>
      <c r="F213" s="47">
        <f>+'1'!F213+'2'!F213+'3'!F214+'4'!F214+'5'!F214+'6'!F214+'7'!F214+'8'!F214+'9'!F214+'10'!F214+'11'!F214+'12'!F216+'13'!F216+'14'!F216+'15'!F216+'16'!F213+'17'!F213+'18'!F213+'19'!F213+'20'!F213+'21'!F213+'22'!F213+'23'!F213+'24'!F213+'25'!F213+'26'!F213+'27'!F213+'28'!F213+'29'!F213+'30'!F213+'31'!F213</f>
        <v>0</v>
      </c>
      <c r="G213" s="46">
        <v>0</v>
      </c>
      <c r="H213" s="47">
        <f>+'1'!H213+'2'!H213+'3'!H214+'4'!H214+'5'!H214+'6'!H214+'7'!H214+'8'!H214+'9'!H214+'10'!H214+'11'!H214+'12'!H216+'13'!H216+'14'!H216+'15'!H216+'16'!H213+'17'!H213+'18'!H213+'19'!H213+'20'!H213+'21'!H213+'22'!H213+'23'!H213+'24'!H213+'25'!H213+'26'!H213+'27'!H213+'28'!H213+'29'!H213+'30'!H213+'31'!H213</f>
        <v>0</v>
      </c>
      <c r="I213" s="48">
        <v>0</v>
      </c>
      <c r="J213" s="47">
        <f>+'1'!J213+'2'!J213+'3'!J214+'4'!J214+'5'!J214+'6'!J214+'7'!J214+'8'!J214+'9'!J214+'10'!J214+'11'!J214+'12'!J216+'13'!J216+'14'!J216+'15'!J216+'16'!J213+'17'!J213+'18'!J213+'19'!J213+'20'!J213+'21'!J213+'22'!J213+'23'!J213+'24'!J213+'25'!J213+'26'!J213+'27'!J213+'28'!J213+'29'!J213+'30'!J213+'31'!J213</f>
        <v>0</v>
      </c>
      <c r="K213" s="20"/>
      <c r="M213" s="56"/>
      <c r="U213" s="5"/>
    </row>
    <row r="214" spans="1:21">
      <c r="A214" s="10">
        <v>210</v>
      </c>
      <c r="B214" s="11"/>
      <c r="C214" s="46">
        <v>0</v>
      </c>
      <c r="D214" s="47">
        <f>+'1'!D214+'2'!D214+'3'!D215+'4'!D215+'5'!D215+'6'!D215+'7'!D215+'8'!D215+'9'!D215+'10'!D215+'11'!D215+'12'!D217+'13'!D217+'14'!D217+'15'!D217+'16'!D214+'17'!D214+'18'!D214+'19'!D214+'20'!D214+'21'!D214+'22'!D214+'23'!D214+'24'!D214+'25'!D214+'26'!D214+'27'!D214+'28'!D214+'29'!D214+'30'!D214+'31'!D214</f>
        <v>0</v>
      </c>
      <c r="E214" s="46">
        <f t="shared" si="5"/>
        <v>0</v>
      </c>
      <c r="F214" s="47">
        <f>+'1'!F214+'2'!F214+'3'!F215+'4'!F215+'5'!F215+'6'!F215+'7'!F215+'8'!F215+'9'!F215+'10'!F215+'11'!F215+'12'!F217+'13'!F217+'14'!F217+'15'!F217+'16'!F214+'17'!F214+'18'!F214+'19'!F214+'20'!F214+'21'!F214+'22'!F214+'23'!F214+'24'!F214+'25'!F214+'26'!F214+'27'!F214+'28'!F214+'29'!F214+'30'!F214+'31'!F214</f>
        <v>0</v>
      </c>
      <c r="G214" s="46">
        <v>0</v>
      </c>
      <c r="H214" s="47">
        <f>+'1'!H214+'2'!H214+'3'!H215+'4'!H215+'5'!H215+'6'!H215+'7'!H215+'8'!H215+'9'!H215+'10'!H215+'11'!H215+'12'!H217+'13'!H217+'14'!H217+'15'!H217+'16'!H214+'17'!H214+'18'!H214+'19'!H214+'20'!H214+'21'!H214+'22'!H214+'23'!H214+'24'!H214+'25'!H214+'26'!H214+'27'!H214+'28'!H214+'29'!H214+'30'!H214+'31'!H214</f>
        <v>0</v>
      </c>
      <c r="I214" s="48">
        <v>0</v>
      </c>
      <c r="J214" s="47">
        <f>+'1'!J214+'2'!J214+'3'!J215+'4'!J215+'5'!J215+'6'!J215+'7'!J215+'8'!J215+'9'!J215+'10'!J215+'11'!J215+'12'!J217+'13'!J217+'14'!J217+'15'!J217+'16'!J214+'17'!J214+'18'!J214+'19'!J214+'20'!J214+'21'!J214+'22'!J214+'23'!J214+'24'!J214+'25'!J214+'26'!J214+'27'!J214+'28'!J214+'29'!J214+'30'!J214+'31'!J214</f>
        <v>0</v>
      </c>
      <c r="K214" s="20"/>
      <c r="M214" s="56"/>
      <c r="U214" s="5"/>
    </row>
    <row r="215" spans="1:21">
      <c r="A215" s="10">
        <v>211</v>
      </c>
      <c r="B215" s="11"/>
      <c r="C215" s="46">
        <v>0</v>
      </c>
      <c r="D215" s="47">
        <f>+'1'!D215+'2'!D215+'3'!D216+'4'!D216+'5'!D216+'6'!D216+'7'!D216+'8'!D216+'9'!D216+'10'!D216+'11'!D216+'12'!D218+'13'!D218+'14'!D218+'15'!D218+'16'!D215+'17'!D215+'18'!D215+'19'!D215+'20'!D215+'21'!D215+'22'!D215+'23'!D215+'24'!D215+'25'!D215+'26'!D215+'27'!D215+'28'!D215+'29'!D215+'30'!D215+'31'!D215</f>
        <v>0</v>
      </c>
      <c r="E215" s="46">
        <f t="shared" si="5"/>
        <v>0</v>
      </c>
      <c r="F215" s="47">
        <f>+'1'!F215+'2'!F215+'3'!F216+'4'!F216+'5'!F216+'6'!F216+'7'!F216+'8'!F216+'9'!F216+'10'!F216+'11'!F216+'12'!F218+'13'!F218+'14'!F218+'15'!F218+'16'!F215+'17'!F215+'18'!F215+'19'!F215+'20'!F215+'21'!F215+'22'!F215+'23'!F215+'24'!F215+'25'!F215+'26'!F215+'27'!F215+'28'!F215+'29'!F215+'30'!F215+'31'!F215</f>
        <v>0</v>
      </c>
      <c r="G215" s="46">
        <v>0</v>
      </c>
      <c r="H215" s="47">
        <f>+'1'!H215+'2'!H215+'3'!H216+'4'!H216+'5'!H216+'6'!H216+'7'!H216+'8'!H216+'9'!H216+'10'!H216+'11'!H216+'12'!H218+'13'!H218+'14'!H218+'15'!H218+'16'!H215+'17'!H215+'18'!H215+'19'!H215+'20'!H215+'21'!H215+'22'!H215+'23'!H215+'24'!H215+'25'!H215+'26'!H215+'27'!H215+'28'!H215+'29'!H215+'30'!H215+'31'!H215</f>
        <v>0</v>
      </c>
      <c r="I215" s="48">
        <v>0</v>
      </c>
      <c r="J215" s="47">
        <f>+'1'!J215+'2'!J215+'3'!J216+'4'!J216+'5'!J216+'6'!J216+'7'!J216+'8'!J216+'9'!J216+'10'!J216+'11'!J216+'12'!J218+'13'!J218+'14'!J218+'15'!J218+'16'!J215+'17'!J215+'18'!J215+'19'!J215+'20'!J215+'21'!J215+'22'!J215+'23'!J215+'24'!J215+'25'!J215+'26'!J215+'27'!J215+'28'!J215+'29'!J215+'30'!J215+'31'!J215</f>
        <v>0</v>
      </c>
      <c r="K215" s="20"/>
      <c r="M215" s="56"/>
      <c r="U215" s="5"/>
    </row>
    <row r="216" spans="1:21">
      <c r="A216" s="10">
        <v>212</v>
      </c>
      <c r="B216" s="11"/>
      <c r="C216" s="46">
        <v>0</v>
      </c>
      <c r="D216" s="47">
        <f>+'1'!D216+'2'!D216+'3'!D217+'4'!D217+'5'!D217+'6'!D217+'7'!D217+'8'!D217+'9'!D217+'10'!D217+'11'!D217+'12'!D219+'13'!D219+'14'!D219+'15'!D219+'16'!D216+'17'!D216+'18'!D216+'19'!D216+'20'!D216+'21'!D216+'22'!D216+'23'!D216+'24'!D216+'25'!D216+'26'!D216+'27'!D216+'28'!D216+'29'!D216+'30'!D216+'31'!D216</f>
        <v>0</v>
      </c>
      <c r="E216" s="46">
        <f t="shared" si="5"/>
        <v>0</v>
      </c>
      <c r="F216" s="47">
        <f>+'1'!F216+'2'!F216+'3'!F217+'4'!F217+'5'!F217+'6'!F217+'7'!F217+'8'!F217+'9'!F217+'10'!F217+'11'!F217+'12'!F219+'13'!F219+'14'!F219+'15'!F219+'16'!F216+'17'!F216+'18'!F216+'19'!F216+'20'!F216+'21'!F216+'22'!F216+'23'!F216+'24'!F216+'25'!F216+'26'!F216+'27'!F216+'28'!F216+'29'!F216+'30'!F216+'31'!F216</f>
        <v>0</v>
      </c>
      <c r="G216" s="46">
        <v>0</v>
      </c>
      <c r="H216" s="47">
        <f>+'1'!H216+'2'!H216+'3'!H217+'4'!H217+'5'!H217+'6'!H217+'7'!H217+'8'!H217+'9'!H217+'10'!H217+'11'!H217+'12'!H219+'13'!H219+'14'!H219+'15'!H219+'16'!H216+'17'!H216+'18'!H216+'19'!H216+'20'!H216+'21'!H216+'22'!H216+'23'!H216+'24'!H216+'25'!H216+'26'!H216+'27'!H216+'28'!H216+'29'!H216+'30'!H216+'31'!H216</f>
        <v>0</v>
      </c>
      <c r="I216" s="48">
        <v>0</v>
      </c>
      <c r="J216" s="47">
        <f>+'1'!J216+'2'!J216+'3'!J217+'4'!J217+'5'!J217+'6'!J217+'7'!J217+'8'!J217+'9'!J217+'10'!J217+'11'!J217+'12'!J219+'13'!J219+'14'!J219+'15'!J219+'16'!J216+'17'!J216+'18'!J216+'19'!J216+'20'!J216+'21'!J216+'22'!J216+'23'!J216+'24'!J216+'25'!J216+'26'!J216+'27'!J216+'28'!J216+'29'!J216+'30'!J216+'31'!J216</f>
        <v>0</v>
      </c>
      <c r="K216" s="20"/>
      <c r="M216" s="56"/>
      <c r="U216" s="5"/>
    </row>
    <row r="217" spans="1:21">
      <c r="A217" s="10">
        <v>213</v>
      </c>
      <c r="B217" s="11"/>
      <c r="C217" s="46">
        <v>0</v>
      </c>
      <c r="D217" s="47">
        <f>+'1'!D217+'2'!D217+'3'!D218+'4'!D218+'5'!D218+'6'!D218+'7'!D218+'8'!D218+'9'!D218+'10'!D218+'11'!D218+'12'!D220+'13'!D220+'14'!D220+'15'!D220+'16'!D217+'17'!D217+'18'!D217+'19'!D217+'20'!D217+'21'!D217+'22'!D217+'23'!D217+'24'!D217+'25'!D217+'26'!D217+'27'!D217+'28'!D217+'29'!D217+'30'!D217+'31'!D217</f>
        <v>0</v>
      </c>
      <c r="E217" s="46">
        <f t="shared" si="5"/>
        <v>0</v>
      </c>
      <c r="F217" s="47">
        <f>+'1'!F217+'2'!F217+'3'!F218+'4'!F218+'5'!F218+'6'!F218+'7'!F218+'8'!F218+'9'!F218+'10'!F218+'11'!F218+'12'!F220+'13'!F220+'14'!F220+'15'!F220+'16'!F217+'17'!F217+'18'!F217+'19'!F217+'20'!F217+'21'!F217+'22'!F217+'23'!F217+'24'!F217+'25'!F217+'26'!F217+'27'!F217+'28'!F217+'29'!F217+'30'!F217+'31'!F217</f>
        <v>0</v>
      </c>
      <c r="G217" s="46">
        <v>0</v>
      </c>
      <c r="H217" s="47">
        <f>+'1'!H217+'2'!H217+'3'!H218+'4'!H218+'5'!H218+'6'!H218+'7'!H218+'8'!H218+'9'!H218+'10'!H218+'11'!H218+'12'!H220+'13'!H220+'14'!H220+'15'!H220+'16'!H217+'17'!H217+'18'!H217+'19'!H217+'20'!H217+'21'!H217+'22'!H217+'23'!H217+'24'!H217+'25'!H217+'26'!H217+'27'!H217+'28'!H217+'29'!H217+'30'!H217+'31'!H217</f>
        <v>0</v>
      </c>
      <c r="I217" s="48">
        <v>0</v>
      </c>
      <c r="J217" s="47">
        <f>+'1'!J217+'2'!J217+'3'!J218+'4'!J218+'5'!J218+'6'!J218+'7'!J218+'8'!J218+'9'!J218+'10'!J218+'11'!J218+'12'!J220+'13'!J220+'14'!J220+'15'!J220+'16'!J217+'17'!J217+'18'!J217+'19'!J217+'20'!J217+'21'!J217+'22'!J217+'23'!J217+'24'!J217+'25'!J217+'26'!J217+'27'!J217+'28'!J217+'29'!J217+'30'!J217+'31'!J217</f>
        <v>0</v>
      </c>
      <c r="K217" s="20"/>
      <c r="M217" s="56"/>
      <c r="U217" s="5"/>
    </row>
    <row r="218" spans="1:21">
      <c r="A218" s="10">
        <v>214</v>
      </c>
      <c r="B218" s="11"/>
      <c r="C218" s="46">
        <v>0</v>
      </c>
      <c r="D218" s="47">
        <f>+'1'!D218+'2'!D218+'3'!D219+'4'!D219+'5'!D219+'6'!D219+'7'!D219+'8'!D219+'9'!D219+'10'!D219+'11'!D219+'12'!D221+'13'!D221+'14'!D221+'15'!D221+'16'!D218+'17'!D218+'18'!D218+'19'!D218+'20'!D218+'21'!D218+'22'!D218+'23'!D218+'24'!D218+'25'!D218+'26'!D218+'27'!D218+'28'!D218+'29'!D218+'30'!D218+'31'!D218</f>
        <v>0</v>
      </c>
      <c r="E218" s="46">
        <f t="shared" si="5"/>
        <v>0</v>
      </c>
      <c r="F218" s="47">
        <f>+'1'!F218+'2'!F218+'3'!F219+'4'!F219+'5'!F219+'6'!F219+'7'!F219+'8'!F219+'9'!F219+'10'!F219+'11'!F219+'12'!F221+'13'!F221+'14'!F221+'15'!F221+'16'!F218+'17'!F218+'18'!F218+'19'!F218+'20'!F218+'21'!F218+'22'!F218+'23'!F218+'24'!F218+'25'!F218+'26'!F218+'27'!F218+'28'!F218+'29'!F218+'30'!F218+'31'!F218</f>
        <v>0</v>
      </c>
      <c r="G218" s="46">
        <v>0</v>
      </c>
      <c r="H218" s="47">
        <f>+'1'!H218+'2'!H218+'3'!H219+'4'!H219+'5'!H219+'6'!H219+'7'!H219+'8'!H219+'9'!H219+'10'!H219+'11'!H219+'12'!H221+'13'!H221+'14'!H221+'15'!H221+'16'!H218+'17'!H218+'18'!H218+'19'!H218+'20'!H218+'21'!H218+'22'!H218+'23'!H218+'24'!H218+'25'!H218+'26'!H218+'27'!H218+'28'!H218+'29'!H218+'30'!H218+'31'!H218</f>
        <v>0</v>
      </c>
      <c r="I218" s="48">
        <v>0</v>
      </c>
      <c r="J218" s="47" t="e">
        <f>+'1'!J218+'2'!J218+'3'!J219+'4'!J219+'5'!J219+'6'!J219+'7'!J219+'8'!J219+'9'!J219+'10'!J219+'11'!J219+'12'!J221+'13'!J221+'14'!J221+'15'!J221+'16'!J218+'17'!J218+'18'!J218+'19'!J218+'20'!J218+'21'!J218+'22'!J218+'23'!J218+'24'!J218+'25'!J218+'26'!J218+'27'!J218+'28'!J218+'29'!J218+'30'!J218+'31'!J218</f>
        <v>#VALUE!</v>
      </c>
      <c r="K218" s="20"/>
      <c r="M218" s="56"/>
      <c r="U218" s="5"/>
    </row>
    <row r="219" spans="1:21">
      <c r="A219" s="10">
        <v>215</v>
      </c>
      <c r="B219" s="11"/>
      <c r="C219" s="46">
        <v>0</v>
      </c>
      <c r="D219" s="47">
        <f>+'1'!D219+'2'!D219+'3'!D220+'4'!D220+'5'!D220+'6'!D220+'7'!D220+'8'!D220+'9'!D220+'10'!D220+'11'!D220+'12'!D222+'13'!D222+'14'!D222+'15'!D222+'16'!D219+'17'!D219+'18'!D219+'19'!D219+'20'!D219+'21'!D219+'22'!D219+'23'!D219+'24'!D219+'25'!D219+'26'!D219+'27'!D219+'28'!D219+'29'!D219+'30'!D219+'31'!D219</f>
        <v>0</v>
      </c>
      <c r="E219" s="46">
        <f t="shared" si="5"/>
        <v>0</v>
      </c>
      <c r="F219" s="47">
        <f>+'1'!F219+'2'!F219+'3'!F220+'4'!F220+'5'!F220+'6'!F220+'7'!F220+'8'!F220+'9'!F220+'10'!F220+'11'!F220+'12'!F222+'13'!F222+'14'!F222+'15'!F222+'16'!F219+'17'!F219+'18'!F219+'19'!F219+'20'!F219+'21'!F219+'22'!F219+'23'!F219+'24'!F219+'25'!F219+'26'!F219+'27'!F219+'28'!F219+'29'!F219+'30'!F219+'31'!F219</f>
        <v>0</v>
      </c>
      <c r="G219" s="46">
        <v>0</v>
      </c>
      <c r="H219" s="47">
        <f>+'1'!H219+'2'!H219+'3'!H220+'4'!H220+'5'!H220+'6'!H220+'7'!H220+'8'!H220+'9'!H220+'10'!H220+'11'!H220+'12'!H222+'13'!H222+'14'!H222+'15'!H222+'16'!H219+'17'!H219+'18'!H219+'19'!H219+'20'!H219+'21'!H219+'22'!H219+'23'!H219+'24'!H219+'25'!H219+'26'!H219+'27'!H219+'28'!H219+'29'!H219+'30'!H219+'31'!H219</f>
        <v>0</v>
      </c>
      <c r="I219" s="48">
        <v>0</v>
      </c>
      <c r="J219" s="47" t="e">
        <f>+'1'!J219+'2'!J219+'3'!J220+'4'!J220+'5'!J220+'6'!J220+'7'!J220+'8'!J220+'9'!J220+'10'!J220+'11'!J220+'12'!J222+'13'!J222+'14'!J222+'15'!J222+'16'!J219+'17'!J219+'18'!J219+'19'!J219+'20'!J219+'21'!J219+'22'!J219+'23'!J219+'24'!J219+'25'!J219+'26'!J219+'27'!J219+'28'!J219+'29'!J219+'30'!J219+'31'!J219</f>
        <v>#VALUE!</v>
      </c>
      <c r="K219" s="20"/>
      <c r="M219" s="56"/>
      <c r="U219" s="5"/>
    </row>
    <row r="220" spans="1:21">
      <c r="A220" s="10">
        <v>216</v>
      </c>
      <c r="B220" s="11"/>
      <c r="C220" s="46">
        <v>0</v>
      </c>
      <c r="D220" s="47">
        <f>+'1'!D220+'2'!D220+'3'!D221+'4'!D221+'5'!D221+'6'!D221+'7'!D221+'8'!D221+'9'!D221+'10'!D221+'11'!D221+'12'!D223+'13'!D223+'14'!D223+'15'!D223+'16'!D220+'17'!D220+'18'!D220+'19'!D220+'20'!D220+'21'!D220+'22'!D220+'23'!D220+'24'!D220+'25'!D220+'26'!D220+'27'!D220+'28'!D220+'29'!D220+'30'!D220+'31'!D220</f>
        <v>0</v>
      </c>
      <c r="E220" s="46">
        <f t="shared" si="5"/>
        <v>0</v>
      </c>
      <c r="F220" s="47">
        <f>+'1'!F220+'2'!F220+'3'!F221+'4'!F221+'5'!F221+'6'!F221+'7'!F221+'8'!F221+'9'!F221+'10'!F221+'11'!F221+'12'!F223+'13'!F223+'14'!F223+'15'!F223+'16'!F220+'17'!F220+'18'!F220+'19'!F220+'20'!F220+'21'!F220+'22'!F220+'23'!F220+'24'!F220+'25'!F220+'26'!F220+'27'!F220+'28'!F220+'29'!F220+'30'!F220+'31'!F220</f>
        <v>0</v>
      </c>
      <c r="G220" s="46">
        <v>0</v>
      </c>
      <c r="H220" s="47">
        <f>+'1'!H220+'2'!H220+'3'!H221+'4'!H221+'5'!H221+'6'!H221+'7'!H221+'8'!H221+'9'!H221+'10'!H221+'11'!H221+'12'!H223+'13'!H223+'14'!H223+'15'!H223+'16'!H220+'17'!H220+'18'!H220+'19'!H220+'20'!H220+'21'!H220+'22'!H220+'23'!H220+'24'!H220+'25'!H220+'26'!H220+'27'!H220+'28'!H220+'29'!H220+'30'!H220+'31'!H220</f>
        <v>0</v>
      </c>
      <c r="I220" s="48">
        <v>0</v>
      </c>
      <c r="J220" s="47" t="e">
        <f>+'1'!J220+'2'!J220+'3'!J221+'4'!J221+'5'!J221+'6'!J221+'7'!J221+'8'!J221+'9'!J221+'10'!J221+'11'!J221+'12'!J223+'13'!J223+'14'!J223+'15'!J223+'16'!J220+'17'!J220+'18'!J220+'19'!J220+'20'!J220+'21'!J220+'22'!J220+'23'!J220+'24'!J220+'25'!J220+'26'!J220+'27'!J220+'28'!J220+'29'!J220+'30'!J220+'31'!J220</f>
        <v>#VALUE!</v>
      </c>
      <c r="K220" s="20"/>
      <c r="M220" s="56"/>
      <c r="U220" s="5"/>
    </row>
    <row r="221" spans="1:21">
      <c r="A221" s="10">
        <v>217</v>
      </c>
      <c r="B221" s="11"/>
      <c r="C221" s="46">
        <v>0</v>
      </c>
      <c r="D221" s="47">
        <f>+'1'!D221+'2'!D221+'3'!D222+'4'!D222+'5'!D222+'6'!D222+'7'!D222+'8'!D222+'9'!D222+'10'!D222+'11'!D222+'12'!D224+'13'!D224+'14'!D224+'15'!D224+'16'!D221+'17'!D221+'18'!D221+'19'!D221+'20'!D221+'21'!D221+'22'!D221+'23'!D221+'24'!D221+'25'!D221+'26'!D221+'27'!D221+'28'!D221+'29'!D221+'30'!D221+'31'!D221</f>
        <v>0</v>
      </c>
      <c r="E221" s="46">
        <f t="shared" si="5"/>
        <v>0</v>
      </c>
      <c r="F221" s="47">
        <f>+'1'!F221+'2'!F221+'3'!F222+'4'!F222+'5'!F222+'6'!F222+'7'!F222+'8'!F222+'9'!F222+'10'!F222+'11'!F222+'12'!F224+'13'!F224+'14'!F224+'15'!F224+'16'!F221+'17'!F221+'18'!F221+'19'!F221+'20'!F221+'21'!F221+'22'!F221+'23'!F221+'24'!F221+'25'!F221+'26'!F221+'27'!F221+'28'!F221+'29'!F221+'30'!F221+'31'!F221</f>
        <v>0</v>
      </c>
      <c r="G221" s="46">
        <v>0</v>
      </c>
      <c r="H221" s="47">
        <f>+'1'!H221+'2'!H221+'3'!H222+'4'!H222+'5'!H222+'6'!H222+'7'!H222+'8'!H222+'9'!H222+'10'!H222+'11'!H222+'12'!H224+'13'!H224+'14'!H224+'15'!H224+'16'!H221+'17'!H221+'18'!H221+'19'!H221+'20'!H221+'21'!H221+'22'!H221+'23'!H221+'24'!H221+'25'!H221+'26'!H221+'27'!H221+'28'!H221+'29'!H221+'30'!H221+'31'!H221</f>
        <v>0</v>
      </c>
      <c r="I221" s="48">
        <v>0</v>
      </c>
      <c r="J221" s="47">
        <f>+'1'!J221+'2'!J221+'3'!J222+'4'!J222+'5'!J222+'6'!J222+'7'!J222+'8'!J222+'9'!J222+'10'!J222+'11'!J222+'12'!J224+'13'!J224+'14'!J224+'15'!J224+'16'!J221+'17'!J221+'18'!J221+'19'!J221+'20'!J221+'21'!J221+'22'!J221+'23'!J221+'24'!J221+'25'!J221+'26'!J221+'27'!J221+'28'!J221+'29'!J221+'30'!J221+'31'!J221</f>
        <v>0</v>
      </c>
      <c r="K221" s="20"/>
      <c r="M221" s="56"/>
      <c r="U221" s="5"/>
    </row>
    <row r="222" spans="1:21">
      <c r="A222" s="10">
        <v>218</v>
      </c>
      <c r="B222" s="11"/>
      <c r="C222" s="46">
        <v>0</v>
      </c>
      <c r="D222" s="47">
        <f>+'1'!D222+'2'!D222+'3'!D223+'4'!D223+'5'!D223+'6'!D223+'7'!D223+'8'!D223+'9'!D223+'10'!D223+'11'!D223+'12'!D225+'13'!D225+'14'!D225+'15'!D225+'16'!D222+'17'!D222+'18'!D222+'19'!D222+'20'!D222+'21'!D222+'22'!D222+'23'!D222+'24'!D222+'25'!D222+'26'!D222+'27'!D222+'28'!D222+'29'!D222+'30'!D222+'31'!D222</f>
        <v>0</v>
      </c>
      <c r="E222" s="46">
        <f t="shared" si="5"/>
        <v>0</v>
      </c>
      <c r="F222" s="47">
        <f>+'1'!F222+'2'!F222+'3'!F223+'4'!F223+'5'!F223+'6'!F223+'7'!F223+'8'!F223+'9'!F223+'10'!F223+'11'!F223+'12'!F225+'13'!F225+'14'!F225+'15'!F225+'16'!F222+'17'!F222+'18'!F222+'19'!F222+'20'!F222+'21'!F222+'22'!F222+'23'!F222+'24'!F222+'25'!F222+'26'!F222+'27'!F222+'28'!F222+'29'!F222+'30'!F222+'31'!F222</f>
        <v>0</v>
      </c>
      <c r="G222" s="46">
        <v>0</v>
      </c>
      <c r="H222" s="47">
        <f>+'1'!H222+'2'!H222+'3'!H223+'4'!H223+'5'!H223+'6'!H223+'7'!H223+'8'!H223+'9'!H223+'10'!H223+'11'!H223+'12'!H225+'13'!H225+'14'!H225+'15'!H225+'16'!H222+'17'!H222+'18'!H222+'19'!H222+'20'!H222+'21'!H222+'22'!H222+'23'!H222+'24'!H222+'25'!H222+'26'!H222+'27'!H222+'28'!H222+'29'!H222+'30'!H222+'31'!H222</f>
        <v>0</v>
      </c>
      <c r="I222" s="48">
        <v>0</v>
      </c>
      <c r="J222" s="47">
        <f>+'1'!J222+'2'!J222+'3'!J223+'4'!J223+'5'!J223+'6'!J223+'7'!J223+'8'!J223+'9'!J223+'10'!J223+'11'!J223+'12'!J225+'13'!J225+'14'!J225+'15'!J225+'16'!J222+'17'!J222+'18'!J222+'19'!J222+'20'!J222+'21'!J222+'22'!J222+'23'!J222+'24'!J222+'25'!J222+'26'!J222+'27'!J222+'28'!J222+'29'!J222+'30'!J222+'31'!J222</f>
        <v>0</v>
      </c>
      <c r="K222" s="20"/>
      <c r="M222" s="56"/>
      <c r="U222" s="5"/>
    </row>
    <row r="223" spans="1:21">
      <c r="A223" s="10">
        <v>219</v>
      </c>
      <c r="B223" s="11"/>
      <c r="C223" s="46">
        <v>0</v>
      </c>
      <c r="D223" s="47">
        <f>+'1'!D223+'2'!D223+'3'!D224+'4'!D224+'5'!D224+'6'!D224+'7'!D224+'8'!D224+'9'!D224+'10'!D224+'11'!D224+'12'!D226+'13'!D226+'14'!D226+'15'!D226+'16'!D223+'17'!D223+'18'!D223+'19'!D223+'20'!D223+'21'!D223+'22'!D223+'23'!D223+'24'!D223+'25'!D223+'26'!D223+'27'!D223+'28'!D223+'29'!D223+'30'!D223+'31'!D223</f>
        <v>0</v>
      </c>
      <c r="E223" s="46">
        <f t="shared" si="5"/>
        <v>0</v>
      </c>
      <c r="F223" s="47">
        <f>+'1'!F223+'2'!F223+'3'!F224+'4'!F224+'5'!F224+'6'!F224+'7'!F224+'8'!F224+'9'!F224+'10'!F224+'11'!F224+'12'!F226+'13'!F226+'14'!F226+'15'!F226+'16'!F223+'17'!F223+'18'!F223+'19'!F223+'20'!F223+'21'!F223+'22'!F223+'23'!F223+'24'!F223+'25'!F223+'26'!F223+'27'!F223+'28'!F223+'29'!F223+'30'!F223+'31'!F223</f>
        <v>0</v>
      </c>
      <c r="G223" s="46">
        <v>0</v>
      </c>
      <c r="H223" s="47">
        <f>+'1'!H223+'2'!H223+'3'!H224+'4'!H224+'5'!H224+'6'!H224+'7'!H224+'8'!H224+'9'!H224+'10'!H224+'11'!H224+'12'!H226+'13'!H226+'14'!H226+'15'!H226+'16'!H223+'17'!H223+'18'!H223+'19'!H223+'20'!H223+'21'!H223+'22'!H223+'23'!H223+'24'!H223+'25'!H223+'26'!H223+'27'!H223+'28'!H223+'29'!H223+'30'!H223+'31'!H223</f>
        <v>0</v>
      </c>
      <c r="I223" s="48">
        <v>0</v>
      </c>
      <c r="J223" s="47">
        <f>+'1'!J223+'2'!J223+'3'!J224+'4'!J224+'5'!J224+'6'!J224+'7'!J224+'8'!J224+'9'!J224+'10'!J224+'11'!J224+'12'!J226+'13'!J226+'14'!J226+'15'!J226+'16'!J223+'17'!J223+'18'!J223+'19'!J223+'20'!J223+'21'!J223+'22'!J223+'23'!J223+'24'!J223+'25'!J223+'26'!J223+'27'!J223+'28'!J223+'29'!J223+'30'!J223+'31'!J223</f>
        <v>0</v>
      </c>
      <c r="K223" s="20"/>
      <c r="M223" s="56"/>
      <c r="U223" s="5"/>
    </row>
    <row r="224" spans="1:21">
      <c r="A224" s="10">
        <v>220</v>
      </c>
      <c r="B224" s="11"/>
      <c r="C224" s="46">
        <v>0</v>
      </c>
      <c r="D224" s="47">
        <f>+'1'!D224+'2'!D224+'3'!D225+'4'!D225+'5'!D225+'6'!D225+'7'!D225+'8'!D225+'9'!D225+'10'!D225+'11'!D225+'12'!D227+'13'!D227+'14'!D227+'15'!D227+'16'!D224+'17'!D224+'18'!D224+'19'!D224+'20'!D224+'21'!D224+'22'!D224+'23'!D224+'24'!D224+'25'!D224+'26'!D224+'27'!D224+'28'!D224+'29'!D224+'30'!D224+'31'!D224</f>
        <v>0</v>
      </c>
      <c r="E224" s="46">
        <f t="shared" si="5"/>
        <v>0</v>
      </c>
      <c r="F224" s="47">
        <f>+'1'!F224+'2'!F224+'3'!F225+'4'!F225+'5'!F225+'6'!F225+'7'!F225+'8'!F225+'9'!F225+'10'!F225+'11'!F225+'12'!F227+'13'!F227+'14'!F227+'15'!F227+'16'!F224+'17'!F224+'18'!F224+'19'!F224+'20'!F224+'21'!F224+'22'!F224+'23'!F224+'24'!F224+'25'!F224+'26'!F224+'27'!F224+'28'!F224+'29'!F224+'30'!F224+'31'!F224</f>
        <v>0</v>
      </c>
      <c r="G224" s="46">
        <v>0</v>
      </c>
      <c r="H224" s="47">
        <f>+'1'!H224+'2'!H224+'3'!H225+'4'!H225+'5'!H225+'6'!H225+'7'!H225+'8'!H225+'9'!H225+'10'!H225+'11'!H225+'12'!H227+'13'!H227+'14'!H227+'15'!H227+'16'!H224+'17'!H224+'18'!H224+'19'!H224+'20'!H224+'21'!H224+'22'!H224+'23'!H224+'24'!H224+'25'!H224+'26'!H224+'27'!H224+'28'!H224+'29'!H224+'30'!H224+'31'!H224</f>
        <v>0</v>
      </c>
      <c r="I224" s="48">
        <v>0</v>
      </c>
      <c r="J224" s="47">
        <f>+'1'!J224+'2'!J224+'3'!J225+'4'!J225+'5'!J225+'6'!J225+'7'!J225+'8'!J225+'9'!J225+'10'!J225+'11'!J225+'12'!J227+'13'!J227+'14'!J227+'15'!J227+'16'!J224+'17'!J224+'18'!J224+'19'!J224+'20'!J224+'21'!J224+'22'!J224+'23'!J224+'24'!J224+'25'!J224+'26'!J224+'27'!J224+'28'!J224+'29'!J224+'30'!J224+'31'!J224</f>
        <v>0</v>
      </c>
      <c r="K224" s="20"/>
      <c r="M224" s="56"/>
      <c r="U224" s="5"/>
    </row>
    <row r="225" spans="1:22" ht="29.25">
      <c r="A225" s="10">
        <v>233</v>
      </c>
      <c r="B225" s="20"/>
      <c r="C225" s="46"/>
      <c r="D225" s="47"/>
      <c r="E225" s="46"/>
      <c r="F225" s="47"/>
      <c r="G225" s="46"/>
      <c r="H225" s="47"/>
      <c r="I225" s="15"/>
      <c r="J225" s="47"/>
      <c r="K225" s="20"/>
      <c r="M225" s="56"/>
      <c r="U225" s="5"/>
      <c r="V225" s="57"/>
    </row>
    <row r="226" spans="1:22" s="57" customFormat="1" ht="27.75" customHeight="1">
      <c r="A226" s="109" t="s">
        <v>236</v>
      </c>
      <c r="B226" s="110"/>
      <c r="C226" s="110"/>
      <c r="D226" s="110"/>
      <c r="E226" s="110"/>
      <c r="F226" s="110"/>
      <c r="G226" s="110"/>
      <c r="H226" s="110"/>
      <c r="I226" s="110"/>
      <c r="J226" s="110"/>
      <c r="K226" s="111"/>
      <c r="M226" s="58"/>
      <c r="N226" s="58"/>
      <c r="O226" s="58"/>
      <c r="P226" s="59"/>
      <c r="Q226" s="59"/>
      <c r="R226" s="59"/>
      <c r="S226" s="59"/>
      <c r="T226" s="59"/>
      <c r="U226" s="5"/>
      <c r="V226" s="60"/>
    </row>
    <row r="227" spans="1:22" s="60" customFormat="1" ht="25.5" customHeight="1">
      <c r="A227" s="112" t="s">
        <v>237</v>
      </c>
      <c r="B227" s="113"/>
      <c r="C227" s="114" t="s">
        <v>253</v>
      </c>
      <c r="D227" s="115"/>
      <c r="E227" s="116" t="s">
        <v>238</v>
      </c>
      <c r="F227" s="117"/>
      <c r="G227" s="118" t="s">
        <v>239</v>
      </c>
      <c r="H227" s="118"/>
      <c r="I227" s="118"/>
      <c r="J227" s="61" t="e">
        <f>SUM(J5:J225)</f>
        <v>#VALUE!</v>
      </c>
      <c r="K227" s="62" t="s">
        <v>232</v>
      </c>
      <c r="M227" s="63"/>
      <c r="N227" s="63"/>
      <c r="O227" s="63"/>
      <c r="P227" s="63"/>
      <c r="Q227" s="63"/>
      <c r="R227" s="63"/>
      <c r="S227" s="63"/>
      <c r="T227" s="63"/>
      <c r="U227" s="5"/>
      <c r="V227" s="64"/>
    </row>
    <row r="228" spans="1:22" s="64" customFormat="1" ht="24.75" customHeight="1">
      <c r="A228" s="65" t="s">
        <v>240</v>
      </c>
      <c r="B228" s="66" t="e">
        <f>+J230</f>
        <v>#VALUE!</v>
      </c>
      <c r="C228" s="67" t="s">
        <v>241</v>
      </c>
      <c r="D228" s="68" t="e">
        <f>+J227</f>
        <v>#VALUE!</v>
      </c>
      <c r="E228" s="69" t="s">
        <v>230</v>
      </c>
      <c r="F228" s="70">
        <f>SUM(P36)</f>
        <v>225</v>
      </c>
      <c r="G228" s="126"/>
      <c r="H228" s="126"/>
      <c r="I228" s="126"/>
      <c r="J228" s="72"/>
      <c r="K228" s="72">
        <f>+R36</f>
        <v>13245</v>
      </c>
      <c r="M228" s="5"/>
      <c r="N228" s="5"/>
      <c r="O228" s="5"/>
      <c r="P228" s="5"/>
      <c r="Q228" s="5"/>
      <c r="R228" s="5"/>
      <c r="S228" s="5"/>
      <c r="T228" s="5"/>
      <c r="U228" s="5"/>
    </row>
    <row r="229" spans="1:22" s="64" customFormat="1" ht="24.75" customHeight="1">
      <c r="A229" s="65"/>
      <c r="B229" s="66"/>
      <c r="C229" s="67" t="s">
        <v>242</v>
      </c>
      <c r="D229" s="68">
        <f>K230</f>
        <v>4785</v>
      </c>
      <c r="E229" s="69"/>
      <c r="F229" s="73">
        <v>0</v>
      </c>
      <c r="G229" s="126" t="s">
        <v>243</v>
      </c>
      <c r="H229" s="126"/>
      <c r="I229" s="126"/>
      <c r="J229" s="72">
        <f>-O36</f>
        <v>0</v>
      </c>
      <c r="K229" s="72" t="s">
        <v>242</v>
      </c>
      <c r="M229" s="5"/>
      <c r="N229" s="5"/>
      <c r="O229" s="5"/>
      <c r="P229" s="5"/>
      <c r="Q229" s="5"/>
      <c r="R229" s="5"/>
      <c r="S229" s="5"/>
      <c r="T229" s="5"/>
      <c r="U229" s="5"/>
    </row>
    <row r="230" spans="1:22" s="64" customFormat="1" ht="24.75" customHeight="1">
      <c r="A230" s="74" t="s">
        <v>10</v>
      </c>
      <c r="B230" s="66">
        <f>+D229</f>
        <v>4785</v>
      </c>
      <c r="C230" s="67"/>
      <c r="D230" s="68"/>
      <c r="E230" s="69" t="s">
        <v>244</v>
      </c>
      <c r="F230" s="73">
        <f>+Q36</f>
        <v>289</v>
      </c>
      <c r="G230" s="127" t="s">
        <v>245</v>
      </c>
      <c r="H230" s="128"/>
      <c r="I230" s="129"/>
      <c r="J230" s="72" t="e">
        <f>+J227-J228</f>
        <v>#VALUE!</v>
      </c>
      <c r="K230" s="75">
        <f>+N36</f>
        <v>4785</v>
      </c>
      <c r="M230" s="76"/>
      <c r="N230" s="5"/>
      <c r="O230" s="5"/>
      <c r="P230" s="5"/>
      <c r="Q230" s="5"/>
      <c r="R230" s="5"/>
      <c r="S230" s="5"/>
      <c r="T230" s="5"/>
      <c r="U230" s="5"/>
    </row>
    <row r="231" spans="1:22" s="64" customFormat="1" ht="24.75" customHeight="1" thickBot="1">
      <c r="A231" s="77" t="s">
        <v>246</v>
      </c>
      <c r="B231" s="66" t="e">
        <f>B228-B230</f>
        <v>#VALUE!</v>
      </c>
      <c r="C231" s="67" t="s">
        <v>246</v>
      </c>
      <c r="D231" s="68" t="e">
        <f>+D228-D229</f>
        <v>#VALUE!</v>
      </c>
      <c r="E231" s="69" t="s">
        <v>247</v>
      </c>
      <c r="F231" s="73">
        <f>SUM(F228:F230)</f>
        <v>514</v>
      </c>
      <c r="G231" s="126" t="s">
        <v>216</v>
      </c>
      <c r="H231" s="126"/>
      <c r="I231" s="126"/>
      <c r="J231" s="72">
        <f>F231</f>
        <v>514</v>
      </c>
      <c r="K231" s="71"/>
      <c r="M231" s="5"/>
      <c r="N231" s="5"/>
      <c r="O231" s="5"/>
      <c r="P231" s="5"/>
      <c r="Q231" s="5"/>
      <c r="R231" s="5"/>
      <c r="S231" s="5"/>
      <c r="T231" s="5"/>
      <c r="U231" s="5"/>
    </row>
    <row r="232" spans="1:22" s="64" customFormat="1" ht="24.75" customHeight="1" thickTop="1">
      <c r="A232" s="78"/>
      <c r="B232" s="78"/>
      <c r="C232" s="67" t="s">
        <v>248</v>
      </c>
      <c r="D232" s="68">
        <v>100000</v>
      </c>
      <c r="G232" s="119" t="s">
        <v>218</v>
      </c>
      <c r="H232" s="120"/>
      <c r="I232" s="121"/>
      <c r="J232" s="72" t="e">
        <f>J230-J231-K228-K230</f>
        <v>#VALUE!</v>
      </c>
      <c r="K232" s="71"/>
      <c r="M232" s="76"/>
      <c r="N232" s="76"/>
      <c r="O232" s="5"/>
      <c r="P232" s="5"/>
      <c r="Q232" s="5"/>
      <c r="R232" s="5"/>
      <c r="S232" s="5"/>
      <c r="T232" s="5"/>
    </row>
    <row r="233" spans="1:22" s="64" customFormat="1" ht="24.75" customHeight="1">
      <c r="A233" s="78"/>
      <c r="B233" s="78"/>
      <c r="C233" s="67" t="s">
        <v>249</v>
      </c>
      <c r="D233" s="68" t="e">
        <f>D231-D232</f>
        <v>#VALUE!</v>
      </c>
      <c r="G233" s="119" t="s">
        <v>219</v>
      </c>
      <c r="H233" s="120"/>
      <c r="I233" s="121"/>
      <c r="J233" s="72">
        <f>+T36</f>
        <v>42826</v>
      </c>
      <c r="K233" s="71"/>
      <c r="M233" s="76"/>
      <c r="N233" s="5"/>
      <c r="O233" s="5"/>
      <c r="P233" s="5"/>
      <c r="Q233" s="5"/>
      <c r="R233" s="5"/>
      <c r="S233" s="5"/>
      <c r="T233" s="5"/>
    </row>
    <row r="234" spans="1:22" s="64" customFormat="1" ht="24.75" customHeight="1">
      <c r="A234" s="78"/>
      <c r="B234" s="78"/>
      <c r="C234" s="67" t="s">
        <v>250</v>
      </c>
      <c r="D234" s="68">
        <v>0</v>
      </c>
      <c r="G234" s="119" t="s">
        <v>220</v>
      </c>
      <c r="H234" s="120"/>
      <c r="I234" s="121"/>
      <c r="J234" s="72">
        <v>0</v>
      </c>
      <c r="K234" s="71"/>
      <c r="M234" s="76"/>
      <c r="N234" s="5"/>
      <c r="O234" s="5"/>
      <c r="P234" s="5"/>
      <c r="Q234" s="5"/>
      <c r="R234" s="5"/>
      <c r="S234" s="5"/>
      <c r="T234" s="5"/>
      <c r="U234" s="2"/>
      <c r="V234" s="2"/>
    </row>
    <row r="235" spans="1:22" ht="24.75" customHeight="1" thickBot="1">
      <c r="A235" s="78"/>
      <c r="B235" s="78"/>
      <c r="G235" s="122" t="s">
        <v>221</v>
      </c>
      <c r="H235" s="122"/>
      <c r="I235" s="122"/>
      <c r="J235" s="79" t="e">
        <f>+J233-J232</f>
        <v>#VALUE!</v>
      </c>
      <c r="K235" s="80"/>
    </row>
    <row r="236" spans="1:22" ht="24.75" customHeight="1" thickBot="1">
      <c r="F236" s="123" t="s">
        <v>251</v>
      </c>
      <c r="G236" s="124"/>
      <c r="H236" s="124"/>
      <c r="I236" s="124"/>
      <c r="J236" s="124"/>
      <c r="K236" s="125"/>
    </row>
    <row r="237" spans="1:22">
      <c r="D237" s="24"/>
    </row>
  </sheetData>
  <mergeCells count="33">
    <mergeCell ref="G234:I234"/>
    <mergeCell ref="G235:I235"/>
    <mergeCell ref="F236:K236"/>
    <mergeCell ref="G228:I228"/>
    <mergeCell ref="G229:I229"/>
    <mergeCell ref="G230:I230"/>
    <mergeCell ref="G231:I231"/>
    <mergeCell ref="G232:I232"/>
    <mergeCell ref="G233:I233"/>
    <mergeCell ref="S3:S4"/>
    <mergeCell ref="T3:T4"/>
    <mergeCell ref="U3:U4"/>
    <mergeCell ref="A226:K226"/>
    <mergeCell ref="A227:B227"/>
    <mergeCell ref="C227:D227"/>
    <mergeCell ref="E227:F227"/>
    <mergeCell ref="G227:I227"/>
    <mergeCell ref="M3:M4"/>
    <mergeCell ref="N3:N4"/>
    <mergeCell ref="O3:O4"/>
    <mergeCell ref="P3:P4"/>
    <mergeCell ref="Q3:Q4"/>
    <mergeCell ref="R3:R4"/>
    <mergeCell ref="A2:M2"/>
    <mergeCell ref="A3:A4"/>
    <mergeCell ref="B3:B4"/>
    <mergeCell ref="C3:C4"/>
    <mergeCell ref="D3:D4"/>
    <mergeCell ref="E3:E4"/>
    <mergeCell ref="G3:G4"/>
    <mergeCell ref="H3:J3"/>
    <mergeCell ref="K3:K4"/>
    <mergeCell ref="L3:L4"/>
  </mergeCells>
  <pageMargins left="0" right="0" top="0" bottom="0" header="0.31496062992125984" footer="0.31496062992125984"/>
  <pageSetup paperSize="9" scale="1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08AE-8C6C-49BD-86DA-435DA3BFE142}">
  <sheetPr>
    <tabColor theme="4" tint="0.79998168889431442"/>
  </sheetPr>
  <dimension ref="A1:AD291"/>
  <sheetViews>
    <sheetView topLeftCell="A76" zoomScaleNormal="100" workbookViewId="0">
      <selection activeCell="B202" sqref="B202:B203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B1"/>
      <c r="C1"/>
      <c r="D1"/>
      <c r="E1"/>
      <c r="F1"/>
      <c r="G1" s="2"/>
      <c r="H1"/>
      <c r="I1" s="2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81">
        <v>16</v>
      </c>
      <c r="D5" s="82">
        <v>0</v>
      </c>
      <c r="E5" s="81">
        <v>16</v>
      </c>
      <c r="F5" s="82">
        <v>0</v>
      </c>
      <c r="G5" s="81">
        <v>15</v>
      </c>
      <c r="H5" s="83">
        <v>1</v>
      </c>
      <c r="I5" s="15">
        <v>50</v>
      </c>
      <c r="J5" s="84">
        <v>50</v>
      </c>
      <c r="K5" s="17" t="s">
        <v>16</v>
      </c>
      <c r="L5" s="18">
        <v>0</v>
      </c>
      <c r="M5" s="24">
        <v>50</v>
      </c>
      <c r="N5"/>
      <c r="O5" s="10">
        <v>1</v>
      </c>
      <c r="P5" s="11"/>
      <c r="Q5" s="81">
        <v>0</v>
      </c>
      <c r="R5" s="82">
        <v>0</v>
      </c>
      <c r="S5" s="81">
        <v>0</v>
      </c>
      <c r="T5" s="82">
        <v>0</v>
      </c>
      <c r="U5" s="81">
        <v>0</v>
      </c>
      <c r="V5" s="83">
        <v>0</v>
      </c>
      <c r="W5" s="15"/>
      <c r="X5" s="84"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81">
        <v>71</v>
      </c>
      <c r="D6" s="82">
        <v>0</v>
      </c>
      <c r="E6" s="81">
        <v>71</v>
      </c>
      <c r="F6" s="82">
        <v>0</v>
      </c>
      <c r="G6" s="81">
        <v>71</v>
      </c>
      <c r="H6" s="83">
        <v>0</v>
      </c>
      <c r="I6" s="15">
        <v>100</v>
      </c>
      <c r="J6" s="84">
        <v>0</v>
      </c>
      <c r="K6" s="17" t="s">
        <v>16</v>
      </c>
      <c r="L6" s="18">
        <v>0</v>
      </c>
      <c r="M6" s="24">
        <v>0</v>
      </c>
      <c r="N6"/>
      <c r="O6" s="10">
        <v>2</v>
      </c>
      <c r="P6" s="11"/>
      <c r="Q6" s="81">
        <v>0</v>
      </c>
      <c r="R6" s="82">
        <v>0</v>
      </c>
      <c r="S6" s="81">
        <v>0</v>
      </c>
      <c r="T6" s="82">
        <v>0</v>
      </c>
      <c r="U6" s="81">
        <v>0</v>
      </c>
      <c r="V6" s="83">
        <v>0</v>
      </c>
      <c r="W6" s="15"/>
      <c r="X6" s="84"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81">
        <v>0</v>
      </c>
      <c r="D7" s="82">
        <v>0</v>
      </c>
      <c r="E7" s="81">
        <v>0</v>
      </c>
      <c r="F7" s="82">
        <v>0</v>
      </c>
      <c r="G7" s="81">
        <v>0</v>
      </c>
      <c r="H7" s="83">
        <v>0</v>
      </c>
      <c r="I7" s="15">
        <v>50</v>
      </c>
      <c r="J7" s="84">
        <v>0</v>
      </c>
      <c r="K7" s="17" t="s">
        <v>16</v>
      </c>
      <c r="L7" s="18">
        <v>0</v>
      </c>
      <c r="M7" s="24">
        <v>0</v>
      </c>
      <c r="N7"/>
      <c r="O7" s="10">
        <v>3</v>
      </c>
      <c r="P7" s="11"/>
      <c r="Q7" s="81">
        <v>0</v>
      </c>
      <c r="R7" s="82">
        <v>0</v>
      </c>
      <c r="S7" s="81">
        <v>0</v>
      </c>
      <c r="T7" s="82">
        <v>0</v>
      </c>
      <c r="U7" s="81">
        <v>0</v>
      </c>
      <c r="V7" s="83">
        <v>0</v>
      </c>
      <c r="W7" s="15"/>
      <c r="X7" s="84"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81">
        <v>0</v>
      </c>
      <c r="D8" s="82">
        <v>0</v>
      </c>
      <c r="E8" s="81">
        <v>0</v>
      </c>
      <c r="F8" s="82">
        <v>0</v>
      </c>
      <c r="G8" s="81">
        <v>0</v>
      </c>
      <c r="H8" s="83">
        <v>0</v>
      </c>
      <c r="I8" s="15">
        <v>100</v>
      </c>
      <c r="J8" s="84">
        <v>0</v>
      </c>
      <c r="K8" s="17" t="s">
        <v>16</v>
      </c>
      <c r="L8" s="18">
        <v>0</v>
      </c>
      <c r="M8" s="24">
        <v>0</v>
      </c>
      <c r="N8"/>
      <c r="O8" s="10">
        <v>4</v>
      </c>
      <c r="P8" s="11"/>
      <c r="Q8" s="81">
        <v>0</v>
      </c>
      <c r="R8" s="82">
        <v>0</v>
      </c>
      <c r="S8" s="81">
        <v>0</v>
      </c>
      <c r="T8" s="82">
        <v>0</v>
      </c>
      <c r="U8" s="81">
        <v>0</v>
      </c>
      <c r="V8" s="83">
        <v>0</v>
      </c>
      <c r="W8" s="85"/>
      <c r="X8" s="84"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81">
        <v>0</v>
      </c>
      <c r="D9" s="82">
        <v>0</v>
      </c>
      <c r="E9" s="81">
        <v>0</v>
      </c>
      <c r="F9" s="82">
        <v>0</v>
      </c>
      <c r="G9" s="81">
        <v>0</v>
      </c>
      <c r="H9" s="83">
        <v>0</v>
      </c>
      <c r="I9" s="15">
        <v>12</v>
      </c>
      <c r="J9" s="84">
        <v>0</v>
      </c>
      <c r="K9" s="17" t="s">
        <v>16</v>
      </c>
      <c r="L9" s="18">
        <v>0</v>
      </c>
      <c r="M9" s="24">
        <v>0</v>
      </c>
      <c r="N9"/>
      <c r="O9" s="10">
        <v>5</v>
      </c>
      <c r="P9" s="11"/>
      <c r="Q9" s="81">
        <v>0</v>
      </c>
      <c r="R9" s="82">
        <v>0</v>
      </c>
      <c r="S9" s="81">
        <v>0</v>
      </c>
      <c r="T9" s="82">
        <v>0</v>
      </c>
      <c r="U9" s="81">
        <v>0</v>
      </c>
      <c r="V9" s="83">
        <v>0</v>
      </c>
      <c r="W9" s="15"/>
      <c r="X9" s="84"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81">
        <v>0</v>
      </c>
      <c r="D10" s="82">
        <v>0</v>
      </c>
      <c r="E10" s="81">
        <v>0</v>
      </c>
      <c r="F10" s="82">
        <v>0</v>
      </c>
      <c r="G10" s="81">
        <v>0</v>
      </c>
      <c r="H10" s="83">
        <v>0</v>
      </c>
      <c r="I10" s="15">
        <v>15</v>
      </c>
      <c r="J10" s="84">
        <v>0</v>
      </c>
      <c r="K10" s="17" t="s">
        <v>16</v>
      </c>
      <c r="L10" s="18">
        <v>0</v>
      </c>
      <c r="M10" s="24">
        <v>0</v>
      </c>
      <c r="N10"/>
      <c r="O10" s="10">
        <v>6</v>
      </c>
      <c r="P10" s="11"/>
      <c r="Q10" s="81">
        <v>0</v>
      </c>
      <c r="R10" s="82">
        <v>0</v>
      </c>
      <c r="S10" s="81">
        <v>0</v>
      </c>
      <c r="T10" s="82">
        <v>0</v>
      </c>
      <c r="U10" s="81">
        <v>0</v>
      </c>
      <c r="V10" s="83">
        <v>0</v>
      </c>
      <c r="W10" s="85"/>
      <c r="X10" s="84"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81">
        <v>0</v>
      </c>
      <c r="D11" s="82">
        <v>0</v>
      </c>
      <c r="E11" s="81">
        <v>0</v>
      </c>
      <c r="F11" s="82">
        <v>0</v>
      </c>
      <c r="G11" s="81">
        <v>0</v>
      </c>
      <c r="H11" s="83">
        <v>0</v>
      </c>
      <c r="I11" s="15">
        <v>40</v>
      </c>
      <c r="J11" s="84">
        <v>0</v>
      </c>
      <c r="K11" s="17" t="s">
        <v>16</v>
      </c>
      <c r="L11" s="18">
        <v>0</v>
      </c>
      <c r="M11" s="24">
        <v>0</v>
      </c>
      <c r="N11"/>
      <c r="O11" s="10">
        <v>7</v>
      </c>
      <c r="P11" s="11"/>
      <c r="Q11" s="81">
        <v>0</v>
      </c>
      <c r="R11" s="82">
        <v>0</v>
      </c>
      <c r="S11" s="81">
        <v>0</v>
      </c>
      <c r="T11" s="82">
        <v>0</v>
      </c>
      <c r="U11" s="81">
        <v>0</v>
      </c>
      <c r="V11" s="83">
        <v>0</v>
      </c>
      <c r="W11" s="15"/>
      <c r="X11" s="84"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81">
        <v>25</v>
      </c>
      <c r="D12" s="82">
        <v>0</v>
      </c>
      <c r="E12" s="81">
        <v>25</v>
      </c>
      <c r="F12" s="82">
        <v>0</v>
      </c>
      <c r="G12" s="81">
        <v>25</v>
      </c>
      <c r="H12" s="83">
        <v>0</v>
      </c>
      <c r="I12" s="86">
        <v>50</v>
      </c>
      <c r="J12" s="84">
        <v>0</v>
      </c>
      <c r="K12" s="17" t="s">
        <v>16</v>
      </c>
      <c r="L12" s="18">
        <v>0</v>
      </c>
      <c r="M12" s="24">
        <v>0</v>
      </c>
      <c r="N12"/>
      <c r="O12" s="10">
        <v>8</v>
      </c>
      <c r="P12" s="11"/>
      <c r="Q12" s="81">
        <v>0</v>
      </c>
      <c r="R12" s="82">
        <v>0</v>
      </c>
      <c r="S12" s="81">
        <v>0</v>
      </c>
      <c r="T12" s="82">
        <v>0</v>
      </c>
      <c r="U12" s="81">
        <v>0</v>
      </c>
      <c r="V12" s="83">
        <v>0</v>
      </c>
      <c r="W12" s="85"/>
      <c r="X12" s="84"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81">
        <v>0</v>
      </c>
      <c r="D13" s="82">
        <v>0</v>
      </c>
      <c r="E13" s="81">
        <v>0</v>
      </c>
      <c r="F13" s="82">
        <v>0</v>
      </c>
      <c r="G13" s="81">
        <v>0</v>
      </c>
      <c r="H13" s="83">
        <v>0</v>
      </c>
      <c r="I13" s="86">
        <v>55</v>
      </c>
      <c r="J13" s="84">
        <v>0</v>
      </c>
      <c r="K13" s="17" t="s">
        <v>16</v>
      </c>
      <c r="L13" s="18">
        <v>0</v>
      </c>
      <c r="M13" s="24">
        <v>0</v>
      </c>
      <c r="N13"/>
      <c r="O13" s="10">
        <v>9</v>
      </c>
      <c r="P13" s="11"/>
      <c r="Q13" s="81">
        <v>0</v>
      </c>
      <c r="R13" s="82">
        <v>0</v>
      </c>
      <c r="S13" s="81">
        <v>0</v>
      </c>
      <c r="T13" s="82">
        <v>0</v>
      </c>
      <c r="U13" s="81">
        <v>0</v>
      </c>
      <c r="V13" s="83">
        <v>0</v>
      </c>
      <c r="W13" s="15"/>
      <c r="X13" s="84"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81">
        <v>4</v>
      </c>
      <c r="D14" s="82">
        <v>0</v>
      </c>
      <c r="E14" s="81">
        <v>4</v>
      </c>
      <c r="F14" s="82">
        <v>0</v>
      </c>
      <c r="G14" s="81">
        <v>4</v>
      </c>
      <c r="H14" s="83">
        <v>0</v>
      </c>
      <c r="I14" s="86">
        <v>65</v>
      </c>
      <c r="J14" s="84">
        <v>0</v>
      </c>
      <c r="K14" s="17" t="s">
        <v>16</v>
      </c>
      <c r="L14" s="18">
        <v>0</v>
      </c>
      <c r="M14" s="24">
        <v>0</v>
      </c>
      <c r="N14"/>
      <c r="O14" s="10">
        <v>10</v>
      </c>
      <c r="P14" s="11"/>
      <c r="Q14" s="81">
        <v>0</v>
      </c>
      <c r="R14" s="82">
        <v>0</v>
      </c>
      <c r="S14" s="81">
        <v>0</v>
      </c>
      <c r="T14" s="82">
        <v>0</v>
      </c>
      <c r="U14" s="81">
        <v>0</v>
      </c>
      <c r="V14" s="83">
        <v>0</v>
      </c>
      <c r="W14" s="15"/>
      <c r="X14" s="84"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81">
        <v>11</v>
      </c>
      <c r="D15" s="82">
        <v>0</v>
      </c>
      <c r="E15" s="81">
        <v>11</v>
      </c>
      <c r="F15" s="82">
        <v>0</v>
      </c>
      <c r="G15" s="81">
        <v>11</v>
      </c>
      <c r="H15" s="83">
        <v>0</v>
      </c>
      <c r="I15" s="86">
        <v>50</v>
      </c>
      <c r="J15" s="84">
        <v>0</v>
      </c>
      <c r="K15" s="17" t="s">
        <v>16</v>
      </c>
      <c r="L15" s="18">
        <v>0</v>
      </c>
      <c r="M15" s="24">
        <v>0</v>
      </c>
      <c r="N15"/>
      <c r="O15" s="10">
        <v>11</v>
      </c>
      <c r="P15" s="20"/>
      <c r="Q15" s="81">
        <v>0</v>
      </c>
      <c r="R15" s="82">
        <v>0</v>
      </c>
      <c r="S15" s="81">
        <v>0</v>
      </c>
      <c r="T15" s="82">
        <v>0</v>
      </c>
      <c r="U15" s="81">
        <v>0</v>
      </c>
      <c r="V15" s="83">
        <v>0</v>
      </c>
      <c r="W15" s="86"/>
      <c r="X15" s="84"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81">
        <v>0</v>
      </c>
      <c r="D16" s="82">
        <v>0</v>
      </c>
      <c r="E16" s="81">
        <v>0</v>
      </c>
      <c r="F16" s="82">
        <v>0</v>
      </c>
      <c r="G16" s="87">
        <v>0</v>
      </c>
      <c r="H16" s="83">
        <v>0</v>
      </c>
      <c r="I16" s="15">
        <v>50</v>
      </c>
      <c r="J16" s="84">
        <v>0</v>
      </c>
      <c r="K16" s="17" t="s">
        <v>16</v>
      </c>
      <c r="L16" s="18">
        <v>0</v>
      </c>
      <c r="M16" s="24">
        <v>0</v>
      </c>
      <c r="N16"/>
      <c r="O16" s="10">
        <v>12</v>
      </c>
      <c r="P16" s="11"/>
      <c r="Q16" s="81">
        <v>0</v>
      </c>
      <c r="R16" s="82">
        <v>0</v>
      </c>
      <c r="S16" s="81">
        <v>0</v>
      </c>
      <c r="T16" s="82">
        <v>0</v>
      </c>
      <c r="U16" s="81">
        <v>0</v>
      </c>
      <c r="V16" s="83">
        <v>0</v>
      </c>
      <c r="W16" s="85"/>
      <c r="X16" s="84"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81">
        <v>25</v>
      </c>
      <c r="D17" s="82">
        <v>0</v>
      </c>
      <c r="E17" s="81">
        <v>25</v>
      </c>
      <c r="F17" s="82">
        <v>0</v>
      </c>
      <c r="G17" s="81">
        <v>25</v>
      </c>
      <c r="H17" s="83">
        <v>0</v>
      </c>
      <c r="I17" s="15">
        <v>50</v>
      </c>
      <c r="J17" s="84">
        <v>0</v>
      </c>
      <c r="K17" s="17" t="s">
        <v>16</v>
      </c>
      <c r="L17" s="18">
        <v>0</v>
      </c>
      <c r="M17" s="24">
        <v>0</v>
      </c>
      <c r="N17"/>
      <c r="O17" s="10">
        <v>13</v>
      </c>
      <c r="P17" s="20"/>
      <c r="Q17" s="81">
        <v>0</v>
      </c>
      <c r="R17" s="82">
        <v>0</v>
      </c>
      <c r="S17" s="81">
        <v>0</v>
      </c>
      <c r="T17" s="82">
        <v>0</v>
      </c>
      <c r="U17" s="81">
        <v>0</v>
      </c>
      <c r="V17" s="83">
        <v>0</v>
      </c>
      <c r="W17" s="23"/>
      <c r="X17" s="84"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81">
        <v>0</v>
      </c>
      <c r="D18" s="82">
        <v>0</v>
      </c>
      <c r="E18" s="81">
        <v>0</v>
      </c>
      <c r="F18" s="82">
        <v>0</v>
      </c>
      <c r="G18" s="81">
        <v>0</v>
      </c>
      <c r="H18" s="83">
        <v>0</v>
      </c>
      <c r="I18" s="86">
        <v>50</v>
      </c>
      <c r="J18" s="84">
        <v>0</v>
      </c>
      <c r="K18" s="17" t="s">
        <v>16</v>
      </c>
      <c r="L18" s="18">
        <v>0</v>
      </c>
      <c r="M18" s="24">
        <v>0</v>
      </c>
      <c r="N18"/>
      <c r="O18" s="10">
        <v>14</v>
      </c>
      <c r="P18" s="20"/>
      <c r="Q18" s="81">
        <v>0</v>
      </c>
      <c r="R18" s="82">
        <v>0</v>
      </c>
      <c r="S18" s="81">
        <v>0</v>
      </c>
      <c r="T18" s="82">
        <v>0</v>
      </c>
      <c r="U18" s="81">
        <v>0</v>
      </c>
      <c r="V18" s="83">
        <v>0</v>
      </c>
      <c r="W18" s="86"/>
      <c r="X18" s="84"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81">
        <v>18</v>
      </c>
      <c r="D19" s="82">
        <v>0</v>
      </c>
      <c r="E19" s="81">
        <v>18</v>
      </c>
      <c r="F19" s="82">
        <v>0</v>
      </c>
      <c r="G19" s="81">
        <v>17</v>
      </c>
      <c r="H19" s="83">
        <v>1</v>
      </c>
      <c r="I19" s="15">
        <v>50</v>
      </c>
      <c r="J19" s="84">
        <v>50</v>
      </c>
      <c r="K19" s="17" t="s">
        <v>16</v>
      </c>
      <c r="L19" s="18">
        <v>0</v>
      </c>
      <c r="M19" s="24">
        <v>50</v>
      </c>
      <c r="N19"/>
      <c r="O19" s="10">
        <v>15</v>
      </c>
      <c r="P19" s="20"/>
      <c r="Q19" s="81">
        <v>0</v>
      </c>
      <c r="R19" s="82">
        <v>0</v>
      </c>
      <c r="S19" s="81">
        <v>0</v>
      </c>
      <c r="T19" s="82">
        <v>0</v>
      </c>
      <c r="U19" s="81">
        <v>0</v>
      </c>
      <c r="V19" s="83">
        <v>0</v>
      </c>
      <c r="W19" s="23"/>
      <c r="X19" s="84"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81">
        <v>0</v>
      </c>
      <c r="D20" s="82">
        <v>0</v>
      </c>
      <c r="E20" s="81">
        <v>0</v>
      </c>
      <c r="F20" s="82">
        <v>0</v>
      </c>
      <c r="G20" s="81">
        <v>0</v>
      </c>
      <c r="H20" s="83">
        <v>0</v>
      </c>
      <c r="I20" s="15">
        <v>50</v>
      </c>
      <c r="J20" s="84">
        <v>0</v>
      </c>
      <c r="K20" s="17" t="s">
        <v>16</v>
      </c>
      <c r="L20" s="18">
        <v>0</v>
      </c>
      <c r="M20" s="24">
        <v>0</v>
      </c>
      <c r="N20"/>
      <c r="O20" s="10">
        <v>16</v>
      </c>
      <c r="P20" s="20"/>
      <c r="Q20" s="81">
        <v>0</v>
      </c>
      <c r="R20" s="82">
        <v>0</v>
      </c>
      <c r="S20" s="81">
        <v>0</v>
      </c>
      <c r="T20" s="82">
        <v>0</v>
      </c>
      <c r="U20" s="81">
        <v>0</v>
      </c>
      <c r="V20" s="83">
        <v>0</v>
      </c>
      <c r="W20" s="23"/>
      <c r="X20" s="84"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81">
        <v>0</v>
      </c>
      <c r="D21" s="82">
        <v>0</v>
      </c>
      <c r="E21" s="81">
        <v>0</v>
      </c>
      <c r="F21" s="82">
        <v>0</v>
      </c>
      <c r="G21" s="81">
        <v>0</v>
      </c>
      <c r="H21" s="83">
        <v>0</v>
      </c>
      <c r="I21" s="15">
        <v>50</v>
      </c>
      <c r="J21" s="84">
        <v>0</v>
      </c>
      <c r="K21" s="17" t="s">
        <v>16</v>
      </c>
      <c r="L21" s="18">
        <v>0</v>
      </c>
      <c r="M21" s="24">
        <v>0</v>
      </c>
      <c r="N21"/>
      <c r="O21" s="10">
        <v>17</v>
      </c>
      <c r="P21" s="20"/>
      <c r="Q21" s="81">
        <v>0</v>
      </c>
      <c r="R21" s="82">
        <v>0</v>
      </c>
      <c r="S21" s="81">
        <v>0</v>
      </c>
      <c r="T21" s="82">
        <v>0</v>
      </c>
      <c r="U21" s="81">
        <v>0</v>
      </c>
      <c r="V21" s="83">
        <v>0</v>
      </c>
      <c r="W21" s="23"/>
      <c r="X21" s="84"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81">
        <v>3</v>
      </c>
      <c r="D22" s="82">
        <v>0</v>
      </c>
      <c r="E22" s="81">
        <v>3</v>
      </c>
      <c r="F22" s="82">
        <v>0</v>
      </c>
      <c r="G22" s="81">
        <v>3</v>
      </c>
      <c r="H22" s="83">
        <v>0</v>
      </c>
      <c r="I22" s="15">
        <v>85</v>
      </c>
      <c r="J22" s="84">
        <v>0</v>
      </c>
      <c r="K22" s="17" t="s">
        <v>16</v>
      </c>
      <c r="L22" s="18">
        <v>0</v>
      </c>
      <c r="M22" s="24">
        <v>0</v>
      </c>
      <c r="N22"/>
      <c r="O22" s="10">
        <v>18</v>
      </c>
      <c r="P22" s="20"/>
      <c r="Q22" s="81">
        <v>0</v>
      </c>
      <c r="R22" s="82">
        <v>0</v>
      </c>
      <c r="S22" s="81">
        <v>0</v>
      </c>
      <c r="T22" s="82">
        <v>0</v>
      </c>
      <c r="U22" s="81">
        <v>0</v>
      </c>
      <c r="V22" s="83">
        <v>0</v>
      </c>
      <c r="W22" s="23"/>
      <c r="X22" s="84"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81">
        <v>40</v>
      </c>
      <c r="D23" s="82">
        <v>0</v>
      </c>
      <c r="E23" s="81">
        <v>40</v>
      </c>
      <c r="F23" s="82">
        <v>1</v>
      </c>
      <c r="G23" s="81">
        <v>38</v>
      </c>
      <c r="H23" s="83">
        <v>1</v>
      </c>
      <c r="I23" s="15">
        <v>100</v>
      </c>
      <c r="J23" s="84">
        <v>100</v>
      </c>
      <c r="K23" s="17" t="s">
        <v>24</v>
      </c>
      <c r="L23" s="18">
        <v>0</v>
      </c>
      <c r="M23" s="24">
        <v>100</v>
      </c>
      <c r="N23"/>
      <c r="O23" s="10">
        <v>19</v>
      </c>
      <c r="P23" s="20"/>
      <c r="Q23" s="81">
        <v>0</v>
      </c>
      <c r="R23" s="82">
        <v>0</v>
      </c>
      <c r="S23" s="81">
        <v>0</v>
      </c>
      <c r="T23" s="82">
        <v>0</v>
      </c>
      <c r="U23" s="81">
        <v>0</v>
      </c>
      <c r="V23" s="83">
        <v>0</v>
      </c>
      <c r="W23" s="23"/>
      <c r="X23" s="84"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81">
        <v>20</v>
      </c>
      <c r="D24" s="82">
        <v>0</v>
      </c>
      <c r="E24" s="81">
        <v>20</v>
      </c>
      <c r="F24" s="82">
        <v>0</v>
      </c>
      <c r="G24" s="81">
        <v>20</v>
      </c>
      <c r="H24" s="83">
        <v>0</v>
      </c>
      <c r="I24" s="85">
        <v>100</v>
      </c>
      <c r="J24" s="84">
        <v>0</v>
      </c>
      <c r="K24" s="17" t="s">
        <v>16</v>
      </c>
      <c r="L24" s="18">
        <v>0</v>
      </c>
      <c r="M24" s="24">
        <v>0</v>
      </c>
      <c r="N24"/>
      <c r="O24" s="10">
        <v>20</v>
      </c>
      <c r="P24" s="20"/>
      <c r="Q24" s="81">
        <v>0</v>
      </c>
      <c r="R24" s="82">
        <v>0</v>
      </c>
      <c r="S24" s="81">
        <v>0</v>
      </c>
      <c r="T24" s="82">
        <v>0</v>
      </c>
      <c r="U24" s="81">
        <v>0</v>
      </c>
      <c r="V24" s="83">
        <v>0</v>
      </c>
      <c r="W24" s="86"/>
      <c r="X24" s="84"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81">
        <v>0</v>
      </c>
      <c r="D25" s="82">
        <v>0</v>
      </c>
      <c r="E25" s="81">
        <v>0</v>
      </c>
      <c r="F25" s="82">
        <v>0</v>
      </c>
      <c r="G25" s="81">
        <v>0</v>
      </c>
      <c r="H25" s="83">
        <v>0</v>
      </c>
      <c r="I25" s="85">
        <v>100</v>
      </c>
      <c r="J25" s="84">
        <v>0</v>
      </c>
      <c r="K25" s="17" t="s">
        <v>16</v>
      </c>
      <c r="L25" s="18">
        <v>0</v>
      </c>
      <c r="M25" s="24">
        <v>0</v>
      </c>
      <c r="N25"/>
      <c r="O25" s="10">
        <v>21</v>
      </c>
      <c r="P25" s="20"/>
      <c r="Q25" s="81">
        <v>0</v>
      </c>
      <c r="R25" s="82">
        <v>0</v>
      </c>
      <c r="S25" s="81">
        <v>0</v>
      </c>
      <c r="T25" s="82">
        <v>0</v>
      </c>
      <c r="U25" s="81">
        <v>0</v>
      </c>
      <c r="V25" s="83">
        <v>0</v>
      </c>
      <c r="W25" s="23"/>
      <c r="X25" s="84"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81">
        <v>0</v>
      </c>
      <c r="D26" s="82">
        <v>0</v>
      </c>
      <c r="E26" s="81">
        <v>0</v>
      </c>
      <c r="F26" s="82">
        <v>0</v>
      </c>
      <c r="G26" s="81">
        <v>0</v>
      </c>
      <c r="H26" s="83">
        <v>0</v>
      </c>
      <c r="I26" s="85">
        <v>100</v>
      </c>
      <c r="J26" s="84">
        <v>0</v>
      </c>
      <c r="K26" s="17" t="s">
        <v>16</v>
      </c>
      <c r="L26" s="18">
        <v>0</v>
      </c>
      <c r="M26" s="24">
        <v>0</v>
      </c>
      <c r="N26"/>
      <c r="O26" s="10">
        <v>22</v>
      </c>
      <c r="P26" s="20"/>
      <c r="Q26" s="81">
        <v>0</v>
      </c>
      <c r="R26" s="82">
        <v>0</v>
      </c>
      <c r="S26" s="81">
        <v>0</v>
      </c>
      <c r="T26" s="82">
        <v>0</v>
      </c>
      <c r="U26" s="81">
        <v>0</v>
      </c>
      <c r="V26" s="83">
        <v>0</v>
      </c>
      <c r="W26" s="86"/>
      <c r="X26" s="84"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81">
        <v>0</v>
      </c>
      <c r="D27" s="82">
        <v>0</v>
      </c>
      <c r="E27" s="81">
        <v>0</v>
      </c>
      <c r="F27" s="82">
        <v>0</v>
      </c>
      <c r="G27" s="81">
        <v>0</v>
      </c>
      <c r="H27" s="83">
        <v>0</v>
      </c>
      <c r="I27" s="86">
        <v>100</v>
      </c>
      <c r="J27" s="84">
        <v>0</v>
      </c>
      <c r="K27" s="17" t="s">
        <v>16</v>
      </c>
      <c r="L27" s="18">
        <v>0</v>
      </c>
      <c r="M27" s="24">
        <v>0</v>
      </c>
      <c r="N27"/>
      <c r="O27" s="10">
        <v>23</v>
      </c>
      <c r="P27" s="20"/>
      <c r="Q27" s="81">
        <v>0</v>
      </c>
      <c r="R27" s="82">
        <v>0</v>
      </c>
      <c r="S27" s="81">
        <v>0</v>
      </c>
      <c r="T27" s="82">
        <v>0</v>
      </c>
      <c r="U27" s="81">
        <v>0</v>
      </c>
      <c r="V27" s="83">
        <v>0</v>
      </c>
      <c r="W27" s="23"/>
      <c r="X27" s="84"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81">
        <v>0</v>
      </c>
      <c r="D28" s="82">
        <v>0</v>
      </c>
      <c r="E28" s="81">
        <v>0</v>
      </c>
      <c r="F28" s="82">
        <v>0</v>
      </c>
      <c r="G28" s="81">
        <v>0</v>
      </c>
      <c r="H28" s="83">
        <v>0</v>
      </c>
      <c r="I28" s="86">
        <v>100</v>
      </c>
      <c r="J28" s="84">
        <v>0</v>
      </c>
      <c r="K28" s="17" t="s">
        <v>16</v>
      </c>
      <c r="L28" s="18">
        <v>0</v>
      </c>
      <c r="M28" s="24">
        <v>0</v>
      </c>
      <c r="N28"/>
      <c r="O28" s="10">
        <v>24</v>
      </c>
      <c r="P28" s="20"/>
      <c r="Q28" s="81">
        <v>0</v>
      </c>
      <c r="R28" s="82">
        <v>0</v>
      </c>
      <c r="S28" s="81">
        <v>0</v>
      </c>
      <c r="T28" s="82">
        <v>0</v>
      </c>
      <c r="U28" s="81">
        <v>0</v>
      </c>
      <c r="V28" s="83">
        <v>0</v>
      </c>
      <c r="W28" s="23"/>
      <c r="X28" s="84"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81">
        <v>18</v>
      </c>
      <c r="D29" s="82">
        <v>0</v>
      </c>
      <c r="E29" s="81">
        <v>18</v>
      </c>
      <c r="F29" s="82">
        <v>0</v>
      </c>
      <c r="G29" s="81">
        <v>17</v>
      </c>
      <c r="H29" s="83">
        <v>1</v>
      </c>
      <c r="I29" s="15">
        <v>100</v>
      </c>
      <c r="J29" s="84">
        <v>100</v>
      </c>
      <c r="K29" s="17" t="s">
        <v>16</v>
      </c>
      <c r="L29" s="18">
        <v>0</v>
      </c>
      <c r="M29" s="24">
        <v>100</v>
      </c>
      <c r="N29"/>
      <c r="O29" s="10">
        <v>25</v>
      </c>
      <c r="P29" s="20"/>
      <c r="Q29" s="81">
        <v>0</v>
      </c>
      <c r="R29" s="82">
        <v>0</v>
      </c>
      <c r="S29" s="81">
        <v>0</v>
      </c>
      <c r="T29" s="82">
        <v>0</v>
      </c>
      <c r="U29" s="81">
        <v>0</v>
      </c>
      <c r="V29" s="83">
        <v>0</v>
      </c>
      <c r="W29" s="23"/>
      <c r="X29" s="84"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81">
        <v>0</v>
      </c>
      <c r="D30" s="82">
        <v>0</v>
      </c>
      <c r="E30" s="81">
        <v>0</v>
      </c>
      <c r="F30" s="82">
        <v>0</v>
      </c>
      <c r="G30" s="81">
        <v>0</v>
      </c>
      <c r="H30" s="83">
        <v>0</v>
      </c>
      <c r="I30" s="15">
        <v>100</v>
      </c>
      <c r="J30" s="84">
        <v>0</v>
      </c>
      <c r="K30" s="17" t="s">
        <v>16</v>
      </c>
      <c r="L30" s="18">
        <v>0</v>
      </c>
      <c r="M30" s="24">
        <v>0</v>
      </c>
      <c r="N30"/>
      <c r="O30" s="10">
        <v>26</v>
      </c>
      <c r="P30" s="20"/>
      <c r="Q30" s="81">
        <v>0</v>
      </c>
      <c r="R30" s="82">
        <v>0</v>
      </c>
      <c r="S30" s="81">
        <v>0</v>
      </c>
      <c r="T30" s="82">
        <v>0</v>
      </c>
      <c r="U30" s="81">
        <v>0</v>
      </c>
      <c r="V30" s="83">
        <v>0</v>
      </c>
      <c r="W30" s="86"/>
      <c r="X30" s="84"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81">
        <v>0</v>
      </c>
      <c r="D31" s="82">
        <v>0</v>
      </c>
      <c r="E31" s="81">
        <v>0</v>
      </c>
      <c r="F31" s="82">
        <v>0</v>
      </c>
      <c r="G31" s="81">
        <v>0</v>
      </c>
      <c r="H31" s="83">
        <v>0</v>
      </c>
      <c r="I31" s="15">
        <v>100</v>
      </c>
      <c r="J31" s="84">
        <v>0</v>
      </c>
      <c r="K31" s="17" t="s">
        <v>16</v>
      </c>
      <c r="L31" s="18">
        <v>0</v>
      </c>
      <c r="M31" s="24">
        <v>0</v>
      </c>
      <c r="N31"/>
      <c r="O31" s="10">
        <v>27</v>
      </c>
      <c r="P31" s="20"/>
      <c r="Q31" s="81">
        <v>0</v>
      </c>
      <c r="R31" s="82">
        <v>0</v>
      </c>
      <c r="S31" s="81">
        <v>0</v>
      </c>
      <c r="T31" s="82">
        <v>0</v>
      </c>
      <c r="U31" s="81">
        <v>0</v>
      </c>
      <c r="V31" s="83">
        <v>0</v>
      </c>
      <c r="W31" s="86"/>
      <c r="X31" s="84"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81">
        <v>0</v>
      </c>
      <c r="D32" s="82">
        <v>0</v>
      </c>
      <c r="E32" s="81">
        <v>0</v>
      </c>
      <c r="F32" s="82">
        <v>0</v>
      </c>
      <c r="G32" s="81">
        <v>0</v>
      </c>
      <c r="H32" s="83">
        <v>0</v>
      </c>
      <c r="I32" s="15">
        <v>130</v>
      </c>
      <c r="J32" s="84">
        <v>0</v>
      </c>
      <c r="K32" s="17" t="s">
        <v>16</v>
      </c>
      <c r="L32" s="18">
        <v>0</v>
      </c>
      <c r="M32" s="24">
        <v>0</v>
      </c>
      <c r="N32"/>
      <c r="O32" s="10">
        <v>28</v>
      </c>
      <c r="P32" s="20"/>
      <c r="Q32" s="81">
        <v>0</v>
      </c>
      <c r="R32" s="82">
        <v>0</v>
      </c>
      <c r="S32" s="81">
        <v>0</v>
      </c>
      <c r="T32" s="82">
        <v>0</v>
      </c>
      <c r="U32" s="81">
        <v>0</v>
      </c>
      <c r="V32" s="83">
        <v>0</v>
      </c>
      <c r="W32" s="86"/>
      <c r="X32" s="84"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81">
        <v>0</v>
      </c>
      <c r="D33" s="82">
        <v>0</v>
      </c>
      <c r="E33" s="81">
        <v>0</v>
      </c>
      <c r="F33" s="82">
        <v>0</v>
      </c>
      <c r="G33" s="81">
        <v>0</v>
      </c>
      <c r="H33" s="83">
        <v>0</v>
      </c>
      <c r="I33" s="15">
        <v>130</v>
      </c>
      <c r="J33" s="84">
        <v>0</v>
      </c>
      <c r="K33" s="17" t="s">
        <v>16</v>
      </c>
      <c r="L33" s="18">
        <v>0</v>
      </c>
      <c r="M33" s="24">
        <v>0</v>
      </c>
      <c r="N33"/>
      <c r="O33" s="10">
        <v>29</v>
      </c>
      <c r="P33" s="20"/>
      <c r="Q33" s="81">
        <v>0</v>
      </c>
      <c r="R33" s="82">
        <v>0</v>
      </c>
      <c r="S33" s="81">
        <v>0</v>
      </c>
      <c r="T33" s="82">
        <v>0</v>
      </c>
      <c r="U33" s="81">
        <v>0</v>
      </c>
      <c r="V33" s="83">
        <v>0</v>
      </c>
      <c r="W33" s="86"/>
      <c r="X33" s="84"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81">
        <v>3</v>
      </c>
      <c r="D34" s="82">
        <v>0</v>
      </c>
      <c r="E34" s="81">
        <v>3</v>
      </c>
      <c r="F34" s="82">
        <v>0</v>
      </c>
      <c r="G34" s="81">
        <v>2</v>
      </c>
      <c r="H34" s="83">
        <v>1</v>
      </c>
      <c r="I34" s="15">
        <v>130</v>
      </c>
      <c r="J34" s="84">
        <v>130</v>
      </c>
      <c r="K34" s="17" t="s">
        <v>16</v>
      </c>
      <c r="L34" s="18">
        <v>0</v>
      </c>
      <c r="M34" s="24">
        <v>130</v>
      </c>
      <c r="N34"/>
      <c r="O34" s="10">
        <v>30</v>
      </c>
      <c r="P34" s="20"/>
      <c r="Q34" s="81">
        <v>0</v>
      </c>
      <c r="R34" s="82">
        <v>0</v>
      </c>
      <c r="S34" s="81">
        <v>0</v>
      </c>
      <c r="T34" s="82">
        <v>0</v>
      </c>
      <c r="U34" s="81">
        <v>0</v>
      </c>
      <c r="V34" s="83">
        <v>0</v>
      </c>
      <c r="W34" s="23"/>
      <c r="X34" s="84"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81">
        <v>4</v>
      </c>
      <c r="D35" s="82">
        <v>0</v>
      </c>
      <c r="E35" s="81">
        <v>4</v>
      </c>
      <c r="F35" s="82">
        <v>0</v>
      </c>
      <c r="G35" s="81">
        <v>4</v>
      </c>
      <c r="H35" s="83">
        <v>0</v>
      </c>
      <c r="I35" s="15">
        <v>130</v>
      </c>
      <c r="J35" s="84">
        <v>0</v>
      </c>
      <c r="K35" s="17" t="s">
        <v>16</v>
      </c>
      <c r="L35" s="18">
        <v>0</v>
      </c>
      <c r="M35" s="24">
        <v>0</v>
      </c>
      <c r="N35"/>
      <c r="O35" s="10">
        <v>31</v>
      </c>
      <c r="P35" s="20"/>
      <c r="Q35" s="81">
        <v>0</v>
      </c>
      <c r="R35" s="82">
        <v>0</v>
      </c>
      <c r="S35" s="81">
        <v>0</v>
      </c>
      <c r="T35" s="82">
        <v>0</v>
      </c>
      <c r="U35" s="81">
        <v>0</v>
      </c>
      <c r="V35" s="83">
        <v>0</v>
      </c>
      <c r="W35" s="23"/>
      <c r="X35" s="84"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81">
        <v>0</v>
      </c>
      <c r="D36" s="82">
        <v>0</v>
      </c>
      <c r="E36" s="81">
        <v>0</v>
      </c>
      <c r="F36" s="82">
        <v>0</v>
      </c>
      <c r="G36" s="81">
        <v>0</v>
      </c>
      <c r="H36" s="83">
        <v>0</v>
      </c>
      <c r="I36" s="15">
        <v>100</v>
      </c>
      <c r="J36" s="84">
        <v>0</v>
      </c>
      <c r="K36" s="17" t="s">
        <v>16</v>
      </c>
      <c r="L36" s="18">
        <v>0</v>
      </c>
      <c r="M36" s="24">
        <v>0</v>
      </c>
      <c r="N36"/>
      <c r="O36" s="10">
        <v>32</v>
      </c>
      <c r="P36" s="20"/>
      <c r="Q36" s="81">
        <v>0</v>
      </c>
      <c r="R36" s="82">
        <v>0</v>
      </c>
      <c r="S36" s="81">
        <v>0</v>
      </c>
      <c r="T36" s="82">
        <v>0</v>
      </c>
      <c r="U36" s="81">
        <v>0</v>
      </c>
      <c r="V36" s="83">
        <v>0</v>
      </c>
      <c r="W36" s="23"/>
      <c r="X36" s="84"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81">
        <v>1</v>
      </c>
      <c r="D37" s="82">
        <v>0</v>
      </c>
      <c r="E37" s="81">
        <v>1</v>
      </c>
      <c r="F37" s="82">
        <v>0</v>
      </c>
      <c r="G37" s="81">
        <v>1</v>
      </c>
      <c r="H37" s="83">
        <v>0</v>
      </c>
      <c r="I37" s="15">
        <v>100</v>
      </c>
      <c r="J37" s="84">
        <v>0</v>
      </c>
      <c r="K37" s="17" t="s">
        <v>16</v>
      </c>
      <c r="L37" s="18">
        <v>0</v>
      </c>
      <c r="M37" s="24">
        <v>0</v>
      </c>
      <c r="N37"/>
      <c r="O37" s="10">
        <v>33</v>
      </c>
      <c r="P37" s="20"/>
      <c r="Q37" s="81">
        <v>0</v>
      </c>
      <c r="R37" s="82">
        <v>0</v>
      </c>
      <c r="S37" s="81">
        <v>0</v>
      </c>
      <c r="T37" s="82">
        <v>0</v>
      </c>
      <c r="U37" s="81">
        <v>0</v>
      </c>
      <c r="V37" s="83">
        <v>0</v>
      </c>
      <c r="W37" s="23"/>
      <c r="X37" s="84"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81">
        <v>7</v>
      </c>
      <c r="D38" s="82">
        <v>0</v>
      </c>
      <c r="E38" s="81">
        <v>7</v>
      </c>
      <c r="F38" s="82">
        <v>0</v>
      </c>
      <c r="G38" s="81">
        <v>3</v>
      </c>
      <c r="H38" s="83">
        <v>4</v>
      </c>
      <c r="I38" s="15">
        <v>50</v>
      </c>
      <c r="J38" s="84">
        <v>200</v>
      </c>
      <c r="K38" s="17" t="s">
        <v>16</v>
      </c>
      <c r="L38" s="18">
        <v>100</v>
      </c>
      <c r="M38" s="24">
        <v>100</v>
      </c>
      <c r="N38"/>
      <c r="O38" s="10">
        <v>34</v>
      </c>
      <c r="P38" s="20"/>
      <c r="Q38" s="81">
        <v>0</v>
      </c>
      <c r="R38" s="82">
        <v>0</v>
      </c>
      <c r="S38" s="81">
        <v>0</v>
      </c>
      <c r="T38" s="82">
        <v>0</v>
      </c>
      <c r="U38" s="81">
        <v>0</v>
      </c>
      <c r="V38" s="83">
        <v>0</v>
      </c>
      <c r="W38" s="23"/>
      <c r="X38" s="84"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81">
        <v>11</v>
      </c>
      <c r="D39" s="82">
        <v>0</v>
      </c>
      <c r="E39" s="81">
        <v>11</v>
      </c>
      <c r="F39" s="82">
        <v>0</v>
      </c>
      <c r="G39" s="81">
        <v>7</v>
      </c>
      <c r="H39" s="83">
        <v>4</v>
      </c>
      <c r="I39" s="15">
        <v>50</v>
      </c>
      <c r="J39" s="84">
        <v>200</v>
      </c>
      <c r="K39" s="17" t="s">
        <v>16</v>
      </c>
      <c r="L39" s="18">
        <v>100</v>
      </c>
      <c r="M39" s="24">
        <v>100</v>
      </c>
      <c r="N39"/>
      <c r="O39" s="10">
        <v>35</v>
      </c>
      <c r="P39" s="20"/>
      <c r="Q39" s="81">
        <v>0</v>
      </c>
      <c r="R39" s="82">
        <v>0</v>
      </c>
      <c r="S39" s="81">
        <v>0</v>
      </c>
      <c r="T39" s="82">
        <v>0</v>
      </c>
      <c r="U39" s="81">
        <v>0</v>
      </c>
      <c r="V39" s="83">
        <v>0</v>
      </c>
      <c r="W39" s="23"/>
      <c r="X39" s="84"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81">
        <v>10</v>
      </c>
      <c r="D40" s="82">
        <v>0</v>
      </c>
      <c r="E40" s="81">
        <v>10</v>
      </c>
      <c r="F40" s="82">
        <v>0</v>
      </c>
      <c r="G40" s="81">
        <v>3</v>
      </c>
      <c r="H40" s="83">
        <v>7</v>
      </c>
      <c r="I40" s="15">
        <v>50</v>
      </c>
      <c r="J40" s="84">
        <v>350</v>
      </c>
      <c r="K40" s="17" t="s">
        <v>16</v>
      </c>
      <c r="L40" s="18">
        <v>175</v>
      </c>
      <c r="M40" s="24">
        <v>175</v>
      </c>
      <c r="N40"/>
      <c r="O40" s="10">
        <v>36</v>
      </c>
      <c r="P40" s="20"/>
      <c r="Q40" s="81">
        <v>0</v>
      </c>
      <c r="R40" s="82">
        <v>0</v>
      </c>
      <c r="S40" s="81">
        <v>0</v>
      </c>
      <c r="T40" s="82">
        <v>0</v>
      </c>
      <c r="U40" s="81">
        <v>0</v>
      </c>
      <c r="V40" s="83">
        <v>0</v>
      </c>
      <c r="W40" s="23"/>
      <c r="X40" s="84"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81">
        <v>10</v>
      </c>
      <c r="D41" s="82">
        <v>0</v>
      </c>
      <c r="E41" s="81">
        <v>10</v>
      </c>
      <c r="F41" s="82">
        <v>5</v>
      </c>
      <c r="G41" s="81">
        <v>4</v>
      </c>
      <c r="H41" s="83">
        <v>1</v>
      </c>
      <c r="I41" s="15">
        <v>50</v>
      </c>
      <c r="J41" s="84">
        <v>50</v>
      </c>
      <c r="K41" s="17" t="s">
        <v>24</v>
      </c>
      <c r="L41" s="18">
        <v>0</v>
      </c>
      <c r="M41" s="24">
        <v>50</v>
      </c>
      <c r="N41"/>
      <c r="O41" s="10">
        <v>37</v>
      </c>
      <c r="P41" s="20"/>
      <c r="Q41" s="81">
        <v>0</v>
      </c>
      <c r="R41" s="82">
        <v>0</v>
      </c>
      <c r="S41" s="81">
        <v>0</v>
      </c>
      <c r="T41" s="82">
        <v>0</v>
      </c>
      <c r="U41" s="81">
        <v>0</v>
      </c>
      <c r="V41" s="83">
        <v>0</v>
      </c>
      <c r="W41" s="86"/>
      <c r="X41" s="84"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81">
        <v>10</v>
      </c>
      <c r="D42" s="82">
        <v>0</v>
      </c>
      <c r="E42" s="81">
        <v>10</v>
      </c>
      <c r="F42" s="82">
        <v>0</v>
      </c>
      <c r="G42" s="81">
        <v>10</v>
      </c>
      <c r="H42" s="83">
        <v>0</v>
      </c>
      <c r="I42" s="15">
        <v>50</v>
      </c>
      <c r="J42" s="84">
        <v>0</v>
      </c>
      <c r="K42" s="17" t="s">
        <v>16</v>
      </c>
      <c r="L42" s="18">
        <v>0</v>
      </c>
      <c r="M42" s="24">
        <v>0</v>
      </c>
      <c r="N42"/>
      <c r="O42" s="10">
        <v>38</v>
      </c>
      <c r="P42" s="20"/>
      <c r="Q42" s="81">
        <v>0</v>
      </c>
      <c r="R42" s="82">
        <v>0</v>
      </c>
      <c r="S42" s="81">
        <v>0</v>
      </c>
      <c r="T42" s="82">
        <v>0</v>
      </c>
      <c r="U42" s="81">
        <v>0</v>
      </c>
      <c r="V42" s="83">
        <v>0</v>
      </c>
      <c r="W42" s="86"/>
      <c r="X42" s="84"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81">
        <v>10</v>
      </c>
      <c r="D43" s="82">
        <v>0</v>
      </c>
      <c r="E43" s="81">
        <v>10</v>
      </c>
      <c r="F43" s="82">
        <v>5</v>
      </c>
      <c r="G43" s="81">
        <v>5</v>
      </c>
      <c r="H43" s="83">
        <v>0</v>
      </c>
      <c r="I43" s="15">
        <v>50</v>
      </c>
      <c r="J43" s="84">
        <v>0</v>
      </c>
      <c r="K43" s="17" t="s">
        <v>24</v>
      </c>
      <c r="L43" s="18">
        <v>0</v>
      </c>
      <c r="M43" s="24">
        <v>0</v>
      </c>
      <c r="N43"/>
      <c r="O43" s="10">
        <v>39</v>
      </c>
      <c r="P43" s="20"/>
      <c r="Q43" s="81">
        <v>0</v>
      </c>
      <c r="R43" s="82">
        <v>0</v>
      </c>
      <c r="S43" s="81">
        <v>0</v>
      </c>
      <c r="T43" s="82">
        <v>0</v>
      </c>
      <c r="U43" s="81">
        <v>0</v>
      </c>
      <c r="V43" s="83">
        <v>0</v>
      </c>
      <c r="W43" s="86"/>
      <c r="X43" s="84"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81">
        <v>7</v>
      </c>
      <c r="D44" s="82">
        <v>0</v>
      </c>
      <c r="E44" s="81">
        <v>7</v>
      </c>
      <c r="F44" s="82">
        <v>3</v>
      </c>
      <c r="G44" s="81">
        <v>4</v>
      </c>
      <c r="H44" s="83">
        <v>0</v>
      </c>
      <c r="I44" s="15">
        <v>50</v>
      </c>
      <c r="J44" s="84">
        <v>0</v>
      </c>
      <c r="K44" s="17" t="s">
        <v>24</v>
      </c>
      <c r="L44" s="18">
        <v>0</v>
      </c>
      <c r="M44" s="24">
        <v>0</v>
      </c>
      <c r="N44"/>
      <c r="O44" s="10">
        <v>40</v>
      </c>
      <c r="P44" s="20"/>
      <c r="Q44" s="81">
        <v>0</v>
      </c>
      <c r="R44" s="82">
        <v>0</v>
      </c>
      <c r="S44" s="81">
        <v>0</v>
      </c>
      <c r="T44" s="82">
        <v>0</v>
      </c>
      <c r="U44" s="81">
        <v>0</v>
      </c>
      <c r="V44" s="83">
        <v>0</v>
      </c>
      <c r="W44" s="86"/>
      <c r="X44" s="84"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81">
        <v>5</v>
      </c>
      <c r="D45" s="82">
        <v>0</v>
      </c>
      <c r="E45" s="81">
        <v>5</v>
      </c>
      <c r="F45" s="82">
        <v>0</v>
      </c>
      <c r="G45" s="81">
        <v>5</v>
      </c>
      <c r="H45" s="83">
        <v>0</v>
      </c>
      <c r="I45" s="15">
        <v>50</v>
      </c>
      <c r="J45" s="84">
        <v>0</v>
      </c>
      <c r="K45" s="17" t="s">
        <v>16</v>
      </c>
      <c r="L45" s="18">
        <v>0</v>
      </c>
      <c r="M45" s="24">
        <v>0</v>
      </c>
      <c r="N45"/>
      <c r="O45" s="10">
        <v>41</v>
      </c>
      <c r="P45" s="20"/>
      <c r="Q45" s="81">
        <v>0</v>
      </c>
      <c r="R45" s="82">
        <v>0</v>
      </c>
      <c r="S45" s="81">
        <v>0</v>
      </c>
      <c r="T45" s="82">
        <v>0</v>
      </c>
      <c r="U45" s="81">
        <v>0</v>
      </c>
      <c r="V45" s="83">
        <v>0</v>
      </c>
      <c r="W45" s="86"/>
      <c r="X45" s="84"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81">
        <v>10</v>
      </c>
      <c r="D46" s="82">
        <v>0</v>
      </c>
      <c r="E46" s="81">
        <v>10</v>
      </c>
      <c r="F46" s="82">
        <v>5</v>
      </c>
      <c r="G46" s="81">
        <v>5</v>
      </c>
      <c r="H46" s="83">
        <v>0</v>
      </c>
      <c r="I46" s="15">
        <v>50</v>
      </c>
      <c r="J46" s="84">
        <v>0</v>
      </c>
      <c r="K46" s="17" t="s">
        <v>24</v>
      </c>
      <c r="L46" s="18">
        <v>0</v>
      </c>
      <c r="M46" s="24">
        <v>0</v>
      </c>
      <c r="N46"/>
      <c r="O46" s="10">
        <v>42</v>
      </c>
      <c r="P46" s="20"/>
      <c r="Q46" s="81">
        <v>0</v>
      </c>
      <c r="R46" s="82">
        <v>0</v>
      </c>
      <c r="S46" s="81">
        <v>0</v>
      </c>
      <c r="T46" s="82">
        <v>0</v>
      </c>
      <c r="U46" s="81">
        <v>0</v>
      </c>
      <c r="V46" s="83">
        <v>0</v>
      </c>
      <c r="W46" s="86"/>
      <c r="X46" s="84"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81">
        <v>7</v>
      </c>
      <c r="D47" s="82">
        <v>1</v>
      </c>
      <c r="E47" s="81">
        <v>8</v>
      </c>
      <c r="F47" s="82">
        <v>0</v>
      </c>
      <c r="G47" s="81">
        <v>8</v>
      </c>
      <c r="H47" s="83">
        <v>0</v>
      </c>
      <c r="I47" s="15">
        <v>50</v>
      </c>
      <c r="J47" s="84">
        <v>0</v>
      </c>
      <c r="K47" s="17" t="s">
        <v>16</v>
      </c>
      <c r="L47" s="18">
        <v>0</v>
      </c>
      <c r="M47" s="24">
        <v>0</v>
      </c>
      <c r="N47"/>
      <c r="O47" s="10">
        <v>43</v>
      </c>
      <c r="P47" s="20"/>
      <c r="Q47" s="81">
        <v>0</v>
      </c>
      <c r="R47" s="82">
        <v>0</v>
      </c>
      <c r="S47" s="81">
        <v>0</v>
      </c>
      <c r="T47" s="82">
        <v>0</v>
      </c>
      <c r="U47" s="81">
        <v>0</v>
      </c>
      <c r="V47" s="83">
        <v>0</v>
      </c>
      <c r="W47" s="86"/>
      <c r="X47" s="84"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81">
        <v>8</v>
      </c>
      <c r="D48" s="82">
        <v>0</v>
      </c>
      <c r="E48" s="81">
        <v>8</v>
      </c>
      <c r="F48" s="82">
        <v>4</v>
      </c>
      <c r="G48" s="81">
        <v>4</v>
      </c>
      <c r="H48" s="83">
        <v>0</v>
      </c>
      <c r="I48" s="15">
        <v>50</v>
      </c>
      <c r="J48" s="84">
        <v>0</v>
      </c>
      <c r="K48" s="17" t="s">
        <v>24</v>
      </c>
      <c r="L48" s="18">
        <v>0</v>
      </c>
      <c r="M48" s="24">
        <v>0</v>
      </c>
      <c r="N48"/>
      <c r="O48" s="10">
        <v>44</v>
      </c>
      <c r="P48" s="20"/>
      <c r="Q48" s="81">
        <v>0</v>
      </c>
      <c r="R48" s="82">
        <v>0</v>
      </c>
      <c r="S48" s="81">
        <v>0</v>
      </c>
      <c r="T48" s="82">
        <v>0</v>
      </c>
      <c r="U48" s="81">
        <v>0</v>
      </c>
      <c r="V48" s="83">
        <v>0</v>
      </c>
      <c r="W48" s="86"/>
      <c r="X48" s="84"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81">
        <v>11</v>
      </c>
      <c r="D49" s="82">
        <v>0</v>
      </c>
      <c r="E49" s="81">
        <v>11</v>
      </c>
      <c r="F49" s="82">
        <v>0</v>
      </c>
      <c r="G49" s="81">
        <v>10</v>
      </c>
      <c r="H49" s="83">
        <v>1</v>
      </c>
      <c r="I49" s="15">
        <v>50</v>
      </c>
      <c r="J49" s="84">
        <v>50</v>
      </c>
      <c r="K49" s="17" t="s">
        <v>16</v>
      </c>
      <c r="L49" s="18">
        <v>0</v>
      </c>
      <c r="M49" s="24">
        <v>50</v>
      </c>
      <c r="N49"/>
      <c r="O49" s="10">
        <v>45</v>
      </c>
      <c r="P49" s="20"/>
      <c r="Q49" s="81">
        <v>0</v>
      </c>
      <c r="R49" s="82">
        <v>0</v>
      </c>
      <c r="S49" s="81">
        <v>0</v>
      </c>
      <c r="T49" s="82">
        <v>0</v>
      </c>
      <c r="U49" s="81">
        <v>0</v>
      </c>
      <c r="V49" s="83">
        <v>0</v>
      </c>
      <c r="W49" s="86"/>
      <c r="X49" s="84"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81">
        <v>0</v>
      </c>
      <c r="D50" s="82">
        <v>0</v>
      </c>
      <c r="E50" s="81">
        <v>0</v>
      </c>
      <c r="F50" s="82">
        <v>0</v>
      </c>
      <c r="G50" s="81">
        <v>0</v>
      </c>
      <c r="H50" s="83">
        <v>0</v>
      </c>
      <c r="I50" s="15">
        <v>120</v>
      </c>
      <c r="J50" s="84">
        <v>0</v>
      </c>
      <c r="K50" s="17" t="s">
        <v>16</v>
      </c>
      <c r="L50" s="18">
        <v>0</v>
      </c>
      <c r="M50" s="24">
        <v>0</v>
      </c>
      <c r="N50"/>
      <c r="O50" s="10">
        <v>46</v>
      </c>
      <c r="P50" s="20"/>
      <c r="Q50" s="81">
        <v>0</v>
      </c>
      <c r="R50" s="82">
        <v>0</v>
      </c>
      <c r="S50" s="81">
        <v>0</v>
      </c>
      <c r="T50" s="82">
        <v>0</v>
      </c>
      <c r="U50" s="81">
        <v>0</v>
      </c>
      <c r="V50" s="83">
        <v>0</v>
      </c>
      <c r="W50" s="86"/>
      <c r="X50" s="84"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81">
        <v>0</v>
      </c>
      <c r="D51" s="82">
        <v>0</v>
      </c>
      <c r="E51" s="81">
        <v>0</v>
      </c>
      <c r="F51" s="82">
        <v>0</v>
      </c>
      <c r="G51" s="81">
        <v>0</v>
      </c>
      <c r="H51" s="83">
        <v>0</v>
      </c>
      <c r="I51" s="15">
        <v>120</v>
      </c>
      <c r="J51" s="84">
        <v>0</v>
      </c>
      <c r="K51" s="17" t="s">
        <v>16</v>
      </c>
      <c r="L51" s="18">
        <v>0</v>
      </c>
      <c r="M51" s="24">
        <v>0</v>
      </c>
      <c r="N51"/>
      <c r="O51" s="10">
        <v>47</v>
      </c>
      <c r="P51" s="20"/>
      <c r="Q51" s="81">
        <v>0</v>
      </c>
      <c r="R51" s="82">
        <v>0</v>
      </c>
      <c r="S51" s="81">
        <v>0</v>
      </c>
      <c r="T51" s="82">
        <v>0</v>
      </c>
      <c r="U51" s="81">
        <v>0</v>
      </c>
      <c r="V51" s="83">
        <v>0</v>
      </c>
      <c r="W51" s="86"/>
      <c r="X51" s="84"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81">
        <v>0</v>
      </c>
      <c r="D52" s="82">
        <v>0</v>
      </c>
      <c r="E52" s="81">
        <v>0</v>
      </c>
      <c r="F52" s="82">
        <v>0</v>
      </c>
      <c r="G52" s="81">
        <v>0</v>
      </c>
      <c r="H52" s="83">
        <v>0</v>
      </c>
      <c r="I52" s="85">
        <v>120</v>
      </c>
      <c r="J52" s="84">
        <v>0</v>
      </c>
      <c r="K52" s="17" t="s">
        <v>16</v>
      </c>
      <c r="L52" s="18">
        <v>0</v>
      </c>
      <c r="M52" s="24">
        <v>0</v>
      </c>
      <c r="N52"/>
      <c r="O52" s="10">
        <v>48</v>
      </c>
      <c r="P52" s="20"/>
      <c r="Q52" s="81">
        <v>0</v>
      </c>
      <c r="R52" s="82">
        <v>0</v>
      </c>
      <c r="S52" s="81">
        <v>0</v>
      </c>
      <c r="T52" s="82">
        <v>0</v>
      </c>
      <c r="U52" s="81">
        <v>0</v>
      </c>
      <c r="V52" s="83">
        <v>0</v>
      </c>
      <c r="W52" s="86"/>
      <c r="X52" s="84"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81">
        <v>0</v>
      </c>
      <c r="D53" s="82">
        <v>0</v>
      </c>
      <c r="E53" s="81">
        <v>0</v>
      </c>
      <c r="F53" s="82">
        <v>0</v>
      </c>
      <c r="G53" s="81">
        <v>0</v>
      </c>
      <c r="H53" s="83">
        <v>0</v>
      </c>
      <c r="I53" s="15">
        <v>120</v>
      </c>
      <c r="J53" s="84">
        <v>0</v>
      </c>
      <c r="K53" s="17" t="s">
        <v>16</v>
      </c>
      <c r="L53" s="18">
        <v>0</v>
      </c>
      <c r="M53" s="24">
        <v>0</v>
      </c>
      <c r="N53"/>
      <c r="O53" s="10">
        <v>49</v>
      </c>
      <c r="P53" s="20"/>
      <c r="Q53" s="81">
        <v>0</v>
      </c>
      <c r="R53" s="82">
        <v>0</v>
      </c>
      <c r="S53" s="81">
        <v>0</v>
      </c>
      <c r="T53" s="82">
        <v>0</v>
      </c>
      <c r="U53" s="81">
        <v>0</v>
      </c>
      <c r="V53" s="83">
        <v>0</v>
      </c>
      <c r="W53" s="86"/>
      <c r="X53" s="84"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81">
        <v>0</v>
      </c>
      <c r="D54" s="82">
        <v>0</v>
      </c>
      <c r="E54" s="81">
        <v>0</v>
      </c>
      <c r="F54" s="82">
        <v>0</v>
      </c>
      <c r="G54" s="81">
        <v>0</v>
      </c>
      <c r="H54" s="83">
        <v>0</v>
      </c>
      <c r="I54" s="15">
        <v>120</v>
      </c>
      <c r="J54" s="84">
        <v>0</v>
      </c>
      <c r="K54" s="17" t="s">
        <v>16</v>
      </c>
      <c r="L54" s="18">
        <v>0</v>
      </c>
      <c r="M54" s="24">
        <v>0</v>
      </c>
      <c r="N54"/>
      <c r="O54" s="10">
        <v>50</v>
      </c>
      <c r="P54" s="20"/>
      <c r="Q54" s="81">
        <v>0</v>
      </c>
      <c r="R54" s="82">
        <v>0</v>
      </c>
      <c r="S54" s="81">
        <v>0</v>
      </c>
      <c r="T54" s="82">
        <v>0</v>
      </c>
      <c r="U54" s="81">
        <v>0</v>
      </c>
      <c r="V54" s="83">
        <v>0</v>
      </c>
      <c r="W54" s="86"/>
      <c r="X54" s="84"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81">
        <v>0</v>
      </c>
      <c r="D55" s="82">
        <v>0</v>
      </c>
      <c r="E55" s="81">
        <v>0</v>
      </c>
      <c r="F55" s="82">
        <v>0</v>
      </c>
      <c r="G55" s="81">
        <v>0</v>
      </c>
      <c r="H55" s="83">
        <v>0</v>
      </c>
      <c r="I55" s="85">
        <v>120</v>
      </c>
      <c r="J55" s="84">
        <v>0</v>
      </c>
      <c r="K55" s="17" t="s">
        <v>16</v>
      </c>
      <c r="L55" s="18">
        <v>0</v>
      </c>
      <c r="M55" s="24">
        <v>0</v>
      </c>
      <c r="N55"/>
      <c r="O55" s="10">
        <v>51</v>
      </c>
      <c r="P55" s="20"/>
      <c r="Q55" s="81">
        <v>0</v>
      </c>
      <c r="R55" s="82">
        <v>0</v>
      </c>
      <c r="S55" s="81">
        <v>0</v>
      </c>
      <c r="T55" s="82">
        <v>0</v>
      </c>
      <c r="U55" s="81">
        <v>0</v>
      </c>
      <c r="V55" s="83">
        <v>0</v>
      </c>
      <c r="W55" s="86"/>
      <c r="X55" s="84"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81">
        <v>0</v>
      </c>
      <c r="D56" s="82">
        <v>0</v>
      </c>
      <c r="E56" s="81">
        <v>0</v>
      </c>
      <c r="F56" s="82">
        <v>0</v>
      </c>
      <c r="G56" s="81">
        <v>0</v>
      </c>
      <c r="H56" s="83">
        <v>0</v>
      </c>
      <c r="I56" s="85">
        <v>120</v>
      </c>
      <c r="J56" s="84">
        <v>0</v>
      </c>
      <c r="K56" s="17" t="s">
        <v>16</v>
      </c>
      <c r="L56" s="18">
        <v>0</v>
      </c>
      <c r="M56" s="24">
        <v>0</v>
      </c>
      <c r="N56"/>
      <c r="O56" s="10">
        <v>52</v>
      </c>
      <c r="P56" s="20"/>
      <c r="Q56" s="81">
        <v>0</v>
      </c>
      <c r="R56" s="82">
        <v>0</v>
      </c>
      <c r="S56" s="81">
        <v>0</v>
      </c>
      <c r="T56" s="82">
        <v>0</v>
      </c>
      <c r="U56" s="81">
        <v>0</v>
      </c>
      <c r="V56" s="83">
        <v>0</v>
      </c>
      <c r="W56" s="86"/>
      <c r="X56" s="84"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81">
        <v>0</v>
      </c>
      <c r="D57" s="82">
        <v>0</v>
      </c>
      <c r="E57" s="81">
        <v>0</v>
      </c>
      <c r="F57" s="82">
        <v>0</v>
      </c>
      <c r="G57" s="81">
        <v>0</v>
      </c>
      <c r="H57" s="83">
        <v>0</v>
      </c>
      <c r="I57" s="85">
        <v>120</v>
      </c>
      <c r="J57" s="84">
        <v>0</v>
      </c>
      <c r="K57" s="17" t="s">
        <v>16</v>
      </c>
      <c r="L57" s="18">
        <v>0</v>
      </c>
      <c r="M57" s="24">
        <v>0</v>
      </c>
      <c r="N57"/>
      <c r="O57" s="10">
        <v>53</v>
      </c>
      <c r="P57" s="20"/>
      <c r="Q57" s="81">
        <v>0</v>
      </c>
      <c r="R57" s="82">
        <v>0</v>
      </c>
      <c r="S57" s="81">
        <v>0</v>
      </c>
      <c r="T57" s="82">
        <v>0</v>
      </c>
      <c r="U57" s="81">
        <v>0</v>
      </c>
      <c r="V57" s="83">
        <v>0</v>
      </c>
      <c r="W57" s="86"/>
      <c r="X57" s="84"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81">
        <v>0</v>
      </c>
      <c r="D58" s="82">
        <v>0</v>
      </c>
      <c r="E58" s="81">
        <v>0</v>
      </c>
      <c r="F58" s="82">
        <v>0</v>
      </c>
      <c r="G58" s="81">
        <v>0</v>
      </c>
      <c r="H58" s="83">
        <v>0</v>
      </c>
      <c r="I58" s="85">
        <v>120</v>
      </c>
      <c r="J58" s="84">
        <v>0</v>
      </c>
      <c r="K58" s="17" t="s">
        <v>16</v>
      </c>
      <c r="L58" s="18">
        <v>0</v>
      </c>
      <c r="M58" s="24">
        <v>0</v>
      </c>
      <c r="N58"/>
      <c r="O58" s="10">
        <v>54</v>
      </c>
      <c r="P58" s="20"/>
      <c r="Q58" s="81">
        <v>0</v>
      </c>
      <c r="R58" s="82">
        <v>0</v>
      </c>
      <c r="S58" s="81">
        <v>0</v>
      </c>
      <c r="T58" s="82">
        <v>0</v>
      </c>
      <c r="U58" s="81">
        <v>0</v>
      </c>
      <c r="V58" s="83">
        <v>0</v>
      </c>
      <c r="W58" s="86"/>
      <c r="X58" s="84"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81">
        <v>0</v>
      </c>
      <c r="D59" s="82">
        <v>0</v>
      </c>
      <c r="E59" s="81">
        <v>0</v>
      </c>
      <c r="F59" s="82">
        <v>0</v>
      </c>
      <c r="G59" s="81">
        <v>0</v>
      </c>
      <c r="H59" s="83">
        <v>0</v>
      </c>
      <c r="I59" s="15">
        <v>70</v>
      </c>
      <c r="J59" s="84">
        <v>0</v>
      </c>
      <c r="K59" s="17" t="s">
        <v>16</v>
      </c>
      <c r="L59" s="18">
        <v>0</v>
      </c>
      <c r="M59" s="24">
        <v>0</v>
      </c>
      <c r="N59"/>
      <c r="O59" s="10">
        <v>55</v>
      </c>
      <c r="P59" s="20"/>
      <c r="Q59" s="81">
        <v>0</v>
      </c>
      <c r="R59" s="82">
        <v>0</v>
      </c>
      <c r="S59" s="81">
        <v>0</v>
      </c>
      <c r="T59" s="82">
        <v>0</v>
      </c>
      <c r="U59" s="81">
        <v>0</v>
      </c>
      <c r="V59" s="83">
        <v>0</v>
      </c>
      <c r="W59" s="86"/>
      <c r="X59" s="84"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81">
        <v>0</v>
      </c>
      <c r="D60" s="82">
        <v>0</v>
      </c>
      <c r="E60" s="81">
        <v>0</v>
      </c>
      <c r="F60" s="82">
        <v>0</v>
      </c>
      <c r="G60" s="81">
        <v>0</v>
      </c>
      <c r="H60" s="83">
        <v>0</v>
      </c>
      <c r="I60" s="85">
        <v>80</v>
      </c>
      <c r="J60" s="84">
        <v>0</v>
      </c>
      <c r="K60" s="17" t="s">
        <v>16</v>
      </c>
      <c r="L60" s="18">
        <v>0</v>
      </c>
      <c r="M60" s="24">
        <v>0</v>
      </c>
      <c r="N60"/>
      <c r="O60" s="10">
        <v>56</v>
      </c>
      <c r="P60" s="20"/>
      <c r="Q60" s="81">
        <v>0</v>
      </c>
      <c r="R60" s="82">
        <v>0</v>
      </c>
      <c r="S60" s="81">
        <v>0</v>
      </c>
      <c r="T60" s="82">
        <v>0</v>
      </c>
      <c r="U60" s="81">
        <v>0</v>
      </c>
      <c r="V60" s="83">
        <v>0</v>
      </c>
      <c r="W60" s="86"/>
      <c r="X60" s="84"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81">
        <v>7</v>
      </c>
      <c r="D61" s="82">
        <v>0</v>
      </c>
      <c r="E61" s="81">
        <v>7</v>
      </c>
      <c r="F61" s="82">
        <v>0</v>
      </c>
      <c r="G61" s="81">
        <v>4</v>
      </c>
      <c r="H61" s="83">
        <v>3</v>
      </c>
      <c r="I61" s="15">
        <v>50</v>
      </c>
      <c r="J61" s="84">
        <v>150</v>
      </c>
      <c r="K61" s="17" t="s">
        <v>16</v>
      </c>
      <c r="L61" s="18">
        <v>75</v>
      </c>
      <c r="M61" s="24">
        <v>75</v>
      </c>
      <c r="N61"/>
      <c r="O61" s="10">
        <v>57</v>
      </c>
      <c r="P61" s="20"/>
      <c r="Q61" s="81">
        <v>0</v>
      </c>
      <c r="R61" s="82">
        <v>0</v>
      </c>
      <c r="S61" s="81">
        <v>0</v>
      </c>
      <c r="T61" s="82">
        <v>0</v>
      </c>
      <c r="U61" s="81">
        <v>0</v>
      </c>
      <c r="V61" s="83">
        <v>0</v>
      </c>
      <c r="W61" s="86"/>
      <c r="X61" s="84"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81">
        <v>6</v>
      </c>
      <c r="D62" s="82">
        <v>0</v>
      </c>
      <c r="E62" s="81">
        <v>6</v>
      </c>
      <c r="F62" s="82">
        <v>0</v>
      </c>
      <c r="G62" s="81">
        <v>4</v>
      </c>
      <c r="H62" s="83">
        <v>2</v>
      </c>
      <c r="I62" s="86">
        <v>50</v>
      </c>
      <c r="J62" s="84">
        <v>100</v>
      </c>
      <c r="K62" s="17" t="s">
        <v>16</v>
      </c>
      <c r="L62" s="18">
        <v>50</v>
      </c>
      <c r="M62" s="24">
        <v>50</v>
      </c>
      <c r="N62"/>
      <c r="O62" s="10">
        <v>58</v>
      </c>
      <c r="P62" s="20"/>
      <c r="Q62" s="81">
        <v>0</v>
      </c>
      <c r="R62" s="82">
        <v>0</v>
      </c>
      <c r="S62" s="81">
        <v>0</v>
      </c>
      <c r="T62" s="82">
        <v>0</v>
      </c>
      <c r="U62" s="81">
        <v>0</v>
      </c>
      <c r="V62" s="83">
        <v>0</v>
      </c>
      <c r="W62" s="86"/>
      <c r="X62" s="84"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81">
        <v>7</v>
      </c>
      <c r="D63" s="82">
        <v>0</v>
      </c>
      <c r="E63" s="81">
        <v>7</v>
      </c>
      <c r="F63" s="82">
        <v>0</v>
      </c>
      <c r="G63" s="81">
        <v>3</v>
      </c>
      <c r="H63" s="83">
        <v>4</v>
      </c>
      <c r="I63" s="86">
        <v>50</v>
      </c>
      <c r="J63" s="84">
        <v>200</v>
      </c>
      <c r="K63" s="17" t="s">
        <v>16</v>
      </c>
      <c r="L63" s="18">
        <v>100</v>
      </c>
      <c r="M63" s="24">
        <v>100</v>
      </c>
      <c r="N63"/>
      <c r="O63" s="10">
        <v>59</v>
      </c>
      <c r="P63" s="20"/>
      <c r="Q63" s="81">
        <v>0</v>
      </c>
      <c r="R63" s="82">
        <v>0</v>
      </c>
      <c r="S63" s="81">
        <v>0</v>
      </c>
      <c r="T63" s="82">
        <v>0</v>
      </c>
      <c r="U63" s="81">
        <v>0</v>
      </c>
      <c r="V63" s="83">
        <v>0</v>
      </c>
      <c r="W63" s="86"/>
      <c r="X63" s="84"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81">
        <v>0</v>
      </c>
      <c r="D64" s="82">
        <v>0</v>
      </c>
      <c r="E64" s="81">
        <v>0</v>
      </c>
      <c r="F64" s="82">
        <v>0</v>
      </c>
      <c r="G64" s="81">
        <v>0</v>
      </c>
      <c r="H64" s="83">
        <v>0</v>
      </c>
      <c r="I64" s="85">
        <v>30</v>
      </c>
      <c r="J64" s="84">
        <v>0</v>
      </c>
      <c r="K64" s="17" t="s">
        <v>16</v>
      </c>
      <c r="L64" s="18">
        <v>0</v>
      </c>
      <c r="M64" s="24">
        <v>0</v>
      </c>
      <c r="N64"/>
      <c r="O64" s="10">
        <v>60</v>
      </c>
      <c r="P64" s="20"/>
      <c r="Q64" s="81">
        <v>0</v>
      </c>
      <c r="R64" s="82">
        <v>0</v>
      </c>
      <c r="S64" s="81">
        <v>0</v>
      </c>
      <c r="T64" s="82">
        <v>0</v>
      </c>
      <c r="U64" s="81">
        <v>0</v>
      </c>
      <c r="V64" s="83">
        <v>0</v>
      </c>
      <c r="W64" s="86"/>
      <c r="X64" s="84"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81">
        <v>0</v>
      </c>
      <c r="D65" s="82">
        <v>0</v>
      </c>
      <c r="E65" s="81">
        <v>0</v>
      </c>
      <c r="F65" s="82">
        <v>0</v>
      </c>
      <c r="G65" s="81">
        <v>0</v>
      </c>
      <c r="H65" s="83">
        <v>0</v>
      </c>
      <c r="I65" s="85">
        <v>30</v>
      </c>
      <c r="J65" s="84">
        <v>0</v>
      </c>
      <c r="K65" s="17" t="s">
        <v>16</v>
      </c>
      <c r="L65" s="18">
        <v>0</v>
      </c>
      <c r="M65" s="24">
        <v>0</v>
      </c>
      <c r="N65"/>
      <c r="O65" s="10">
        <v>61</v>
      </c>
      <c r="P65" s="20"/>
      <c r="Q65" s="81">
        <v>0</v>
      </c>
      <c r="R65" s="82">
        <v>0</v>
      </c>
      <c r="S65" s="81">
        <v>0</v>
      </c>
      <c r="T65" s="82">
        <v>0</v>
      </c>
      <c r="U65" s="81">
        <v>0</v>
      </c>
      <c r="V65" s="83">
        <v>0</v>
      </c>
      <c r="W65" s="86"/>
      <c r="X65" s="84"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81">
        <v>0</v>
      </c>
      <c r="D66" s="82">
        <v>0</v>
      </c>
      <c r="E66" s="81">
        <v>0</v>
      </c>
      <c r="F66" s="82">
        <v>0</v>
      </c>
      <c r="G66" s="81">
        <v>0</v>
      </c>
      <c r="H66" s="83">
        <v>0</v>
      </c>
      <c r="I66" s="15">
        <v>50</v>
      </c>
      <c r="J66" s="84">
        <v>0</v>
      </c>
      <c r="K66" s="17" t="s">
        <v>16</v>
      </c>
      <c r="L66" s="18">
        <v>0</v>
      </c>
      <c r="M66" s="24">
        <v>0</v>
      </c>
      <c r="N66"/>
      <c r="O66" s="10">
        <v>62</v>
      </c>
      <c r="P66" s="20"/>
      <c r="Q66" s="81">
        <v>0</v>
      </c>
      <c r="R66" s="82">
        <v>0</v>
      </c>
      <c r="S66" s="81">
        <v>0</v>
      </c>
      <c r="T66" s="82">
        <v>0</v>
      </c>
      <c r="U66" s="81">
        <v>0</v>
      </c>
      <c r="V66" s="83">
        <v>0</v>
      </c>
      <c r="W66" s="86"/>
      <c r="X66" s="84"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81">
        <v>4</v>
      </c>
      <c r="D67" s="82">
        <v>0</v>
      </c>
      <c r="E67" s="81">
        <v>4</v>
      </c>
      <c r="F67" s="82">
        <v>0</v>
      </c>
      <c r="G67" s="81">
        <v>1</v>
      </c>
      <c r="H67" s="83">
        <v>3</v>
      </c>
      <c r="I67" s="15">
        <v>50</v>
      </c>
      <c r="J67" s="84">
        <v>150</v>
      </c>
      <c r="K67" s="17" t="s">
        <v>16</v>
      </c>
      <c r="L67" s="18">
        <v>75</v>
      </c>
      <c r="M67" s="24">
        <v>75</v>
      </c>
      <c r="N67"/>
      <c r="O67" s="10">
        <v>63</v>
      </c>
      <c r="P67" s="20"/>
      <c r="Q67" s="81">
        <v>0</v>
      </c>
      <c r="R67" s="82">
        <v>0</v>
      </c>
      <c r="S67" s="81">
        <v>0</v>
      </c>
      <c r="T67" s="82">
        <v>0</v>
      </c>
      <c r="U67" s="81">
        <v>0</v>
      </c>
      <c r="V67" s="83">
        <v>0</v>
      </c>
      <c r="W67" s="86"/>
      <c r="X67" s="84"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81">
        <v>0</v>
      </c>
      <c r="D68" s="82">
        <v>0</v>
      </c>
      <c r="E68" s="81">
        <v>0</v>
      </c>
      <c r="F68" s="82">
        <v>0</v>
      </c>
      <c r="G68" s="81">
        <v>0</v>
      </c>
      <c r="H68" s="83">
        <v>0</v>
      </c>
      <c r="I68" s="86">
        <v>35</v>
      </c>
      <c r="J68" s="84">
        <v>0</v>
      </c>
      <c r="K68" s="17" t="s">
        <v>16</v>
      </c>
      <c r="L68" s="18">
        <v>0</v>
      </c>
      <c r="M68" s="24">
        <v>0</v>
      </c>
      <c r="N68"/>
      <c r="O68" s="10">
        <v>64</v>
      </c>
      <c r="P68" s="20"/>
      <c r="Q68" s="81">
        <v>0</v>
      </c>
      <c r="R68" s="82">
        <v>0</v>
      </c>
      <c r="S68" s="81">
        <v>0</v>
      </c>
      <c r="T68" s="82">
        <v>0</v>
      </c>
      <c r="U68" s="81">
        <v>0</v>
      </c>
      <c r="V68" s="83">
        <v>0</v>
      </c>
      <c r="W68" s="86"/>
      <c r="X68" s="84"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81">
        <v>0</v>
      </c>
      <c r="D69" s="82">
        <v>0</v>
      </c>
      <c r="E69" s="81">
        <v>0</v>
      </c>
      <c r="F69" s="82">
        <v>0</v>
      </c>
      <c r="G69" s="81">
        <v>0</v>
      </c>
      <c r="H69" s="83">
        <v>0</v>
      </c>
      <c r="I69" s="86">
        <v>25</v>
      </c>
      <c r="J69" s="84">
        <v>0</v>
      </c>
      <c r="K69" s="17" t="s">
        <v>16</v>
      </c>
      <c r="L69" s="18">
        <v>0</v>
      </c>
      <c r="M69" s="24">
        <v>0</v>
      </c>
      <c r="N69"/>
      <c r="O69" s="10">
        <v>65</v>
      </c>
      <c r="P69" s="20"/>
      <c r="Q69" s="81">
        <v>0</v>
      </c>
      <c r="R69" s="82">
        <v>0</v>
      </c>
      <c r="S69" s="81">
        <v>0</v>
      </c>
      <c r="T69" s="82">
        <v>0</v>
      </c>
      <c r="U69" s="81">
        <v>0</v>
      </c>
      <c r="V69" s="83">
        <v>0</v>
      </c>
      <c r="W69" s="86"/>
      <c r="X69" s="84"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81">
        <v>4</v>
      </c>
      <c r="D70" s="82">
        <v>0</v>
      </c>
      <c r="E70" s="81">
        <v>4</v>
      </c>
      <c r="F70" s="82">
        <v>0</v>
      </c>
      <c r="G70" s="81">
        <v>0</v>
      </c>
      <c r="H70" s="83">
        <v>4</v>
      </c>
      <c r="I70" s="86">
        <v>50</v>
      </c>
      <c r="J70" s="84">
        <v>200</v>
      </c>
      <c r="K70" s="17" t="s">
        <v>16</v>
      </c>
      <c r="L70" s="18">
        <v>100</v>
      </c>
      <c r="M70" s="24">
        <v>100</v>
      </c>
      <c r="N70"/>
      <c r="O70" s="10">
        <v>66</v>
      </c>
      <c r="P70" s="20"/>
      <c r="Q70" s="81">
        <v>0</v>
      </c>
      <c r="R70" s="82">
        <v>0</v>
      </c>
      <c r="S70" s="81">
        <v>0</v>
      </c>
      <c r="T70" s="82">
        <v>0</v>
      </c>
      <c r="U70" s="81">
        <v>0</v>
      </c>
      <c r="V70" s="83">
        <v>0</v>
      </c>
      <c r="W70" s="86"/>
      <c r="X70" s="84"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81">
        <v>0</v>
      </c>
      <c r="D71" s="82">
        <v>0</v>
      </c>
      <c r="E71" s="81">
        <v>0</v>
      </c>
      <c r="F71" s="82">
        <v>0</v>
      </c>
      <c r="G71" s="81">
        <v>0</v>
      </c>
      <c r="H71" s="83">
        <v>0</v>
      </c>
      <c r="I71" s="86">
        <v>60</v>
      </c>
      <c r="J71" s="84">
        <v>0</v>
      </c>
      <c r="K71" s="17" t="s">
        <v>16</v>
      </c>
      <c r="L71" s="18">
        <v>0</v>
      </c>
      <c r="M71" s="24">
        <v>0</v>
      </c>
      <c r="N71"/>
      <c r="O71" s="10">
        <v>67</v>
      </c>
      <c r="P71" s="20"/>
      <c r="Q71" s="81">
        <v>0</v>
      </c>
      <c r="R71" s="82">
        <v>0</v>
      </c>
      <c r="S71" s="81">
        <v>0</v>
      </c>
      <c r="T71" s="82">
        <v>0</v>
      </c>
      <c r="U71" s="81">
        <v>0</v>
      </c>
      <c r="V71" s="83">
        <v>0</v>
      </c>
      <c r="W71" s="86"/>
      <c r="X71" s="84"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81">
        <v>0</v>
      </c>
      <c r="D72" s="82">
        <v>0</v>
      </c>
      <c r="E72" s="81">
        <v>0</v>
      </c>
      <c r="F72" s="82">
        <v>0</v>
      </c>
      <c r="G72" s="81">
        <v>0</v>
      </c>
      <c r="H72" s="83">
        <v>0</v>
      </c>
      <c r="I72" s="23">
        <v>50</v>
      </c>
      <c r="J72" s="84">
        <v>0</v>
      </c>
      <c r="K72" s="17" t="s">
        <v>16</v>
      </c>
      <c r="L72" s="18">
        <v>0</v>
      </c>
      <c r="M72" s="24">
        <v>0</v>
      </c>
      <c r="N72"/>
      <c r="O72" s="10">
        <v>68</v>
      </c>
      <c r="P72" s="20"/>
      <c r="Q72" s="81">
        <v>0</v>
      </c>
      <c r="R72" s="82">
        <v>0</v>
      </c>
      <c r="S72" s="81">
        <v>0</v>
      </c>
      <c r="T72" s="82">
        <v>0</v>
      </c>
      <c r="U72" s="81">
        <v>0</v>
      </c>
      <c r="V72" s="83">
        <v>0</v>
      </c>
      <c r="W72" s="86"/>
      <c r="X72" s="84"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81">
        <v>0</v>
      </c>
      <c r="D73" s="82">
        <v>0</v>
      </c>
      <c r="E73" s="81">
        <v>0</v>
      </c>
      <c r="F73" s="82">
        <v>0</v>
      </c>
      <c r="G73" s="81">
        <v>0</v>
      </c>
      <c r="H73" s="83">
        <v>0</v>
      </c>
      <c r="I73" s="86">
        <v>60</v>
      </c>
      <c r="J73" s="84">
        <v>0</v>
      </c>
      <c r="K73" s="17" t="s">
        <v>16</v>
      </c>
      <c r="L73" s="18">
        <v>0</v>
      </c>
      <c r="M73" s="24">
        <v>0</v>
      </c>
      <c r="N73"/>
      <c r="O73" s="10">
        <v>69</v>
      </c>
      <c r="P73" s="20"/>
      <c r="Q73" s="81">
        <v>0</v>
      </c>
      <c r="R73" s="82">
        <v>0</v>
      </c>
      <c r="S73" s="81">
        <v>0</v>
      </c>
      <c r="T73" s="82">
        <v>0</v>
      </c>
      <c r="U73" s="81">
        <v>0</v>
      </c>
      <c r="V73" s="83">
        <v>0</v>
      </c>
      <c r="W73" s="86"/>
      <c r="X73" s="84"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81">
        <v>0</v>
      </c>
      <c r="D74" s="82">
        <v>0</v>
      </c>
      <c r="E74" s="81">
        <v>0</v>
      </c>
      <c r="F74" s="82">
        <v>0</v>
      </c>
      <c r="G74" s="81">
        <v>0</v>
      </c>
      <c r="H74" s="83">
        <v>0</v>
      </c>
      <c r="I74" s="23">
        <v>120</v>
      </c>
      <c r="J74" s="84">
        <v>0</v>
      </c>
      <c r="K74" s="17" t="s">
        <v>16</v>
      </c>
      <c r="L74" s="18">
        <v>0</v>
      </c>
      <c r="M74" s="24">
        <v>0</v>
      </c>
      <c r="N74"/>
      <c r="O74" s="10">
        <v>70</v>
      </c>
      <c r="P74" s="20"/>
      <c r="Q74" s="81">
        <v>0</v>
      </c>
      <c r="R74" s="82">
        <v>0</v>
      </c>
      <c r="S74" s="81">
        <v>0</v>
      </c>
      <c r="T74" s="82">
        <v>0</v>
      </c>
      <c r="U74" s="81">
        <v>0</v>
      </c>
      <c r="V74" s="83">
        <v>0</v>
      </c>
      <c r="W74" s="86"/>
      <c r="X74" s="84"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81">
        <v>0</v>
      </c>
      <c r="D75" s="82">
        <v>0</v>
      </c>
      <c r="E75" s="81">
        <v>0</v>
      </c>
      <c r="F75" s="82">
        <v>0</v>
      </c>
      <c r="G75" s="81">
        <v>0</v>
      </c>
      <c r="H75" s="83">
        <v>0</v>
      </c>
      <c r="I75" s="23">
        <v>60</v>
      </c>
      <c r="J75" s="84">
        <v>0</v>
      </c>
      <c r="K75" s="17" t="s">
        <v>16</v>
      </c>
      <c r="L75" s="18">
        <v>0</v>
      </c>
      <c r="M75" s="24">
        <v>0</v>
      </c>
      <c r="N75"/>
      <c r="O75" s="10">
        <v>71</v>
      </c>
      <c r="P75" s="20"/>
      <c r="Q75" s="81">
        <v>0</v>
      </c>
      <c r="R75" s="82">
        <v>0</v>
      </c>
      <c r="S75" s="81">
        <v>0</v>
      </c>
      <c r="T75" s="82">
        <v>0</v>
      </c>
      <c r="U75" s="81">
        <v>0</v>
      </c>
      <c r="V75" s="83">
        <v>0</v>
      </c>
      <c r="W75" s="86"/>
      <c r="X75" s="84"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81">
        <v>0</v>
      </c>
      <c r="D76" s="82">
        <v>0</v>
      </c>
      <c r="E76" s="81">
        <v>0</v>
      </c>
      <c r="F76" s="82">
        <v>0</v>
      </c>
      <c r="G76" s="81">
        <v>0</v>
      </c>
      <c r="H76" s="83">
        <v>0</v>
      </c>
      <c r="I76" s="23">
        <v>120</v>
      </c>
      <c r="J76" s="84">
        <v>0</v>
      </c>
      <c r="K76" s="17" t="s">
        <v>16</v>
      </c>
      <c r="L76" s="18">
        <v>0</v>
      </c>
      <c r="M76" s="24">
        <v>0</v>
      </c>
      <c r="N76"/>
      <c r="O76" s="10">
        <v>72</v>
      </c>
      <c r="P76" s="20"/>
      <c r="Q76" s="81">
        <v>0</v>
      </c>
      <c r="R76" s="82">
        <v>0</v>
      </c>
      <c r="S76" s="81">
        <v>0</v>
      </c>
      <c r="T76" s="82">
        <v>0</v>
      </c>
      <c r="U76" s="81">
        <v>0</v>
      </c>
      <c r="V76" s="83">
        <v>0</v>
      </c>
      <c r="W76" s="86"/>
      <c r="X76" s="84"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81">
        <v>0</v>
      </c>
      <c r="D77" s="82">
        <v>5</v>
      </c>
      <c r="E77" s="81">
        <v>5</v>
      </c>
      <c r="F77" s="82">
        <v>0</v>
      </c>
      <c r="G77" s="81">
        <v>5</v>
      </c>
      <c r="H77" s="83">
        <v>0</v>
      </c>
      <c r="I77" s="86">
        <v>50</v>
      </c>
      <c r="J77" s="84">
        <v>0</v>
      </c>
      <c r="K77" s="17" t="s">
        <v>16</v>
      </c>
      <c r="L77" s="18">
        <v>0</v>
      </c>
      <c r="M77" s="24">
        <v>0</v>
      </c>
      <c r="N77"/>
      <c r="O77" s="10">
        <v>73</v>
      </c>
      <c r="P77" s="20"/>
      <c r="Q77" s="81">
        <v>0</v>
      </c>
      <c r="R77" s="82">
        <v>0</v>
      </c>
      <c r="S77" s="81">
        <v>0</v>
      </c>
      <c r="T77" s="82">
        <v>0</v>
      </c>
      <c r="U77" s="81">
        <v>0</v>
      </c>
      <c r="V77" s="83">
        <v>0</v>
      </c>
      <c r="W77" s="86"/>
      <c r="X77" s="84"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81">
        <v>0</v>
      </c>
      <c r="D78" s="82">
        <v>0</v>
      </c>
      <c r="E78" s="81">
        <v>0</v>
      </c>
      <c r="F78" s="82">
        <v>0</v>
      </c>
      <c r="G78" s="81">
        <v>0</v>
      </c>
      <c r="H78" s="83">
        <v>0</v>
      </c>
      <c r="I78" s="23">
        <v>120</v>
      </c>
      <c r="J78" s="84">
        <v>0</v>
      </c>
      <c r="K78" s="17" t="s">
        <v>16</v>
      </c>
      <c r="L78" s="18">
        <v>0</v>
      </c>
      <c r="M78" s="24">
        <v>0</v>
      </c>
      <c r="N78"/>
      <c r="O78" s="10">
        <v>74</v>
      </c>
      <c r="P78" s="20"/>
      <c r="Q78" s="81">
        <v>0</v>
      </c>
      <c r="R78" s="82">
        <v>0</v>
      </c>
      <c r="S78" s="81">
        <v>0</v>
      </c>
      <c r="T78" s="82">
        <v>0</v>
      </c>
      <c r="U78" s="81">
        <v>0</v>
      </c>
      <c r="V78" s="83">
        <v>0</v>
      </c>
      <c r="W78" s="86"/>
      <c r="X78" s="84"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81">
        <v>4</v>
      </c>
      <c r="D79" s="82">
        <v>0</v>
      </c>
      <c r="E79" s="81">
        <v>4</v>
      </c>
      <c r="F79" s="82">
        <v>0</v>
      </c>
      <c r="G79" s="81">
        <v>1</v>
      </c>
      <c r="H79" s="83">
        <v>3</v>
      </c>
      <c r="I79" s="23">
        <v>50</v>
      </c>
      <c r="J79" s="84">
        <v>150</v>
      </c>
      <c r="K79" s="17" t="s">
        <v>16</v>
      </c>
      <c r="L79" s="18">
        <v>75</v>
      </c>
      <c r="M79" s="24">
        <v>75</v>
      </c>
      <c r="N79"/>
      <c r="O79" s="10">
        <v>75</v>
      </c>
      <c r="P79" s="20"/>
      <c r="Q79" s="81">
        <v>0</v>
      </c>
      <c r="R79" s="82">
        <v>0</v>
      </c>
      <c r="S79" s="81">
        <v>0</v>
      </c>
      <c r="T79" s="82">
        <v>0</v>
      </c>
      <c r="U79" s="81">
        <v>0</v>
      </c>
      <c r="V79" s="83">
        <v>0</v>
      </c>
      <c r="W79" s="86"/>
      <c r="X79" s="84"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81">
        <v>0</v>
      </c>
      <c r="D80" s="82">
        <v>0</v>
      </c>
      <c r="E80" s="81">
        <v>0</v>
      </c>
      <c r="F80" s="82">
        <v>0</v>
      </c>
      <c r="G80" s="81">
        <v>0</v>
      </c>
      <c r="H80" s="83">
        <v>0</v>
      </c>
      <c r="I80" s="23">
        <v>50</v>
      </c>
      <c r="J80" s="84">
        <v>0</v>
      </c>
      <c r="K80" s="17" t="s">
        <v>16</v>
      </c>
      <c r="L80" s="18">
        <v>0</v>
      </c>
      <c r="M80" s="24">
        <v>0</v>
      </c>
      <c r="N80"/>
      <c r="O80" s="10">
        <v>76</v>
      </c>
      <c r="P80" s="20"/>
      <c r="Q80" s="81">
        <v>0</v>
      </c>
      <c r="R80" s="82">
        <v>0</v>
      </c>
      <c r="S80" s="81">
        <v>0</v>
      </c>
      <c r="T80" s="82">
        <v>0</v>
      </c>
      <c r="U80" s="81">
        <v>0</v>
      </c>
      <c r="V80" s="83">
        <v>0</v>
      </c>
      <c r="W80" s="86"/>
      <c r="X80" s="84"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81">
        <v>0</v>
      </c>
      <c r="D81" s="82">
        <v>0</v>
      </c>
      <c r="E81" s="81">
        <v>0</v>
      </c>
      <c r="F81" s="82">
        <v>0</v>
      </c>
      <c r="G81" s="81">
        <v>0</v>
      </c>
      <c r="H81" s="83">
        <v>0</v>
      </c>
      <c r="I81" s="86">
        <v>55</v>
      </c>
      <c r="J81" s="84">
        <v>0</v>
      </c>
      <c r="K81" s="17" t="s">
        <v>16</v>
      </c>
      <c r="L81" s="18">
        <v>0</v>
      </c>
      <c r="M81" s="24">
        <v>0</v>
      </c>
      <c r="N81"/>
      <c r="O81" s="10">
        <v>77</v>
      </c>
      <c r="P81" s="20"/>
      <c r="Q81" s="81">
        <v>0</v>
      </c>
      <c r="R81" s="82">
        <v>0</v>
      </c>
      <c r="S81" s="81">
        <v>0</v>
      </c>
      <c r="T81" s="82">
        <v>0</v>
      </c>
      <c r="U81" s="81">
        <v>0</v>
      </c>
      <c r="V81" s="83">
        <v>0</v>
      </c>
      <c r="W81" s="86"/>
      <c r="X81" s="84"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81">
        <v>0</v>
      </c>
      <c r="D82" s="82">
        <v>0</v>
      </c>
      <c r="E82" s="81">
        <v>0</v>
      </c>
      <c r="F82" s="82">
        <v>0</v>
      </c>
      <c r="G82" s="81">
        <v>0</v>
      </c>
      <c r="H82" s="83">
        <v>0</v>
      </c>
      <c r="I82" s="23">
        <v>55</v>
      </c>
      <c r="J82" s="84">
        <v>0</v>
      </c>
      <c r="K82" s="17" t="s">
        <v>16</v>
      </c>
      <c r="L82" s="18">
        <v>0</v>
      </c>
      <c r="M82" s="24">
        <v>0</v>
      </c>
      <c r="N82"/>
      <c r="O82" s="10">
        <v>78</v>
      </c>
      <c r="P82" s="20"/>
      <c r="Q82" s="81">
        <v>0</v>
      </c>
      <c r="R82" s="82">
        <v>0</v>
      </c>
      <c r="S82" s="81">
        <v>0</v>
      </c>
      <c r="T82" s="82">
        <v>0</v>
      </c>
      <c r="U82" s="81">
        <v>0</v>
      </c>
      <c r="V82" s="83">
        <v>0</v>
      </c>
      <c r="W82" s="86"/>
      <c r="X82" s="84"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81">
        <v>0</v>
      </c>
      <c r="D83" s="82">
        <v>0</v>
      </c>
      <c r="E83" s="81">
        <v>0</v>
      </c>
      <c r="F83" s="82">
        <v>0</v>
      </c>
      <c r="G83" s="81">
        <v>0</v>
      </c>
      <c r="H83" s="83">
        <v>0</v>
      </c>
      <c r="I83" s="23">
        <v>55</v>
      </c>
      <c r="J83" s="84">
        <v>0</v>
      </c>
      <c r="K83" s="17" t="s">
        <v>16</v>
      </c>
      <c r="L83" s="18">
        <v>0</v>
      </c>
      <c r="M83" s="24">
        <v>0</v>
      </c>
      <c r="N83"/>
      <c r="O83" s="10">
        <v>79</v>
      </c>
      <c r="P83" s="20"/>
      <c r="Q83" s="81">
        <v>0</v>
      </c>
      <c r="R83" s="82">
        <v>0</v>
      </c>
      <c r="S83" s="81">
        <v>0</v>
      </c>
      <c r="T83" s="82">
        <v>0</v>
      </c>
      <c r="U83" s="81">
        <v>0</v>
      </c>
      <c r="V83" s="83">
        <v>0</v>
      </c>
      <c r="W83" s="86"/>
      <c r="X83" s="84"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81">
        <v>0</v>
      </c>
      <c r="D84" s="82">
        <v>0</v>
      </c>
      <c r="E84" s="81">
        <v>0</v>
      </c>
      <c r="F84" s="82">
        <v>0</v>
      </c>
      <c r="G84" s="81">
        <v>0</v>
      </c>
      <c r="H84" s="83">
        <v>0</v>
      </c>
      <c r="I84" s="23">
        <v>55</v>
      </c>
      <c r="J84" s="84">
        <v>0</v>
      </c>
      <c r="K84" s="17" t="s">
        <v>16</v>
      </c>
      <c r="L84" s="18">
        <v>0</v>
      </c>
      <c r="M84" s="24">
        <v>0</v>
      </c>
      <c r="N84"/>
      <c r="O84" s="10">
        <v>80</v>
      </c>
      <c r="P84" s="20"/>
      <c r="Q84" s="81">
        <v>0</v>
      </c>
      <c r="R84" s="82">
        <v>0</v>
      </c>
      <c r="S84" s="81">
        <v>0</v>
      </c>
      <c r="T84" s="82">
        <v>0</v>
      </c>
      <c r="U84" s="81">
        <v>0</v>
      </c>
      <c r="V84" s="83">
        <v>0</v>
      </c>
      <c r="W84" s="86"/>
      <c r="X84" s="84"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81">
        <v>11</v>
      </c>
      <c r="D85" s="82">
        <v>0</v>
      </c>
      <c r="E85" s="81">
        <v>11</v>
      </c>
      <c r="F85" s="82">
        <v>0</v>
      </c>
      <c r="G85" s="81">
        <v>11</v>
      </c>
      <c r="H85" s="83">
        <v>0</v>
      </c>
      <c r="I85" s="23">
        <v>100</v>
      </c>
      <c r="J85" s="84">
        <v>0</v>
      </c>
      <c r="K85" s="17" t="s">
        <v>16</v>
      </c>
      <c r="L85" s="18">
        <v>0</v>
      </c>
      <c r="M85" s="24">
        <v>0</v>
      </c>
      <c r="N85"/>
      <c r="O85" s="10">
        <v>81</v>
      </c>
      <c r="P85" s="20"/>
      <c r="Q85" s="81">
        <v>0</v>
      </c>
      <c r="R85" s="82">
        <v>0</v>
      </c>
      <c r="S85" s="81">
        <v>0</v>
      </c>
      <c r="T85" s="82">
        <v>0</v>
      </c>
      <c r="U85" s="81">
        <v>0</v>
      </c>
      <c r="V85" s="83">
        <v>0</v>
      </c>
      <c r="W85" s="86"/>
      <c r="X85" s="84"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81">
        <v>1</v>
      </c>
      <c r="D86" s="82">
        <v>0</v>
      </c>
      <c r="E86" s="81">
        <v>1</v>
      </c>
      <c r="F86" s="82">
        <v>0</v>
      </c>
      <c r="G86" s="81">
        <v>1</v>
      </c>
      <c r="H86" s="83">
        <v>0</v>
      </c>
      <c r="I86" s="86">
        <v>55</v>
      </c>
      <c r="J86" s="84">
        <v>0</v>
      </c>
      <c r="K86" s="17" t="s">
        <v>16</v>
      </c>
      <c r="L86" s="18">
        <v>0</v>
      </c>
      <c r="M86" s="24">
        <v>0</v>
      </c>
      <c r="N86"/>
      <c r="O86" s="10">
        <v>82</v>
      </c>
      <c r="P86" s="20"/>
      <c r="Q86" s="81">
        <v>0</v>
      </c>
      <c r="R86" s="82">
        <v>0</v>
      </c>
      <c r="S86" s="81">
        <v>0</v>
      </c>
      <c r="T86" s="82">
        <v>0</v>
      </c>
      <c r="U86" s="81">
        <v>0</v>
      </c>
      <c r="V86" s="83">
        <v>0</v>
      </c>
      <c r="W86" s="86"/>
      <c r="X86" s="84"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81">
        <v>6</v>
      </c>
      <c r="D87" s="82">
        <v>0</v>
      </c>
      <c r="E87" s="81">
        <v>6</v>
      </c>
      <c r="F87" s="82">
        <v>0</v>
      </c>
      <c r="G87" s="81">
        <v>5</v>
      </c>
      <c r="H87" s="83">
        <v>1</v>
      </c>
      <c r="I87" s="86">
        <v>60</v>
      </c>
      <c r="J87" s="84">
        <v>60</v>
      </c>
      <c r="K87" s="17" t="s">
        <v>16</v>
      </c>
      <c r="L87" s="18">
        <v>0</v>
      </c>
      <c r="M87" s="24">
        <v>60</v>
      </c>
      <c r="N87"/>
      <c r="O87" s="10">
        <v>83</v>
      </c>
      <c r="P87" s="20"/>
      <c r="Q87" s="81">
        <v>0</v>
      </c>
      <c r="R87" s="82">
        <v>0</v>
      </c>
      <c r="S87" s="81">
        <v>0</v>
      </c>
      <c r="T87" s="82">
        <v>0</v>
      </c>
      <c r="U87" s="81">
        <v>0</v>
      </c>
      <c r="V87" s="83">
        <v>0</v>
      </c>
      <c r="W87" s="86"/>
      <c r="X87" s="84"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81">
        <v>7</v>
      </c>
      <c r="D88" s="82">
        <v>0</v>
      </c>
      <c r="E88" s="81">
        <v>7</v>
      </c>
      <c r="F88" s="82">
        <v>0</v>
      </c>
      <c r="G88" s="81">
        <v>7</v>
      </c>
      <c r="H88" s="83">
        <v>0</v>
      </c>
      <c r="I88" s="86">
        <v>100</v>
      </c>
      <c r="J88" s="84">
        <v>0</v>
      </c>
      <c r="K88" s="17" t="s">
        <v>16</v>
      </c>
      <c r="L88" s="18">
        <v>0</v>
      </c>
      <c r="M88" s="24">
        <v>0</v>
      </c>
      <c r="N88"/>
      <c r="O88" s="10">
        <v>84</v>
      </c>
      <c r="P88" s="20"/>
      <c r="Q88" s="81">
        <v>0</v>
      </c>
      <c r="R88" s="82">
        <v>0</v>
      </c>
      <c r="S88" s="81">
        <v>0</v>
      </c>
      <c r="T88" s="82">
        <v>0</v>
      </c>
      <c r="U88" s="81">
        <v>0</v>
      </c>
      <c r="V88" s="83">
        <v>0</v>
      </c>
      <c r="W88" s="86"/>
      <c r="X88" s="84"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81">
        <v>0</v>
      </c>
      <c r="D89" s="82">
        <v>0</v>
      </c>
      <c r="E89" s="81">
        <v>0</v>
      </c>
      <c r="F89" s="82">
        <v>0</v>
      </c>
      <c r="G89" s="81">
        <v>0</v>
      </c>
      <c r="H89" s="83">
        <v>0</v>
      </c>
      <c r="I89" s="86">
        <v>55</v>
      </c>
      <c r="J89" s="84">
        <v>0</v>
      </c>
      <c r="K89" s="17" t="s">
        <v>16</v>
      </c>
      <c r="L89" s="18">
        <v>0</v>
      </c>
      <c r="M89" s="24">
        <v>0</v>
      </c>
      <c r="N89"/>
      <c r="O89" s="10">
        <v>85</v>
      </c>
      <c r="P89" s="20"/>
      <c r="Q89" s="81">
        <v>0</v>
      </c>
      <c r="R89" s="82">
        <v>0</v>
      </c>
      <c r="S89" s="81">
        <v>0</v>
      </c>
      <c r="T89" s="82">
        <v>0</v>
      </c>
      <c r="U89" s="81">
        <v>0</v>
      </c>
      <c r="V89" s="83">
        <v>0</v>
      </c>
      <c r="W89" s="86"/>
      <c r="X89" s="84"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81">
        <v>4</v>
      </c>
      <c r="D90" s="82">
        <v>0</v>
      </c>
      <c r="E90" s="81">
        <v>4</v>
      </c>
      <c r="F90" s="82">
        <v>0</v>
      </c>
      <c r="G90" s="81">
        <v>0</v>
      </c>
      <c r="H90" s="83">
        <v>4</v>
      </c>
      <c r="I90" s="86">
        <v>50</v>
      </c>
      <c r="J90" s="84">
        <v>200</v>
      </c>
      <c r="K90" s="17" t="s">
        <v>16</v>
      </c>
      <c r="L90" s="18">
        <v>100</v>
      </c>
      <c r="M90" s="24">
        <v>100</v>
      </c>
      <c r="N90"/>
      <c r="O90" s="10">
        <v>86</v>
      </c>
      <c r="P90" s="20"/>
      <c r="Q90" s="81">
        <v>0</v>
      </c>
      <c r="R90" s="82">
        <v>0</v>
      </c>
      <c r="S90" s="81">
        <v>0</v>
      </c>
      <c r="T90" s="82">
        <v>0</v>
      </c>
      <c r="U90" s="81">
        <v>0</v>
      </c>
      <c r="V90" s="83">
        <v>0</v>
      </c>
      <c r="W90" s="86"/>
      <c r="X90" s="84"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81">
        <v>3</v>
      </c>
      <c r="D91" s="82">
        <v>0</v>
      </c>
      <c r="E91" s="81">
        <v>3</v>
      </c>
      <c r="F91" s="82">
        <v>0</v>
      </c>
      <c r="G91" s="81">
        <v>0</v>
      </c>
      <c r="H91" s="83">
        <v>3</v>
      </c>
      <c r="I91" s="23">
        <v>50</v>
      </c>
      <c r="J91" s="84">
        <v>150</v>
      </c>
      <c r="K91" s="17" t="s">
        <v>16</v>
      </c>
      <c r="L91" s="18">
        <v>75</v>
      </c>
      <c r="M91" s="24">
        <v>75</v>
      </c>
      <c r="N91"/>
      <c r="O91" s="10">
        <v>87</v>
      </c>
      <c r="P91" s="20"/>
      <c r="Q91" s="81">
        <v>0</v>
      </c>
      <c r="R91" s="82">
        <v>0</v>
      </c>
      <c r="S91" s="81">
        <v>0</v>
      </c>
      <c r="T91" s="82">
        <v>0</v>
      </c>
      <c r="U91" s="81">
        <v>0</v>
      </c>
      <c r="V91" s="83">
        <v>0</v>
      </c>
      <c r="W91" s="86"/>
      <c r="X91" s="84"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81">
        <v>1</v>
      </c>
      <c r="D92" s="82">
        <v>0</v>
      </c>
      <c r="E92" s="81">
        <v>1</v>
      </c>
      <c r="F92" s="82">
        <v>0</v>
      </c>
      <c r="G92" s="81">
        <v>1</v>
      </c>
      <c r="H92" s="83">
        <v>0</v>
      </c>
      <c r="I92" s="23">
        <v>120</v>
      </c>
      <c r="J92" s="84">
        <v>0</v>
      </c>
      <c r="K92" s="17" t="s">
        <v>16</v>
      </c>
      <c r="L92" s="18">
        <v>0</v>
      </c>
      <c r="M92" s="24">
        <v>0</v>
      </c>
      <c r="N92"/>
      <c r="O92" s="10">
        <v>88</v>
      </c>
      <c r="P92" s="20"/>
      <c r="Q92" s="81">
        <v>0</v>
      </c>
      <c r="R92" s="82">
        <v>0</v>
      </c>
      <c r="S92" s="81">
        <v>0</v>
      </c>
      <c r="T92" s="82">
        <v>0</v>
      </c>
      <c r="U92" s="81">
        <v>0</v>
      </c>
      <c r="V92" s="83">
        <v>0</v>
      </c>
      <c r="W92" s="86"/>
      <c r="X92" s="84"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81">
        <v>0</v>
      </c>
      <c r="D93" s="82">
        <v>0</v>
      </c>
      <c r="E93" s="81">
        <v>0</v>
      </c>
      <c r="F93" s="82">
        <v>0</v>
      </c>
      <c r="G93" s="81">
        <v>0</v>
      </c>
      <c r="H93" s="83">
        <v>0</v>
      </c>
      <c r="I93" s="86">
        <v>250</v>
      </c>
      <c r="J93" s="84">
        <v>0</v>
      </c>
      <c r="K93" s="17" t="s">
        <v>16</v>
      </c>
      <c r="L93" s="18">
        <v>0</v>
      </c>
      <c r="M93" s="24">
        <v>0</v>
      </c>
      <c r="N93"/>
      <c r="O93" s="10">
        <v>89</v>
      </c>
      <c r="P93" s="20"/>
      <c r="Q93" s="81">
        <v>0</v>
      </c>
      <c r="R93" s="82">
        <v>0</v>
      </c>
      <c r="S93" s="81">
        <v>0</v>
      </c>
      <c r="T93" s="82">
        <v>0</v>
      </c>
      <c r="U93" s="81">
        <v>0</v>
      </c>
      <c r="V93" s="83">
        <v>0</v>
      </c>
      <c r="W93" s="86"/>
      <c r="X93" s="84"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81">
        <v>0</v>
      </c>
      <c r="D94" s="82">
        <v>0</v>
      </c>
      <c r="E94" s="81">
        <v>0</v>
      </c>
      <c r="F94" s="82">
        <v>0</v>
      </c>
      <c r="G94" s="81">
        <v>0</v>
      </c>
      <c r="H94" s="83">
        <v>0</v>
      </c>
      <c r="I94" s="86">
        <v>120</v>
      </c>
      <c r="J94" s="84">
        <v>0</v>
      </c>
      <c r="K94" s="17" t="s">
        <v>16</v>
      </c>
      <c r="L94" s="18">
        <v>0</v>
      </c>
      <c r="M94" s="24">
        <v>0</v>
      </c>
      <c r="N94"/>
      <c r="O94" s="10">
        <v>90</v>
      </c>
      <c r="P94" s="20"/>
      <c r="Q94" s="81">
        <v>0</v>
      </c>
      <c r="R94" s="82">
        <v>0</v>
      </c>
      <c r="S94" s="81">
        <v>0</v>
      </c>
      <c r="T94" s="82">
        <v>0</v>
      </c>
      <c r="U94" s="81">
        <v>0</v>
      </c>
      <c r="V94" s="83">
        <v>0</v>
      </c>
      <c r="W94" s="86"/>
      <c r="X94" s="84"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81">
        <v>0</v>
      </c>
      <c r="D95" s="82">
        <v>0</v>
      </c>
      <c r="E95" s="81">
        <v>0</v>
      </c>
      <c r="F95" s="82">
        <v>0</v>
      </c>
      <c r="G95" s="81">
        <v>0</v>
      </c>
      <c r="H95" s="83">
        <v>0</v>
      </c>
      <c r="I95" s="86">
        <v>120</v>
      </c>
      <c r="J95" s="84">
        <v>0</v>
      </c>
      <c r="K95" s="17" t="s">
        <v>16</v>
      </c>
      <c r="L95" s="18">
        <v>0</v>
      </c>
      <c r="M95" s="24">
        <v>0</v>
      </c>
      <c r="N95"/>
      <c r="O95" s="10">
        <v>91</v>
      </c>
      <c r="P95" s="20"/>
      <c r="Q95" s="81">
        <v>0</v>
      </c>
      <c r="R95" s="82">
        <v>0</v>
      </c>
      <c r="S95" s="81">
        <v>0</v>
      </c>
      <c r="T95" s="82">
        <v>0</v>
      </c>
      <c r="U95" s="81">
        <v>0</v>
      </c>
      <c r="V95" s="83">
        <v>0</v>
      </c>
      <c r="W95" s="86"/>
      <c r="X95" s="84"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81">
        <v>0</v>
      </c>
      <c r="D96" s="82">
        <v>0</v>
      </c>
      <c r="E96" s="81">
        <v>0</v>
      </c>
      <c r="F96" s="82">
        <v>0</v>
      </c>
      <c r="G96" s="81">
        <v>0</v>
      </c>
      <c r="H96" s="83">
        <v>0</v>
      </c>
      <c r="I96" s="86">
        <v>120</v>
      </c>
      <c r="J96" s="84">
        <v>0</v>
      </c>
      <c r="K96" s="17" t="s">
        <v>16</v>
      </c>
      <c r="L96" s="18">
        <v>0</v>
      </c>
      <c r="M96" s="24">
        <v>0</v>
      </c>
      <c r="N96"/>
      <c r="O96" s="10">
        <v>92</v>
      </c>
      <c r="P96" s="20"/>
      <c r="Q96" s="81">
        <v>0</v>
      </c>
      <c r="R96" s="82">
        <v>0</v>
      </c>
      <c r="S96" s="81">
        <v>0</v>
      </c>
      <c r="T96" s="82">
        <v>0</v>
      </c>
      <c r="U96" s="81">
        <v>0</v>
      </c>
      <c r="V96" s="83">
        <v>0</v>
      </c>
      <c r="W96" s="86"/>
      <c r="X96" s="84"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81">
        <v>0</v>
      </c>
      <c r="D97" s="82">
        <v>0</v>
      </c>
      <c r="E97" s="81">
        <v>0</v>
      </c>
      <c r="F97" s="82">
        <v>0</v>
      </c>
      <c r="G97" s="81">
        <v>0</v>
      </c>
      <c r="H97" s="83">
        <v>0</v>
      </c>
      <c r="I97" s="86">
        <v>45</v>
      </c>
      <c r="J97" s="84">
        <v>0</v>
      </c>
      <c r="K97" s="17" t="s">
        <v>16</v>
      </c>
      <c r="L97" s="18">
        <v>0</v>
      </c>
      <c r="M97" s="24">
        <v>0</v>
      </c>
      <c r="N97"/>
      <c r="O97" s="10">
        <v>93</v>
      </c>
      <c r="P97" s="20"/>
      <c r="Q97" s="81">
        <v>0</v>
      </c>
      <c r="R97" s="82">
        <v>0</v>
      </c>
      <c r="S97" s="81">
        <v>0</v>
      </c>
      <c r="T97" s="82">
        <v>0</v>
      </c>
      <c r="U97" s="81">
        <v>0</v>
      </c>
      <c r="V97" s="83">
        <v>0</v>
      </c>
      <c r="W97" s="86"/>
      <c r="X97" s="84"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81">
        <v>0</v>
      </c>
      <c r="D98" s="82">
        <v>0</v>
      </c>
      <c r="E98" s="81">
        <v>0</v>
      </c>
      <c r="F98" s="82">
        <v>0</v>
      </c>
      <c r="G98" s="81">
        <v>0</v>
      </c>
      <c r="H98" s="83">
        <v>0</v>
      </c>
      <c r="I98" s="86">
        <v>50</v>
      </c>
      <c r="J98" s="84">
        <v>0</v>
      </c>
      <c r="K98" s="17" t="s">
        <v>16</v>
      </c>
      <c r="L98" s="18">
        <v>0</v>
      </c>
      <c r="M98" s="24">
        <v>0</v>
      </c>
      <c r="N98"/>
      <c r="O98" s="10">
        <v>94</v>
      </c>
      <c r="P98" s="20"/>
      <c r="Q98" s="81">
        <v>0</v>
      </c>
      <c r="R98" s="82">
        <v>0</v>
      </c>
      <c r="S98" s="81">
        <v>0</v>
      </c>
      <c r="T98" s="82">
        <v>0</v>
      </c>
      <c r="U98" s="81">
        <v>0</v>
      </c>
      <c r="V98" s="83">
        <v>0</v>
      </c>
      <c r="W98" s="86"/>
      <c r="X98" s="84"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81">
        <v>0</v>
      </c>
      <c r="D99" s="82">
        <v>0</v>
      </c>
      <c r="E99" s="81">
        <v>0</v>
      </c>
      <c r="F99" s="82">
        <v>0</v>
      </c>
      <c r="G99" s="81">
        <v>0</v>
      </c>
      <c r="H99" s="83">
        <v>0</v>
      </c>
      <c r="I99" s="86">
        <v>50</v>
      </c>
      <c r="J99" s="84">
        <v>0</v>
      </c>
      <c r="K99" s="17" t="s">
        <v>16</v>
      </c>
      <c r="L99" s="18">
        <v>0</v>
      </c>
      <c r="M99" s="24">
        <v>0</v>
      </c>
      <c r="N99"/>
      <c r="O99" s="10">
        <v>95</v>
      </c>
      <c r="P99" s="20"/>
      <c r="Q99" s="81">
        <v>0</v>
      </c>
      <c r="R99" s="82">
        <v>0</v>
      </c>
      <c r="S99" s="81">
        <v>0</v>
      </c>
      <c r="T99" s="82">
        <v>0</v>
      </c>
      <c r="U99" s="81">
        <v>0</v>
      </c>
      <c r="V99" s="83">
        <v>0</v>
      </c>
      <c r="W99" s="86"/>
      <c r="X99" s="84"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81">
        <v>0</v>
      </c>
      <c r="D100" s="82">
        <v>0</v>
      </c>
      <c r="E100" s="81">
        <v>0</v>
      </c>
      <c r="F100" s="82">
        <v>0</v>
      </c>
      <c r="G100" s="81">
        <v>0</v>
      </c>
      <c r="H100" s="83">
        <v>0</v>
      </c>
      <c r="I100" s="86">
        <v>60</v>
      </c>
      <c r="J100" s="84">
        <v>0</v>
      </c>
      <c r="K100" s="17" t="s">
        <v>16</v>
      </c>
      <c r="L100" s="18">
        <v>0</v>
      </c>
      <c r="M100" s="24">
        <v>0</v>
      </c>
      <c r="N100"/>
      <c r="O100" s="10">
        <v>96</v>
      </c>
      <c r="P100" s="20"/>
      <c r="Q100" s="81">
        <v>0</v>
      </c>
      <c r="R100" s="82">
        <v>0</v>
      </c>
      <c r="S100" s="81">
        <v>0</v>
      </c>
      <c r="T100" s="82">
        <v>0</v>
      </c>
      <c r="U100" s="81">
        <v>0</v>
      </c>
      <c r="V100" s="83">
        <v>0</v>
      </c>
      <c r="W100" s="86"/>
      <c r="X100" s="84"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81">
        <v>0</v>
      </c>
      <c r="D101" s="82">
        <v>0</v>
      </c>
      <c r="E101" s="81">
        <v>0</v>
      </c>
      <c r="F101" s="82">
        <v>0</v>
      </c>
      <c r="G101" s="81">
        <v>0</v>
      </c>
      <c r="H101" s="83">
        <v>0</v>
      </c>
      <c r="I101" s="86">
        <v>55</v>
      </c>
      <c r="J101" s="84">
        <v>0</v>
      </c>
      <c r="K101" s="17" t="s">
        <v>16</v>
      </c>
      <c r="L101" s="18">
        <v>0</v>
      </c>
      <c r="M101" s="24">
        <v>0</v>
      </c>
      <c r="N101"/>
      <c r="O101" s="10">
        <v>97</v>
      </c>
      <c r="P101" s="20"/>
      <c r="Q101" s="81">
        <v>0</v>
      </c>
      <c r="R101" s="82">
        <v>0</v>
      </c>
      <c r="S101" s="81">
        <v>0</v>
      </c>
      <c r="T101" s="82">
        <v>0</v>
      </c>
      <c r="U101" s="81">
        <v>0</v>
      </c>
      <c r="V101" s="83">
        <v>0</v>
      </c>
      <c r="W101" s="86"/>
      <c r="X101" s="84"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81">
        <v>6</v>
      </c>
      <c r="D102" s="82">
        <v>0</v>
      </c>
      <c r="E102" s="81">
        <v>6</v>
      </c>
      <c r="F102" s="82">
        <v>0</v>
      </c>
      <c r="G102" s="81">
        <v>6</v>
      </c>
      <c r="H102" s="83">
        <v>0</v>
      </c>
      <c r="I102" s="86">
        <v>50</v>
      </c>
      <c r="J102" s="84">
        <v>0</v>
      </c>
      <c r="K102" s="17" t="s">
        <v>16</v>
      </c>
      <c r="L102" s="18">
        <v>0</v>
      </c>
      <c r="M102" s="24">
        <v>0</v>
      </c>
      <c r="N102"/>
      <c r="O102" s="10">
        <v>98</v>
      </c>
      <c r="P102" s="20"/>
      <c r="Q102" s="81">
        <v>0</v>
      </c>
      <c r="R102" s="82">
        <v>0</v>
      </c>
      <c r="S102" s="81">
        <v>0</v>
      </c>
      <c r="T102" s="82">
        <v>0</v>
      </c>
      <c r="U102" s="81">
        <v>0</v>
      </c>
      <c r="V102" s="83">
        <v>0</v>
      </c>
      <c r="W102" s="86"/>
      <c r="X102" s="84"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81">
        <v>0</v>
      </c>
      <c r="D103" s="82">
        <v>0</v>
      </c>
      <c r="E103" s="81">
        <v>0</v>
      </c>
      <c r="F103" s="82">
        <v>0</v>
      </c>
      <c r="G103" s="81">
        <v>0</v>
      </c>
      <c r="H103" s="83">
        <v>0</v>
      </c>
      <c r="I103" s="86">
        <v>100</v>
      </c>
      <c r="J103" s="84">
        <v>0</v>
      </c>
      <c r="K103" s="17" t="s">
        <v>16</v>
      </c>
      <c r="L103" s="18">
        <v>0</v>
      </c>
      <c r="M103" s="24">
        <v>0</v>
      </c>
      <c r="N103"/>
      <c r="O103" s="10">
        <v>99</v>
      </c>
      <c r="P103" s="20"/>
      <c r="Q103" s="81">
        <v>0</v>
      </c>
      <c r="R103" s="82">
        <v>0</v>
      </c>
      <c r="S103" s="81">
        <v>0</v>
      </c>
      <c r="T103" s="82">
        <v>0</v>
      </c>
      <c r="U103" s="81">
        <v>0</v>
      </c>
      <c r="V103" s="83">
        <v>0</v>
      </c>
      <c r="W103" s="86"/>
      <c r="X103" s="84"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81">
        <v>0</v>
      </c>
      <c r="D104" s="82">
        <v>0</v>
      </c>
      <c r="E104" s="81">
        <v>0</v>
      </c>
      <c r="F104" s="82">
        <v>0</v>
      </c>
      <c r="G104" s="81">
        <v>0</v>
      </c>
      <c r="H104" s="83">
        <v>0</v>
      </c>
      <c r="I104" s="86">
        <v>100</v>
      </c>
      <c r="J104" s="84">
        <v>0</v>
      </c>
      <c r="K104" s="17" t="s">
        <v>16</v>
      </c>
      <c r="L104" s="18">
        <v>0</v>
      </c>
      <c r="M104" s="24">
        <v>0</v>
      </c>
      <c r="N104"/>
      <c r="O104" s="10">
        <v>100</v>
      </c>
      <c r="P104" s="20"/>
      <c r="Q104" s="81">
        <v>0</v>
      </c>
      <c r="R104" s="82">
        <v>0</v>
      </c>
      <c r="S104" s="81">
        <v>0</v>
      </c>
      <c r="T104" s="82">
        <v>0</v>
      </c>
      <c r="U104" s="81">
        <v>0</v>
      </c>
      <c r="V104" s="83">
        <v>0</v>
      </c>
      <c r="W104" s="86"/>
      <c r="X104" s="84"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81">
        <v>0</v>
      </c>
      <c r="D105" s="82">
        <v>0</v>
      </c>
      <c r="E105" s="81">
        <v>0</v>
      </c>
      <c r="F105" s="82">
        <v>0</v>
      </c>
      <c r="G105" s="81">
        <v>0</v>
      </c>
      <c r="H105" s="83">
        <v>0</v>
      </c>
      <c r="I105" s="23">
        <v>30</v>
      </c>
      <c r="J105" s="84">
        <v>0</v>
      </c>
      <c r="K105" s="17" t="s">
        <v>16</v>
      </c>
      <c r="L105" s="18">
        <v>0</v>
      </c>
      <c r="M105" s="24">
        <v>0</v>
      </c>
      <c r="N105"/>
      <c r="O105" s="1"/>
      <c r="P105"/>
      <c r="Q105" s="88"/>
      <c r="R105" s="89"/>
      <c r="S105" s="88"/>
      <c r="T105" s="89"/>
      <c r="U105" s="88"/>
      <c r="V105" s="88"/>
      <c r="W105" s="90"/>
      <c r="X105" s="89"/>
      <c r="Y105" s="28"/>
      <c r="Z105" s="41">
        <v>0</v>
      </c>
    </row>
    <row r="106" spans="1:26" ht="25.5">
      <c r="A106" s="10">
        <v>102</v>
      </c>
      <c r="B106" s="20" t="s">
        <v>117</v>
      </c>
      <c r="C106" s="81">
        <v>0</v>
      </c>
      <c r="D106" s="82">
        <v>0</v>
      </c>
      <c r="E106" s="81">
        <v>0</v>
      </c>
      <c r="F106" s="82">
        <v>0</v>
      </c>
      <c r="G106" s="81">
        <v>0</v>
      </c>
      <c r="H106" s="83">
        <v>0</v>
      </c>
      <c r="I106" s="23">
        <v>20</v>
      </c>
      <c r="J106" s="84">
        <v>0</v>
      </c>
      <c r="K106" s="17" t="s">
        <v>16</v>
      </c>
      <c r="L106" s="18">
        <v>0</v>
      </c>
      <c r="M106" s="24">
        <v>0</v>
      </c>
      <c r="N106"/>
      <c r="O106"/>
      <c r="P106"/>
      <c r="Q106"/>
      <c r="R106"/>
      <c r="S106"/>
      <c r="T106"/>
      <c r="U106"/>
      <c r="V106"/>
      <c r="W106"/>
      <c r="X106"/>
      <c r="Y106"/>
      <c r="Z106" s="30"/>
    </row>
    <row r="107" spans="1:26" ht="25.5">
      <c r="A107" s="10">
        <v>103</v>
      </c>
      <c r="B107" s="20" t="s">
        <v>118</v>
      </c>
      <c r="C107" s="81">
        <v>0</v>
      </c>
      <c r="D107" s="82">
        <v>0</v>
      </c>
      <c r="E107" s="81">
        <v>0</v>
      </c>
      <c r="F107" s="82">
        <v>0</v>
      </c>
      <c r="G107" s="81">
        <v>0</v>
      </c>
      <c r="H107" s="83">
        <v>0</v>
      </c>
      <c r="I107" s="86">
        <v>100</v>
      </c>
      <c r="J107" s="84">
        <v>0</v>
      </c>
      <c r="K107" s="17" t="s">
        <v>16</v>
      </c>
      <c r="L107" s="18">
        <v>0</v>
      </c>
      <c r="M107" s="24">
        <v>0</v>
      </c>
      <c r="N107"/>
      <c r="O107"/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v>0</v>
      </c>
      <c r="Y107"/>
      <c r="Z107"/>
    </row>
    <row r="108" spans="1:26" ht="25.5">
      <c r="A108" s="10">
        <v>104</v>
      </c>
      <c r="B108" s="20" t="s">
        <v>120</v>
      </c>
      <c r="C108" s="81">
        <v>0</v>
      </c>
      <c r="D108" s="82">
        <v>0</v>
      </c>
      <c r="E108" s="81">
        <v>0</v>
      </c>
      <c r="F108" s="82">
        <v>0</v>
      </c>
      <c r="G108" s="81">
        <v>0</v>
      </c>
      <c r="H108" s="83">
        <v>0</v>
      </c>
      <c r="I108" s="86">
        <v>80</v>
      </c>
      <c r="J108" s="84">
        <v>0</v>
      </c>
      <c r="K108" s="17" t="s">
        <v>16</v>
      </c>
      <c r="L108" s="18">
        <v>0</v>
      </c>
      <c r="M108" s="24">
        <v>0</v>
      </c>
      <c r="N108"/>
      <c r="O108"/>
      <c r="P108"/>
      <c r="Q108"/>
      <c r="R108"/>
      <c r="S108"/>
      <c r="T108"/>
      <c r="U108"/>
      <c r="V108"/>
      <c r="W108"/>
      <c r="X108"/>
      <c r="Y108"/>
      <c r="Z108"/>
    </row>
    <row r="109" spans="1:26" ht="25.5">
      <c r="A109" s="10">
        <v>105</v>
      </c>
      <c r="B109" s="20" t="s">
        <v>121</v>
      </c>
      <c r="C109" s="81">
        <v>0</v>
      </c>
      <c r="D109" s="82">
        <v>0</v>
      </c>
      <c r="E109" s="81">
        <v>0</v>
      </c>
      <c r="F109" s="82">
        <v>0</v>
      </c>
      <c r="G109" s="81">
        <v>0</v>
      </c>
      <c r="H109" s="83">
        <v>0</v>
      </c>
      <c r="I109" s="86">
        <v>60</v>
      </c>
      <c r="J109" s="84">
        <v>0</v>
      </c>
      <c r="K109" s="17" t="s">
        <v>16</v>
      </c>
      <c r="L109" s="18">
        <v>0</v>
      </c>
      <c r="M109" s="24">
        <v>0</v>
      </c>
      <c r="N109"/>
      <c r="O109"/>
      <c r="P109"/>
      <c r="Q109"/>
      <c r="R109"/>
      <c r="S109"/>
      <c r="T109"/>
      <c r="U109"/>
      <c r="V109"/>
      <c r="W109"/>
      <c r="X109"/>
      <c r="Y109"/>
      <c r="Z109"/>
    </row>
    <row r="110" spans="1:26" ht="25.5">
      <c r="A110" s="10">
        <v>106</v>
      </c>
      <c r="B110" s="20" t="s">
        <v>122</v>
      </c>
      <c r="C110" s="81">
        <v>0</v>
      </c>
      <c r="D110" s="82">
        <v>0</v>
      </c>
      <c r="E110" s="81">
        <v>0</v>
      </c>
      <c r="F110" s="82">
        <v>0</v>
      </c>
      <c r="G110" s="81">
        <v>0</v>
      </c>
      <c r="H110" s="83">
        <v>0</v>
      </c>
      <c r="I110" s="86">
        <v>35</v>
      </c>
      <c r="J110" s="84">
        <v>0</v>
      </c>
      <c r="K110" s="17" t="s">
        <v>16</v>
      </c>
      <c r="L110" s="18">
        <v>0</v>
      </c>
      <c r="M110" s="24">
        <v>0</v>
      </c>
      <c r="N110"/>
      <c r="O110"/>
      <c r="P110"/>
      <c r="Q110"/>
      <c r="R110"/>
      <c r="S110"/>
      <c r="T110"/>
      <c r="U110"/>
      <c r="V110"/>
      <c r="W110"/>
      <c r="X110"/>
      <c r="Y110"/>
      <c r="Z110"/>
    </row>
    <row r="111" spans="1:26" ht="25.5">
      <c r="A111" s="10">
        <v>107</v>
      </c>
      <c r="B111" s="20" t="s">
        <v>123</v>
      </c>
      <c r="C111" s="81">
        <v>0</v>
      </c>
      <c r="D111" s="82">
        <v>0</v>
      </c>
      <c r="E111" s="81">
        <v>0</v>
      </c>
      <c r="F111" s="82">
        <v>0</v>
      </c>
      <c r="G111" s="81">
        <v>0</v>
      </c>
      <c r="H111" s="83">
        <v>0</v>
      </c>
      <c r="I111" s="86">
        <v>35</v>
      </c>
      <c r="J111" s="84">
        <v>0</v>
      </c>
      <c r="K111" s="17" t="s">
        <v>16</v>
      </c>
      <c r="L111" s="18">
        <v>0</v>
      </c>
      <c r="M111" s="24">
        <v>0</v>
      </c>
      <c r="N111"/>
      <c r="O111"/>
      <c r="P111"/>
      <c r="Q111"/>
      <c r="R111"/>
      <c r="S111"/>
      <c r="T111"/>
      <c r="U111"/>
      <c r="V111"/>
      <c r="W111"/>
      <c r="X111"/>
      <c r="Y111"/>
      <c r="Z111"/>
    </row>
    <row r="112" spans="1:26" ht="25.5">
      <c r="A112" s="10">
        <v>108</v>
      </c>
      <c r="B112" s="20" t="s">
        <v>124</v>
      </c>
      <c r="C112" s="81">
        <v>0</v>
      </c>
      <c r="D112" s="82">
        <v>0</v>
      </c>
      <c r="E112" s="81">
        <v>0</v>
      </c>
      <c r="F112" s="82">
        <v>0</v>
      </c>
      <c r="G112" s="81">
        <v>0</v>
      </c>
      <c r="H112" s="83">
        <v>0</v>
      </c>
      <c r="I112" s="86">
        <v>35</v>
      </c>
      <c r="J112" s="84">
        <v>0</v>
      </c>
      <c r="K112" s="17" t="s">
        <v>16</v>
      </c>
      <c r="L112" s="18">
        <v>0</v>
      </c>
      <c r="M112" s="24">
        <v>0</v>
      </c>
      <c r="N112"/>
      <c r="O112"/>
      <c r="P112"/>
      <c r="Q112"/>
      <c r="R112"/>
      <c r="S112"/>
      <c r="T112"/>
      <c r="U112"/>
      <c r="V112"/>
      <c r="W112"/>
      <c r="X112"/>
      <c r="Y112"/>
      <c r="Z112"/>
    </row>
    <row r="113" spans="1:13" ht="25.5">
      <c r="A113" s="10">
        <v>109</v>
      </c>
      <c r="B113" s="20" t="s">
        <v>125</v>
      </c>
      <c r="C113" s="81">
        <v>0</v>
      </c>
      <c r="D113" s="82">
        <v>0</v>
      </c>
      <c r="E113" s="81">
        <v>0</v>
      </c>
      <c r="F113" s="82">
        <v>0</v>
      </c>
      <c r="G113" s="81">
        <v>0</v>
      </c>
      <c r="H113" s="83">
        <v>0</v>
      </c>
      <c r="I113" s="86">
        <v>35</v>
      </c>
      <c r="J113" s="84">
        <v>0</v>
      </c>
      <c r="K113" s="17" t="s">
        <v>16</v>
      </c>
      <c r="L113" s="18">
        <v>0</v>
      </c>
      <c r="M113" s="24">
        <v>0</v>
      </c>
    </row>
    <row r="114" spans="1:13" ht="25.5">
      <c r="A114" s="10">
        <v>110</v>
      </c>
      <c r="B114" s="20" t="s">
        <v>126</v>
      </c>
      <c r="C114" s="81">
        <v>0</v>
      </c>
      <c r="D114" s="82">
        <v>0</v>
      </c>
      <c r="E114" s="81">
        <v>0</v>
      </c>
      <c r="F114" s="82">
        <v>0</v>
      </c>
      <c r="G114" s="81">
        <v>0</v>
      </c>
      <c r="H114" s="83">
        <v>0</v>
      </c>
      <c r="I114" s="86">
        <v>35</v>
      </c>
      <c r="J114" s="84">
        <v>0</v>
      </c>
      <c r="K114" s="17" t="s">
        <v>16</v>
      </c>
      <c r="L114" s="18">
        <v>0</v>
      </c>
      <c r="M114" s="24">
        <v>0</v>
      </c>
    </row>
    <row r="115" spans="1:13" ht="25.5">
      <c r="A115" s="10">
        <v>111</v>
      </c>
      <c r="B115" s="20" t="s">
        <v>127</v>
      </c>
      <c r="C115" s="81">
        <v>0</v>
      </c>
      <c r="D115" s="82">
        <v>0</v>
      </c>
      <c r="E115" s="81">
        <v>0</v>
      </c>
      <c r="F115" s="82">
        <v>0</v>
      </c>
      <c r="G115" s="81">
        <v>0</v>
      </c>
      <c r="H115" s="83">
        <v>0</v>
      </c>
      <c r="I115" s="86">
        <v>50</v>
      </c>
      <c r="J115" s="84">
        <v>0</v>
      </c>
      <c r="K115" s="17" t="s">
        <v>16</v>
      </c>
      <c r="L115" s="18">
        <v>0</v>
      </c>
      <c r="M115" s="24">
        <v>0</v>
      </c>
    </row>
    <row r="116" spans="1:13" ht="25.5">
      <c r="A116" s="10">
        <v>112</v>
      </c>
      <c r="B116" s="20" t="s">
        <v>128</v>
      </c>
      <c r="C116" s="81">
        <v>0</v>
      </c>
      <c r="D116" s="82">
        <v>0</v>
      </c>
      <c r="E116" s="81">
        <v>0</v>
      </c>
      <c r="F116" s="82">
        <v>0</v>
      </c>
      <c r="G116" s="81">
        <v>0</v>
      </c>
      <c r="H116" s="83">
        <v>0</v>
      </c>
      <c r="I116" s="86">
        <v>50</v>
      </c>
      <c r="J116" s="84">
        <v>0</v>
      </c>
      <c r="K116" s="17" t="s">
        <v>16</v>
      </c>
      <c r="L116" s="18">
        <v>0</v>
      </c>
      <c r="M116" s="24">
        <v>0</v>
      </c>
    </row>
    <row r="117" spans="1:13" ht="25.5">
      <c r="A117" s="10">
        <v>113</v>
      </c>
      <c r="B117" s="20" t="s">
        <v>129</v>
      </c>
      <c r="C117" s="81">
        <v>0</v>
      </c>
      <c r="D117" s="82">
        <v>0</v>
      </c>
      <c r="E117" s="81">
        <v>0</v>
      </c>
      <c r="F117" s="82">
        <v>0</v>
      </c>
      <c r="G117" s="81">
        <v>0</v>
      </c>
      <c r="H117" s="83">
        <v>0</v>
      </c>
      <c r="I117" s="86">
        <v>50</v>
      </c>
      <c r="J117" s="84">
        <v>0</v>
      </c>
      <c r="K117" s="17" t="s">
        <v>16</v>
      </c>
      <c r="L117" s="18">
        <v>0</v>
      </c>
      <c r="M117" s="24">
        <v>0</v>
      </c>
    </row>
    <row r="118" spans="1:13" ht="25.5">
      <c r="A118" s="10">
        <v>114</v>
      </c>
      <c r="B118" s="20" t="s">
        <v>130</v>
      </c>
      <c r="C118" s="81">
        <v>0</v>
      </c>
      <c r="D118" s="82">
        <v>0</v>
      </c>
      <c r="E118" s="81">
        <v>0</v>
      </c>
      <c r="F118" s="82">
        <v>0</v>
      </c>
      <c r="G118" s="81">
        <v>0</v>
      </c>
      <c r="H118" s="83">
        <v>0</v>
      </c>
      <c r="I118" s="86">
        <v>50</v>
      </c>
      <c r="J118" s="84">
        <v>0</v>
      </c>
      <c r="K118" s="17" t="s">
        <v>16</v>
      </c>
      <c r="L118" s="18">
        <v>0</v>
      </c>
      <c r="M118" s="24">
        <v>0</v>
      </c>
    </row>
    <row r="119" spans="1:13" ht="25.5">
      <c r="A119" s="10">
        <v>115</v>
      </c>
      <c r="B119" s="20" t="s">
        <v>131</v>
      </c>
      <c r="C119" s="81">
        <v>0</v>
      </c>
      <c r="D119" s="82">
        <v>0</v>
      </c>
      <c r="E119" s="81">
        <v>0</v>
      </c>
      <c r="F119" s="82">
        <v>0</v>
      </c>
      <c r="G119" s="81">
        <v>0</v>
      </c>
      <c r="H119" s="83">
        <v>0</v>
      </c>
      <c r="I119" s="86">
        <v>50</v>
      </c>
      <c r="J119" s="84">
        <v>0</v>
      </c>
      <c r="K119" s="17" t="s">
        <v>16</v>
      </c>
      <c r="L119" s="18">
        <v>0</v>
      </c>
      <c r="M119" s="24">
        <v>0</v>
      </c>
    </row>
    <row r="120" spans="1:13" ht="25.5">
      <c r="A120" s="10">
        <v>116</v>
      </c>
      <c r="B120" s="20" t="s">
        <v>132</v>
      </c>
      <c r="C120" s="81">
        <v>0</v>
      </c>
      <c r="D120" s="82">
        <v>0</v>
      </c>
      <c r="E120" s="81">
        <v>0</v>
      </c>
      <c r="F120" s="82">
        <v>0</v>
      </c>
      <c r="G120" s="81">
        <v>0</v>
      </c>
      <c r="H120" s="83">
        <v>0</v>
      </c>
      <c r="I120" s="86">
        <v>50</v>
      </c>
      <c r="J120" s="84">
        <v>0</v>
      </c>
      <c r="K120" s="17" t="s">
        <v>16</v>
      </c>
      <c r="L120" s="18">
        <v>0</v>
      </c>
      <c r="M120" s="24">
        <v>0</v>
      </c>
    </row>
    <row r="121" spans="1:13" ht="25.5">
      <c r="A121" s="10">
        <v>117</v>
      </c>
      <c r="B121" s="20" t="s">
        <v>133</v>
      </c>
      <c r="C121" s="81">
        <v>0</v>
      </c>
      <c r="D121" s="82">
        <v>0</v>
      </c>
      <c r="E121" s="81">
        <v>0</v>
      </c>
      <c r="F121" s="82">
        <v>0</v>
      </c>
      <c r="G121" s="81">
        <v>0</v>
      </c>
      <c r="H121" s="83">
        <v>0</v>
      </c>
      <c r="I121" s="86">
        <v>40</v>
      </c>
      <c r="J121" s="84">
        <v>0</v>
      </c>
      <c r="K121" s="17" t="s">
        <v>16</v>
      </c>
      <c r="L121" s="18">
        <v>0</v>
      </c>
      <c r="M121" s="24">
        <v>0</v>
      </c>
    </row>
    <row r="122" spans="1:13" ht="25.5">
      <c r="A122" s="10">
        <v>118</v>
      </c>
      <c r="B122" s="20" t="s">
        <v>134</v>
      </c>
      <c r="C122" s="81">
        <v>0</v>
      </c>
      <c r="D122" s="82">
        <v>0</v>
      </c>
      <c r="E122" s="81">
        <v>0</v>
      </c>
      <c r="F122" s="82">
        <v>0</v>
      </c>
      <c r="G122" s="81">
        <v>0</v>
      </c>
      <c r="H122" s="83">
        <v>0</v>
      </c>
      <c r="I122" s="86">
        <v>35</v>
      </c>
      <c r="J122" s="84">
        <v>0</v>
      </c>
      <c r="K122" s="17" t="s">
        <v>16</v>
      </c>
      <c r="L122" s="18">
        <v>0</v>
      </c>
      <c r="M122" s="24">
        <v>0</v>
      </c>
    </row>
    <row r="123" spans="1:13" ht="25.5">
      <c r="A123" s="10">
        <v>119</v>
      </c>
      <c r="B123" s="20" t="s">
        <v>135</v>
      </c>
      <c r="C123" s="81">
        <v>0</v>
      </c>
      <c r="D123" s="82">
        <v>0</v>
      </c>
      <c r="E123" s="81">
        <v>0</v>
      </c>
      <c r="F123" s="82">
        <v>0</v>
      </c>
      <c r="G123" s="81">
        <v>0</v>
      </c>
      <c r="H123" s="83">
        <v>0</v>
      </c>
      <c r="I123" s="86">
        <v>40</v>
      </c>
      <c r="J123" s="84">
        <v>0</v>
      </c>
      <c r="K123" s="17" t="s">
        <v>16</v>
      </c>
      <c r="L123" s="18">
        <v>0</v>
      </c>
      <c r="M123" s="24">
        <v>0</v>
      </c>
    </row>
    <row r="124" spans="1:13" ht="25.5">
      <c r="A124" s="10">
        <v>120</v>
      </c>
      <c r="B124" s="20" t="s">
        <v>136</v>
      </c>
      <c r="C124" s="81">
        <v>0</v>
      </c>
      <c r="D124" s="82">
        <v>0</v>
      </c>
      <c r="E124" s="81">
        <v>0</v>
      </c>
      <c r="F124" s="82">
        <v>0</v>
      </c>
      <c r="G124" s="81">
        <v>0</v>
      </c>
      <c r="H124" s="83">
        <v>0</v>
      </c>
      <c r="I124" s="86">
        <v>40</v>
      </c>
      <c r="J124" s="84">
        <v>0</v>
      </c>
      <c r="K124" s="17" t="s">
        <v>16</v>
      </c>
      <c r="L124" s="18">
        <v>0</v>
      </c>
      <c r="M124" s="24">
        <v>0</v>
      </c>
    </row>
    <row r="125" spans="1:13" ht="25.5">
      <c r="A125" s="10">
        <v>121</v>
      </c>
      <c r="B125" s="20" t="s">
        <v>137</v>
      </c>
      <c r="C125" s="81">
        <v>0</v>
      </c>
      <c r="D125" s="82">
        <v>0</v>
      </c>
      <c r="E125" s="81">
        <v>0</v>
      </c>
      <c r="F125" s="82">
        <v>0</v>
      </c>
      <c r="G125" s="81">
        <v>0</v>
      </c>
      <c r="H125" s="83">
        <v>0</v>
      </c>
      <c r="I125" s="86">
        <v>30</v>
      </c>
      <c r="J125" s="84">
        <v>0</v>
      </c>
      <c r="K125" s="17" t="s">
        <v>16</v>
      </c>
      <c r="L125" s="18">
        <v>0</v>
      </c>
      <c r="M125" s="24">
        <v>0</v>
      </c>
    </row>
    <row r="126" spans="1:13" ht="25.5">
      <c r="A126" s="10">
        <v>122</v>
      </c>
      <c r="B126" s="20" t="s">
        <v>138</v>
      </c>
      <c r="C126" s="81">
        <v>0</v>
      </c>
      <c r="D126" s="82">
        <v>0</v>
      </c>
      <c r="E126" s="81">
        <v>0</v>
      </c>
      <c r="F126" s="82">
        <v>0</v>
      </c>
      <c r="G126" s="81">
        <v>0</v>
      </c>
      <c r="H126" s="83">
        <v>0</v>
      </c>
      <c r="I126" s="86">
        <v>40</v>
      </c>
      <c r="J126" s="84">
        <v>0</v>
      </c>
      <c r="K126" s="17" t="s">
        <v>16</v>
      </c>
      <c r="L126" s="18">
        <v>0</v>
      </c>
      <c r="M126" s="24">
        <v>0</v>
      </c>
    </row>
    <row r="127" spans="1:13" ht="25.5">
      <c r="A127" s="10">
        <v>123</v>
      </c>
      <c r="B127" s="20" t="s">
        <v>139</v>
      </c>
      <c r="C127" s="81">
        <v>0</v>
      </c>
      <c r="D127" s="82">
        <v>0</v>
      </c>
      <c r="E127" s="81">
        <v>0</v>
      </c>
      <c r="F127" s="82">
        <v>0</v>
      </c>
      <c r="G127" s="81">
        <v>0</v>
      </c>
      <c r="H127" s="83">
        <v>0</v>
      </c>
      <c r="I127" s="86">
        <v>20</v>
      </c>
      <c r="J127" s="84">
        <v>0</v>
      </c>
      <c r="K127" s="17" t="s">
        <v>16</v>
      </c>
      <c r="L127" s="18">
        <v>0</v>
      </c>
      <c r="M127" s="24">
        <v>0</v>
      </c>
    </row>
    <row r="128" spans="1:13" ht="25.5">
      <c r="A128" s="10">
        <v>124</v>
      </c>
      <c r="B128" s="20" t="s">
        <v>140</v>
      </c>
      <c r="C128" s="81">
        <v>0</v>
      </c>
      <c r="D128" s="82">
        <v>0</v>
      </c>
      <c r="E128" s="81">
        <v>0</v>
      </c>
      <c r="F128" s="82">
        <v>0</v>
      </c>
      <c r="G128" s="81">
        <v>0</v>
      </c>
      <c r="H128" s="83">
        <v>0</v>
      </c>
      <c r="I128" s="86">
        <v>35</v>
      </c>
      <c r="J128" s="84">
        <v>0</v>
      </c>
      <c r="K128" s="17" t="s">
        <v>16</v>
      </c>
      <c r="L128" s="18">
        <v>0</v>
      </c>
      <c r="M128" s="24">
        <v>0</v>
      </c>
    </row>
    <row r="129" spans="1:13" ht="25.5">
      <c r="A129" s="10">
        <v>125</v>
      </c>
      <c r="B129" s="20" t="s">
        <v>141</v>
      </c>
      <c r="C129" s="81">
        <v>0</v>
      </c>
      <c r="D129" s="82">
        <v>0</v>
      </c>
      <c r="E129" s="81">
        <v>0</v>
      </c>
      <c r="F129" s="82">
        <v>0</v>
      </c>
      <c r="G129" s="81">
        <v>0</v>
      </c>
      <c r="H129" s="83">
        <v>0</v>
      </c>
      <c r="I129" s="86">
        <v>40</v>
      </c>
      <c r="J129" s="84">
        <v>0</v>
      </c>
      <c r="K129" s="17" t="s">
        <v>16</v>
      </c>
      <c r="L129" s="18">
        <v>0</v>
      </c>
      <c r="M129" s="24">
        <v>0</v>
      </c>
    </row>
    <row r="130" spans="1:13" ht="25.5">
      <c r="A130" s="10">
        <v>126</v>
      </c>
      <c r="B130" s="20" t="s">
        <v>142</v>
      </c>
      <c r="C130" s="81">
        <v>0</v>
      </c>
      <c r="D130" s="82">
        <v>0</v>
      </c>
      <c r="E130" s="81">
        <v>0</v>
      </c>
      <c r="F130" s="82">
        <v>0</v>
      </c>
      <c r="G130" s="81">
        <v>0</v>
      </c>
      <c r="H130" s="83">
        <v>0</v>
      </c>
      <c r="I130" s="86">
        <v>50</v>
      </c>
      <c r="J130" s="84">
        <v>0</v>
      </c>
      <c r="K130" s="17" t="s">
        <v>16</v>
      </c>
      <c r="L130" s="18">
        <v>0</v>
      </c>
      <c r="M130" s="24">
        <v>0</v>
      </c>
    </row>
    <row r="131" spans="1:13" ht="25.5">
      <c r="A131" s="10">
        <v>127</v>
      </c>
      <c r="B131" s="20" t="s">
        <v>143</v>
      </c>
      <c r="C131" s="81">
        <v>0</v>
      </c>
      <c r="D131" s="82">
        <v>0</v>
      </c>
      <c r="E131" s="81">
        <v>0</v>
      </c>
      <c r="F131" s="82">
        <v>0</v>
      </c>
      <c r="G131" s="81">
        <v>0</v>
      </c>
      <c r="H131" s="83">
        <v>0</v>
      </c>
      <c r="I131" s="86">
        <v>55</v>
      </c>
      <c r="J131" s="84">
        <v>0</v>
      </c>
      <c r="K131" s="17" t="s">
        <v>16</v>
      </c>
      <c r="L131" s="18">
        <v>0</v>
      </c>
      <c r="M131" s="24">
        <v>0</v>
      </c>
    </row>
    <row r="132" spans="1:13" ht="25.5">
      <c r="A132" s="10">
        <v>128</v>
      </c>
      <c r="B132" s="20" t="s">
        <v>144</v>
      </c>
      <c r="C132" s="81">
        <v>0</v>
      </c>
      <c r="D132" s="82">
        <v>0</v>
      </c>
      <c r="E132" s="81">
        <v>0</v>
      </c>
      <c r="F132" s="82">
        <v>0</v>
      </c>
      <c r="G132" s="81">
        <v>0</v>
      </c>
      <c r="H132" s="83">
        <v>0</v>
      </c>
      <c r="I132" s="86">
        <v>55</v>
      </c>
      <c r="J132" s="84">
        <v>0</v>
      </c>
      <c r="K132" s="17" t="s">
        <v>16</v>
      </c>
      <c r="L132" s="18">
        <v>0</v>
      </c>
      <c r="M132" s="24">
        <v>0</v>
      </c>
    </row>
    <row r="133" spans="1:13" ht="25.5">
      <c r="A133" s="10">
        <v>129</v>
      </c>
      <c r="B133" s="20" t="s">
        <v>145</v>
      </c>
      <c r="C133" s="81">
        <v>0</v>
      </c>
      <c r="D133" s="82">
        <v>0</v>
      </c>
      <c r="E133" s="81">
        <v>0</v>
      </c>
      <c r="F133" s="82">
        <v>0</v>
      </c>
      <c r="G133" s="81">
        <v>0</v>
      </c>
      <c r="H133" s="83">
        <v>0</v>
      </c>
      <c r="I133" s="86">
        <v>45</v>
      </c>
      <c r="J133" s="84">
        <v>0</v>
      </c>
      <c r="K133" s="17" t="s">
        <v>16</v>
      </c>
      <c r="L133" s="18">
        <v>0</v>
      </c>
      <c r="M133" s="24">
        <v>0</v>
      </c>
    </row>
    <row r="134" spans="1:13" ht="25.5">
      <c r="A134" s="10">
        <v>130</v>
      </c>
      <c r="B134" s="20" t="s">
        <v>146</v>
      </c>
      <c r="C134" s="81">
        <v>0</v>
      </c>
      <c r="D134" s="82">
        <v>0</v>
      </c>
      <c r="E134" s="81">
        <v>0</v>
      </c>
      <c r="F134" s="82">
        <v>0</v>
      </c>
      <c r="G134" s="81">
        <v>0</v>
      </c>
      <c r="H134" s="83">
        <v>0</v>
      </c>
      <c r="I134" s="86">
        <v>45</v>
      </c>
      <c r="J134" s="84">
        <v>0</v>
      </c>
      <c r="K134" s="17" t="s">
        <v>16</v>
      </c>
      <c r="L134" s="18">
        <v>0</v>
      </c>
      <c r="M134" s="24">
        <v>0</v>
      </c>
    </row>
    <row r="135" spans="1:13" ht="25.5">
      <c r="A135" s="10">
        <v>131</v>
      </c>
      <c r="B135" s="20" t="s">
        <v>147</v>
      </c>
      <c r="C135" s="81">
        <v>0</v>
      </c>
      <c r="D135" s="82">
        <v>0</v>
      </c>
      <c r="E135" s="81">
        <v>0</v>
      </c>
      <c r="F135" s="82">
        <v>0</v>
      </c>
      <c r="G135" s="81">
        <v>0</v>
      </c>
      <c r="H135" s="83">
        <v>0</v>
      </c>
      <c r="I135" s="86">
        <v>55</v>
      </c>
      <c r="J135" s="84">
        <v>0</v>
      </c>
      <c r="K135" s="17" t="s">
        <v>16</v>
      </c>
      <c r="L135" s="18">
        <v>0</v>
      </c>
      <c r="M135" s="24">
        <v>0</v>
      </c>
    </row>
    <row r="136" spans="1:13" ht="25.5">
      <c r="A136" s="10">
        <v>132</v>
      </c>
      <c r="B136" s="20" t="s">
        <v>148</v>
      </c>
      <c r="C136" s="81">
        <v>0</v>
      </c>
      <c r="D136" s="82">
        <v>0</v>
      </c>
      <c r="E136" s="81">
        <v>0</v>
      </c>
      <c r="F136" s="82">
        <v>0</v>
      </c>
      <c r="G136" s="81">
        <v>0</v>
      </c>
      <c r="H136" s="83">
        <v>0</v>
      </c>
      <c r="I136" s="86">
        <v>45</v>
      </c>
      <c r="J136" s="84">
        <v>0</v>
      </c>
      <c r="K136" s="17" t="s">
        <v>16</v>
      </c>
      <c r="L136" s="18">
        <v>0</v>
      </c>
      <c r="M136" s="24">
        <v>0</v>
      </c>
    </row>
    <row r="137" spans="1:13" ht="25.5">
      <c r="A137" s="10">
        <v>133</v>
      </c>
      <c r="B137" s="20" t="s">
        <v>149</v>
      </c>
      <c r="C137" s="81">
        <v>0</v>
      </c>
      <c r="D137" s="82">
        <v>0</v>
      </c>
      <c r="E137" s="81">
        <v>0</v>
      </c>
      <c r="F137" s="82">
        <v>0</v>
      </c>
      <c r="G137" s="81">
        <v>0</v>
      </c>
      <c r="H137" s="83">
        <v>0</v>
      </c>
      <c r="I137" s="86">
        <v>45</v>
      </c>
      <c r="J137" s="84">
        <v>0</v>
      </c>
      <c r="K137" s="17" t="s">
        <v>16</v>
      </c>
      <c r="L137" s="18">
        <v>0</v>
      </c>
      <c r="M137" s="24">
        <v>0</v>
      </c>
    </row>
    <row r="138" spans="1:13" ht="25.5">
      <c r="A138" s="10">
        <v>134</v>
      </c>
      <c r="B138" s="20" t="s">
        <v>150</v>
      </c>
      <c r="C138" s="81">
        <v>0</v>
      </c>
      <c r="D138" s="82">
        <v>0</v>
      </c>
      <c r="E138" s="81">
        <v>0</v>
      </c>
      <c r="F138" s="82">
        <v>0</v>
      </c>
      <c r="G138" s="81">
        <v>0</v>
      </c>
      <c r="H138" s="83">
        <v>0</v>
      </c>
      <c r="I138" s="86">
        <v>45</v>
      </c>
      <c r="J138" s="84">
        <v>0</v>
      </c>
      <c r="K138" s="17" t="s">
        <v>16</v>
      </c>
      <c r="L138" s="18">
        <v>0</v>
      </c>
      <c r="M138" s="24">
        <v>0</v>
      </c>
    </row>
    <row r="139" spans="1:13" ht="25.5">
      <c r="A139" s="10">
        <v>135</v>
      </c>
      <c r="B139" s="20" t="s">
        <v>151</v>
      </c>
      <c r="C139" s="81">
        <v>0</v>
      </c>
      <c r="D139" s="82">
        <v>0</v>
      </c>
      <c r="E139" s="81">
        <v>0</v>
      </c>
      <c r="F139" s="82">
        <v>0</v>
      </c>
      <c r="G139" s="81">
        <v>0</v>
      </c>
      <c r="H139" s="83">
        <v>0</v>
      </c>
      <c r="I139" s="86">
        <v>45</v>
      </c>
      <c r="J139" s="84">
        <v>0</v>
      </c>
      <c r="K139" s="17" t="s">
        <v>16</v>
      </c>
      <c r="L139" s="18">
        <v>0</v>
      </c>
      <c r="M139" s="24">
        <v>0</v>
      </c>
    </row>
    <row r="140" spans="1:13" ht="25.5">
      <c r="A140" s="10">
        <v>136</v>
      </c>
      <c r="B140" s="20" t="s">
        <v>152</v>
      </c>
      <c r="C140" s="81">
        <v>0</v>
      </c>
      <c r="D140" s="82">
        <v>0</v>
      </c>
      <c r="E140" s="81">
        <v>0</v>
      </c>
      <c r="F140" s="82">
        <v>0</v>
      </c>
      <c r="G140" s="81">
        <v>0</v>
      </c>
      <c r="H140" s="83">
        <v>0</v>
      </c>
      <c r="I140" s="86">
        <v>45</v>
      </c>
      <c r="J140" s="84">
        <v>0</v>
      </c>
      <c r="K140" s="17" t="s">
        <v>16</v>
      </c>
      <c r="L140" s="18">
        <v>0</v>
      </c>
      <c r="M140" s="24">
        <v>0</v>
      </c>
    </row>
    <row r="141" spans="1:13" ht="25.5">
      <c r="A141" s="10">
        <v>137</v>
      </c>
      <c r="B141" s="20" t="s">
        <v>153</v>
      </c>
      <c r="C141" s="81">
        <v>0</v>
      </c>
      <c r="D141" s="82">
        <v>0</v>
      </c>
      <c r="E141" s="81">
        <v>0</v>
      </c>
      <c r="F141" s="82">
        <v>0</v>
      </c>
      <c r="G141" s="81">
        <v>0</v>
      </c>
      <c r="H141" s="83">
        <v>0</v>
      </c>
      <c r="I141" s="86">
        <v>45</v>
      </c>
      <c r="J141" s="84">
        <v>0</v>
      </c>
      <c r="K141" s="17" t="s">
        <v>16</v>
      </c>
      <c r="L141" s="18">
        <v>0</v>
      </c>
      <c r="M141" s="24">
        <v>0</v>
      </c>
    </row>
    <row r="142" spans="1:13" ht="25.5">
      <c r="A142" s="10">
        <v>138</v>
      </c>
      <c r="B142" s="20" t="s">
        <v>154</v>
      </c>
      <c r="C142" s="81">
        <v>0</v>
      </c>
      <c r="D142" s="82">
        <v>0</v>
      </c>
      <c r="E142" s="81">
        <v>0</v>
      </c>
      <c r="F142" s="82">
        <v>0</v>
      </c>
      <c r="G142" s="81">
        <v>0</v>
      </c>
      <c r="H142" s="83">
        <v>0</v>
      </c>
      <c r="I142" s="86">
        <v>120</v>
      </c>
      <c r="J142" s="84">
        <v>0</v>
      </c>
      <c r="K142" s="17" t="s">
        <v>16</v>
      </c>
      <c r="L142" s="18">
        <v>0</v>
      </c>
      <c r="M142" s="24">
        <v>0</v>
      </c>
    </row>
    <row r="143" spans="1:13" ht="25.5">
      <c r="A143" s="10">
        <v>139</v>
      </c>
      <c r="B143" s="20" t="s">
        <v>155</v>
      </c>
      <c r="C143" s="81">
        <v>0</v>
      </c>
      <c r="D143" s="82">
        <v>0</v>
      </c>
      <c r="E143" s="81">
        <v>0</v>
      </c>
      <c r="F143" s="82">
        <v>0</v>
      </c>
      <c r="G143" s="81">
        <v>0</v>
      </c>
      <c r="H143" s="83">
        <v>0</v>
      </c>
      <c r="I143" s="86">
        <v>120</v>
      </c>
      <c r="J143" s="84">
        <v>0</v>
      </c>
      <c r="K143" s="17" t="s">
        <v>16</v>
      </c>
      <c r="L143" s="18">
        <v>0</v>
      </c>
      <c r="M143" s="24">
        <v>0</v>
      </c>
    </row>
    <row r="144" spans="1:13" ht="25.5">
      <c r="A144" s="10">
        <v>140</v>
      </c>
      <c r="B144" s="20" t="s">
        <v>156</v>
      </c>
      <c r="C144" s="81">
        <v>0</v>
      </c>
      <c r="D144" s="82">
        <v>0</v>
      </c>
      <c r="E144" s="81">
        <v>0</v>
      </c>
      <c r="F144" s="82">
        <v>0</v>
      </c>
      <c r="G144" s="81">
        <v>0</v>
      </c>
      <c r="H144" s="83">
        <v>0</v>
      </c>
      <c r="I144" s="86">
        <v>120</v>
      </c>
      <c r="J144" s="84">
        <v>0</v>
      </c>
      <c r="K144" s="17" t="s">
        <v>16</v>
      </c>
      <c r="L144" s="18">
        <v>0</v>
      </c>
      <c r="M144" s="24">
        <v>0</v>
      </c>
    </row>
    <row r="145" spans="1:13" ht="25.5">
      <c r="A145" s="10">
        <v>141</v>
      </c>
      <c r="B145" s="20" t="s">
        <v>157</v>
      </c>
      <c r="C145" s="81">
        <v>0</v>
      </c>
      <c r="D145" s="82">
        <v>0</v>
      </c>
      <c r="E145" s="81">
        <v>0</v>
      </c>
      <c r="F145" s="82">
        <v>0</v>
      </c>
      <c r="G145" s="81">
        <v>0</v>
      </c>
      <c r="H145" s="83">
        <v>0</v>
      </c>
      <c r="I145" s="86">
        <v>120</v>
      </c>
      <c r="J145" s="84">
        <v>0</v>
      </c>
      <c r="K145" s="17" t="s">
        <v>16</v>
      </c>
      <c r="L145" s="18">
        <v>0</v>
      </c>
      <c r="M145" s="24">
        <v>0</v>
      </c>
    </row>
    <row r="146" spans="1:13" ht="25.5">
      <c r="A146" s="10">
        <v>142</v>
      </c>
      <c r="B146" s="20" t="s">
        <v>158</v>
      </c>
      <c r="C146" s="81">
        <v>0</v>
      </c>
      <c r="D146" s="82">
        <v>0</v>
      </c>
      <c r="E146" s="81">
        <v>0</v>
      </c>
      <c r="F146" s="82">
        <v>0</v>
      </c>
      <c r="G146" s="81">
        <v>0</v>
      </c>
      <c r="H146" s="83">
        <v>0</v>
      </c>
      <c r="I146" s="86">
        <v>185</v>
      </c>
      <c r="J146" s="84">
        <v>0</v>
      </c>
      <c r="K146" s="17" t="s">
        <v>16</v>
      </c>
      <c r="L146" s="18">
        <v>0</v>
      </c>
      <c r="M146" s="24">
        <v>0</v>
      </c>
    </row>
    <row r="147" spans="1:13" ht="25.5">
      <c r="A147" s="10">
        <v>143</v>
      </c>
      <c r="B147" s="20" t="s">
        <v>159</v>
      </c>
      <c r="C147" s="81">
        <v>0</v>
      </c>
      <c r="D147" s="82">
        <v>0</v>
      </c>
      <c r="E147" s="81">
        <v>0</v>
      </c>
      <c r="F147" s="82">
        <v>0</v>
      </c>
      <c r="G147" s="81">
        <v>0</v>
      </c>
      <c r="H147" s="83">
        <v>0</v>
      </c>
      <c r="I147" s="86">
        <v>185</v>
      </c>
      <c r="J147" s="84">
        <v>0</v>
      </c>
      <c r="K147" s="17" t="s">
        <v>16</v>
      </c>
      <c r="L147" s="18">
        <v>0</v>
      </c>
      <c r="M147" s="24">
        <v>0</v>
      </c>
    </row>
    <row r="148" spans="1:13" ht="25.5">
      <c r="A148" s="10">
        <v>144</v>
      </c>
      <c r="B148" s="20" t="s">
        <v>160</v>
      </c>
      <c r="C148" s="81">
        <v>0</v>
      </c>
      <c r="D148" s="82">
        <v>0</v>
      </c>
      <c r="E148" s="81">
        <v>0</v>
      </c>
      <c r="F148" s="82">
        <v>0</v>
      </c>
      <c r="G148" s="81">
        <v>0</v>
      </c>
      <c r="H148" s="83">
        <v>0</v>
      </c>
      <c r="I148" s="86">
        <v>185</v>
      </c>
      <c r="J148" s="84">
        <v>0</v>
      </c>
      <c r="K148" s="17" t="s">
        <v>16</v>
      </c>
      <c r="L148" s="18">
        <v>0</v>
      </c>
      <c r="M148" s="24">
        <v>0</v>
      </c>
    </row>
    <row r="149" spans="1:13" ht="25.5">
      <c r="A149" s="10">
        <v>145</v>
      </c>
      <c r="B149" s="20" t="s">
        <v>161</v>
      </c>
      <c r="C149" s="81">
        <v>0</v>
      </c>
      <c r="D149" s="82">
        <v>0</v>
      </c>
      <c r="E149" s="81">
        <v>0</v>
      </c>
      <c r="F149" s="82">
        <v>0</v>
      </c>
      <c r="G149" s="81">
        <v>0</v>
      </c>
      <c r="H149" s="83">
        <v>0</v>
      </c>
      <c r="I149" s="86">
        <v>185</v>
      </c>
      <c r="J149" s="84">
        <v>0</v>
      </c>
      <c r="K149" s="17" t="s">
        <v>16</v>
      </c>
      <c r="L149" s="18">
        <v>0</v>
      </c>
      <c r="M149" s="24">
        <v>0</v>
      </c>
    </row>
    <row r="150" spans="1:13" ht="25.5">
      <c r="A150" s="10">
        <v>146</v>
      </c>
      <c r="B150" s="20" t="s">
        <v>162</v>
      </c>
      <c r="C150" s="81">
        <v>5</v>
      </c>
      <c r="D150" s="82">
        <v>0</v>
      </c>
      <c r="E150" s="81">
        <v>5</v>
      </c>
      <c r="F150" s="82">
        <v>0</v>
      </c>
      <c r="G150" s="81">
        <v>5</v>
      </c>
      <c r="H150" s="83">
        <v>0</v>
      </c>
      <c r="I150" s="86">
        <v>120</v>
      </c>
      <c r="J150" s="84">
        <v>0</v>
      </c>
      <c r="K150" s="17" t="s">
        <v>16</v>
      </c>
      <c r="L150" s="18">
        <v>0</v>
      </c>
      <c r="M150" s="24">
        <v>0</v>
      </c>
    </row>
    <row r="151" spans="1:13" ht="25.5">
      <c r="A151" s="10">
        <v>147</v>
      </c>
      <c r="B151" s="20" t="s">
        <v>163</v>
      </c>
      <c r="C151" s="81">
        <v>5</v>
      </c>
      <c r="D151" s="82">
        <v>0</v>
      </c>
      <c r="E151" s="81">
        <v>5</v>
      </c>
      <c r="F151" s="82">
        <v>0</v>
      </c>
      <c r="G151" s="81">
        <v>5</v>
      </c>
      <c r="H151" s="83">
        <v>0</v>
      </c>
      <c r="I151" s="86">
        <v>120</v>
      </c>
      <c r="J151" s="84">
        <v>0</v>
      </c>
      <c r="K151" s="17" t="s">
        <v>16</v>
      </c>
      <c r="L151" s="18">
        <v>0</v>
      </c>
      <c r="M151" s="24">
        <v>0</v>
      </c>
    </row>
    <row r="152" spans="1:13" ht="25.5">
      <c r="A152" s="10">
        <v>148</v>
      </c>
      <c r="B152" s="20" t="s">
        <v>164</v>
      </c>
      <c r="C152" s="81">
        <v>4</v>
      </c>
      <c r="D152" s="82">
        <v>0</v>
      </c>
      <c r="E152" s="81">
        <v>4</v>
      </c>
      <c r="F152" s="82">
        <v>0</v>
      </c>
      <c r="G152" s="81">
        <v>4</v>
      </c>
      <c r="H152" s="83">
        <v>0</v>
      </c>
      <c r="I152" s="86">
        <v>120</v>
      </c>
      <c r="J152" s="84">
        <v>0</v>
      </c>
      <c r="K152" s="17" t="s">
        <v>16</v>
      </c>
      <c r="L152" s="18">
        <v>0</v>
      </c>
      <c r="M152" s="24">
        <v>0</v>
      </c>
    </row>
    <row r="153" spans="1:13" ht="25.5">
      <c r="A153" s="10">
        <v>149</v>
      </c>
      <c r="B153" s="20" t="s">
        <v>165</v>
      </c>
      <c r="C153" s="81">
        <v>3</v>
      </c>
      <c r="D153" s="82">
        <v>0</v>
      </c>
      <c r="E153" s="81">
        <v>3</v>
      </c>
      <c r="F153" s="82">
        <v>0</v>
      </c>
      <c r="G153" s="81">
        <v>3</v>
      </c>
      <c r="H153" s="83">
        <v>0</v>
      </c>
      <c r="I153" s="86">
        <v>120</v>
      </c>
      <c r="J153" s="84">
        <v>0</v>
      </c>
      <c r="K153" s="17" t="s">
        <v>16</v>
      </c>
      <c r="L153" s="18">
        <v>0</v>
      </c>
      <c r="M153" s="24">
        <v>0</v>
      </c>
    </row>
    <row r="154" spans="1:13" ht="25.5">
      <c r="A154" s="10">
        <v>150</v>
      </c>
      <c r="B154" s="20" t="s">
        <v>166</v>
      </c>
      <c r="C154" s="81">
        <v>0</v>
      </c>
      <c r="D154" s="82">
        <v>0</v>
      </c>
      <c r="E154" s="81">
        <v>0</v>
      </c>
      <c r="F154" s="82">
        <v>0</v>
      </c>
      <c r="G154" s="81">
        <v>0</v>
      </c>
      <c r="H154" s="83">
        <v>0</v>
      </c>
      <c r="I154" s="86">
        <v>185</v>
      </c>
      <c r="J154" s="84">
        <v>0</v>
      </c>
      <c r="K154" s="17" t="s">
        <v>16</v>
      </c>
      <c r="L154" s="18">
        <v>0</v>
      </c>
      <c r="M154" s="24">
        <v>0</v>
      </c>
    </row>
    <row r="155" spans="1:13" ht="25.5">
      <c r="A155" s="10">
        <v>151</v>
      </c>
      <c r="B155" s="20" t="s">
        <v>167</v>
      </c>
      <c r="C155" s="81">
        <v>0</v>
      </c>
      <c r="D155" s="82">
        <v>0</v>
      </c>
      <c r="E155" s="81">
        <v>0</v>
      </c>
      <c r="F155" s="82">
        <v>0</v>
      </c>
      <c r="G155" s="81">
        <v>0</v>
      </c>
      <c r="H155" s="83">
        <v>0</v>
      </c>
      <c r="I155" s="86">
        <v>185</v>
      </c>
      <c r="J155" s="84">
        <v>0</v>
      </c>
      <c r="K155" s="17" t="s">
        <v>16</v>
      </c>
      <c r="L155" s="18">
        <v>0</v>
      </c>
      <c r="M155" s="24">
        <v>0</v>
      </c>
    </row>
    <row r="156" spans="1:13" ht="25.5">
      <c r="A156" s="10">
        <v>152</v>
      </c>
      <c r="B156" s="20" t="s">
        <v>168</v>
      </c>
      <c r="C156" s="81">
        <v>0</v>
      </c>
      <c r="D156" s="82">
        <v>0</v>
      </c>
      <c r="E156" s="81">
        <v>0</v>
      </c>
      <c r="F156" s="82">
        <v>0</v>
      </c>
      <c r="G156" s="81">
        <v>0</v>
      </c>
      <c r="H156" s="83">
        <v>0</v>
      </c>
      <c r="I156" s="86">
        <v>185</v>
      </c>
      <c r="J156" s="84">
        <v>0</v>
      </c>
      <c r="K156" s="17" t="s">
        <v>16</v>
      </c>
      <c r="L156" s="18">
        <v>0</v>
      </c>
      <c r="M156" s="24">
        <v>0</v>
      </c>
    </row>
    <row r="157" spans="1:13" ht="25.5">
      <c r="A157" s="10">
        <v>153</v>
      </c>
      <c r="B157" s="20" t="s">
        <v>169</v>
      </c>
      <c r="C157" s="81">
        <v>0</v>
      </c>
      <c r="D157" s="82">
        <v>0</v>
      </c>
      <c r="E157" s="81">
        <v>0</v>
      </c>
      <c r="F157" s="82">
        <v>0</v>
      </c>
      <c r="G157" s="81">
        <v>0</v>
      </c>
      <c r="H157" s="83">
        <v>0</v>
      </c>
      <c r="I157" s="86">
        <v>185</v>
      </c>
      <c r="J157" s="84">
        <v>0</v>
      </c>
      <c r="K157" s="17" t="s">
        <v>16</v>
      </c>
      <c r="L157" s="18">
        <v>0</v>
      </c>
      <c r="M157" s="24">
        <v>0</v>
      </c>
    </row>
    <row r="158" spans="1:13" ht="25.5">
      <c r="A158" s="10">
        <v>154</v>
      </c>
      <c r="B158" s="20" t="s">
        <v>170</v>
      </c>
      <c r="C158" s="81">
        <v>0</v>
      </c>
      <c r="D158" s="82">
        <v>0</v>
      </c>
      <c r="E158" s="81">
        <v>0</v>
      </c>
      <c r="F158" s="82">
        <v>0</v>
      </c>
      <c r="G158" s="81">
        <v>0</v>
      </c>
      <c r="H158" s="83">
        <v>0</v>
      </c>
      <c r="I158" s="86">
        <v>135</v>
      </c>
      <c r="J158" s="84">
        <v>0</v>
      </c>
      <c r="K158" s="17" t="s">
        <v>16</v>
      </c>
      <c r="L158" s="18">
        <v>0</v>
      </c>
      <c r="M158" s="24">
        <v>0</v>
      </c>
    </row>
    <row r="159" spans="1:13" ht="25.5">
      <c r="A159" s="10">
        <v>155</v>
      </c>
      <c r="B159" s="20" t="s">
        <v>171</v>
      </c>
      <c r="C159" s="81">
        <v>0</v>
      </c>
      <c r="D159" s="82">
        <v>0</v>
      </c>
      <c r="E159" s="81">
        <v>0</v>
      </c>
      <c r="F159" s="82">
        <v>0</v>
      </c>
      <c r="G159" s="81">
        <v>0</v>
      </c>
      <c r="H159" s="83">
        <v>0</v>
      </c>
      <c r="I159" s="86">
        <v>90</v>
      </c>
      <c r="J159" s="84">
        <v>0</v>
      </c>
      <c r="K159" s="17" t="s">
        <v>16</v>
      </c>
      <c r="L159" s="18">
        <v>0</v>
      </c>
      <c r="M159" s="24">
        <v>0</v>
      </c>
    </row>
    <row r="160" spans="1:13" ht="25.5">
      <c r="A160" s="10">
        <v>156</v>
      </c>
      <c r="B160" s="20" t="s">
        <v>172</v>
      </c>
      <c r="C160" s="81">
        <v>0</v>
      </c>
      <c r="D160" s="82">
        <v>0</v>
      </c>
      <c r="E160" s="81">
        <v>0</v>
      </c>
      <c r="F160" s="82">
        <v>0</v>
      </c>
      <c r="G160" s="81">
        <v>0</v>
      </c>
      <c r="H160" s="83">
        <v>0</v>
      </c>
      <c r="I160" s="86">
        <v>90</v>
      </c>
      <c r="J160" s="84">
        <v>0</v>
      </c>
      <c r="K160" s="17" t="s">
        <v>16</v>
      </c>
      <c r="L160" s="18">
        <v>0</v>
      </c>
      <c r="M160" s="24">
        <v>0</v>
      </c>
    </row>
    <row r="161" spans="1:13" ht="25.5">
      <c r="A161" s="10">
        <v>157</v>
      </c>
      <c r="B161" s="20" t="s">
        <v>173</v>
      </c>
      <c r="C161" s="81">
        <v>0</v>
      </c>
      <c r="D161" s="82">
        <v>0</v>
      </c>
      <c r="E161" s="81">
        <v>0</v>
      </c>
      <c r="F161" s="82">
        <v>0</v>
      </c>
      <c r="G161" s="81">
        <v>0</v>
      </c>
      <c r="H161" s="83">
        <v>0</v>
      </c>
      <c r="I161" s="86">
        <v>90</v>
      </c>
      <c r="J161" s="84">
        <v>0</v>
      </c>
      <c r="K161" s="17" t="s">
        <v>16</v>
      </c>
      <c r="L161" s="18">
        <v>0</v>
      </c>
      <c r="M161" s="24">
        <v>0</v>
      </c>
    </row>
    <row r="162" spans="1:13" ht="25.5">
      <c r="A162" s="10">
        <v>158</v>
      </c>
      <c r="B162" s="20" t="s">
        <v>174</v>
      </c>
      <c r="C162" s="81">
        <v>0</v>
      </c>
      <c r="D162" s="82">
        <v>0</v>
      </c>
      <c r="E162" s="81">
        <v>0</v>
      </c>
      <c r="F162" s="82">
        <v>0</v>
      </c>
      <c r="G162" s="81">
        <v>0</v>
      </c>
      <c r="H162" s="83">
        <v>0</v>
      </c>
      <c r="I162" s="86">
        <v>90</v>
      </c>
      <c r="J162" s="84">
        <v>0</v>
      </c>
      <c r="K162" s="17" t="s">
        <v>16</v>
      </c>
      <c r="L162" s="18">
        <v>0</v>
      </c>
      <c r="M162" s="24">
        <v>0</v>
      </c>
    </row>
    <row r="163" spans="1:13" ht="25.5">
      <c r="A163" s="10">
        <v>159</v>
      </c>
      <c r="B163" s="20" t="s">
        <v>175</v>
      </c>
      <c r="C163" s="81">
        <v>0</v>
      </c>
      <c r="D163" s="82">
        <v>0</v>
      </c>
      <c r="E163" s="81">
        <v>0</v>
      </c>
      <c r="F163" s="82">
        <v>0</v>
      </c>
      <c r="G163" s="81">
        <v>0</v>
      </c>
      <c r="H163" s="83">
        <v>0</v>
      </c>
      <c r="I163" s="86">
        <v>25</v>
      </c>
      <c r="J163" s="84">
        <v>0</v>
      </c>
      <c r="K163" s="17" t="s">
        <v>16</v>
      </c>
      <c r="L163" s="18">
        <v>0</v>
      </c>
      <c r="M163" s="24">
        <v>0</v>
      </c>
    </row>
    <row r="164" spans="1:13" ht="25.5">
      <c r="A164" s="10">
        <v>160</v>
      </c>
      <c r="B164" s="20" t="s">
        <v>176</v>
      </c>
      <c r="C164" s="81">
        <v>0</v>
      </c>
      <c r="D164" s="82">
        <v>0</v>
      </c>
      <c r="E164" s="81">
        <v>0</v>
      </c>
      <c r="F164" s="82">
        <v>0</v>
      </c>
      <c r="G164" s="81">
        <v>0</v>
      </c>
      <c r="H164" s="83">
        <v>0</v>
      </c>
      <c r="I164" s="86">
        <v>50</v>
      </c>
      <c r="J164" s="84">
        <v>0</v>
      </c>
      <c r="K164" s="17" t="s">
        <v>16</v>
      </c>
      <c r="L164" s="18">
        <v>0</v>
      </c>
      <c r="M164" s="24">
        <v>0</v>
      </c>
    </row>
    <row r="165" spans="1:13" ht="25.5">
      <c r="A165" s="10">
        <v>161</v>
      </c>
      <c r="B165" s="20" t="s">
        <v>177</v>
      </c>
      <c r="C165" s="81">
        <v>0</v>
      </c>
      <c r="D165" s="82">
        <v>0</v>
      </c>
      <c r="E165" s="81">
        <v>0</v>
      </c>
      <c r="F165" s="82">
        <v>0</v>
      </c>
      <c r="G165" s="81">
        <v>0</v>
      </c>
      <c r="H165" s="83">
        <v>0</v>
      </c>
      <c r="I165" s="86">
        <v>50</v>
      </c>
      <c r="J165" s="84">
        <v>0</v>
      </c>
      <c r="K165" s="17" t="s">
        <v>16</v>
      </c>
      <c r="L165" s="18">
        <v>0</v>
      </c>
      <c r="M165" s="24">
        <v>0</v>
      </c>
    </row>
    <row r="166" spans="1:13" ht="25.5">
      <c r="A166" s="10">
        <v>162</v>
      </c>
      <c r="B166" s="20" t="s">
        <v>178</v>
      </c>
      <c r="C166" s="81">
        <v>0</v>
      </c>
      <c r="D166" s="82">
        <v>0</v>
      </c>
      <c r="E166" s="81">
        <v>0</v>
      </c>
      <c r="F166" s="82">
        <v>0</v>
      </c>
      <c r="G166" s="81">
        <v>0</v>
      </c>
      <c r="H166" s="83">
        <v>0</v>
      </c>
      <c r="I166" s="86">
        <v>50</v>
      </c>
      <c r="J166" s="84">
        <v>0</v>
      </c>
      <c r="K166" s="17" t="s">
        <v>16</v>
      </c>
      <c r="L166" s="18">
        <v>0</v>
      </c>
      <c r="M166" s="24">
        <v>0</v>
      </c>
    </row>
    <row r="167" spans="1:13" ht="25.5">
      <c r="A167" s="10">
        <v>163</v>
      </c>
      <c r="B167" s="20" t="s">
        <v>179</v>
      </c>
      <c r="C167" s="81">
        <v>0</v>
      </c>
      <c r="D167" s="82">
        <v>0</v>
      </c>
      <c r="E167" s="81">
        <v>0</v>
      </c>
      <c r="F167" s="82">
        <v>0</v>
      </c>
      <c r="G167" s="81">
        <v>0</v>
      </c>
      <c r="H167" s="83">
        <v>0</v>
      </c>
      <c r="I167" s="86">
        <v>50</v>
      </c>
      <c r="J167" s="84">
        <v>0</v>
      </c>
      <c r="K167" s="17" t="s">
        <v>16</v>
      </c>
      <c r="L167" s="18">
        <v>0</v>
      </c>
      <c r="M167" s="24">
        <v>0</v>
      </c>
    </row>
    <row r="168" spans="1:13" ht="25.5">
      <c r="A168" s="10">
        <v>164</v>
      </c>
      <c r="B168" s="20" t="s">
        <v>180</v>
      </c>
      <c r="C168" s="81">
        <v>8</v>
      </c>
      <c r="D168" s="82">
        <v>0</v>
      </c>
      <c r="E168" s="81">
        <v>8</v>
      </c>
      <c r="F168" s="82">
        <v>0</v>
      </c>
      <c r="G168" s="81">
        <v>8</v>
      </c>
      <c r="H168" s="83">
        <v>0</v>
      </c>
      <c r="I168" s="86">
        <v>55</v>
      </c>
      <c r="J168" s="84">
        <v>0</v>
      </c>
      <c r="K168" s="17" t="s">
        <v>16</v>
      </c>
      <c r="L168" s="18">
        <v>0</v>
      </c>
      <c r="M168" s="24">
        <v>0</v>
      </c>
    </row>
    <row r="169" spans="1:13" ht="25.5">
      <c r="A169" s="10">
        <v>165</v>
      </c>
      <c r="B169" s="20" t="s">
        <v>181</v>
      </c>
      <c r="C169" s="81">
        <v>14</v>
      </c>
      <c r="D169" s="82">
        <v>0</v>
      </c>
      <c r="E169" s="81">
        <v>14</v>
      </c>
      <c r="F169" s="82">
        <v>0</v>
      </c>
      <c r="G169" s="81">
        <v>14</v>
      </c>
      <c r="H169" s="83">
        <v>0</v>
      </c>
      <c r="I169" s="86">
        <v>85</v>
      </c>
      <c r="J169" s="84">
        <v>0</v>
      </c>
      <c r="K169" s="17" t="s">
        <v>16</v>
      </c>
      <c r="L169" s="18">
        <v>0</v>
      </c>
      <c r="M169" s="24">
        <v>0</v>
      </c>
    </row>
    <row r="170" spans="1:13" ht="25.5">
      <c r="A170" s="10">
        <v>166</v>
      </c>
      <c r="B170" s="20" t="s">
        <v>182</v>
      </c>
      <c r="C170" s="81">
        <v>0</v>
      </c>
      <c r="D170" s="82">
        <v>0</v>
      </c>
      <c r="E170" s="81">
        <v>0</v>
      </c>
      <c r="F170" s="82">
        <v>0</v>
      </c>
      <c r="G170" s="81">
        <v>0</v>
      </c>
      <c r="H170" s="83">
        <v>0</v>
      </c>
      <c r="I170" s="86">
        <v>80</v>
      </c>
      <c r="J170" s="84">
        <v>0</v>
      </c>
      <c r="K170" s="17" t="s">
        <v>16</v>
      </c>
      <c r="L170" s="18">
        <v>0</v>
      </c>
      <c r="M170" s="24">
        <v>0</v>
      </c>
    </row>
    <row r="171" spans="1:13" ht="25.5">
      <c r="A171" s="10">
        <v>167</v>
      </c>
      <c r="B171" s="20" t="s">
        <v>225</v>
      </c>
      <c r="C171" s="81">
        <v>1</v>
      </c>
      <c r="D171" s="82">
        <v>0</v>
      </c>
      <c r="E171" s="81">
        <v>1</v>
      </c>
      <c r="F171" s="82">
        <v>0</v>
      </c>
      <c r="G171" s="81">
        <v>1</v>
      </c>
      <c r="H171" s="83">
        <v>0</v>
      </c>
      <c r="I171" s="86">
        <v>40</v>
      </c>
      <c r="J171" s="84">
        <v>0</v>
      </c>
      <c r="K171" s="17" t="s">
        <v>16</v>
      </c>
      <c r="L171" s="18">
        <v>0</v>
      </c>
      <c r="M171" s="24">
        <v>0</v>
      </c>
    </row>
    <row r="172" spans="1:13" ht="25.5">
      <c r="A172" s="10">
        <v>168</v>
      </c>
      <c r="B172" s="20" t="s">
        <v>183</v>
      </c>
      <c r="C172" s="81">
        <v>0</v>
      </c>
      <c r="D172" s="82">
        <v>0</v>
      </c>
      <c r="E172" s="81">
        <v>0</v>
      </c>
      <c r="F172" s="82">
        <v>0</v>
      </c>
      <c r="G172" s="81">
        <v>0</v>
      </c>
      <c r="H172" s="83">
        <v>0</v>
      </c>
      <c r="I172" s="86">
        <v>120</v>
      </c>
      <c r="J172" s="84">
        <v>0</v>
      </c>
      <c r="K172" s="17" t="s">
        <v>16</v>
      </c>
      <c r="L172" s="18">
        <v>0</v>
      </c>
      <c r="M172" s="24">
        <v>0</v>
      </c>
    </row>
    <row r="173" spans="1:13" ht="25.5">
      <c r="A173" s="10">
        <v>169</v>
      </c>
      <c r="B173" s="20" t="s">
        <v>184</v>
      </c>
      <c r="C173" s="81">
        <v>0</v>
      </c>
      <c r="D173" s="82">
        <v>0</v>
      </c>
      <c r="E173" s="81">
        <v>0</v>
      </c>
      <c r="F173" s="82">
        <v>0</v>
      </c>
      <c r="G173" s="81">
        <v>0</v>
      </c>
      <c r="H173" s="83">
        <v>0</v>
      </c>
      <c r="I173" s="86">
        <v>120</v>
      </c>
      <c r="J173" s="84">
        <v>0</v>
      </c>
      <c r="K173" s="17" t="s">
        <v>16</v>
      </c>
      <c r="L173" s="18">
        <v>0</v>
      </c>
      <c r="M173" s="24">
        <v>0</v>
      </c>
    </row>
    <row r="174" spans="1:13" ht="25.5">
      <c r="A174" s="10">
        <v>170</v>
      </c>
      <c r="B174" s="20" t="s">
        <v>185</v>
      </c>
      <c r="C174" s="81">
        <v>0</v>
      </c>
      <c r="D174" s="82">
        <v>0</v>
      </c>
      <c r="E174" s="81">
        <v>0</v>
      </c>
      <c r="F174" s="82">
        <v>0</v>
      </c>
      <c r="G174" s="81">
        <v>0</v>
      </c>
      <c r="H174" s="83">
        <v>0</v>
      </c>
      <c r="I174" s="86">
        <v>55</v>
      </c>
      <c r="J174" s="84">
        <v>0</v>
      </c>
      <c r="K174" s="17" t="s">
        <v>16</v>
      </c>
      <c r="L174" s="18">
        <v>0</v>
      </c>
      <c r="M174" s="24">
        <v>0</v>
      </c>
    </row>
    <row r="175" spans="1:13" ht="25.5">
      <c r="A175" s="10">
        <v>171</v>
      </c>
      <c r="B175" s="20" t="s">
        <v>186</v>
      </c>
      <c r="C175" s="81">
        <v>0</v>
      </c>
      <c r="D175" s="82">
        <v>0</v>
      </c>
      <c r="E175" s="81">
        <v>0</v>
      </c>
      <c r="F175" s="82">
        <v>0</v>
      </c>
      <c r="G175" s="81">
        <v>0</v>
      </c>
      <c r="H175" s="83">
        <v>0</v>
      </c>
      <c r="I175" s="86">
        <v>50</v>
      </c>
      <c r="J175" s="84">
        <v>0</v>
      </c>
      <c r="K175" s="17" t="s">
        <v>16</v>
      </c>
      <c r="L175" s="18">
        <v>0</v>
      </c>
      <c r="M175" s="24">
        <v>0</v>
      </c>
    </row>
    <row r="176" spans="1:13" ht="25.5">
      <c r="A176" s="10">
        <v>172</v>
      </c>
      <c r="B176" s="20" t="s">
        <v>187</v>
      </c>
      <c r="C176" s="81">
        <v>0</v>
      </c>
      <c r="D176" s="82">
        <v>0</v>
      </c>
      <c r="E176" s="81">
        <v>0</v>
      </c>
      <c r="F176" s="82">
        <v>0</v>
      </c>
      <c r="G176" s="81">
        <v>0</v>
      </c>
      <c r="H176" s="83">
        <v>0</v>
      </c>
      <c r="I176" s="86">
        <v>50</v>
      </c>
      <c r="J176" s="84">
        <v>0</v>
      </c>
      <c r="K176" s="17" t="s">
        <v>16</v>
      </c>
      <c r="L176" s="18">
        <v>0</v>
      </c>
      <c r="M176" s="24">
        <v>0</v>
      </c>
    </row>
    <row r="177" spans="1:13" ht="25.5">
      <c r="A177" s="10">
        <v>173</v>
      </c>
      <c r="B177" s="20" t="s">
        <v>188</v>
      </c>
      <c r="C177" s="81">
        <v>0</v>
      </c>
      <c r="D177" s="82">
        <v>0</v>
      </c>
      <c r="E177" s="81">
        <v>0</v>
      </c>
      <c r="F177" s="82">
        <v>0</v>
      </c>
      <c r="G177" s="81">
        <v>0</v>
      </c>
      <c r="H177" s="83">
        <v>0</v>
      </c>
      <c r="I177" s="86">
        <v>120</v>
      </c>
      <c r="J177" s="84">
        <v>0</v>
      </c>
      <c r="K177" s="17" t="s">
        <v>16</v>
      </c>
      <c r="L177" s="18">
        <v>0</v>
      </c>
      <c r="M177" s="24">
        <v>0</v>
      </c>
    </row>
    <row r="178" spans="1:13" ht="25.5">
      <c r="A178" s="10">
        <v>174</v>
      </c>
      <c r="B178" s="20" t="s">
        <v>189</v>
      </c>
      <c r="C178" s="81">
        <v>4</v>
      </c>
      <c r="D178" s="82">
        <v>0</v>
      </c>
      <c r="E178" s="81">
        <v>4</v>
      </c>
      <c r="F178" s="82">
        <v>0</v>
      </c>
      <c r="G178" s="81">
        <v>4</v>
      </c>
      <c r="H178" s="83">
        <v>0</v>
      </c>
      <c r="I178" s="86">
        <v>120</v>
      </c>
      <c r="J178" s="84">
        <v>0</v>
      </c>
      <c r="K178" s="17" t="s">
        <v>16</v>
      </c>
      <c r="L178" s="18">
        <v>0</v>
      </c>
      <c r="M178" s="24">
        <v>0</v>
      </c>
    </row>
    <row r="179" spans="1:13" ht="25.5">
      <c r="A179" s="10">
        <v>175</v>
      </c>
      <c r="B179" s="20" t="s">
        <v>190</v>
      </c>
      <c r="C179" s="81">
        <v>0</v>
      </c>
      <c r="D179" s="82">
        <v>0</v>
      </c>
      <c r="E179" s="81">
        <v>0</v>
      </c>
      <c r="F179" s="82">
        <v>0</v>
      </c>
      <c r="G179" s="81">
        <v>0</v>
      </c>
      <c r="H179" s="83">
        <v>0</v>
      </c>
      <c r="I179" s="86">
        <v>10</v>
      </c>
      <c r="J179" s="84">
        <v>0</v>
      </c>
      <c r="K179" s="17" t="s">
        <v>16</v>
      </c>
      <c r="L179" s="18">
        <v>0</v>
      </c>
      <c r="M179" s="24">
        <v>0</v>
      </c>
    </row>
    <row r="180" spans="1:13" ht="25.5">
      <c r="A180" s="10">
        <v>176</v>
      </c>
      <c r="B180" s="20" t="s">
        <v>191</v>
      </c>
      <c r="C180" s="81">
        <v>0</v>
      </c>
      <c r="D180" s="82">
        <v>0</v>
      </c>
      <c r="E180" s="81">
        <v>0</v>
      </c>
      <c r="F180" s="82">
        <v>0</v>
      </c>
      <c r="G180" s="81">
        <v>0</v>
      </c>
      <c r="H180" s="83">
        <v>0</v>
      </c>
      <c r="I180" s="86">
        <v>35</v>
      </c>
      <c r="J180" s="84">
        <v>0</v>
      </c>
      <c r="K180" s="17" t="s">
        <v>16</v>
      </c>
      <c r="L180" s="18">
        <v>0</v>
      </c>
      <c r="M180" s="24">
        <v>0</v>
      </c>
    </row>
    <row r="181" spans="1:13" ht="25.5">
      <c r="A181" s="10">
        <v>177</v>
      </c>
      <c r="B181" s="20" t="s">
        <v>192</v>
      </c>
      <c r="C181" s="81">
        <v>0</v>
      </c>
      <c r="D181" s="82">
        <v>0</v>
      </c>
      <c r="E181" s="81">
        <v>0</v>
      </c>
      <c r="F181" s="82">
        <v>0</v>
      </c>
      <c r="G181" s="81">
        <v>0</v>
      </c>
      <c r="H181" s="83">
        <v>0</v>
      </c>
      <c r="I181" s="86">
        <v>10</v>
      </c>
      <c r="J181" s="84">
        <v>0</v>
      </c>
      <c r="K181" s="17" t="s">
        <v>16</v>
      </c>
      <c r="L181" s="18">
        <v>0</v>
      </c>
      <c r="M181" s="24">
        <v>0</v>
      </c>
    </row>
    <row r="182" spans="1:13" ht="25.5">
      <c r="A182" s="10">
        <v>178</v>
      </c>
      <c r="B182" s="20" t="s">
        <v>193</v>
      </c>
      <c r="C182" s="81">
        <v>0</v>
      </c>
      <c r="D182" s="82">
        <v>0</v>
      </c>
      <c r="E182" s="81">
        <v>0</v>
      </c>
      <c r="F182" s="82">
        <v>0</v>
      </c>
      <c r="G182" s="81">
        <v>0</v>
      </c>
      <c r="H182" s="83">
        <v>0</v>
      </c>
      <c r="I182" s="86">
        <v>10</v>
      </c>
      <c r="J182" s="84">
        <v>0</v>
      </c>
      <c r="K182" s="17" t="s">
        <v>16</v>
      </c>
      <c r="L182" s="18">
        <v>0</v>
      </c>
      <c r="M182" s="24">
        <v>0</v>
      </c>
    </row>
    <row r="183" spans="1:13" ht="25.5">
      <c r="A183" s="10">
        <v>179</v>
      </c>
      <c r="B183" s="20" t="s">
        <v>194</v>
      </c>
      <c r="C183" s="81">
        <v>0</v>
      </c>
      <c r="D183" s="82">
        <v>0</v>
      </c>
      <c r="E183" s="81">
        <v>0</v>
      </c>
      <c r="F183" s="82">
        <v>0</v>
      </c>
      <c r="G183" s="81">
        <v>0</v>
      </c>
      <c r="H183" s="83">
        <v>0</v>
      </c>
      <c r="I183" s="86">
        <v>10</v>
      </c>
      <c r="J183" s="84">
        <v>0</v>
      </c>
      <c r="K183" s="17" t="s">
        <v>16</v>
      </c>
      <c r="L183" s="18">
        <v>0</v>
      </c>
      <c r="M183" s="24">
        <v>0</v>
      </c>
    </row>
    <row r="184" spans="1:13" ht="25.5">
      <c r="A184" s="10">
        <v>180</v>
      </c>
      <c r="B184" s="20" t="s">
        <v>195</v>
      </c>
      <c r="C184" s="81">
        <v>0</v>
      </c>
      <c r="D184" s="82">
        <v>0</v>
      </c>
      <c r="E184" s="81">
        <v>0</v>
      </c>
      <c r="F184" s="82">
        <v>0</v>
      </c>
      <c r="G184" s="81">
        <v>0</v>
      </c>
      <c r="H184" s="83">
        <v>0</v>
      </c>
      <c r="I184" s="86">
        <v>10</v>
      </c>
      <c r="J184" s="84">
        <v>0</v>
      </c>
      <c r="K184" s="17" t="s">
        <v>16</v>
      </c>
      <c r="L184" s="18">
        <v>0</v>
      </c>
      <c r="M184" s="24">
        <v>0</v>
      </c>
    </row>
    <row r="185" spans="1:13" ht="25.5">
      <c r="A185" s="10">
        <v>181</v>
      </c>
      <c r="B185" s="20" t="s">
        <v>196</v>
      </c>
      <c r="C185" s="81">
        <v>0</v>
      </c>
      <c r="D185" s="82">
        <v>0</v>
      </c>
      <c r="E185" s="81">
        <v>0</v>
      </c>
      <c r="F185" s="82">
        <v>0</v>
      </c>
      <c r="G185" s="81">
        <v>0</v>
      </c>
      <c r="H185" s="83">
        <v>0</v>
      </c>
      <c r="I185" s="86">
        <v>10</v>
      </c>
      <c r="J185" s="84">
        <v>0</v>
      </c>
      <c r="K185" s="17" t="s">
        <v>16</v>
      </c>
      <c r="L185" s="18">
        <v>0</v>
      </c>
      <c r="M185" s="24">
        <v>0</v>
      </c>
    </row>
    <row r="186" spans="1:13" ht="25.5">
      <c r="A186" s="10">
        <v>182</v>
      </c>
      <c r="B186" s="20" t="s">
        <v>197</v>
      </c>
      <c r="C186" s="81">
        <v>0</v>
      </c>
      <c r="D186" s="82">
        <v>0</v>
      </c>
      <c r="E186" s="81">
        <v>0</v>
      </c>
      <c r="F186" s="82">
        <v>0</v>
      </c>
      <c r="G186" s="81">
        <v>0</v>
      </c>
      <c r="H186" s="83">
        <v>0</v>
      </c>
      <c r="I186" s="86">
        <v>25</v>
      </c>
      <c r="J186" s="84">
        <v>0</v>
      </c>
      <c r="K186" s="17" t="s">
        <v>16</v>
      </c>
      <c r="L186" s="18">
        <v>0</v>
      </c>
      <c r="M186" s="24">
        <v>0</v>
      </c>
    </row>
    <row r="187" spans="1:13" ht="25.5">
      <c r="A187" s="10">
        <v>183</v>
      </c>
      <c r="B187" s="20" t="s">
        <v>198</v>
      </c>
      <c r="C187" s="81">
        <v>0</v>
      </c>
      <c r="D187" s="82">
        <v>0</v>
      </c>
      <c r="E187" s="81">
        <v>0</v>
      </c>
      <c r="F187" s="82">
        <v>0</v>
      </c>
      <c r="G187" s="81">
        <v>0</v>
      </c>
      <c r="H187" s="83">
        <v>0</v>
      </c>
      <c r="I187" s="15">
        <v>50</v>
      </c>
      <c r="J187" s="84">
        <v>0</v>
      </c>
      <c r="K187" s="17" t="s">
        <v>16</v>
      </c>
      <c r="L187" s="18">
        <v>0</v>
      </c>
      <c r="M187" s="24">
        <v>0</v>
      </c>
    </row>
    <row r="188" spans="1:13" ht="25.5">
      <c r="A188" s="10">
        <v>184</v>
      </c>
      <c r="B188" s="20" t="s">
        <v>199</v>
      </c>
      <c r="C188" s="81">
        <v>0</v>
      </c>
      <c r="D188" s="82">
        <v>0</v>
      </c>
      <c r="E188" s="81">
        <v>0</v>
      </c>
      <c r="F188" s="82">
        <v>0</v>
      </c>
      <c r="G188" s="81">
        <v>0</v>
      </c>
      <c r="H188" s="83">
        <v>0</v>
      </c>
      <c r="I188" s="15">
        <v>10</v>
      </c>
      <c r="J188" s="84">
        <v>0</v>
      </c>
      <c r="K188" s="17" t="s">
        <v>16</v>
      </c>
      <c r="L188" s="18">
        <v>0</v>
      </c>
      <c r="M188" s="24">
        <v>0</v>
      </c>
    </row>
    <row r="189" spans="1:13" ht="25.5">
      <c r="A189" s="10">
        <v>185</v>
      </c>
      <c r="B189" s="20" t="s">
        <v>200</v>
      </c>
      <c r="C189" s="81">
        <v>0</v>
      </c>
      <c r="D189" s="82">
        <v>0</v>
      </c>
      <c r="E189" s="81">
        <v>0</v>
      </c>
      <c r="F189" s="82">
        <v>0</v>
      </c>
      <c r="G189" s="81">
        <v>0</v>
      </c>
      <c r="H189" s="83">
        <v>0</v>
      </c>
      <c r="I189" s="15">
        <v>15</v>
      </c>
      <c r="J189" s="84">
        <v>0</v>
      </c>
      <c r="K189" s="17" t="s">
        <v>16</v>
      </c>
      <c r="L189" s="18">
        <v>0</v>
      </c>
      <c r="M189" s="24">
        <v>0</v>
      </c>
    </row>
    <row r="190" spans="1:13" ht="25.5">
      <c r="A190" s="10">
        <v>186</v>
      </c>
      <c r="B190" s="20" t="s">
        <v>201</v>
      </c>
      <c r="C190" s="81">
        <v>0</v>
      </c>
      <c r="D190" s="82">
        <v>0</v>
      </c>
      <c r="E190" s="81">
        <v>0</v>
      </c>
      <c r="F190" s="82">
        <v>0</v>
      </c>
      <c r="G190" s="81">
        <v>0</v>
      </c>
      <c r="H190" s="83">
        <v>0</v>
      </c>
      <c r="I190" s="15">
        <v>50</v>
      </c>
      <c r="J190" s="84">
        <v>0</v>
      </c>
      <c r="K190" s="17" t="s">
        <v>16</v>
      </c>
      <c r="L190" s="18">
        <v>0</v>
      </c>
      <c r="M190" s="24">
        <v>0</v>
      </c>
    </row>
    <row r="191" spans="1:13" ht="25.5">
      <c r="A191" s="10">
        <v>187</v>
      </c>
      <c r="B191" s="20" t="s">
        <v>202</v>
      </c>
      <c r="C191" s="81">
        <v>5</v>
      </c>
      <c r="D191" s="82">
        <v>0</v>
      </c>
      <c r="E191" s="81">
        <v>5</v>
      </c>
      <c r="F191" s="82">
        <v>0</v>
      </c>
      <c r="G191" s="81">
        <v>2</v>
      </c>
      <c r="H191" s="83">
        <v>3</v>
      </c>
      <c r="I191" s="15">
        <v>15</v>
      </c>
      <c r="J191" s="84">
        <v>45</v>
      </c>
      <c r="K191" s="17" t="s">
        <v>16</v>
      </c>
      <c r="L191" s="18">
        <v>0</v>
      </c>
      <c r="M191" s="24">
        <v>45</v>
      </c>
    </row>
    <row r="192" spans="1:13" ht="25.5">
      <c r="A192" s="10">
        <v>188</v>
      </c>
      <c r="B192" s="20" t="s">
        <v>203</v>
      </c>
      <c r="C192" s="81">
        <v>0</v>
      </c>
      <c r="D192" s="82">
        <v>0</v>
      </c>
      <c r="E192" s="81">
        <v>0</v>
      </c>
      <c r="F192" s="82">
        <v>0</v>
      </c>
      <c r="G192" s="81">
        <v>0</v>
      </c>
      <c r="H192" s="83">
        <v>0</v>
      </c>
      <c r="I192" s="15">
        <v>55</v>
      </c>
      <c r="J192" s="84">
        <v>0</v>
      </c>
      <c r="K192" s="17" t="s">
        <v>16</v>
      </c>
      <c r="L192" s="18">
        <v>0</v>
      </c>
      <c r="M192" s="24">
        <v>0</v>
      </c>
    </row>
    <row r="193" spans="1:14" ht="25.5">
      <c r="A193" s="10">
        <v>189</v>
      </c>
      <c r="B193" s="20" t="s">
        <v>204</v>
      </c>
      <c r="C193" s="81">
        <v>0</v>
      </c>
      <c r="D193" s="82">
        <v>0</v>
      </c>
      <c r="E193" s="81">
        <v>0</v>
      </c>
      <c r="F193" s="82">
        <v>0</v>
      </c>
      <c r="G193" s="81">
        <v>0</v>
      </c>
      <c r="H193" s="83">
        <v>0</v>
      </c>
      <c r="I193" s="15">
        <v>25</v>
      </c>
      <c r="J193" s="84">
        <v>0</v>
      </c>
      <c r="K193" s="17" t="s">
        <v>16</v>
      </c>
      <c r="L193" s="18">
        <v>0</v>
      </c>
      <c r="M193" s="24">
        <v>0</v>
      </c>
      <c r="N193"/>
    </row>
    <row r="194" spans="1:14" ht="25.5">
      <c r="A194" s="10">
        <v>190</v>
      </c>
      <c r="B194" s="20" t="s">
        <v>205</v>
      </c>
      <c r="C194" s="81">
        <v>0</v>
      </c>
      <c r="D194" s="82">
        <v>0</v>
      </c>
      <c r="E194" s="81">
        <v>0</v>
      </c>
      <c r="F194" s="82">
        <v>0</v>
      </c>
      <c r="G194" s="81">
        <v>0</v>
      </c>
      <c r="H194" s="83">
        <v>0</v>
      </c>
      <c r="I194" s="15">
        <v>25</v>
      </c>
      <c r="J194" s="84">
        <v>0</v>
      </c>
      <c r="K194" s="17" t="s">
        <v>16</v>
      </c>
      <c r="L194" s="18">
        <v>0</v>
      </c>
      <c r="M194" s="24">
        <v>0</v>
      </c>
      <c r="N194"/>
    </row>
    <row r="195" spans="1:14" ht="25.5">
      <c r="A195" s="10">
        <v>191</v>
      </c>
      <c r="B195" s="20" t="s">
        <v>206</v>
      </c>
      <c r="C195" s="81">
        <v>0</v>
      </c>
      <c r="D195" s="82">
        <v>0</v>
      </c>
      <c r="E195" s="81">
        <v>0</v>
      </c>
      <c r="F195" s="82">
        <v>0</v>
      </c>
      <c r="G195" s="81">
        <v>0</v>
      </c>
      <c r="H195" s="83">
        <v>0</v>
      </c>
      <c r="I195" s="15">
        <v>15</v>
      </c>
      <c r="J195" s="84">
        <v>0</v>
      </c>
      <c r="K195" s="17" t="s">
        <v>16</v>
      </c>
      <c r="L195" s="18">
        <v>0</v>
      </c>
      <c r="M195" s="24">
        <v>0</v>
      </c>
      <c r="N195"/>
    </row>
    <row r="196" spans="1:14" ht="25.5">
      <c r="A196" s="10">
        <v>192</v>
      </c>
      <c r="B196" s="20" t="s">
        <v>207</v>
      </c>
      <c r="C196" s="81">
        <v>0</v>
      </c>
      <c r="D196" s="82">
        <v>0</v>
      </c>
      <c r="E196" s="81">
        <v>0</v>
      </c>
      <c r="F196" s="82">
        <v>0</v>
      </c>
      <c r="G196" s="81">
        <v>0</v>
      </c>
      <c r="H196" s="83">
        <v>0</v>
      </c>
      <c r="I196" s="15">
        <v>45</v>
      </c>
      <c r="J196" s="84">
        <v>0</v>
      </c>
      <c r="K196" s="17" t="s">
        <v>16</v>
      </c>
      <c r="L196" s="18">
        <v>0</v>
      </c>
      <c r="M196" s="24">
        <v>0</v>
      </c>
      <c r="N196"/>
    </row>
    <row r="197" spans="1:14" ht="25.5">
      <c r="A197" s="10">
        <v>193</v>
      </c>
      <c r="B197" s="20" t="s">
        <v>208</v>
      </c>
      <c r="C197" s="81">
        <v>0</v>
      </c>
      <c r="D197" s="82">
        <v>0</v>
      </c>
      <c r="E197" s="81">
        <v>0</v>
      </c>
      <c r="F197" s="82">
        <v>0</v>
      </c>
      <c r="G197" s="81">
        <v>0</v>
      </c>
      <c r="H197" s="83">
        <v>0</v>
      </c>
      <c r="I197" s="15">
        <v>25</v>
      </c>
      <c r="J197" s="84">
        <v>0</v>
      </c>
      <c r="K197" s="17" t="s">
        <v>16</v>
      </c>
      <c r="L197" s="18">
        <v>0</v>
      </c>
      <c r="M197" s="24">
        <v>0</v>
      </c>
      <c r="N197"/>
    </row>
    <row r="198" spans="1:14" ht="25.5">
      <c r="A198" s="10">
        <v>194</v>
      </c>
      <c r="B198" s="20" t="s">
        <v>209</v>
      </c>
      <c r="C198" s="81">
        <v>0</v>
      </c>
      <c r="D198" s="82">
        <v>0</v>
      </c>
      <c r="E198" s="81">
        <v>0</v>
      </c>
      <c r="F198" s="82">
        <v>0</v>
      </c>
      <c r="G198" s="81">
        <v>0</v>
      </c>
      <c r="H198" s="83">
        <v>0</v>
      </c>
      <c r="I198" s="15">
        <v>65</v>
      </c>
      <c r="J198" s="84">
        <v>0</v>
      </c>
      <c r="K198" s="17" t="s">
        <v>16</v>
      </c>
      <c r="L198" s="18">
        <v>0</v>
      </c>
      <c r="M198" s="24">
        <v>0</v>
      </c>
      <c r="N198"/>
    </row>
    <row r="199" spans="1:14" ht="25.5">
      <c r="A199" s="10">
        <v>195</v>
      </c>
      <c r="B199" s="20" t="s">
        <v>210</v>
      </c>
      <c r="C199" s="81">
        <v>0</v>
      </c>
      <c r="D199" s="82">
        <v>0</v>
      </c>
      <c r="E199" s="81">
        <v>0</v>
      </c>
      <c r="F199" s="82">
        <v>0</v>
      </c>
      <c r="G199" s="81">
        <v>0</v>
      </c>
      <c r="H199" s="83">
        <v>0</v>
      </c>
      <c r="I199" s="15">
        <v>50</v>
      </c>
      <c r="J199" s="84">
        <v>0</v>
      </c>
      <c r="K199" s="17" t="s">
        <v>16</v>
      </c>
      <c r="L199" s="18">
        <v>0</v>
      </c>
      <c r="M199" s="24">
        <v>0</v>
      </c>
      <c r="N199"/>
    </row>
    <row r="200" spans="1:14" ht="25.5">
      <c r="A200" s="10">
        <v>196</v>
      </c>
      <c r="B200" s="20" t="s">
        <v>211</v>
      </c>
      <c r="C200" s="81">
        <v>0</v>
      </c>
      <c r="D200" s="82">
        <v>0</v>
      </c>
      <c r="E200" s="81">
        <v>0</v>
      </c>
      <c r="F200" s="82">
        <v>0</v>
      </c>
      <c r="G200" s="81">
        <v>0</v>
      </c>
      <c r="H200" s="83">
        <v>0</v>
      </c>
      <c r="I200" s="15">
        <v>10</v>
      </c>
      <c r="J200" s="84">
        <v>0</v>
      </c>
      <c r="K200" s="17" t="s">
        <v>16</v>
      </c>
      <c r="L200" s="18">
        <v>0</v>
      </c>
      <c r="M200" s="24">
        <v>0</v>
      </c>
      <c r="N200"/>
    </row>
    <row r="201" spans="1:14" ht="25.5">
      <c r="A201" s="10">
        <v>197</v>
      </c>
      <c r="B201" s="20" t="s">
        <v>254</v>
      </c>
      <c r="C201" s="81">
        <v>0</v>
      </c>
      <c r="D201" s="82">
        <v>0</v>
      </c>
      <c r="E201" s="81">
        <v>0</v>
      </c>
      <c r="F201" s="82">
        <v>0</v>
      </c>
      <c r="G201" s="81">
        <v>0</v>
      </c>
      <c r="H201" s="83">
        <v>0</v>
      </c>
      <c r="I201" s="15">
        <v>120</v>
      </c>
      <c r="J201" s="84">
        <v>0</v>
      </c>
      <c r="K201" s="17" t="s">
        <v>16</v>
      </c>
      <c r="L201" s="18">
        <v>0</v>
      </c>
      <c r="M201" s="24">
        <v>0</v>
      </c>
      <c r="N201"/>
    </row>
    <row r="202" spans="1:14" ht="25.5">
      <c r="A202" s="10">
        <v>198</v>
      </c>
      <c r="B202" s="20" t="s">
        <v>255</v>
      </c>
      <c r="C202" s="81">
        <v>2</v>
      </c>
      <c r="D202" s="82">
        <v>0</v>
      </c>
      <c r="E202" s="81">
        <v>2</v>
      </c>
      <c r="F202" s="82">
        <v>0</v>
      </c>
      <c r="G202" s="81">
        <v>0</v>
      </c>
      <c r="H202" s="83">
        <v>2</v>
      </c>
      <c r="I202" s="15">
        <v>250</v>
      </c>
      <c r="J202" s="84">
        <v>500</v>
      </c>
      <c r="K202" s="17" t="s">
        <v>16</v>
      </c>
      <c r="L202" s="18">
        <v>50</v>
      </c>
      <c r="M202" s="24">
        <v>450</v>
      </c>
      <c r="N202"/>
    </row>
    <row r="203" spans="1:14" ht="25.5">
      <c r="A203" s="10">
        <v>199</v>
      </c>
      <c r="B203" s="20" t="s">
        <v>256</v>
      </c>
      <c r="C203" s="81">
        <v>12</v>
      </c>
      <c r="D203" s="82">
        <v>0</v>
      </c>
      <c r="E203" s="81">
        <v>12</v>
      </c>
      <c r="F203" s="82">
        <v>0</v>
      </c>
      <c r="G203" s="81">
        <v>10</v>
      </c>
      <c r="H203" s="83">
        <v>2</v>
      </c>
      <c r="I203" s="15">
        <v>120</v>
      </c>
      <c r="J203" s="84">
        <v>240</v>
      </c>
      <c r="K203" s="17" t="s">
        <v>16</v>
      </c>
      <c r="L203" s="18">
        <v>0</v>
      </c>
      <c r="M203" s="24">
        <v>240</v>
      </c>
      <c r="N203"/>
    </row>
    <row r="204" spans="1:14" ht="25.5">
      <c r="A204" s="10">
        <v>200</v>
      </c>
      <c r="B204" s="20"/>
      <c r="C204" s="81">
        <v>0</v>
      </c>
      <c r="D204" s="82">
        <v>0</v>
      </c>
      <c r="E204" s="81">
        <v>0</v>
      </c>
      <c r="F204" s="82">
        <v>0</v>
      </c>
      <c r="G204" s="81">
        <v>0</v>
      </c>
      <c r="H204" s="83">
        <v>0</v>
      </c>
      <c r="I204" s="15">
        <v>0</v>
      </c>
      <c r="J204" s="84">
        <v>0</v>
      </c>
      <c r="K204" s="17" t="s">
        <v>16</v>
      </c>
      <c r="L204" s="18">
        <v>0</v>
      </c>
      <c r="M204" s="24">
        <v>0</v>
      </c>
      <c r="N204"/>
    </row>
    <row r="205" spans="1:14" ht="25.5">
      <c r="A205" s="1"/>
      <c r="B205"/>
      <c r="C205" s="88"/>
      <c r="D205" s="89"/>
      <c r="E205" s="88"/>
      <c r="F205" s="89"/>
      <c r="G205" s="88"/>
      <c r="H205" s="88"/>
      <c r="I205" s="90"/>
      <c r="J205" s="91"/>
      <c r="K205" s="28"/>
      <c r="L205" s="18">
        <v>0</v>
      </c>
      <c r="M205" s="138" t="s">
        <v>223</v>
      </c>
      <c r="N205" s="138"/>
    </row>
    <row r="206" spans="1:14" ht="25.5" customHeight="1">
      <c r="A206" s="1"/>
      <c r="B206"/>
      <c r="C206" s="88"/>
      <c r="D206" s="89"/>
      <c r="E206" s="88"/>
      <c r="F206" s="89"/>
      <c r="G206" s="88"/>
      <c r="H206" s="149" t="s">
        <v>224</v>
      </c>
      <c r="I206" s="150"/>
      <c r="J206" s="92">
        <v>0</v>
      </c>
      <c r="K206" s="28"/>
      <c r="L206" s="30"/>
      <c r="M206"/>
      <c r="N206"/>
    </row>
    <row r="207" spans="1:14" ht="25.5">
      <c r="A207" s="1"/>
      <c r="B207"/>
      <c r="C207" s="93"/>
      <c r="D207"/>
      <c r="E207" s="93"/>
      <c r="F207"/>
      <c r="G207" s="93"/>
      <c r="H207" s="33"/>
      <c r="I207" s="151" t="s">
        <v>212</v>
      </c>
      <c r="J207" s="151"/>
      <c r="K207" s="34">
        <v>3425</v>
      </c>
      <c r="L207"/>
      <c r="M207"/>
      <c r="N207"/>
    </row>
    <row r="208" spans="1:14" ht="25.5">
      <c r="A208" s="1"/>
      <c r="B208"/>
      <c r="C208" s="93"/>
      <c r="D208"/>
      <c r="E208" s="93"/>
      <c r="F208"/>
      <c r="G208" s="93"/>
      <c r="H208"/>
      <c r="I208" s="136" t="s">
        <v>213</v>
      </c>
      <c r="J208" s="137"/>
      <c r="K208" s="37">
        <v>15</v>
      </c>
      <c r="L208"/>
      <c r="M208"/>
      <c r="N208"/>
    </row>
    <row r="209" spans="1:30" ht="25.5">
      <c r="A209" s="1"/>
      <c r="B209"/>
      <c r="C209" s="93"/>
      <c r="D209"/>
      <c r="E209" s="93"/>
      <c r="F209"/>
      <c r="G209" s="93"/>
      <c r="H209"/>
      <c r="I209" s="35" t="s">
        <v>214</v>
      </c>
      <c r="J209" s="36"/>
      <c r="K209" s="37">
        <v>565</v>
      </c>
      <c r="L209" s="2">
        <v>340</v>
      </c>
      <c r="M209" s="2">
        <v>25</v>
      </c>
      <c r="N209" s="2">
        <v>100</v>
      </c>
      <c r="O209" s="2">
        <v>100</v>
      </c>
      <c r="AA209" s="2">
        <v>200</v>
      </c>
      <c r="AB209" s="2">
        <v>400</v>
      </c>
      <c r="AC209" s="2">
        <v>100</v>
      </c>
      <c r="AD209" s="2">
        <v>670</v>
      </c>
    </row>
    <row r="210" spans="1:30" ht="25.5">
      <c r="A210" s="1"/>
      <c r="B210"/>
      <c r="C210" s="93"/>
      <c r="D210"/>
      <c r="E210" s="93"/>
      <c r="F210"/>
      <c r="G210" s="93"/>
      <c r="H210"/>
      <c r="I210" s="136" t="s">
        <v>215</v>
      </c>
      <c r="J210" s="137"/>
      <c r="K210" s="37">
        <v>0</v>
      </c>
      <c r="L210"/>
      <c r="M210"/>
      <c r="N210"/>
      <c r="O210"/>
    </row>
    <row r="211" spans="1:30" ht="25.5">
      <c r="A211" s="1"/>
      <c r="B211"/>
      <c r="C211" s="93"/>
      <c r="D211"/>
      <c r="E211" s="93"/>
      <c r="F211"/>
      <c r="G211" s="93"/>
      <c r="H211"/>
      <c r="I211" s="136" t="s">
        <v>216</v>
      </c>
      <c r="J211" s="137"/>
      <c r="K211" s="37">
        <v>0</v>
      </c>
      <c r="L211"/>
      <c r="M211"/>
      <c r="N211"/>
      <c r="O211"/>
    </row>
    <row r="212" spans="1:30" ht="25.5">
      <c r="A212" s="1"/>
      <c r="B212"/>
      <c r="C212" s="93"/>
      <c r="D212"/>
      <c r="E212" s="93"/>
      <c r="F212"/>
      <c r="G212" s="93"/>
      <c r="H212"/>
      <c r="I212" s="136" t="s">
        <v>217</v>
      </c>
      <c r="J212" s="137"/>
      <c r="K212" s="94">
        <v>1075</v>
      </c>
      <c r="L212"/>
      <c r="M212"/>
      <c r="N212"/>
      <c r="O212"/>
    </row>
    <row r="213" spans="1:30" ht="25.5">
      <c r="A213" s="1"/>
      <c r="B213"/>
      <c r="C213" s="93"/>
      <c r="D213"/>
      <c r="E213" s="93"/>
      <c r="F213"/>
      <c r="G213" s="93"/>
      <c r="H213"/>
      <c r="I213" s="136" t="s">
        <v>218</v>
      </c>
      <c r="J213" s="137"/>
      <c r="K213" s="34">
        <v>1770</v>
      </c>
      <c r="L213"/>
      <c r="M213"/>
      <c r="N213"/>
      <c r="O213"/>
    </row>
    <row r="214" spans="1:30" ht="25.5">
      <c r="A214" s="1"/>
      <c r="B214"/>
      <c r="C214" s="93"/>
      <c r="D214"/>
      <c r="E214" s="93"/>
      <c r="F214"/>
      <c r="G214" s="93"/>
      <c r="H214"/>
      <c r="I214" s="136" t="s">
        <v>219</v>
      </c>
      <c r="J214" s="137"/>
      <c r="K214" s="94">
        <v>1770</v>
      </c>
      <c r="L214"/>
      <c r="M214"/>
      <c r="N214"/>
      <c r="O214"/>
    </row>
    <row r="215" spans="1:30" ht="25.5">
      <c r="A215" s="1"/>
      <c r="B215"/>
      <c r="C215" s="93"/>
      <c r="D215"/>
      <c r="E215" s="93"/>
      <c r="F215"/>
      <c r="G215" s="93"/>
      <c r="H215"/>
      <c r="I215" s="136" t="s">
        <v>220</v>
      </c>
      <c r="J215" s="137"/>
      <c r="K215" s="34">
        <v>0</v>
      </c>
      <c r="L215"/>
      <c r="M215"/>
      <c r="N215"/>
      <c r="O215"/>
    </row>
    <row r="216" spans="1:30" ht="25.5">
      <c r="A216"/>
      <c r="B216"/>
      <c r="C216"/>
      <c r="D216"/>
      <c r="E216"/>
      <c r="F216"/>
      <c r="G216" s="2"/>
      <c r="H216"/>
      <c r="I216" s="136" t="s">
        <v>221</v>
      </c>
      <c r="J216" s="137"/>
      <c r="K216" s="34">
        <v>0</v>
      </c>
      <c r="L216"/>
      <c r="M216"/>
      <c r="N216"/>
      <c r="O216"/>
    </row>
    <row r="217" spans="1:30">
      <c r="A217"/>
      <c r="B217"/>
      <c r="C217"/>
      <c r="D217"/>
      <c r="E217"/>
      <c r="F217"/>
      <c r="G217" s="2"/>
      <c r="H217"/>
      <c r="I217" s="2"/>
      <c r="J217"/>
      <c r="K217"/>
      <c r="L217"/>
      <c r="M217"/>
      <c r="N217"/>
      <c r="O217"/>
    </row>
    <row r="218" spans="1:30">
      <c r="A218"/>
      <c r="B218"/>
      <c r="C218"/>
      <c r="D218"/>
      <c r="E218"/>
      <c r="F218"/>
      <c r="G218" s="2"/>
      <c r="H218"/>
      <c r="I218" s="2"/>
      <c r="J218"/>
      <c r="K218"/>
      <c r="L218"/>
      <c r="M218"/>
      <c r="N218"/>
      <c r="O218"/>
    </row>
    <row r="219" spans="1:30">
      <c r="A219"/>
      <c r="B219"/>
      <c r="C219"/>
      <c r="D219"/>
      <c r="E219"/>
      <c r="F219"/>
      <c r="G219" s="2"/>
      <c r="H219"/>
      <c r="I219" s="2"/>
      <c r="J219"/>
      <c r="K219"/>
      <c r="L219"/>
      <c r="M219"/>
      <c r="N219"/>
      <c r="O219"/>
    </row>
    <row r="220" spans="1:30">
      <c r="A220"/>
      <c r="B220"/>
      <c r="C220"/>
      <c r="D220"/>
      <c r="E220"/>
      <c r="F220"/>
      <c r="G220" s="2"/>
      <c r="H220"/>
      <c r="I220" s="2"/>
      <c r="J220"/>
      <c r="K220"/>
      <c r="L220"/>
      <c r="M220"/>
      <c r="N220"/>
      <c r="O220"/>
    </row>
    <row r="221" spans="1:30">
      <c r="A221"/>
      <c r="B221"/>
      <c r="C221"/>
      <c r="D221"/>
      <c r="E221"/>
      <c r="F221"/>
      <c r="G221" s="2"/>
      <c r="H221"/>
      <c r="I221" s="2"/>
      <c r="J221"/>
      <c r="K221"/>
      <c r="L221"/>
      <c r="M221"/>
      <c r="N221"/>
      <c r="O221"/>
    </row>
    <row r="222" spans="1:30">
      <c r="A222"/>
      <c r="B222"/>
      <c r="C222"/>
      <c r="D222"/>
      <c r="E222"/>
      <c r="F222"/>
      <c r="G222" s="2"/>
      <c r="H222"/>
      <c r="I222" s="2"/>
      <c r="J222"/>
      <c r="K222"/>
      <c r="L222"/>
      <c r="M222"/>
      <c r="N222"/>
      <c r="O222"/>
    </row>
    <row r="223" spans="1:30">
      <c r="A223"/>
      <c r="B223"/>
      <c r="C223"/>
      <c r="D223"/>
      <c r="E223"/>
      <c r="F223"/>
      <c r="G223" s="2"/>
      <c r="H223"/>
      <c r="I223" s="2"/>
      <c r="J223"/>
      <c r="K223"/>
      <c r="L223"/>
      <c r="M223"/>
      <c r="N223"/>
      <c r="O223"/>
    </row>
    <row r="224" spans="1:30">
      <c r="A224"/>
      <c r="B224"/>
      <c r="C224"/>
      <c r="D224"/>
      <c r="E224"/>
      <c r="F224"/>
      <c r="G224" s="2"/>
      <c r="H224"/>
      <c r="I224" s="2"/>
      <c r="J224"/>
      <c r="K224"/>
      <c r="L224"/>
      <c r="M224"/>
      <c r="N224"/>
      <c r="O224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6:J216"/>
    <mergeCell ref="I210:J210"/>
    <mergeCell ref="I211:J211"/>
    <mergeCell ref="I212:J212"/>
    <mergeCell ref="I214:J214"/>
    <mergeCell ref="I215:J215"/>
    <mergeCell ref="A2:K2"/>
    <mergeCell ref="O2:Y2"/>
    <mergeCell ref="A3:A4"/>
    <mergeCell ref="H206:I206"/>
    <mergeCell ref="I207:J207"/>
    <mergeCell ref="B3:B4"/>
    <mergeCell ref="C3:C4"/>
    <mergeCell ref="D3:D4"/>
    <mergeCell ref="E3:E4"/>
    <mergeCell ref="G3:G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H3:J3"/>
    <mergeCell ref="K3:K4"/>
    <mergeCell ref="U3:U4"/>
    <mergeCell ref="V3:X3"/>
    <mergeCell ref="Y3:Y4"/>
    <mergeCell ref="I208:J20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118A1-67EA-42E8-A9A5-1C393AD97B6C}">
  <sheetPr>
    <tabColor theme="5" tint="0.79998168889431442"/>
  </sheetPr>
  <dimension ref="A1:Z291"/>
  <sheetViews>
    <sheetView topLeftCell="F1" zoomScaleNormal="100" workbookViewId="0">
      <pane ySplit="4" topLeftCell="A206" activePane="bottomLeft" state="frozen"/>
      <selection pane="bottomLeft" activeCell="K211" sqref="K211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+ยกมา!G5</f>
        <v>15</v>
      </c>
      <c r="D5" s="13">
        <v>0</v>
      </c>
      <c r="E5" s="12">
        <f t="shared" ref="E5:E94" si="0">C5+D5</f>
        <v>15</v>
      </c>
      <c r="F5" s="13">
        <v>0</v>
      </c>
      <c r="G5" s="12">
        <f t="shared" ref="G5:G94" si="1">E5-F5-H5</f>
        <v>12</v>
      </c>
      <c r="H5" s="14">
        <v>3</v>
      </c>
      <c r="I5" s="15">
        <v>50</v>
      </c>
      <c r="J5" s="16">
        <f t="shared" ref="J5:J70" si="2">+I5*H5</f>
        <v>150</v>
      </c>
      <c r="K5" s="17" t="s">
        <v>16</v>
      </c>
      <c r="L5" s="18">
        <v>0</v>
      </c>
      <c r="M5" s="24">
        <f>SUM(J5-L5)</f>
        <v>150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+ยกมา!G6</f>
        <v>71</v>
      </c>
      <c r="D6" s="13">
        <v>0</v>
      </c>
      <c r="E6" s="12">
        <f t="shared" si="0"/>
        <v>71</v>
      </c>
      <c r="F6" s="13">
        <v>0</v>
      </c>
      <c r="G6" s="12">
        <f t="shared" si="1"/>
        <v>56</v>
      </c>
      <c r="H6" s="14">
        <v>15</v>
      </c>
      <c r="I6" s="15">
        <v>100</v>
      </c>
      <c r="J6" s="16">
        <f t="shared" si="2"/>
        <v>1500</v>
      </c>
      <c r="K6" s="17" t="s">
        <v>257</v>
      </c>
      <c r="L6" s="18">
        <v>400</v>
      </c>
      <c r="M6" s="24">
        <f t="shared" ref="M6:M69" si="5">SUM(J6-L6)</f>
        <v>1100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+ยกมา!G7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+ยกมา!G8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+ยกมา!G9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+ยกมา!G10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+ยกมา!G11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+ยกมา!G12</f>
        <v>25</v>
      </c>
      <c r="D12" s="13">
        <v>0</v>
      </c>
      <c r="E12" s="12">
        <f t="shared" si="0"/>
        <v>25</v>
      </c>
      <c r="F12" s="13">
        <v>0</v>
      </c>
      <c r="G12" s="12">
        <f t="shared" si="1"/>
        <v>24</v>
      </c>
      <c r="H12" s="14">
        <v>1</v>
      </c>
      <c r="I12" s="21">
        <v>50</v>
      </c>
      <c r="J12" s="16">
        <f t="shared" si="2"/>
        <v>50</v>
      </c>
      <c r="K12" s="17" t="s">
        <v>258</v>
      </c>
      <c r="L12" s="18">
        <v>50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+ยกมา!G13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+ยกมา!G14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+ยกมา!G15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+ยกมา!G16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+ยกมา!G17</f>
        <v>25</v>
      </c>
      <c r="D17" s="13">
        <v>0</v>
      </c>
      <c r="E17" s="12">
        <f t="shared" si="0"/>
        <v>25</v>
      </c>
      <c r="F17" s="13">
        <v>0</v>
      </c>
      <c r="G17" s="12">
        <f t="shared" si="1"/>
        <v>23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+ยกมา!G18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+ยกมา!G19</f>
        <v>17</v>
      </c>
      <c r="D19" s="13">
        <v>0</v>
      </c>
      <c r="E19" s="12">
        <f t="shared" si="0"/>
        <v>17</v>
      </c>
      <c r="F19" s="13">
        <v>0</v>
      </c>
      <c r="G19" s="12">
        <f t="shared" si="1"/>
        <v>17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+ยกมา!G20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+ยกมา!G21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+ยกมา!G22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+ยกมา!G23</f>
        <v>38</v>
      </c>
      <c r="D23" s="13">
        <v>0</v>
      </c>
      <c r="E23" s="12">
        <f>C23+D23</f>
        <v>38</v>
      </c>
      <c r="F23" s="13">
        <v>0</v>
      </c>
      <c r="G23" s="12">
        <f>E23-F23-H23</f>
        <v>35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+ยกมา!G24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20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+ยกมา!G25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+ยกมา!G26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+ยกมา!G27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+ยกมา!G28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+ยกมา!G29</f>
        <v>17</v>
      </c>
      <c r="D29" s="13">
        <v>0</v>
      </c>
      <c r="E29" s="12">
        <f t="shared" si="0"/>
        <v>17</v>
      </c>
      <c r="F29" s="13">
        <v>0</v>
      </c>
      <c r="G29" s="12">
        <f t="shared" si="1"/>
        <v>17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+ยกมา!G30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+ยกมา!G31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+ยกมา!G32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+ยกมา!G33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+ยกมา!G34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2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+ยกมา!G35</f>
        <v>4</v>
      </c>
      <c r="D35" s="13">
        <v>0</v>
      </c>
      <c r="E35" s="12">
        <f t="shared" si="0"/>
        <v>4</v>
      </c>
      <c r="F35" s="13">
        <v>0</v>
      </c>
      <c r="G35" s="12">
        <f t="shared" si="1"/>
        <v>4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+ยกมา!G36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+ยกมา!G37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+ยกมา!G38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2"/>
        <v>50</v>
      </c>
      <c r="K38" s="17" t="s">
        <v>259</v>
      </c>
      <c r="L38" s="18">
        <v>25</v>
      </c>
      <c r="M38" s="24">
        <f t="shared" si="5"/>
        <v>25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+ยกมา!G39</f>
        <v>7</v>
      </c>
      <c r="D39" s="13">
        <v>0</v>
      </c>
      <c r="E39" s="12">
        <f t="shared" si="0"/>
        <v>7</v>
      </c>
      <c r="F39" s="13">
        <v>1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24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+ยกมา!G40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+ยกมา!G41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+ยกมา!G42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+ยกมา!G43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4</v>
      </c>
      <c r="H43" s="14">
        <v>1</v>
      </c>
      <c r="I43" s="15">
        <v>50</v>
      </c>
      <c r="J43" s="16">
        <f t="shared" si="2"/>
        <v>50</v>
      </c>
      <c r="K43" s="17" t="s">
        <v>258</v>
      </c>
      <c r="L43" s="18">
        <v>50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+ยกมา!G44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+ยกมา!G45</f>
        <v>5</v>
      </c>
      <c r="D45" s="13">
        <v>0</v>
      </c>
      <c r="E45" s="12">
        <f t="shared" si="0"/>
        <v>5</v>
      </c>
      <c r="F45" s="13">
        <v>0</v>
      </c>
      <c r="G45" s="12">
        <f t="shared" si="1"/>
        <v>3</v>
      </c>
      <c r="H45" s="14">
        <v>2</v>
      </c>
      <c r="I45" s="15">
        <v>50</v>
      </c>
      <c r="J45" s="16">
        <f t="shared" si="2"/>
        <v>100</v>
      </c>
      <c r="K45" s="17" t="s">
        <v>16</v>
      </c>
      <c r="L45" s="18">
        <v>0</v>
      </c>
      <c r="M45" s="24">
        <f t="shared" si="5"/>
        <v>100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+ยกมา!G46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2</v>
      </c>
      <c r="H46" s="14">
        <v>3</v>
      </c>
      <c r="I46" s="15">
        <v>50</v>
      </c>
      <c r="J46" s="16">
        <f t="shared" si="2"/>
        <v>150</v>
      </c>
      <c r="K46" s="17" t="s">
        <v>16</v>
      </c>
      <c r="L46" s="18">
        <v>0</v>
      </c>
      <c r="M46" s="24">
        <f t="shared" si="5"/>
        <v>150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+ยกมา!G47</f>
        <v>8</v>
      </c>
      <c r="D47" s="13">
        <v>0</v>
      </c>
      <c r="E47" s="12">
        <f t="shared" si="0"/>
        <v>8</v>
      </c>
      <c r="F47" s="13">
        <v>0</v>
      </c>
      <c r="G47" s="12">
        <f t="shared" si="1"/>
        <v>4</v>
      </c>
      <c r="H47" s="14">
        <v>4</v>
      </c>
      <c r="I47" s="15">
        <v>50</v>
      </c>
      <c r="J47" s="16">
        <f t="shared" si="2"/>
        <v>200</v>
      </c>
      <c r="K47" s="17" t="s">
        <v>16</v>
      </c>
      <c r="L47" s="18">
        <v>0</v>
      </c>
      <c r="M47" s="24">
        <f t="shared" si="5"/>
        <v>200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+ยกมา!G48</f>
        <v>4</v>
      </c>
      <c r="D48" s="13">
        <v>0</v>
      </c>
      <c r="E48" s="12">
        <f t="shared" si="0"/>
        <v>4</v>
      </c>
      <c r="F48" s="13">
        <v>0</v>
      </c>
      <c r="G48" s="12">
        <f t="shared" si="1"/>
        <v>2</v>
      </c>
      <c r="H48" s="14">
        <v>2</v>
      </c>
      <c r="I48" s="15">
        <v>50</v>
      </c>
      <c r="J48" s="16">
        <f t="shared" si="2"/>
        <v>100</v>
      </c>
      <c r="K48" s="17" t="s">
        <v>16</v>
      </c>
      <c r="L48" s="18">
        <v>0</v>
      </c>
      <c r="M48" s="24">
        <f t="shared" si="5"/>
        <v>100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+ยกมา!G49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+ยกมา!G50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+ยกมา!G51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+ยกมา!G52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+ยกมา!G53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+ยกมา!G54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+ยกมา!G55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+ยกมา!G56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+ยกมา!G57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+ยกมา!G58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+ยกมา!G59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+ยกมา!G60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+ยกมา!G61</f>
        <v>4</v>
      </c>
      <c r="D61" s="13">
        <v>0</v>
      </c>
      <c r="E61" s="12">
        <f t="shared" si="0"/>
        <v>4</v>
      </c>
      <c r="F61" s="13">
        <v>2</v>
      </c>
      <c r="G61" s="12">
        <f t="shared" si="1"/>
        <v>1</v>
      </c>
      <c r="H61" s="14">
        <v>1</v>
      </c>
      <c r="I61" s="15">
        <v>50</v>
      </c>
      <c r="J61" s="16">
        <f t="shared" si="2"/>
        <v>50</v>
      </c>
      <c r="K61" s="17" t="s">
        <v>259</v>
      </c>
      <c r="L61" s="18">
        <v>25</v>
      </c>
      <c r="M61" s="24">
        <f t="shared" si="5"/>
        <v>25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+ยกมา!G62</f>
        <v>4</v>
      </c>
      <c r="D62" s="13">
        <v>0</v>
      </c>
      <c r="E62" s="12">
        <f t="shared" si="0"/>
        <v>4</v>
      </c>
      <c r="F62" s="13">
        <v>1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+ยกมา!G63</f>
        <v>3</v>
      </c>
      <c r="D63" s="13">
        <v>0</v>
      </c>
      <c r="E63" s="12">
        <f>C63+D63</f>
        <v>3</v>
      </c>
      <c r="F63" s="13">
        <v>2</v>
      </c>
      <c r="G63" s="12">
        <f t="shared" si="1"/>
        <v>0</v>
      </c>
      <c r="H63" s="14">
        <v>1</v>
      </c>
      <c r="I63" s="21">
        <v>50</v>
      </c>
      <c r="J63" s="16">
        <f t="shared" si="2"/>
        <v>50</v>
      </c>
      <c r="K63" s="17" t="s">
        <v>259</v>
      </c>
      <c r="L63" s="18">
        <v>25</v>
      </c>
      <c r="M63" s="24">
        <f t="shared" si="5"/>
        <v>25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+ยกมา!G64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+ยกมา!G65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+ยกมา!G66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+ยกมา!G67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0</v>
      </c>
      <c r="H67" s="14">
        <v>1</v>
      </c>
      <c r="I67" s="15">
        <v>50</v>
      </c>
      <c r="J67" s="16">
        <f t="shared" si="2"/>
        <v>50</v>
      </c>
      <c r="K67" s="17" t="s">
        <v>259</v>
      </c>
      <c r="L67" s="18">
        <v>25</v>
      </c>
      <c r="M67" s="24">
        <f t="shared" si="5"/>
        <v>25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+ยกมา!G68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+ยกมา!G69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+ยกมา!G70</f>
        <v>0</v>
      </c>
      <c r="D70" s="13">
        <v>0</v>
      </c>
      <c r="E70" s="12">
        <f t="shared" si="0"/>
        <v>0</v>
      </c>
      <c r="F70" s="13">
        <v>0</v>
      </c>
      <c r="G70" s="12">
        <f t="shared" si="1"/>
        <v>0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+ยกมา!G71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+ยกมา!G72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+ยกมา!G73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+ยกมา!G74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+ยกมา!G75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+ยกมา!G76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+ยกมา!G77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+ยกมา!G78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+ยกมา!G79</f>
        <v>1</v>
      </c>
      <c r="D79" s="13">
        <v>0</v>
      </c>
      <c r="E79" s="12">
        <f t="shared" si="0"/>
        <v>1</v>
      </c>
      <c r="F79" s="13">
        <v>1</v>
      </c>
      <c r="G79" s="12">
        <f t="shared" si="1"/>
        <v>0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+ยกมา!G80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+ยกมา!G81</f>
        <v>0</v>
      </c>
      <c r="D81" s="13">
        <v>0</v>
      </c>
      <c r="E81" s="12">
        <f t="shared" si="0"/>
        <v>0</v>
      </c>
      <c r="F81" s="13">
        <v>0</v>
      </c>
      <c r="G81" s="12">
        <f t="shared" si="1"/>
        <v>0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+ยกมา!G82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+ยกมา!G83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 t="shared" si="9"/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+ยกมา!G84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+ยกมา!G85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+ยกมา!G86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+ยกมา!G87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+ยกมา!G88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+ยกมา!G89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+ยกมา!G90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+ยกมา!G91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95"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+ยกมา!G93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+ยกมา!G94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+ยกมา!G95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+ยกมา!G96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+ยกมา!G97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+ยกมา!G98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+ยกมา!G99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+ยกมา!G100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+ยกมา!G101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+ยกมา!G102</f>
        <v>6</v>
      </c>
      <c r="D102" s="13">
        <v>0</v>
      </c>
      <c r="E102" s="12">
        <f t="shared" si="13"/>
        <v>6</v>
      </c>
      <c r="F102" s="13">
        <v>0</v>
      </c>
      <c r="G102" s="12">
        <f t="shared" si="12"/>
        <v>6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+ยกมา!G103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+ยกมา!G104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+ยกมา!G105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+ยกมา!G106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+ยกมา!G107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+ยกมา!G108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+ยกมา!G109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+ยกมา!G110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+ยกมา!G111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+ยกมา!G112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+ยกมา!G113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+ยกมา!G114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+ยกมา!G115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+ยกมา!G116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+ยกมา!G117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+ยกมา!G118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+ยกมา!G119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+ยกมา!G120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+ยกมา!G121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+ยกมา!G122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+ยกมา!G123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+ยกมา!G124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+ยกมา!G125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+ยกมา!G126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+ยกมา!G127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+ยกมา!G128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+ยกมา!G129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+ยกมา!G130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+ยกมา!G131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+ยกมา!G132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+ยกมา!G133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+ยกมา!G134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+ยกมา!G135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+ยกมา!G136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+ยกมา!G137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+ยกมา!G138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+ยกมา!G139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+ยกมา!G140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+ยกมา!G141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+ยกมา!G142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+ยกมา!G143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+ยกมา!G144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+ยกมา!G145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+ยกมา!G146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+ยกมา!G147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+ยกมา!G148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+ยกมา!G149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+ยกมา!G150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+ยกมา!G151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+ยกมา!G152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+ยกมา!G153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+ยกมา!G154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+ยกมา!G155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+ยกมา!G156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+ยกมา!G157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+ยกมา!G158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+ยกมา!G159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+ยกมา!G160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+ยกมา!G161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+ยกมา!G162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+ยกมา!G163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+ยกมา!G164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+ยกมา!G165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+ยกมา!G166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+ยกมา!G167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+ยกมา!G168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+ยกมา!G169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+ยกมา!G170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+ยกมา!G171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+ยกมา!G172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+ยกมา!G173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+ยกมา!G174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+ยกมา!G175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+ยกมา!G176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+ยกมา!G177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+ยกมา!G178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4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+ยกมา!G179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+ยกมา!G180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+ยกมา!G181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+ยกมา!G182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+ยกมา!G183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+ยกมา!G184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+ยกมา!G185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+ยกมา!G186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+ยกมา!G187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+ยกมา!G188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+ยกมา!G189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+ยกมา!G190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+ยกมา!G191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+ยกมา!G192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+ยกมา!G193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+ยกมา!G194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+ยกมา!G195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+ยกมา!G196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+ยกมา!G197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+ยกมา!G198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+ยกมา!G199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+ยกมา!G200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+ยกมา!G201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95"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+ยกมา!G203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8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/>
      <c r="C204" s="12">
        <f>+ยกมา!G204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3250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15</v>
      </c>
    </row>
    <row r="209" spans="1:14" ht="25.5">
      <c r="A209" s="1"/>
      <c r="C209" s="32"/>
      <c r="E209" s="32"/>
      <c r="G209" s="32"/>
      <c r="I209" s="35" t="s">
        <v>214</v>
      </c>
      <c r="J209" s="36"/>
      <c r="K209" s="37">
        <f>SUM(L209:BO209)</f>
        <v>360</v>
      </c>
      <c r="L209" s="2">
        <v>50</v>
      </c>
      <c r="M209" s="2">
        <v>110</v>
      </c>
      <c r="N209" s="2">
        <v>200</v>
      </c>
    </row>
    <row r="210" spans="1:14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4" ht="25.5">
      <c r="A211" s="1"/>
      <c r="B211" s="2" t="s">
        <v>260</v>
      </c>
      <c r="C211" s="32"/>
      <c r="E211" s="32"/>
      <c r="G211" s="32"/>
      <c r="I211" s="136" t="s">
        <v>216</v>
      </c>
      <c r="J211" s="137"/>
      <c r="K211" s="37">
        <f>SUM(L211:O211)</f>
        <v>55</v>
      </c>
      <c r="L211" s="2">
        <v>55</v>
      </c>
    </row>
    <row r="212" spans="1:14" ht="25.5">
      <c r="A212" s="1"/>
      <c r="C212" s="32"/>
      <c r="E212" s="32"/>
      <c r="G212" s="32"/>
      <c r="I212" s="136" t="s">
        <v>217</v>
      </c>
      <c r="J212" s="137"/>
      <c r="K212" s="38">
        <f>SUM(L5:L205)</f>
        <v>600</v>
      </c>
    </row>
    <row r="213" spans="1:14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2220</v>
      </c>
    </row>
    <row r="214" spans="1:14" ht="25.5">
      <c r="A214" s="1"/>
      <c r="C214" s="32"/>
      <c r="E214" s="32"/>
      <c r="G214" s="32"/>
      <c r="I214" s="136" t="s">
        <v>219</v>
      </c>
      <c r="J214" s="137"/>
      <c r="K214" s="38">
        <v>2220</v>
      </c>
    </row>
    <row r="215" spans="1:14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4" ht="25.5">
      <c r="G216" s="2"/>
      <c r="I216" s="136" t="s">
        <v>221</v>
      </c>
      <c r="J216" s="137"/>
      <c r="K216" s="34">
        <f>+K214-K213</f>
        <v>0</v>
      </c>
    </row>
    <row r="217" spans="1:14">
      <c r="G217" s="2"/>
      <c r="I217" s="2"/>
    </row>
    <row r="218" spans="1:14">
      <c r="G218" s="2"/>
      <c r="I218" s="2"/>
      <c r="J218" s="96" t="s">
        <v>261</v>
      </c>
      <c r="K218" s="24">
        <f>+K207-K212+K215</f>
        <v>2650</v>
      </c>
    </row>
    <row r="219" spans="1:14">
      <c r="G219" s="2"/>
      <c r="I219" s="2"/>
      <c r="J219" s="2" t="s">
        <v>262</v>
      </c>
      <c r="K219" s="24">
        <f>SUM(K208:K211)</f>
        <v>430</v>
      </c>
    </row>
    <row r="220" spans="1:14">
      <c r="G220" s="2"/>
      <c r="I220" s="2"/>
      <c r="J220" s="2" t="s">
        <v>263</v>
      </c>
      <c r="K220" s="24">
        <f>+K214</f>
        <v>2220</v>
      </c>
    </row>
    <row r="221" spans="1:14">
      <c r="G221" s="2"/>
      <c r="I221" s="2"/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honeticPr fontId="1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926C0-071D-46D2-80B4-BDA75564F691}">
  <sheetPr>
    <tabColor theme="5" tint="0.79998168889431442"/>
  </sheetPr>
  <dimension ref="A1:Z291"/>
  <sheetViews>
    <sheetView topLeftCell="F1" zoomScale="90" zoomScaleNormal="90" workbookViewId="0">
      <pane ySplit="4" topLeftCell="A204" activePane="bottomLeft" state="frozen"/>
      <selection pane="bottomLeft" activeCell="J218" sqref="J218:K220"/>
    </sheetView>
  </sheetViews>
  <sheetFormatPr defaultColWidth="9" defaultRowHeight="24.75"/>
  <cols>
    <col min="1" max="1" width="6.5703125" style="2" customWidth="1"/>
    <col min="2" max="2" width="33.5703125" style="2" customWidth="1"/>
    <col min="3" max="6" width="9.5703125" style="2" customWidth="1"/>
    <col min="7" max="7" width="9.5703125" style="39" customWidth="1"/>
    <col min="8" max="8" width="9.5703125" style="2" customWidth="1"/>
    <col min="9" max="9" width="8.5703125" style="40" customWidth="1"/>
    <col min="10" max="10" width="10.5703125" style="2" customWidth="1"/>
    <col min="11" max="11" width="15.5703125" style="2" customWidth="1"/>
    <col min="12" max="15" width="9" style="2"/>
    <col min="16" max="16" width="34.5703125" style="2" bestFit="1" customWidth="1"/>
    <col min="17" max="24" width="9" style="2"/>
    <col min="25" max="25" width="15.5703125" style="2" customWidth="1"/>
    <col min="26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+'1'!G5</f>
        <v>12</v>
      </c>
      <c r="D5" s="13">
        <v>0</v>
      </c>
      <c r="E5" s="12">
        <f t="shared" ref="E5:E94" si="0">C5+D5</f>
        <v>12</v>
      </c>
      <c r="F5" s="13">
        <v>0</v>
      </c>
      <c r="G5" s="12">
        <f t="shared" ref="G5:G94" si="1">E5-F5-H5</f>
        <v>11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+'1'!G6</f>
        <v>56</v>
      </c>
      <c r="D6" s="13">
        <v>0</v>
      </c>
      <c r="E6" s="12">
        <f t="shared" si="0"/>
        <v>56</v>
      </c>
      <c r="F6" s="13">
        <v>0</v>
      </c>
      <c r="G6" s="12">
        <f t="shared" si="1"/>
        <v>53</v>
      </c>
      <c r="H6" s="14">
        <v>3</v>
      </c>
      <c r="I6" s="15">
        <v>100</v>
      </c>
      <c r="J6" s="16">
        <f t="shared" si="2"/>
        <v>300</v>
      </c>
      <c r="K6" s="17" t="s">
        <v>16</v>
      </c>
      <c r="L6" s="18">
        <v>0</v>
      </c>
      <c r="M6" s="24">
        <f t="shared" ref="M6:M69" si="5">SUM(J6-L6)</f>
        <v>300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+'1'!G12</f>
        <v>24</v>
      </c>
      <c r="D12" s="13">
        <v>0</v>
      </c>
      <c r="E12" s="12">
        <f t="shared" si="0"/>
        <v>24</v>
      </c>
      <c r="F12" s="13">
        <v>0</v>
      </c>
      <c r="G12" s="12">
        <f t="shared" si="1"/>
        <v>20</v>
      </c>
      <c r="H12" s="14">
        <v>4</v>
      </c>
      <c r="I12" s="21">
        <v>50</v>
      </c>
      <c r="J12" s="16">
        <f t="shared" si="2"/>
        <v>200</v>
      </c>
      <c r="K12" s="17" t="s">
        <v>16</v>
      </c>
      <c r="L12" s="18">
        <v>0</v>
      </c>
      <c r="M12" s="24">
        <f t="shared" si="5"/>
        <v>200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+'1'!G14</f>
        <v>4</v>
      </c>
      <c r="D14" s="13">
        <v>3</v>
      </c>
      <c r="E14" s="12">
        <f t="shared" si="0"/>
        <v>7</v>
      </c>
      <c r="F14" s="13">
        <v>0</v>
      </c>
      <c r="G14" s="12">
        <f t="shared" si="1"/>
        <v>7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+'1'!G15</f>
        <v>11</v>
      </c>
      <c r="D15" s="13">
        <v>0</v>
      </c>
      <c r="E15" s="12">
        <f t="shared" si="0"/>
        <v>11</v>
      </c>
      <c r="F15" s="13">
        <v>0</v>
      </c>
      <c r="G15" s="12">
        <f t="shared" si="1"/>
        <v>11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+'1'!G17</f>
        <v>23</v>
      </c>
      <c r="D17" s="13">
        <v>0</v>
      </c>
      <c r="E17" s="12">
        <f t="shared" si="0"/>
        <v>23</v>
      </c>
      <c r="F17" s="13">
        <v>0</v>
      </c>
      <c r="G17" s="12">
        <f t="shared" si="1"/>
        <v>22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+'1'!G19</f>
        <v>17</v>
      </c>
      <c r="D19" s="13">
        <v>0</v>
      </c>
      <c r="E19" s="12">
        <f t="shared" si="0"/>
        <v>17</v>
      </c>
      <c r="F19" s="13">
        <v>0</v>
      </c>
      <c r="G19" s="12">
        <f t="shared" si="1"/>
        <v>17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+'1'!G22</f>
        <v>3</v>
      </c>
      <c r="D22" s="13">
        <v>3</v>
      </c>
      <c r="E22" s="12">
        <f>C22+D22</f>
        <v>6</v>
      </c>
      <c r="F22" s="13">
        <v>0</v>
      </c>
      <c r="G22" s="12">
        <f>E22-F22-H22</f>
        <v>6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+'1'!G23</f>
        <v>35</v>
      </c>
      <c r="D23" s="13">
        <v>0</v>
      </c>
      <c r="E23" s="12">
        <f>C23+D23</f>
        <v>35</v>
      </c>
      <c r="F23" s="13">
        <v>0</v>
      </c>
      <c r="G23" s="12">
        <f>E23-F23-H23</f>
        <v>31</v>
      </c>
      <c r="H23" s="14">
        <v>4</v>
      </c>
      <c r="I23" s="15">
        <v>100</v>
      </c>
      <c r="J23" s="16">
        <f t="shared" si="2"/>
        <v>400</v>
      </c>
      <c r="K23" s="17" t="s">
        <v>16</v>
      </c>
      <c r="L23" s="18">
        <v>0</v>
      </c>
      <c r="M23" s="24">
        <f t="shared" si="5"/>
        <v>400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+'1'!G24</f>
        <v>20</v>
      </c>
      <c r="D24" s="13">
        <v>0</v>
      </c>
      <c r="E24" s="12">
        <f t="shared" si="0"/>
        <v>20</v>
      </c>
      <c r="F24" s="13">
        <v>0</v>
      </c>
      <c r="G24" s="12">
        <f t="shared" si="1"/>
        <v>19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+'1'!G29</f>
        <v>17</v>
      </c>
      <c r="D29" s="13">
        <v>0</v>
      </c>
      <c r="E29" s="12">
        <f t="shared" si="0"/>
        <v>17</v>
      </c>
      <c r="F29" s="13">
        <v>0</v>
      </c>
      <c r="G29" s="12">
        <f t="shared" si="1"/>
        <v>15</v>
      </c>
      <c r="H29" s="14">
        <v>2</v>
      </c>
      <c r="I29" s="15">
        <v>100</v>
      </c>
      <c r="J29" s="16">
        <f t="shared" si="2"/>
        <v>200</v>
      </c>
      <c r="K29" s="17" t="s">
        <v>16</v>
      </c>
      <c r="L29" s="18">
        <v>0</v>
      </c>
      <c r="M29" s="24">
        <f t="shared" si="5"/>
        <v>200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+'1'!G34</f>
        <v>2</v>
      </c>
      <c r="D34" s="13">
        <v>3</v>
      </c>
      <c r="E34" s="12">
        <f t="shared" si="0"/>
        <v>5</v>
      </c>
      <c r="F34" s="13">
        <v>0</v>
      </c>
      <c r="G34" s="12">
        <f t="shared" si="1"/>
        <v>5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+'1'!G35</f>
        <v>4</v>
      </c>
      <c r="D35" s="13">
        <v>3</v>
      </c>
      <c r="E35" s="12">
        <f t="shared" si="0"/>
        <v>7</v>
      </c>
      <c r="F35" s="13">
        <v>0</v>
      </c>
      <c r="G35" s="12">
        <f t="shared" si="1"/>
        <v>7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+'1'!G37</f>
        <v>1</v>
      </c>
      <c r="D37" s="13">
        <v>5</v>
      </c>
      <c r="E37" s="12">
        <f t="shared" si="0"/>
        <v>6</v>
      </c>
      <c r="F37" s="13">
        <v>0</v>
      </c>
      <c r="G37" s="12">
        <f t="shared" si="1"/>
        <v>4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+'1'!G38</f>
        <v>2</v>
      </c>
      <c r="D38" s="13">
        <v>5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+'1'!G39</f>
        <v>6</v>
      </c>
      <c r="D39" s="13">
        <v>5</v>
      </c>
      <c r="E39" s="12">
        <f t="shared" si="0"/>
        <v>11</v>
      </c>
      <c r="F39" s="13">
        <v>0</v>
      </c>
      <c r="G39" s="12">
        <f t="shared" si="1"/>
        <v>10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+'1'!G40</f>
        <v>3</v>
      </c>
      <c r="D40" s="13">
        <v>5</v>
      </c>
      <c r="E40" s="12">
        <f t="shared" si="0"/>
        <v>8</v>
      </c>
      <c r="F40" s="13">
        <v>0</v>
      </c>
      <c r="G40" s="12">
        <f t="shared" si="1"/>
        <v>7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10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+'1'!G61</f>
        <v>1</v>
      </c>
      <c r="D61" s="13">
        <v>3</v>
      </c>
      <c r="E61" s="12">
        <f t="shared" si="0"/>
        <v>4</v>
      </c>
      <c r="F61" s="13">
        <v>0</v>
      </c>
      <c r="G61" s="12">
        <f t="shared" si="1"/>
        <v>3</v>
      </c>
      <c r="H61" s="14">
        <v>1</v>
      </c>
      <c r="I61" s="15">
        <v>50</v>
      </c>
      <c r="J61" s="16">
        <f t="shared" si="2"/>
        <v>50</v>
      </c>
      <c r="K61" s="17" t="s">
        <v>259</v>
      </c>
      <c r="L61" s="18">
        <v>25</v>
      </c>
      <c r="M61" s="24">
        <f t="shared" si="5"/>
        <v>25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+'1'!G62</f>
        <v>3</v>
      </c>
      <c r="D62" s="13">
        <v>3</v>
      </c>
      <c r="E62" s="12">
        <f t="shared" si="0"/>
        <v>6</v>
      </c>
      <c r="F62" s="13">
        <v>0</v>
      </c>
      <c r="G62" s="12">
        <f t="shared" si="1"/>
        <v>5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+'1'!G67</f>
        <v>0</v>
      </c>
      <c r="D67" s="13">
        <v>5</v>
      </c>
      <c r="E67" s="12">
        <f>C67+D67</f>
        <v>5</v>
      </c>
      <c r="F67" s="13">
        <v>0</v>
      </c>
      <c r="G67" s="12">
        <f t="shared" si="1"/>
        <v>5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+'1'!G70</f>
        <v>0</v>
      </c>
      <c r="D70" s="13">
        <v>5</v>
      </c>
      <c r="E70" s="12">
        <f t="shared" si="0"/>
        <v>5</v>
      </c>
      <c r="F70" s="13">
        <v>0</v>
      </c>
      <c r="G70" s="12">
        <f t="shared" si="1"/>
        <v>4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+'1'!G81</f>
        <v>0</v>
      </c>
      <c r="D81" s="13">
        <v>3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+'1'!G82</f>
        <v>0</v>
      </c>
      <c r="D82" s="13">
        <v>3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 t="shared" si="9"/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3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+'1'!G102</f>
        <v>6</v>
      </c>
      <c r="D102" s="13">
        <v>0</v>
      </c>
      <c r="E102" s="12">
        <f t="shared" si="13"/>
        <v>6</v>
      </c>
      <c r="F102" s="13">
        <v>0</v>
      </c>
      <c r="G102" s="12">
        <f t="shared" si="12"/>
        <v>4</v>
      </c>
      <c r="H102" s="14">
        <v>2</v>
      </c>
      <c r="I102" s="21">
        <v>50</v>
      </c>
      <c r="J102" s="16">
        <f t="shared" si="11"/>
        <v>100</v>
      </c>
      <c r="K102" s="17" t="s">
        <v>16</v>
      </c>
      <c r="L102" s="18">
        <v>0</v>
      </c>
      <c r="M102" s="24">
        <f t="shared" si="9"/>
        <v>100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2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+'1'!G203</f>
        <v>8</v>
      </c>
      <c r="D203" s="13">
        <v>0</v>
      </c>
      <c r="E203" s="12">
        <f t="shared" si="13"/>
        <v>8</v>
      </c>
      <c r="F203" s="13">
        <v>0</v>
      </c>
      <c r="G203" s="12">
        <f t="shared" si="16"/>
        <v>5</v>
      </c>
      <c r="H203" s="14">
        <v>3</v>
      </c>
      <c r="I203" s="15">
        <v>120</v>
      </c>
      <c r="J203" s="16">
        <f t="shared" si="18"/>
        <v>360</v>
      </c>
      <c r="K203" s="17" t="s">
        <v>16</v>
      </c>
      <c r="L203" s="18">
        <v>0</v>
      </c>
      <c r="M203" s="24">
        <f t="shared" si="17"/>
        <v>360</v>
      </c>
    </row>
    <row r="204" spans="1:14" ht="25.5">
      <c r="A204" s="10">
        <v>200</v>
      </c>
      <c r="B204" s="20"/>
      <c r="C204" s="12">
        <f>+'1'!G204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2715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15</v>
      </c>
    </row>
    <row r="209" spans="1:16" ht="25.5">
      <c r="A209" s="1"/>
      <c r="C209" s="32"/>
      <c r="E209" s="32"/>
      <c r="G209" s="32"/>
      <c r="I209" s="35" t="s">
        <v>214</v>
      </c>
      <c r="J209" s="36"/>
      <c r="K209" s="37">
        <f>SUM(L209:BO209)</f>
        <v>670</v>
      </c>
      <c r="L209" s="2">
        <v>50</v>
      </c>
      <c r="M209" s="2">
        <v>250</v>
      </c>
      <c r="N209" s="2">
        <v>50</v>
      </c>
      <c r="O209" s="2">
        <v>200</v>
      </c>
      <c r="P209" s="2">
        <v>120</v>
      </c>
    </row>
    <row r="210" spans="1:16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6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6" ht="25.5">
      <c r="A212" s="1"/>
      <c r="C212" s="32"/>
      <c r="E212" s="32"/>
      <c r="G212" s="32"/>
      <c r="I212" s="136" t="s">
        <v>217</v>
      </c>
      <c r="J212" s="137"/>
      <c r="K212" s="38">
        <f>SUM(L5:L205)</f>
        <v>25</v>
      </c>
    </row>
    <row r="213" spans="1:16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2005</v>
      </c>
    </row>
    <row r="214" spans="1:16" ht="25.5">
      <c r="A214" s="1"/>
      <c r="C214" s="32"/>
      <c r="E214" s="32"/>
      <c r="G214" s="32"/>
      <c r="I214" s="136" t="s">
        <v>219</v>
      </c>
      <c r="J214" s="137"/>
      <c r="K214" s="38">
        <v>2005</v>
      </c>
    </row>
    <row r="215" spans="1:16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6" ht="25.5">
      <c r="G216" s="2"/>
      <c r="I216" s="136" t="s">
        <v>221</v>
      </c>
      <c r="J216" s="137"/>
      <c r="K216" s="34">
        <f>+K214-K213</f>
        <v>0</v>
      </c>
    </row>
    <row r="217" spans="1:16">
      <c r="G217" s="2"/>
      <c r="I217" s="2"/>
    </row>
    <row r="218" spans="1:16">
      <c r="G218" s="2"/>
      <c r="I218" s="2"/>
      <c r="J218" s="96" t="s">
        <v>261</v>
      </c>
      <c r="K218" s="24">
        <f>+K207-K212+K215</f>
        <v>2690</v>
      </c>
    </row>
    <row r="219" spans="1:16">
      <c r="G219" s="2"/>
      <c r="I219" s="2"/>
      <c r="J219" s="2" t="s">
        <v>262</v>
      </c>
      <c r="K219" s="24">
        <f>SUM(K208:K211)</f>
        <v>685</v>
      </c>
    </row>
    <row r="220" spans="1:16">
      <c r="G220" s="2"/>
      <c r="I220" s="2"/>
      <c r="J220" s="2" t="s">
        <v>263</v>
      </c>
      <c r="K220" s="24">
        <f>+K214</f>
        <v>2005</v>
      </c>
    </row>
    <row r="221" spans="1:16">
      <c r="G221" s="2"/>
      <c r="I221" s="2"/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83F6A-8F46-4B4D-9446-062A49A6C87B}">
  <sheetPr>
    <tabColor theme="5" tint="0.79998168889431442"/>
  </sheetPr>
  <dimension ref="A1:Z292"/>
  <sheetViews>
    <sheetView topLeftCell="A196" zoomScale="90" zoomScaleNormal="90" workbookViewId="0">
      <selection activeCell="I202" sqref="I202:I205"/>
    </sheetView>
  </sheetViews>
  <sheetFormatPr defaultColWidth="9" defaultRowHeight="24.75"/>
  <cols>
    <col min="1" max="1" width="6" style="2" bestFit="1" customWidth="1"/>
    <col min="2" max="2" width="37.42578125" style="2" bestFit="1" customWidth="1"/>
    <col min="3" max="5" width="6.85546875" style="2" bestFit="1" customWidth="1"/>
    <col min="6" max="6" width="7.7109375" style="2" bestFit="1" customWidth="1"/>
    <col min="7" max="7" width="8" style="39" bestFit="1" customWidth="1"/>
    <col min="8" max="8" width="7.42578125" style="2" bestFit="1" customWidth="1"/>
    <col min="9" max="9" width="7.85546875" style="40" customWidth="1"/>
    <col min="10" max="10" width="9.42578125" style="2" bestFit="1" customWidth="1"/>
    <col min="11" max="11" width="16.28515625" style="2" customWidth="1"/>
    <col min="12" max="12" width="7.42578125" style="2" bestFit="1" customWidth="1"/>
    <col min="13" max="13" width="9.42578125" style="2" bestFit="1" customWidth="1"/>
    <col min="14" max="14" width="9" style="2"/>
    <col min="15" max="15" width="6" style="2" bestFit="1" customWidth="1"/>
    <col min="16" max="16" width="7.5703125" style="2" bestFit="1" customWidth="1"/>
    <col min="17" max="17" width="5.85546875" style="2" bestFit="1" customWidth="1"/>
    <col min="18" max="19" width="5" style="2" bestFit="1" customWidth="1"/>
    <col min="20" max="20" width="7.7109375" style="2" bestFit="1" customWidth="1"/>
    <col min="21" max="21" width="8" style="2" bestFit="1" customWidth="1"/>
    <col min="22" max="22" width="7.42578125" style="2" bestFit="1" customWidth="1"/>
    <col min="23" max="23" width="3" style="2" bestFit="1" customWidth="1"/>
    <col min="24" max="24" width="7.7109375" style="2" bestFit="1" customWidth="1"/>
    <col min="25" max="25" width="9.7109375" style="2" bestFit="1" customWidth="1"/>
    <col min="26" max="26" width="7.4257812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+'2'!G6</f>
        <v>53</v>
      </c>
      <c r="D6" s="13">
        <v>0</v>
      </c>
      <c r="E6" s="12">
        <f t="shared" si="0"/>
        <v>53</v>
      </c>
      <c r="F6" s="13">
        <v>0</v>
      </c>
      <c r="G6" s="12">
        <f t="shared" si="1"/>
        <v>46</v>
      </c>
      <c r="H6" s="14">
        <v>7</v>
      </c>
      <c r="I6" s="15">
        <v>100</v>
      </c>
      <c r="J6" s="16">
        <f t="shared" si="2"/>
        <v>700</v>
      </c>
      <c r="K6" s="17" t="s">
        <v>264</v>
      </c>
      <c r="L6" s="18">
        <v>150</v>
      </c>
      <c r="M6" s="24">
        <f t="shared" ref="M6:M69" si="5">SUM(J6-L6)</f>
        <v>550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+'2'!G12</f>
        <v>20</v>
      </c>
      <c r="D12" s="13">
        <v>0</v>
      </c>
      <c r="E12" s="12">
        <f t="shared" si="0"/>
        <v>20</v>
      </c>
      <c r="F12" s="13">
        <v>5</v>
      </c>
      <c r="G12" s="12">
        <f t="shared" si="1"/>
        <v>10</v>
      </c>
      <c r="H12" s="14">
        <v>5</v>
      </c>
      <c r="I12" s="21">
        <v>50</v>
      </c>
      <c r="J12" s="16">
        <f t="shared" si="2"/>
        <v>250</v>
      </c>
      <c r="K12" s="17" t="s">
        <v>259</v>
      </c>
      <c r="L12" s="18">
        <v>125</v>
      </c>
      <c r="M12" s="24">
        <f t="shared" si="5"/>
        <v>125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+'2'!G14</f>
        <v>7</v>
      </c>
      <c r="D14" s="13">
        <v>0</v>
      </c>
      <c r="E14" s="12">
        <f t="shared" si="0"/>
        <v>7</v>
      </c>
      <c r="F14" s="13">
        <v>4</v>
      </c>
      <c r="G14" s="12">
        <f t="shared" si="1"/>
        <v>3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/>
      <c r="B15" s="11" t="s">
        <v>27</v>
      </c>
      <c r="C15" s="12">
        <f>+'2'!G15</f>
        <v>11</v>
      </c>
      <c r="D15" s="13">
        <v>0</v>
      </c>
      <c r="E15" s="12">
        <f t="shared" si="0"/>
        <v>11</v>
      </c>
      <c r="F15" s="13">
        <v>2</v>
      </c>
      <c r="G15" s="12">
        <f t="shared" si="1"/>
        <v>8</v>
      </c>
      <c r="H15" s="14">
        <v>1</v>
      </c>
      <c r="I15" s="21">
        <v>50</v>
      </c>
      <c r="J15" s="16">
        <f t="shared" si="2"/>
        <v>50</v>
      </c>
      <c r="K15" s="17" t="s">
        <v>259</v>
      </c>
      <c r="L15" s="18">
        <v>25</v>
      </c>
      <c r="M15" s="24">
        <f t="shared" si="5"/>
        <v>25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+'2'!G17</f>
        <v>22</v>
      </c>
      <c r="D17" s="13">
        <v>0</v>
      </c>
      <c r="E17" s="12">
        <f t="shared" si="0"/>
        <v>22</v>
      </c>
      <c r="F17" s="13">
        <v>5</v>
      </c>
      <c r="G17" s="12">
        <f t="shared" si="1"/>
        <v>12</v>
      </c>
      <c r="H17" s="14">
        <v>5</v>
      </c>
      <c r="I17" s="15">
        <v>50</v>
      </c>
      <c r="J17" s="16">
        <f t="shared" si="2"/>
        <v>250</v>
      </c>
      <c r="K17" s="17" t="s">
        <v>259</v>
      </c>
      <c r="L17" s="18">
        <v>125</v>
      </c>
      <c r="M17" s="24">
        <f t="shared" si="5"/>
        <v>125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+'2'!G19</f>
        <v>17</v>
      </c>
      <c r="D19" s="13">
        <v>0</v>
      </c>
      <c r="E19" s="12">
        <f t="shared" si="0"/>
        <v>17</v>
      </c>
      <c r="F19" s="13">
        <v>5</v>
      </c>
      <c r="G19" s="12">
        <f t="shared" si="1"/>
        <v>9</v>
      </c>
      <c r="H19" s="14">
        <v>3</v>
      </c>
      <c r="I19" s="15">
        <v>50</v>
      </c>
      <c r="J19" s="16">
        <f t="shared" si="2"/>
        <v>150</v>
      </c>
      <c r="K19" s="17" t="s">
        <v>259</v>
      </c>
      <c r="L19" s="18">
        <v>75</v>
      </c>
      <c r="M19" s="24">
        <f t="shared" si="5"/>
        <v>75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+'2'!G22</f>
        <v>6</v>
      </c>
      <c r="D22" s="13">
        <v>0</v>
      </c>
      <c r="E22" s="12">
        <f>C22+D22</f>
        <v>6</v>
      </c>
      <c r="F22" s="13">
        <v>3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+'2'!G23</f>
        <v>31</v>
      </c>
      <c r="D23" s="13">
        <v>0</v>
      </c>
      <c r="E23" s="12">
        <f>C23+D23</f>
        <v>31</v>
      </c>
      <c r="F23" s="13">
        <v>6</v>
      </c>
      <c r="G23" s="12">
        <f>E23-F23-H23</f>
        <v>20</v>
      </c>
      <c r="H23" s="14">
        <v>5</v>
      </c>
      <c r="I23" s="15">
        <v>100</v>
      </c>
      <c r="J23" s="16">
        <f t="shared" si="2"/>
        <v>500</v>
      </c>
      <c r="K23" s="17" t="s">
        <v>259</v>
      </c>
      <c r="L23" s="18">
        <v>250</v>
      </c>
      <c r="M23" s="24">
        <f t="shared" si="5"/>
        <v>250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+'2'!G24</f>
        <v>19</v>
      </c>
      <c r="D24" s="13">
        <v>0</v>
      </c>
      <c r="E24" s="12">
        <f t="shared" si="0"/>
        <v>19</v>
      </c>
      <c r="F24" s="13">
        <v>5</v>
      </c>
      <c r="G24" s="12">
        <f t="shared" si="1"/>
        <v>11</v>
      </c>
      <c r="H24" s="14">
        <v>3</v>
      </c>
      <c r="I24" s="19">
        <v>100</v>
      </c>
      <c r="J24" s="16">
        <f t="shared" si="2"/>
        <v>300</v>
      </c>
      <c r="K24" s="17" t="s">
        <v>259</v>
      </c>
      <c r="L24" s="18">
        <v>150</v>
      </c>
      <c r="M24" s="24">
        <f t="shared" si="5"/>
        <v>150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+'2'!G29</f>
        <v>15</v>
      </c>
      <c r="D29" s="13">
        <v>0</v>
      </c>
      <c r="E29" s="12">
        <f t="shared" si="0"/>
        <v>15</v>
      </c>
      <c r="F29" s="13">
        <v>5</v>
      </c>
      <c r="G29" s="12">
        <f t="shared" si="1"/>
        <v>8</v>
      </c>
      <c r="H29" s="14">
        <v>2</v>
      </c>
      <c r="I29" s="15">
        <v>100</v>
      </c>
      <c r="J29" s="16">
        <f t="shared" si="2"/>
        <v>200</v>
      </c>
      <c r="K29" s="17" t="s">
        <v>259</v>
      </c>
      <c r="L29" s="18">
        <v>100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+'2'!G34</f>
        <v>5</v>
      </c>
      <c r="D34" s="13">
        <v>0</v>
      </c>
      <c r="E34" s="12">
        <f t="shared" si="0"/>
        <v>5</v>
      </c>
      <c r="F34" s="13">
        <v>2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+'2'!G35</f>
        <v>7</v>
      </c>
      <c r="D35" s="13">
        <v>0</v>
      </c>
      <c r="E35" s="12">
        <f t="shared" si="0"/>
        <v>7</v>
      </c>
      <c r="F35" s="13">
        <v>4</v>
      </c>
      <c r="G35" s="12">
        <f t="shared" si="1"/>
        <v>1</v>
      </c>
      <c r="H35" s="14">
        <v>2</v>
      </c>
      <c r="I35" s="15">
        <v>130</v>
      </c>
      <c r="J35" s="16">
        <f t="shared" si="2"/>
        <v>260</v>
      </c>
      <c r="K35" s="17" t="s">
        <v>16</v>
      </c>
      <c r="L35" s="18">
        <v>0</v>
      </c>
      <c r="M35" s="24">
        <f t="shared" si="5"/>
        <v>260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+'2'!G37</f>
        <v>4</v>
      </c>
      <c r="D37" s="13">
        <v>0</v>
      </c>
      <c r="E37" s="12">
        <f t="shared" si="0"/>
        <v>4</v>
      </c>
      <c r="F37" s="13">
        <v>1</v>
      </c>
      <c r="G37" s="12">
        <f t="shared" si="1"/>
        <v>1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+'2'!G38</f>
        <v>6</v>
      </c>
      <c r="D38" s="13">
        <v>0</v>
      </c>
      <c r="E38" s="12">
        <f t="shared" si="0"/>
        <v>6</v>
      </c>
      <c r="F38" s="13">
        <v>2</v>
      </c>
      <c r="G38" s="12">
        <f t="shared" si="1"/>
        <v>1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+'2'!G39</f>
        <v>10</v>
      </c>
      <c r="D39" s="13">
        <v>0</v>
      </c>
      <c r="E39" s="12">
        <f t="shared" si="0"/>
        <v>10</v>
      </c>
      <c r="F39" s="13">
        <v>6</v>
      </c>
      <c r="G39" s="12">
        <f t="shared" si="1"/>
        <v>4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+'2'!G40</f>
        <v>7</v>
      </c>
      <c r="D40" s="13">
        <v>0</v>
      </c>
      <c r="E40" s="12">
        <f t="shared" si="0"/>
        <v>7</v>
      </c>
      <c r="F40" s="13">
        <v>3</v>
      </c>
      <c r="G40" s="12">
        <f t="shared" si="1"/>
        <v>3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+'2'!G42</f>
        <v>10</v>
      </c>
      <c r="D42" s="13">
        <v>0</v>
      </c>
      <c r="E42" s="12">
        <f t="shared" si="0"/>
        <v>10</v>
      </c>
      <c r="F42" s="13">
        <v>0</v>
      </c>
      <c r="G42" s="12">
        <f t="shared" si="1"/>
        <v>8</v>
      </c>
      <c r="H42" s="14">
        <v>2</v>
      </c>
      <c r="I42" s="15">
        <v>50</v>
      </c>
      <c r="J42" s="16">
        <f t="shared" si="2"/>
        <v>100</v>
      </c>
      <c r="K42" s="17" t="s">
        <v>16</v>
      </c>
      <c r="L42" s="18">
        <v>0</v>
      </c>
      <c r="M42" s="24">
        <f t="shared" si="5"/>
        <v>100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3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2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2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+'2'!G62</f>
        <v>5</v>
      </c>
      <c r="D62" s="13">
        <v>0</v>
      </c>
      <c r="E62" s="12">
        <f t="shared" si="0"/>
        <v>5</v>
      </c>
      <c r="F62" s="13">
        <v>3</v>
      </c>
      <c r="G62" s="12">
        <f t="shared" si="1"/>
        <v>2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+'2'!G67</f>
        <v>5</v>
      </c>
      <c r="D67" s="13">
        <v>0</v>
      </c>
      <c r="E67" s="12">
        <f>C67+D67</f>
        <v>5</v>
      </c>
      <c r="F67" s="13">
        <v>0</v>
      </c>
      <c r="G67" s="12">
        <f t="shared" si="1"/>
        <v>3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+'2'!G70</f>
        <v>4</v>
      </c>
      <c r="D70" s="13">
        <v>0</v>
      </c>
      <c r="E70" s="12">
        <f t="shared" si="0"/>
        <v>4</v>
      </c>
      <c r="F70" s="13">
        <v>0</v>
      </c>
      <c r="G70" s="12">
        <f t="shared" si="1"/>
        <v>3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2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2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1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+'2'!G87</f>
        <v>3</v>
      </c>
      <c r="D87" s="13">
        <v>0</v>
      </c>
      <c r="E87" s="12">
        <f t="shared" si="0"/>
        <v>3</v>
      </c>
      <c r="F87" s="13">
        <v>0</v>
      </c>
      <c r="G87" s="12">
        <f t="shared" si="1"/>
        <v>2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+'2'!G102</f>
        <v>4</v>
      </c>
      <c r="D102" s="13">
        <v>0</v>
      </c>
      <c r="E102" s="12">
        <f t="shared" si="13"/>
        <v>4</v>
      </c>
      <c r="F102" s="13">
        <v>0</v>
      </c>
      <c r="G102" s="12">
        <f t="shared" si="12"/>
        <v>3</v>
      </c>
      <c r="H102" s="14">
        <v>1</v>
      </c>
      <c r="I102" s="21">
        <v>50</v>
      </c>
      <c r="J102" s="16">
        <f t="shared" si="11"/>
        <v>50</v>
      </c>
      <c r="K102" s="17" t="s">
        <v>16</v>
      </c>
      <c r="L102" s="18">
        <v>0</v>
      </c>
      <c r="M102" s="24">
        <f t="shared" si="9"/>
        <v>50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1</v>
      </c>
      <c r="H178" s="14">
        <v>1</v>
      </c>
      <c r="I178" s="21">
        <v>120</v>
      </c>
      <c r="J178" s="16">
        <f t="shared" si="15"/>
        <v>120</v>
      </c>
      <c r="K178" s="17" t="s">
        <v>16</v>
      </c>
      <c r="L178" s="18">
        <v>0</v>
      </c>
      <c r="M178" s="24">
        <f t="shared" si="14"/>
        <v>120</v>
      </c>
    </row>
    <row r="179" spans="1:13" ht="25.5">
      <c r="A179" s="10">
        <v>175</v>
      </c>
      <c r="B179" s="20" t="s">
        <v>190</v>
      </c>
      <c r="C179" s="12">
        <f>+'2'!G179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3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+'2'!G203</f>
        <v>5</v>
      </c>
      <c r="D203" s="13">
        <v>0</v>
      </c>
      <c r="E203" s="12">
        <f t="shared" si="13"/>
        <v>5</v>
      </c>
      <c r="F203" s="13">
        <v>0</v>
      </c>
      <c r="G203" s="12">
        <f t="shared" si="16"/>
        <v>3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265</v>
      </c>
      <c r="C204" s="12">
        <v>0</v>
      </c>
      <c r="D204" s="13">
        <v>7</v>
      </c>
      <c r="E204" s="12">
        <f t="shared" si="13"/>
        <v>7</v>
      </c>
      <c r="F204" s="13">
        <v>0</v>
      </c>
      <c r="G204" s="12">
        <f t="shared" si="16"/>
        <v>5</v>
      </c>
      <c r="H204" s="14">
        <v>2</v>
      </c>
      <c r="I204" s="15">
        <v>50</v>
      </c>
      <c r="J204" s="16">
        <f t="shared" si="18"/>
        <v>100</v>
      </c>
      <c r="K204" s="17"/>
      <c r="L204" s="18"/>
      <c r="M204" s="24">
        <f t="shared" si="17"/>
        <v>100</v>
      </c>
    </row>
    <row r="205" spans="1:14" ht="25.5">
      <c r="A205" s="10">
        <v>201</v>
      </c>
      <c r="B205" s="20" t="s">
        <v>266</v>
      </c>
      <c r="C205" s="12">
        <f>+'2'!G204</f>
        <v>0</v>
      </c>
      <c r="D205" s="13">
        <v>4</v>
      </c>
      <c r="E205" s="12">
        <f t="shared" si="13"/>
        <v>4</v>
      </c>
      <c r="F205" s="13">
        <v>0</v>
      </c>
      <c r="G205" s="12">
        <f t="shared" si="16"/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4080</v>
      </c>
    </row>
    <row r="209" spans="1:18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8" ht="25.5">
      <c r="A210" s="1"/>
      <c r="C210" s="32"/>
      <c r="E210" s="32"/>
      <c r="G210" s="32"/>
      <c r="I210" s="35" t="s">
        <v>214</v>
      </c>
      <c r="J210" s="36"/>
      <c r="K210" s="37">
        <f>SUM(L210:BO210)</f>
        <v>900</v>
      </c>
      <c r="L210" s="2">
        <v>100</v>
      </c>
      <c r="M210" s="2">
        <v>200</v>
      </c>
      <c r="N210" s="2">
        <v>100</v>
      </c>
      <c r="O210" s="2">
        <v>50</v>
      </c>
      <c r="P210" s="2">
        <v>150</v>
      </c>
      <c r="Q210" s="2">
        <v>150</v>
      </c>
      <c r="R210" s="2">
        <v>150</v>
      </c>
    </row>
    <row r="211" spans="1:18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8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8" ht="25.5">
      <c r="A213" s="1"/>
      <c r="C213" s="32"/>
      <c r="E213" s="32"/>
      <c r="G213" s="32"/>
      <c r="I213" s="136" t="s">
        <v>217</v>
      </c>
      <c r="J213" s="137"/>
      <c r="K213" s="38">
        <f>SUM(L5:L206)</f>
        <v>1000</v>
      </c>
    </row>
    <row r="214" spans="1:18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2165</v>
      </c>
    </row>
    <row r="215" spans="1:18" ht="25.5">
      <c r="A215" s="1"/>
      <c r="C215" s="32"/>
      <c r="E215" s="32"/>
      <c r="G215" s="32"/>
      <c r="I215" s="136" t="s">
        <v>219</v>
      </c>
      <c r="J215" s="137"/>
      <c r="K215" s="38">
        <v>2165</v>
      </c>
    </row>
    <row r="216" spans="1:18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8" ht="25.5">
      <c r="G217" s="2"/>
      <c r="I217" s="136" t="s">
        <v>221</v>
      </c>
      <c r="J217" s="137"/>
      <c r="K217" s="34">
        <f>+K215-K214</f>
        <v>0</v>
      </c>
    </row>
    <row r="218" spans="1:18">
      <c r="G218" s="2"/>
      <c r="I218" s="2"/>
    </row>
    <row r="219" spans="1:18">
      <c r="G219" s="2"/>
      <c r="I219" s="2"/>
      <c r="J219" s="96" t="s">
        <v>261</v>
      </c>
      <c r="K219" s="24">
        <f>+K208-K213+K216</f>
        <v>3080</v>
      </c>
    </row>
    <row r="220" spans="1:18">
      <c r="G220" s="2"/>
      <c r="I220" s="2"/>
      <c r="J220" s="2" t="s">
        <v>262</v>
      </c>
      <c r="K220" s="24">
        <f>SUM(K209:K212)</f>
        <v>915</v>
      </c>
    </row>
    <row r="221" spans="1:18">
      <c r="G221" s="2"/>
      <c r="I221" s="2"/>
      <c r="J221" s="2" t="s">
        <v>263</v>
      </c>
      <c r="K221" s="24">
        <f>+K215</f>
        <v>2165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6322-2B08-45EB-A299-C043A65A24FA}">
  <sheetPr>
    <tabColor theme="5" tint="0.79998168889431442"/>
  </sheetPr>
  <dimension ref="A1:Z292"/>
  <sheetViews>
    <sheetView topLeftCell="E1" zoomScaleNormal="100" workbookViewId="0">
      <pane ySplit="4" topLeftCell="A201" activePane="bottomLeft" state="frozen"/>
      <selection pane="bottomLeft" activeCell="P210" sqref="P21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+'3'!G5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10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+'3'!G6</f>
        <v>46</v>
      </c>
      <c r="D6" s="13">
        <v>0</v>
      </c>
      <c r="E6" s="12">
        <f t="shared" si="0"/>
        <v>46</v>
      </c>
      <c r="F6" s="13">
        <v>0</v>
      </c>
      <c r="G6" s="12">
        <f t="shared" si="1"/>
        <v>41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+'3'!G12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10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+'3'!G14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+'3'!G15</f>
        <v>8</v>
      </c>
      <c r="D15" s="13">
        <v>0</v>
      </c>
      <c r="E15" s="12">
        <f t="shared" si="0"/>
        <v>8</v>
      </c>
      <c r="F15" s="13">
        <v>0</v>
      </c>
      <c r="G15" s="12">
        <f t="shared" si="1"/>
        <v>8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+'3'!G17</f>
        <v>12</v>
      </c>
      <c r="D17" s="13">
        <v>0</v>
      </c>
      <c r="E17" s="12">
        <f t="shared" si="0"/>
        <v>12</v>
      </c>
      <c r="F17" s="13">
        <v>0</v>
      </c>
      <c r="G17" s="12">
        <f t="shared" si="1"/>
        <v>12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+'3'!G19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+'3'!G22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+'3'!G23</f>
        <v>20</v>
      </c>
      <c r="D23" s="13">
        <v>0</v>
      </c>
      <c r="E23" s="12">
        <f>C23+D23</f>
        <v>20</v>
      </c>
      <c r="F23" s="13">
        <v>0</v>
      </c>
      <c r="G23" s="12">
        <f>E23-F23-H23</f>
        <v>15</v>
      </c>
      <c r="H23" s="14">
        <v>5</v>
      </c>
      <c r="I23" s="15">
        <v>100</v>
      </c>
      <c r="J23" s="16">
        <f t="shared" si="2"/>
        <v>500</v>
      </c>
      <c r="K23" s="17" t="s">
        <v>16</v>
      </c>
      <c r="L23" s="18">
        <v>0</v>
      </c>
      <c r="M23" s="24">
        <f t="shared" si="5"/>
        <v>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+'3'!G24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11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+'3'!G29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+'3'!G34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+'3'!G35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1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+'3'!G37</f>
        <v>1</v>
      </c>
      <c r="D37" s="13">
        <v>0</v>
      </c>
      <c r="E37" s="12">
        <f t="shared" si="0"/>
        <v>1</v>
      </c>
      <c r="F37" s="13">
        <v>0</v>
      </c>
      <c r="G37" s="12">
        <f t="shared" si="1"/>
        <v>1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+'3'!G38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+'3'!G39</f>
        <v>4</v>
      </c>
      <c r="D39" s="13">
        <v>0</v>
      </c>
      <c r="E39" s="12">
        <f t="shared" si="0"/>
        <v>4</v>
      </c>
      <c r="F39" s="13">
        <v>0</v>
      </c>
      <c r="G39" s="12">
        <f t="shared" si="1"/>
        <v>2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+'3'!G40</f>
        <v>3</v>
      </c>
      <c r="D40" s="13">
        <v>0</v>
      </c>
      <c r="E40" s="12">
        <f t="shared" si="0"/>
        <v>3</v>
      </c>
      <c r="F40" s="13">
        <v>0</v>
      </c>
      <c r="G40" s="12">
        <f t="shared" si="1"/>
        <v>3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+'3'!G41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+'3'!G42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+'3'!G43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+'3'!G44</f>
        <v>3</v>
      </c>
      <c r="D44" s="13">
        <v>0</v>
      </c>
      <c r="E44" s="12">
        <f t="shared" si="0"/>
        <v>3</v>
      </c>
      <c r="F44" s="13">
        <v>0</v>
      </c>
      <c r="G44" s="12">
        <f t="shared" si="1"/>
        <v>2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+'3'!G45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+'3'!G46</f>
        <v>2</v>
      </c>
      <c r="D46" s="13">
        <v>0</v>
      </c>
      <c r="E46" s="12">
        <f t="shared" si="0"/>
        <v>2</v>
      </c>
      <c r="F46" s="13">
        <v>0</v>
      </c>
      <c r="G46" s="12">
        <f t="shared" si="1"/>
        <v>1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+'3'!G47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1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+'3'!G48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+'3'!G49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+'3'!G62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+'3'!G63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0</v>
      </c>
      <c r="H63" s="14">
        <v>3</v>
      </c>
      <c r="I63" s="21">
        <v>50</v>
      </c>
      <c r="J63" s="16">
        <f t="shared" si="2"/>
        <v>150</v>
      </c>
      <c r="K63" s="17" t="s">
        <v>16</v>
      </c>
      <c r="L63" s="18">
        <v>0</v>
      </c>
      <c r="M63" s="24">
        <f t="shared" si="5"/>
        <v>150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+'3'!G67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1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+'3'!G70</f>
        <v>3</v>
      </c>
      <c r="D70" s="13">
        <v>0</v>
      </c>
      <c r="E70" s="12">
        <f t="shared" si="0"/>
        <v>3</v>
      </c>
      <c r="F70" s="13">
        <v>0</v>
      </c>
      <c r="G70" s="12">
        <f t="shared" si="1"/>
        <v>1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+'3'!G79</f>
        <v>2</v>
      </c>
      <c r="D79" s="13">
        <v>0</v>
      </c>
      <c r="E79" s="12">
        <f t="shared" si="0"/>
        <v>2</v>
      </c>
      <c r="F79" s="13">
        <v>0</v>
      </c>
      <c r="G79" s="12">
        <f t="shared" si="1"/>
        <v>0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+'3'!G81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+'3'!G82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+'3'!G85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+'3'!G86</f>
        <v>1</v>
      </c>
      <c r="D86" s="13">
        <v>0</v>
      </c>
      <c r="E86" s="12">
        <f t="shared" si="0"/>
        <v>1</v>
      </c>
      <c r="F86" s="13">
        <v>0</v>
      </c>
      <c r="G86" s="12">
        <f t="shared" si="1"/>
        <v>0</v>
      </c>
      <c r="H86" s="14">
        <v>1</v>
      </c>
      <c r="I86" s="21">
        <v>55</v>
      </c>
      <c r="J86" s="16">
        <f t="shared" si="11"/>
        <v>55</v>
      </c>
      <c r="K86" s="17" t="s">
        <v>16</v>
      </c>
      <c r="L86" s="18">
        <v>0</v>
      </c>
      <c r="M86" s="24">
        <f t="shared" si="9"/>
        <v>55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+'3'!G87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+'3'!G88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+'3'!G90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+'3'!G96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+'3'!G101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+'3'!G102</f>
        <v>3</v>
      </c>
      <c r="D102" s="13">
        <v>0</v>
      </c>
      <c r="E102" s="12">
        <f t="shared" si="13"/>
        <v>3</v>
      </c>
      <c r="F102" s="13">
        <v>0</v>
      </c>
      <c r="G102" s="12">
        <f t="shared" si="12"/>
        <v>0</v>
      </c>
      <c r="H102" s="14">
        <v>3</v>
      </c>
      <c r="I102" s="21">
        <v>50</v>
      </c>
      <c r="J102" s="16">
        <f t="shared" si="11"/>
        <v>150</v>
      </c>
      <c r="K102" s="17" t="s">
        <v>16</v>
      </c>
      <c r="L102" s="18">
        <v>0</v>
      </c>
      <c r="M102" s="24">
        <f t="shared" si="9"/>
        <v>150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+'3'!G150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+'3'!G151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+'3'!G152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+'3'!G153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+'3'!G168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+'3'!G171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+'3'!G178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+'3'!G191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+'3'!G202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2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256</v>
      </c>
      <c r="C203" s="12">
        <f>+'3'!G203</f>
        <v>3</v>
      </c>
      <c r="D203" s="13">
        <v>0</v>
      </c>
      <c r="E203" s="12">
        <f t="shared" si="13"/>
        <v>3</v>
      </c>
      <c r="F203" s="13">
        <v>0</v>
      </c>
      <c r="G203" s="12">
        <f t="shared" si="16"/>
        <v>2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>
      <c r="A204" s="10">
        <v>200</v>
      </c>
      <c r="B204" s="20" t="s">
        <v>265</v>
      </c>
      <c r="C204" s="12">
        <f>+'3'!G204</f>
        <v>5</v>
      </c>
      <c r="D204" s="13">
        <v>0</v>
      </c>
      <c r="E204" s="12">
        <f t="shared" si="13"/>
        <v>5</v>
      </c>
      <c r="F204" s="13">
        <v>0</v>
      </c>
      <c r="G204" s="12">
        <f t="shared" si="16"/>
        <v>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266</v>
      </c>
      <c r="C205" s="12">
        <f>+'3'!G205</f>
        <v>4</v>
      </c>
      <c r="D205" s="13">
        <v>0</v>
      </c>
      <c r="E205" s="12">
        <f t="shared" si="13"/>
        <v>4</v>
      </c>
      <c r="F205" s="13">
        <v>0</v>
      </c>
      <c r="G205" s="12">
        <f t="shared" si="16"/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2645</v>
      </c>
    </row>
    <row r="209" spans="1:16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6" ht="25.5">
      <c r="A210" s="1"/>
      <c r="C210" s="32"/>
      <c r="E210" s="32"/>
      <c r="G210" s="32"/>
      <c r="I210" s="35" t="s">
        <v>214</v>
      </c>
      <c r="J210" s="36"/>
      <c r="K210" s="37">
        <f>SUM(L210:BO210)</f>
        <v>620</v>
      </c>
      <c r="L210" s="2">
        <v>120</v>
      </c>
      <c r="M210" s="2">
        <v>50</v>
      </c>
      <c r="N210" s="2">
        <v>100</v>
      </c>
      <c r="O210" s="2">
        <v>100</v>
      </c>
      <c r="P210" s="97">
        <v>250</v>
      </c>
    </row>
    <row r="211" spans="1:16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6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6" ht="25.5">
      <c r="A213" s="1"/>
      <c r="C213" s="32"/>
      <c r="E213" s="32"/>
      <c r="G213" s="32"/>
      <c r="I213" s="136" t="s">
        <v>217</v>
      </c>
      <c r="J213" s="137"/>
      <c r="K213" s="38">
        <f>SUM(L5:L206)</f>
        <v>0</v>
      </c>
    </row>
    <row r="214" spans="1:16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2010</v>
      </c>
    </row>
    <row r="215" spans="1:16" ht="25.5">
      <c r="A215" s="1"/>
      <c r="C215" s="32"/>
      <c r="E215" s="32"/>
      <c r="G215" s="32"/>
      <c r="I215" s="136" t="s">
        <v>219</v>
      </c>
      <c r="J215" s="137"/>
      <c r="K215" s="38">
        <v>2010</v>
      </c>
    </row>
    <row r="216" spans="1:16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6" ht="25.5">
      <c r="G217" s="2"/>
      <c r="I217" s="136" t="s">
        <v>221</v>
      </c>
      <c r="J217" s="137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261</v>
      </c>
      <c r="K219" s="24">
        <f>+K208-K213+K216</f>
        <v>2645</v>
      </c>
    </row>
    <row r="220" spans="1:16">
      <c r="G220" s="2"/>
      <c r="I220" s="2"/>
      <c r="J220" s="2" t="s">
        <v>262</v>
      </c>
      <c r="K220" s="24">
        <f>SUM(K209:K212)</f>
        <v>635</v>
      </c>
    </row>
    <row r="221" spans="1:16">
      <c r="G221" s="2"/>
      <c r="I221" s="2"/>
      <c r="J221" s="2" t="s">
        <v>263</v>
      </c>
      <c r="K221" s="24">
        <f>+K215</f>
        <v>2010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80C0-14A4-4133-9B16-0B2CC293F585}">
  <sheetPr>
    <tabColor theme="5" tint="0.79998168889431442"/>
  </sheetPr>
  <dimension ref="A1:Z292"/>
  <sheetViews>
    <sheetView zoomScaleNormal="100" workbookViewId="0">
      <pane ySplit="4" topLeftCell="A201" activePane="bottomLeft" state="frozen"/>
      <selection pane="bottomLeft" activeCell="I202" sqref="I202:I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+'4'!G5</f>
        <v>10</v>
      </c>
      <c r="D5" s="13">
        <v>10</v>
      </c>
      <c r="E5" s="12">
        <f t="shared" ref="E5:E94" si="0">C5+D5</f>
        <v>20</v>
      </c>
      <c r="F5" s="13">
        <v>0</v>
      </c>
      <c r="G5" s="12">
        <f t="shared" ref="G5:G94" si="1">E5-F5-H5</f>
        <v>20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+'4'!G6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41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+'4'!G12</f>
        <v>10</v>
      </c>
      <c r="D12" s="13">
        <v>5</v>
      </c>
      <c r="E12" s="12">
        <f t="shared" si="0"/>
        <v>15</v>
      </c>
      <c r="F12" s="13">
        <v>0</v>
      </c>
      <c r="G12" s="12">
        <f t="shared" si="1"/>
        <v>10</v>
      </c>
      <c r="H12" s="14">
        <v>5</v>
      </c>
      <c r="I12" s="21">
        <v>50</v>
      </c>
      <c r="J12" s="16">
        <f t="shared" si="2"/>
        <v>250</v>
      </c>
      <c r="K12" s="17" t="s">
        <v>259</v>
      </c>
      <c r="L12" s="18">
        <v>125</v>
      </c>
      <c r="M12" s="24">
        <f t="shared" si="5"/>
        <v>125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+'4'!G14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+'4'!G15</f>
        <v>8</v>
      </c>
      <c r="D15" s="13">
        <v>5</v>
      </c>
      <c r="E15" s="12">
        <f t="shared" si="0"/>
        <v>13</v>
      </c>
      <c r="F15" s="13">
        <v>0</v>
      </c>
      <c r="G15" s="12">
        <f t="shared" si="1"/>
        <v>5</v>
      </c>
      <c r="H15" s="14">
        <v>8</v>
      </c>
      <c r="I15" s="21">
        <v>50</v>
      </c>
      <c r="J15" s="16">
        <f t="shared" si="2"/>
        <v>400</v>
      </c>
      <c r="K15" s="17" t="s">
        <v>259</v>
      </c>
      <c r="L15" s="18">
        <v>200</v>
      </c>
      <c r="M15" s="24">
        <f t="shared" si="5"/>
        <v>200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+'4'!G17</f>
        <v>12</v>
      </c>
      <c r="D17" s="13">
        <v>5</v>
      </c>
      <c r="E17" s="12">
        <f t="shared" si="0"/>
        <v>17</v>
      </c>
      <c r="F17" s="13">
        <v>0</v>
      </c>
      <c r="G17" s="12">
        <f t="shared" si="1"/>
        <v>10</v>
      </c>
      <c r="H17" s="14">
        <v>7</v>
      </c>
      <c r="I17" s="15">
        <v>50</v>
      </c>
      <c r="J17" s="16">
        <f t="shared" si="2"/>
        <v>350</v>
      </c>
      <c r="K17" s="17" t="s">
        <v>259</v>
      </c>
      <c r="L17" s="18">
        <v>175</v>
      </c>
      <c r="M17" s="24">
        <f t="shared" si="5"/>
        <v>175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+'4'!G19</f>
        <v>8</v>
      </c>
      <c r="D19" s="13">
        <v>5</v>
      </c>
      <c r="E19" s="12">
        <f t="shared" si="0"/>
        <v>13</v>
      </c>
      <c r="F19" s="13">
        <v>0</v>
      </c>
      <c r="G19" s="12">
        <f t="shared" si="1"/>
        <v>9</v>
      </c>
      <c r="H19" s="14">
        <v>4</v>
      </c>
      <c r="I19" s="15">
        <v>50</v>
      </c>
      <c r="J19" s="16">
        <f t="shared" si="2"/>
        <v>200</v>
      </c>
      <c r="K19" s="17" t="s">
        <v>259</v>
      </c>
      <c r="L19" s="18">
        <v>100</v>
      </c>
      <c r="M19" s="24">
        <f t="shared" si="5"/>
        <v>100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+'4'!G22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+'4'!G23</f>
        <v>15</v>
      </c>
      <c r="D23" s="13">
        <v>10</v>
      </c>
      <c r="E23" s="12">
        <f>C23+D23</f>
        <v>25</v>
      </c>
      <c r="F23" s="13">
        <v>0</v>
      </c>
      <c r="G23" s="12">
        <f>E23-F23-H23</f>
        <v>18</v>
      </c>
      <c r="H23" s="14">
        <v>7</v>
      </c>
      <c r="I23" s="15">
        <v>100</v>
      </c>
      <c r="J23" s="16">
        <f t="shared" si="2"/>
        <v>700</v>
      </c>
      <c r="K23" s="17" t="s">
        <v>259</v>
      </c>
      <c r="L23" s="18">
        <v>350</v>
      </c>
      <c r="M23" s="24">
        <f t="shared" si="5"/>
        <v>350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+'4'!G24</f>
        <v>11</v>
      </c>
      <c r="D24" s="13">
        <v>5</v>
      </c>
      <c r="E24" s="12">
        <f t="shared" si="0"/>
        <v>16</v>
      </c>
      <c r="F24" s="13">
        <v>0</v>
      </c>
      <c r="G24" s="12">
        <f t="shared" si="1"/>
        <v>11</v>
      </c>
      <c r="H24" s="14">
        <v>5</v>
      </c>
      <c r="I24" s="19">
        <v>100</v>
      </c>
      <c r="J24" s="16">
        <f t="shared" si="2"/>
        <v>500</v>
      </c>
      <c r="K24" s="17" t="s">
        <v>259</v>
      </c>
      <c r="L24" s="18">
        <v>250</v>
      </c>
      <c r="M24" s="24">
        <f t="shared" si="5"/>
        <v>250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+'4'!G29</f>
        <v>8</v>
      </c>
      <c r="D29" s="13">
        <v>5</v>
      </c>
      <c r="E29" s="12">
        <f t="shared" si="0"/>
        <v>13</v>
      </c>
      <c r="F29" s="13">
        <v>0</v>
      </c>
      <c r="G29" s="12">
        <f t="shared" si="1"/>
        <v>11</v>
      </c>
      <c r="H29" s="14">
        <v>2</v>
      </c>
      <c r="I29" s="15">
        <v>100</v>
      </c>
      <c r="J29" s="16">
        <f t="shared" si="2"/>
        <v>200</v>
      </c>
      <c r="K29" s="17" t="s">
        <v>259</v>
      </c>
      <c r="L29" s="18">
        <v>100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+'4'!G34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+'4'!G35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+'4'!G37</f>
        <v>1</v>
      </c>
      <c r="D37" s="13">
        <v>5</v>
      </c>
      <c r="E37" s="12">
        <f t="shared" si="0"/>
        <v>6</v>
      </c>
      <c r="F37" s="13">
        <v>0</v>
      </c>
      <c r="G37" s="12">
        <f t="shared" si="1"/>
        <v>6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+'4'!G38</f>
        <v>1</v>
      </c>
      <c r="D38" s="13">
        <v>5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+'4'!G39</f>
        <v>2</v>
      </c>
      <c r="D39" s="13">
        <v>5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+'4'!G40</f>
        <v>3</v>
      </c>
      <c r="D40" s="13">
        <v>5</v>
      </c>
      <c r="E40" s="12">
        <f t="shared" si="0"/>
        <v>8</v>
      </c>
      <c r="F40" s="13">
        <v>0</v>
      </c>
      <c r="G40" s="12">
        <f t="shared" si="1"/>
        <v>8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+'4'!G41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+'4'!G42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+'4'!G43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+'4'!G44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2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+'4'!G45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+'4'!G46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+'4'!G47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+'4'!G48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+'4'!G49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+'4'!G62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+'4'!G63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+'4'!G67</f>
        <v>1</v>
      </c>
      <c r="D67" s="13">
        <v>5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+'4'!G70</f>
        <v>1</v>
      </c>
      <c r="D70" s="13">
        <v>5</v>
      </c>
      <c r="E70" s="12">
        <f t="shared" si="0"/>
        <v>6</v>
      </c>
      <c r="F70" s="13">
        <v>0</v>
      </c>
      <c r="G70" s="12">
        <f t="shared" si="1"/>
        <v>5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+'4'!G77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+'4'!G79</f>
        <v>0</v>
      </c>
      <c r="D79" s="13">
        <v>5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+'4'!G81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+'4'!G82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+'4'!G85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+'4'!G87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+'4'!G88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+'4'!G90</f>
        <v>0</v>
      </c>
      <c r="D90" s="13">
        <v>6</v>
      </c>
      <c r="E90" s="12">
        <f t="shared" si="0"/>
        <v>6</v>
      </c>
      <c r="F90" s="13">
        <v>0</v>
      </c>
      <c r="G90" s="12">
        <f t="shared" si="1"/>
        <v>6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+'4'!G96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+'4'!G101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+'4'!G102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+'4'!G150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+'4'!G151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+'4'!G152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+'4'!G153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3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+'4'!G168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+'4'!G171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+'4'!G178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+'4'!G191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+'4'!G202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+'4'!G203</f>
        <v>2</v>
      </c>
      <c r="D203" s="13">
        <v>12</v>
      </c>
      <c r="E203" s="12">
        <f t="shared" si="13"/>
        <v>14</v>
      </c>
      <c r="F203" s="13">
        <v>0</v>
      </c>
      <c r="G203" s="12">
        <f t="shared" si="16"/>
        <v>14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 t="s">
        <v>265</v>
      </c>
      <c r="C204" s="12">
        <f>+'4'!G204</f>
        <v>5</v>
      </c>
      <c r="D204" s="13">
        <v>0</v>
      </c>
      <c r="E204" s="12">
        <f t="shared" si="13"/>
        <v>5</v>
      </c>
      <c r="F204" s="13">
        <v>0</v>
      </c>
      <c r="G204" s="12">
        <f t="shared" si="16"/>
        <v>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/>
    </row>
    <row r="205" spans="1:14" ht="25.5">
      <c r="A205" s="10">
        <v>201</v>
      </c>
      <c r="B205" s="20" t="s">
        <v>266</v>
      </c>
      <c r="C205" s="12">
        <f>+'4'!G205</f>
        <v>4</v>
      </c>
      <c r="D205" s="13">
        <v>0</v>
      </c>
      <c r="E205" s="12">
        <f t="shared" si="13"/>
        <v>4</v>
      </c>
      <c r="F205" s="13">
        <v>0</v>
      </c>
      <c r="G205" s="12">
        <f t="shared" si="16"/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2830</v>
      </c>
    </row>
    <row r="209" spans="1:12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2" ht="25.5">
      <c r="A210" s="1"/>
      <c r="C210" s="32"/>
      <c r="E210" s="32"/>
      <c r="G210" s="32"/>
      <c r="I210" s="35" t="s">
        <v>214</v>
      </c>
      <c r="J210" s="36"/>
      <c r="K210" s="37">
        <f>SUM(L210:BO210)</f>
        <v>1300</v>
      </c>
      <c r="L210" s="2">
        <v>1300</v>
      </c>
    </row>
    <row r="211" spans="1:12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2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2" ht="25.5">
      <c r="A213" s="1"/>
      <c r="C213" s="32"/>
      <c r="E213" s="32"/>
      <c r="G213" s="32"/>
      <c r="I213" s="136" t="s">
        <v>217</v>
      </c>
      <c r="J213" s="137"/>
      <c r="K213" s="38">
        <f>SUM(L5:L206)</f>
        <v>1300</v>
      </c>
    </row>
    <row r="214" spans="1:12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215</v>
      </c>
    </row>
    <row r="215" spans="1:12" ht="25.5">
      <c r="A215" s="1"/>
      <c r="C215" s="32"/>
      <c r="E215" s="32"/>
      <c r="G215" s="32"/>
      <c r="I215" s="136" t="s">
        <v>219</v>
      </c>
      <c r="J215" s="137"/>
      <c r="K215" s="38">
        <v>215</v>
      </c>
    </row>
    <row r="216" spans="1:12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2" ht="25.5">
      <c r="G217" s="2"/>
      <c r="I217" s="136" t="s">
        <v>221</v>
      </c>
      <c r="J217" s="137"/>
      <c r="K217" s="34">
        <f>+K215-K214</f>
        <v>0</v>
      </c>
    </row>
    <row r="218" spans="1:12">
      <c r="G218" s="2"/>
      <c r="I218" s="2"/>
    </row>
    <row r="219" spans="1:12">
      <c r="G219" s="2"/>
      <c r="I219" s="2"/>
      <c r="J219" s="96" t="s">
        <v>261</v>
      </c>
      <c r="K219" s="24">
        <f>+K208-K213+K216</f>
        <v>1530</v>
      </c>
    </row>
    <row r="220" spans="1:12">
      <c r="G220" s="2"/>
      <c r="I220" s="2"/>
      <c r="J220" s="2" t="s">
        <v>262</v>
      </c>
      <c r="K220" s="24">
        <f>SUM(K209:K212)</f>
        <v>1315</v>
      </c>
    </row>
    <row r="221" spans="1:12">
      <c r="G221" s="2"/>
      <c r="I221" s="2"/>
      <c r="J221" s="2" t="s">
        <v>263</v>
      </c>
      <c r="K221" s="24">
        <f>+K215</f>
        <v>215</v>
      </c>
    </row>
    <row r="222" spans="1:12">
      <c r="G222" s="2"/>
      <c r="I222" s="2"/>
    </row>
    <row r="223" spans="1:12">
      <c r="G223" s="2"/>
      <c r="I223" s="2"/>
    </row>
    <row r="224" spans="1:12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6C5E-FF6C-4392-B6F5-946244DC58F3}">
  <sheetPr>
    <tabColor theme="5" tint="0.79998168889431442"/>
  </sheetPr>
  <dimension ref="A1:Z292"/>
  <sheetViews>
    <sheetView topLeftCell="A198" zoomScaleNormal="100" workbookViewId="0">
      <selection activeCell="C92" sqref="C9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+'5'!G5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+'5'!G6</f>
        <v>41</v>
      </c>
      <c r="D6" s="13">
        <v>0</v>
      </c>
      <c r="E6" s="12">
        <f t="shared" si="0"/>
        <v>41</v>
      </c>
      <c r="F6" s="13">
        <v>0</v>
      </c>
      <c r="G6" s="12">
        <f t="shared" si="1"/>
        <v>40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+'5'!G12</f>
        <v>10</v>
      </c>
      <c r="D12" s="13">
        <v>0</v>
      </c>
      <c r="E12" s="12">
        <f t="shared" si="0"/>
        <v>10</v>
      </c>
      <c r="F12" s="13">
        <v>0</v>
      </c>
      <c r="G12" s="12">
        <f t="shared" si="1"/>
        <v>9</v>
      </c>
      <c r="H12" s="14">
        <v>1</v>
      </c>
      <c r="I12" s="21">
        <v>50</v>
      </c>
      <c r="J12" s="16">
        <f t="shared" si="2"/>
        <v>50</v>
      </c>
      <c r="K12" s="17" t="s">
        <v>259</v>
      </c>
      <c r="L12" s="18">
        <v>25</v>
      </c>
      <c r="M12" s="24">
        <f t="shared" si="5"/>
        <v>25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+'5'!G15</f>
        <v>5</v>
      </c>
      <c r="D15" s="13">
        <v>0</v>
      </c>
      <c r="E15" s="12">
        <f t="shared" si="0"/>
        <v>5</v>
      </c>
      <c r="F15" s="13">
        <v>0</v>
      </c>
      <c r="G15" s="12">
        <f t="shared" si="1"/>
        <v>3</v>
      </c>
      <c r="H15" s="14">
        <v>2</v>
      </c>
      <c r="I15" s="21">
        <v>50</v>
      </c>
      <c r="J15" s="16">
        <f t="shared" si="2"/>
        <v>100</v>
      </c>
      <c r="K15" s="17" t="s">
        <v>16</v>
      </c>
      <c r="L15" s="18">
        <v>0</v>
      </c>
      <c r="M15" s="24">
        <f t="shared" si="5"/>
        <v>100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+'5'!G17</f>
        <v>10</v>
      </c>
      <c r="D17" s="13">
        <v>0</v>
      </c>
      <c r="E17" s="12">
        <f t="shared" si="0"/>
        <v>10</v>
      </c>
      <c r="F17" s="13">
        <v>0</v>
      </c>
      <c r="G17" s="12">
        <f t="shared" si="1"/>
        <v>9</v>
      </c>
      <c r="H17" s="14">
        <v>1</v>
      </c>
      <c r="I17" s="15">
        <v>50</v>
      </c>
      <c r="J17" s="16">
        <f t="shared" si="2"/>
        <v>50</v>
      </c>
      <c r="K17" s="17" t="s">
        <v>259</v>
      </c>
      <c r="L17" s="18">
        <v>25</v>
      </c>
      <c r="M17" s="24">
        <f t="shared" si="5"/>
        <v>25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+'5'!G19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9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+'5'!G22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+'5'!G23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15</v>
      </c>
      <c r="H23" s="14">
        <v>3</v>
      </c>
      <c r="I23" s="15">
        <v>100</v>
      </c>
      <c r="J23" s="16">
        <f t="shared" si="2"/>
        <v>300</v>
      </c>
      <c r="K23" s="17" t="s">
        <v>267</v>
      </c>
      <c r="L23" s="18">
        <v>100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+'5'!G24</f>
        <v>11</v>
      </c>
      <c r="D24" s="13">
        <v>0</v>
      </c>
      <c r="E24" s="12">
        <f t="shared" si="0"/>
        <v>11</v>
      </c>
      <c r="F24" s="13">
        <v>0</v>
      </c>
      <c r="G24" s="12">
        <f t="shared" si="1"/>
        <v>10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+'5'!G29</f>
        <v>11</v>
      </c>
      <c r="D29" s="13">
        <v>0</v>
      </c>
      <c r="E29" s="12">
        <f t="shared" si="0"/>
        <v>11</v>
      </c>
      <c r="F29" s="13">
        <v>0</v>
      </c>
      <c r="G29" s="12">
        <f t="shared" si="1"/>
        <v>8</v>
      </c>
      <c r="H29" s="14">
        <v>3</v>
      </c>
      <c r="I29" s="15">
        <v>100</v>
      </c>
      <c r="J29" s="16">
        <f t="shared" si="2"/>
        <v>300</v>
      </c>
      <c r="K29" s="17" t="s">
        <v>16</v>
      </c>
      <c r="L29" s="18">
        <v>0</v>
      </c>
      <c r="M29" s="24">
        <f t="shared" si="5"/>
        <v>300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+'5'!G34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+'5'!G37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5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+'5'!G38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3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+'5'!G39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+'5'!G40</f>
        <v>8</v>
      </c>
      <c r="D40" s="13">
        <v>0</v>
      </c>
      <c r="E40" s="12">
        <f t="shared" si="0"/>
        <v>8</v>
      </c>
      <c r="F40" s="13">
        <v>0</v>
      </c>
      <c r="G40" s="12">
        <f t="shared" si="1"/>
        <v>7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+'5'!G41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+'5'!G42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8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+'5'!G43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4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+'5'!G44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1</v>
      </c>
      <c r="H44" s="14">
        <v>1</v>
      </c>
      <c r="I44" s="15">
        <v>50</v>
      </c>
      <c r="J44" s="16">
        <f t="shared" si="2"/>
        <v>50</v>
      </c>
      <c r="K44" s="17" t="s">
        <v>268</v>
      </c>
      <c r="L44" s="18">
        <v>50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+'5'!G45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3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+'5'!G46</f>
        <v>1</v>
      </c>
      <c r="D46" s="13">
        <v>0</v>
      </c>
      <c r="E46" s="12">
        <f t="shared" si="0"/>
        <v>1</v>
      </c>
      <c r="F46" s="13">
        <v>0</v>
      </c>
      <c r="G46" s="12">
        <f t="shared" si="1"/>
        <v>1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+'5'!G47</f>
        <v>1</v>
      </c>
      <c r="D47" s="13">
        <v>0</v>
      </c>
      <c r="E47" s="12">
        <f t="shared" si="0"/>
        <v>1</v>
      </c>
      <c r="F47" s="13">
        <v>0</v>
      </c>
      <c r="G47" s="12">
        <f t="shared" si="1"/>
        <v>1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+'5'!G48</f>
        <v>2</v>
      </c>
      <c r="D48" s="13">
        <v>0</v>
      </c>
      <c r="E48" s="12">
        <f t="shared" si="0"/>
        <v>2</v>
      </c>
      <c r="F48" s="13">
        <v>0</v>
      </c>
      <c r="G48" s="12">
        <f t="shared" si="1"/>
        <v>2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+'5'!G49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10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+'5'!G62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+'5'!G63</f>
        <v>0</v>
      </c>
      <c r="D63" s="13">
        <v>0</v>
      </c>
      <c r="E63" s="12">
        <f>C63+D63</f>
        <v>0</v>
      </c>
      <c r="F63" s="13">
        <v>0</v>
      </c>
      <c r="G63" s="12">
        <f t="shared" si="1"/>
        <v>0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+'5'!G67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+'5'!G70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+'5'!G77</f>
        <v>3</v>
      </c>
      <c r="D77" s="13">
        <v>0</v>
      </c>
      <c r="E77" s="12">
        <f t="shared" si="0"/>
        <v>3</v>
      </c>
      <c r="F77" s="13">
        <v>0</v>
      </c>
      <c r="G77" s="12">
        <f t="shared" si="1"/>
        <v>3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+'5'!G79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5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+'5'!G81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+'5'!G82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+'5'!G85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+'5'!G87</f>
        <v>2</v>
      </c>
      <c r="D87" s="13">
        <v>0</v>
      </c>
      <c r="E87" s="12">
        <f t="shared" si="0"/>
        <v>2</v>
      </c>
      <c r="F87" s="13">
        <v>0</v>
      </c>
      <c r="G87" s="12">
        <f t="shared" si="1"/>
        <v>2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+'5'!G88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+'5'!G96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+'5'!G101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+'5'!G102</f>
        <v>0</v>
      </c>
      <c r="D102" s="13">
        <v>0</v>
      </c>
      <c r="E102" s="12">
        <f t="shared" si="13"/>
        <v>0</v>
      </c>
      <c r="F102" s="13">
        <v>0</v>
      </c>
      <c r="G102" s="12">
        <f t="shared" si="12"/>
        <v>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+'5'!G150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5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+'5'!G151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5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+'5'!G152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4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+'5'!G153</f>
        <v>3</v>
      </c>
      <c r="D153" s="13">
        <v>0</v>
      </c>
      <c r="E153" s="12">
        <f t="shared" si="13"/>
        <v>3</v>
      </c>
      <c r="F153" s="13">
        <v>0</v>
      </c>
      <c r="G153" s="12">
        <f t="shared" si="12"/>
        <v>2</v>
      </c>
      <c r="H153" s="14">
        <v>1</v>
      </c>
      <c r="I153" s="21">
        <v>120</v>
      </c>
      <c r="J153" s="16">
        <f t="shared" si="15"/>
        <v>120</v>
      </c>
      <c r="K153" s="17" t="s">
        <v>16</v>
      </c>
      <c r="L153" s="18">
        <v>0</v>
      </c>
      <c r="M153" s="24">
        <f t="shared" si="14"/>
        <v>120</v>
      </c>
    </row>
    <row r="154" spans="1:13" ht="25.5">
      <c r="A154" s="10">
        <v>150</v>
      </c>
      <c r="B154" s="20" t="s">
        <v>166</v>
      </c>
      <c r="C154" s="12">
        <f>+'5'!G154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3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+'5'!G168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+'5'!G178</f>
        <v>1</v>
      </c>
      <c r="D178" s="13">
        <v>0</v>
      </c>
      <c r="E178" s="12">
        <f t="shared" si="13"/>
        <v>1</v>
      </c>
      <c r="F178" s="13">
        <v>0</v>
      </c>
      <c r="G178" s="12">
        <f t="shared" si="16"/>
        <v>1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+'5'!G191</f>
        <v>2</v>
      </c>
      <c r="D191" s="13">
        <v>0</v>
      </c>
      <c r="E191" s="12">
        <f t="shared" si="13"/>
        <v>2</v>
      </c>
      <c r="F191" s="13">
        <v>0</v>
      </c>
      <c r="G191" s="12">
        <f t="shared" si="16"/>
        <v>0</v>
      </c>
      <c r="H191" s="14">
        <v>2</v>
      </c>
      <c r="I191" s="15">
        <v>15</v>
      </c>
      <c r="J191" s="16">
        <f t="shared" si="15"/>
        <v>30</v>
      </c>
      <c r="K191" s="17" t="s">
        <v>16</v>
      </c>
      <c r="L191" s="18">
        <v>0</v>
      </c>
      <c r="M191" s="24">
        <f t="shared" si="14"/>
        <v>30</v>
      </c>
    </row>
    <row r="192" spans="1:13" ht="25.5">
      <c r="A192" s="10">
        <v>188</v>
      </c>
      <c r="B192" s="20" t="s">
        <v>203</v>
      </c>
      <c r="C192" s="12">
        <f>+'5'!G192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+'5'!G202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+'5'!G203</f>
        <v>14</v>
      </c>
      <c r="D203" s="13">
        <v>0</v>
      </c>
      <c r="E203" s="12">
        <f t="shared" si="13"/>
        <v>14</v>
      </c>
      <c r="F203" s="13">
        <v>0</v>
      </c>
      <c r="G203" s="12">
        <f t="shared" si="16"/>
        <v>10</v>
      </c>
      <c r="H203" s="14">
        <v>4</v>
      </c>
      <c r="I203" s="15">
        <v>120</v>
      </c>
      <c r="J203" s="16">
        <f t="shared" si="18"/>
        <v>480</v>
      </c>
      <c r="K203" s="17" t="s">
        <v>269</v>
      </c>
      <c r="L203" s="18">
        <v>20</v>
      </c>
      <c r="M203" s="24">
        <f t="shared" si="17"/>
        <v>460</v>
      </c>
    </row>
    <row r="204" spans="1:14" ht="25.5">
      <c r="A204" s="10">
        <v>200</v>
      </c>
      <c r="B204" s="20" t="s">
        <v>265</v>
      </c>
      <c r="C204" s="12">
        <f>+'5'!G204</f>
        <v>5</v>
      </c>
      <c r="D204" s="13">
        <v>0</v>
      </c>
      <c r="E204" s="12">
        <f t="shared" si="13"/>
        <v>5</v>
      </c>
      <c r="F204" s="13">
        <v>0</v>
      </c>
      <c r="G204" s="12">
        <f>E204-F204-H204</f>
        <v>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266</v>
      </c>
      <c r="C205" s="12">
        <f>+'5'!G205</f>
        <v>4</v>
      </c>
      <c r="D205" s="13">
        <v>0</v>
      </c>
      <c r="E205" s="12">
        <f t="shared" si="13"/>
        <v>4</v>
      </c>
      <c r="F205" s="13">
        <v>0</v>
      </c>
      <c r="G205" s="12">
        <f>E205-F205-H205</f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2030</v>
      </c>
    </row>
    <row r="209" spans="1:13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3" ht="25.5">
      <c r="A210" s="1"/>
      <c r="C210" s="32"/>
      <c r="E210" s="32"/>
      <c r="G210" s="32"/>
      <c r="I210" s="35" t="s">
        <v>214</v>
      </c>
      <c r="J210" s="36"/>
      <c r="K210" s="37">
        <f>SUM(L210:BO210)</f>
        <v>220</v>
      </c>
      <c r="L210" s="2">
        <v>120</v>
      </c>
      <c r="M210" s="2">
        <v>100</v>
      </c>
    </row>
    <row r="211" spans="1:13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3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3" ht="25.5">
      <c r="A213" s="1"/>
      <c r="C213" s="32"/>
      <c r="E213" s="32"/>
      <c r="G213" s="32"/>
      <c r="I213" s="136" t="s">
        <v>217</v>
      </c>
      <c r="J213" s="137"/>
      <c r="K213" s="38">
        <f>SUM(L5:L206)</f>
        <v>220</v>
      </c>
    </row>
    <row r="214" spans="1:13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1575</v>
      </c>
    </row>
    <row r="215" spans="1:13" ht="25.5">
      <c r="A215" s="1"/>
      <c r="C215" s="32"/>
      <c r="E215" s="32"/>
      <c r="G215" s="32"/>
      <c r="I215" s="136" t="s">
        <v>219</v>
      </c>
      <c r="J215" s="137"/>
      <c r="K215" s="38">
        <v>1575</v>
      </c>
    </row>
    <row r="216" spans="1:13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3" ht="25.5">
      <c r="G217" s="2"/>
      <c r="I217" s="136" t="s">
        <v>221</v>
      </c>
      <c r="J217" s="137"/>
      <c r="K217" s="34">
        <f>+K215-K214</f>
        <v>0</v>
      </c>
    </row>
    <row r="218" spans="1:13">
      <c r="G218" s="2"/>
      <c r="I218" s="2"/>
    </row>
    <row r="219" spans="1:13">
      <c r="G219" s="2"/>
      <c r="I219" s="2"/>
      <c r="J219" s="96" t="s">
        <v>261</v>
      </c>
      <c r="K219" s="24">
        <f>+K208-K213+K216</f>
        <v>1810</v>
      </c>
    </row>
    <row r="220" spans="1:13">
      <c r="G220" s="2"/>
      <c r="I220" s="2"/>
      <c r="J220" s="2" t="s">
        <v>262</v>
      </c>
      <c r="K220" s="24">
        <f>SUM(K209:K212)</f>
        <v>235</v>
      </c>
    </row>
    <row r="221" spans="1:13">
      <c r="G221" s="2"/>
      <c r="I221" s="2"/>
      <c r="J221" s="2" t="s">
        <v>263</v>
      </c>
      <c r="K221" s="24">
        <f>+K215</f>
        <v>1575</v>
      </c>
    </row>
    <row r="222" spans="1:13">
      <c r="G222" s="2"/>
      <c r="I222" s="2"/>
    </row>
    <row r="223" spans="1:13">
      <c r="G223" s="2"/>
      <c r="I223" s="2"/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5C5E3-169E-4473-B8B4-8C9C40CE3C0C}">
  <sheetPr>
    <tabColor theme="5" tint="0.79998168889431442"/>
  </sheetPr>
  <dimension ref="A1:Z292"/>
  <sheetViews>
    <sheetView zoomScale="90" zoomScaleNormal="90" workbookViewId="0">
      <pane ySplit="4" topLeftCell="A203" activePane="bottomLeft" state="frozen"/>
      <selection pane="bottomLeft" activeCell="I202" sqref="I202:I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3" width="6.5703125" style="2" bestFit="1" customWidth="1"/>
    <col min="4" max="5" width="7.5703125" style="2" bestFit="1" customWidth="1"/>
    <col min="6" max="6" width="6.85546875" style="2" bestFit="1" customWidth="1"/>
    <col min="7" max="7" width="7.5703125" style="39" bestFit="1" customWidth="1"/>
    <col min="8" max="8" width="7.5703125" style="2" bestFit="1" customWidth="1"/>
    <col min="9" max="9" width="14.140625" style="40" bestFit="1" customWidth="1"/>
    <col min="10" max="10" width="9.140625" style="2" bestFit="1" customWidth="1"/>
    <col min="11" max="11" width="15.42578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+'6'!G5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19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+'6'!G6</f>
        <v>40</v>
      </c>
      <c r="D6" s="13">
        <v>0</v>
      </c>
      <c r="E6" s="12">
        <f t="shared" si="0"/>
        <v>40</v>
      </c>
      <c r="F6" s="13">
        <v>0</v>
      </c>
      <c r="G6" s="12">
        <f t="shared" si="1"/>
        <v>34</v>
      </c>
      <c r="H6" s="14">
        <v>6</v>
      </c>
      <c r="I6" s="15">
        <v>100</v>
      </c>
      <c r="J6" s="16">
        <f t="shared" si="2"/>
        <v>600</v>
      </c>
      <c r="K6" s="17" t="s">
        <v>16</v>
      </c>
      <c r="L6" s="18">
        <v>0</v>
      </c>
      <c r="M6" s="24">
        <f t="shared" ref="M6:M69" si="5">SUM(J6-L6)</f>
        <v>600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+'6'!G9</f>
        <v>0</v>
      </c>
      <c r="D9" s="13">
        <v>175</v>
      </c>
      <c r="E9" s="12">
        <f>C9+D9</f>
        <v>175</v>
      </c>
      <c r="F9" s="13">
        <v>0</v>
      </c>
      <c r="G9" s="12">
        <f>E9-F9-H9</f>
        <v>0</v>
      </c>
      <c r="H9" s="14">
        <v>175</v>
      </c>
      <c r="I9" s="15">
        <v>12</v>
      </c>
      <c r="J9" s="16">
        <f t="shared" si="2"/>
        <v>2100</v>
      </c>
      <c r="K9" s="17" t="s">
        <v>16</v>
      </c>
      <c r="L9" s="18">
        <v>0</v>
      </c>
      <c r="M9" s="24">
        <f t="shared" si="5"/>
        <v>2100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+'6'!G12</f>
        <v>9</v>
      </c>
      <c r="D12" s="13">
        <v>0</v>
      </c>
      <c r="E12" s="12">
        <f t="shared" si="0"/>
        <v>9</v>
      </c>
      <c r="F12" s="13">
        <v>0</v>
      </c>
      <c r="G12" s="12">
        <f t="shared" si="1"/>
        <v>7</v>
      </c>
      <c r="H12" s="14">
        <v>2</v>
      </c>
      <c r="I12" s="21">
        <v>50</v>
      </c>
      <c r="J12" s="16">
        <f t="shared" si="2"/>
        <v>100</v>
      </c>
      <c r="K12" s="17" t="s">
        <v>270</v>
      </c>
      <c r="L12" s="18">
        <v>25</v>
      </c>
      <c r="M12" s="24">
        <f t="shared" si="5"/>
        <v>75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+'6'!G14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0</v>
      </c>
      <c r="H14" s="14">
        <v>2</v>
      </c>
      <c r="I14" s="21">
        <v>65</v>
      </c>
      <c r="J14" s="16">
        <f t="shared" si="2"/>
        <v>130</v>
      </c>
      <c r="K14" s="17" t="s">
        <v>16</v>
      </c>
      <c r="L14" s="18">
        <v>0</v>
      </c>
      <c r="M14" s="24">
        <f t="shared" si="5"/>
        <v>130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+'6'!G15</f>
        <v>3</v>
      </c>
      <c r="D15" s="13">
        <v>0</v>
      </c>
      <c r="E15" s="12">
        <f t="shared" si="0"/>
        <v>3</v>
      </c>
      <c r="F15" s="13">
        <v>0</v>
      </c>
      <c r="G15" s="12">
        <f t="shared" si="1"/>
        <v>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+'6'!G17</f>
        <v>9</v>
      </c>
      <c r="D17" s="13">
        <v>0</v>
      </c>
      <c r="E17" s="12">
        <f t="shared" si="0"/>
        <v>9</v>
      </c>
      <c r="F17" s="13">
        <v>0</v>
      </c>
      <c r="G17" s="12">
        <f t="shared" si="1"/>
        <v>9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+'6'!G19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6</v>
      </c>
      <c r="H19" s="14">
        <v>3</v>
      </c>
      <c r="I19" s="15">
        <v>50</v>
      </c>
      <c r="J19" s="16">
        <f t="shared" si="2"/>
        <v>150</v>
      </c>
      <c r="K19" s="17" t="s">
        <v>270</v>
      </c>
      <c r="L19" s="18">
        <v>25</v>
      </c>
      <c r="M19" s="24">
        <f t="shared" si="5"/>
        <v>125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+'6'!G22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+'6'!G23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8</v>
      </c>
      <c r="H23" s="14">
        <v>7</v>
      </c>
      <c r="I23" s="15">
        <v>100</v>
      </c>
      <c r="J23" s="16">
        <f t="shared" si="2"/>
        <v>700</v>
      </c>
      <c r="K23" s="17" t="s">
        <v>271</v>
      </c>
      <c r="L23" s="18">
        <v>200</v>
      </c>
      <c r="M23" s="24">
        <f t="shared" si="5"/>
        <v>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+'6'!G24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6</v>
      </c>
      <c r="H24" s="14">
        <v>4</v>
      </c>
      <c r="I24" s="19">
        <v>100</v>
      </c>
      <c r="J24" s="16">
        <f t="shared" si="2"/>
        <v>400</v>
      </c>
      <c r="K24" s="17" t="s">
        <v>272</v>
      </c>
      <c r="L24" s="18">
        <v>150</v>
      </c>
      <c r="M24" s="24">
        <f t="shared" si="5"/>
        <v>250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+'6'!G29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6</v>
      </c>
      <c r="H29" s="14">
        <v>2</v>
      </c>
      <c r="I29" s="15">
        <v>100</v>
      </c>
      <c r="J29" s="16">
        <f t="shared" si="2"/>
        <v>200</v>
      </c>
      <c r="K29" s="17" t="s">
        <v>270</v>
      </c>
      <c r="L29" s="18">
        <v>50</v>
      </c>
      <c r="M29" s="24">
        <f t="shared" si="5"/>
        <v>150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+'6'!G34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3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+'6'!G35</f>
        <v>0</v>
      </c>
      <c r="D35" s="13">
        <v>3</v>
      </c>
      <c r="E35" s="12">
        <f t="shared" si="0"/>
        <v>3</v>
      </c>
      <c r="F35" s="13">
        <v>0</v>
      </c>
      <c r="G35" s="12">
        <f t="shared" si="1"/>
        <v>3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+'6'!G37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+'6'!G38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2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+'6'!G39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+'6'!G40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5</v>
      </c>
      <c r="H40" s="14">
        <v>2</v>
      </c>
      <c r="I40" s="15">
        <v>50</v>
      </c>
      <c r="J40" s="16">
        <f t="shared" si="2"/>
        <v>100</v>
      </c>
      <c r="K40" s="17" t="s">
        <v>16</v>
      </c>
      <c r="L40" s="18">
        <v>0</v>
      </c>
      <c r="M40" s="24">
        <f t="shared" si="5"/>
        <v>100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+'6'!G41</f>
        <v>3</v>
      </c>
      <c r="D41" s="13">
        <v>5</v>
      </c>
      <c r="E41" s="12">
        <f t="shared" si="0"/>
        <v>8</v>
      </c>
      <c r="F41" s="13">
        <v>0</v>
      </c>
      <c r="G41" s="12">
        <f t="shared" si="1"/>
        <v>7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+'6'!G42</f>
        <v>8</v>
      </c>
      <c r="D42" s="13">
        <v>0</v>
      </c>
      <c r="E42" s="12">
        <f t="shared" si="0"/>
        <v>8</v>
      </c>
      <c r="F42" s="13">
        <v>0</v>
      </c>
      <c r="G42" s="12">
        <f t="shared" si="1"/>
        <v>7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+'6'!G43</f>
        <v>4</v>
      </c>
      <c r="D43" s="13">
        <v>0</v>
      </c>
      <c r="E43" s="12">
        <f t="shared" si="0"/>
        <v>4</v>
      </c>
      <c r="F43" s="13">
        <v>0</v>
      </c>
      <c r="G43" s="12">
        <f t="shared" si="1"/>
        <v>3</v>
      </c>
      <c r="H43" s="14">
        <v>1</v>
      </c>
      <c r="I43" s="15">
        <v>50</v>
      </c>
      <c r="J43" s="16">
        <f t="shared" si="2"/>
        <v>50</v>
      </c>
      <c r="K43" s="17" t="s">
        <v>16</v>
      </c>
      <c r="L43" s="18">
        <v>0</v>
      </c>
      <c r="M43" s="24">
        <f t="shared" si="5"/>
        <v>50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+'6'!G44</f>
        <v>1</v>
      </c>
      <c r="D44" s="13">
        <v>5</v>
      </c>
      <c r="E44" s="12">
        <f t="shared" si="0"/>
        <v>6</v>
      </c>
      <c r="F44" s="13">
        <v>0</v>
      </c>
      <c r="G44" s="12">
        <f t="shared" si="1"/>
        <v>5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+'6'!G45</f>
        <v>3</v>
      </c>
      <c r="D45" s="13">
        <v>0</v>
      </c>
      <c r="E45" s="12">
        <f t="shared" si="0"/>
        <v>3</v>
      </c>
      <c r="F45" s="13">
        <v>0</v>
      </c>
      <c r="G45" s="12">
        <f t="shared" si="1"/>
        <v>2</v>
      </c>
      <c r="H45" s="14">
        <v>1</v>
      </c>
      <c r="I45" s="15">
        <v>50</v>
      </c>
      <c r="J45" s="16">
        <f t="shared" si="2"/>
        <v>50</v>
      </c>
      <c r="K45" s="17" t="s">
        <v>16</v>
      </c>
      <c r="L45" s="18">
        <v>0</v>
      </c>
      <c r="M45" s="24">
        <f t="shared" si="5"/>
        <v>50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+'6'!G46</f>
        <v>1</v>
      </c>
      <c r="D46" s="13">
        <v>5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+'6'!G47</f>
        <v>1</v>
      </c>
      <c r="D47" s="13">
        <v>5</v>
      </c>
      <c r="E47" s="12">
        <f t="shared" si="0"/>
        <v>6</v>
      </c>
      <c r="F47" s="13">
        <v>0</v>
      </c>
      <c r="G47" s="12">
        <f t="shared" si="1"/>
        <v>2</v>
      </c>
      <c r="H47" s="14">
        <v>4</v>
      </c>
      <c r="I47" s="15">
        <v>50</v>
      </c>
      <c r="J47" s="16">
        <f t="shared" si="2"/>
        <v>200</v>
      </c>
      <c r="K47" s="17" t="s">
        <v>16</v>
      </c>
      <c r="L47" s="18">
        <v>0</v>
      </c>
      <c r="M47" s="24">
        <f t="shared" si="5"/>
        <v>200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+'6'!G48</f>
        <v>2</v>
      </c>
      <c r="D48" s="13">
        <v>5</v>
      </c>
      <c r="E48" s="12">
        <f t="shared" si="0"/>
        <v>7</v>
      </c>
      <c r="F48" s="13">
        <v>0</v>
      </c>
      <c r="G48" s="12">
        <f t="shared" si="1"/>
        <v>6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+'6'!G49</f>
        <v>10</v>
      </c>
      <c r="D49" s="13">
        <v>0</v>
      </c>
      <c r="E49" s="12">
        <f t="shared" si="0"/>
        <v>10</v>
      </c>
      <c r="F49" s="13">
        <v>0</v>
      </c>
      <c r="G49" s="12">
        <f t="shared" si="1"/>
        <v>8</v>
      </c>
      <c r="H49" s="14">
        <v>2</v>
      </c>
      <c r="I49" s="15">
        <v>50</v>
      </c>
      <c r="J49" s="16">
        <f t="shared" si="2"/>
        <v>100</v>
      </c>
      <c r="K49" s="17" t="s">
        <v>16</v>
      </c>
      <c r="L49" s="18">
        <v>0</v>
      </c>
      <c r="M49" s="24">
        <f t="shared" si="5"/>
        <v>100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+'6'!G61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+'6'!G62</f>
        <v>1</v>
      </c>
      <c r="D62" s="13">
        <v>2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+'6'!G63</f>
        <v>0</v>
      </c>
      <c r="D63" s="13">
        <v>3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+'6'!G67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6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+'6'!G70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5</v>
      </c>
      <c r="H70" s="14">
        <v>5</v>
      </c>
      <c r="I70" s="21">
        <v>50</v>
      </c>
      <c r="J70" s="16">
        <f t="shared" si="2"/>
        <v>250</v>
      </c>
      <c r="K70" s="17" t="s">
        <v>16</v>
      </c>
      <c r="L70" s="18">
        <v>0</v>
      </c>
      <c r="M70" s="24">
        <f t="shared" ref="M70:M133" si="9">SUM(J70-L70)</f>
        <v>250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+'6'!G77</f>
        <v>3</v>
      </c>
      <c r="D77" s="13">
        <v>5</v>
      </c>
      <c r="E77" s="12">
        <f t="shared" si="0"/>
        <v>8</v>
      </c>
      <c r="F77" s="13">
        <v>0</v>
      </c>
      <c r="G77" s="12">
        <f t="shared" si="1"/>
        <v>8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+'6'!G78</f>
        <v>0</v>
      </c>
      <c r="D78" s="13">
        <v>2</v>
      </c>
      <c r="E78" s="12">
        <f t="shared" si="0"/>
        <v>2</v>
      </c>
      <c r="F78" s="13">
        <v>0</v>
      </c>
      <c r="G78" s="12">
        <f t="shared" si="1"/>
        <v>2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+'6'!G79</f>
        <v>5</v>
      </c>
      <c r="D79" s="13">
        <v>5</v>
      </c>
      <c r="E79" s="12">
        <f t="shared" si="0"/>
        <v>10</v>
      </c>
      <c r="F79" s="13">
        <v>0</v>
      </c>
      <c r="G79" s="12">
        <f t="shared" si="1"/>
        <v>5</v>
      </c>
      <c r="H79" s="14">
        <v>5</v>
      </c>
      <c r="I79" s="23">
        <v>50</v>
      </c>
      <c r="J79" s="16">
        <f t="shared" si="11"/>
        <v>250</v>
      </c>
      <c r="K79" s="17" t="s">
        <v>16</v>
      </c>
      <c r="L79" s="18">
        <v>0</v>
      </c>
      <c r="M79" s="24">
        <f t="shared" si="9"/>
        <v>250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+'6'!G81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3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+'6'!G82</f>
        <v>1</v>
      </c>
      <c r="D82" s="13">
        <v>2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+'6'!G85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+'6'!G87</f>
        <v>2</v>
      </c>
      <c r="D87" s="13">
        <v>5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+'6'!G88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7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+'6'!G90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+'6'!G91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+'6'!G96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+'6'!G101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+'6'!G102</f>
        <v>0</v>
      </c>
      <c r="D102" s="13">
        <v>10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+'6'!G150</f>
        <v>5</v>
      </c>
      <c r="D150" s="13">
        <v>0</v>
      </c>
      <c r="E150" s="12">
        <f t="shared" si="13"/>
        <v>5</v>
      </c>
      <c r="F150" s="13">
        <v>0</v>
      </c>
      <c r="G150" s="12">
        <f t="shared" si="12"/>
        <v>3</v>
      </c>
      <c r="H150" s="14">
        <v>2</v>
      </c>
      <c r="I150" s="21">
        <v>120</v>
      </c>
      <c r="J150" s="16">
        <f t="shared" si="15"/>
        <v>240</v>
      </c>
      <c r="K150" s="17" t="s">
        <v>273</v>
      </c>
      <c r="L150" s="18">
        <v>40</v>
      </c>
      <c r="M150" s="24">
        <f t="shared" si="14"/>
        <v>200</v>
      </c>
    </row>
    <row r="151" spans="1:13" ht="25.5">
      <c r="A151" s="10">
        <v>147</v>
      </c>
      <c r="B151" s="20" t="s">
        <v>163</v>
      </c>
      <c r="C151" s="12">
        <f>+'6'!G151</f>
        <v>5</v>
      </c>
      <c r="D151" s="13">
        <v>0</v>
      </c>
      <c r="E151" s="12">
        <f t="shared" si="13"/>
        <v>5</v>
      </c>
      <c r="F151" s="13">
        <v>0</v>
      </c>
      <c r="G151" s="12">
        <f t="shared" si="12"/>
        <v>3</v>
      </c>
      <c r="H151" s="14">
        <v>2</v>
      </c>
      <c r="I151" s="21">
        <v>120</v>
      </c>
      <c r="J151" s="16">
        <f t="shared" si="15"/>
        <v>240</v>
      </c>
      <c r="K151" s="17" t="s">
        <v>273</v>
      </c>
      <c r="L151" s="18">
        <v>40</v>
      </c>
      <c r="M151" s="24">
        <f t="shared" si="14"/>
        <v>200</v>
      </c>
    </row>
    <row r="152" spans="1:13" ht="25.5">
      <c r="A152" s="10">
        <v>148</v>
      </c>
      <c r="B152" s="20" t="s">
        <v>164</v>
      </c>
      <c r="C152" s="12">
        <f>+'6'!G152</f>
        <v>4</v>
      </c>
      <c r="D152" s="13">
        <v>0</v>
      </c>
      <c r="E152" s="12">
        <f t="shared" si="13"/>
        <v>4</v>
      </c>
      <c r="F152" s="13">
        <v>0</v>
      </c>
      <c r="G152" s="12">
        <f t="shared" si="12"/>
        <v>2</v>
      </c>
      <c r="H152" s="14">
        <v>2</v>
      </c>
      <c r="I152" s="21">
        <v>120</v>
      </c>
      <c r="J152" s="16">
        <f t="shared" si="15"/>
        <v>240</v>
      </c>
      <c r="K152" s="17" t="s">
        <v>273</v>
      </c>
      <c r="L152" s="18">
        <v>40</v>
      </c>
      <c r="M152" s="24">
        <f t="shared" si="14"/>
        <v>200</v>
      </c>
    </row>
    <row r="153" spans="1:13" ht="25.5">
      <c r="A153" s="10">
        <v>149</v>
      </c>
      <c r="B153" s="20" t="s">
        <v>165</v>
      </c>
      <c r="C153" s="12">
        <f>+'6'!G153</f>
        <v>2</v>
      </c>
      <c r="D153" s="13">
        <v>0</v>
      </c>
      <c r="E153" s="12">
        <f t="shared" si="13"/>
        <v>2</v>
      </c>
      <c r="F153" s="13">
        <v>0</v>
      </c>
      <c r="G153" s="12">
        <f t="shared" si="12"/>
        <v>0</v>
      </c>
      <c r="H153" s="14">
        <v>2</v>
      </c>
      <c r="I153" s="21">
        <v>120</v>
      </c>
      <c r="J153" s="16">
        <f t="shared" si="15"/>
        <v>240</v>
      </c>
      <c r="K153" s="17" t="s">
        <v>273</v>
      </c>
      <c r="L153" s="18">
        <v>40</v>
      </c>
      <c r="M153" s="24">
        <f t="shared" si="14"/>
        <v>200</v>
      </c>
    </row>
    <row r="154" spans="1:13" ht="25.5">
      <c r="A154" s="10">
        <v>150</v>
      </c>
      <c r="B154" s="20" t="s">
        <v>166</v>
      </c>
      <c r="C154" s="12">
        <f>+'6'!G154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+'6'!G168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+'6'!G178</f>
        <v>1</v>
      </c>
      <c r="D178" s="13">
        <v>5</v>
      </c>
      <c r="E178" s="12">
        <f t="shared" si="13"/>
        <v>6</v>
      </c>
      <c r="F178" s="13">
        <v>0</v>
      </c>
      <c r="G178" s="12">
        <f t="shared" si="16"/>
        <v>4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+'6'!G191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+'6'!G202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+'6'!G203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6</v>
      </c>
      <c r="H203" s="14">
        <v>4</v>
      </c>
      <c r="I203" s="15">
        <v>120</v>
      </c>
      <c r="J203" s="16">
        <f t="shared" si="18"/>
        <v>480</v>
      </c>
      <c r="K203" s="17" t="s">
        <v>16</v>
      </c>
      <c r="L203" s="18">
        <v>0</v>
      </c>
      <c r="M203" s="24">
        <f t="shared" si="17"/>
        <v>480</v>
      </c>
    </row>
    <row r="204" spans="1:14" ht="25.5">
      <c r="A204" s="10">
        <v>200</v>
      </c>
      <c r="B204" s="20" t="s">
        <v>265</v>
      </c>
      <c r="C204" s="12">
        <f>+'6'!G204</f>
        <v>5</v>
      </c>
      <c r="D204" s="13">
        <v>0</v>
      </c>
      <c r="E204" s="12">
        <f t="shared" si="13"/>
        <v>5</v>
      </c>
      <c r="F204" s="13">
        <v>0</v>
      </c>
      <c r="G204" s="12">
        <f t="shared" si="16"/>
        <v>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266</v>
      </c>
      <c r="C205" s="12">
        <f>+'6'!G205</f>
        <v>4</v>
      </c>
      <c r="D205" s="13">
        <v>0</v>
      </c>
      <c r="E205" s="12">
        <f t="shared" si="13"/>
        <v>4</v>
      </c>
      <c r="F205" s="13">
        <v>0</v>
      </c>
      <c r="G205" s="12">
        <f t="shared" si="16"/>
        <v>4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7660</v>
      </c>
    </row>
    <row r="209" spans="1:17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7" ht="25.5">
      <c r="A210" s="1"/>
      <c r="C210" s="32"/>
      <c r="E210" s="32"/>
      <c r="G210" s="32"/>
      <c r="I210" s="35" t="s">
        <v>214</v>
      </c>
      <c r="J210" s="36"/>
      <c r="K210" s="37">
        <f>SUM(L210:BO210)</f>
        <v>895</v>
      </c>
      <c r="L210" s="2">
        <v>240</v>
      </c>
      <c r="M210" s="2">
        <v>115</v>
      </c>
      <c r="N210" s="2">
        <v>120</v>
      </c>
      <c r="O210" s="2">
        <v>120</v>
      </c>
      <c r="P210" s="2">
        <v>100</v>
      </c>
      <c r="Q210" s="2">
        <v>200</v>
      </c>
    </row>
    <row r="211" spans="1:17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7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7" ht="25.5">
      <c r="A213" s="1"/>
      <c r="C213" s="32"/>
      <c r="E213" s="32"/>
      <c r="G213" s="32"/>
      <c r="I213" s="136" t="s">
        <v>217</v>
      </c>
      <c r="J213" s="137"/>
      <c r="K213" s="38">
        <f>SUM(L5:L206)</f>
        <v>610</v>
      </c>
    </row>
    <row r="214" spans="1:17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6140</v>
      </c>
    </row>
    <row r="215" spans="1:17" ht="25.5">
      <c r="A215" s="1"/>
      <c r="C215" s="32"/>
      <c r="E215" s="32"/>
      <c r="G215" s="32"/>
      <c r="I215" s="136" t="s">
        <v>219</v>
      </c>
      <c r="J215" s="137"/>
      <c r="K215" s="38">
        <v>6140</v>
      </c>
    </row>
    <row r="216" spans="1:17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7" ht="25.5">
      <c r="G217" s="2"/>
      <c r="I217" s="136" t="s">
        <v>221</v>
      </c>
      <c r="J217" s="137"/>
      <c r="K217" s="34">
        <f>+K215-K214</f>
        <v>0</v>
      </c>
    </row>
    <row r="218" spans="1:17">
      <c r="G218" s="2"/>
      <c r="I218" s="2"/>
    </row>
    <row r="219" spans="1:17">
      <c r="G219" s="2"/>
      <c r="I219" s="2"/>
      <c r="J219" s="96" t="s">
        <v>261</v>
      </c>
      <c r="K219" s="24">
        <f>+K208-K213+K216</f>
        <v>7050</v>
      </c>
    </row>
    <row r="220" spans="1:17">
      <c r="G220" s="2"/>
      <c r="I220" s="2"/>
      <c r="J220" s="2" t="s">
        <v>262</v>
      </c>
      <c r="K220" s="24">
        <f>SUM(K209:K212)</f>
        <v>910</v>
      </c>
    </row>
    <row r="221" spans="1:17">
      <c r="G221" s="2"/>
      <c r="I221" s="2"/>
      <c r="J221" s="2" t="s">
        <v>263</v>
      </c>
      <c r="K221" s="24">
        <f>+K215</f>
        <v>6140</v>
      </c>
    </row>
    <row r="222" spans="1:17">
      <c r="G222" s="2"/>
      <c r="I222" s="2"/>
    </row>
    <row r="223" spans="1:17">
      <c r="G223" s="2"/>
      <c r="I223" s="2"/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8F8EC-9220-44EC-8CF0-CBF2E76A78DA}">
  <sheetPr>
    <tabColor theme="5" tint="0.79998168889431442"/>
  </sheetPr>
  <dimension ref="A1:Z292"/>
  <sheetViews>
    <sheetView topLeftCell="D1" zoomScaleNormal="100" workbookViewId="0">
      <pane ySplit="4" topLeftCell="A209" activePane="bottomLeft" state="frozen"/>
      <selection pane="bottomLeft" activeCell="I202" sqref="I202:I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+'7'!G5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14</v>
      </c>
      <c r="H5" s="14">
        <v>5</v>
      </c>
      <c r="I5" s="15">
        <v>50</v>
      </c>
      <c r="J5" s="16">
        <f t="shared" ref="J5:J70" si="2">+I5*H5</f>
        <v>250</v>
      </c>
      <c r="K5" s="17" t="s">
        <v>16</v>
      </c>
      <c r="L5" s="18">
        <v>0</v>
      </c>
      <c r="M5" s="24">
        <f>SUM(J5-L5)</f>
        <v>250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+'7'!G6</f>
        <v>34</v>
      </c>
      <c r="D6" s="13">
        <v>20</v>
      </c>
      <c r="E6" s="12">
        <f t="shared" si="0"/>
        <v>54</v>
      </c>
      <c r="F6" s="13">
        <v>0</v>
      </c>
      <c r="G6" s="12">
        <f t="shared" si="1"/>
        <v>31</v>
      </c>
      <c r="H6" s="14">
        <v>23</v>
      </c>
      <c r="I6" s="15">
        <v>100</v>
      </c>
      <c r="J6" s="16">
        <f t="shared" si="2"/>
        <v>2300</v>
      </c>
      <c r="K6" s="17" t="s">
        <v>16</v>
      </c>
      <c r="L6" s="18">
        <v>0</v>
      </c>
      <c r="M6" s="24">
        <f t="shared" ref="M6:M69" si="5">SUM(J6-L6)</f>
        <v>2300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+'7'!G12</f>
        <v>7</v>
      </c>
      <c r="D12" s="13">
        <v>5</v>
      </c>
      <c r="E12" s="12">
        <f t="shared" si="0"/>
        <v>12</v>
      </c>
      <c r="F12" s="13">
        <v>3</v>
      </c>
      <c r="G12" s="12">
        <f t="shared" si="1"/>
        <v>8</v>
      </c>
      <c r="H12" s="14">
        <v>1</v>
      </c>
      <c r="I12" s="21">
        <v>50</v>
      </c>
      <c r="J12" s="16">
        <f t="shared" si="2"/>
        <v>50</v>
      </c>
      <c r="K12" s="17" t="s">
        <v>16</v>
      </c>
      <c r="L12" s="18">
        <v>0</v>
      </c>
      <c r="M12" s="24">
        <f t="shared" si="5"/>
        <v>50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+'7'!G14</f>
        <v>0</v>
      </c>
      <c r="D14" s="13">
        <v>3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+'7'!G15</f>
        <v>3</v>
      </c>
      <c r="D15" s="13">
        <v>10</v>
      </c>
      <c r="E15" s="12">
        <f t="shared" si="0"/>
        <v>13</v>
      </c>
      <c r="F15" s="13">
        <v>0</v>
      </c>
      <c r="G15" s="12">
        <f t="shared" si="1"/>
        <v>13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+'7'!G17</f>
        <v>9</v>
      </c>
      <c r="D17" s="13">
        <v>0</v>
      </c>
      <c r="E17" s="12">
        <f t="shared" si="0"/>
        <v>9</v>
      </c>
      <c r="F17" s="13">
        <v>4</v>
      </c>
      <c r="G17" s="12">
        <f t="shared" si="1"/>
        <v>5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+'7'!G19</f>
        <v>6</v>
      </c>
      <c r="D19" s="13">
        <v>5</v>
      </c>
      <c r="E19" s="12">
        <f t="shared" si="0"/>
        <v>11</v>
      </c>
      <c r="F19" s="13">
        <v>3</v>
      </c>
      <c r="G19" s="12">
        <f t="shared" si="1"/>
        <v>6</v>
      </c>
      <c r="H19" s="14">
        <v>2</v>
      </c>
      <c r="I19" s="15">
        <v>50</v>
      </c>
      <c r="J19" s="16">
        <f t="shared" si="2"/>
        <v>100</v>
      </c>
      <c r="K19" s="17" t="s">
        <v>16</v>
      </c>
      <c r="L19" s="18">
        <v>0</v>
      </c>
      <c r="M19" s="24">
        <f t="shared" si="5"/>
        <v>100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+'7'!G22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+'7'!G23</f>
        <v>8</v>
      </c>
      <c r="D23" s="13">
        <v>10</v>
      </c>
      <c r="E23" s="12">
        <f>C23+D23</f>
        <v>18</v>
      </c>
      <c r="F23" s="13">
        <v>4</v>
      </c>
      <c r="G23" s="12">
        <f>E23-F23-H23</f>
        <v>8</v>
      </c>
      <c r="H23" s="14">
        <v>6</v>
      </c>
      <c r="I23" s="15">
        <v>100</v>
      </c>
      <c r="J23" s="16">
        <f t="shared" si="2"/>
        <v>600</v>
      </c>
      <c r="K23" s="17" t="s">
        <v>274</v>
      </c>
      <c r="L23" s="18">
        <v>100</v>
      </c>
      <c r="M23" s="24">
        <f t="shared" si="5"/>
        <v>500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+'7'!G24</f>
        <v>6</v>
      </c>
      <c r="D24" s="13">
        <v>5</v>
      </c>
      <c r="E24" s="12">
        <f t="shared" si="0"/>
        <v>11</v>
      </c>
      <c r="F24" s="13">
        <v>5</v>
      </c>
      <c r="G24" s="12">
        <f t="shared" si="1"/>
        <v>5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+'7'!G29</f>
        <v>6</v>
      </c>
      <c r="D29" s="13">
        <v>5</v>
      </c>
      <c r="E29" s="12">
        <f t="shared" si="0"/>
        <v>11</v>
      </c>
      <c r="F29" s="13">
        <v>5</v>
      </c>
      <c r="G29" s="12">
        <f t="shared" si="1"/>
        <v>5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+'7'!G34</f>
        <v>3</v>
      </c>
      <c r="D34" s="13">
        <v>3</v>
      </c>
      <c r="E34" s="12">
        <f t="shared" si="0"/>
        <v>6</v>
      </c>
      <c r="F34" s="13">
        <v>0</v>
      </c>
      <c r="G34" s="12">
        <f t="shared" si="1"/>
        <v>5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+'7'!G35</f>
        <v>3</v>
      </c>
      <c r="D35" s="13">
        <v>0</v>
      </c>
      <c r="E35" s="12">
        <f t="shared" si="0"/>
        <v>3</v>
      </c>
      <c r="F35" s="13">
        <v>0</v>
      </c>
      <c r="G35" s="12">
        <f t="shared" si="1"/>
        <v>2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+'7'!G37</f>
        <v>3</v>
      </c>
      <c r="D37" s="13">
        <v>5</v>
      </c>
      <c r="E37" s="12">
        <f t="shared" si="0"/>
        <v>8</v>
      </c>
      <c r="F37" s="13">
        <v>0</v>
      </c>
      <c r="G37" s="12">
        <f t="shared" si="1"/>
        <v>6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+'7'!G38</f>
        <v>2</v>
      </c>
      <c r="D38" s="13">
        <v>5</v>
      </c>
      <c r="E38" s="12">
        <f t="shared" si="0"/>
        <v>7</v>
      </c>
      <c r="F38" s="13">
        <v>0</v>
      </c>
      <c r="G38" s="12">
        <f t="shared" si="1"/>
        <v>6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+'7'!G39</f>
        <v>6</v>
      </c>
      <c r="D39" s="13">
        <v>5</v>
      </c>
      <c r="E39" s="12">
        <f t="shared" si="0"/>
        <v>11</v>
      </c>
      <c r="F39" s="13">
        <v>0</v>
      </c>
      <c r="G39" s="12">
        <f t="shared" si="1"/>
        <v>7</v>
      </c>
      <c r="H39" s="14">
        <v>4</v>
      </c>
      <c r="I39" s="15">
        <v>50</v>
      </c>
      <c r="J39" s="16">
        <f t="shared" si="2"/>
        <v>200</v>
      </c>
      <c r="K39" s="17" t="s">
        <v>16</v>
      </c>
      <c r="L39" s="18">
        <v>0</v>
      </c>
      <c r="M39" s="24">
        <f t="shared" si="5"/>
        <v>200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+'7'!G40</f>
        <v>5</v>
      </c>
      <c r="D40" s="13">
        <v>5</v>
      </c>
      <c r="E40" s="12">
        <f t="shared" si="0"/>
        <v>10</v>
      </c>
      <c r="F40" s="13">
        <v>0</v>
      </c>
      <c r="G40" s="12">
        <f t="shared" si="1"/>
        <v>7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+'7'!G41</f>
        <v>7</v>
      </c>
      <c r="D41" s="13">
        <v>0</v>
      </c>
      <c r="E41" s="12">
        <f t="shared" si="0"/>
        <v>7</v>
      </c>
      <c r="F41" s="13">
        <v>0</v>
      </c>
      <c r="G41" s="12">
        <f t="shared" si="1"/>
        <v>5</v>
      </c>
      <c r="H41" s="14">
        <v>2</v>
      </c>
      <c r="I41" s="15">
        <v>50</v>
      </c>
      <c r="J41" s="16">
        <f t="shared" si="2"/>
        <v>100</v>
      </c>
      <c r="K41" s="17" t="s">
        <v>274</v>
      </c>
      <c r="L41" s="18">
        <v>50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+'7'!G42</f>
        <v>7</v>
      </c>
      <c r="D42" s="13">
        <v>0</v>
      </c>
      <c r="E42" s="12">
        <f t="shared" si="0"/>
        <v>7</v>
      </c>
      <c r="F42" s="13">
        <v>0</v>
      </c>
      <c r="G42" s="12">
        <f t="shared" si="1"/>
        <v>3</v>
      </c>
      <c r="H42" s="14">
        <v>4</v>
      </c>
      <c r="I42" s="15">
        <v>50</v>
      </c>
      <c r="J42" s="16">
        <f t="shared" si="2"/>
        <v>200</v>
      </c>
      <c r="K42" s="17" t="s">
        <v>275</v>
      </c>
      <c r="L42" s="18">
        <v>100</v>
      </c>
      <c r="M42" s="24">
        <f t="shared" si="5"/>
        <v>100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+'7'!G43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+'7'!G44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5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+'7'!G45</f>
        <v>2</v>
      </c>
      <c r="D45" s="13">
        <v>0</v>
      </c>
      <c r="E45" s="12">
        <f t="shared" si="0"/>
        <v>2</v>
      </c>
      <c r="F45" s="13">
        <v>0</v>
      </c>
      <c r="G45" s="12">
        <f t="shared" si="1"/>
        <v>2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+'7'!G46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+'7'!G47</f>
        <v>2</v>
      </c>
      <c r="D47" s="13">
        <v>0</v>
      </c>
      <c r="E47" s="12">
        <f t="shared" si="0"/>
        <v>2</v>
      </c>
      <c r="F47" s="13">
        <v>0</v>
      </c>
      <c r="G47" s="12">
        <f t="shared" si="1"/>
        <v>0</v>
      </c>
      <c r="H47" s="14">
        <v>2</v>
      </c>
      <c r="I47" s="15">
        <v>50</v>
      </c>
      <c r="J47" s="16">
        <f t="shared" si="2"/>
        <v>100</v>
      </c>
      <c r="K47" s="17" t="s">
        <v>16</v>
      </c>
      <c r="L47" s="18">
        <v>0</v>
      </c>
      <c r="M47" s="24">
        <f t="shared" si="5"/>
        <v>100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+'7'!G48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+'7'!G49</f>
        <v>8</v>
      </c>
      <c r="D49" s="13">
        <v>0</v>
      </c>
      <c r="E49" s="12">
        <f t="shared" si="0"/>
        <v>8</v>
      </c>
      <c r="F49" s="13">
        <v>0</v>
      </c>
      <c r="G49" s="12">
        <f t="shared" si="1"/>
        <v>6</v>
      </c>
      <c r="H49" s="14">
        <v>2</v>
      </c>
      <c r="I49" s="15">
        <v>50</v>
      </c>
      <c r="J49" s="16">
        <f t="shared" si="2"/>
        <v>100</v>
      </c>
      <c r="K49" s="17" t="s">
        <v>16</v>
      </c>
      <c r="L49" s="18">
        <v>0</v>
      </c>
      <c r="M49" s="24">
        <f t="shared" si="5"/>
        <v>100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+'7'!G61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1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+'7'!G62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274</v>
      </c>
      <c r="L62" s="18">
        <v>50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+'7'!G63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+'7'!G67</f>
        <v>6</v>
      </c>
      <c r="D67" s="13">
        <v>0</v>
      </c>
      <c r="E67" s="12">
        <f>C67+D67</f>
        <v>6</v>
      </c>
      <c r="F67" s="13">
        <v>0</v>
      </c>
      <c r="G67" s="12">
        <f t="shared" si="1"/>
        <v>3</v>
      </c>
      <c r="H67" s="14">
        <v>3</v>
      </c>
      <c r="I67" s="15">
        <v>50</v>
      </c>
      <c r="J67" s="16">
        <f t="shared" si="2"/>
        <v>150</v>
      </c>
      <c r="K67" s="17" t="s">
        <v>16</v>
      </c>
      <c r="L67" s="18">
        <v>0</v>
      </c>
      <c r="M67" s="24">
        <f t="shared" si="5"/>
        <v>150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+'7'!G70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9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+'7'!G77</f>
        <v>8</v>
      </c>
      <c r="D77" s="13">
        <v>0</v>
      </c>
      <c r="E77" s="12">
        <f t="shared" si="0"/>
        <v>8</v>
      </c>
      <c r="F77" s="13">
        <v>0</v>
      </c>
      <c r="G77" s="12">
        <f t="shared" si="1"/>
        <v>6</v>
      </c>
      <c r="H77" s="14">
        <v>2</v>
      </c>
      <c r="I77" s="21">
        <v>50</v>
      </c>
      <c r="J77" s="16">
        <f t="shared" si="11"/>
        <v>100</v>
      </c>
      <c r="K77" s="17" t="s">
        <v>274</v>
      </c>
      <c r="L77" s="18">
        <v>50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+'7'!G78</f>
        <v>2</v>
      </c>
      <c r="D78" s="13">
        <v>0</v>
      </c>
      <c r="E78" s="12">
        <f t="shared" si="0"/>
        <v>2</v>
      </c>
      <c r="F78" s="13">
        <v>0</v>
      </c>
      <c r="G78" s="12">
        <f t="shared" si="1"/>
        <v>1</v>
      </c>
      <c r="H78" s="14">
        <v>1</v>
      </c>
      <c r="I78" s="23">
        <v>120</v>
      </c>
      <c r="J78" s="16">
        <f t="shared" si="11"/>
        <v>120</v>
      </c>
      <c r="K78" s="17" t="s">
        <v>16</v>
      </c>
      <c r="L78" s="18">
        <v>0</v>
      </c>
      <c r="M78" s="24">
        <f t="shared" si="9"/>
        <v>120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+'7'!G79</f>
        <v>5</v>
      </c>
      <c r="D79" s="13">
        <v>0</v>
      </c>
      <c r="E79" s="12">
        <f t="shared" si="0"/>
        <v>5</v>
      </c>
      <c r="F79" s="13">
        <v>0</v>
      </c>
      <c r="G79" s="12">
        <f t="shared" si="1"/>
        <v>3</v>
      </c>
      <c r="H79" s="14">
        <v>2</v>
      </c>
      <c r="I79" s="23">
        <v>50</v>
      </c>
      <c r="J79" s="16">
        <f t="shared" si="11"/>
        <v>100</v>
      </c>
      <c r="K79" s="17" t="s">
        <v>16</v>
      </c>
      <c r="L79" s="18">
        <v>0</v>
      </c>
      <c r="M79" s="24">
        <f t="shared" si="9"/>
        <v>100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+'7'!G81</f>
        <v>3</v>
      </c>
      <c r="D81" s="13">
        <v>0</v>
      </c>
      <c r="E81" s="12">
        <f t="shared" si="0"/>
        <v>3</v>
      </c>
      <c r="F81" s="13">
        <v>0</v>
      </c>
      <c r="G81" s="12">
        <f t="shared" si="1"/>
        <v>2</v>
      </c>
      <c r="H81" s="14">
        <v>1</v>
      </c>
      <c r="I81" s="21">
        <v>55</v>
      </c>
      <c r="J81" s="16">
        <f t="shared" si="11"/>
        <v>55</v>
      </c>
      <c r="K81" s="17" t="s">
        <v>16</v>
      </c>
      <c r="L81" s="18">
        <v>0</v>
      </c>
      <c r="M81" s="24">
        <f t="shared" si="9"/>
        <v>55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+'7'!G82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+'7'!G85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+'7'!G87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7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+'7'!G88</f>
        <v>7</v>
      </c>
      <c r="D88" s="13">
        <v>0</v>
      </c>
      <c r="E88" s="12">
        <f t="shared" si="0"/>
        <v>7</v>
      </c>
      <c r="F88" s="13">
        <v>0</v>
      </c>
      <c r="G88" s="12">
        <f t="shared" si="1"/>
        <v>6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1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+'7'!G91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1</v>
      </c>
      <c r="H91" s="14">
        <v>2</v>
      </c>
      <c r="I91" s="23">
        <v>50</v>
      </c>
      <c r="J91" s="16">
        <f t="shared" si="11"/>
        <v>100</v>
      </c>
      <c r="K91" s="17" t="s">
        <v>16</v>
      </c>
      <c r="L91" s="18">
        <v>0</v>
      </c>
      <c r="M91" s="24">
        <f t="shared" si="9"/>
        <v>100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+'7'!G96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+'7'!G101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+'7'!G102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+'7'!G150</f>
        <v>3</v>
      </c>
      <c r="D150" s="13">
        <v>0</v>
      </c>
      <c r="E150" s="12">
        <f t="shared" si="13"/>
        <v>3</v>
      </c>
      <c r="F150" s="13">
        <v>0</v>
      </c>
      <c r="G150" s="12">
        <f t="shared" si="12"/>
        <v>0</v>
      </c>
      <c r="H150" s="14">
        <v>3</v>
      </c>
      <c r="I150" s="21">
        <v>120</v>
      </c>
      <c r="J150" s="16">
        <f t="shared" si="15"/>
        <v>360</v>
      </c>
      <c r="K150" s="17" t="s">
        <v>273</v>
      </c>
      <c r="L150" s="18">
        <v>60</v>
      </c>
      <c r="M150" s="24">
        <f t="shared" si="14"/>
        <v>300</v>
      </c>
    </row>
    <row r="151" spans="1:13" ht="25.5">
      <c r="A151" s="10">
        <v>147</v>
      </c>
      <c r="B151" s="20" t="s">
        <v>163</v>
      </c>
      <c r="C151" s="12">
        <f>+'7'!G151</f>
        <v>3</v>
      </c>
      <c r="D151" s="13">
        <v>0</v>
      </c>
      <c r="E151" s="12">
        <f t="shared" si="13"/>
        <v>3</v>
      </c>
      <c r="F151" s="13">
        <v>0</v>
      </c>
      <c r="G151" s="12">
        <f t="shared" si="12"/>
        <v>0</v>
      </c>
      <c r="H151" s="14">
        <v>3</v>
      </c>
      <c r="I151" s="21">
        <v>120</v>
      </c>
      <c r="J151" s="16">
        <f t="shared" si="15"/>
        <v>360</v>
      </c>
      <c r="K151" s="17" t="s">
        <v>273</v>
      </c>
      <c r="L151" s="18">
        <v>60</v>
      </c>
      <c r="M151" s="24">
        <f t="shared" si="14"/>
        <v>300</v>
      </c>
    </row>
    <row r="152" spans="1:13" ht="25.5">
      <c r="A152" s="10">
        <v>148</v>
      </c>
      <c r="B152" s="20" t="s">
        <v>164</v>
      </c>
      <c r="C152" s="12">
        <f>+'7'!G152</f>
        <v>2</v>
      </c>
      <c r="D152" s="13">
        <v>0</v>
      </c>
      <c r="E152" s="12">
        <f t="shared" si="13"/>
        <v>2</v>
      </c>
      <c r="F152" s="13">
        <v>0</v>
      </c>
      <c r="G152" s="12">
        <f t="shared" si="12"/>
        <v>0</v>
      </c>
      <c r="H152" s="14">
        <v>2</v>
      </c>
      <c r="I152" s="21">
        <v>120</v>
      </c>
      <c r="J152" s="16">
        <f t="shared" si="15"/>
        <v>240</v>
      </c>
      <c r="K152" s="17" t="s">
        <v>273</v>
      </c>
      <c r="L152" s="18">
        <v>20</v>
      </c>
      <c r="M152" s="24">
        <f t="shared" si="14"/>
        <v>220</v>
      </c>
    </row>
    <row r="153" spans="1:13" ht="25.5">
      <c r="A153" s="10">
        <v>149</v>
      </c>
      <c r="B153" s="20" t="s">
        <v>165</v>
      </c>
      <c r="C153" s="12">
        <f>+'7'!G153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+'7'!G168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+'7'!G178</f>
        <v>4</v>
      </c>
      <c r="D178" s="13">
        <v>0</v>
      </c>
      <c r="E178" s="12">
        <f t="shared" si="13"/>
        <v>4</v>
      </c>
      <c r="F178" s="13">
        <v>0</v>
      </c>
      <c r="G178" s="12">
        <f t="shared" si="16"/>
        <v>3</v>
      </c>
      <c r="H178" s="14">
        <v>1</v>
      </c>
      <c r="I178" s="21">
        <v>120</v>
      </c>
      <c r="J178" s="16">
        <f t="shared" si="15"/>
        <v>120</v>
      </c>
      <c r="K178" s="17" t="s">
        <v>274</v>
      </c>
      <c r="L178" s="18">
        <v>120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+'7'!G191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+'7'!G202</f>
        <v>2</v>
      </c>
      <c r="D202" s="13">
        <v>5</v>
      </c>
      <c r="E202" s="12">
        <f t="shared" si="13"/>
        <v>7</v>
      </c>
      <c r="F202" s="13">
        <v>0</v>
      </c>
      <c r="G202" s="12">
        <f t="shared" si="16"/>
        <v>4</v>
      </c>
      <c r="H202" s="14">
        <v>3</v>
      </c>
      <c r="I202" s="15">
        <v>250</v>
      </c>
      <c r="J202" s="16">
        <f t="shared" si="18"/>
        <v>750</v>
      </c>
      <c r="K202" s="17" t="s">
        <v>16</v>
      </c>
      <c r="L202" s="18">
        <v>0</v>
      </c>
      <c r="M202" s="24">
        <f t="shared" si="17"/>
        <v>750</v>
      </c>
    </row>
    <row r="203" spans="1:14" ht="25.5">
      <c r="A203" s="10">
        <v>199</v>
      </c>
      <c r="B203" s="20" t="s">
        <v>256</v>
      </c>
      <c r="C203" s="12">
        <f>+'7'!G203</f>
        <v>6</v>
      </c>
      <c r="D203" s="13">
        <v>6</v>
      </c>
      <c r="E203" s="12">
        <f t="shared" si="13"/>
        <v>12</v>
      </c>
      <c r="F203" s="13">
        <v>0</v>
      </c>
      <c r="G203" s="12">
        <f t="shared" si="16"/>
        <v>11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>
      <c r="A204" s="10">
        <v>200</v>
      </c>
      <c r="B204" s="20" t="s">
        <v>265</v>
      </c>
      <c r="C204" s="12">
        <f>+'7'!G204</f>
        <v>5</v>
      </c>
      <c r="D204" s="13">
        <v>54</v>
      </c>
      <c r="E204" s="12">
        <f t="shared" si="13"/>
        <v>59</v>
      </c>
      <c r="F204" s="13">
        <v>0</v>
      </c>
      <c r="G204" s="12">
        <f t="shared" si="16"/>
        <v>17</v>
      </c>
      <c r="H204" s="14">
        <v>42</v>
      </c>
      <c r="I204" s="15">
        <v>50</v>
      </c>
      <c r="J204" s="16">
        <f t="shared" si="18"/>
        <v>2100</v>
      </c>
      <c r="K204" s="17" t="s">
        <v>16</v>
      </c>
      <c r="L204" s="18">
        <v>0</v>
      </c>
      <c r="M204" s="24">
        <f t="shared" si="17"/>
        <v>2100</v>
      </c>
    </row>
    <row r="205" spans="1:14" ht="25.5">
      <c r="A205" s="10">
        <v>201</v>
      </c>
      <c r="B205" s="20" t="s">
        <v>266</v>
      </c>
      <c r="C205" s="12">
        <f>+'7'!G205</f>
        <v>4</v>
      </c>
      <c r="D205" s="13">
        <v>28</v>
      </c>
      <c r="E205" s="12">
        <f t="shared" si="13"/>
        <v>32</v>
      </c>
      <c r="F205" s="13">
        <v>0</v>
      </c>
      <c r="G205" s="12">
        <f t="shared" si="16"/>
        <v>18</v>
      </c>
      <c r="H205" s="14">
        <v>14</v>
      </c>
      <c r="I205" s="15">
        <v>60</v>
      </c>
      <c r="J205" s="16">
        <f t="shared" si="18"/>
        <v>840</v>
      </c>
      <c r="K205" s="17" t="s">
        <v>16</v>
      </c>
      <c r="L205" s="18">
        <v>0</v>
      </c>
      <c r="M205" s="24">
        <f t="shared" si="17"/>
        <v>840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10740</v>
      </c>
    </row>
    <row r="209" spans="1:18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8" ht="25.5">
      <c r="A210" s="1"/>
      <c r="C210" s="32"/>
      <c r="E210" s="32"/>
      <c r="G210" s="32"/>
      <c r="I210" s="35" t="s">
        <v>214</v>
      </c>
      <c r="J210" s="36"/>
      <c r="K210" s="37">
        <f>SUM(L210:BO210)</f>
        <v>2800</v>
      </c>
      <c r="L210" s="2">
        <v>150</v>
      </c>
      <c r="M210" s="2">
        <v>350</v>
      </c>
      <c r="N210" s="2">
        <v>500</v>
      </c>
      <c r="O210" s="2">
        <v>100</v>
      </c>
      <c r="P210" s="2">
        <v>1600</v>
      </c>
      <c r="Q210" s="2">
        <v>50</v>
      </c>
      <c r="R210" s="2">
        <v>50</v>
      </c>
    </row>
    <row r="211" spans="1:18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8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8" ht="25.5">
      <c r="A213" s="1"/>
      <c r="C213" s="32"/>
      <c r="E213" s="32"/>
      <c r="G213" s="32"/>
      <c r="I213" s="136" t="s">
        <v>217</v>
      </c>
      <c r="J213" s="137"/>
      <c r="K213" s="38">
        <f>SUM(L5:L206)</f>
        <v>610</v>
      </c>
    </row>
    <row r="214" spans="1:18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7315</v>
      </c>
    </row>
    <row r="215" spans="1:18" ht="25.5">
      <c r="A215" s="1"/>
      <c r="C215" s="32"/>
      <c r="E215" s="32"/>
      <c r="G215" s="32"/>
      <c r="I215" s="136" t="s">
        <v>219</v>
      </c>
      <c r="J215" s="137"/>
      <c r="K215" s="38">
        <v>7315</v>
      </c>
    </row>
    <row r="216" spans="1:18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8" ht="25.5">
      <c r="G217" s="2"/>
      <c r="I217" s="136" t="s">
        <v>221</v>
      </c>
      <c r="J217" s="137"/>
      <c r="K217" s="34">
        <f>+K215-K214</f>
        <v>0</v>
      </c>
    </row>
    <row r="218" spans="1:18">
      <c r="G218" s="2"/>
      <c r="I218" s="2"/>
    </row>
    <row r="219" spans="1:18">
      <c r="G219" s="2"/>
      <c r="I219" s="2"/>
      <c r="J219" s="96" t="s">
        <v>261</v>
      </c>
      <c r="K219" s="24">
        <f>+K208-K213+K216</f>
        <v>10130</v>
      </c>
    </row>
    <row r="220" spans="1:18">
      <c r="G220" s="2"/>
      <c r="I220" s="2"/>
      <c r="J220" s="2" t="s">
        <v>262</v>
      </c>
      <c r="K220" s="24">
        <f>SUM(K209:K212)</f>
        <v>2815</v>
      </c>
    </row>
    <row r="221" spans="1:18">
      <c r="G221" s="2"/>
      <c r="I221" s="2"/>
      <c r="J221" s="2" t="s">
        <v>263</v>
      </c>
      <c r="K221" s="24">
        <f>+K215</f>
        <v>7315</v>
      </c>
    </row>
    <row r="222" spans="1:18">
      <c r="G222" s="2"/>
      <c r="I222" s="2"/>
    </row>
    <row r="223" spans="1:18">
      <c r="G223" s="2"/>
      <c r="I223" s="2"/>
    </row>
    <row r="224" spans="1:18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6A195-FE72-42ED-900E-3EC3E74B3E46}">
  <sheetPr>
    <tabColor theme="5" tint="0.79998168889431442"/>
  </sheetPr>
  <dimension ref="A1:Z292"/>
  <sheetViews>
    <sheetView zoomScaleNormal="100" workbookViewId="0">
      <pane ySplit="4" topLeftCell="A210" activePane="bottomLeft" state="frozen"/>
      <selection pane="bottomLeft" activeCell="I202" sqref="I202:I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+'8'!G5</f>
        <v>14</v>
      </c>
      <c r="D5" s="13">
        <v>10</v>
      </c>
      <c r="E5" s="12">
        <f t="shared" ref="E5:E94" si="0">C5+D5</f>
        <v>24</v>
      </c>
      <c r="F5" s="13">
        <v>0</v>
      </c>
      <c r="G5" s="12">
        <f t="shared" ref="G5:G94" si="1">E5-F5-H5</f>
        <v>24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+'8'!G6</f>
        <v>31</v>
      </c>
      <c r="D6" s="13">
        <v>10</v>
      </c>
      <c r="E6" s="12">
        <f t="shared" si="0"/>
        <v>41</v>
      </c>
      <c r="F6" s="13">
        <v>0</v>
      </c>
      <c r="G6" s="12">
        <f t="shared" si="1"/>
        <v>30</v>
      </c>
      <c r="H6" s="14">
        <v>11</v>
      </c>
      <c r="I6" s="15">
        <v>100</v>
      </c>
      <c r="J6" s="16">
        <f t="shared" si="2"/>
        <v>1100</v>
      </c>
      <c r="K6" s="17" t="s">
        <v>16</v>
      </c>
      <c r="L6" s="18">
        <v>0</v>
      </c>
      <c r="M6" s="24">
        <f t="shared" ref="M6:M69" si="5">SUM(J6-L6)</f>
        <v>1100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+'8'!G12</f>
        <v>8</v>
      </c>
      <c r="D12" s="13">
        <v>5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1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+'8'!G15</f>
        <v>13</v>
      </c>
      <c r="D15" s="13">
        <v>5</v>
      </c>
      <c r="E15" s="12">
        <f t="shared" si="0"/>
        <v>18</v>
      </c>
      <c r="F15" s="13">
        <v>0</v>
      </c>
      <c r="G15" s="12">
        <f t="shared" si="1"/>
        <v>17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+'8'!G17</f>
        <v>5</v>
      </c>
      <c r="D17" s="13">
        <v>5</v>
      </c>
      <c r="E17" s="12">
        <f t="shared" si="0"/>
        <v>10</v>
      </c>
      <c r="F17" s="13">
        <v>0</v>
      </c>
      <c r="G17" s="12">
        <f t="shared" si="1"/>
        <v>8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+'8'!G19</f>
        <v>6</v>
      </c>
      <c r="D19" s="13">
        <v>5</v>
      </c>
      <c r="E19" s="12">
        <f t="shared" si="0"/>
        <v>11</v>
      </c>
      <c r="F19" s="13">
        <v>0</v>
      </c>
      <c r="G19" s="12">
        <f t="shared" si="1"/>
        <v>11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+'8'!G22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+'8'!G23</f>
        <v>8</v>
      </c>
      <c r="D23" s="13">
        <v>10</v>
      </c>
      <c r="E23" s="12">
        <f>C23+D23</f>
        <v>18</v>
      </c>
      <c r="F23" s="13">
        <v>0</v>
      </c>
      <c r="G23" s="12">
        <f>E23-F23-H23</f>
        <v>18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+'8'!G24</f>
        <v>5</v>
      </c>
      <c r="D24" s="13">
        <v>5</v>
      </c>
      <c r="E24" s="12">
        <f t="shared" si="0"/>
        <v>10</v>
      </c>
      <c r="F24" s="13">
        <v>0</v>
      </c>
      <c r="G24" s="12">
        <f t="shared" si="1"/>
        <v>10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+'8'!G29</f>
        <v>5</v>
      </c>
      <c r="D29" s="13">
        <v>5</v>
      </c>
      <c r="E29" s="12">
        <f t="shared" si="0"/>
        <v>10</v>
      </c>
      <c r="F29" s="13">
        <v>0</v>
      </c>
      <c r="G29" s="12">
        <f t="shared" si="1"/>
        <v>10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+'8'!G34</f>
        <v>5</v>
      </c>
      <c r="D34" s="13">
        <v>0</v>
      </c>
      <c r="E34" s="12">
        <f t="shared" si="0"/>
        <v>5</v>
      </c>
      <c r="F34" s="13">
        <v>0</v>
      </c>
      <c r="G34" s="12">
        <f t="shared" si="1"/>
        <v>3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+'8'!G35</f>
        <v>2</v>
      </c>
      <c r="D35" s="13">
        <v>0</v>
      </c>
      <c r="E35" s="12">
        <f t="shared" si="0"/>
        <v>2</v>
      </c>
      <c r="F35" s="13">
        <v>0</v>
      </c>
      <c r="G35" s="12">
        <f t="shared" si="1"/>
        <v>1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+'8'!G37</f>
        <v>6</v>
      </c>
      <c r="D37" s="13">
        <v>0</v>
      </c>
      <c r="E37" s="12">
        <f t="shared" si="0"/>
        <v>6</v>
      </c>
      <c r="F37" s="13">
        <v>0</v>
      </c>
      <c r="G37" s="12">
        <f t="shared" si="1"/>
        <v>2</v>
      </c>
      <c r="H37" s="14">
        <v>4</v>
      </c>
      <c r="I37" s="15">
        <v>100</v>
      </c>
      <c r="J37" s="16">
        <f t="shared" si="2"/>
        <v>400</v>
      </c>
      <c r="K37" s="17" t="s">
        <v>16</v>
      </c>
      <c r="L37" s="18">
        <v>0</v>
      </c>
      <c r="M37" s="24">
        <f t="shared" si="5"/>
        <v>400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+'8'!G38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6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+'8'!G39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+'8'!G40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7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+'8'!G41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+'8'!G42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+'8'!G43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+'8'!G44</f>
        <v>5</v>
      </c>
      <c r="D44" s="13">
        <v>0</v>
      </c>
      <c r="E44" s="12">
        <f t="shared" si="0"/>
        <v>5</v>
      </c>
      <c r="F44" s="13">
        <v>0</v>
      </c>
      <c r="G44" s="12">
        <f t="shared" si="1"/>
        <v>4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+'8'!G45</f>
        <v>2</v>
      </c>
      <c r="D45" s="13">
        <v>0</v>
      </c>
      <c r="E45" s="12">
        <f t="shared" si="0"/>
        <v>2</v>
      </c>
      <c r="F45" s="13">
        <v>0</v>
      </c>
      <c r="G45" s="12">
        <f t="shared" si="1"/>
        <v>2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+'8'!G46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+'8'!G47</f>
        <v>0</v>
      </c>
      <c r="D47" s="13">
        <v>5</v>
      </c>
      <c r="E47" s="12">
        <f t="shared" si="0"/>
        <v>5</v>
      </c>
      <c r="F47" s="13">
        <v>0</v>
      </c>
      <c r="G47" s="12">
        <f t="shared" si="1"/>
        <v>4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+'8'!G48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+'8'!G49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+'8'!G61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+'8'!G63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+'8'!G67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3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+'8'!G70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9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+'8'!G77</f>
        <v>6</v>
      </c>
      <c r="D77" s="13">
        <v>0</v>
      </c>
      <c r="E77" s="12">
        <f t="shared" si="0"/>
        <v>6</v>
      </c>
      <c r="F77" s="13">
        <v>0</v>
      </c>
      <c r="G77" s="12">
        <f t="shared" si="1"/>
        <v>5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+'8'!G78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+'8'!G79</f>
        <v>3</v>
      </c>
      <c r="D79" s="13">
        <v>5</v>
      </c>
      <c r="E79" s="12">
        <f t="shared" si="0"/>
        <v>8</v>
      </c>
      <c r="F79" s="13">
        <v>0</v>
      </c>
      <c r="G79" s="12">
        <f t="shared" si="1"/>
        <v>8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+'8'!G82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+'8'!G85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+'8'!G87</f>
        <v>7</v>
      </c>
      <c r="D87" s="13">
        <v>0</v>
      </c>
      <c r="E87" s="12">
        <f t="shared" si="0"/>
        <v>7</v>
      </c>
      <c r="F87" s="13">
        <v>0</v>
      </c>
      <c r="G87" s="12">
        <f t="shared" si="1"/>
        <v>6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+'8'!G88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+'8'!G90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+'8'!G91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+'8'!G96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+'8'!G101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+'8'!G102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+'8'!G168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+'8'!G178</f>
        <v>3</v>
      </c>
      <c r="D178" s="13">
        <v>0</v>
      </c>
      <c r="E178" s="12">
        <f t="shared" si="13"/>
        <v>3</v>
      </c>
      <c r="F178" s="13">
        <v>0</v>
      </c>
      <c r="G178" s="12">
        <f t="shared" si="16"/>
        <v>0</v>
      </c>
      <c r="H178" s="14">
        <v>3</v>
      </c>
      <c r="I178" s="21">
        <v>120</v>
      </c>
      <c r="J178" s="16">
        <f t="shared" si="15"/>
        <v>360</v>
      </c>
      <c r="K178" s="17" t="s">
        <v>16</v>
      </c>
      <c r="L178" s="18">
        <v>0</v>
      </c>
      <c r="M178" s="24">
        <f t="shared" si="14"/>
        <v>360</v>
      </c>
    </row>
    <row r="179" spans="1:13" ht="25.5">
      <c r="A179" s="10">
        <v>175</v>
      </c>
      <c r="B179" s="20" t="s">
        <v>190</v>
      </c>
      <c r="C179" s="12">
        <f>+'8'!G179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+'8'!G191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35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+'8'!G202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+'8'!G203</f>
        <v>11</v>
      </c>
      <c r="D203" s="13">
        <v>0</v>
      </c>
      <c r="E203" s="12">
        <f t="shared" si="13"/>
        <v>11</v>
      </c>
      <c r="F203" s="13">
        <v>0</v>
      </c>
      <c r="G203" s="12">
        <f t="shared" si="16"/>
        <v>10</v>
      </c>
      <c r="H203" s="14">
        <v>1</v>
      </c>
      <c r="I203" s="15">
        <v>120</v>
      </c>
      <c r="J203" s="16">
        <f t="shared" si="18"/>
        <v>120</v>
      </c>
      <c r="K203" s="17" t="s">
        <v>16</v>
      </c>
      <c r="L203" s="18">
        <v>0</v>
      </c>
      <c r="M203" s="24">
        <f t="shared" si="17"/>
        <v>120</v>
      </c>
    </row>
    <row r="204" spans="1:14" ht="25.5">
      <c r="A204" s="10">
        <v>200</v>
      </c>
      <c r="B204" s="20" t="s">
        <v>265</v>
      </c>
      <c r="C204" s="12">
        <f>+'8'!G204</f>
        <v>17</v>
      </c>
      <c r="D204" s="13">
        <v>0</v>
      </c>
      <c r="E204" s="12">
        <f t="shared" si="13"/>
        <v>17</v>
      </c>
      <c r="F204" s="13">
        <v>0</v>
      </c>
      <c r="G204" s="12">
        <f t="shared" si="16"/>
        <v>15</v>
      </c>
      <c r="H204" s="14">
        <v>2</v>
      </c>
      <c r="I204" s="15">
        <v>50</v>
      </c>
      <c r="J204" s="16">
        <f t="shared" si="18"/>
        <v>100</v>
      </c>
      <c r="K204" s="17" t="s">
        <v>16</v>
      </c>
      <c r="L204" s="18">
        <v>0</v>
      </c>
      <c r="M204" s="24">
        <f t="shared" si="17"/>
        <v>100</v>
      </c>
    </row>
    <row r="205" spans="1:14" ht="25.5">
      <c r="A205" s="10">
        <v>201</v>
      </c>
      <c r="B205" s="20" t="s">
        <v>266</v>
      </c>
      <c r="C205" s="12">
        <f>+'8'!G205</f>
        <v>18</v>
      </c>
      <c r="D205" s="13">
        <v>0</v>
      </c>
      <c r="E205" s="12">
        <f t="shared" si="13"/>
        <v>18</v>
      </c>
      <c r="F205" s="13">
        <v>0</v>
      </c>
      <c r="G205" s="12">
        <f t="shared" si="16"/>
        <v>18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2895</v>
      </c>
    </row>
    <row r="209" spans="1:14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4" ht="25.5">
      <c r="A210" s="1"/>
      <c r="C210" s="32"/>
      <c r="E210" s="32"/>
      <c r="G210" s="32"/>
      <c r="I210" s="35" t="s">
        <v>214</v>
      </c>
      <c r="J210" s="36"/>
      <c r="K210" s="37">
        <f>SUM(L210:BO210)</f>
        <v>1300</v>
      </c>
      <c r="L210" s="2">
        <v>1100</v>
      </c>
      <c r="M210" s="2">
        <v>100</v>
      </c>
      <c r="N210" s="2">
        <v>100</v>
      </c>
    </row>
    <row r="211" spans="1:14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4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4" ht="25.5">
      <c r="A213" s="1"/>
      <c r="C213" s="32"/>
      <c r="E213" s="32"/>
      <c r="G213" s="32"/>
      <c r="I213" s="136" t="s">
        <v>217</v>
      </c>
      <c r="J213" s="137"/>
      <c r="K213" s="38">
        <f>SUM(L5:L206)</f>
        <v>0</v>
      </c>
    </row>
    <row r="214" spans="1:14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1580</v>
      </c>
    </row>
    <row r="215" spans="1:14" ht="25.5">
      <c r="A215" s="1"/>
      <c r="C215" s="32"/>
      <c r="E215" s="32"/>
      <c r="G215" s="32"/>
      <c r="I215" s="136" t="s">
        <v>219</v>
      </c>
      <c r="J215" s="137"/>
      <c r="K215" s="38">
        <v>1580</v>
      </c>
    </row>
    <row r="216" spans="1:14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4" ht="25.5">
      <c r="G217" s="2"/>
      <c r="I217" s="136" t="s">
        <v>221</v>
      </c>
      <c r="J217" s="137"/>
      <c r="K217" s="34">
        <f>+K215-K214</f>
        <v>0</v>
      </c>
    </row>
    <row r="218" spans="1:14">
      <c r="G218" s="2"/>
      <c r="I218" s="2"/>
    </row>
    <row r="219" spans="1:14">
      <c r="G219" s="2"/>
      <c r="I219" s="2"/>
      <c r="J219" s="96" t="s">
        <v>261</v>
      </c>
      <c r="K219" s="24">
        <f>+K208-K213+K216</f>
        <v>2895</v>
      </c>
    </row>
    <row r="220" spans="1:14">
      <c r="G220" s="2"/>
      <c r="I220" s="2"/>
      <c r="J220" s="2" t="s">
        <v>262</v>
      </c>
      <c r="K220" s="24">
        <f>SUM(K209:K212)</f>
        <v>1315</v>
      </c>
    </row>
    <row r="221" spans="1:14">
      <c r="G221" s="2"/>
      <c r="I221" s="2"/>
      <c r="J221" s="2" t="s">
        <v>263</v>
      </c>
      <c r="K221" s="24">
        <f>+K215</f>
        <v>1580</v>
      </c>
    </row>
    <row r="222" spans="1:14">
      <c r="G222" s="2"/>
      <c r="I222" s="2"/>
    </row>
    <row r="223" spans="1:14">
      <c r="G223" s="2"/>
      <c r="I223" s="2"/>
    </row>
    <row r="224" spans="1:14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6B5F-FFB9-4BC4-8E18-34CBC6DFE6AE}">
  <sheetPr>
    <tabColor theme="5" tint="0.79998168889431442"/>
  </sheetPr>
  <dimension ref="A1:Z292"/>
  <sheetViews>
    <sheetView zoomScale="90" zoomScaleNormal="90" workbookViewId="0">
      <pane ySplit="4" topLeftCell="A208" activePane="bottomLeft" state="frozen"/>
      <selection pane="bottomLeft" activeCell="J219" sqref="J219:K22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+'9'!G5</f>
        <v>24</v>
      </c>
      <c r="D5" s="13">
        <v>0</v>
      </c>
      <c r="E5" s="12">
        <f t="shared" ref="E5:E94" si="0">C5+D5</f>
        <v>24</v>
      </c>
      <c r="F5" s="13">
        <v>0</v>
      </c>
      <c r="G5" s="12">
        <f t="shared" ref="G5:G94" si="1">E5-F5-H5</f>
        <v>20</v>
      </c>
      <c r="H5" s="14">
        <v>4</v>
      </c>
      <c r="I5" s="15">
        <v>50</v>
      </c>
      <c r="J5" s="16">
        <f t="shared" ref="J5:J70" si="2">+I5*H5</f>
        <v>200</v>
      </c>
      <c r="K5" s="17" t="s">
        <v>16</v>
      </c>
      <c r="L5" s="18">
        <v>0</v>
      </c>
      <c r="M5" s="24">
        <f>SUM(J5-L5)</f>
        <v>200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+'9'!G6</f>
        <v>30</v>
      </c>
      <c r="D6" s="13">
        <v>0</v>
      </c>
      <c r="E6" s="12">
        <f t="shared" si="0"/>
        <v>30</v>
      </c>
      <c r="F6" s="13">
        <v>0</v>
      </c>
      <c r="G6" s="12">
        <f t="shared" si="1"/>
        <v>18</v>
      </c>
      <c r="H6" s="14">
        <v>12</v>
      </c>
      <c r="I6" s="15">
        <v>100</v>
      </c>
      <c r="J6" s="16">
        <f t="shared" si="2"/>
        <v>1200</v>
      </c>
      <c r="K6" s="17" t="s">
        <v>16</v>
      </c>
      <c r="L6" s="18">
        <v>0</v>
      </c>
      <c r="M6" s="24">
        <f t="shared" ref="M6:M69" si="5">SUM(J6-L6)</f>
        <v>1200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+'9'!G12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+'9'!G14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+'9'!G15</f>
        <v>17</v>
      </c>
      <c r="D15" s="13">
        <v>0</v>
      </c>
      <c r="E15" s="12">
        <f t="shared" si="0"/>
        <v>17</v>
      </c>
      <c r="F15" s="13">
        <v>0</v>
      </c>
      <c r="G15" s="12">
        <f t="shared" si="1"/>
        <v>17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+'9'!G17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8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+'9'!G19</f>
        <v>11</v>
      </c>
      <c r="D19" s="13">
        <v>0</v>
      </c>
      <c r="E19" s="12">
        <f t="shared" si="0"/>
        <v>11</v>
      </c>
      <c r="F19" s="13">
        <v>0</v>
      </c>
      <c r="G19" s="12">
        <f t="shared" si="1"/>
        <v>10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+'9'!G22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2</v>
      </c>
      <c r="H22" s="14">
        <v>1</v>
      </c>
      <c r="I22" s="15">
        <v>85</v>
      </c>
      <c r="J22" s="16">
        <f t="shared" si="2"/>
        <v>85</v>
      </c>
      <c r="K22" s="17" t="s">
        <v>16</v>
      </c>
      <c r="L22" s="18">
        <v>0</v>
      </c>
      <c r="M22" s="24">
        <f t="shared" si="5"/>
        <v>85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+'9'!G23</f>
        <v>18</v>
      </c>
      <c r="D23" s="13">
        <v>0</v>
      </c>
      <c r="E23" s="12">
        <f>C23+D23</f>
        <v>18</v>
      </c>
      <c r="F23" s="13">
        <v>0</v>
      </c>
      <c r="G23" s="12">
        <f>E23-F23-H23</f>
        <v>15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+'9'!G24</f>
        <v>10</v>
      </c>
      <c r="D24" s="13">
        <v>0</v>
      </c>
      <c r="E24" s="12">
        <f t="shared" si="0"/>
        <v>10</v>
      </c>
      <c r="F24" s="13">
        <v>0</v>
      </c>
      <c r="G24" s="12">
        <f t="shared" si="1"/>
        <v>9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+'9'!G29</f>
        <v>10</v>
      </c>
      <c r="D29" s="13">
        <v>0</v>
      </c>
      <c r="E29" s="12">
        <f t="shared" si="0"/>
        <v>10</v>
      </c>
      <c r="F29" s="13">
        <v>0</v>
      </c>
      <c r="G29" s="12">
        <f t="shared" si="1"/>
        <v>9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+'9'!G34</f>
        <v>3</v>
      </c>
      <c r="D34" s="13">
        <v>0</v>
      </c>
      <c r="E34" s="12">
        <f t="shared" si="0"/>
        <v>3</v>
      </c>
      <c r="F34" s="13">
        <v>0</v>
      </c>
      <c r="G34" s="12">
        <f t="shared" si="1"/>
        <v>1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+'9'!G35</f>
        <v>1</v>
      </c>
      <c r="D35" s="13">
        <v>0</v>
      </c>
      <c r="E35" s="12">
        <f t="shared" si="0"/>
        <v>1</v>
      </c>
      <c r="F35" s="13">
        <v>0</v>
      </c>
      <c r="G35" s="12">
        <f t="shared" si="1"/>
        <v>0</v>
      </c>
      <c r="H35" s="14">
        <v>1</v>
      </c>
      <c r="I35" s="15">
        <v>130</v>
      </c>
      <c r="J35" s="16">
        <f t="shared" si="2"/>
        <v>130</v>
      </c>
      <c r="K35" s="17" t="s">
        <v>16</v>
      </c>
      <c r="L35" s="18">
        <v>0</v>
      </c>
      <c r="M35" s="24">
        <f t="shared" si="5"/>
        <v>130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+'9'!G37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0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+'9'!G38</f>
        <v>6</v>
      </c>
      <c r="D38" s="13">
        <v>0</v>
      </c>
      <c r="E38" s="12">
        <f t="shared" si="0"/>
        <v>6</v>
      </c>
      <c r="F38" s="13">
        <v>0</v>
      </c>
      <c r="G38" s="12">
        <f t="shared" si="1"/>
        <v>3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+'9'!G39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6</v>
      </c>
      <c r="H39" s="14">
        <v>1</v>
      </c>
      <c r="I39" s="15">
        <v>50</v>
      </c>
      <c r="J39" s="16">
        <f t="shared" si="2"/>
        <v>50</v>
      </c>
      <c r="K39" s="17" t="s">
        <v>16</v>
      </c>
      <c r="L39" s="18">
        <v>0</v>
      </c>
      <c r="M39" s="24">
        <f t="shared" si="5"/>
        <v>50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+'9'!G40</f>
        <v>7</v>
      </c>
      <c r="D40" s="13">
        <v>0</v>
      </c>
      <c r="E40" s="12">
        <f t="shared" si="0"/>
        <v>7</v>
      </c>
      <c r="F40" s="13">
        <v>0</v>
      </c>
      <c r="G40" s="12">
        <f t="shared" si="1"/>
        <v>6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+'9'!G41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5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+'9'!G42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3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+'9'!G43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+'9'!G44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4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+'9'!G45</f>
        <v>2</v>
      </c>
      <c r="D45" s="13">
        <v>0</v>
      </c>
      <c r="E45" s="12">
        <f t="shared" si="0"/>
        <v>2</v>
      </c>
      <c r="F45" s="13">
        <v>0</v>
      </c>
      <c r="G45" s="12">
        <f t="shared" si="1"/>
        <v>1</v>
      </c>
      <c r="H45" s="14">
        <v>1</v>
      </c>
      <c r="I45" s="15">
        <v>50</v>
      </c>
      <c r="J45" s="16">
        <f t="shared" si="2"/>
        <v>50</v>
      </c>
      <c r="K45" s="17" t="s">
        <v>16</v>
      </c>
      <c r="L45" s="18">
        <v>0</v>
      </c>
      <c r="M45" s="24">
        <f t="shared" si="5"/>
        <v>50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+'9'!G46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6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+'9'!G47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4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+'9'!G48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+'9'!G49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+'9'!G61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1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+'9'!G63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3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+'9'!G67</f>
        <v>3</v>
      </c>
      <c r="D67" s="13">
        <v>0</v>
      </c>
      <c r="E67" s="12">
        <f>C67+D67</f>
        <v>3</v>
      </c>
      <c r="F67" s="13">
        <v>0</v>
      </c>
      <c r="G67" s="12">
        <f t="shared" si="1"/>
        <v>2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+'9'!G70</f>
        <v>9</v>
      </c>
      <c r="D70" s="13">
        <v>0</v>
      </c>
      <c r="E70" s="12">
        <f t="shared" si="0"/>
        <v>9</v>
      </c>
      <c r="F70" s="13">
        <v>0</v>
      </c>
      <c r="G70" s="12">
        <f t="shared" si="1"/>
        <v>8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+'9'!G77</f>
        <v>5</v>
      </c>
      <c r="D77" s="13">
        <v>0</v>
      </c>
      <c r="E77" s="12">
        <f t="shared" si="0"/>
        <v>5</v>
      </c>
      <c r="F77" s="13">
        <v>0</v>
      </c>
      <c r="G77" s="12">
        <f t="shared" si="1"/>
        <v>4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+'9'!G78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+'9'!G79</f>
        <v>8</v>
      </c>
      <c r="D79" s="13">
        <v>0</v>
      </c>
      <c r="E79" s="12">
        <f t="shared" si="0"/>
        <v>8</v>
      </c>
      <c r="F79" s="13">
        <v>0</v>
      </c>
      <c r="G79" s="12">
        <f t="shared" si="1"/>
        <v>7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+'9'!G82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3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+'9'!G85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11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+'9'!G87</f>
        <v>6</v>
      </c>
      <c r="D87" s="13">
        <v>0</v>
      </c>
      <c r="E87" s="12">
        <f t="shared" si="0"/>
        <v>6</v>
      </c>
      <c r="F87" s="13">
        <v>0</v>
      </c>
      <c r="G87" s="12">
        <f t="shared" si="1"/>
        <v>5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+'9'!G88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+'9'!G90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1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+'9'!G91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1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+'9'!G96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+'9'!G101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+'9'!G102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+'9'!G168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+'9'!G178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+'9'!G191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+'9'!G202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+'9'!G203</f>
        <v>10</v>
      </c>
      <c r="D203" s="13">
        <v>0</v>
      </c>
      <c r="E203" s="12">
        <f t="shared" si="13"/>
        <v>10</v>
      </c>
      <c r="F203" s="13">
        <v>0</v>
      </c>
      <c r="G203" s="12">
        <f t="shared" si="16"/>
        <v>8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265</v>
      </c>
      <c r="C204" s="12">
        <f>+'9'!G204</f>
        <v>15</v>
      </c>
      <c r="D204" s="13">
        <v>0</v>
      </c>
      <c r="E204" s="12">
        <f t="shared" si="13"/>
        <v>15</v>
      </c>
      <c r="F204" s="13">
        <v>0</v>
      </c>
      <c r="G204" s="12">
        <f t="shared" si="16"/>
        <v>15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>
        <v>201</v>
      </c>
      <c r="B205" s="20" t="s">
        <v>266</v>
      </c>
      <c r="C205" s="12">
        <f>+'9'!G205</f>
        <v>18</v>
      </c>
      <c r="D205" s="13">
        <v>0</v>
      </c>
      <c r="E205" s="12">
        <f t="shared" si="13"/>
        <v>18</v>
      </c>
      <c r="F205" s="13">
        <v>0</v>
      </c>
      <c r="G205" s="12">
        <f t="shared" si="16"/>
        <v>18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3425</v>
      </c>
    </row>
    <row r="209" spans="1:15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5" ht="25.5">
      <c r="A210" s="1"/>
      <c r="C210" s="32"/>
      <c r="E210" s="32"/>
      <c r="G210" s="32"/>
      <c r="I210" s="35" t="s">
        <v>214</v>
      </c>
      <c r="J210" s="36"/>
      <c r="K210" s="37">
        <f>SUM(L210:BO210)</f>
        <v>760</v>
      </c>
      <c r="L210" s="2">
        <v>300</v>
      </c>
      <c r="M210" s="2">
        <v>260</v>
      </c>
      <c r="N210" s="2">
        <v>50</v>
      </c>
      <c r="O210" s="2">
        <v>150</v>
      </c>
    </row>
    <row r="211" spans="1:15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5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5" ht="25.5">
      <c r="A213" s="1"/>
      <c r="C213" s="32"/>
      <c r="E213" s="32"/>
      <c r="G213" s="32"/>
      <c r="I213" s="136" t="s">
        <v>217</v>
      </c>
      <c r="J213" s="137"/>
      <c r="K213" s="38">
        <f>SUM(L5:L206)</f>
        <v>0</v>
      </c>
    </row>
    <row r="214" spans="1:15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2650</v>
      </c>
    </row>
    <row r="215" spans="1:15" ht="25.5">
      <c r="A215" s="1"/>
      <c r="C215" s="32"/>
      <c r="E215" s="32"/>
      <c r="G215" s="32"/>
      <c r="I215" s="136" t="s">
        <v>219</v>
      </c>
      <c r="J215" s="137"/>
      <c r="K215" s="38">
        <v>2650</v>
      </c>
    </row>
    <row r="216" spans="1:15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5" ht="25.5">
      <c r="G217" s="2"/>
      <c r="I217" s="136" t="s">
        <v>221</v>
      </c>
      <c r="J217" s="137"/>
      <c r="K217" s="34">
        <f>+K215-K214</f>
        <v>0</v>
      </c>
    </row>
    <row r="218" spans="1:15">
      <c r="G218" s="2"/>
      <c r="I218" s="2"/>
    </row>
    <row r="219" spans="1:15">
      <c r="G219" s="2"/>
      <c r="I219" s="2"/>
      <c r="J219" s="96" t="s">
        <v>261</v>
      </c>
      <c r="K219" s="24">
        <f>+K208-K213+K216</f>
        <v>3425</v>
      </c>
    </row>
    <row r="220" spans="1:15">
      <c r="G220" s="2"/>
      <c r="I220" s="2"/>
      <c r="J220" s="2" t="s">
        <v>262</v>
      </c>
      <c r="K220" s="24">
        <f>SUM(K209:K212)</f>
        <v>775</v>
      </c>
    </row>
    <row r="221" spans="1:15">
      <c r="G221" s="2"/>
      <c r="I221" s="2"/>
      <c r="J221" s="2" t="s">
        <v>263</v>
      </c>
      <c r="K221" s="24">
        <f>+K215</f>
        <v>2650</v>
      </c>
    </row>
    <row r="222" spans="1:15">
      <c r="G222" s="2"/>
      <c r="I222" s="2"/>
    </row>
    <row r="223" spans="1:15">
      <c r="G223" s="2"/>
      <c r="I223" s="2"/>
    </row>
    <row r="224" spans="1:15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7EB20-4D85-4499-97E4-089577C536E7}">
  <sheetPr>
    <tabColor theme="5" tint="0.79998168889431442"/>
  </sheetPr>
  <dimension ref="A1:Z292"/>
  <sheetViews>
    <sheetView zoomScaleNormal="100" workbookViewId="0">
      <pane ySplit="4" topLeftCell="A202" activePane="bottomLeft" state="frozen"/>
      <selection pane="bottomLeft" activeCell="K212" sqref="K212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8.5703125" style="2" customWidth="1"/>
    <col min="11" max="11" width="17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+'10'!G5</f>
        <v>20</v>
      </c>
      <c r="D5" s="13">
        <v>0</v>
      </c>
      <c r="E5" s="12">
        <f t="shared" ref="E5:E94" si="0">C5+D5</f>
        <v>20</v>
      </c>
      <c r="F5" s="13">
        <v>0</v>
      </c>
      <c r="G5" s="12">
        <f t="shared" ref="G5:G94" si="1">E5-F5-H5</f>
        <v>19</v>
      </c>
      <c r="H5" s="14">
        <v>1</v>
      </c>
      <c r="I5" s="15">
        <v>50</v>
      </c>
      <c r="J5" s="16">
        <f t="shared" ref="J5:J70" si="2">+I5*H5</f>
        <v>50</v>
      </c>
      <c r="K5" s="17" t="s">
        <v>16</v>
      </c>
      <c r="L5" s="18">
        <v>0</v>
      </c>
      <c r="M5" s="24">
        <f>SUM(J5-L5)</f>
        <v>50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+'10'!G6</f>
        <v>18</v>
      </c>
      <c r="D6" s="13">
        <v>0</v>
      </c>
      <c r="E6" s="12">
        <f t="shared" si="0"/>
        <v>18</v>
      </c>
      <c r="F6" s="13">
        <v>0</v>
      </c>
      <c r="G6" s="12">
        <f t="shared" si="1"/>
        <v>14</v>
      </c>
      <c r="H6" s="14">
        <v>4</v>
      </c>
      <c r="I6" s="15">
        <v>100</v>
      </c>
      <c r="J6" s="16">
        <f t="shared" si="2"/>
        <v>400</v>
      </c>
      <c r="K6" s="17" t="s">
        <v>16</v>
      </c>
      <c r="L6" s="18">
        <v>0</v>
      </c>
      <c r="M6" s="24">
        <f t="shared" ref="M6:M69" si="5">SUM(J6-L6)</f>
        <v>400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+'10'!G12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+'10'!G14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+'10'!G15</f>
        <v>17</v>
      </c>
      <c r="D15" s="13">
        <v>0</v>
      </c>
      <c r="E15" s="12">
        <f t="shared" si="0"/>
        <v>17</v>
      </c>
      <c r="F15" s="13">
        <v>0</v>
      </c>
      <c r="G15" s="12">
        <f t="shared" si="1"/>
        <v>16</v>
      </c>
      <c r="H15" s="14">
        <v>1</v>
      </c>
      <c r="I15" s="21">
        <v>50</v>
      </c>
      <c r="J15" s="16">
        <f t="shared" si="2"/>
        <v>50</v>
      </c>
      <c r="K15" s="17" t="s">
        <v>16</v>
      </c>
      <c r="L15" s="18">
        <v>0</v>
      </c>
      <c r="M15" s="24">
        <f t="shared" si="5"/>
        <v>50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+'10'!G17</f>
        <v>8</v>
      </c>
      <c r="D17" s="13">
        <v>0</v>
      </c>
      <c r="E17" s="12">
        <f t="shared" si="0"/>
        <v>8</v>
      </c>
      <c r="F17" s="13">
        <v>0</v>
      </c>
      <c r="G17" s="12">
        <f t="shared" si="1"/>
        <v>7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+'10'!G19</f>
        <v>10</v>
      </c>
      <c r="D19" s="13">
        <v>0</v>
      </c>
      <c r="E19" s="12">
        <f t="shared" si="0"/>
        <v>10</v>
      </c>
      <c r="F19" s="13">
        <v>0</v>
      </c>
      <c r="G19" s="98">
        <f t="shared" si="1"/>
        <v>9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+'10'!G22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+'10'!G23</f>
        <v>15</v>
      </c>
      <c r="D23" s="13">
        <v>0</v>
      </c>
      <c r="E23" s="12">
        <f>C23+D23</f>
        <v>15</v>
      </c>
      <c r="F23" s="13">
        <v>0</v>
      </c>
      <c r="G23" s="12">
        <f>E23-F23-H23</f>
        <v>6</v>
      </c>
      <c r="H23" s="14">
        <v>9</v>
      </c>
      <c r="I23" s="15">
        <v>100</v>
      </c>
      <c r="J23" s="16">
        <f t="shared" si="2"/>
        <v>900</v>
      </c>
      <c r="K23" s="17" t="s">
        <v>16</v>
      </c>
      <c r="L23" s="18">
        <v>0</v>
      </c>
      <c r="M23" s="24">
        <f t="shared" si="5"/>
        <v>900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+'10'!G24</f>
        <v>9</v>
      </c>
      <c r="D24" s="13">
        <v>0</v>
      </c>
      <c r="E24" s="12">
        <f t="shared" si="0"/>
        <v>9</v>
      </c>
      <c r="F24" s="13">
        <v>0</v>
      </c>
      <c r="G24" s="12">
        <f t="shared" si="1"/>
        <v>8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+'10'!G29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9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+'10'!G37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+'10'!G38</f>
        <v>3</v>
      </c>
      <c r="D38" s="13">
        <v>0</v>
      </c>
      <c r="E38" s="12">
        <f t="shared" si="0"/>
        <v>3</v>
      </c>
      <c r="F38" s="13">
        <v>0</v>
      </c>
      <c r="G38" s="12">
        <f t="shared" si="1"/>
        <v>0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+'10'!G39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6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+'10'!G40</f>
        <v>6</v>
      </c>
      <c r="D40" s="13">
        <v>0</v>
      </c>
      <c r="E40" s="12">
        <f t="shared" si="0"/>
        <v>6</v>
      </c>
      <c r="F40" s="13">
        <v>0</v>
      </c>
      <c r="G40" s="12">
        <f t="shared" si="1"/>
        <v>5</v>
      </c>
      <c r="H40" s="14">
        <v>1</v>
      </c>
      <c r="I40" s="15">
        <v>50</v>
      </c>
      <c r="J40" s="16">
        <f t="shared" si="2"/>
        <v>50</v>
      </c>
      <c r="K40" s="17" t="s">
        <v>16</v>
      </c>
      <c r="L40" s="18">
        <v>0</v>
      </c>
      <c r="M40" s="24">
        <f t="shared" si="5"/>
        <v>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+'10'!G41</f>
        <v>5</v>
      </c>
      <c r="D41" s="13">
        <v>0</v>
      </c>
      <c r="E41" s="12">
        <f t="shared" si="0"/>
        <v>5</v>
      </c>
      <c r="F41" s="13">
        <v>0</v>
      </c>
      <c r="G41" s="12">
        <f t="shared" si="1"/>
        <v>4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+'10'!G42</f>
        <v>3</v>
      </c>
      <c r="D42" s="13">
        <v>0</v>
      </c>
      <c r="E42" s="12">
        <f t="shared" si="0"/>
        <v>3</v>
      </c>
      <c r="F42" s="13">
        <v>0</v>
      </c>
      <c r="G42" s="12">
        <f t="shared" si="1"/>
        <v>2</v>
      </c>
      <c r="H42" s="14">
        <v>1</v>
      </c>
      <c r="I42" s="15">
        <v>50</v>
      </c>
      <c r="J42" s="16">
        <f t="shared" si="2"/>
        <v>50</v>
      </c>
      <c r="K42" s="17" t="s">
        <v>16</v>
      </c>
      <c r="L42" s="18">
        <v>0</v>
      </c>
      <c r="M42" s="24">
        <f t="shared" si="5"/>
        <v>50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+'10'!G43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+'10'!G44</f>
        <v>4</v>
      </c>
      <c r="D44" s="13">
        <v>0</v>
      </c>
      <c r="E44" s="12">
        <f t="shared" si="0"/>
        <v>4</v>
      </c>
      <c r="F44" s="13">
        <v>0</v>
      </c>
      <c r="G44" s="12">
        <f t="shared" si="1"/>
        <v>2</v>
      </c>
      <c r="H44" s="14">
        <v>2</v>
      </c>
      <c r="I44" s="15">
        <v>50</v>
      </c>
      <c r="J44" s="16">
        <f t="shared" si="2"/>
        <v>100</v>
      </c>
      <c r="K44" s="17" t="s">
        <v>16</v>
      </c>
      <c r="L44" s="18">
        <v>0</v>
      </c>
      <c r="M44" s="24">
        <f t="shared" si="5"/>
        <v>100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+'10'!G45</f>
        <v>1</v>
      </c>
      <c r="D45" s="13">
        <v>0</v>
      </c>
      <c r="E45" s="12">
        <f t="shared" si="0"/>
        <v>1</v>
      </c>
      <c r="F45" s="13">
        <v>0</v>
      </c>
      <c r="G45" s="12">
        <f t="shared" si="1"/>
        <v>1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+'10'!G46</f>
        <v>6</v>
      </c>
      <c r="D46" s="13">
        <v>0</v>
      </c>
      <c r="E46" s="12">
        <f t="shared" si="0"/>
        <v>6</v>
      </c>
      <c r="F46" s="13">
        <v>0</v>
      </c>
      <c r="G46" s="12">
        <f t="shared" si="1"/>
        <v>5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+'10'!G47</f>
        <v>4</v>
      </c>
      <c r="D47" s="13">
        <v>0</v>
      </c>
      <c r="E47" s="12">
        <f t="shared" si="0"/>
        <v>4</v>
      </c>
      <c r="F47" s="13">
        <v>0</v>
      </c>
      <c r="G47" s="12">
        <f t="shared" si="1"/>
        <v>3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+'10'!G48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+'10'!G49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+'10'!G61</f>
        <v>1</v>
      </c>
      <c r="D61" s="13">
        <v>0</v>
      </c>
      <c r="E61" s="12">
        <f t="shared" si="0"/>
        <v>1</v>
      </c>
      <c r="F61" s="13">
        <v>0</v>
      </c>
      <c r="G61" s="12">
        <f t="shared" si="1"/>
        <v>0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0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+'10'!G63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1</v>
      </c>
      <c r="H63" s="14">
        <v>2</v>
      </c>
      <c r="I63" s="21">
        <v>50</v>
      </c>
      <c r="J63" s="16">
        <f t="shared" si="2"/>
        <v>100</v>
      </c>
      <c r="K63" s="17" t="s">
        <v>16</v>
      </c>
      <c r="L63" s="18">
        <v>0</v>
      </c>
      <c r="M63" s="24">
        <f t="shared" si="5"/>
        <v>100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+'10'!G67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0</v>
      </c>
      <c r="H67" s="14">
        <v>2</v>
      </c>
      <c r="I67" s="15">
        <v>50</v>
      </c>
      <c r="J67" s="16">
        <f t="shared" si="2"/>
        <v>100</v>
      </c>
      <c r="K67" s="17" t="s">
        <v>16</v>
      </c>
      <c r="L67" s="18">
        <v>0</v>
      </c>
      <c r="M67" s="24">
        <f t="shared" si="5"/>
        <v>100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+'10'!G70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5</v>
      </c>
      <c r="H70" s="14">
        <v>3</v>
      </c>
      <c r="I70" s="21">
        <v>50</v>
      </c>
      <c r="J70" s="16">
        <f t="shared" si="2"/>
        <v>150</v>
      </c>
      <c r="K70" s="17" t="s">
        <v>16</v>
      </c>
      <c r="L70" s="18">
        <v>0</v>
      </c>
      <c r="M70" s="24">
        <f t="shared" ref="M70:M133" si="9">SUM(J70-L70)</f>
        <v>150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+'10'!G77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4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+'10'!G78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1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+'10'!G79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3</v>
      </c>
      <c r="H79" s="14">
        <v>4</v>
      </c>
      <c r="I79" s="23">
        <v>50</v>
      </c>
      <c r="J79" s="16">
        <f t="shared" si="11"/>
        <v>200</v>
      </c>
      <c r="K79" s="17" t="s">
        <v>16</v>
      </c>
      <c r="L79" s="18">
        <v>0</v>
      </c>
      <c r="M79" s="24">
        <f t="shared" si="9"/>
        <v>200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+'10'!G82</f>
        <v>3</v>
      </c>
      <c r="D82" s="13">
        <v>0</v>
      </c>
      <c r="E82" s="12">
        <f t="shared" si="0"/>
        <v>3</v>
      </c>
      <c r="F82" s="13">
        <v>0</v>
      </c>
      <c r="G82" s="12">
        <f t="shared" si="1"/>
        <v>2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+'10'!G85</f>
        <v>11</v>
      </c>
      <c r="D85" s="13">
        <v>0</v>
      </c>
      <c r="E85" s="12">
        <f t="shared" si="0"/>
        <v>11</v>
      </c>
      <c r="F85" s="13">
        <v>0</v>
      </c>
      <c r="G85" s="12">
        <f t="shared" si="1"/>
        <v>9</v>
      </c>
      <c r="H85" s="14">
        <v>2</v>
      </c>
      <c r="I85" s="23">
        <v>100</v>
      </c>
      <c r="J85" s="16">
        <f t="shared" si="11"/>
        <v>200</v>
      </c>
      <c r="K85" s="17" t="s">
        <v>16</v>
      </c>
      <c r="L85" s="18">
        <v>0</v>
      </c>
      <c r="M85" s="24">
        <f t="shared" si="9"/>
        <v>200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+'10'!G87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+'10'!G88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+'10'!G90</f>
        <v>1</v>
      </c>
      <c r="D90" s="13">
        <v>0</v>
      </c>
      <c r="E90" s="12">
        <f t="shared" si="0"/>
        <v>1</v>
      </c>
      <c r="F90" s="13">
        <v>0</v>
      </c>
      <c r="G90" s="12">
        <f t="shared" si="1"/>
        <v>0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+'10'!G91</f>
        <v>1</v>
      </c>
      <c r="D91" s="13">
        <v>0</v>
      </c>
      <c r="E91" s="12">
        <f t="shared" si="0"/>
        <v>1</v>
      </c>
      <c r="F91" s="13">
        <v>0</v>
      </c>
      <c r="G91" s="12">
        <f t="shared" si="1"/>
        <v>0</v>
      </c>
      <c r="H91" s="14">
        <v>1</v>
      </c>
      <c r="I91" s="23">
        <v>50</v>
      </c>
      <c r="J91" s="16">
        <f t="shared" si="11"/>
        <v>50</v>
      </c>
      <c r="K91" s="17" t="s">
        <v>16</v>
      </c>
      <c r="L91" s="18">
        <v>0</v>
      </c>
      <c r="M91" s="24">
        <f t="shared" si="9"/>
        <v>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+'10'!G96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+'10'!G101</f>
        <v>0</v>
      </c>
      <c r="D101" s="13">
        <v>0</v>
      </c>
      <c r="E101" s="12">
        <f t="shared" si="13"/>
        <v>0</v>
      </c>
      <c r="F101" s="13">
        <v>0</v>
      </c>
      <c r="G101" s="12">
        <f t="shared" si="12"/>
        <v>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+'10'!G102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10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+'10'!G168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+'10'!G178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+'10'!G191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+'10'!G199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+'10'!G202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3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256</v>
      </c>
      <c r="C203" s="12">
        <f>+'10'!G203</f>
        <v>8</v>
      </c>
      <c r="D203" s="13">
        <v>0</v>
      </c>
      <c r="E203" s="12">
        <f t="shared" si="13"/>
        <v>8</v>
      </c>
      <c r="F203" s="13">
        <v>0</v>
      </c>
      <c r="G203" s="12">
        <f t="shared" si="16"/>
        <v>0</v>
      </c>
      <c r="H203" s="14">
        <v>8</v>
      </c>
      <c r="I203" s="15">
        <v>120</v>
      </c>
      <c r="J203" s="16">
        <f t="shared" si="18"/>
        <v>960</v>
      </c>
      <c r="K203" s="17" t="s">
        <v>16</v>
      </c>
      <c r="L203" s="18">
        <v>0</v>
      </c>
      <c r="M203" s="24">
        <f t="shared" si="17"/>
        <v>960</v>
      </c>
    </row>
    <row r="204" spans="1:14" ht="25.5">
      <c r="A204" s="10">
        <v>200</v>
      </c>
      <c r="B204" s="20" t="s">
        <v>265</v>
      </c>
      <c r="C204" s="12">
        <f>+'10'!G204</f>
        <v>15</v>
      </c>
      <c r="D204" s="13">
        <v>0</v>
      </c>
      <c r="E204" s="12">
        <f t="shared" si="13"/>
        <v>15</v>
      </c>
      <c r="F204" s="13">
        <v>0</v>
      </c>
      <c r="G204" s="12">
        <f t="shared" si="16"/>
        <v>15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266</v>
      </c>
      <c r="C205" s="12">
        <f>+'10'!G205</f>
        <v>18</v>
      </c>
      <c r="D205" s="13">
        <v>0</v>
      </c>
      <c r="E205" s="12">
        <f t="shared" si="13"/>
        <v>18</v>
      </c>
      <c r="F205" s="13">
        <v>0</v>
      </c>
      <c r="G205" s="12">
        <f t="shared" si="16"/>
        <v>18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"/>
      <c r="C206" s="25"/>
      <c r="D206" s="26"/>
      <c r="E206" s="25"/>
      <c r="F206" s="26"/>
      <c r="G206" s="25"/>
      <c r="H206" s="25"/>
      <c r="I206" s="27"/>
      <c r="J206" s="29"/>
      <c r="K206" s="28"/>
      <c r="L206" s="18">
        <v>0</v>
      </c>
      <c r="M206" s="154" t="s">
        <v>223</v>
      </c>
      <c r="N206" s="154"/>
    </row>
    <row r="207" spans="1:14" ht="25.5" customHeight="1">
      <c r="A207" s="1"/>
      <c r="C207" s="25"/>
      <c r="D207" s="26"/>
      <c r="E207" s="25"/>
      <c r="F207" s="26"/>
      <c r="G207" s="25"/>
      <c r="H207" s="152" t="s">
        <v>224</v>
      </c>
      <c r="I207" s="153"/>
      <c r="J207" s="31">
        <f>+X107</f>
        <v>0</v>
      </c>
      <c r="K207" s="28"/>
      <c r="L207" s="30"/>
    </row>
    <row r="208" spans="1:14" ht="25.5">
      <c r="A208" s="1"/>
      <c r="C208" s="32"/>
      <c r="E208" s="32"/>
      <c r="G208" s="32"/>
      <c r="H208" s="33"/>
      <c r="I208" s="151" t="s">
        <v>212</v>
      </c>
      <c r="J208" s="151"/>
      <c r="K208" s="34">
        <f>SUM(J5:J207)</f>
        <v>4315</v>
      </c>
    </row>
    <row r="209" spans="1:16" ht="25.5">
      <c r="A209" s="1"/>
      <c r="C209" s="32"/>
      <c r="E209" s="32"/>
      <c r="G209" s="32"/>
      <c r="I209" s="136" t="s">
        <v>213</v>
      </c>
      <c r="J209" s="137"/>
      <c r="K209" s="37">
        <v>15</v>
      </c>
    </row>
    <row r="210" spans="1:16" ht="25.5">
      <c r="A210" s="1"/>
      <c r="C210" s="32"/>
      <c r="E210" s="32"/>
      <c r="G210" s="32"/>
      <c r="I210" s="35" t="s">
        <v>214</v>
      </c>
      <c r="J210" s="36"/>
      <c r="K210" s="37">
        <f>SUM(L210:BO210)</f>
        <v>1600</v>
      </c>
      <c r="L210" s="2">
        <v>120</v>
      </c>
      <c r="M210" s="2">
        <v>650</v>
      </c>
      <c r="N210" s="2">
        <v>100</v>
      </c>
      <c r="O210" s="2">
        <v>250</v>
      </c>
      <c r="P210" s="2">
        <v>480</v>
      </c>
    </row>
    <row r="211" spans="1:16" ht="25.5">
      <c r="A211" s="1"/>
      <c r="C211" s="32"/>
      <c r="E211" s="32"/>
      <c r="G211" s="32"/>
      <c r="I211" s="136" t="s">
        <v>215</v>
      </c>
      <c r="J211" s="137"/>
      <c r="K211" s="37">
        <v>0</v>
      </c>
    </row>
    <row r="212" spans="1:16" ht="25.5">
      <c r="A212" s="1"/>
      <c r="C212" s="32"/>
      <c r="E212" s="32"/>
      <c r="G212" s="32"/>
      <c r="I212" s="136" t="s">
        <v>216</v>
      </c>
      <c r="J212" s="137"/>
      <c r="K212" s="37">
        <v>0</v>
      </c>
    </row>
    <row r="213" spans="1:16" ht="25.5">
      <c r="A213" s="1"/>
      <c r="C213" s="32"/>
      <c r="E213" s="32"/>
      <c r="G213" s="32"/>
      <c r="I213" s="136" t="s">
        <v>217</v>
      </c>
      <c r="J213" s="137"/>
      <c r="K213" s="38">
        <f>SUM(L5:L206)</f>
        <v>0</v>
      </c>
    </row>
    <row r="214" spans="1:16" ht="25.5">
      <c r="A214" s="1"/>
      <c r="C214" s="32"/>
      <c r="E214" s="32"/>
      <c r="G214" s="32"/>
      <c r="I214" s="136" t="s">
        <v>218</v>
      </c>
      <c r="J214" s="137"/>
      <c r="K214" s="34">
        <f>K208-K209-K210-K212-K213</f>
        <v>2700</v>
      </c>
    </row>
    <row r="215" spans="1:16" ht="25.5">
      <c r="A215" s="1"/>
      <c r="C215" s="32"/>
      <c r="E215" s="32"/>
      <c r="G215" s="32"/>
      <c r="I215" s="136" t="s">
        <v>219</v>
      </c>
      <c r="J215" s="137"/>
      <c r="K215" s="38">
        <v>2700</v>
      </c>
    </row>
    <row r="216" spans="1:16" ht="25.5">
      <c r="A216" s="1"/>
      <c r="C216" s="32"/>
      <c r="E216" s="32"/>
      <c r="G216" s="32"/>
      <c r="I216" s="136" t="s">
        <v>220</v>
      </c>
      <c r="J216" s="137"/>
      <c r="K216" s="34">
        <f>+K215-K214</f>
        <v>0</v>
      </c>
    </row>
    <row r="217" spans="1:16" ht="25.5">
      <c r="G217" s="2"/>
      <c r="I217" s="136" t="s">
        <v>221</v>
      </c>
      <c r="J217" s="137"/>
      <c r="K217" s="34">
        <f>+K215-K214</f>
        <v>0</v>
      </c>
    </row>
    <row r="218" spans="1:16">
      <c r="G218" s="2"/>
      <c r="I218" s="2"/>
    </row>
    <row r="219" spans="1:16">
      <c r="G219" s="2"/>
      <c r="I219" s="2"/>
      <c r="J219" s="96" t="s">
        <v>261</v>
      </c>
      <c r="K219" s="24">
        <f>+K208-K213+K216</f>
        <v>4315</v>
      </c>
    </row>
    <row r="220" spans="1:16">
      <c r="G220" s="2"/>
      <c r="I220" s="2"/>
      <c r="J220" s="2" t="s">
        <v>262</v>
      </c>
      <c r="K220" s="24">
        <f>SUM(K209:K212)</f>
        <v>1615</v>
      </c>
    </row>
    <row r="221" spans="1:16">
      <c r="G221" s="2"/>
      <c r="I221" s="2"/>
      <c r="J221" s="2" t="s">
        <v>263</v>
      </c>
      <c r="K221" s="24">
        <f>+K215</f>
        <v>2700</v>
      </c>
    </row>
    <row r="222" spans="1:16">
      <c r="G222" s="2"/>
      <c r="I222" s="2"/>
    </row>
    <row r="223" spans="1:16">
      <c r="G223" s="2"/>
      <c r="I223" s="2"/>
    </row>
    <row r="224" spans="1:16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</sheetData>
  <autoFilter ref="A1:Y217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4:J214"/>
    <mergeCell ref="M206:N206"/>
    <mergeCell ref="L3:L4"/>
    <mergeCell ref="O3:O4"/>
    <mergeCell ref="P3:P4"/>
    <mergeCell ref="Q3:Q4"/>
    <mergeCell ref="I215:J215"/>
    <mergeCell ref="I216:J216"/>
    <mergeCell ref="I217:J217"/>
    <mergeCell ref="H207:I207"/>
    <mergeCell ref="I208:J208"/>
    <mergeCell ref="I209:J209"/>
    <mergeCell ref="I211:J211"/>
    <mergeCell ref="I212:J212"/>
    <mergeCell ref="I213:J21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E2CE8-882F-4B03-A624-1E0ACCC31965}">
  <sheetPr>
    <tabColor theme="5" tint="0.79998168889431442"/>
  </sheetPr>
  <dimension ref="A1:Z294"/>
  <sheetViews>
    <sheetView zoomScaleNormal="100" workbookViewId="0">
      <pane ySplit="4" topLeftCell="A206" activePane="bottomLeft" state="frozen"/>
      <selection pane="bottomLeft" activeCell="K211" sqref="K211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+'11'!G5</f>
        <v>19</v>
      </c>
      <c r="D5" s="13">
        <v>0</v>
      </c>
      <c r="E5" s="12">
        <f t="shared" ref="E5:E94" si="0">C5+D5</f>
        <v>19</v>
      </c>
      <c r="F5" s="13">
        <v>0</v>
      </c>
      <c r="G5" s="12">
        <f t="shared" ref="G5:G94" si="1">E5-F5-H5</f>
        <v>17</v>
      </c>
      <c r="H5" s="14">
        <v>2</v>
      </c>
      <c r="I5" s="15">
        <v>50</v>
      </c>
      <c r="J5" s="16">
        <f t="shared" ref="J5:J70" si="2">+I5*H5</f>
        <v>100</v>
      </c>
      <c r="K5" s="17" t="s">
        <v>16</v>
      </c>
      <c r="L5" s="18">
        <v>0</v>
      </c>
      <c r="M5" s="24">
        <f>SUM(J5-L5)</f>
        <v>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+'11'!G6</f>
        <v>14</v>
      </c>
      <c r="D6" s="13">
        <v>0</v>
      </c>
      <c r="E6" s="12">
        <f t="shared" si="0"/>
        <v>14</v>
      </c>
      <c r="F6" s="13">
        <v>0</v>
      </c>
      <c r="G6" s="12">
        <f t="shared" si="1"/>
        <v>6</v>
      </c>
      <c r="H6" s="14">
        <v>8</v>
      </c>
      <c r="I6" s="15">
        <v>100</v>
      </c>
      <c r="J6" s="16">
        <f t="shared" si="2"/>
        <v>800</v>
      </c>
      <c r="K6" s="17" t="s">
        <v>274</v>
      </c>
      <c r="L6" s="18">
        <v>100</v>
      </c>
      <c r="M6" s="24">
        <f t="shared" ref="M6:M69" si="5">SUM(J6-L6)</f>
        <v>700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+'11'!G12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+'11'!G14</f>
        <v>1</v>
      </c>
      <c r="D14" s="13">
        <v>0</v>
      </c>
      <c r="E14" s="12">
        <f t="shared" si="0"/>
        <v>1</v>
      </c>
      <c r="F14" s="13">
        <v>0</v>
      </c>
      <c r="G14" s="12">
        <f t="shared" si="1"/>
        <v>1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+'11'!G15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+'11'!G17</f>
        <v>7</v>
      </c>
      <c r="D17" s="13">
        <v>0</v>
      </c>
      <c r="E17" s="12">
        <f t="shared" si="0"/>
        <v>7</v>
      </c>
      <c r="F17" s="13">
        <v>0</v>
      </c>
      <c r="G17" s="12">
        <f t="shared" si="1"/>
        <v>5</v>
      </c>
      <c r="H17" s="14">
        <v>2</v>
      </c>
      <c r="I17" s="15">
        <v>50</v>
      </c>
      <c r="J17" s="16">
        <f t="shared" si="2"/>
        <v>100</v>
      </c>
      <c r="K17" s="17" t="s">
        <v>16</v>
      </c>
      <c r="L17" s="18">
        <v>0</v>
      </c>
      <c r="M17" s="24">
        <f t="shared" si="5"/>
        <v>100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+'11'!G19</f>
        <v>9</v>
      </c>
      <c r="D19" s="13">
        <v>0</v>
      </c>
      <c r="E19" s="12">
        <f t="shared" si="0"/>
        <v>9</v>
      </c>
      <c r="F19" s="13">
        <v>0</v>
      </c>
      <c r="G19" s="12">
        <f t="shared" si="1"/>
        <v>8</v>
      </c>
      <c r="H19" s="14">
        <v>1</v>
      </c>
      <c r="I19" s="15">
        <v>50</v>
      </c>
      <c r="J19" s="16">
        <f t="shared" si="2"/>
        <v>50</v>
      </c>
      <c r="K19" s="17" t="s">
        <v>16</v>
      </c>
      <c r="L19" s="18">
        <v>0</v>
      </c>
      <c r="M19" s="24">
        <f t="shared" si="5"/>
        <v>50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+'11'!G22</f>
        <v>2</v>
      </c>
      <c r="D22" s="13">
        <v>0</v>
      </c>
      <c r="E22" s="12">
        <f>C22+D22</f>
        <v>2</v>
      </c>
      <c r="F22" s="13">
        <v>0</v>
      </c>
      <c r="G22" s="12">
        <f>E22-F22-H22</f>
        <v>2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+'11'!G23</f>
        <v>6</v>
      </c>
      <c r="D23" s="13">
        <v>0</v>
      </c>
      <c r="E23" s="12">
        <f>C23+D23</f>
        <v>6</v>
      </c>
      <c r="F23" s="13">
        <v>0</v>
      </c>
      <c r="G23" s="12">
        <f>E23-F23-H23</f>
        <v>4</v>
      </c>
      <c r="H23" s="14">
        <v>2</v>
      </c>
      <c r="I23" s="15">
        <v>100</v>
      </c>
      <c r="J23" s="16">
        <f t="shared" si="2"/>
        <v>200</v>
      </c>
      <c r="K23" s="17" t="s">
        <v>16</v>
      </c>
      <c r="L23" s="18">
        <v>0</v>
      </c>
      <c r="M23" s="24">
        <f t="shared" si="5"/>
        <v>200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+'11'!G24</f>
        <v>8</v>
      </c>
      <c r="D24" s="13">
        <v>0</v>
      </c>
      <c r="E24" s="12">
        <f t="shared" si="0"/>
        <v>8</v>
      </c>
      <c r="F24" s="13">
        <v>0</v>
      </c>
      <c r="G24" s="12">
        <f t="shared" si="1"/>
        <v>7</v>
      </c>
      <c r="H24" s="14">
        <v>1</v>
      </c>
      <c r="I24" s="19">
        <v>100</v>
      </c>
      <c r="J24" s="16">
        <f t="shared" si="2"/>
        <v>100</v>
      </c>
      <c r="K24" s="17" t="s">
        <v>16</v>
      </c>
      <c r="L24" s="18">
        <v>0</v>
      </c>
      <c r="M24" s="24">
        <f t="shared" si="5"/>
        <v>100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+'11'!G29</f>
        <v>9</v>
      </c>
      <c r="D29" s="13">
        <v>0</v>
      </c>
      <c r="E29" s="12">
        <f t="shared" si="0"/>
        <v>9</v>
      </c>
      <c r="F29" s="13">
        <v>0</v>
      </c>
      <c r="G29" s="12">
        <f t="shared" si="1"/>
        <v>8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+'11'!G34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+'11'!G37</f>
        <v>0</v>
      </c>
      <c r="D37" s="13">
        <v>0</v>
      </c>
      <c r="E37" s="12">
        <f t="shared" si="0"/>
        <v>0</v>
      </c>
      <c r="F37" s="13">
        <v>0</v>
      </c>
      <c r="G37" s="12">
        <f t="shared" si="1"/>
        <v>0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+'11'!G38</f>
        <v>0</v>
      </c>
      <c r="D38" s="13">
        <v>0</v>
      </c>
      <c r="E38" s="12">
        <f t="shared" si="0"/>
        <v>0</v>
      </c>
      <c r="F38" s="13">
        <v>0</v>
      </c>
      <c r="G38" s="12">
        <f t="shared" si="1"/>
        <v>0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+'11'!G39</f>
        <v>6</v>
      </c>
      <c r="D39" s="13">
        <v>0</v>
      </c>
      <c r="E39" s="12">
        <f t="shared" si="0"/>
        <v>6</v>
      </c>
      <c r="F39" s="13">
        <v>0</v>
      </c>
      <c r="G39" s="12">
        <f t="shared" si="1"/>
        <v>4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+'11'!G40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2</v>
      </c>
      <c r="H40" s="14">
        <v>3</v>
      </c>
      <c r="I40" s="15">
        <v>50</v>
      </c>
      <c r="J40" s="16">
        <f t="shared" si="2"/>
        <v>150</v>
      </c>
      <c r="K40" s="17" t="s">
        <v>16</v>
      </c>
      <c r="L40" s="18">
        <v>0</v>
      </c>
      <c r="M40" s="24">
        <f t="shared" si="5"/>
        <v>150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+'11'!G41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4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+'11'!G42</f>
        <v>2</v>
      </c>
      <c r="D42" s="13">
        <v>0</v>
      </c>
      <c r="E42" s="12">
        <f t="shared" si="0"/>
        <v>2</v>
      </c>
      <c r="F42" s="13">
        <v>0</v>
      </c>
      <c r="G42" s="12">
        <f t="shared" si="1"/>
        <v>2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+'11'!G43</f>
        <v>3</v>
      </c>
      <c r="D43" s="13">
        <v>0</v>
      </c>
      <c r="E43" s="12">
        <f t="shared" si="0"/>
        <v>3</v>
      </c>
      <c r="F43" s="13">
        <v>0</v>
      </c>
      <c r="G43" s="12">
        <f t="shared" si="1"/>
        <v>3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+'11'!G44</f>
        <v>2</v>
      </c>
      <c r="D44" s="13">
        <v>0</v>
      </c>
      <c r="E44" s="12">
        <f t="shared" si="0"/>
        <v>2</v>
      </c>
      <c r="F44" s="13">
        <v>0</v>
      </c>
      <c r="G44" s="12">
        <f t="shared" si="1"/>
        <v>1</v>
      </c>
      <c r="H44" s="14">
        <v>1</v>
      </c>
      <c r="I44" s="15">
        <v>50</v>
      </c>
      <c r="J44" s="16">
        <f t="shared" si="2"/>
        <v>50</v>
      </c>
      <c r="K44" s="17" t="s">
        <v>16</v>
      </c>
      <c r="L44" s="18">
        <v>0</v>
      </c>
      <c r="M44" s="24">
        <f t="shared" si="5"/>
        <v>50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+'11'!G45</f>
        <v>1</v>
      </c>
      <c r="D45" s="13">
        <v>0</v>
      </c>
      <c r="E45" s="12">
        <f t="shared" si="0"/>
        <v>1</v>
      </c>
      <c r="F45" s="13">
        <v>0</v>
      </c>
      <c r="G45" s="12">
        <f t="shared" si="1"/>
        <v>1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+'11'!G46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5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+'11'!G47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+'11'!G48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+'11'!G49</f>
        <v>6</v>
      </c>
      <c r="D49" s="13">
        <v>0</v>
      </c>
      <c r="E49" s="12">
        <f t="shared" si="0"/>
        <v>6</v>
      </c>
      <c r="F49" s="13">
        <v>0</v>
      </c>
      <c r="G49" s="12">
        <f t="shared" si="1"/>
        <v>6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+'11'!G61</f>
        <v>0</v>
      </c>
      <c r="D61" s="13">
        <v>0</v>
      </c>
      <c r="E61" s="12">
        <f t="shared" si="0"/>
        <v>0</v>
      </c>
      <c r="F61" s="13">
        <v>0</v>
      </c>
      <c r="G61" s="12">
        <f t="shared" si="1"/>
        <v>0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+'11'!G62</f>
        <v>0</v>
      </c>
      <c r="D62" s="13">
        <v>0</v>
      </c>
      <c r="E62" s="12">
        <f t="shared" si="0"/>
        <v>0</v>
      </c>
      <c r="F62" s="13">
        <v>0</v>
      </c>
      <c r="G62" s="12">
        <f t="shared" si="1"/>
        <v>0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+'11'!G63</f>
        <v>1</v>
      </c>
      <c r="D63" s="13">
        <v>0</v>
      </c>
      <c r="E63" s="12">
        <f>C63+D63</f>
        <v>1</v>
      </c>
      <c r="F63" s="13">
        <v>0</v>
      </c>
      <c r="G63" s="12">
        <f t="shared" si="1"/>
        <v>1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+'11'!G67</f>
        <v>0</v>
      </c>
      <c r="D67" s="13">
        <v>0</v>
      </c>
      <c r="E67" s="12">
        <f>C67+D67</f>
        <v>0</v>
      </c>
      <c r="F67" s="13">
        <v>0</v>
      </c>
      <c r="G67" s="12">
        <f t="shared" si="1"/>
        <v>0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+'11'!G70</f>
        <v>5</v>
      </c>
      <c r="D70" s="13">
        <v>0</v>
      </c>
      <c r="E70" s="12">
        <f t="shared" si="0"/>
        <v>5</v>
      </c>
      <c r="F70" s="13">
        <v>0</v>
      </c>
      <c r="G70" s="12">
        <f t="shared" si="1"/>
        <v>5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+'11'!G77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3</v>
      </c>
      <c r="H77" s="14">
        <v>1</v>
      </c>
      <c r="I77" s="21">
        <v>50</v>
      </c>
      <c r="J77" s="16">
        <f t="shared" si="11"/>
        <v>50</v>
      </c>
      <c r="K77" s="17" t="s">
        <v>16</v>
      </c>
      <c r="L77" s="18">
        <v>0</v>
      </c>
      <c r="M77" s="24">
        <f t="shared" si="9"/>
        <v>50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+'11'!G78</f>
        <v>1</v>
      </c>
      <c r="D78" s="13">
        <v>0</v>
      </c>
      <c r="E78" s="12">
        <f t="shared" si="0"/>
        <v>1</v>
      </c>
      <c r="F78" s="13">
        <v>0</v>
      </c>
      <c r="G78" s="12">
        <f t="shared" si="1"/>
        <v>0</v>
      </c>
      <c r="H78" s="14">
        <v>1</v>
      </c>
      <c r="I78" s="23">
        <v>120</v>
      </c>
      <c r="J78" s="16">
        <f t="shared" si="11"/>
        <v>120</v>
      </c>
      <c r="K78" s="17" t="s">
        <v>16</v>
      </c>
      <c r="L78" s="18">
        <v>0</v>
      </c>
      <c r="M78" s="24">
        <f t="shared" si="9"/>
        <v>120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+'11'!G79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2</v>
      </c>
      <c r="H79" s="14">
        <v>1</v>
      </c>
      <c r="I79" s="23">
        <v>50</v>
      </c>
      <c r="J79" s="16">
        <f t="shared" si="11"/>
        <v>50</v>
      </c>
      <c r="K79" s="17" t="s">
        <v>16</v>
      </c>
      <c r="L79" s="18">
        <v>0</v>
      </c>
      <c r="M79" s="24">
        <f t="shared" si="9"/>
        <v>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+'11'!G82</f>
        <v>2</v>
      </c>
      <c r="D82" s="13">
        <v>0</v>
      </c>
      <c r="E82" s="12">
        <f t="shared" si="0"/>
        <v>2</v>
      </c>
      <c r="F82" s="13">
        <v>0</v>
      </c>
      <c r="G82" s="12">
        <f t="shared" si="1"/>
        <v>1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+'11'!G85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+'11'!G87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5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+'11'!G88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+'11'!G90</f>
        <v>0</v>
      </c>
      <c r="D90" s="13">
        <v>0</v>
      </c>
      <c r="E90" s="12">
        <f t="shared" si="0"/>
        <v>0</v>
      </c>
      <c r="F90" s="13">
        <v>0</v>
      </c>
      <c r="G90" s="12">
        <f t="shared" si="1"/>
        <v>0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+'11'!G96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+'11'!G101</f>
        <v>0</v>
      </c>
      <c r="D101" s="13">
        <v>10</v>
      </c>
      <c r="E101" s="12">
        <f t="shared" si="13"/>
        <v>10</v>
      </c>
      <c r="F101" s="13">
        <v>0</v>
      </c>
      <c r="G101" s="12">
        <f t="shared" si="12"/>
        <v>10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+'11'!G102</f>
        <v>10</v>
      </c>
      <c r="D102" s="13">
        <v>0</v>
      </c>
      <c r="E102" s="12">
        <f t="shared" si="13"/>
        <v>10</v>
      </c>
      <c r="F102" s="13">
        <v>0</v>
      </c>
      <c r="G102" s="12">
        <f t="shared" si="12"/>
        <v>7</v>
      </c>
      <c r="H102" s="14">
        <v>3</v>
      </c>
      <c r="I102" s="21">
        <v>50</v>
      </c>
      <c r="J102" s="16">
        <f t="shared" si="11"/>
        <v>150</v>
      </c>
      <c r="K102" s="17" t="s">
        <v>16</v>
      </c>
      <c r="L102" s="18">
        <v>0</v>
      </c>
      <c r="M102" s="24">
        <f t="shared" si="9"/>
        <v>150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+'11'!G168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+'11'!G169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+'11'!G171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+'11'!G178</f>
        <v>0</v>
      </c>
      <c r="D178" s="13">
        <v>0</v>
      </c>
      <c r="E178" s="12">
        <f t="shared" si="13"/>
        <v>0</v>
      </c>
      <c r="F178" s="13">
        <v>0</v>
      </c>
      <c r="G178" s="12">
        <f t="shared" si="16"/>
        <v>0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+'11'!G191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+'11'!G199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+'11'!G202</f>
        <v>3</v>
      </c>
      <c r="D202" s="13">
        <v>0</v>
      </c>
      <c r="E202" s="12">
        <f t="shared" si="13"/>
        <v>3</v>
      </c>
      <c r="F202" s="13">
        <v>0</v>
      </c>
      <c r="G202" s="12">
        <f t="shared" si="16"/>
        <v>2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256</v>
      </c>
      <c r="C203" s="12">
        <f>+'11'!G203</f>
        <v>0</v>
      </c>
      <c r="D203" s="13">
        <v>0</v>
      </c>
      <c r="E203" s="12">
        <f t="shared" si="13"/>
        <v>0</v>
      </c>
      <c r="F203" s="13">
        <v>0</v>
      </c>
      <c r="G203" s="12">
        <f t="shared" si="16"/>
        <v>0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 t="s">
        <v>265</v>
      </c>
      <c r="C204" s="12">
        <f>+'11'!G204</f>
        <v>15</v>
      </c>
      <c r="D204" s="13">
        <v>0</v>
      </c>
      <c r="E204" s="12">
        <f t="shared" si="13"/>
        <v>15</v>
      </c>
      <c r="F204" s="13">
        <v>0</v>
      </c>
      <c r="G204" s="12">
        <f t="shared" si="16"/>
        <v>15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266</v>
      </c>
      <c r="C205" s="12">
        <f>+'11'!G205</f>
        <v>18</v>
      </c>
      <c r="D205" s="13">
        <v>0</v>
      </c>
      <c r="E205" s="12">
        <f t="shared" si="13"/>
        <v>18</v>
      </c>
      <c r="F205" s="13">
        <v>0</v>
      </c>
      <c r="G205" s="12">
        <f t="shared" si="16"/>
        <v>18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277</v>
      </c>
      <c r="C206" s="12">
        <f>+'11'!G206</f>
        <v>0</v>
      </c>
      <c r="D206" s="13">
        <v>5</v>
      </c>
      <c r="E206" s="12">
        <f t="shared" ref="E206:E207" si="19">C206+D206</f>
        <v>5</v>
      </c>
      <c r="F206" s="13">
        <v>0</v>
      </c>
      <c r="G206" s="12">
        <f t="shared" ref="G206:G207" si="20">E206-F206-H206</f>
        <v>5</v>
      </c>
      <c r="H206" s="14">
        <v>0</v>
      </c>
      <c r="I206" s="15">
        <v>50</v>
      </c>
      <c r="J206" s="16">
        <f t="shared" ref="J206:J207" si="21">+I206*H206</f>
        <v>0</v>
      </c>
      <c r="K206" s="17" t="s">
        <v>16</v>
      </c>
      <c r="L206" s="18">
        <v>0</v>
      </c>
      <c r="M206" s="24">
        <f t="shared" ref="M206:M207" si="22">SUM(J206-L206)</f>
        <v>0</v>
      </c>
    </row>
    <row r="207" spans="1:14" ht="25.5">
      <c r="A207" s="10">
        <v>203</v>
      </c>
      <c r="B207" s="20" t="s">
        <v>278</v>
      </c>
      <c r="C207" s="12">
        <f>+'11'!G207</f>
        <v>0</v>
      </c>
      <c r="D207" s="13">
        <v>10</v>
      </c>
      <c r="E207" s="12">
        <f t="shared" si="19"/>
        <v>10</v>
      </c>
      <c r="F207" s="13">
        <v>0</v>
      </c>
      <c r="G207" s="12">
        <f t="shared" si="20"/>
        <v>9</v>
      </c>
      <c r="H207" s="14">
        <v>1</v>
      </c>
      <c r="I207" s="15">
        <v>50</v>
      </c>
      <c r="J207" s="16">
        <f t="shared" si="21"/>
        <v>50</v>
      </c>
      <c r="K207" s="17" t="s">
        <v>16</v>
      </c>
      <c r="L207" s="18">
        <v>0</v>
      </c>
      <c r="M207" s="24">
        <f t="shared" si="22"/>
        <v>50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223</v>
      </c>
      <c r="N208" s="154"/>
    </row>
    <row r="209" spans="1:17" ht="25.5" customHeight="1">
      <c r="A209" s="1"/>
      <c r="C209" s="25"/>
      <c r="D209" s="26"/>
      <c r="E209" s="25"/>
      <c r="F209" s="26"/>
      <c r="G209" s="25"/>
      <c r="H209" s="152" t="s">
        <v>224</v>
      </c>
      <c r="I209" s="153"/>
      <c r="J209" s="31">
        <f>+X107</f>
        <v>0</v>
      </c>
      <c r="K209" s="28"/>
      <c r="L209" s="30"/>
    </row>
    <row r="210" spans="1:17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2475</v>
      </c>
    </row>
    <row r="211" spans="1:17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7" ht="25.5">
      <c r="A212" s="1"/>
      <c r="C212" s="32"/>
      <c r="E212" s="32"/>
      <c r="G212" s="32"/>
      <c r="I212" s="35" t="s">
        <v>214</v>
      </c>
      <c r="J212" s="36"/>
      <c r="K212" s="37">
        <f>SUM(L212:BO212)</f>
        <v>820</v>
      </c>
      <c r="L212" s="2">
        <v>300</v>
      </c>
      <c r="M212" s="2">
        <v>150</v>
      </c>
      <c r="N212" s="2">
        <v>100</v>
      </c>
      <c r="O212" s="2">
        <v>50</v>
      </c>
      <c r="P212" s="2">
        <v>100</v>
      </c>
      <c r="Q212" s="2">
        <v>120</v>
      </c>
    </row>
    <row r="213" spans="1:17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7" ht="25.5">
      <c r="A214" s="1"/>
      <c r="B214" s="2" t="s">
        <v>276</v>
      </c>
      <c r="C214" s="32"/>
      <c r="E214" s="32"/>
      <c r="G214" s="32"/>
      <c r="I214" s="136" t="s">
        <v>216</v>
      </c>
      <c r="J214" s="137"/>
      <c r="K214" s="37">
        <f>SUM(L214:N214)</f>
        <v>55</v>
      </c>
      <c r="L214" s="2">
        <v>55</v>
      </c>
    </row>
    <row r="215" spans="1:17" ht="25.5">
      <c r="A215" s="1"/>
      <c r="C215" s="32"/>
      <c r="E215" s="32"/>
      <c r="G215" s="32"/>
      <c r="I215" s="136" t="s">
        <v>217</v>
      </c>
      <c r="J215" s="137"/>
      <c r="K215" s="38">
        <f>SUM(L5:L208)</f>
        <v>100</v>
      </c>
    </row>
    <row r="216" spans="1:17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1485</v>
      </c>
    </row>
    <row r="217" spans="1:17" ht="25.5">
      <c r="A217" s="1"/>
      <c r="C217" s="32"/>
      <c r="E217" s="32"/>
      <c r="G217" s="32"/>
      <c r="I217" s="136" t="s">
        <v>219</v>
      </c>
      <c r="J217" s="137"/>
      <c r="K217" s="38">
        <v>1485</v>
      </c>
    </row>
    <row r="218" spans="1:17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7" ht="25.5">
      <c r="G219" s="2"/>
      <c r="I219" s="136" t="s">
        <v>221</v>
      </c>
      <c r="J219" s="137"/>
      <c r="K219" s="34">
        <f>+K217-K216</f>
        <v>0</v>
      </c>
    </row>
    <row r="220" spans="1:17">
      <c r="G220" s="2"/>
      <c r="I220" s="2"/>
    </row>
    <row r="221" spans="1:17">
      <c r="G221" s="2"/>
      <c r="I221" s="2"/>
      <c r="J221" s="96" t="s">
        <v>261</v>
      </c>
      <c r="K221" s="24">
        <f>+K210-K215+K218</f>
        <v>2375</v>
      </c>
    </row>
    <row r="222" spans="1:17">
      <c r="G222" s="2"/>
      <c r="I222" s="2"/>
      <c r="J222" s="2" t="s">
        <v>262</v>
      </c>
      <c r="K222" s="24">
        <f>SUM(K211:K214)</f>
        <v>890</v>
      </c>
    </row>
    <row r="223" spans="1:17">
      <c r="G223" s="2"/>
      <c r="I223" s="2"/>
      <c r="J223" s="2" t="s">
        <v>263</v>
      </c>
      <c r="K223" s="24">
        <f>+K217</f>
        <v>1485</v>
      </c>
    </row>
    <row r="224" spans="1:17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715F8-08C0-4B3B-81EA-EE401E10DEB7}">
  <sheetPr>
    <tabColor theme="5" tint="0.79998168889431442"/>
  </sheetPr>
  <dimension ref="A1:Z294"/>
  <sheetViews>
    <sheetView topLeftCell="A198" zoomScaleNormal="100" workbookViewId="0">
      <selection activeCell="I202" sqref="I202:I20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5.710937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+'12'!G5</f>
        <v>17</v>
      </c>
      <c r="D5" s="13">
        <v>0</v>
      </c>
      <c r="E5" s="12">
        <f t="shared" ref="E5:E94" si="0">C5+D5</f>
        <v>17</v>
      </c>
      <c r="F5" s="13">
        <v>4</v>
      </c>
      <c r="G5" s="12">
        <f t="shared" ref="G5:G94" si="1">E5-F5-H5</f>
        <v>13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+'12'!G6</f>
        <v>6</v>
      </c>
      <c r="D6" s="13">
        <v>20</v>
      </c>
      <c r="E6" s="12">
        <f t="shared" si="0"/>
        <v>26</v>
      </c>
      <c r="F6" s="13">
        <v>0</v>
      </c>
      <c r="G6" s="12">
        <f t="shared" si="1"/>
        <v>22</v>
      </c>
      <c r="H6" s="14">
        <v>4</v>
      </c>
      <c r="I6" s="15">
        <v>100</v>
      </c>
      <c r="J6" s="16">
        <f t="shared" si="2"/>
        <v>400</v>
      </c>
      <c r="K6" s="17" t="s">
        <v>16</v>
      </c>
      <c r="L6" s="18">
        <v>0</v>
      </c>
      <c r="M6" s="24">
        <f t="shared" ref="M6:M69" si="5">SUM(J6-L6)</f>
        <v>400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+'12'!G12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13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+'12'!G14</f>
        <v>1</v>
      </c>
      <c r="D14" s="13">
        <v>3</v>
      </c>
      <c r="E14" s="12">
        <f t="shared" si="0"/>
        <v>4</v>
      </c>
      <c r="F14" s="13">
        <v>0</v>
      </c>
      <c r="G14" s="12">
        <f t="shared" si="1"/>
        <v>4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+'12'!G15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+'12'!G17</f>
        <v>5</v>
      </c>
      <c r="D17" s="13">
        <v>0</v>
      </c>
      <c r="E17" s="12">
        <f t="shared" si="0"/>
        <v>5</v>
      </c>
      <c r="F17" s="13">
        <v>0</v>
      </c>
      <c r="G17" s="12">
        <f t="shared" si="1"/>
        <v>4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+'12'!G19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+'12'!G22</f>
        <v>2</v>
      </c>
      <c r="D22" s="13">
        <v>3</v>
      </c>
      <c r="E22" s="12">
        <f>C22+D22</f>
        <v>5</v>
      </c>
      <c r="F22" s="13">
        <v>2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+'12'!G23</f>
        <v>4</v>
      </c>
      <c r="D23" s="13">
        <v>10</v>
      </c>
      <c r="E23" s="12">
        <f>C23+D23</f>
        <v>14</v>
      </c>
      <c r="F23" s="13">
        <v>0</v>
      </c>
      <c r="G23" s="12">
        <f>E23-F23-H23</f>
        <v>13</v>
      </c>
      <c r="H23" s="14">
        <v>1</v>
      </c>
      <c r="I23" s="15">
        <v>100</v>
      </c>
      <c r="J23" s="16">
        <f t="shared" si="2"/>
        <v>100</v>
      </c>
      <c r="K23" s="17" t="s">
        <v>16</v>
      </c>
      <c r="L23" s="18">
        <v>0</v>
      </c>
      <c r="M23" s="24">
        <f t="shared" si="5"/>
        <v>100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+'12'!G24</f>
        <v>7</v>
      </c>
      <c r="D24" s="13">
        <v>0</v>
      </c>
      <c r="E24" s="12">
        <f t="shared" si="0"/>
        <v>7</v>
      </c>
      <c r="F24" s="13">
        <v>0</v>
      </c>
      <c r="G24" s="12">
        <f t="shared" si="1"/>
        <v>5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+'12'!G29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+'12'!G34</f>
        <v>1</v>
      </c>
      <c r="D34" s="13">
        <v>3</v>
      </c>
      <c r="E34" s="12">
        <f t="shared" si="0"/>
        <v>4</v>
      </c>
      <c r="F34" s="13">
        <v>0</v>
      </c>
      <c r="G34" s="12">
        <f t="shared" si="1"/>
        <v>2</v>
      </c>
      <c r="H34" s="14">
        <v>2</v>
      </c>
      <c r="I34" s="15">
        <v>130</v>
      </c>
      <c r="J34" s="16">
        <f t="shared" si="2"/>
        <v>260</v>
      </c>
      <c r="K34" s="17" t="s">
        <v>16</v>
      </c>
      <c r="L34" s="18">
        <v>0</v>
      </c>
      <c r="M34" s="24">
        <f t="shared" si="5"/>
        <v>260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+'12'!G37</f>
        <v>0</v>
      </c>
      <c r="D37" s="13">
        <v>10</v>
      </c>
      <c r="E37" s="12">
        <f t="shared" si="0"/>
        <v>10</v>
      </c>
      <c r="F37" s="13">
        <v>0</v>
      </c>
      <c r="G37" s="12">
        <f t="shared" si="1"/>
        <v>5</v>
      </c>
      <c r="H37" s="14">
        <v>5</v>
      </c>
      <c r="I37" s="15">
        <v>100</v>
      </c>
      <c r="J37" s="16">
        <f t="shared" si="2"/>
        <v>500</v>
      </c>
      <c r="K37" s="17" t="s">
        <v>279</v>
      </c>
      <c r="L37" s="18">
        <v>20</v>
      </c>
      <c r="M37" s="24">
        <f t="shared" si="5"/>
        <v>480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+'12'!G38</f>
        <v>0</v>
      </c>
      <c r="D38" s="13">
        <v>5</v>
      </c>
      <c r="E38" s="12">
        <f t="shared" si="0"/>
        <v>5</v>
      </c>
      <c r="F38" s="13">
        <v>0</v>
      </c>
      <c r="G38" s="12">
        <f t="shared" si="1"/>
        <v>5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+'12'!G39</f>
        <v>4</v>
      </c>
      <c r="D39" s="13">
        <v>3</v>
      </c>
      <c r="E39" s="12">
        <f t="shared" si="0"/>
        <v>7</v>
      </c>
      <c r="F39" s="13">
        <v>0</v>
      </c>
      <c r="G39" s="12">
        <f t="shared" si="1"/>
        <v>7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+'12'!G40</f>
        <v>2</v>
      </c>
      <c r="D40" s="13">
        <v>3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+'12'!G41</f>
        <v>4</v>
      </c>
      <c r="D41" s="13">
        <v>0</v>
      </c>
      <c r="E41" s="12">
        <f t="shared" si="0"/>
        <v>4</v>
      </c>
      <c r="F41" s="13">
        <v>0</v>
      </c>
      <c r="G41" s="12">
        <f t="shared" si="1"/>
        <v>3</v>
      </c>
      <c r="H41" s="14">
        <v>1</v>
      </c>
      <c r="I41" s="15">
        <v>50</v>
      </c>
      <c r="J41" s="16">
        <f t="shared" si="2"/>
        <v>50</v>
      </c>
      <c r="K41" s="17" t="s">
        <v>16</v>
      </c>
      <c r="L41" s="18">
        <v>0</v>
      </c>
      <c r="M41" s="24">
        <f t="shared" si="5"/>
        <v>50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+'12'!G42</f>
        <v>2</v>
      </c>
      <c r="D42" s="13">
        <v>0</v>
      </c>
      <c r="E42" s="12">
        <f t="shared" si="0"/>
        <v>2</v>
      </c>
      <c r="F42" s="13">
        <v>2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+'12'!G43</f>
        <v>3</v>
      </c>
      <c r="D43" s="13">
        <v>0</v>
      </c>
      <c r="E43" s="12">
        <f t="shared" si="0"/>
        <v>3</v>
      </c>
      <c r="F43" s="13">
        <v>3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+'12'!G44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+'12'!G45</f>
        <v>1</v>
      </c>
      <c r="D45" s="13">
        <v>0</v>
      </c>
      <c r="E45" s="12">
        <f t="shared" si="0"/>
        <v>1</v>
      </c>
      <c r="F45" s="13">
        <v>1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+'12'!G46</f>
        <v>5</v>
      </c>
      <c r="D46" s="13">
        <v>0</v>
      </c>
      <c r="E46" s="12">
        <f t="shared" si="0"/>
        <v>5</v>
      </c>
      <c r="F46" s="13">
        <v>0</v>
      </c>
      <c r="G46" s="12">
        <f t="shared" si="1"/>
        <v>4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+'12'!G47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+'12'!G48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+'12'!G49</f>
        <v>6</v>
      </c>
      <c r="D49" s="13">
        <v>0</v>
      </c>
      <c r="E49" s="12">
        <f t="shared" si="0"/>
        <v>6</v>
      </c>
      <c r="F49" s="13">
        <v>6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+'12'!G61</f>
        <v>0</v>
      </c>
      <c r="D61" s="13">
        <v>3</v>
      </c>
      <c r="E61" s="12">
        <f t="shared" si="0"/>
        <v>3</v>
      </c>
      <c r="F61" s="13">
        <v>0</v>
      </c>
      <c r="G61" s="12">
        <f t="shared" si="1"/>
        <v>3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+'12'!G62</f>
        <v>0</v>
      </c>
      <c r="D62" s="13">
        <v>3</v>
      </c>
      <c r="E62" s="12">
        <f t="shared" si="0"/>
        <v>3</v>
      </c>
      <c r="F62" s="13">
        <v>0</v>
      </c>
      <c r="G62" s="12">
        <f t="shared" si="1"/>
        <v>3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+'12'!G63</f>
        <v>1</v>
      </c>
      <c r="D63" s="13">
        <v>3</v>
      </c>
      <c r="E63" s="12">
        <f>C63+D63</f>
        <v>4</v>
      </c>
      <c r="F63" s="13">
        <v>0</v>
      </c>
      <c r="G63" s="12">
        <f t="shared" si="1"/>
        <v>4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+'12'!G67</f>
        <v>0</v>
      </c>
      <c r="D67" s="13">
        <v>5</v>
      </c>
      <c r="E67" s="12">
        <f>C67+D67</f>
        <v>5</v>
      </c>
      <c r="F67" s="13">
        <v>0</v>
      </c>
      <c r="G67" s="12">
        <f t="shared" si="1"/>
        <v>4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+'12'!G70</f>
        <v>5</v>
      </c>
      <c r="D70" s="13">
        <v>5</v>
      </c>
      <c r="E70" s="12">
        <f t="shared" si="0"/>
        <v>10</v>
      </c>
      <c r="F70" s="13">
        <v>0</v>
      </c>
      <c r="G70" s="12">
        <f t="shared" si="1"/>
        <v>8</v>
      </c>
      <c r="H70" s="14">
        <v>2</v>
      </c>
      <c r="I70" s="21">
        <v>50</v>
      </c>
      <c r="J70" s="16">
        <f t="shared" si="2"/>
        <v>100</v>
      </c>
      <c r="K70" s="17" t="s">
        <v>16</v>
      </c>
      <c r="L70" s="18">
        <v>0</v>
      </c>
      <c r="M70" s="24">
        <f t="shared" ref="M70:M133" si="9">SUM(J70-L70)</f>
        <v>100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+'12'!G77</f>
        <v>3</v>
      </c>
      <c r="D77" s="13">
        <v>5</v>
      </c>
      <c r="E77" s="12">
        <f t="shared" si="0"/>
        <v>8</v>
      </c>
      <c r="F77" s="13">
        <v>2</v>
      </c>
      <c r="G77" s="12">
        <f t="shared" si="1"/>
        <v>4</v>
      </c>
      <c r="H77" s="14">
        <v>2</v>
      </c>
      <c r="I77" s="21">
        <v>50</v>
      </c>
      <c r="J77" s="16">
        <f t="shared" si="11"/>
        <v>100</v>
      </c>
      <c r="K77" s="17" t="s">
        <v>16</v>
      </c>
      <c r="L77" s="18">
        <v>0</v>
      </c>
      <c r="M77" s="24">
        <f t="shared" si="9"/>
        <v>100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+'12'!G79</f>
        <v>2</v>
      </c>
      <c r="D79" s="13">
        <v>5</v>
      </c>
      <c r="E79" s="12">
        <f t="shared" si="0"/>
        <v>7</v>
      </c>
      <c r="F79" s="13">
        <v>0</v>
      </c>
      <c r="G79" s="12">
        <f t="shared" si="1"/>
        <v>7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+'12'!G82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1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+'12'!G85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9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+'12'!G87</f>
        <v>5</v>
      </c>
      <c r="D87" s="13">
        <v>0</v>
      </c>
      <c r="E87" s="12">
        <f t="shared" si="0"/>
        <v>5</v>
      </c>
      <c r="F87" s="13">
        <v>0</v>
      </c>
      <c r="G87" s="12">
        <f t="shared" si="1"/>
        <v>4</v>
      </c>
      <c r="H87" s="14">
        <v>1</v>
      </c>
      <c r="I87" s="21">
        <v>60</v>
      </c>
      <c r="J87" s="16">
        <f t="shared" si="11"/>
        <v>60</v>
      </c>
      <c r="K87" s="17" t="s">
        <v>16</v>
      </c>
      <c r="L87" s="18">
        <v>0</v>
      </c>
      <c r="M87" s="24">
        <f t="shared" si="9"/>
        <v>60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+'12'!G88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6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+'12'!G90</f>
        <v>0</v>
      </c>
      <c r="D90" s="13">
        <v>3</v>
      </c>
      <c r="E90" s="12">
        <f t="shared" si="0"/>
        <v>3</v>
      </c>
      <c r="F90" s="13">
        <v>0</v>
      </c>
      <c r="G90" s="12">
        <f t="shared" si="1"/>
        <v>3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+'12'!G91</f>
        <v>0</v>
      </c>
      <c r="D91" s="13">
        <v>3</v>
      </c>
      <c r="E91" s="12">
        <f t="shared" si="0"/>
        <v>3</v>
      </c>
      <c r="F91" s="13">
        <v>0</v>
      </c>
      <c r="G91" s="12">
        <f t="shared" si="1"/>
        <v>3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+'12'!G96</f>
        <v>0</v>
      </c>
      <c r="D96" s="13">
        <v>0</v>
      </c>
      <c r="E96" s="12">
        <f t="shared" ref="E96:E205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+'12'!G101</f>
        <v>10</v>
      </c>
      <c r="D101" s="13">
        <v>0</v>
      </c>
      <c r="E101" s="12">
        <f t="shared" si="13"/>
        <v>10</v>
      </c>
      <c r="F101" s="13">
        <v>0</v>
      </c>
      <c r="G101" s="12">
        <f t="shared" si="12"/>
        <v>9</v>
      </c>
      <c r="H101" s="14">
        <v>1</v>
      </c>
      <c r="I101" s="21">
        <v>55</v>
      </c>
      <c r="J101" s="16">
        <f t="shared" si="11"/>
        <v>55</v>
      </c>
      <c r="K101" s="17" t="s">
        <v>16</v>
      </c>
      <c r="L101" s="18">
        <v>0</v>
      </c>
      <c r="M101" s="24">
        <f t="shared" si="9"/>
        <v>55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+'12'!G102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5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+'12'!G168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+'12'!G171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+'12'!G178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2</v>
      </c>
      <c r="H178" s="14">
        <v>3</v>
      </c>
      <c r="I178" s="21">
        <v>120</v>
      </c>
      <c r="J178" s="16">
        <f t="shared" si="15"/>
        <v>360</v>
      </c>
      <c r="K178" s="17" t="s">
        <v>16</v>
      </c>
      <c r="L178" s="18">
        <v>0</v>
      </c>
      <c r="M178" s="24">
        <f t="shared" si="14"/>
        <v>360</v>
      </c>
    </row>
    <row r="179" spans="1:13" ht="25.5">
      <c r="A179" s="10">
        <v>175</v>
      </c>
      <c r="B179" s="20" t="s">
        <v>190</v>
      </c>
      <c r="C179" s="12">
        <f>+'12'!G179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+'12'!G191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5" si="17">SUM(J198-L198)</f>
        <v>0</v>
      </c>
    </row>
    <row r="199" spans="1:14" ht="25.5">
      <c r="A199" s="10">
        <v>195</v>
      </c>
      <c r="B199" s="20" t="s">
        <v>210</v>
      </c>
      <c r="C199" s="12">
        <f>+'12'!G199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5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+'12'!G202</f>
        <v>2</v>
      </c>
      <c r="D202" s="13">
        <v>4</v>
      </c>
      <c r="E202" s="12">
        <f t="shared" si="13"/>
        <v>6</v>
      </c>
      <c r="F202" s="13">
        <v>2</v>
      </c>
      <c r="G202" s="12">
        <f t="shared" si="16"/>
        <v>2</v>
      </c>
      <c r="H202" s="14">
        <v>2</v>
      </c>
      <c r="I202" s="15">
        <v>250</v>
      </c>
      <c r="J202" s="16">
        <f t="shared" si="18"/>
        <v>500</v>
      </c>
      <c r="K202" s="17" t="s">
        <v>16</v>
      </c>
      <c r="L202" s="18">
        <v>0</v>
      </c>
      <c r="M202" s="24">
        <f t="shared" si="17"/>
        <v>500</v>
      </c>
    </row>
    <row r="203" spans="1:14" ht="25.5">
      <c r="A203" s="10">
        <v>199</v>
      </c>
      <c r="B203" s="20" t="s">
        <v>256</v>
      </c>
      <c r="C203" s="12">
        <f>+'12'!G203</f>
        <v>0</v>
      </c>
      <c r="D203" s="13">
        <v>14</v>
      </c>
      <c r="E203" s="12">
        <f t="shared" si="13"/>
        <v>14</v>
      </c>
      <c r="F203" s="13">
        <v>0</v>
      </c>
      <c r="G203" s="12">
        <f t="shared" si="16"/>
        <v>12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265</v>
      </c>
      <c r="C204" s="12">
        <f>+'12'!G204</f>
        <v>15</v>
      </c>
      <c r="D204" s="13">
        <v>0</v>
      </c>
      <c r="E204" s="12">
        <f t="shared" si="13"/>
        <v>15</v>
      </c>
      <c r="F204" s="13">
        <v>15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266</v>
      </c>
      <c r="C205" s="12">
        <f>+'12'!G205</f>
        <v>18</v>
      </c>
      <c r="D205" s="13">
        <v>0</v>
      </c>
      <c r="E205" s="12">
        <f t="shared" si="13"/>
        <v>18</v>
      </c>
      <c r="F205" s="13">
        <v>18</v>
      </c>
      <c r="G205" s="12">
        <f t="shared" si="16"/>
        <v>0</v>
      </c>
      <c r="H205" s="14">
        <v>0</v>
      </c>
      <c r="I205" s="15">
        <v>60</v>
      </c>
      <c r="J205" s="16">
        <f t="shared" si="18"/>
        <v>0</v>
      </c>
      <c r="K205" s="17" t="s">
        <v>16</v>
      </c>
      <c r="L205" s="18">
        <v>0</v>
      </c>
      <c r="M205" s="24">
        <f t="shared" si="17"/>
        <v>0</v>
      </c>
    </row>
    <row r="206" spans="1:14" ht="25.5">
      <c r="A206" s="10">
        <v>202</v>
      </c>
      <c r="B206" s="20" t="s">
        <v>277</v>
      </c>
      <c r="C206" s="12">
        <f>+'12'!G206</f>
        <v>5</v>
      </c>
      <c r="D206" s="13">
        <v>0</v>
      </c>
      <c r="E206" s="12">
        <f t="shared" ref="E206:E207" si="19">C206+D206</f>
        <v>5</v>
      </c>
      <c r="F206" s="13">
        <v>0</v>
      </c>
      <c r="G206" s="12">
        <f t="shared" ref="G206:G207" si="20">E206-F206-H206</f>
        <v>5</v>
      </c>
      <c r="H206" s="14">
        <v>0</v>
      </c>
      <c r="I206" s="15">
        <v>60</v>
      </c>
      <c r="J206" s="16">
        <f t="shared" ref="J206:J207" si="21">+I206*H206</f>
        <v>0</v>
      </c>
      <c r="K206" s="17" t="s">
        <v>16</v>
      </c>
      <c r="L206" s="18">
        <v>0</v>
      </c>
      <c r="M206" s="24">
        <f t="shared" ref="M206:M207" si="22">SUM(J206-L206)</f>
        <v>0</v>
      </c>
    </row>
    <row r="207" spans="1:14" ht="25.5">
      <c r="A207" s="10">
        <v>203</v>
      </c>
      <c r="B207" s="20" t="s">
        <v>278</v>
      </c>
      <c r="C207" s="12">
        <f>+'12'!G207</f>
        <v>9</v>
      </c>
      <c r="D207" s="13">
        <v>0</v>
      </c>
      <c r="E207" s="12">
        <f t="shared" si="19"/>
        <v>9</v>
      </c>
      <c r="F207" s="13">
        <v>0</v>
      </c>
      <c r="G207" s="12">
        <f t="shared" si="20"/>
        <v>9</v>
      </c>
      <c r="H207" s="14">
        <v>0</v>
      </c>
      <c r="I207" s="15">
        <v>60</v>
      </c>
      <c r="J207" s="16">
        <f t="shared" si="21"/>
        <v>0</v>
      </c>
      <c r="K207" s="17" t="s">
        <v>16</v>
      </c>
      <c r="L207" s="18">
        <v>0</v>
      </c>
      <c r="M207" s="24">
        <f t="shared" si="22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223</v>
      </c>
      <c r="N208" s="154"/>
    </row>
    <row r="209" spans="1:13" ht="25.5" customHeight="1">
      <c r="A209" s="1"/>
      <c r="C209" s="25"/>
      <c r="D209" s="26"/>
      <c r="E209" s="25"/>
      <c r="F209" s="26"/>
      <c r="G209" s="25"/>
      <c r="H209" s="152" t="s">
        <v>224</v>
      </c>
      <c r="I209" s="153"/>
      <c r="J209" s="31">
        <f>+X107</f>
        <v>0</v>
      </c>
      <c r="K209" s="28"/>
      <c r="L209" s="30"/>
    </row>
    <row r="210" spans="1:13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3075</v>
      </c>
    </row>
    <row r="211" spans="1:13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3" ht="25.5">
      <c r="A212" s="1"/>
      <c r="C212" s="32"/>
      <c r="E212" s="32"/>
      <c r="G212" s="32"/>
      <c r="I212" s="35" t="s">
        <v>214</v>
      </c>
      <c r="J212" s="36"/>
      <c r="K212" s="37">
        <f>SUM(L212:BO212)</f>
        <v>230</v>
      </c>
      <c r="L212" s="2">
        <v>80</v>
      </c>
      <c r="M212" s="2">
        <v>150</v>
      </c>
    </row>
    <row r="213" spans="1:13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3" ht="25.5">
      <c r="A214" s="1"/>
      <c r="C214" s="32"/>
      <c r="E214" s="32"/>
      <c r="G214" s="32"/>
      <c r="I214" s="136" t="s">
        <v>216</v>
      </c>
      <c r="J214" s="137"/>
      <c r="K214" s="37">
        <v>0</v>
      </c>
    </row>
    <row r="215" spans="1:13" ht="25.5">
      <c r="A215" s="1"/>
      <c r="C215" s="32"/>
      <c r="E215" s="32"/>
      <c r="G215" s="32"/>
      <c r="I215" s="136" t="s">
        <v>217</v>
      </c>
      <c r="J215" s="137"/>
      <c r="K215" s="38">
        <f>SUM(L5:L208)</f>
        <v>20</v>
      </c>
    </row>
    <row r="216" spans="1:13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2810</v>
      </c>
    </row>
    <row r="217" spans="1:13" ht="25.5">
      <c r="A217" s="1"/>
      <c r="C217" s="32"/>
      <c r="E217" s="32"/>
      <c r="G217" s="32"/>
      <c r="I217" s="136" t="s">
        <v>219</v>
      </c>
      <c r="J217" s="137"/>
      <c r="K217" s="38">
        <v>2810</v>
      </c>
    </row>
    <row r="218" spans="1:13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3" ht="25.5">
      <c r="G219" s="2"/>
      <c r="I219" s="136" t="s">
        <v>221</v>
      </c>
      <c r="J219" s="137"/>
      <c r="K219" s="34">
        <f>+K217-K216</f>
        <v>0</v>
      </c>
    </row>
    <row r="220" spans="1:13">
      <c r="G220" s="2"/>
      <c r="I220" s="2"/>
    </row>
    <row r="221" spans="1:13">
      <c r="G221" s="2"/>
      <c r="I221" s="2"/>
      <c r="J221" s="96" t="s">
        <v>261</v>
      </c>
      <c r="K221" s="24">
        <f>+K210-K215+K218</f>
        <v>3055</v>
      </c>
    </row>
    <row r="222" spans="1:13">
      <c r="G222" s="2"/>
      <c r="I222" s="2"/>
      <c r="J222" s="2" t="s">
        <v>262</v>
      </c>
      <c r="K222" s="24">
        <f>SUM(K211:K214)</f>
        <v>245</v>
      </c>
    </row>
    <row r="223" spans="1:13">
      <c r="G223" s="2"/>
      <c r="I223" s="2"/>
      <c r="J223" s="2" t="s">
        <v>263</v>
      </c>
      <c r="K223" s="24">
        <f>+K217</f>
        <v>2810</v>
      </c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9E3B7-E9AC-424A-9B60-991030E554D6}">
  <sheetPr>
    <tabColor theme="5" tint="0.79998168889431442"/>
  </sheetPr>
  <dimension ref="A1:Z294"/>
  <sheetViews>
    <sheetView zoomScaleNormal="100" workbookViewId="0">
      <pane ySplit="4" topLeftCell="A200" activePane="bottomLeft" state="frozen"/>
      <selection pane="bottomLeft" activeCell="I204" sqref="I204:I207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21.5703125" style="2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+'13'!G5</f>
        <v>13</v>
      </c>
      <c r="D5" s="13">
        <v>40</v>
      </c>
      <c r="E5" s="12">
        <f t="shared" ref="E5:E94" si="0">C5+D5</f>
        <v>53</v>
      </c>
      <c r="F5" s="13">
        <v>0</v>
      </c>
      <c r="G5" s="12">
        <f t="shared" ref="G5:G94" si="1">E5-F5-H5</f>
        <v>11</v>
      </c>
      <c r="H5" s="14">
        <v>42</v>
      </c>
      <c r="I5" s="15">
        <v>50</v>
      </c>
      <c r="J5" s="16">
        <f t="shared" ref="J5:J70" si="2">+I5*H5</f>
        <v>2100</v>
      </c>
      <c r="K5" s="17" t="s">
        <v>16</v>
      </c>
      <c r="L5" s="18">
        <v>0</v>
      </c>
      <c r="M5" s="24">
        <f>SUM(J5-L5)</f>
        <v>2100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+'13'!G6</f>
        <v>22</v>
      </c>
      <c r="D6" s="13">
        <v>0</v>
      </c>
      <c r="E6" s="12">
        <f t="shared" si="0"/>
        <v>22</v>
      </c>
      <c r="F6" s="13">
        <v>0</v>
      </c>
      <c r="G6" s="12">
        <f t="shared" si="1"/>
        <v>17</v>
      </c>
      <c r="H6" s="14">
        <v>5</v>
      </c>
      <c r="I6" s="15">
        <v>100</v>
      </c>
      <c r="J6" s="16">
        <f t="shared" si="2"/>
        <v>500</v>
      </c>
      <c r="K6" s="17" t="s">
        <v>16</v>
      </c>
      <c r="L6" s="18">
        <v>0</v>
      </c>
      <c r="M6" s="24">
        <f t="shared" ref="M6:M69" si="5">SUM(J6-L6)</f>
        <v>500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+'13'!G12</f>
        <v>13</v>
      </c>
      <c r="D12" s="13">
        <v>0</v>
      </c>
      <c r="E12" s="12">
        <f t="shared" si="0"/>
        <v>13</v>
      </c>
      <c r="F12" s="13">
        <v>0</v>
      </c>
      <c r="G12" s="12">
        <f t="shared" si="1"/>
        <v>7</v>
      </c>
      <c r="H12" s="14">
        <v>6</v>
      </c>
      <c r="I12" s="21">
        <v>50</v>
      </c>
      <c r="J12" s="16">
        <f t="shared" si="2"/>
        <v>300</v>
      </c>
      <c r="K12" s="17" t="s">
        <v>16</v>
      </c>
      <c r="L12" s="18">
        <v>0</v>
      </c>
      <c r="M12" s="24">
        <f t="shared" si="5"/>
        <v>300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+'13'!G14</f>
        <v>4</v>
      </c>
      <c r="D14" s="13">
        <v>0</v>
      </c>
      <c r="E14" s="12">
        <f t="shared" si="0"/>
        <v>4</v>
      </c>
      <c r="F14" s="13">
        <v>0</v>
      </c>
      <c r="G14" s="12">
        <f t="shared" si="1"/>
        <v>3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+'13'!G15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+'13'!G17</f>
        <v>4</v>
      </c>
      <c r="D17" s="13">
        <v>0</v>
      </c>
      <c r="E17" s="12">
        <f t="shared" si="0"/>
        <v>4</v>
      </c>
      <c r="F17" s="13">
        <v>0</v>
      </c>
      <c r="G17" s="12">
        <f t="shared" si="1"/>
        <v>3</v>
      </c>
      <c r="H17" s="14">
        <v>1</v>
      </c>
      <c r="I17" s="15">
        <v>50</v>
      </c>
      <c r="J17" s="16">
        <f t="shared" si="2"/>
        <v>50</v>
      </c>
      <c r="K17" s="17" t="s">
        <v>16</v>
      </c>
      <c r="L17" s="18">
        <v>0</v>
      </c>
      <c r="M17" s="24">
        <f t="shared" si="5"/>
        <v>50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+'13'!G19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+'13'!G22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+'13'!G23</f>
        <v>13</v>
      </c>
      <c r="D23" s="13">
        <v>0</v>
      </c>
      <c r="E23" s="12">
        <f>C23+D23</f>
        <v>13</v>
      </c>
      <c r="F23" s="13">
        <v>0</v>
      </c>
      <c r="G23" s="12">
        <f>E23-F23-H23</f>
        <v>4</v>
      </c>
      <c r="H23" s="14">
        <v>9</v>
      </c>
      <c r="I23" s="15">
        <v>100</v>
      </c>
      <c r="J23" s="16">
        <f t="shared" si="2"/>
        <v>900</v>
      </c>
      <c r="K23" s="17" t="s">
        <v>275</v>
      </c>
      <c r="L23" s="18">
        <v>200</v>
      </c>
      <c r="M23" s="24">
        <f t="shared" si="5"/>
        <v>700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+'13'!G24</f>
        <v>5</v>
      </c>
      <c r="D24" s="13">
        <v>0</v>
      </c>
      <c r="E24" s="12">
        <f t="shared" si="0"/>
        <v>5</v>
      </c>
      <c r="F24" s="13">
        <v>0</v>
      </c>
      <c r="G24" s="12">
        <f t="shared" si="1"/>
        <v>3</v>
      </c>
      <c r="H24" s="14">
        <v>2</v>
      </c>
      <c r="I24" s="19">
        <v>100</v>
      </c>
      <c r="J24" s="16">
        <f t="shared" si="2"/>
        <v>200</v>
      </c>
      <c r="K24" s="17" t="s">
        <v>16</v>
      </c>
      <c r="L24" s="18">
        <v>0</v>
      </c>
      <c r="M24" s="24">
        <f t="shared" si="5"/>
        <v>200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+'13'!G29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8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+'13'!G34</f>
        <v>2</v>
      </c>
      <c r="D34" s="13">
        <v>0</v>
      </c>
      <c r="E34" s="12">
        <f t="shared" si="0"/>
        <v>2</v>
      </c>
      <c r="F34" s="13">
        <v>0</v>
      </c>
      <c r="G34" s="12">
        <f t="shared" si="1"/>
        <v>1</v>
      </c>
      <c r="H34" s="14">
        <v>1</v>
      </c>
      <c r="I34" s="15">
        <v>130</v>
      </c>
      <c r="J34" s="16">
        <f t="shared" si="2"/>
        <v>130</v>
      </c>
      <c r="K34" s="17" t="s">
        <v>16</v>
      </c>
      <c r="L34" s="18">
        <v>0</v>
      </c>
      <c r="M34" s="24">
        <f t="shared" si="5"/>
        <v>130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+'13'!G37</f>
        <v>5</v>
      </c>
      <c r="D37" s="13">
        <v>0</v>
      </c>
      <c r="E37" s="12">
        <f t="shared" si="0"/>
        <v>5</v>
      </c>
      <c r="F37" s="13">
        <v>0</v>
      </c>
      <c r="G37" s="12">
        <f t="shared" si="1"/>
        <v>3</v>
      </c>
      <c r="H37" s="14">
        <v>2</v>
      </c>
      <c r="I37" s="15">
        <v>100</v>
      </c>
      <c r="J37" s="16">
        <f t="shared" si="2"/>
        <v>200</v>
      </c>
      <c r="K37" s="17" t="s">
        <v>16</v>
      </c>
      <c r="L37" s="18">
        <v>0</v>
      </c>
      <c r="M37" s="24">
        <f t="shared" si="5"/>
        <v>200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+'13'!G38</f>
        <v>5</v>
      </c>
      <c r="D38" s="13">
        <v>0</v>
      </c>
      <c r="E38" s="12">
        <f t="shared" si="0"/>
        <v>5</v>
      </c>
      <c r="F38" s="13">
        <v>0</v>
      </c>
      <c r="G38" s="12">
        <f t="shared" si="1"/>
        <v>2</v>
      </c>
      <c r="H38" s="14">
        <v>3</v>
      </c>
      <c r="I38" s="15">
        <v>50</v>
      </c>
      <c r="J38" s="16">
        <f t="shared" si="2"/>
        <v>150</v>
      </c>
      <c r="K38" s="17" t="s">
        <v>16</v>
      </c>
      <c r="L38" s="18">
        <v>0</v>
      </c>
      <c r="M38" s="24">
        <f t="shared" si="5"/>
        <v>150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+'13'!G39</f>
        <v>7</v>
      </c>
      <c r="D39" s="13">
        <v>0</v>
      </c>
      <c r="E39" s="12">
        <f t="shared" si="0"/>
        <v>7</v>
      </c>
      <c r="F39" s="13">
        <v>0</v>
      </c>
      <c r="G39" s="12">
        <f t="shared" si="1"/>
        <v>5</v>
      </c>
      <c r="H39" s="14">
        <v>2</v>
      </c>
      <c r="I39" s="15">
        <v>50</v>
      </c>
      <c r="J39" s="16">
        <f t="shared" si="2"/>
        <v>100</v>
      </c>
      <c r="K39" s="17" t="s">
        <v>16</v>
      </c>
      <c r="L39" s="18">
        <v>0</v>
      </c>
      <c r="M39" s="24">
        <f t="shared" si="5"/>
        <v>100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+'13'!G41</f>
        <v>3</v>
      </c>
      <c r="D41" s="13">
        <v>0</v>
      </c>
      <c r="E41" s="12">
        <f t="shared" si="0"/>
        <v>3</v>
      </c>
      <c r="F41" s="13">
        <v>0</v>
      </c>
      <c r="G41" s="12">
        <f t="shared" si="1"/>
        <v>3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+'13'!G42</f>
        <v>0</v>
      </c>
      <c r="D42" s="13">
        <v>0</v>
      </c>
      <c r="E42" s="12">
        <f t="shared" si="0"/>
        <v>0</v>
      </c>
      <c r="F42" s="13">
        <v>0</v>
      </c>
      <c r="G42" s="12">
        <f t="shared" si="1"/>
        <v>0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+'13'!G43</f>
        <v>0</v>
      </c>
      <c r="D43" s="13">
        <v>0</v>
      </c>
      <c r="E43" s="12">
        <f t="shared" si="0"/>
        <v>0</v>
      </c>
      <c r="F43" s="13">
        <v>0</v>
      </c>
      <c r="G43" s="12">
        <f t="shared" si="1"/>
        <v>0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+'13'!G44</f>
        <v>1</v>
      </c>
      <c r="D44" s="13">
        <v>0</v>
      </c>
      <c r="E44" s="12">
        <f t="shared" si="0"/>
        <v>1</v>
      </c>
      <c r="F44" s="13">
        <v>0</v>
      </c>
      <c r="G44" s="12">
        <f t="shared" si="1"/>
        <v>1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+'13'!G46</f>
        <v>4</v>
      </c>
      <c r="D46" s="13">
        <v>0</v>
      </c>
      <c r="E46" s="12">
        <f t="shared" si="0"/>
        <v>4</v>
      </c>
      <c r="F46" s="13">
        <v>0</v>
      </c>
      <c r="G46" s="12">
        <f t="shared" si="1"/>
        <v>4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+'13'!G47</f>
        <v>3</v>
      </c>
      <c r="D47" s="13">
        <v>0</v>
      </c>
      <c r="E47" s="12">
        <f t="shared" si="0"/>
        <v>3</v>
      </c>
      <c r="F47" s="13">
        <v>0</v>
      </c>
      <c r="G47" s="12">
        <f t="shared" si="1"/>
        <v>3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+'13'!G48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6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+'13'!G61</f>
        <v>3</v>
      </c>
      <c r="D61" s="13">
        <v>0</v>
      </c>
      <c r="E61" s="12">
        <f t="shared" si="0"/>
        <v>3</v>
      </c>
      <c r="F61" s="13">
        <v>0</v>
      </c>
      <c r="G61" s="12">
        <f t="shared" si="1"/>
        <v>2</v>
      </c>
      <c r="H61" s="14">
        <v>1</v>
      </c>
      <c r="I61" s="15">
        <v>50</v>
      </c>
      <c r="J61" s="16">
        <f t="shared" si="2"/>
        <v>50</v>
      </c>
      <c r="K61" s="17" t="s">
        <v>16</v>
      </c>
      <c r="L61" s="18">
        <v>0</v>
      </c>
      <c r="M61" s="24">
        <f t="shared" si="5"/>
        <v>50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+'13'!G62</f>
        <v>3</v>
      </c>
      <c r="D62" s="13">
        <v>0</v>
      </c>
      <c r="E62" s="12">
        <f t="shared" si="0"/>
        <v>3</v>
      </c>
      <c r="F62" s="13">
        <v>0</v>
      </c>
      <c r="G62" s="12">
        <f t="shared" si="1"/>
        <v>2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+'13'!G63</f>
        <v>4</v>
      </c>
      <c r="D63" s="13">
        <v>0</v>
      </c>
      <c r="E63" s="12">
        <f>C63+D63</f>
        <v>4</v>
      </c>
      <c r="F63" s="13">
        <v>0</v>
      </c>
      <c r="G63" s="12">
        <f t="shared" si="1"/>
        <v>3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+'13'!G67</f>
        <v>4</v>
      </c>
      <c r="D67" s="13">
        <v>0</v>
      </c>
      <c r="E67" s="12">
        <f>C67+D67</f>
        <v>4</v>
      </c>
      <c r="F67" s="13">
        <v>0</v>
      </c>
      <c r="G67" s="12">
        <f t="shared" si="1"/>
        <v>2</v>
      </c>
      <c r="H67" s="14">
        <v>2</v>
      </c>
      <c r="I67" s="15">
        <v>50</v>
      </c>
      <c r="J67" s="16">
        <f t="shared" si="2"/>
        <v>100</v>
      </c>
      <c r="K67" s="17" t="s">
        <v>274</v>
      </c>
      <c r="L67" s="18">
        <v>50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+'13'!G70</f>
        <v>8</v>
      </c>
      <c r="D70" s="13">
        <v>0</v>
      </c>
      <c r="E70" s="12">
        <f t="shared" si="0"/>
        <v>8</v>
      </c>
      <c r="F70" s="13">
        <v>0</v>
      </c>
      <c r="G70" s="12">
        <f t="shared" si="1"/>
        <v>2</v>
      </c>
      <c r="H70" s="14">
        <v>6</v>
      </c>
      <c r="I70" s="21">
        <v>50</v>
      </c>
      <c r="J70" s="16">
        <f t="shared" si="2"/>
        <v>300</v>
      </c>
      <c r="K70" s="17" t="s">
        <v>16</v>
      </c>
      <c r="L70" s="18">
        <v>0</v>
      </c>
      <c r="M70" s="24">
        <f t="shared" ref="M70:M133" si="9">SUM(J70-L70)</f>
        <v>300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+'13'!G77</f>
        <v>4</v>
      </c>
      <c r="D77" s="13">
        <v>0</v>
      </c>
      <c r="E77" s="12">
        <f t="shared" si="0"/>
        <v>4</v>
      </c>
      <c r="F77" s="13">
        <v>0</v>
      </c>
      <c r="G77" s="12">
        <f t="shared" si="1"/>
        <v>0</v>
      </c>
      <c r="H77" s="14">
        <v>4</v>
      </c>
      <c r="I77" s="21">
        <v>50</v>
      </c>
      <c r="J77" s="16">
        <f t="shared" si="11"/>
        <v>200</v>
      </c>
      <c r="K77" s="17" t="s">
        <v>16</v>
      </c>
      <c r="L77" s="18">
        <v>0</v>
      </c>
      <c r="M77" s="24">
        <f t="shared" si="9"/>
        <v>200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+'13'!G78</f>
        <v>0</v>
      </c>
      <c r="D78" s="13">
        <v>4</v>
      </c>
      <c r="E78" s="12">
        <f t="shared" si="0"/>
        <v>4</v>
      </c>
      <c r="F78" s="13">
        <v>0</v>
      </c>
      <c r="G78" s="12">
        <f t="shared" si="1"/>
        <v>0</v>
      </c>
      <c r="H78" s="14">
        <v>4</v>
      </c>
      <c r="I78" s="23">
        <v>120</v>
      </c>
      <c r="J78" s="16">
        <f t="shared" si="11"/>
        <v>480</v>
      </c>
      <c r="K78" s="17" t="s">
        <v>16</v>
      </c>
      <c r="L78" s="18">
        <v>0</v>
      </c>
      <c r="M78" s="24">
        <f t="shared" si="9"/>
        <v>480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+'13'!G79</f>
        <v>7</v>
      </c>
      <c r="D79" s="13">
        <v>0</v>
      </c>
      <c r="E79" s="12">
        <f t="shared" si="0"/>
        <v>7</v>
      </c>
      <c r="F79" s="13">
        <v>0</v>
      </c>
      <c r="G79" s="12">
        <f t="shared" si="1"/>
        <v>3</v>
      </c>
      <c r="H79" s="14">
        <v>4</v>
      </c>
      <c r="I79" s="23">
        <v>50</v>
      </c>
      <c r="J79" s="16">
        <f t="shared" si="11"/>
        <v>200</v>
      </c>
      <c r="K79" s="17" t="s">
        <v>274</v>
      </c>
      <c r="L79" s="18">
        <v>50</v>
      </c>
      <c r="M79" s="24">
        <f t="shared" si="9"/>
        <v>150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+'13'!G82</f>
        <v>1</v>
      </c>
      <c r="D82" s="13">
        <v>0</v>
      </c>
      <c r="E82" s="12">
        <f t="shared" si="0"/>
        <v>1</v>
      </c>
      <c r="F82" s="13">
        <v>0</v>
      </c>
      <c r="G82" s="12">
        <f t="shared" si="1"/>
        <v>0</v>
      </c>
      <c r="H82" s="14">
        <v>1</v>
      </c>
      <c r="I82" s="23">
        <v>55</v>
      </c>
      <c r="J82" s="16">
        <f t="shared" si="11"/>
        <v>55</v>
      </c>
      <c r="K82" s="17" t="s">
        <v>16</v>
      </c>
      <c r="L82" s="18">
        <v>0</v>
      </c>
      <c r="M82" s="24">
        <f>SUM(J82-L82)</f>
        <v>55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+'13'!G85</f>
        <v>9</v>
      </c>
      <c r="D85" s="13">
        <v>0</v>
      </c>
      <c r="E85" s="12">
        <f t="shared" si="0"/>
        <v>9</v>
      </c>
      <c r="F85" s="13">
        <v>0</v>
      </c>
      <c r="G85" s="12">
        <f t="shared" si="1"/>
        <v>6</v>
      </c>
      <c r="H85" s="14">
        <v>3</v>
      </c>
      <c r="I85" s="23">
        <v>100</v>
      </c>
      <c r="J85" s="16">
        <f t="shared" si="11"/>
        <v>300</v>
      </c>
      <c r="K85" s="17" t="s">
        <v>16</v>
      </c>
      <c r="L85" s="18">
        <v>0</v>
      </c>
      <c r="M85" s="24">
        <f t="shared" si="9"/>
        <v>300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+'13'!G87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+'13'!G88</f>
        <v>6</v>
      </c>
      <c r="D88" s="13">
        <v>0</v>
      </c>
      <c r="E88" s="12">
        <f t="shared" si="0"/>
        <v>6</v>
      </c>
      <c r="F88" s="13">
        <v>0</v>
      </c>
      <c r="G88" s="12">
        <f t="shared" si="1"/>
        <v>5</v>
      </c>
      <c r="H88" s="14">
        <v>1</v>
      </c>
      <c r="I88" s="21">
        <v>100</v>
      </c>
      <c r="J88" s="16">
        <f t="shared" si="11"/>
        <v>100</v>
      </c>
      <c r="K88" s="17" t="s">
        <v>16</v>
      </c>
      <c r="L88" s="18">
        <v>0</v>
      </c>
      <c r="M88" s="24">
        <f t="shared" si="9"/>
        <v>100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+'13'!G90</f>
        <v>3</v>
      </c>
      <c r="D90" s="13">
        <v>0</v>
      </c>
      <c r="E90" s="12">
        <f t="shared" si="0"/>
        <v>3</v>
      </c>
      <c r="F90" s="13">
        <v>0</v>
      </c>
      <c r="G90" s="12">
        <f t="shared" si="1"/>
        <v>2</v>
      </c>
      <c r="H90" s="14">
        <v>1</v>
      </c>
      <c r="I90" s="21">
        <v>50</v>
      </c>
      <c r="J90" s="16">
        <f t="shared" si="11"/>
        <v>50</v>
      </c>
      <c r="K90" s="17" t="s">
        <v>16</v>
      </c>
      <c r="L90" s="18">
        <v>0</v>
      </c>
      <c r="M90" s="24">
        <f t="shared" si="9"/>
        <v>50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+'13'!G91</f>
        <v>3</v>
      </c>
      <c r="D91" s="13">
        <v>0</v>
      </c>
      <c r="E91" s="12">
        <f t="shared" si="0"/>
        <v>3</v>
      </c>
      <c r="F91" s="13">
        <v>0</v>
      </c>
      <c r="G91" s="12">
        <f t="shared" si="1"/>
        <v>0</v>
      </c>
      <c r="H91" s="14">
        <v>3</v>
      </c>
      <c r="I91" s="23">
        <v>50</v>
      </c>
      <c r="J91" s="16">
        <f t="shared" si="11"/>
        <v>150</v>
      </c>
      <c r="K91" s="17" t="s">
        <v>16</v>
      </c>
      <c r="L91" s="18">
        <v>0</v>
      </c>
      <c r="M91" s="24">
        <f t="shared" si="9"/>
        <v>150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+'13'!G101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+'13'!G102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+'13'!G168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+'13'!G171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+'13'!G178</f>
        <v>2</v>
      </c>
      <c r="D178" s="13">
        <v>0</v>
      </c>
      <c r="E178" s="12">
        <f t="shared" si="13"/>
        <v>2</v>
      </c>
      <c r="F178" s="13">
        <v>0</v>
      </c>
      <c r="G178" s="12">
        <f t="shared" si="16"/>
        <v>0</v>
      </c>
      <c r="H178" s="14">
        <v>2</v>
      </c>
      <c r="I178" s="21">
        <v>120</v>
      </c>
      <c r="J178" s="16">
        <f t="shared" si="15"/>
        <v>240</v>
      </c>
      <c r="K178" s="17" t="s">
        <v>16</v>
      </c>
      <c r="L178" s="18">
        <v>0</v>
      </c>
      <c r="M178" s="24">
        <f t="shared" si="14"/>
        <v>240</v>
      </c>
    </row>
    <row r="179" spans="1:13" ht="25.5">
      <c r="A179" s="10">
        <v>175</v>
      </c>
      <c r="B179" s="20" t="s">
        <v>190</v>
      </c>
      <c r="C179" s="12">
        <f>+'13'!G179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+'13'!G191</f>
        <v>0</v>
      </c>
      <c r="D191" s="13">
        <v>0</v>
      </c>
      <c r="E191" s="12">
        <f t="shared" si="13"/>
        <v>0</v>
      </c>
      <c r="F191" s="13">
        <v>0</v>
      </c>
      <c r="G191" s="12">
        <f t="shared" si="16"/>
        <v>0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+'13'!G202</f>
        <v>2</v>
      </c>
      <c r="D202" s="13">
        <v>0</v>
      </c>
      <c r="E202" s="12">
        <f t="shared" si="13"/>
        <v>2</v>
      </c>
      <c r="F202" s="13">
        <v>0</v>
      </c>
      <c r="G202" s="12">
        <f t="shared" si="16"/>
        <v>2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+'13'!G203</f>
        <v>12</v>
      </c>
      <c r="D203" s="13">
        <v>0</v>
      </c>
      <c r="E203" s="12">
        <f t="shared" si="13"/>
        <v>12</v>
      </c>
      <c r="F203" s="13">
        <v>0</v>
      </c>
      <c r="G203" s="12">
        <f t="shared" si="16"/>
        <v>9</v>
      </c>
      <c r="H203" s="14">
        <v>3</v>
      </c>
      <c r="I203" s="15">
        <v>120</v>
      </c>
      <c r="J203" s="16">
        <f t="shared" si="18"/>
        <v>360</v>
      </c>
      <c r="K203" s="17" t="s">
        <v>16</v>
      </c>
      <c r="L203" s="18">
        <v>0</v>
      </c>
      <c r="M203" s="24">
        <f t="shared" si="17"/>
        <v>360</v>
      </c>
    </row>
    <row r="204" spans="1:14" ht="25.5">
      <c r="A204" s="10">
        <v>200</v>
      </c>
      <c r="B204" s="20" t="s">
        <v>265</v>
      </c>
      <c r="C204" s="12">
        <f>+'13'!G204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266</v>
      </c>
      <c r="C205" s="12">
        <f>+'13'!G205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ref="G205:G207" si="20">E205-F205-H205</f>
        <v>0</v>
      </c>
      <c r="H205" s="14">
        <v>0</v>
      </c>
      <c r="I205" s="15">
        <v>60</v>
      </c>
      <c r="J205" s="16">
        <f t="shared" ref="J205:J207" si="21">+I205*H205</f>
        <v>0</v>
      </c>
      <c r="K205" s="17" t="s">
        <v>16</v>
      </c>
      <c r="L205" s="18">
        <v>0</v>
      </c>
      <c r="M205" s="24">
        <f t="shared" ref="M205:M207" si="22">SUM(J205-L205)</f>
        <v>0</v>
      </c>
    </row>
    <row r="206" spans="1:14" ht="25.5">
      <c r="A206" s="10">
        <v>202</v>
      </c>
      <c r="B206" s="20" t="s">
        <v>277</v>
      </c>
      <c r="C206" s="12">
        <f>+'13'!G206</f>
        <v>5</v>
      </c>
      <c r="D206" s="13">
        <v>10</v>
      </c>
      <c r="E206" s="12">
        <f t="shared" si="19"/>
        <v>15</v>
      </c>
      <c r="F206" s="13">
        <v>0</v>
      </c>
      <c r="G206" s="12">
        <f t="shared" si="20"/>
        <v>14</v>
      </c>
      <c r="H206" s="14">
        <v>1</v>
      </c>
      <c r="I206" s="15">
        <v>50</v>
      </c>
      <c r="J206" s="16">
        <f t="shared" si="21"/>
        <v>50</v>
      </c>
      <c r="K206" s="17" t="s">
        <v>16</v>
      </c>
      <c r="L206" s="18">
        <v>0</v>
      </c>
      <c r="M206" s="24">
        <f t="shared" si="22"/>
        <v>50</v>
      </c>
    </row>
    <row r="207" spans="1:14" ht="25.5">
      <c r="A207" s="10">
        <v>203</v>
      </c>
      <c r="B207" s="20" t="s">
        <v>278</v>
      </c>
      <c r="C207" s="12">
        <f>+'13'!G207</f>
        <v>9</v>
      </c>
      <c r="D207" s="13">
        <v>0</v>
      </c>
      <c r="E207" s="12">
        <f t="shared" si="19"/>
        <v>9</v>
      </c>
      <c r="F207" s="13">
        <v>0</v>
      </c>
      <c r="G207" s="12">
        <f t="shared" si="20"/>
        <v>8</v>
      </c>
      <c r="H207" s="14">
        <v>1</v>
      </c>
      <c r="I207" s="15">
        <v>50</v>
      </c>
      <c r="J207" s="16">
        <f t="shared" si="21"/>
        <v>50</v>
      </c>
      <c r="K207" s="17" t="s">
        <v>16</v>
      </c>
      <c r="L207" s="18">
        <v>0</v>
      </c>
      <c r="M207" s="24">
        <f t="shared" si="22"/>
        <v>50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223</v>
      </c>
      <c r="N208" s="154"/>
    </row>
    <row r="209" spans="1:13" ht="25.5" customHeight="1">
      <c r="A209" s="1"/>
      <c r="C209" s="25"/>
      <c r="D209" s="26"/>
      <c r="E209" s="25"/>
      <c r="F209" s="26"/>
      <c r="G209" s="25"/>
      <c r="H209" s="152" t="s">
        <v>224</v>
      </c>
      <c r="I209" s="153"/>
      <c r="J209" s="31">
        <f>+X107</f>
        <v>0</v>
      </c>
      <c r="K209" s="28"/>
      <c r="L209" s="30"/>
    </row>
    <row r="210" spans="1:13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7480</v>
      </c>
    </row>
    <row r="211" spans="1:13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3" ht="25.5">
      <c r="A212" s="1"/>
      <c r="C212" s="32"/>
      <c r="E212" s="32"/>
      <c r="G212" s="32"/>
      <c r="I212" s="35" t="s">
        <v>214</v>
      </c>
      <c r="J212" s="36"/>
      <c r="K212" s="37">
        <f>SUM(L212:BO212)</f>
        <v>500</v>
      </c>
      <c r="L212" s="2">
        <v>100</v>
      </c>
      <c r="M212" s="2">
        <v>400</v>
      </c>
    </row>
    <row r="213" spans="1:13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3" ht="25.5">
      <c r="A214" s="1"/>
      <c r="B214" s="2" t="s">
        <v>280</v>
      </c>
      <c r="C214" s="32"/>
      <c r="E214" s="32"/>
      <c r="G214" s="32"/>
      <c r="I214" s="136" t="s">
        <v>216</v>
      </c>
      <c r="J214" s="137"/>
      <c r="K214" s="37">
        <v>79</v>
      </c>
    </row>
    <row r="215" spans="1:13" ht="25.5">
      <c r="A215" s="1"/>
      <c r="C215" s="32"/>
      <c r="E215" s="32"/>
      <c r="G215" s="32"/>
      <c r="I215" s="136" t="s">
        <v>217</v>
      </c>
      <c r="J215" s="137"/>
      <c r="K215" s="38">
        <f>SUM(L5:L208)</f>
        <v>300</v>
      </c>
    </row>
    <row r="216" spans="1:13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6586</v>
      </c>
    </row>
    <row r="217" spans="1:13" ht="25.5">
      <c r="A217" s="1"/>
      <c r="C217" s="32"/>
      <c r="E217" s="32"/>
      <c r="G217" s="32"/>
      <c r="I217" s="136" t="s">
        <v>219</v>
      </c>
      <c r="J217" s="137"/>
      <c r="K217" s="38">
        <v>6586</v>
      </c>
    </row>
    <row r="218" spans="1:13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3" ht="25.5">
      <c r="G219" s="2"/>
      <c r="I219" s="136" t="s">
        <v>221</v>
      </c>
      <c r="J219" s="137"/>
      <c r="K219" s="34">
        <f>+K217-K216</f>
        <v>0</v>
      </c>
    </row>
    <row r="220" spans="1:13">
      <c r="G220" s="2"/>
      <c r="I220" s="2"/>
    </row>
    <row r="221" spans="1:13">
      <c r="G221" s="2"/>
      <c r="I221" s="2"/>
      <c r="J221" s="96" t="s">
        <v>261</v>
      </c>
      <c r="K221" s="24">
        <f>+K210-K215+K218</f>
        <v>7180</v>
      </c>
    </row>
    <row r="222" spans="1:13">
      <c r="G222" s="2"/>
      <c r="I222" s="2"/>
      <c r="J222" s="2" t="s">
        <v>262</v>
      </c>
      <c r="K222" s="24">
        <f>SUM(K211:K214)</f>
        <v>594</v>
      </c>
    </row>
    <row r="223" spans="1:13">
      <c r="G223" s="2"/>
      <c r="I223" s="2"/>
      <c r="J223" s="2" t="s">
        <v>263</v>
      </c>
      <c r="K223" s="24">
        <f>+K217</f>
        <v>6586</v>
      </c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3CF2A-14C0-46C5-9C99-33842A91A1D3}">
  <sheetPr>
    <tabColor theme="5" tint="0.79998168889431442"/>
  </sheetPr>
  <dimension ref="A1:Z294"/>
  <sheetViews>
    <sheetView zoomScaleNormal="100" workbookViewId="0">
      <pane ySplit="4" topLeftCell="A210" activePane="bottomLeft" state="frozen"/>
      <selection pane="bottomLeft" activeCell="G214" sqref="G214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+'14'!G5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+'14'!G6</f>
        <v>17</v>
      </c>
      <c r="D6" s="13">
        <v>0</v>
      </c>
      <c r="E6" s="12">
        <f t="shared" si="0"/>
        <v>17</v>
      </c>
      <c r="F6" s="13">
        <v>0</v>
      </c>
      <c r="G6" s="12">
        <f t="shared" si="1"/>
        <v>16</v>
      </c>
      <c r="H6" s="14">
        <v>1</v>
      </c>
      <c r="I6" s="15">
        <v>100</v>
      </c>
      <c r="J6" s="16">
        <f t="shared" si="2"/>
        <v>100</v>
      </c>
      <c r="K6" s="17" t="s">
        <v>16</v>
      </c>
      <c r="L6" s="18">
        <v>0</v>
      </c>
      <c r="M6" s="24">
        <f t="shared" ref="M6:M69" si="5">SUM(J6-L6)</f>
        <v>100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+'14'!G14</f>
        <v>3</v>
      </c>
      <c r="D14" s="13">
        <v>0</v>
      </c>
      <c r="E14" s="12">
        <f t="shared" si="0"/>
        <v>3</v>
      </c>
      <c r="F14" s="13">
        <v>0</v>
      </c>
      <c r="G14" s="12">
        <f t="shared" si="1"/>
        <v>2</v>
      </c>
      <c r="H14" s="14">
        <v>1</v>
      </c>
      <c r="I14" s="21">
        <v>65</v>
      </c>
      <c r="J14" s="16">
        <f t="shared" si="2"/>
        <v>65</v>
      </c>
      <c r="K14" s="17" t="s">
        <v>16</v>
      </c>
      <c r="L14" s="18">
        <v>0</v>
      </c>
      <c r="M14" s="24">
        <f t="shared" si="5"/>
        <v>65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+'14'!G15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+'14'!G17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+'14'!G19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+'14'!G22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+'14'!G23</f>
        <v>4</v>
      </c>
      <c r="D23" s="13">
        <v>0</v>
      </c>
      <c r="E23" s="12">
        <f>C23+D23</f>
        <v>4</v>
      </c>
      <c r="F23" s="13">
        <v>0</v>
      </c>
      <c r="G23" s="12">
        <f>E23-F23-H23</f>
        <v>1</v>
      </c>
      <c r="H23" s="14">
        <v>3</v>
      </c>
      <c r="I23" s="15">
        <v>100</v>
      </c>
      <c r="J23" s="16">
        <f t="shared" si="2"/>
        <v>300</v>
      </c>
      <c r="K23" s="17" t="s">
        <v>16</v>
      </c>
      <c r="L23" s="18">
        <v>0</v>
      </c>
      <c r="M23" s="24">
        <f t="shared" si="5"/>
        <v>300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+'14'!G24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+'14'!G29</f>
        <v>8</v>
      </c>
      <c r="D29" s="13">
        <v>0</v>
      </c>
      <c r="E29" s="12">
        <f t="shared" si="0"/>
        <v>8</v>
      </c>
      <c r="F29" s="13">
        <v>0</v>
      </c>
      <c r="G29" s="12">
        <f t="shared" si="1"/>
        <v>7</v>
      </c>
      <c r="H29" s="14">
        <v>1</v>
      </c>
      <c r="I29" s="15">
        <v>100</v>
      </c>
      <c r="J29" s="16">
        <f t="shared" si="2"/>
        <v>100</v>
      </c>
      <c r="K29" s="17" t="s">
        <v>16</v>
      </c>
      <c r="L29" s="18">
        <v>0</v>
      </c>
      <c r="M29" s="24">
        <f t="shared" si="5"/>
        <v>100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+'14'!G34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+'14'!G37</f>
        <v>3</v>
      </c>
      <c r="D37" s="13">
        <v>0</v>
      </c>
      <c r="E37" s="12">
        <f t="shared" si="0"/>
        <v>3</v>
      </c>
      <c r="F37" s="13">
        <v>0</v>
      </c>
      <c r="G37" s="12">
        <f t="shared" si="1"/>
        <v>2</v>
      </c>
      <c r="H37" s="14">
        <v>1</v>
      </c>
      <c r="I37" s="15">
        <v>100</v>
      </c>
      <c r="J37" s="16">
        <f t="shared" si="2"/>
        <v>100</v>
      </c>
      <c r="K37" s="17" t="s">
        <v>16</v>
      </c>
      <c r="L37" s="18">
        <v>0</v>
      </c>
      <c r="M37" s="24">
        <f t="shared" si="5"/>
        <v>100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+'14'!G38</f>
        <v>2</v>
      </c>
      <c r="D38" s="13">
        <v>0</v>
      </c>
      <c r="E38" s="12">
        <f t="shared" si="0"/>
        <v>2</v>
      </c>
      <c r="F38" s="13">
        <v>0</v>
      </c>
      <c r="G38" s="12">
        <f t="shared" si="1"/>
        <v>1</v>
      </c>
      <c r="H38" s="14">
        <v>1</v>
      </c>
      <c r="I38" s="15">
        <v>50</v>
      </c>
      <c r="J38" s="16">
        <f t="shared" si="2"/>
        <v>50</v>
      </c>
      <c r="K38" s="17" t="s">
        <v>16</v>
      </c>
      <c r="L38" s="18">
        <v>0</v>
      </c>
      <c r="M38" s="24">
        <f t="shared" si="5"/>
        <v>50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+'14'!G41</f>
        <v>3</v>
      </c>
      <c r="D41" s="13">
        <v>5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+'14'!G42</f>
        <v>0</v>
      </c>
      <c r="D42" s="13">
        <v>5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+'14'!G43</f>
        <v>0</v>
      </c>
      <c r="D43" s="13">
        <v>5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+'14'!G44</f>
        <v>1</v>
      </c>
      <c r="D44" s="13">
        <v>5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+'14'!G46</f>
        <v>4</v>
      </c>
      <c r="D46" s="13">
        <v>5</v>
      </c>
      <c r="E46" s="12">
        <f t="shared" si="0"/>
        <v>9</v>
      </c>
      <c r="F46" s="13">
        <v>0</v>
      </c>
      <c r="G46" s="12">
        <f t="shared" si="1"/>
        <v>8</v>
      </c>
      <c r="H46" s="14">
        <v>1</v>
      </c>
      <c r="I46" s="15">
        <v>50</v>
      </c>
      <c r="J46" s="16">
        <f t="shared" si="2"/>
        <v>50</v>
      </c>
      <c r="K46" s="17" t="s">
        <v>16</v>
      </c>
      <c r="L46" s="18">
        <v>0</v>
      </c>
      <c r="M46" s="24">
        <f t="shared" si="5"/>
        <v>50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+'14'!G47</f>
        <v>3</v>
      </c>
      <c r="D47" s="13">
        <v>5</v>
      </c>
      <c r="E47" s="12">
        <f t="shared" si="0"/>
        <v>8</v>
      </c>
      <c r="F47" s="13">
        <v>0</v>
      </c>
      <c r="G47" s="12">
        <f t="shared" si="1"/>
        <v>7</v>
      </c>
      <c r="H47" s="14">
        <v>1</v>
      </c>
      <c r="I47" s="15">
        <v>50</v>
      </c>
      <c r="J47" s="16">
        <f t="shared" si="2"/>
        <v>50</v>
      </c>
      <c r="K47" s="17" t="s">
        <v>16</v>
      </c>
      <c r="L47" s="18">
        <v>0</v>
      </c>
      <c r="M47" s="24">
        <f t="shared" si="5"/>
        <v>50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+'14'!G48</f>
        <v>6</v>
      </c>
      <c r="D48" s="13">
        <v>0</v>
      </c>
      <c r="E48" s="12">
        <f t="shared" si="0"/>
        <v>6</v>
      </c>
      <c r="F48" s="13">
        <v>0</v>
      </c>
      <c r="G48" s="12">
        <f t="shared" si="1"/>
        <v>5</v>
      </c>
      <c r="H48" s="14">
        <v>1</v>
      </c>
      <c r="I48" s="15">
        <v>50</v>
      </c>
      <c r="J48" s="16">
        <f t="shared" si="2"/>
        <v>50</v>
      </c>
      <c r="K48" s="17" t="s">
        <v>16</v>
      </c>
      <c r="L48" s="18">
        <v>0</v>
      </c>
      <c r="M48" s="24">
        <f t="shared" si="5"/>
        <v>50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+'14'!G62</f>
        <v>2</v>
      </c>
      <c r="D62" s="13">
        <v>0</v>
      </c>
      <c r="E62" s="12">
        <f t="shared" si="0"/>
        <v>2</v>
      </c>
      <c r="F62" s="13">
        <v>0</v>
      </c>
      <c r="G62" s="12">
        <f t="shared" si="1"/>
        <v>1</v>
      </c>
      <c r="H62" s="14">
        <v>1</v>
      </c>
      <c r="I62" s="21">
        <v>50</v>
      </c>
      <c r="J62" s="16">
        <f t="shared" si="2"/>
        <v>50</v>
      </c>
      <c r="K62" s="17" t="s">
        <v>16</v>
      </c>
      <c r="L62" s="18">
        <v>0</v>
      </c>
      <c r="M62" s="24">
        <f t="shared" si="5"/>
        <v>50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+'14'!G63</f>
        <v>3</v>
      </c>
      <c r="D63" s="13">
        <v>0</v>
      </c>
      <c r="E63" s="12">
        <f>C63+D63</f>
        <v>3</v>
      </c>
      <c r="F63" s="13">
        <v>0</v>
      </c>
      <c r="G63" s="12">
        <f t="shared" si="1"/>
        <v>2</v>
      </c>
      <c r="H63" s="14">
        <v>1</v>
      </c>
      <c r="I63" s="21">
        <v>50</v>
      </c>
      <c r="J63" s="16">
        <f t="shared" si="2"/>
        <v>50</v>
      </c>
      <c r="K63" s="17" t="s">
        <v>16</v>
      </c>
      <c r="L63" s="18">
        <v>0</v>
      </c>
      <c r="M63" s="24">
        <f t="shared" si="5"/>
        <v>50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+'14'!G67</f>
        <v>2</v>
      </c>
      <c r="D67" s="13">
        <v>0</v>
      </c>
      <c r="E67" s="12">
        <f>C67+D67</f>
        <v>2</v>
      </c>
      <c r="F67" s="13">
        <v>0</v>
      </c>
      <c r="G67" s="12">
        <f t="shared" si="1"/>
        <v>1</v>
      </c>
      <c r="H67" s="14">
        <v>1</v>
      </c>
      <c r="I67" s="15">
        <v>50</v>
      </c>
      <c r="J67" s="16">
        <f t="shared" si="2"/>
        <v>50</v>
      </c>
      <c r="K67" s="17" t="s">
        <v>16</v>
      </c>
      <c r="L67" s="18">
        <v>0</v>
      </c>
      <c r="M67" s="24">
        <f t="shared" si="5"/>
        <v>50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+'14'!G70</f>
        <v>2</v>
      </c>
      <c r="D70" s="13">
        <v>0</v>
      </c>
      <c r="E70" s="12">
        <f t="shared" si="0"/>
        <v>2</v>
      </c>
      <c r="F70" s="13">
        <v>0</v>
      </c>
      <c r="G70" s="12">
        <f t="shared" si="1"/>
        <v>1</v>
      </c>
      <c r="H70" s="14">
        <v>1</v>
      </c>
      <c r="I70" s="21">
        <v>50</v>
      </c>
      <c r="J70" s="16">
        <f t="shared" si="2"/>
        <v>50</v>
      </c>
      <c r="K70" s="17" t="s">
        <v>16</v>
      </c>
      <c r="L70" s="18">
        <v>0</v>
      </c>
      <c r="M70" s="24">
        <f t="shared" ref="M70:M133" si="9">SUM(J70-L70)</f>
        <v>50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+'14'!G79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+'14'!G87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+'14'!G88</f>
        <v>5</v>
      </c>
      <c r="D88" s="13">
        <v>0</v>
      </c>
      <c r="E88" s="12">
        <f t="shared" si="0"/>
        <v>5</v>
      </c>
      <c r="F88" s="13">
        <v>0</v>
      </c>
      <c r="G88" s="12">
        <f t="shared" si="1"/>
        <v>3</v>
      </c>
      <c r="H88" s="14">
        <v>2</v>
      </c>
      <c r="I88" s="21">
        <v>100</v>
      </c>
      <c r="J88" s="16">
        <f t="shared" si="11"/>
        <v>200</v>
      </c>
      <c r="K88" s="17" t="s">
        <v>16</v>
      </c>
      <c r="L88" s="18">
        <v>0</v>
      </c>
      <c r="M88" s="24">
        <f t="shared" si="9"/>
        <v>200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+'14'!G101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+'14'!G102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+'14'!G168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+'14'!G171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+'14'!G178</f>
        <v>0</v>
      </c>
      <c r="D178" s="13">
        <v>5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+'14'!G191</f>
        <v>0</v>
      </c>
      <c r="D191" s="13">
        <v>12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+'14'!G202</f>
        <v>2</v>
      </c>
      <c r="D202" s="13">
        <v>3</v>
      </c>
      <c r="E202" s="12">
        <f t="shared" si="13"/>
        <v>5</v>
      </c>
      <c r="F202" s="13">
        <v>0</v>
      </c>
      <c r="G202" s="12">
        <f t="shared" si="16"/>
        <v>4</v>
      </c>
      <c r="H202" s="14">
        <v>1</v>
      </c>
      <c r="I202" s="15">
        <v>250</v>
      </c>
      <c r="J202" s="16">
        <f t="shared" si="18"/>
        <v>250</v>
      </c>
      <c r="K202" s="17" t="s">
        <v>16</v>
      </c>
      <c r="L202" s="18">
        <v>0</v>
      </c>
      <c r="M202" s="24">
        <f t="shared" si="17"/>
        <v>250</v>
      </c>
    </row>
    <row r="203" spans="1:14" ht="25.5">
      <c r="A203" s="10">
        <v>199</v>
      </c>
      <c r="B203" s="20" t="s">
        <v>256</v>
      </c>
      <c r="C203" s="12">
        <f>+'14'!G203</f>
        <v>9</v>
      </c>
      <c r="D203" s="13">
        <v>0</v>
      </c>
      <c r="E203" s="12">
        <f t="shared" si="13"/>
        <v>9</v>
      </c>
      <c r="F203" s="13">
        <v>0</v>
      </c>
      <c r="G203" s="12">
        <f t="shared" si="16"/>
        <v>7</v>
      </c>
      <c r="H203" s="14">
        <v>2</v>
      </c>
      <c r="I203" s="15">
        <v>120</v>
      </c>
      <c r="J203" s="16">
        <f t="shared" si="18"/>
        <v>240</v>
      </c>
      <c r="K203" s="17" t="s">
        <v>16</v>
      </c>
      <c r="L203" s="18">
        <v>0</v>
      </c>
      <c r="M203" s="24">
        <f t="shared" si="17"/>
        <v>240</v>
      </c>
    </row>
    <row r="204" spans="1:14" ht="25.5">
      <c r="A204" s="10">
        <v>200</v>
      </c>
      <c r="B204" s="20" t="s">
        <v>265</v>
      </c>
      <c r="C204" s="12">
        <f>+'14'!G204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50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0">
        <v>201</v>
      </c>
      <c r="B205" s="20" t="s">
        <v>266</v>
      </c>
      <c r="C205" s="12">
        <f>+'14'!G205</f>
        <v>0</v>
      </c>
      <c r="D205" s="13">
        <v>0</v>
      </c>
      <c r="E205" s="12">
        <f t="shared" ref="E205:E207" si="19">C205+D205</f>
        <v>0</v>
      </c>
      <c r="F205" s="13">
        <v>0</v>
      </c>
      <c r="G205" s="12">
        <f t="shared" ref="G205:G207" si="20">E205-F205-H205</f>
        <v>0</v>
      </c>
      <c r="H205" s="14">
        <v>0</v>
      </c>
      <c r="I205" s="15">
        <v>60</v>
      </c>
      <c r="J205" s="16">
        <f t="shared" ref="J205:J207" si="21">+I205*H205</f>
        <v>0</v>
      </c>
      <c r="K205" s="17" t="s">
        <v>16</v>
      </c>
      <c r="L205" s="18">
        <v>0</v>
      </c>
      <c r="M205" s="24">
        <f t="shared" ref="M205:M207" si="22">SUM(J205-L205)</f>
        <v>0</v>
      </c>
    </row>
    <row r="206" spans="1:14" ht="25.5">
      <c r="A206" s="10">
        <v>202</v>
      </c>
      <c r="B206" s="20" t="s">
        <v>277</v>
      </c>
      <c r="C206" s="12">
        <f>+'14'!G206</f>
        <v>14</v>
      </c>
      <c r="D206" s="13">
        <v>10</v>
      </c>
      <c r="E206" s="12">
        <f t="shared" si="19"/>
        <v>24</v>
      </c>
      <c r="F206" s="13">
        <v>0</v>
      </c>
      <c r="G206" s="12">
        <f t="shared" si="20"/>
        <v>24</v>
      </c>
      <c r="H206" s="14">
        <v>0</v>
      </c>
      <c r="I206" s="15">
        <v>50</v>
      </c>
      <c r="J206" s="16">
        <f t="shared" si="21"/>
        <v>0</v>
      </c>
      <c r="K206" s="17" t="s">
        <v>16</v>
      </c>
      <c r="L206" s="18">
        <v>0</v>
      </c>
      <c r="M206" s="24">
        <f t="shared" si="22"/>
        <v>0</v>
      </c>
    </row>
    <row r="207" spans="1:14" ht="25.5">
      <c r="A207" s="10">
        <v>203</v>
      </c>
      <c r="B207" s="20" t="s">
        <v>278</v>
      </c>
      <c r="C207" s="12">
        <f>+'14'!G207</f>
        <v>8</v>
      </c>
      <c r="D207" s="13">
        <v>0</v>
      </c>
      <c r="E207" s="12">
        <f t="shared" si="19"/>
        <v>8</v>
      </c>
      <c r="F207" s="13">
        <v>0</v>
      </c>
      <c r="G207" s="12">
        <f t="shared" si="20"/>
        <v>8</v>
      </c>
      <c r="H207" s="14">
        <v>0</v>
      </c>
      <c r="I207" s="15">
        <v>50</v>
      </c>
      <c r="J207" s="16">
        <f t="shared" si="21"/>
        <v>0</v>
      </c>
      <c r="K207" s="17" t="s">
        <v>16</v>
      </c>
      <c r="L207" s="18">
        <v>0</v>
      </c>
      <c r="M207" s="24">
        <f t="shared" si="22"/>
        <v>0</v>
      </c>
    </row>
    <row r="208" spans="1:14" ht="25.5">
      <c r="A208" s="1"/>
      <c r="C208" s="25"/>
      <c r="D208" s="26"/>
      <c r="E208" s="25"/>
      <c r="F208" s="26"/>
      <c r="G208" s="25"/>
      <c r="H208" s="25"/>
      <c r="I208" s="27"/>
      <c r="J208" s="29"/>
      <c r="K208" s="28"/>
      <c r="L208" s="18">
        <v>0</v>
      </c>
      <c r="M208" s="154" t="s">
        <v>223</v>
      </c>
      <c r="N208" s="154"/>
    </row>
    <row r="209" spans="1:13" ht="25.5" customHeight="1">
      <c r="A209" s="1"/>
      <c r="C209" s="25"/>
      <c r="D209" s="26"/>
      <c r="E209" s="25"/>
      <c r="F209" s="26"/>
      <c r="G209" s="25"/>
      <c r="H209" s="152" t="s">
        <v>224</v>
      </c>
      <c r="I209" s="153"/>
      <c r="J209" s="31">
        <f>+X107</f>
        <v>0</v>
      </c>
      <c r="K209" s="28"/>
      <c r="L209" s="30"/>
    </row>
    <row r="210" spans="1:13" ht="25.5">
      <c r="A210" s="1"/>
      <c r="C210" s="32"/>
      <c r="E210" s="32"/>
      <c r="G210" s="32"/>
      <c r="H210" s="33"/>
      <c r="I210" s="151" t="s">
        <v>212</v>
      </c>
      <c r="J210" s="151"/>
      <c r="K210" s="34">
        <f>SUM(J5:J209)</f>
        <v>1755</v>
      </c>
    </row>
    <row r="211" spans="1:13" ht="25.5">
      <c r="A211" s="1"/>
      <c r="C211" s="32"/>
      <c r="E211" s="32"/>
      <c r="G211" s="32"/>
      <c r="I211" s="136" t="s">
        <v>213</v>
      </c>
      <c r="J211" s="137"/>
      <c r="K211" s="37">
        <v>15</v>
      </c>
    </row>
    <row r="212" spans="1:13" ht="25.5">
      <c r="A212" s="1"/>
      <c r="C212" s="32"/>
      <c r="E212" s="32"/>
      <c r="G212" s="32"/>
      <c r="I212" s="35" t="s">
        <v>214</v>
      </c>
      <c r="J212" s="36"/>
      <c r="K212" s="37">
        <f>SUM(L212:BO212)</f>
        <v>270</v>
      </c>
      <c r="L212" s="2">
        <v>150</v>
      </c>
      <c r="M212" s="2">
        <v>120</v>
      </c>
    </row>
    <row r="213" spans="1:13" ht="25.5">
      <c r="A213" s="1"/>
      <c r="C213" s="32"/>
      <c r="E213" s="32"/>
      <c r="G213" s="32"/>
      <c r="I213" s="136" t="s">
        <v>215</v>
      </c>
      <c r="J213" s="137"/>
      <c r="K213" s="37">
        <v>0</v>
      </c>
    </row>
    <row r="214" spans="1:13" ht="25.5">
      <c r="A214" s="1"/>
      <c r="C214" s="32"/>
      <c r="E214" s="32"/>
      <c r="F214" s="2" t="s">
        <v>281</v>
      </c>
      <c r="G214" s="32"/>
      <c r="I214" s="136" t="s">
        <v>216</v>
      </c>
      <c r="J214" s="137"/>
      <c r="K214" s="37">
        <v>100</v>
      </c>
    </row>
    <row r="215" spans="1:13" ht="25.5">
      <c r="A215" s="1"/>
      <c r="C215" s="32"/>
      <c r="E215" s="32"/>
      <c r="G215" s="32"/>
      <c r="I215" s="136" t="s">
        <v>217</v>
      </c>
      <c r="J215" s="137"/>
      <c r="K215" s="38">
        <f>SUM(L5:L208)</f>
        <v>0</v>
      </c>
    </row>
    <row r="216" spans="1:13" ht="25.5">
      <c r="A216" s="1"/>
      <c r="C216" s="32"/>
      <c r="E216" s="32"/>
      <c r="G216" s="32"/>
      <c r="I216" s="136" t="s">
        <v>218</v>
      </c>
      <c r="J216" s="137"/>
      <c r="K216" s="34">
        <f>K210-K211-K212-K214-K215</f>
        <v>1370</v>
      </c>
    </row>
    <row r="217" spans="1:13" ht="25.5">
      <c r="A217" s="1"/>
      <c r="C217" s="32"/>
      <c r="E217" s="32"/>
      <c r="G217" s="32"/>
      <c r="I217" s="136" t="s">
        <v>219</v>
      </c>
      <c r="J217" s="137"/>
      <c r="K217" s="38">
        <v>1370</v>
      </c>
    </row>
    <row r="218" spans="1:13" ht="25.5">
      <c r="A218" s="1"/>
      <c r="C218" s="32"/>
      <c r="E218" s="32"/>
      <c r="G218" s="32"/>
      <c r="I218" s="136" t="s">
        <v>220</v>
      </c>
      <c r="J218" s="137"/>
      <c r="K218" s="34">
        <f>+K217-K216</f>
        <v>0</v>
      </c>
    </row>
    <row r="219" spans="1:13" ht="25.5">
      <c r="G219" s="2"/>
      <c r="I219" s="136" t="s">
        <v>221</v>
      </c>
      <c r="J219" s="137"/>
      <c r="K219" s="34">
        <f>+K217-K216</f>
        <v>0</v>
      </c>
    </row>
    <row r="220" spans="1:13">
      <c r="G220" s="2"/>
      <c r="I220" s="2"/>
    </row>
    <row r="221" spans="1:13">
      <c r="G221" s="2"/>
      <c r="I221" s="2"/>
      <c r="J221" s="96" t="s">
        <v>261</v>
      </c>
      <c r="K221" s="24">
        <f>+K210-K215+K218</f>
        <v>1755</v>
      </c>
    </row>
    <row r="222" spans="1:13">
      <c r="G222" s="2"/>
      <c r="I222" s="2"/>
      <c r="J222" s="2" t="s">
        <v>262</v>
      </c>
      <c r="K222" s="24">
        <f>SUM(K211:K214)</f>
        <v>385</v>
      </c>
    </row>
    <row r="223" spans="1:13">
      <c r="G223" s="2"/>
      <c r="I223" s="2"/>
      <c r="J223" s="2" t="s">
        <v>263</v>
      </c>
      <c r="K223" s="24">
        <f>+K217</f>
        <v>1370</v>
      </c>
    </row>
    <row r="224" spans="1:13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  <row r="292" s="2" customFormat="1"/>
    <row r="293" s="2" customFormat="1"/>
    <row r="294" s="2" customFormat="1"/>
  </sheetData>
  <autoFilter ref="A1:Y219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6:J216"/>
    <mergeCell ref="M208:N208"/>
    <mergeCell ref="L3:L4"/>
    <mergeCell ref="O3:O4"/>
    <mergeCell ref="P3:P4"/>
    <mergeCell ref="Q3:Q4"/>
    <mergeCell ref="I217:J217"/>
    <mergeCell ref="I218:J218"/>
    <mergeCell ref="I219:J219"/>
    <mergeCell ref="H209:I209"/>
    <mergeCell ref="I210:J210"/>
    <mergeCell ref="I211:J211"/>
    <mergeCell ref="I213:J213"/>
    <mergeCell ref="I214:J214"/>
    <mergeCell ref="I215:J215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BEF18-13D0-4223-B411-48442BA761DD}">
  <sheetPr>
    <tabColor theme="4" tint="0.79998168889431442"/>
  </sheetPr>
  <dimension ref="A1:Z291"/>
  <sheetViews>
    <sheetView topLeftCell="A208" zoomScaleNormal="100" workbookViewId="0">
      <selection activeCell="J218" sqref="J218:K22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+'15'!G5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+'15'!G6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+'15'!G12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+'15'!G15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+'15'!G17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+'15'!G19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+'15'!G22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+'15'!G23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+'15'!G24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+'15'!G29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+'15'!G34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+'15'!G37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+'15'!G38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+'15'!G41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+'15'!G42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+'15'!G43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+'15'!G44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+'15'!G46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+'15'!G47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+'15'!G62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+'15'!G63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+'15'!G67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+'15'!G70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+'15'!G79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+'15'!G87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+'15'!G88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+'15'!G101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+'15'!G102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+'15'!G168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+'15'!G178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+'15'!G191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+'15'!G202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+'15'!G203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+'15'!G204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  <c r="J218" s="96" t="s">
        <v>261</v>
      </c>
      <c r="K218" s="24">
        <f>+K207-K212+K215</f>
        <v>0</v>
      </c>
    </row>
    <row r="219" spans="1:11">
      <c r="G219" s="2"/>
      <c r="I219" s="2"/>
      <c r="J219" s="2" t="s">
        <v>262</v>
      </c>
      <c r="K219" s="24">
        <f>SUM(K208:K211)</f>
        <v>0</v>
      </c>
    </row>
    <row r="220" spans="1:11">
      <c r="G220" s="2"/>
      <c r="I220" s="2"/>
      <c r="J220" s="2" t="s">
        <v>263</v>
      </c>
      <c r="K220" s="24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0A98F-6D62-432C-8078-2AE6B3A5CB26}">
  <sheetPr>
    <tabColor theme="4" tint="0.79998168889431442"/>
  </sheetPr>
  <dimension ref="A1:Z291"/>
  <sheetViews>
    <sheetView topLeftCell="A202" zoomScaleNormal="100" workbookViewId="0">
      <selection activeCell="J218" sqref="J218:K22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+'16'!G5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+'16'!G6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+'16'!G12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+'16'!G14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+'16'!G15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+'16'!G17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+'16'!G19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+'16'!G22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+'16'!G23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+'16'!G24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+'16'!G29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+'16'!G34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+'16'!G37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+'16'!G38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+'16'!G41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+'16'!G42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+'16'!G43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+'16'!G44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+'16'!G46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+'16'!G47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+'16'!G61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+'16'!G62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+'16'!G63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+'16'!G67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+'16'!G70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+'16'!G79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+'16'!G88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+'16'!G101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+'16'!G102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+'16'!G168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+'16'!G178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+'16'!G191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+'16'!G202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+'16'!G203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+'16'!G204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  <c r="J218" s="96" t="s">
        <v>261</v>
      </c>
      <c r="K218" s="24">
        <f>+K207-K212+K215</f>
        <v>0</v>
      </c>
    </row>
    <row r="219" spans="1:11">
      <c r="G219" s="2"/>
      <c r="I219" s="2"/>
      <c r="J219" s="2" t="s">
        <v>262</v>
      </c>
      <c r="K219" s="24">
        <f>SUM(K208:K211)</f>
        <v>0</v>
      </c>
    </row>
    <row r="220" spans="1:11">
      <c r="G220" s="2"/>
      <c r="I220" s="2"/>
      <c r="J220" s="2" t="s">
        <v>263</v>
      </c>
      <c r="K220" s="24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115FC-EA6A-43CA-BBC3-CD7192EC977C}">
  <sheetPr>
    <tabColor theme="4" tint="0.79998168889431442"/>
  </sheetPr>
  <dimension ref="A1:Z291"/>
  <sheetViews>
    <sheetView topLeftCell="A202" zoomScaleNormal="100" workbookViewId="0">
      <selection activeCell="J218" sqref="J218:K220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+'17'!G5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+'17'!G6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+'17'!G12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+'17'!G15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+'17'!G17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+'17'!G19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+'17'!G22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+'17'!G23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+'17'!G24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+'17'!G29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+'17'!G34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+'17'!G37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+'17'!G38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+'17'!G41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+'17'!G42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+'17'!G44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+'17'!G46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+'17'!G47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+'17'!G61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+'17'!G62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+'17'!G63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+'17'!G67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+'17'!G70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+'17'!G79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+'17'!G87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+'17'!G88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+'17'!G101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+'17'!G102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+'17'!G168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+'17'!G178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+'17'!G191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+'17'!G202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+'17'!G203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+'17'!G204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  <c r="J218" s="96" t="s">
        <v>261</v>
      </c>
      <c r="K218" s="24">
        <f>+K207-K212+K215</f>
        <v>0</v>
      </c>
    </row>
    <row r="219" spans="1:11">
      <c r="G219" s="2"/>
      <c r="I219" s="2"/>
      <c r="J219" s="2" t="s">
        <v>262</v>
      </c>
      <c r="K219" s="24">
        <f>SUM(K208:K211)</f>
        <v>0</v>
      </c>
    </row>
    <row r="220" spans="1:11">
      <c r="G220" s="2"/>
      <c r="I220" s="2"/>
      <c r="J220" s="2" t="s">
        <v>263</v>
      </c>
      <c r="K220" s="24">
        <f>+K214</f>
        <v>0</v>
      </c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D5201-0ECC-4DB0-8A16-1FA38DB57D3C}">
  <sheetPr>
    <tabColor theme="4" tint="0.79998168889431442"/>
  </sheetPr>
  <dimension ref="A1:Z291"/>
  <sheetViews>
    <sheetView topLeftCell="A199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+'18'!G5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+'18'!G6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+'18'!G12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+'18'!G15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+'18'!G17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+'18'!G19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+'18'!G22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+'18'!G23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+'18'!G24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+'18'!G29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+'18'!G34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+'18'!G37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+'18'!G38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+'18'!G41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+'18'!G42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+'18'!G44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+'18'!G46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+'18'!G47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+'18'!G61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+'18'!G63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+'18'!G67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+'18'!G70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+'18'!G79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+'18'!G85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+'18'!G87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+'18'!G88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+'18'!G90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+'18'!G101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+'18'!G102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+'18'!G168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+'18'!G178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+'18'!G191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+'18'!G202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+'18'!G203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+'18'!G204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3D6EC-960E-4905-97AC-0C68EA9AC8B9}">
  <sheetPr>
    <tabColor theme="4" tint="0.79998168889431442"/>
  </sheetPr>
  <dimension ref="A1:Z291"/>
  <sheetViews>
    <sheetView topLeftCell="A207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+'19'!G5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+'19'!G6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+'19'!G7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+'19'!G8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+'19'!G9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+'19'!G10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+'19'!G11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+'19'!G12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+'19'!G13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+'19'!G14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+'19'!G15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+'19'!G16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+'19'!G17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+'19'!G18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+'19'!G19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+'19'!G20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+'19'!G21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+'19'!G22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+'19'!G23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+'19'!G24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+'19'!G25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+'19'!G26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+'19'!G27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+'19'!G28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+'19'!G29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+'19'!G30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+'19'!G31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+'19'!G32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+'19'!G33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+'19'!G34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+'19'!G35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+'19'!G36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+'19'!G37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+'19'!G38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+'19'!G39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+'19'!G40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+'19'!G41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+'19'!G42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+'19'!G43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+'19'!G44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+'19'!G45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+'19'!G46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+'19'!G47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+'19'!G48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+'19'!G49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+'19'!G50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+'19'!G51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+'19'!G52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+'19'!G53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+'19'!G54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+'19'!G55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+'19'!G56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+'19'!G57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+'19'!G58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+'19'!G59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+'19'!G60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+'19'!G61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+'19'!G62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+'19'!G63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+'19'!G64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+'19'!G65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+'19'!G66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+'19'!G67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+'19'!G68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+'19'!G69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+'19'!G70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+'19'!G71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+'19'!G72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+'19'!G73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+'19'!G74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+'19'!G75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+'19'!G76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+'19'!G77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+'19'!G78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+'19'!G79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+'19'!G80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+'19'!G81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+'19'!G82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+'19'!G83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+'19'!G84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+'19'!G85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+'19'!G86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+'19'!G87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+'19'!G88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+'19'!G89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+'19'!G90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+'19'!G91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+'19'!G92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+'19'!G93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+'19'!G94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+'19'!G95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+'19'!G96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+'19'!G97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+'19'!G98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+'19'!G99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+'19'!G100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+'19'!G101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+'19'!G102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+'19'!G103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+'19'!G104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+'19'!G105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+'19'!G106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+'19'!G107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+'19'!G108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+'19'!G109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+'19'!G110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+'19'!G111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+'19'!G112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+'19'!G113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+'19'!G114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+'19'!G115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+'19'!G116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+'19'!G117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+'19'!G118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+'19'!G119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+'19'!G120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+'19'!G121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+'19'!G122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+'19'!G123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+'19'!G124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+'19'!G125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+'19'!G126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+'19'!G127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+'19'!G128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+'19'!G129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+'19'!G130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+'19'!G131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+'19'!G132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+'19'!G133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+'19'!G134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+'19'!G135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+'19'!G136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+'19'!G137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+'19'!G138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+'19'!G139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+'19'!G140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+'19'!G141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+'19'!G142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+'19'!G143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+'19'!G144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+'19'!G145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+'19'!G146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+'19'!G147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+'19'!G148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+'19'!G149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+'19'!G150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+'19'!G151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+'19'!G152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+'19'!G153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+'19'!G154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+'19'!G155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+'19'!G156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+'19'!G157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+'19'!G158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+'19'!G159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+'19'!G160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+'19'!G161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+'19'!G162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+'19'!G163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+'19'!G164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+'19'!G165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+'19'!G166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+'19'!G167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+'19'!G168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+'19'!G169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+'19'!G170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+'19'!G171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+'19'!G172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+'19'!G173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+'19'!G174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+'19'!G175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+'19'!G176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+'19'!G177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+'19'!G178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+'19'!G179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+'19'!G180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+'19'!G181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+'19'!G182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+'19'!G183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+'19'!G184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+'19'!G185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+'19'!G186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+'19'!G187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+'19'!G188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+'19'!G189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+'19'!G190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+'19'!G191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+'19'!G192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+'19'!G193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+'19'!G194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+'19'!G195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+'19'!G196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+'19'!G197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+'19'!G198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+'19'!G199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+'19'!G200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+'19'!G201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+'19'!G202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+'19'!G203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+'19'!G204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6241-16C4-40FE-BA43-AA07DD0B6933}">
  <sheetPr>
    <tabColor theme="4" tint="0.79998168889431442"/>
  </sheetPr>
  <dimension ref="A1:Z291"/>
  <sheetViews>
    <sheetView topLeftCell="A205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+'20'!G5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+'20'!G6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+'20'!G12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+'20'!G15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+'20'!G17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+'20'!G19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+'20'!G22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+'20'!G23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+'20'!G24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+'20'!G29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+'20'!G37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+'20'!G38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+'20'!G41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+'20'!G44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+'20'!G46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+'20'!G47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+'20'!G61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+'20'!G63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+'20'!G67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+'20'!G70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+'20'!G88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+'20'!G101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+'20'!G102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+'20'!G168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+'20'!G178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+'20'!G191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+'20'!G202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+'20'!G203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0169-EEEE-417D-B30F-28B7F0E1581E}">
  <sheetPr>
    <tabColor theme="4" tint="0.79998168889431442"/>
  </sheetPr>
  <dimension ref="A1:Z291"/>
  <sheetViews>
    <sheetView topLeftCell="A207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+'21'!G5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+'21'!G6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+'21'!G7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+'21'!G8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+'21'!G9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+'21'!G10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+'21'!G11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+'21'!G12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+'21'!G13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+'21'!G14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+'21'!G15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+'21'!G16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+'21'!G17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+'21'!G18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+'21'!G19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+'21'!G20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+'21'!G21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+'21'!G22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+'21'!G23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+'21'!G24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+'21'!G25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+'21'!G26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+'21'!G27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+'21'!G28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+'21'!G29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+'21'!G30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+'21'!G31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+'21'!G32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+'21'!G33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+'21'!G34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+'21'!G35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+'21'!G36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+'21'!G37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+'21'!G38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+'21'!G39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+'21'!G40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+'21'!G41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+'21'!G42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+'21'!G43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+'21'!G44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+'21'!G45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+'21'!G46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+'21'!G47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+'21'!G48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+'21'!G49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+'21'!G50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+'21'!G51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+'21'!G52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+'21'!G53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+'21'!G54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+'21'!G55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+'21'!G56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+'21'!G57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+'21'!G58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+'21'!G59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+'21'!G60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+'21'!G61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+'21'!G62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+'21'!G63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+'21'!G64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+'21'!G65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+'21'!G66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+'21'!G67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+'21'!G68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+'21'!G69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+'21'!G70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+'21'!G71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+'21'!G72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+'21'!G73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+'21'!G74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+'21'!G75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+'21'!G76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+'21'!G77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+'21'!G78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+'21'!G79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+'21'!G80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+'21'!G81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+'21'!G82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+'21'!G83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+'21'!G84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+'21'!G85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+'21'!G86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+'21'!G87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+'21'!G88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+'21'!G89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+'21'!G90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+'21'!G91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+'21'!G92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+'21'!G93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+'21'!G94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+'21'!G95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+'21'!G96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+'21'!G97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+'21'!G98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+'21'!G99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+'21'!G100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+'21'!G101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+'21'!G102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+'21'!G103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+'21'!G104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+'21'!G105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+'21'!G106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+'21'!G107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+'21'!G108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+'21'!G109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+'21'!G110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+'21'!G111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+'21'!G112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+'21'!G113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+'21'!G114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+'21'!G115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+'21'!G116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+'21'!G117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+'21'!G118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+'21'!G119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+'21'!G120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+'21'!G121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+'21'!G122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+'21'!G123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+'21'!G124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+'21'!G125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+'21'!G126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+'21'!G127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+'21'!G128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+'21'!G129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+'21'!G130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+'21'!G131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+'21'!G132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+'21'!G133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+'21'!G134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+'21'!G135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+'21'!G136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+'21'!G137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+'21'!G138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+'21'!G139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+'21'!G140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+'21'!G141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+'21'!G142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+'21'!G143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+'21'!G144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+'21'!G145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+'21'!G146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+'21'!G147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+'21'!G148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+'21'!G149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+'21'!G150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+'21'!G151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+'21'!G152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+'21'!G153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+'21'!G154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+'21'!G155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+'21'!G156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+'21'!G157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+'21'!G158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+'21'!G159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+'21'!G160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+'21'!G161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+'21'!G162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+'21'!G163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+'21'!G164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+'21'!G165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+'21'!G166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+'21'!G167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+'21'!G168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+'21'!G169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+'21'!G170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+'21'!G171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+'21'!G172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+'21'!G173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+'21'!G174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+'21'!G175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+'21'!G176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+'21'!G177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+'21'!G178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+'21'!G179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+'21'!G180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+'21'!G181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+'21'!G182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+'21'!G183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+'21'!G184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+'21'!G185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+'21'!G186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+'21'!G187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+'21'!G188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+'21'!G189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+'21'!G190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+'21'!G191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+'21'!G192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+'21'!G193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+'21'!G194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+'21'!G195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+'21'!G196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+'21'!G197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+'21'!G198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+'21'!G199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+'21'!G200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+'21'!G201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+'21'!G202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+'21'!G203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+'21'!G204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9BEBB-F0FE-4A83-9FF1-3CA61E483684}">
  <sheetPr>
    <tabColor theme="4" tint="0.79998168889431442"/>
  </sheetPr>
  <dimension ref="A1:Z291"/>
  <sheetViews>
    <sheetView topLeftCell="A205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+'22'!G5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+'22'!G6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+'22'!G7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+'22'!G8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+'22'!G9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+'22'!G10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+'22'!G11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+'22'!G12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+'22'!G13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+'22'!G14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+'22'!G15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+'22'!G16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+'22'!G17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+'22'!G18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+'22'!G19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+'22'!G20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+'22'!G21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+'22'!G22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+'22'!G23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+'22'!G24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+'22'!G25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+'22'!G26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+'22'!G27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+'22'!G28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+'22'!G29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+'22'!G30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+'22'!G31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+'22'!G32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+'22'!G33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+'22'!G34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+'22'!G35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+'22'!G36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+'22'!G37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+'22'!G38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+'22'!G39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+'22'!G40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+'22'!G41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+'22'!G42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+'22'!G43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+'22'!G44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+'22'!G45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+'22'!G46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+'22'!G47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+'22'!G48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+'22'!G49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+'22'!G50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+'22'!G51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+'22'!G52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+'22'!G53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+'22'!G54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+'22'!G55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+'22'!G56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+'22'!G57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+'22'!G58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+'22'!G59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+'22'!G60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+'22'!G61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+'22'!G62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+'22'!G63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+'22'!G64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+'22'!G65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+'22'!G66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+'22'!G67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+'22'!G68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+'22'!G69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+'22'!G70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+'22'!G71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+'22'!G72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+'22'!G73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+'22'!G74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+'22'!G75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+'22'!G76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+'22'!G77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+'22'!G78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+'22'!G79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+'22'!G80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+'22'!G81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+'22'!G82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+'22'!G83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+'22'!G84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+'22'!G85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+'22'!G86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+'22'!G87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+'22'!G88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+'22'!G89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+'22'!G90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+'22'!G91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+'22'!G92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+'22'!G93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+'22'!G94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+'22'!G95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+'22'!G96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+'22'!G97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+'22'!G98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+'22'!G99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+'22'!G100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+'22'!G101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+'22'!G102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+'22'!G103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+'22'!G104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+'22'!G105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+'22'!G106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+'22'!G107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+'22'!G108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+'22'!G109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+'22'!G110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+'22'!G111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+'22'!G112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+'22'!G113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+'22'!G114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+'22'!G115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+'22'!G116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+'22'!G117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+'22'!G118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+'22'!G119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+'22'!G120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+'22'!G121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+'22'!G122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+'22'!G123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+'22'!G124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+'22'!G125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+'22'!G126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+'22'!G127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+'22'!G128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+'22'!G129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+'22'!G130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+'22'!G131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+'22'!G132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+'22'!G133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+'22'!G134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+'22'!G135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+'22'!G136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+'22'!G137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+'22'!G138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+'22'!G139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+'22'!G140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+'22'!G141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+'22'!G142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+'22'!G143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+'22'!G144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+'22'!G145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+'22'!G146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+'22'!G147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+'22'!G148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+'22'!G149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+'22'!G150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+'22'!G151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+'22'!G152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+'22'!G153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+'22'!G154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+'22'!G155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+'22'!G156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+'22'!G157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+'22'!G158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+'22'!G159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+'22'!G160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+'22'!G161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+'22'!G162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+'22'!G163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+'22'!G164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+'22'!G165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+'22'!G166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+'22'!G167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+'22'!G168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+'22'!G169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+'22'!G170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+'22'!G171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+'22'!G172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+'22'!G173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+'22'!G174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+'22'!G175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+'22'!G176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+'22'!G177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+'22'!G178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+'22'!G179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+'22'!G180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+'22'!G181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+'22'!G182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+'22'!G183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+'22'!G184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+'22'!G185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+'22'!G186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+'22'!G187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+'22'!G188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+'22'!G189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+'22'!G190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+'22'!G191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+'22'!G192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+'22'!G193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+'22'!G194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+'22'!G195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+'22'!G196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+'22'!G197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+'22'!G198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+'22'!G199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+'22'!G200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+'22'!G201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+'22'!G202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+'22'!G203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+'22'!G204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2A178-1F55-4A9B-B690-59C0846A9732}">
  <sheetPr>
    <tabColor theme="4" tint="0.79998168889431442"/>
  </sheetPr>
  <dimension ref="A1:Z291"/>
  <sheetViews>
    <sheetView topLeftCell="A200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+'23'!G5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+'23'!G6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+'23'!G7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+'23'!G8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+'23'!G9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+'23'!G10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+'23'!G11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+'23'!G12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+'23'!G13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+'23'!G14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+'23'!G15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+'23'!G16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+'23'!G17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+'23'!G18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+'23'!G19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+'23'!G20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+'23'!G21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+'23'!G22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+'23'!G23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+'23'!G24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+'23'!G25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+'23'!G26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+'23'!G27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+'23'!G28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+'23'!G29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+'23'!G30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+'23'!G31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+'23'!G32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+'23'!G33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+'23'!G34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+'23'!G35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+'23'!G36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+'23'!G37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+'23'!G38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+'23'!G39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+'23'!G40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+'23'!G41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+'23'!G42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+'23'!G43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+'23'!G44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+'23'!G45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+'23'!G46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+'23'!G47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+'23'!G48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+'23'!G49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+'23'!G50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+'23'!G51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+'23'!G52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+'23'!G53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+'23'!G54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+'23'!G55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+'23'!G56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+'23'!G57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+'23'!G58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+'23'!G59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+'23'!G60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+'23'!G61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+'23'!G62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+'23'!G63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+'23'!G64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+'23'!G65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+'23'!G66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+'23'!G67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+'23'!G68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+'23'!G69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+'23'!G70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+'23'!G71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+'23'!G72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+'23'!G73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+'23'!G74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+'23'!G75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+'23'!G76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+'23'!G77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+'23'!G78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+'23'!G79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+'23'!G80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+'23'!G81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+'23'!G82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+'23'!G83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+'23'!G84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+'23'!G85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+'23'!G86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+'23'!G87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+'23'!G88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+'23'!G89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+'23'!G90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+'23'!G91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+'23'!G92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+'23'!G93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+'23'!G94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+'23'!G95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+'23'!G96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+'23'!G97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+'23'!G98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+'23'!G99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+'23'!G100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+'23'!G101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+'23'!G102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+'23'!G103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+'23'!G104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+'23'!G105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+'23'!G106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+'23'!G107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+'23'!G108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+'23'!G109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+'23'!G110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+'23'!G111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+'23'!G112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+'23'!G113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+'23'!G114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+'23'!G115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+'23'!G116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+'23'!G117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+'23'!G118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+'23'!G119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+'23'!G120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+'23'!G121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+'23'!G122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+'23'!G123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+'23'!G124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+'23'!G125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+'23'!G126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+'23'!G127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+'23'!G128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+'23'!G129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+'23'!G130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+'23'!G131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+'23'!G132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+'23'!G133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+'23'!G134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+'23'!G135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+'23'!G136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+'23'!G137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+'23'!G138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+'23'!G139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+'23'!G140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+'23'!G141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+'23'!G142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+'23'!G143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+'23'!G144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+'23'!G145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+'23'!G146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+'23'!G147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+'23'!G148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+'23'!G149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+'23'!G150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+'23'!G151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+'23'!G152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+'23'!G153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+'23'!G154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+'23'!G155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+'23'!G156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+'23'!G157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+'23'!G158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+'23'!G159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+'23'!G160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+'23'!G161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+'23'!G162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+'23'!G163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+'23'!G164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+'23'!G165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+'23'!G166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+'23'!G167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+'23'!G168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+'23'!G169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+'23'!G170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+'23'!G171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+'23'!G172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+'23'!G173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+'23'!G174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+'23'!G175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+'23'!G176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+'23'!G177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+'23'!G178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+'23'!G179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+'23'!G180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+'23'!G181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+'23'!G182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+'23'!G183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+'23'!G184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+'23'!G185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+'23'!G186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+'23'!G187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+'23'!G188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+'23'!G189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+'23'!G190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+'23'!G191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+'23'!G192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+'23'!G193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+'23'!G194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+'23'!G195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+'23'!G196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+'23'!G197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+'23'!G198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+'23'!G199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+'23'!G200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+'23'!G201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+'23'!G202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+'23'!G203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+'23'!G204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CD9AF-0BAF-4B1C-9985-39BD929D19FD}">
  <sheetPr>
    <tabColor theme="4" tint="0.79998168889431442"/>
  </sheetPr>
  <dimension ref="A1:Z291"/>
  <sheetViews>
    <sheetView topLeftCell="A196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+'24'!G5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+'24'!G6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+'24'!G7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+'24'!G8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+'24'!G9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+'24'!G10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+'24'!G11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+'24'!G12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+'24'!G13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+'24'!G14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+'24'!G15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+'24'!G16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+'24'!G17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+'24'!G18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+'24'!G19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+'24'!G20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+'24'!G21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+'24'!G22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+'24'!G23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+'24'!G24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+'24'!G25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+'24'!G26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+'24'!G27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+'24'!G28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+'24'!G29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+'24'!G30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+'24'!G31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+'24'!G32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+'24'!G33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+'24'!G34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+'24'!G35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+'24'!G36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+'24'!G37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+'24'!G38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+'24'!G39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+'24'!G40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+'24'!G41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+'24'!G42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+'24'!G43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+'24'!G44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+'24'!G45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+'24'!G46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+'24'!G47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+'24'!G48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+'24'!G49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+'24'!G50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+'24'!G51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+'24'!G52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+'24'!G53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+'24'!G54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+'24'!G55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+'24'!G56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+'24'!G57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+'24'!G58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+'24'!G59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+'24'!G60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+'24'!G61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+'24'!G62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+'24'!G63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+'24'!G64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+'24'!G65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+'24'!G66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+'24'!G67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+'24'!G68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+'24'!G69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+'24'!G70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+'24'!G71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+'24'!G72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+'24'!G73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+'24'!G74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+'24'!G75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+'24'!G76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+'24'!G77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+'24'!G78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+'24'!G79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+'24'!G80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+'24'!G81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+'24'!G82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+'24'!G83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+'24'!G84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+'24'!G85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+'24'!G86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+'24'!G87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+'24'!G88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+'24'!G89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+'24'!G90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+'24'!G91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+'24'!G92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+'24'!G93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+'24'!G94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+'24'!G95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+'24'!G96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+'24'!G97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+'24'!G98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+'24'!G99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+'24'!G100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+'24'!G101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+'24'!G102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+'24'!G103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+'24'!G104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+'24'!G105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+'24'!G106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+'24'!G107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+'24'!G108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+'24'!G109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+'24'!G110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+'24'!G111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+'24'!G112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+'24'!G113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+'24'!G114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+'24'!G115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+'24'!G116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+'24'!G117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+'24'!G118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+'24'!G119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+'24'!G120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+'24'!G121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+'24'!G122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+'24'!G123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+'24'!G124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+'24'!G125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+'24'!G126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+'24'!G127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+'24'!G128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+'24'!G129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+'24'!G130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+'24'!G131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+'24'!G132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+'24'!G133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+'24'!G134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+'24'!G135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+'24'!G136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+'24'!G137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+'24'!G138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+'24'!G139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+'24'!G140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+'24'!G141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+'24'!G142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+'24'!G143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+'24'!G144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+'24'!G145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+'24'!G146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+'24'!G147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+'24'!G148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+'24'!G149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+'24'!G150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+'24'!G151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+'24'!G152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+'24'!G153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+'24'!G154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+'24'!G155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+'24'!G156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+'24'!G157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+'24'!G158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+'24'!G159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+'24'!G160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+'24'!G161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+'24'!G162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+'24'!G163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+'24'!G164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+'24'!G165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+'24'!G166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+'24'!G167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+'24'!G168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+'24'!G169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+'24'!G170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+'24'!G171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+'24'!G172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+'24'!G173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+'24'!G174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+'24'!G175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+'24'!G176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+'24'!G177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+'24'!G178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+'24'!G179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+'24'!G180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+'24'!G181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+'24'!G182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+'24'!G183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+'24'!G184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+'24'!G185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+'24'!G186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+'24'!G187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+'24'!G188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+'24'!G189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+'24'!G190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+'24'!G191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+'24'!G192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+'24'!G193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+'24'!G194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+'24'!G195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+'24'!G196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+'24'!G197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+'24'!G198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+'24'!G199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+'24'!G200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+'24'!G201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+'24'!G202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+'24'!G203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+'24'!G204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4E4E5-4F09-4339-B7FF-459341072B59}">
  <sheetPr>
    <tabColor theme="4" tint="0.79998168889431442"/>
  </sheetPr>
  <dimension ref="A1:Z291"/>
  <sheetViews>
    <sheetView topLeftCell="A205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+'25'!G5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+'25'!G6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+'25'!G7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+'25'!G8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+'25'!G9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+'25'!G10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+'25'!G11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+'25'!G12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+'25'!G13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+'25'!G14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+'25'!G15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+'25'!G16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+'25'!G17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+'25'!G18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+'25'!G19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+'25'!G20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+'25'!G21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+'25'!G22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+'25'!G23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+'25'!G24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+'25'!G25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+'25'!G26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+'25'!G27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+'25'!G28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+'25'!G29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+'25'!G30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+'25'!G31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+'25'!G32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+'25'!G33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+'25'!G34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+'25'!G35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+'25'!G36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+'25'!G37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+'25'!G38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+'25'!G39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+'25'!G40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+'25'!G41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+'25'!G42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+'25'!G43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+'25'!G44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+'25'!G45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+'25'!G46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+'25'!G47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+'25'!G48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+'25'!G49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+'25'!G50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+'25'!G51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+'25'!G52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+'25'!G53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+'25'!G54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+'25'!G55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+'25'!G56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+'25'!G57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+'25'!G58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+'25'!G59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+'25'!G60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+'25'!G61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+'25'!G62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+'25'!G63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+'25'!G64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+'25'!G65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+'25'!G66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+'25'!G67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+'25'!G68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+'25'!G69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+'25'!G70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+'25'!G71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+'25'!G72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+'25'!G73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+'25'!G74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+'25'!G75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+'25'!G76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+'25'!G77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+'25'!G78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+'25'!G79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+'25'!G80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+'25'!G81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+'25'!G82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+'25'!G83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+'25'!G84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+'25'!G85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+'25'!G86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+'25'!G87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+'25'!G88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+'25'!G89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+'25'!G90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+'25'!G91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+'25'!G92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+'25'!G93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+'25'!G94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+'25'!G95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+'25'!G96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+'25'!G97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+'25'!G98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+'25'!G99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+'25'!G100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+'25'!G101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+'25'!G102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+'25'!G103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+'25'!G104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+'25'!G105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+'25'!G106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+'25'!G107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+'25'!G108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+'25'!G109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+'25'!G110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+'25'!G111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+'25'!G112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+'25'!G113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+'25'!G114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+'25'!G115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+'25'!G116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+'25'!G117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+'25'!G118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+'25'!G119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+'25'!G120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+'25'!G121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+'25'!G122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+'25'!G123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+'25'!G124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+'25'!G125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+'25'!G126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+'25'!G127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+'25'!G128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+'25'!G129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+'25'!G130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+'25'!G131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+'25'!G132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+'25'!G133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+'25'!G134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+'25'!G135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+'25'!G136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+'25'!G137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+'25'!G138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+'25'!G139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+'25'!G140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+'25'!G141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+'25'!G142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+'25'!G143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+'25'!G144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+'25'!G145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+'25'!G146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+'25'!G147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+'25'!G148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+'25'!G149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+'25'!G150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+'25'!G151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+'25'!G152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+'25'!G153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+'25'!G154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+'25'!G155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+'25'!G156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+'25'!G157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+'25'!G158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+'25'!G159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+'25'!G160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+'25'!G161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+'25'!G162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+'25'!G163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+'25'!G164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+'25'!G165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+'25'!G166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+'25'!G167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+'25'!G168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+'25'!G169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+'25'!G170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+'25'!G171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+'25'!G172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+'25'!G173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+'25'!G174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+'25'!G175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+'25'!G176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+'25'!G177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+'25'!G178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+'25'!G179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+'25'!G180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+'25'!G181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+'25'!G182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+'25'!G183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+'25'!G184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+'25'!G185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+'25'!G186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+'25'!G187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+'25'!G188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+'25'!G189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+'25'!G190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+'25'!G191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+'25'!G192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+'25'!G193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+'25'!G194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+'25'!G195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+'25'!G196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+'25'!G197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+'25'!G198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+'25'!G199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+'25'!G200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+'25'!G201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+'25'!G202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+'25'!G203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+'25'!G204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8FD4-9942-41FD-A4ED-F2CF4F968310}">
  <sheetPr>
    <tabColor theme="4" tint="0.79998168889431442"/>
  </sheetPr>
  <dimension ref="A1:Z291"/>
  <sheetViews>
    <sheetView topLeftCell="A201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+'26'!G5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+'26'!G6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+'26'!G7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+'26'!G8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+'26'!G9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+'26'!G10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+'26'!G11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+'26'!G12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+'26'!G13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+'26'!G14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+'26'!G15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+'26'!G16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+'26'!G17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+'26'!G18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+'26'!G19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+'26'!G20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+'26'!G21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+'26'!G22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+'26'!G23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+'26'!G24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+'26'!G25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+'26'!G26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+'26'!G27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+'26'!G28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+'26'!G29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+'26'!G30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+'26'!G31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+'26'!G32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+'26'!G33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+'26'!G34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+'26'!G35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+'26'!G36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+'26'!G37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+'26'!G38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+'26'!G39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+'26'!G40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+'26'!G41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+'26'!G42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+'26'!G43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+'26'!G44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+'26'!G45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+'26'!G46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+'26'!G47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+'26'!G48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+'26'!G49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+'26'!G50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+'26'!G51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+'26'!G52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+'26'!G53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+'26'!G54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+'26'!G55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+'26'!G56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+'26'!G57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+'26'!G58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+'26'!G59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+'26'!G60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+'26'!G61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+'26'!G62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+'26'!G63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+'26'!G64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+'26'!G65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+'26'!G66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+'26'!G67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+'26'!G68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+'26'!G69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+'26'!G70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+'26'!G71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+'26'!G72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+'26'!G73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+'26'!G74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+'26'!G75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+'26'!G76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+'26'!G77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+'26'!G78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+'26'!G79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+'26'!G80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+'26'!G81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+'26'!G82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+'26'!G83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+'26'!G84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+'26'!G85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+'26'!G86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+'26'!G87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+'26'!G88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+'26'!G89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+'26'!G90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+'26'!G91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+'26'!G92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+'26'!G93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+'26'!G94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+'26'!G95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+'26'!G96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+'26'!G97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+'26'!G98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+'26'!G99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+'26'!G100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+'26'!G101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+'26'!G102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+'26'!G103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+'26'!G104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+'26'!G105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+'26'!G106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+'26'!G107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+'26'!G108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+'26'!G109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+'26'!G110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+'26'!G111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+'26'!G112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+'26'!G113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+'26'!G114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+'26'!G115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+'26'!G116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+'26'!G117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+'26'!G118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+'26'!G119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+'26'!G120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+'26'!G121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+'26'!G122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+'26'!G123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+'26'!G124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+'26'!G125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+'26'!G126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+'26'!G127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+'26'!G128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+'26'!G129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+'26'!G130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+'26'!G131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+'26'!G132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+'26'!G133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+'26'!G134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+'26'!G135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+'26'!G136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+'26'!G137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+'26'!G138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+'26'!G139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+'26'!G140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+'26'!G141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+'26'!G142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+'26'!G143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+'26'!G144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+'26'!G145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+'26'!G146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+'26'!G147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+'26'!G148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+'26'!G149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+'26'!G150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+'26'!G151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+'26'!G152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+'26'!G153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+'26'!G154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+'26'!G155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+'26'!G156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+'26'!G157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+'26'!G158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+'26'!G159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+'26'!G160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+'26'!G161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+'26'!G162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+'26'!G163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+'26'!G164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+'26'!G165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+'26'!G166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+'26'!G167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+'26'!G168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+'26'!G169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+'26'!G170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+'26'!G171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+'26'!G172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+'26'!G173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+'26'!G174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+'26'!G175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+'26'!G176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+'26'!G177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+'26'!G178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+'26'!G179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+'26'!G180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+'26'!G181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+'26'!G182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+'26'!G183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+'26'!G184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+'26'!G185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+'26'!G186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+'26'!G187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+'26'!G188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+'26'!G189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+'26'!G190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+'26'!G191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+'26'!G192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+'26'!G193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+'26'!G194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+'26'!G195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+'26'!G196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+'26'!G197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+'26'!G198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+'26'!G199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+'26'!G200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+'26'!G201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+'26'!G202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+'26'!G203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+'26'!G204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F9344-60E7-4F46-97E7-380008AB540B}">
  <sheetPr>
    <tabColor theme="4" tint="0.79998168889431442"/>
  </sheetPr>
  <dimension ref="A1:Z291"/>
  <sheetViews>
    <sheetView topLeftCell="A197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+'27'!G5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+'27'!G6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+'27'!G7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+'27'!G8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+'27'!G9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+'27'!G10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+'27'!G11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+'27'!G12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+'27'!G13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+'27'!G14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+'27'!G15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+'27'!G16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+'27'!G17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+'27'!G18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+'27'!G19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+'27'!G20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+'27'!G21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+'27'!G22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+'27'!G23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+'27'!G24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+'27'!G25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+'27'!G26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+'27'!G27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+'27'!G28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+'27'!G29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+'27'!G30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+'27'!G31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+'27'!G32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+'27'!G33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+'27'!G34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+'27'!G35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+'27'!G36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+'27'!G37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+'27'!G38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+'27'!G39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+'27'!G40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+'27'!G41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+'27'!G42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+'27'!G43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+'27'!G44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+'27'!G45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+'27'!G46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+'27'!G47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+'27'!G48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+'27'!G49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+'27'!G50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+'27'!G51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+'27'!G52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+'27'!G53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+'27'!G54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+'27'!G55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+'27'!G56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+'27'!G57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+'27'!G58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+'27'!G59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+'27'!G60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+'27'!G61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+'27'!G62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+'27'!G63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+'27'!G64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+'27'!G65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+'27'!G66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+'27'!G67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+'27'!G68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+'27'!G69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+'27'!G70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+'27'!G71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+'27'!G72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+'27'!G73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+'27'!G74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+'27'!G75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+'27'!G76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+'27'!G77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+'27'!G78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+'27'!G79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+'27'!G80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+'27'!G81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+'27'!G82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+'27'!G83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+'27'!G84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+'27'!G85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+'27'!G86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+'27'!G87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+'27'!G88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+'27'!G89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+'27'!G90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+'27'!G91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+'27'!G92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+'27'!G93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+'27'!G94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+'27'!G95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+'27'!G96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+'27'!G97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+'27'!G98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+'27'!G99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+'27'!G100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+'27'!G101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+'27'!G102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+'27'!G103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+'27'!G104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+'27'!G105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+'27'!G106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+'27'!G107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+'27'!G108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+'27'!G109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+'27'!G110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+'27'!G111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+'27'!G112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+'27'!G113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+'27'!G114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+'27'!G115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+'27'!G116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+'27'!G117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+'27'!G118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+'27'!G119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+'27'!G120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+'27'!G121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+'27'!G122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+'27'!G123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+'27'!G124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+'27'!G125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+'27'!G126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+'27'!G127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+'27'!G128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+'27'!G129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+'27'!G130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+'27'!G131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+'27'!G132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+'27'!G133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+'27'!G134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+'27'!G135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+'27'!G136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+'27'!G137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+'27'!G138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+'27'!G139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+'27'!G140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+'27'!G141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+'27'!G142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+'27'!G143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+'27'!G144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+'27'!G145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+'27'!G146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+'27'!G147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+'27'!G148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+'27'!G149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+'27'!G150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+'27'!G151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+'27'!G152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+'27'!G153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+'27'!G154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+'27'!G155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+'27'!G156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+'27'!G157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+'27'!G158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+'27'!G159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+'27'!G160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+'27'!G161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+'27'!G162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+'27'!G163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+'27'!G164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+'27'!G165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+'27'!G166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+'27'!G167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+'27'!G168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+'27'!G169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+'27'!G170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+'27'!G171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+'27'!G172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+'27'!G173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+'27'!G174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+'27'!G175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+'27'!G176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+'27'!G177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+'27'!G178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+'27'!G179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+'27'!G180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+'27'!G181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+'27'!G182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+'27'!G183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+'27'!G184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+'27'!G185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+'27'!G186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+'27'!G187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+'27'!G188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+'27'!G189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+'27'!G190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+'27'!G191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+'27'!G192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+'27'!G193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+'27'!G194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+'27'!G195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+'27'!G196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+'27'!G197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+'27'!G198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+'27'!G199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+'27'!G200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+'27'!G201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+'27'!G202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+'27'!G203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+'27'!G204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5187-D7F5-49BF-A153-3790C47536B7}">
  <sheetPr>
    <tabColor theme="4" tint="0.79998168889431442"/>
  </sheetPr>
  <dimension ref="A1:Z291"/>
  <sheetViews>
    <sheetView topLeftCell="A197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+'28'!G5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+'28'!G6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+'28'!G7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+'28'!G8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+'28'!G9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+'28'!G10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+'28'!G11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+'28'!G12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+'28'!G13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+'28'!G14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+'28'!G15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+'28'!G16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+'28'!G17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+'28'!G18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+'28'!G19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+'28'!G20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+'28'!G21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+'28'!G22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+'28'!G23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+'28'!G24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+'28'!G25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+'28'!G26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+'28'!G27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+'28'!G28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+'28'!G29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+'28'!G30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+'28'!G31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+'28'!G32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+'28'!G33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+'28'!G34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+'28'!G35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+'28'!G36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+'28'!G37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+'28'!G38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+'28'!G39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+'28'!G40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+'28'!G41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+'28'!G42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+'28'!G43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+'28'!G44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+'28'!G45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+'28'!G46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+'28'!G47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+'28'!G48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+'28'!G49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+'28'!G50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+'28'!G51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+'28'!G52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+'28'!G53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+'28'!G54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+'28'!G55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+'28'!G56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+'28'!G57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+'28'!G58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+'28'!G59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+'28'!G60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+'28'!G61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+'28'!G62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+'28'!G63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+'28'!G64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+'28'!G65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+'28'!G66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+'28'!G67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+'28'!G68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+'28'!G69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+'28'!G70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+'28'!G71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+'28'!G72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+'28'!G73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+'28'!G74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+'28'!G75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+'28'!G76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+'28'!G77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+'28'!G78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+'28'!G79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+'28'!G80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+'28'!G81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+'28'!G82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+'28'!G83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+'28'!G84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+'28'!G85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+'28'!G86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+'28'!G87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+'28'!G88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+'28'!G89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+'28'!G90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+'28'!G91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+'28'!G92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+'28'!G93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+'28'!G94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+'28'!G95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+'28'!G96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+'28'!G97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+'28'!G98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+'28'!G99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+'28'!G100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+'28'!G101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+'28'!G102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+'28'!G103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+'28'!G104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+'28'!G105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+'28'!G106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+'28'!G107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+'28'!G108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+'28'!G109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+'28'!G110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+'28'!G111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+'28'!G112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+'28'!G113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+'28'!G114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+'28'!G115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+'28'!G116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+'28'!G117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+'28'!G118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+'28'!G119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+'28'!G120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+'28'!G121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+'28'!G122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+'28'!G123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+'28'!G124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+'28'!G125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+'28'!G126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+'28'!G127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+'28'!G128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+'28'!G129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+'28'!G130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+'28'!G131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+'28'!G132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+'28'!G133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+'28'!G134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+'28'!G135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+'28'!G136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+'28'!G137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+'28'!G138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+'28'!G139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+'28'!G140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+'28'!G141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+'28'!G142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+'28'!G143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+'28'!G144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+'28'!G145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+'28'!G146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+'28'!G147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+'28'!G148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+'28'!G149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+'28'!G150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+'28'!G151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+'28'!G152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+'28'!G153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+'28'!G154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+'28'!G155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+'28'!G156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+'28'!G157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+'28'!G158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+'28'!G159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+'28'!G160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+'28'!G161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+'28'!G162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+'28'!G163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+'28'!G164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+'28'!G165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+'28'!G166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+'28'!G167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+'28'!G168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+'28'!G169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+'28'!G170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+'28'!G171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+'28'!G172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+'28'!G173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+'28'!G174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+'28'!G175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+'28'!G176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+'28'!G177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+'28'!G178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+'28'!G179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+'28'!G180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+'28'!G181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+'28'!G182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+'28'!G183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+'28'!G184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+'28'!G185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+'28'!G186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+'28'!G187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+'28'!G188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+'28'!G189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+'28'!G190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+'28'!G191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+'28'!G192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+'28'!G193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+'28'!G194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+'28'!G195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+'28'!G196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+'28'!G197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+'28'!G198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+'28'!G199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+'28'!G200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+'28'!G201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+'28'!G202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+'28'!G203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+'28'!G204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6897F-A257-4BFD-AE48-DB75E3B3B754}">
  <sheetPr>
    <tabColor theme="4" tint="0.79998168889431442"/>
  </sheetPr>
  <dimension ref="A1:Z291"/>
  <sheetViews>
    <sheetView topLeftCell="A202" zoomScaleNormal="100" workbookViewId="0">
      <selection activeCell="K215" sqref="K21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+'29'!G5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+'29'!G6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+'29'!G7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+'29'!G8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+'29'!G9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+'29'!G10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+'29'!G11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+'29'!G12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+'29'!G13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+'29'!G14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+'29'!G15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+'29'!G16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+'29'!G17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+'29'!G18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+'29'!G19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+'29'!G20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+'29'!G21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+'29'!G22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+'29'!G23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+'29'!G24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+'29'!G25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+'29'!G26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+'29'!G27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+'29'!G28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+'29'!G29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+'29'!G30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+'29'!G31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+'29'!G32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+'29'!G33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+'29'!G34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+'29'!G35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+'29'!G36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+'29'!G37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+'29'!G38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+'29'!G39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+'29'!G40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+'29'!G41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+'29'!G42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+'29'!G43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+'29'!G44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+'29'!G45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+'29'!G46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+'29'!G47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+'29'!G48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+'29'!G49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+'29'!G50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+'29'!G51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+'29'!G52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+'29'!G53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+'29'!G54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+'29'!G55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+'29'!G56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+'29'!G57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+'29'!G58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+'29'!G59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+'29'!G60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+'29'!G61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+'29'!G62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+'29'!G63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+'29'!G64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+'29'!G65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+'29'!G66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+'29'!G67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+'29'!G68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+'29'!G69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+'29'!G70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+'29'!G71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+'29'!G72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+'29'!G73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+'29'!G74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+'29'!G75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+'29'!G76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+'29'!G77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+'29'!G78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+'29'!G79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+'29'!G80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+'29'!G81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+'29'!G82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+'29'!G83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+'29'!G84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+'29'!G85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+'29'!G86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+'29'!G87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+'29'!G88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+'29'!G89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+'29'!G90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+'29'!G91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+'29'!G92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+'29'!G93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+'29'!G94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+'29'!G95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+'29'!G96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+'29'!G97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+'29'!G98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+'29'!G99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+'29'!G100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+'29'!G101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+'29'!G102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+'29'!G103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+'29'!G104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+'29'!G105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+'29'!G106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+'29'!G107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+'29'!G108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+'29'!G109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+'29'!G110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+'29'!G111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+'29'!G112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+'29'!G113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+'29'!G114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+'29'!G115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+'29'!G116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+'29'!G117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+'29'!G118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+'29'!G119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+'29'!G120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+'29'!G121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+'29'!G122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+'29'!G123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+'29'!G124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+'29'!G125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+'29'!G126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+'29'!G127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+'29'!G128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+'29'!G129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+'29'!G130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+'29'!G131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+'29'!G132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+'29'!G133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+'29'!G134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+'29'!G135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+'29'!G136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+'29'!G137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+'29'!G138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+'29'!G139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+'29'!G140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+'29'!G141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+'29'!G142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+'29'!G143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+'29'!G144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+'29'!G145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+'29'!G146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+'29'!G147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+'29'!G148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+'29'!G149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+'29'!G150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+'29'!G151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+'29'!G152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+'29'!G153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+'29'!G154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+'29'!G155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+'29'!G156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+'29'!G157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+'29'!G158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+'29'!G159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+'29'!G160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+'29'!G161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+'29'!G162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+'29'!G163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+'29'!G164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+'29'!G165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+'29'!G166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+'29'!G167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+'29'!G168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+'29'!G169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+'29'!G170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+'29'!G171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+'29'!G172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+'29'!G173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+'29'!G174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+'29'!G175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+'29'!G176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+'29'!G177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+'29'!G178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+'29'!G179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+'29'!G180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+'29'!G181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+'29'!G182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+'29'!G183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+'29'!G184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+'29'!G185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+'29'!G186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+'29'!G187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+'29'!G188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+'29'!G189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+'29'!G190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+'29'!G191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+'29'!G192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+'29'!G193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+'29'!G194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+'29'!G195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+'29'!G196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+'29'!G197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+'29'!G198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+'29'!G199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+'29'!G200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+'29'!G201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+'29'!G202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+'29'!G203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+'29'!G204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6E973-FEA0-4E85-BF84-D5B2A69D6F48}">
  <sheetPr>
    <tabColor theme="4" tint="0.79998168889431442"/>
  </sheetPr>
  <dimension ref="A1:Z291"/>
  <sheetViews>
    <sheetView topLeftCell="A196" zoomScaleNormal="100" workbookViewId="0">
      <selection activeCell="L5" sqref="L5:L205"/>
    </sheetView>
  </sheetViews>
  <sheetFormatPr defaultColWidth="9" defaultRowHeight="24.75"/>
  <cols>
    <col min="1" max="1" width="5.42578125" style="2" bestFit="1" customWidth="1"/>
    <col min="2" max="2" width="34.5703125" style="2" bestFit="1" customWidth="1"/>
    <col min="3" max="4" width="6.5703125" style="2" bestFit="1" customWidth="1"/>
    <col min="5" max="5" width="7.5703125" style="2" bestFit="1" customWidth="1"/>
    <col min="6" max="6" width="6.85546875" style="2" bestFit="1" customWidth="1"/>
    <col min="7" max="7" width="7.5703125" style="39" bestFit="1" customWidth="1"/>
    <col min="8" max="8" width="6.7109375" style="2" bestFit="1" customWidth="1"/>
    <col min="9" max="9" width="14.140625" style="40" bestFit="1" customWidth="1"/>
    <col min="10" max="10" width="9.140625" style="2" bestFit="1" customWidth="1"/>
    <col min="11" max="11" width="10.140625" style="2" bestFit="1" customWidth="1"/>
    <col min="12" max="12" width="6.7109375" style="2" bestFit="1" customWidth="1"/>
    <col min="13" max="13" width="9.140625" style="2" bestFit="1" customWidth="1"/>
    <col min="14" max="14" width="9" style="2"/>
    <col min="15" max="15" width="5.42578125" style="2" bestFit="1" customWidth="1"/>
    <col min="16" max="16" width="6.85546875" style="2" bestFit="1" customWidth="1"/>
    <col min="17" max="17" width="5.28515625" style="2" bestFit="1" customWidth="1"/>
    <col min="18" max="19" width="4.7109375" style="2" bestFit="1" customWidth="1"/>
    <col min="20" max="20" width="6.85546875" style="2" bestFit="1" customWidth="1"/>
    <col min="21" max="21" width="7.28515625" style="2" bestFit="1" customWidth="1"/>
    <col min="22" max="22" width="6.7109375" style="2" bestFit="1" customWidth="1"/>
    <col min="23" max="23" width="2.7109375" style="2" bestFit="1" customWidth="1"/>
    <col min="24" max="24" width="7" style="2" bestFit="1" customWidth="1"/>
    <col min="25" max="25" width="8.5703125" style="2" bestFit="1" customWidth="1"/>
    <col min="26" max="26" width="6.7109375" style="2" bestFit="1" customWidth="1"/>
    <col min="27" max="16384" width="9" style="2"/>
  </cols>
  <sheetData>
    <row r="1" spans="1:26">
      <c r="A1" s="1"/>
      <c r="G1" s="2"/>
      <c r="I1" s="2"/>
    </row>
    <row r="2" spans="1:26" s="3" customFormat="1" ht="30" thickBot="1">
      <c r="A2" s="147" t="s">
        <v>222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O2" s="148" t="s">
        <v>0</v>
      </c>
      <c r="P2" s="148"/>
      <c r="Q2" s="148"/>
      <c r="R2" s="148"/>
      <c r="S2" s="148"/>
      <c r="T2" s="148"/>
      <c r="U2" s="148"/>
      <c r="V2" s="148"/>
      <c r="W2" s="148"/>
      <c r="X2" s="148"/>
      <c r="Y2" s="148"/>
    </row>
    <row r="3" spans="1:26" s="5" customFormat="1" ht="26.25">
      <c r="A3" s="139" t="s">
        <v>1</v>
      </c>
      <c r="B3" s="139" t="s">
        <v>2</v>
      </c>
      <c r="C3" s="134" t="s">
        <v>3</v>
      </c>
      <c r="D3" s="134" t="s">
        <v>4</v>
      </c>
      <c r="E3" s="134" t="s">
        <v>5</v>
      </c>
      <c r="F3" s="4" t="s">
        <v>6</v>
      </c>
      <c r="G3" s="145" t="s">
        <v>7</v>
      </c>
      <c r="H3" s="140" t="s">
        <v>8</v>
      </c>
      <c r="I3" s="141"/>
      <c r="J3" s="142"/>
      <c r="K3" s="143" t="s">
        <v>9</v>
      </c>
      <c r="L3" s="130" t="s">
        <v>10</v>
      </c>
      <c r="O3" s="139" t="s">
        <v>1</v>
      </c>
      <c r="P3" s="139" t="s">
        <v>2</v>
      </c>
      <c r="Q3" s="134" t="s">
        <v>3</v>
      </c>
      <c r="R3" s="134" t="s">
        <v>4</v>
      </c>
      <c r="S3" s="134" t="s">
        <v>5</v>
      </c>
      <c r="T3" s="4" t="s">
        <v>6</v>
      </c>
      <c r="U3" s="145" t="s">
        <v>7</v>
      </c>
      <c r="V3" s="140" t="s">
        <v>8</v>
      </c>
      <c r="W3" s="141"/>
      <c r="X3" s="142"/>
      <c r="Y3" s="143" t="s">
        <v>9</v>
      </c>
      <c r="Z3" s="130" t="s">
        <v>10</v>
      </c>
    </row>
    <row r="4" spans="1:26" s="5" customFormat="1" ht="27" thickBot="1">
      <c r="A4" s="139"/>
      <c r="B4" s="139"/>
      <c r="C4" s="135"/>
      <c r="D4" s="135"/>
      <c r="E4" s="135"/>
      <c r="F4" s="6" t="s">
        <v>11</v>
      </c>
      <c r="G4" s="146"/>
      <c r="H4" s="7" t="s">
        <v>12</v>
      </c>
      <c r="I4" s="8" t="s">
        <v>13</v>
      </c>
      <c r="J4" s="9" t="s">
        <v>14</v>
      </c>
      <c r="K4" s="144"/>
      <c r="L4" s="130"/>
      <c r="O4" s="139"/>
      <c r="P4" s="139"/>
      <c r="Q4" s="135"/>
      <c r="R4" s="135"/>
      <c r="S4" s="135"/>
      <c r="T4" s="6" t="s">
        <v>11</v>
      </c>
      <c r="U4" s="146"/>
      <c r="V4" s="7" t="s">
        <v>12</v>
      </c>
      <c r="W4" s="8" t="s">
        <v>13</v>
      </c>
      <c r="X4" s="9" t="s">
        <v>14</v>
      </c>
      <c r="Y4" s="144"/>
      <c r="Z4" s="130"/>
    </row>
    <row r="5" spans="1:26" ht="25.5">
      <c r="A5" s="10">
        <v>1</v>
      </c>
      <c r="B5" s="11" t="s">
        <v>15</v>
      </c>
      <c r="C5" s="12">
        <f>+'30'!G5</f>
        <v>11</v>
      </c>
      <c r="D5" s="13">
        <v>0</v>
      </c>
      <c r="E5" s="12">
        <f t="shared" ref="E5:E94" si="0">C5+D5</f>
        <v>11</v>
      </c>
      <c r="F5" s="13">
        <v>0</v>
      </c>
      <c r="G5" s="12">
        <f t="shared" ref="G5:G94" si="1">E5-F5-H5</f>
        <v>11</v>
      </c>
      <c r="H5" s="14">
        <v>0</v>
      </c>
      <c r="I5" s="15">
        <v>50</v>
      </c>
      <c r="J5" s="16">
        <f t="shared" ref="J5:J70" si="2">+I5*H5</f>
        <v>0</v>
      </c>
      <c r="K5" s="17" t="s">
        <v>16</v>
      </c>
      <c r="L5" s="18">
        <v>0</v>
      </c>
      <c r="M5" s="24">
        <f>SUM(J5-L5)</f>
        <v>0</v>
      </c>
      <c r="O5" s="10">
        <v>1</v>
      </c>
      <c r="P5" s="11"/>
      <c r="Q5" s="12">
        <f>+'[1]วันที่ 17'!U5</f>
        <v>0</v>
      </c>
      <c r="R5" s="13">
        <v>0</v>
      </c>
      <c r="S5" s="12">
        <f t="shared" ref="S5:S68" si="3">Q5+R5</f>
        <v>0</v>
      </c>
      <c r="T5" s="13">
        <v>0</v>
      </c>
      <c r="U5" s="12">
        <f t="shared" ref="U5:U68" si="4">S5-T5-V5</f>
        <v>0</v>
      </c>
      <c r="V5" s="14">
        <v>0</v>
      </c>
      <c r="W5" s="15"/>
      <c r="X5" s="16">
        <f>+W5*V5</f>
        <v>0</v>
      </c>
      <c r="Y5" s="17" t="s">
        <v>16</v>
      </c>
      <c r="Z5" s="18">
        <v>0</v>
      </c>
    </row>
    <row r="6" spans="1:26" ht="25.5">
      <c r="A6" s="10">
        <v>2</v>
      </c>
      <c r="B6" s="11" t="s">
        <v>17</v>
      </c>
      <c r="C6" s="12">
        <f>+'30'!G6</f>
        <v>16</v>
      </c>
      <c r="D6" s="13">
        <v>0</v>
      </c>
      <c r="E6" s="12">
        <f t="shared" si="0"/>
        <v>16</v>
      </c>
      <c r="F6" s="13">
        <v>0</v>
      </c>
      <c r="G6" s="12">
        <f t="shared" si="1"/>
        <v>16</v>
      </c>
      <c r="H6" s="14">
        <v>0</v>
      </c>
      <c r="I6" s="15">
        <v>100</v>
      </c>
      <c r="J6" s="16">
        <f t="shared" si="2"/>
        <v>0</v>
      </c>
      <c r="K6" s="17" t="s">
        <v>16</v>
      </c>
      <c r="L6" s="18">
        <v>0</v>
      </c>
      <c r="M6" s="24">
        <f t="shared" ref="M6:M69" si="5">SUM(J6-L6)</f>
        <v>0</v>
      </c>
      <c r="O6" s="10">
        <v>2</v>
      </c>
      <c r="P6" s="11"/>
      <c r="Q6" s="12">
        <f>+'[1]วันที่ 15'!U6</f>
        <v>0</v>
      </c>
      <c r="R6" s="13">
        <v>0</v>
      </c>
      <c r="S6" s="12">
        <f t="shared" si="3"/>
        <v>0</v>
      </c>
      <c r="T6" s="13">
        <v>0</v>
      </c>
      <c r="U6" s="12">
        <f t="shared" si="4"/>
        <v>0</v>
      </c>
      <c r="V6" s="14">
        <v>0</v>
      </c>
      <c r="W6" s="15"/>
      <c r="X6" s="16">
        <f t="shared" ref="X6:X69" si="6">+W6*V6</f>
        <v>0</v>
      </c>
      <c r="Y6" s="17" t="s">
        <v>16</v>
      </c>
      <c r="Z6" s="18">
        <v>0</v>
      </c>
    </row>
    <row r="7" spans="1:26" ht="25.5">
      <c r="A7" s="10">
        <v>3</v>
      </c>
      <c r="B7" s="11" t="s">
        <v>18</v>
      </c>
      <c r="C7" s="12">
        <f>+'30'!G7</f>
        <v>0</v>
      </c>
      <c r="D7" s="13">
        <v>0</v>
      </c>
      <c r="E7" s="12">
        <f>C7+D7</f>
        <v>0</v>
      </c>
      <c r="F7" s="13">
        <v>0</v>
      </c>
      <c r="G7" s="12">
        <f>E7-F7-H7</f>
        <v>0</v>
      </c>
      <c r="H7" s="14">
        <v>0</v>
      </c>
      <c r="I7" s="15">
        <v>50</v>
      </c>
      <c r="J7" s="16">
        <f t="shared" si="2"/>
        <v>0</v>
      </c>
      <c r="K7" s="17" t="s">
        <v>16</v>
      </c>
      <c r="L7" s="18">
        <v>0</v>
      </c>
      <c r="M7" s="24">
        <f t="shared" si="5"/>
        <v>0</v>
      </c>
      <c r="O7" s="10">
        <v>3</v>
      </c>
      <c r="P7" s="11"/>
      <c r="Q7" s="12">
        <f>+'[1]วันที่ 15'!U7</f>
        <v>0</v>
      </c>
      <c r="R7" s="13">
        <v>0</v>
      </c>
      <c r="S7" s="12">
        <f t="shared" si="3"/>
        <v>0</v>
      </c>
      <c r="T7" s="13">
        <v>0</v>
      </c>
      <c r="U7" s="12">
        <f t="shared" si="4"/>
        <v>0</v>
      </c>
      <c r="V7" s="14">
        <v>0</v>
      </c>
      <c r="W7" s="15"/>
      <c r="X7" s="16">
        <f t="shared" si="6"/>
        <v>0</v>
      </c>
      <c r="Y7" s="17" t="s">
        <v>16</v>
      </c>
      <c r="Z7" s="18">
        <v>0</v>
      </c>
    </row>
    <row r="8" spans="1:26" ht="25.5">
      <c r="A8" s="10">
        <v>4</v>
      </c>
      <c r="B8" s="11" t="s">
        <v>19</v>
      </c>
      <c r="C8" s="12">
        <f>+'30'!G8</f>
        <v>0</v>
      </c>
      <c r="D8" s="13">
        <v>0</v>
      </c>
      <c r="E8" s="12">
        <f>C8+D8</f>
        <v>0</v>
      </c>
      <c r="F8" s="13">
        <v>0</v>
      </c>
      <c r="G8" s="12">
        <f>E8-F8-H8</f>
        <v>0</v>
      </c>
      <c r="H8" s="14">
        <v>0</v>
      </c>
      <c r="I8" s="15">
        <v>100</v>
      </c>
      <c r="J8" s="16">
        <f t="shared" si="2"/>
        <v>0</v>
      </c>
      <c r="K8" s="17" t="s">
        <v>16</v>
      </c>
      <c r="L8" s="18">
        <v>0</v>
      </c>
      <c r="M8" s="24">
        <f t="shared" si="5"/>
        <v>0</v>
      </c>
      <c r="O8" s="10">
        <v>4</v>
      </c>
      <c r="P8" s="11"/>
      <c r="Q8" s="12">
        <f>+'[1]วันที่ 15'!U8</f>
        <v>0</v>
      </c>
      <c r="R8" s="13">
        <v>0</v>
      </c>
      <c r="S8" s="12">
        <f t="shared" si="3"/>
        <v>0</v>
      </c>
      <c r="T8" s="13">
        <v>0</v>
      </c>
      <c r="U8" s="12">
        <f t="shared" si="4"/>
        <v>0</v>
      </c>
      <c r="V8" s="14">
        <v>0</v>
      </c>
      <c r="W8" s="19"/>
      <c r="X8" s="16">
        <f t="shared" si="6"/>
        <v>0</v>
      </c>
      <c r="Y8" s="17" t="s">
        <v>16</v>
      </c>
      <c r="Z8" s="18">
        <v>0</v>
      </c>
    </row>
    <row r="9" spans="1:26" ht="25.5">
      <c r="A9" s="10">
        <v>5</v>
      </c>
      <c r="B9" s="11" t="s">
        <v>20</v>
      </c>
      <c r="C9" s="12">
        <f>+'30'!G9</f>
        <v>0</v>
      </c>
      <c r="D9" s="13">
        <v>0</v>
      </c>
      <c r="E9" s="12">
        <f>C9+D9</f>
        <v>0</v>
      </c>
      <c r="F9" s="13">
        <v>0</v>
      </c>
      <c r="G9" s="12">
        <f>E9-F9-H9</f>
        <v>0</v>
      </c>
      <c r="H9" s="14">
        <v>0</v>
      </c>
      <c r="I9" s="15">
        <v>12</v>
      </c>
      <c r="J9" s="16">
        <f t="shared" si="2"/>
        <v>0</v>
      </c>
      <c r="K9" s="17" t="s">
        <v>16</v>
      </c>
      <c r="L9" s="18">
        <v>0</v>
      </c>
      <c r="M9" s="24">
        <f t="shared" si="5"/>
        <v>0</v>
      </c>
      <c r="O9" s="10">
        <v>5</v>
      </c>
      <c r="P9" s="11"/>
      <c r="Q9" s="12">
        <f>+'[1]วันที่ 15'!U9</f>
        <v>0</v>
      </c>
      <c r="R9" s="13">
        <v>0</v>
      </c>
      <c r="S9" s="12">
        <f t="shared" si="3"/>
        <v>0</v>
      </c>
      <c r="T9" s="13">
        <v>0</v>
      </c>
      <c r="U9" s="12">
        <f t="shared" si="4"/>
        <v>0</v>
      </c>
      <c r="V9" s="14">
        <v>0</v>
      </c>
      <c r="W9" s="15"/>
      <c r="X9" s="16">
        <f t="shared" si="6"/>
        <v>0</v>
      </c>
      <c r="Y9" s="17" t="s">
        <v>16</v>
      </c>
      <c r="Z9" s="18">
        <v>0</v>
      </c>
    </row>
    <row r="10" spans="1:26" ht="25.5">
      <c r="A10" s="10">
        <v>6</v>
      </c>
      <c r="B10" s="11" t="s">
        <v>21</v>
      </c>
      <c r="C10" s="12">
        <f>+'30'!G10</f>
        <v>0</v>
      </c>
      <c r="D10" s="13">
        <v>0</v>
      </c>
      <c r="E10" s="12">
        <f>C10+D10</f>
        <v>0</v>
      </c>
      <c r="F10" s="13">
        <v>0</v>
      </c>
      <c r="G10" s="12">
        <f>E10-F10-H10</f>
        <v>0</v>
      </c>
      <c r="H10" s="14">
        <v>0</v>
      </c>
      <c r="I10" s="15">
        <v>15</v>
      </c>
      <c r="J10" s="16">
        <f t="shared" si="2"/>
        <v>0</v>
      </c>
      <c r="K10" s="17" t="s">
        <v>16</v>
      </c>
      <c r="L10" s="18">
        <v>0</v>
      </c>
      <c r="M10" s="24">
        <f t="shared" si="5"/>
        <v>0</v>
      </c>
      <c r="O10" s="10">
        <v>6</v>
      </c>
      <c r="P10" s="11"/>
      <c r="Q10" s="12">
        <f>+'[1]วันที่ 15'!U10</f>
        <v>0</v>
      </c>
      <c r="R10" s="13">
        <v>0</v>
      </c>
      <c r="S10" s="12">
        <f t="shared" si="3"/>
        <v>0</v>
      </c>
      <c r="T10" s="13">
        <v>0</v>
      </c>
      <c r="U10" s="12">
        <f t="shared" si="4"/>
        <v>0</v>
      </c>
      <c r="V10" s="14">
        <v>0</v>
      </c>
      <c r="W10" s="19"/>
      <c r="X10" s="16">
        <f t="shared" si="6"/>
        <v>0</v>
      </c>
      <c r="Y10" s="17" t="s">
        <v>16</v>
      </c>
      <c r="Z10" s="18">
        <v>0</v>
      </c>
    </row>
    <row r="11" spans="1:26" ht="25.5">
      <c r="A11" s="10">
        <v>7</v>
      </c>
      <c r="B11" s="20" t="s">
        <v>22</v>
      </c>
      <c r="C11" s="12">
        <f>+'30'!G11</f>
        <v>0</v>
      </c>
      <c r="D11" s="13">
        <v>0</v>
      </c>
      <c r="E11" s="12">
        <f t="shared" si="0"/>
        <v>0</v>
      </c>
      <c r="F11" s="13">
        <v>0</v>
      </c>
      <c r="G11" s="12">
        <f t="shared" si="1"/>
        <v>0</v>
      </c>
      <c r="H11" s="14">
        <v>0</v>
      </c>
      <c r="I11" s="15">
        <v>40</v>
      </c>
      <c r="J11" s="16">
        <f t="shared" si="2"/>
        <v>0</v>
      </c>
      <c r="K11" s="17" t="s">
        <v>16</v>
      </c>
      <c r="L11" s="18">
        <v>0</v>
      </c>
      <c r="M11" s="24">
        <f t="shared" si="5"/>
        <v>0</v>
      </c>
      <c r="O11" s="10">
        <v>7</v>
      </c>
      <c r="P11" s="11"/>
      <c r="Q11" s="12">
        <f>+'[1]วันที่ 15'!U11</f>
        <v>0</v>
      </c>
      <c r="R11" s="13">
        <v>0</v>
      </c>
      <c r="S11" s="12">
        <f t="shared" si="3"/>
        <v>0</v>
      </c>
      <c r="T11" s="13">
        <v>0</v>
      </c>
      <c r="U11" s="12">
        <f t="shared" si="4"/>
        <v>0</v>
      </c>
      <c r="V11" s="14">
        <v>0</v>
      </c>
      <c r="W11" s="15"/>
      <c r="X11" s="16">
        <f t="shared" si="6"/>
        <v>0</v>
      </c>
      <c r="Y11" s="17" t="s">
        <v>16</v>
      </c>
      <c r="Z11" s="18">
        <v>0</v>
      </c>
    </row>
    <row r="12" spans="1:26" ht="25.5">
      <c r="A12" s="10">
        <v>8</v>
      </c>
      <c r="B12" s="20" t="s">
        <v>23</v>
      </c>
      <c r="C12" s="12">
        <f>+'30'!G12</f>
        <v>7</v>
      </c>
      <c r="D12" s="13">
        <v>0</v>
      </c>
      <c r="E12" s="12">
        <f t="shared" si="0"/>
        <v>7</v>
      </c>
      <c r="F12" s="13">
        <v>0</v>
      </c>
      <c r="G12" s="12">
        <f t="shared" si="1"/>
        <v>7</v>
      </c>
      <c r="H12" s="14">
        <v>0</v>
      </c>
      <c r="I12" s="21">
        <v>50</v>
      </c>
      <c r="J12" s="16">
        <f t="shared" si="2"/>
        <v>0</v>
      </c>
      <c r="K12" s="17" t="s">
        <v>16</v>
      </c>
      <c r="L12" s="18">
        <v>0</v>
      </c>
      <c r="M12" s="24">
        <f t="shared" si="5"/>
        <v>0</v>
      </c>
      <c r="O12" s="10">
        <v>8</v>
      </c>
      <c r="P12" s="11"/>
      <c r="Q12" s="12">
        <f>+'[1]วันที่ 15'!U12</f>
        <v>0</v>
      </c>
      <c r="R12" s="13">
        <v>0</v>
      </c>
      <c r="S12" s="12">
        <f t="shared" si="3"/>
        <v>0</v>
      </c>
      <c r="T12" s="13">
        <v>0</v>
      </c>
      <c r="U12" s="12">
        <f t="shared" si="4"/>
        <v>0</v>
      </c>
      <c r="V12" s="14">
        <v>0</v>
      </c>
      <c r="W12" s="19"/>
      <c r="X12" s="16">
        <f t="shared" si="6"/>
        <v>0</v>
      </c>
      <c r="Y12" s="17" t="s">
        <v>16</v>
      </c>
      <c r="Z12" s="18">
        <v>0</v>
      </c>
    </row>
    <row r="13" spans="1:26" ht="25.5">
      <c r="A13" s="10">
        <v>9</v>
      </c>
      <c r="B13" s="20" t="s">
        <v>25</v>
      </c>
      <c r="C13" s="12">
        <f>+'30'!G13</f>
        <v>0</v>
      </c>
      <c r="D13" s="13">
        <v>0</v>
      </c>
      <c r="E13" s="12">
        <f>C13+D13</f>
        <v>0</v>
      </c>
      <c r="F13" s="13">
        <v>0</v>
      </c>
      <c r="G13" s="12">
        <f>E13-F13-H13</f>
        <v>0</v>
      </c>
      <c r="H13" s="14">
        <v>0</v>
      </c>
      <c r="I13" s="21">
        <v>55</v>
      </c>
      <c r="J13" s="16">
        <f t="shared" si="2"/>
        <v>0</v>
      </c>
      <c r="K13" s="17" t="s">
        <v>16</v>
      </c>
      <c r="L13" s="18">
        <v>0</v>
      </c>
      <c r="M13" s="24">
        <f t="shared" si="5"/>
        <v>0</v>
      </c>
      <c r="O13" s="10">
        <v>9</v>
      </c>
      <c r="P13" s="11"/>
      <c r="Q13" s="12">
        <f>+'[1]วันที่ 15'!U13</f>
        <v>0</v>
      </c>
      <c r="R13" s="13">
        <v>0</v>
      </c>
      <c r="S13" s="12">
        <f t="shared" si="3"/>
        <v>0</v>
      </c>
      <c r="T13" s="13">
        <v>0</v>
      </c>
      <c r="U13" s="12">
        <f t="shared" si="4"/>
        <v>0</v>
      </c>
      <c r="V13" s="14">
        <v>0</v>
      </c>
      <c r="W13" s="15"/>
      <c r="X13" s="16">
        <f t="shared" si="6"/>
        <v>0</v>
      </c>
      <c r="Y13" s="17" t="s">
        <v>16</v>
      </c>
      <c r="Z13" s="18">
        <v>0</v>
      </c>
    </row>
    <row r="14" spans="1:26" ht="25.5">
      <c r="A14" s="10">
        <v>10</v>
      </c>
      <c r="B14" s="20" t="s">
        <v>26</v>
      </c>
      <c r="C14" s="12">
        <f>+'30'!G14</f>
        <v>2</v>
      </c>
      <c r="D14" s="13">
        <v>0</v>
      </c>
      <c r="E14" s="12">
        <f t="shared" si="0"/>
        <v>2</v>
      </c>
      <c r="F14" s="13">
        <v>0</v>
      </c>
      <c r="G14" s="12">
        <f t="shared" si="1"/>
        <v>2</v>
      </c>
      <c r="H14" s="14">
        <v>0</v>
      </c>
      <c r="I14" s="21">
        <v>65</v>
      </c>
      <c r="J14" s="16">
        <f t="shared" si="2"/>
        <v>0</v>
      </c>
      <c r="K14" s="17" t="s">
        <v>16</v>
      </c>
      <c r="L14" s="18">
        <v>0</v>
      </c>
      <c r="M14" s="24">
        <f t="shared" si="5"/>
        <v>0</v>
      </c>
      <c r="O14" s="10">
        <v>10</v>
      </c>
      <c r="P14" s="11"/>
      <c r="Q14" s="12">
        <f>+'[1]วันที่ 15'!U14</f>
        <v>0</v>
      </c>
      <c r="R14" s="13">
        <v>0</v>
      </c>
      <c r="S14" s="12">
        <f t="shared" si="3"/>
        <v>0</v>
      </c>
      <c r="T14" s="13">
        <v>0</v>
      </c>
      <c r="U14" s="12">
        <f t="shared" si="4"/>
        <v>0</v>
      </c>
      <c r="V14" s="14">
        <v>0</v>
      </c>
      <c r="W14" s="15"/>
      <c r="X14" s="16">
        <f t="shared" si="6"/>
        <v>0</v>
      </c>
      <c r="Y14" s="17" t="s">
        <v>16</v>
      </c>
      <c r="Z14" s="18">
        <v>0</v>
      </c>
    </row>
    <row r="15" spans="1:26" ht="25.5">
      <c r="A15" s="10">
        <v>11</v>
      </c>
      <c r="B15" s="11" t="s">
        <v>27</v>
      </c>
      <c r="C15" s="12">
        <f>+'30'!G15</f>
        <v>16</v>
      </c>
      <c r="D15" s="13">
        <v>0</v>
      </c>
      <c r="E15" s="12">
        <f t="shared" si="0"/>
        <v>16</v>
      </c>
      <c r="F15" s="13">
        <v>0</v>
      </c>
      <c r="G15" s="12">
        <f t="shared" si="1"/>
        <v>16</v>
      </c>
      <c r="H15" s="14">
        <v>0</v>
      </c>
      <c r="I15" s="21">
        <v>50</v>
      </c>
      <c r="J15" s="16">
        <f t="shared" si="2"/>
        <v>0</v>
      </c>
      <c r="K15" s="17" t="s">
        <v>16</v>
      </c>
      <c r="L15" s="18">
        <v>0</v>
      </c>
      <c r="M15" s="24">
        <f t="shared" si="5"/>
        <v>0</v>
      </c>
      <c r="O15" s="10">
        <v>11</v>
      </c>
      <c r="P15" s="20"/>
      <c r="Q15" s="12">
        <f>+'[1]วันที่ 15'!U15</f>
        <v>0</v>
      </c>
      <c r="R15" s="13">
        <v>0</v>
      </c>
      <c r="S15" s="12">
        <f>Q15+R15</f>
        <v>0</v>
      </c>
      <c r="T15" s="13">
        <v>0</v>
      </c>
      <c r="U15" s="12">
        <f>S15-T15-V15</f>
        <v>0</v>
      </c>
      <c r="V15" s="14">
        <v>0</v>
      </c>
      <c r="W15" s="21"/>
      <c r="X15" s="16">
        <f t="shared" si="6"/>
        <v>0</v>
      </c>
      <c r="Y15" s="17" t="s">
        <v>16</v>
      </c>
      <c r="Z15" s="18">
        <v>0</v>
      </c>
    </row>
    <row r="16" spans="1:26" ht="25.5">
      <c r="A16" s="10">
        <v>12</v>
      </c>
      <c r="B16" s="11" t="s">
        <v>28</v>
      </c>
      <c r="C16" s="12">
        <f>+'30'!G16</f>
        <v>0</v>
      </c>
      <c r="D16" s="13">
        <v>0</v>
      </c>
      <c r="E16" s="12">
        <f t="shared" si="0"/>
        <v>0</v>
      </c>
      <c r="F16" s="13">
        <v>0</v>
      </c>
      <c r="G16" s="22">
        <f t="shared" si="1"/>
        <v>0</v>
      </c>
      <c r="H16" s="14">
        <v>0</v>
      </c>
      <c r="I16" s="15">
        <v>50</v>
      </c>
      <c r="J16" s="16">
        <f t="shared" si="2"/>
        <v>0</v>
      </c>
      <c r="K16" s="17" t="s">
        <v>16</v>
      </c>
      <c r="L16" s="18">
        <v>0</v>
      </c>
      <c r="M16" s="24">
        <f t="shared" si="5"/>
        <v>0</v>
      </c>
      <c r="O16" s="10">
        <v>12</v>
      </c>
      <c r="P16" s="11"/>
      <c r="Q16" s="12">
        <f>+'[1]วันที่ 15'!U16</f>
        <v>0</v>
      </c>
      <c r="R16" s="13">
        <v>0</v>
      </c>
      <c r="S16" s="12">
        <f t="shared" si="3"/>
        <v>0</v>
      </c>
      <c r="T16" s="13">
        <v>0</v>
      </c>
      <c r="U16" s="12">
        <f t="shared" si="4"/>
        <v>0</v>
      </c>
      <c r="V16" s="14">
        <v>0</v>
      </c>
      <c r="W16" s="19"/>
      <c r="X16" s="16">
        <f t="shared" si="6"/>
        <v>0</v>
      </c>
      <c r="Y16" s="17" t="s">
        <v>16</v>
      </c>
      <c r="Z16" s="18">
        <v>0</v>
      </c>
    </row>
    <row r="17" spans="1:26" ht="25.5">
      <c r="A17" s="10">
        <v>13</v>
      </c>
      <c r="B17" s="11" t="s">
        <v>29</v>
      </c>
      <c r="C17" s="12">
        <f>+'30'!G17</f>
        <v>3</v>
      </c>
      <c r="D17" s="13">
        <v>0</v>
      </c>
      <c r="E17" s="12">
        <f t="shared" si="0"/>
        <v>3</v>
      </c>
      <c r="F17" s="13">
        <v>0</v>
      </c>
      <c r="G17" s="12">
        <f t="shared" si="1"/>
        <v>3</v>
      </c>
      <c r="H17" s="14">
        <v>0</v>
      </c>
      <c r="I17" s="15">
        <v>50</v>
      </c>
      <c r="J17" s="16">
        <f t="shared" si="2"/>
        <v>0</v>
      </c>
      <c r="K17" s="17" t="s">
        <v>16</v>
      </c>
      <c r="L17" s="18">
        <v>0</v>
      </c>
      <c r="M17" s="24">
        <f t="shared" si="5"/>
        <v>0</v>
      </c>
      <c r="O17" s="10">
        <v>13</v>
      </c>
      <c r="P17" s="20"/>
      <c r="Q17" s="12">
        <f>+'[1]วันที่ 15'!U17</f>
        <v>0</v>
      </c>
      <c r="R17" s="13">
        <v>0</v>
      </c>
      <c r="S17" s="12">
        <f t="shared" si="3"/>
        <v>0</v>
      </c>
      <c r="T17" s="13">
        <v>0</v>
      </c>
      <c r="U17" s="12">
        <f t="shared" si="4"/>
        <v>0</v>
      </c>
      <c r="V17" s="14">
        <v>0</v>
      </c>
      <c r="W17" s="23"/>
      <c r="X17" s="16">
        <f t="shared" si="6"/>
        <v>0</v>
      </c>
      <c r="Y17" s="17" t="s">
        <v>16</v>
      </c>
      <c r="Z17" s="18">
        <v>0</v>
      </c>
    </row>
    <row r="18" spans="1:26" ht="25.5">
      <c r="A18" s="10">
        <v>14</v>
      </c>
      <c r="B18" s="20" t="s">
        <v>30</v>
      </c>
      <c r="C18" s="12">
        <f>+'30'!G18</f>
        <v>0</v>
      </c>
      <c r="D18" s="13">
        <v>0</v>
      </c>
      <c r="E18" s="12">
        <f t="shared" si="0"/>
        <v>0</v>
      </c>
      <c r="F18" s="13">
        <v>0</v>
      </c>
      <c r="G18" s="12">
        <f t="shared" si="1"/>
        <v>0</v>
      </c>
      <c r="H18" s="14">
        <v>0</v>
      </c>
      <c r="I18" s="21">
        <v>50</v>
      </c>
      <c r="J18" s="16">
        <f t="shared" si="2"/>
        <v>0</v>
      </c>
      <c r="K18" s="17" t="s">
        <v>16</v>
      </c>
      <c r="L18" s="18">
        <v>0</v>
      </c>
      <c r="M18" s="24">
        <f t="shared" si="5"/>
        <v>0</v>
      </c>
      <c r="O18" s="10">
        <v>14</v>
      </c>
      <c r="P18" s="20"/>
      <c r="Q18" s="12">
        <f>+'[1]วันที่ 15'!U18</f>
        <v>0</v>
      </c>
      <c r="R18" s="13">
        <v>0</v>
      </c>
      <c r="S18" s="12">
        <f t="shared" si="3"/>
        <v>0</v>
      </c>
      <c r="T18" s="13">
        <v>0</v>
      </c>
      <c r="U18" s="12">
        <f t="shared" si="4"/>
        <v>0</v>
      </c>
      <c r="V18" s="14">
        <v>0</v>
      </c>
      <c r="W18" s="21"/>
      <c r="X18" s="16">
        <f t="shared" si="6"/>
        <v>0</v>
      </c>
      <c r="Y18" s="17" t="s">
        <v>16</v>
      </c>
      <c r="Z18" s="18">
        <v>0</v>
      </c>
    </row>
    <row r="19" spans="1:26" ht="25.5">
      <c r="A19" s="10">
        <v>15</v>
      </c>
      <c r="B19" s="11" t="s">
        <v>31</v>
      </c>
      <c r="C19" s="12">
        <f>+'30'!G19</f>
        <v>8</v>
      </c>
      <c r="D19" s="13">
        <v>0</v>
      </c>
      <c r="E19" s="12">
        <f t="shared" si="0"/>
        <v>8</v>
      </c>
      <c r="F19" s="13">
        <v>0</v>
      </c>
      <c r="G19" s="12">
        <f t="shared" si="1"/>
        <v>8</v>
      </c>
      <c r="H19" s="14">
        <v>0</v>
      </c>
      <c r="I19" s="15">
        <v>50</v>
      </c>
      <c r="J19" s="16">
        <f t="shared" si="2"/>
        <v>0</v>
      </c>
      <c r="K19" s="17" t="s">
        <v>16</v>
      </c>
      <c r="L19" s="18">
        <v>0</v>
      </c>
      <c r="M19" s="24">
        <f t="shared" si="5"/>
        <v>0</v>
      </c>
      <c r="O19" s="10">
        <v>15</v>
      </c>
      <c r="P19" s="20"/>
      <c r="Q19" s="12">
        <f>+'[1]วันที่ 15'!U19</f>
        <v>0</v>
      </c>
      <c r="R19" s="13">
        <v>0</v>
      </c>
      <c r="S19" s="12">
        <f t="shared" si="3"/>
        <v>0</v>
      </c>
      <c r="T19" s="13">
        <v>0</v>
      </c>
      <c r="U19" s="12">
        <f t="shared" si="4"/>
        <v>0</v>
      </c>
      <c r="V19" s="14">
        <v>0</v>
      </c>
      <c r="W19" s="23"/>
      <c r="X19" s="16">
        <f t="shared" si="6"/>
        <v>0</v>
      </c>
      <c r="Y19" s="17" t="s">
        <v>16</v>
      </c>
      <c r="Z19" s="18">
        <v>0</v>
      </c>
    </row>
    <row r="20" spans="1:26" ht="25.5">
      <c r="A20" s="10">
        <v>16</v>
      </c>
      <c r="B20" s="11" t="s">
        <v>32</v>
      </c>
      <c r="C20" s="12">
        <f>+'30'!G20</f>
        <v>0</v>
      </c>
      <c r="D20" s="13">
        <v>0</v>
      </c>
      <c r="E20" s="12">
        <f t="shared" si="0"/>
        <v>0</v>
      </c>
      <c r="F20" s="13">
        <v>0</v>
      </c>
      <c r="G20" s="12">
        <f t="shared" si="1"/>
        <v>0</v>
      </c>
      <c r="H20" s="14">
        <v>0</v>
      </c>
      <c r="I20" s="15">
        <v>50</v>
      </c>
      <c r="J20" s="16">
        <f t="shared" si="2"/>
        <v>0</v>
      </c>
      <c r="K20" s="17" t="s">
        <v>16</v>
      </c>
      <c r="L20" s="18">
        <v>0</v>
      </c>
      <c r="M20" s="24">
        <f t="shared" si="5"/>
        <v>0</v>
      </c>
      <c r="O20" s="10">
        <v>16</v>
      </c>
      <c r="P20" s="20"/>
      <c r="Q20" s="12">
        <f>+'[1]วันที่ 15'!U20</f>
        <v>0</v>
      </c>
      <c r="R20" s="13">
        <v>0</v>
      </c>
      <c r="S20" s="12">
        <f t="shared" si="3"/>
        <v>0</v>
      </c>
      <c r="T20" s="13">
        <v>0</v>
      </c>
      <c r="U20" s="12">
        <f t="shared" si="4"/>
        <v>0</v>
      </c>
      <c r="V20" s="14">
        <v>0</v>
      </c>
      <c r="W20" s="23"/>
      <c r="X20" s="16">
        <f t="shared" si="6"/>
        <v>0</v>
      </c>
      <c r="Y20" s="17" t="s">
        <v>16</v>
      </c>
      <c r="Z20" s="18">
        <v>0</v>
      </c>
    </row>
    <row r="21" spans="1:26" ht="25.5">
      <c r="A21" s="10">
        <v>17</v>
      </c>
      <c r="B21" s="11" t="s">
        <v>33</v>
      </c>
      <c r="C21" s="12">
        <f>+'30'!G21</f>
        <v>0</v>
      </c>
      <c r="D21" s="13">
        <v>0</v>
      </c>
      <c r="E21" s="12">
        <f t="shared" si="0"/>
        <v>0</v>
      </c>
      <c r="F21" s="13">
        <v>0</v>
      </c>
      <c r="G21" s="12">
        <f t="shared" si="1"/>
        <v>0</v>
      </c>
      <c r="H21" s="14">
        <v>0</v>
      </c>
      <c r="I21" s="15">
        <v>50</v>
      </c>
      <c r="J21" s="16">
        <f t="shared" si="2"/>
        <v>0</v>
      </c>
      <c r="K21" s="17" t="s">
        <v>16</v>
      </c>
      <c r="L21" s="18">
        <v>0</v>
      </c>
      <c r="M21" s="24">
        <f t="shared" si="5"/>
        <v>0</v>
      </c>
      <c r="O21" s="10">
        <v>17</v>
      </c>
      <c r="P21" s="20"/>
      <c r="Q21" s="12">
        <f>+'[1]วันที่ 15'!U21</f>
        <v>0</v>
      </c>
      <c r="R21" s="13">
        <v>0</v>
      </c>
      <c r="S21" s="12">
        <f t="shared" si="3"/>
        <v>0</v>
      </c>
      <c r="T21" s="13">
        <v>0</v>
      </c>
      <c r="U21" s="12">
        <f t="shared" si="4"/>
        <v>0</v>
      </c>
      <c r="V21" s="14">
        <v>0</v>
      </c>
      <c r="W21" s="23"/>
      <c r="X21" s="16">
        <f t="shared" si="6"/>
        <v>0</v>
      </c>
      <c r="Y21" s="17" t="s">
        <v>16</v>
      </c>
      <c r="Z21" s="18">
        <v>0</v>
      </c>
    </row>
    <row r="22" spans="1:26" ht="25.5">
      <c r="A22" s="10">
        <v>18</v>
      </c>
      <c r="B22" s="11" t="s">
        <v>34</v>
      </c>
      <c r="C22" s="12">
        <f>+'30'!G22</f>
        <v>3</v>
      </c>
      <c r="D22" s="13">
        <v>0</v>
      </c>
      <c r="E22" s="12">
        <f>C22+D22</f>
        <v>3</v>
      </c>
      <c r="F22" s="13">
        <v>0</v>
      </c>
      <c r="G22" s="12">
        <f>E22-F22-H22</f>
        <v>3</v>
      </c>
      <c r="H22" s="14">
        <v>0</v>
      </c>
      <c r="I22" s="15">
        <v>85</v>
      </c>
      <c r="J22" s="16">
        <f t="shared" si="2"/>
        <v>0</v>
      </c>
      <c r="K22" s="17" t="s">
        <v>16</v>
      </c>
      <c r="L22" s="18">
        <v>0</v>
      </c>
      <c r="M22" s="24">
        <f t="shared" si="5"/>
        <v>0</v>
      </c>
      <c r="O22" s="10">
        <v>18</v>
      </c>
      <c r="P22" s="20"/>
      <c r="Q22" s="12">
        <f>+'[1]วันที่ 15'!U22</f>
        <v>0</v>
      </c>
      <c r="R22" s="13">
        <v>0</v>
      </c>
      <c r="S22" s="12">
        <f t="shared" si="3"/>
        <v>0</v>
      </c>
      <c r="T22" s="13">
        <v>0</v>
      </c>
      <c r="U22" s="12">
        <f t="shared" si="4"/>
        <v>0</v>
      </c>
      <c r="V22" s="14">
        <v>0</v>
      </c>
      <c r="W22" s="23"/>
      <c r="X22" s="16">
        <f t="shared" si="6"/>
        <v>0</v>
      </c>
      <c r="Y22" s="17" t="s">
        <v>16</v>
      </c>
      <c r="Z22" s="18">
        <v>0</v>
      </c>
    </row>
    <row r="23" spans="1:26" ht="25.5">
      <c r="A23" s="10">
        <v>19</v>
      </c>
      <c r="B23" s="11" t="s">
        <v>35</v>
      </c>
      <c r="C23" s="12">
        <f>+'30'!G23</f>
        <v>1</v>
      </c>
      <c r="D23" s="13">
        <v>0</v>
      </c>
      <c r="E23" s="12">
        <f>C23+D23</f>
        <v>1</v>
      </c>
      <c r="F23" s="13">
        <v>0</v>
      </c>
      <c r="G23" s="12">
        <f>E23-F23-H23</f>
        <v>1</v>
      </c>
      <c r="H23" s="14">
        <v>0</v>
      </c>
      <c r="I23" s="15">
        <v>100</v>
      </c>
      <c r="J23" s="16">
        <f t="shared" si="2"/>
        <v>0</v>
      </c>
      <c r="K23" s="17" t="s">
        <v>16</v>
      </c>
      <c r="L23" s="18">
        <v>0</v>
      </c>
      <c r="M23" s="24">
        <f t="shared" si="5"/>
        <v>0</v>
      </c>
      <c r="O23" s="10">
        <v>19</v>
      </c>
      <c r="P23" s="20"/>
      <c r="Q23" s="12">
        <f>+'[1]วันที่ 15'!U23</f>
        <v>0</v>
      </c>
      <c r="R23" s="13">
        <v>0</v>
      </c>
      <c r="S23" s="12">
        <f t="shared" si="3"/>
        <v>0</v>
      </c>
      <c r="T23" s="13">
        <v>0</v>
      </c>
      <c r="U23" s="12">
        <f t="shared" si="4"/>
        <v>0</v>
      </c>
      <c r="V23" s="14">
        <v>0</v>
      </c>
      <c r="W23" s="23"/>
      <c r="X23" s="16">
        <f t="shared" si="6"/>
        <v>0</v>
      </c>
      <c r="Y23" s="17" t="s">
        <v>16</v>
      </c>
      <c r="Z23" s="18">
        <v>0</v>
      </c>
    </row>
    <row r="24" spans="1:26" ht="25.5">
      <c r="A24" s="10">
        <v>20</v>
      </c>
      <c r="B24" s="11" t="s">
        <v>36</v>
      </c>
      <c r="C24" s="12">
        <f>+'30'!G24</f>
        <v>3</v>
      </c>
      <c r="D24" s="13">
        <v>0</v>
      </c>
      <c r="E24" s="12">
        <f t="shared" si="0"/>
        <v>3</v>
      </c>
      <c r="F24" s="13">
        <v>0</v>
      </c>
      <c r="G24" s="12">
        <f t="shared" si="1"/>
        <v>3</v>
      </c>
      <c r="H24" s="14">
        <v>0</v>
      </c>
      <c r="I24" s="19">
        <v>100</v>
      </c>
      <c r="J24" s="16">
        <f t="shared" si="2"/>
        <v>0</v>
      </c>
      <c r="K24" s="17" t="s">
        <v>16</v>
      </c>
      <c r="L24" s="18">
        <v>0</v>
      </c>
      <c r="M24" s="24">
        <f t="shared" si="5"/>
        <v>0</v>
      </c>
      <c r="O24" s="10">
        <v>20</v>
      </c>
      <c r="P24" s="20"/>
      <c r="Q24" s="12">
        <f>+'[1]วันที่ 15'!U24</f>
        <v>0</v>
      </c>
      <c r="R24" s="13">
        <v>0</v>
      </c>
      <c r="S24" s="12">
        <f t="shared" si="3"/>
        <v>0</v>
      </c>
      <c r="T24" s="13">
        <v>0</v>
      </c>
      <c r="U24" s="12">
        <f t="shared" si="4"/>
        <v>0</v>
      </c>
      <c r="V24" s="14">
        <v>0</v>
      </c>
      <c r="W24" s="21"/>
      <c r="X24" s="16">
        <f t="shared" si="6"/>
        <v>0</v>
      </c>
      <c r="Y24" s="17" t="s">
        <v>16</v>
      </c>
      <c r="Z24" s="18">
        <v>0</v>
      </c>
    </row>
    <row r="25" spans="1:26" ht="25.5">
      <c r="A25" s="10">
        <v>21</v>
      </c>
      <c r="B25" s="11" t="s">
        <v>37</v>
      </c>
      <c r="C25" s="12">
        <f>+'30'!G25</f>
        <v>0</v>
      </c>
      <c r="D25" s="13">
        <v>0</v>
      </c>
      <c r="E25" s="12">
        <f t="shared" si="0"/>
        <v>0</v>
      </c>
      <c r="F25" s="13">
        <v>0</v>
      </c>
      <c r="G25" s="12">
        <f t="shared" si="1"/>
        <v>0</v>
      </c>
      <c r="H25" s="14">
        <v>0</v>
      </c>
      <c r="I25" s="19">
        <v>100</v>
      </c>
      <c r="J25" s="16">
        <f t="shared" si="2"/>
        <v>0</v>
      </c>
      <c r="K25" s="17" t="s">
        <v>16</v>
      </c>
      <c r="L25" s="18">
        <v>0</v>
      </c>
      <c r="M25" s="24">
        <f t="shared" si="5"/>
        <v>0</v>
      </c>
      <c r="O25" s="10">
        <v>21</v>
      </c>
      <c r="P25" s="20"/>
      <c r="Q25" s="12">
        <f>+'[1]วันที่ 15'!U25</f>
        <v>0</v>
      </c>
      <c r="R25" s="13">
        <v>0</v>
      </c>
      <c r="S25" s="12">
        <f t="shared" si="3"/>
        <v>0</v>
      </c>
      <c r="T25" s="13">
        <v>0</v>
      </c>
      <c r="U25" s="12">
        <f t="shared" si="4"/>
        <v>0</v>
      </c>
      <c r="V25" s="14">
        <v>0</v>
      </c>
      <c r="W25" s="23"/>
      <c r="X25" s="16">
        <f t="shared" si="6"/>
        <v>0</v>
      </c>
      <c r="Y25" s="17" t="s">
        <v>16</v>
      </c>
      <c r="Z25" s="18">
        <v>0</v>
      </c>
    </row>
    <row r="26" spans="1:26" ht="25.5">
      <c r="A26" s="10">
        <v>22</v>
      </c>
      <c r="B26" s="11" t="s">
        <v>38</v>
      </c>
      <c r="C26" s="12">
        <f>+'30'!G26</f>
        <v>0</v>
      </c>
      <c r="D26" s="13">
        <v>0</v>
      </c>
      <c r="E26" s="12">
        <f t="shared" si="0"/>
        <v>0</v>
      </c>
      <c r="F26" s="13">
        <v>0</v>
      </c>
      <c r="G26" s="12">
        <f t="shared" si="1"/>
        <v>0</v>
      </c>
      <c r="H26" s="14">
        <v>0</v>
      </c>
      <c r="I26" s="19">
        <v>100</v>
      </c>
      <c r="J26" s="16">
        <f t="shared" si="2"/>
        <v>0</v>
      </c>
      <c r="K26" s="17" t="s">
        <v>16</v>
      </c>
      <c r="L26" s="18">
        <v>0</v>
      </c>
      <c r="M26" s="24">
        <f t="shared" si="5"/>
        <v>0</v>
      </c>
      <c r="O26" s="10">
        <v>22</v>
      </c>
      <c r="P26" s="20"/>
      <c r="Q26" s="12">
        <f>+'[1]วันที่ 15'!U26</f>
        <v>0</v>
      </c>
      <c r="R26" s="13">
        <v>0</v>
      </c>
      <c r="S26" s="12">
        <f t="shared" si="3"/>
        <v>0</v>
      </c>
      <c r="T26" s="13">
        <v>0</v>
      </c>
      <c r="U26" s="12">
        <f t="shared" si="4"/>
        <v>0</v>
      </c>
      <c r="V26" s="14">
        <v>0</v>
      </c>
      <c r="W26" s="21"/>
      <c r="X26" s="16">
        <f t="shared" si="6"/>
        <v>0</v>
      </c>
      <c r="Y26" s="17" t="s">
        <v>16</v>
      </c>
      <c r="Z26" s="18">
        <v>0</v>
      </c>
    </row>
    <row r="27" spans="1:26" ht="25.5">
      <c r="A27" s="10">
        <v>23</v>
      </c>
      <c r="B27" s="20" t="s">
        <v>39</v>
      </c>
      <c r="C27" s="12">
        <f>+'30'!G27</f>
        <v>0</v>
      </c>
      <c r="D27" s="13">
        <v>0</v>
      </c>
      <c r="E27" s="12">
        <f t="shared" si="0"/>
        <v>0</v>
      </c>
      <c r="F27" s="13">
        <v>0</v>
      </c>
      <c r="G27" s="12">
        <f t="shared" si="1"/>
        <v>0</v>
      </c>
      <c r="H27" s="14">
        <v>0</v>
      </c>
      <c r="I27" s="21">
        <v>100</v>
      </c>
      <c r="J27" s="16">
        <f t="shared" si="2"/>
        <v>0</v>
      </c>
      <c r="K27" s="17" t="s">
        <v>16</v>
      </c>
      <c r="L27" s="18">
        <v>0</v>
      </c>
      <c r="M27" s="24">
        <f t="shared" si="5"/>
        <v>0</v>
      </c>
      <c r="O27" s="10">
        <v>23</v>
      </c>
      <c r="P27" s="20"/>
      <c r="Q27" s="12">
        <f>+'[1]วันที่ 15'!U27</f>
        <v>0</v>
      </c>
      <c r="R27" s="13">
        <v>0</v>
      </c>
      <c r="S27" s="12">
        <f t="shared" si="3"/>
        <v>0</v>
      </c>
      <c r="T27" s="13">
        <v>0</v>
      </c>
      <c r="U27" s="12">
        <f t="shared" si="4"/>
        <v>0</v>
      </c>
      <c r="V27" s="14">
        <v>0</v>
      </c>
      <c r="W27" s="23"/>
      <c r="X27" s="16">
        <f t="shared" si="6"/>
        <v>0</v>
      </c>
      <c r="Y27" s="17" t="s">
        <v>16</v>
      </c>
      <c r="Z27" s="18">
        <v>0</v>
      </c>
    </row>
    <row r="28" spans="1:26" ht="25.5">
      <c r="A28" s="10">
        <v>24</v>
      </c>
      <c r="B28" s="20" t="s">
        <v>40</v>
      </c>
      <c r="C28" s="12">
        <f>+'30'!G28</f>
        <v>0</v>
      </c>
      <c r="D28" s="13">
        <v>0</v>
      </c>
      <c r="E28" s="12">
        <f t="shared" si="0"/>
        <v>0</v>
      </c>
      <c r="F28" s="13">
        <v>0</v>
      </c>
      <c r="G28" s="12">
        <f t="shared" si="1"/>
        <v>0</v>
      </c>
      <c r="H28" s="14">
        <v>0</v>
      </c>
      <c r="I28" s="21">
        <v>100</v>
      </c>
      <c r="J28" s="16">
        <f t="shared" si="2"/>
        <v>0</v>
      </c>
      <c r="K28" s="17" t="s">
        <v>16</v>
      </c>
      <c r="L28" s="18">
        <v>0</v>
      </c>
      <c r="M28" s="24">
        <f t="shared" si="5"/>
        <v>0</v>
      </c>
      <c r="O28" s="10">
        <v>24</v>
      </c>
      <c r="P28" s="20"/>
      <c r="Q28" s="12">
        <f>+'[1]วันที่ 15'!U28</f>
        <v>0</v>
      </c>
      <c r="R28" s="13">
        <v>0</v>
      </c>
      <c r="S28" s="12">
        <f t="shared" si="3"/>
        <v>0</v>
      </c>
      <c r="T28" s="13">
        <v>0</v>
      </c>
      <c r="U28" s="12">
        <f t="shared" si="4"/>
        <v>0</v>
      </c>
      <c r="V28" s="14">
        <v>0</v>
      </c>
      <c r="W28" s="23"/>
      <c r="X28" s="16">
        <f t="shared" si="6"/>
        <v>0</v>
      </c>
      <c r="Y28" s="17" t="s">
        <v>16</v>
      </c>
      <c r="Z28" s="18">
        <v>0</v>
      </c>
    </row>
    <row r="29" spans="1:26" ht="25.5">
      <c r="A29" s="10">
        <v>25</v>
      </c>
      <c r="B29" s="11" t="s">
        <v>41</v>
      </c>
      <c r="C29" s="12">
        <f>+'30'!G29</f>
        <v>7</v>
      </c>
      <c r="D29" s="13">
        <v>0</v>
      </c>
      <c r="E29" s="12">
        <f t="shared" si="0"/>
        <v>7</v>
      </c>
      <c r="F29" s="13">
        <v>0</v>
      </c>
      <c r="G29" s="12">
        <f t="shared" si="1"/>
        <v>7</v>
      </c>
      <c r="H29" s="14">
        <v>0</v>
      </c>
      <c r="I29" s="15">
        <v>100</v>
      </c>
      <c r="J29" s="16">
        <f t="shared" si="2"/>
        <v>0</v>
      </c>
      <c r="K29" s="17" t="s">
        <v>16</v>
      </c>
      <c r="L29" s="18">
        <v>0</v>
      </c>
      <c r="M29" s="24">
        <f t="shared" si="5"/>
        <v>0</v>
      </c>
      <c r="O29" s="10">
        <v>25</v>
      </c>
      <c r="P29" s="20"/>
      <c r="Q29" s="12">
        <f>+'[1]วันที่ 15'!U29</f>
        <v>0</v>
      </c>
      <c r="R29" s="13">
        <v>0</v>
      </c>
      <c r="S29" s="12">
        <f t="shared" si="3"/>
        <v>0</v>
      </c>
      <c r="T29" s="13">
        <v>0</v>
      </c>
      <c r="U29" s="12">
        <f t="shared" si="4"/>
        <v>0</v>
      </c>
      <c r="V29" s="14">
        <v>0</v>
      </c>
      <c r="W29" s="23"/>
      <c r="X29" s="16">
        <f t="shared" si="6"/>
        <v>0</v>
      </c>
      <c r="Y29" s="17" t="s">
        <v>16</v>
      </c>
      <c r="Z29" s="18">
        <v>0</v>
      </c>
    </row>
    <row r="30" spans="1:26" ht="25.5">
      <c r="A30" s="10">
        <v>26</v>
      </c>
      <c r="B30" s="11" t="s">
        <v>42</v>
      </c>
      <c r="C30" s="12">
        <f>+'30'!G30</f>
        <v>0</v>
      </c>
      <c r="D30" s="13">
        <v>0</v>
      </c>
      <c r="E30" s="12">
        <f t="shared" si="0"/>
        <v>0</v>
      </c>
      <c r="F30" s="13">
        <v>0</v>
      </c>
      <c r="G30" s="12">
        <f t="shared" si="1"/>
        <v>0</v>
      </c>
      <c r="H30" s="14">
        <v>0</v>
      </c>
      <c r="I30" s="15">
        <v>100</v>
      </c>
      <c r="J30" s="16">
        <f t="shared" si="2"/>
        <v>0</v>
      </c>
      <c r="K30" s="17" t="s">
        <v>16</v>
      </c>
      <c r="L30" s="18">
        <v>0</v>
      </c>
      <c r="M30" s="24">
        <f t="shared" si="5"/>
        <v>0</v>
      </c>
      <c r="O30" s="10">
        <v>26</v>
      </c>
      <c r="P30" s="20"/>
      <c r="Q30" s="12">
        <f>+'[1]วันที่ 15'!U30</f>
        <v>0</v>
      </c>
      <c r="R30" s="13">
        <v>0</v>
      </c>
      <c r="S30" s="12">
        <f>Q30+R30</f>
        <v>0</v>
      </c>
      <c r="T30" s="13">
        <v>0</v>
      </c>
      <c r="U30" s="12">
        <f>S30-T30-V30</f>
        <v>0</v>
      </c>
      <c r="V30" s="14">
        <v>0</v>
      </c>
      <c r="W30" s="21"/>
      <c r="X30" s="16">
        <f t="shared" si="6"/>
        <v>0</v>
      </c>
      <c r="Y30" s="17" t="s">
        <v>16</v>
      </c>
      <c r="Z30" s="18">
        <v>0</v>
      </c>
    </row>
    <row r="31" spans="1:26" ht="25.5">
      <c r="A31" s="10">
        <v>27</v>
      </c>
      <c r="B31" s="11" t="s">
        <v>43</v>
      </c>
      <c r="C31" s="12">
        <f>+'30'!G31</f>
        <v>0</v>
      </c>
      <c r="D31" s="13">
        <v>0</v>
      </c>
      <c r="E31" s="12">
        <f t="shared" si="0"/>
        <v>0</v>
      </c>
      <c r="F31" s="13">
        <v>0</v>
      </c>
      <c r="G31" s="12">
        <f t="shared" si="1"/>
        <v>0</v>
      </c>
      <c r="H31" s="14">
        <v>0</v>
      </c>
      <c r="I31" s="15">
        <v>100</v>
      </c>
      <c r="J31" s="16">
        <f t="shared" si="2"/>
        <v>0</v>
      </c>
      <c r="K31" s="17" t="s">
        <v>16</v>
      </c>
      <c r="L31" s="18">
        <v>0</v>
      </c>
      <c r="M31" s="24">
        <f t="shared" si="5"/>
        <v>0</v>
      </c>
      <c r="O31" s="10">
        <v>27</v>
      </c>
      <c r="P31" s="20"/>
      <c r="Q31" s="12">
        <f>+'[1]วันที่ 15'!U31</f>
        <v>0</v>
      </c>
      <c r="R31" s="13">
        <v>0</v>
      </c>
      <c r="S31" s="12">
        <f>Q31+R31</f>
        <v>0</v>
      </c>
      <c r="T31" s="13">
        <v>0</v>
      </c>
      <c r="U31" s="12">
        <f>S31-T31-V31</f>
        <v>0</v>
      </c>
      <c r="V31" s="14">
        <v>0</v>
      </c>
      <c r="W31" s="21"/>
      <c r="X31" s="16">
        <f t="shared" si="6"/>
        <v>0</v>
      </c>
      <c r="Y31" s="17" t="s">
        <v>16</v>
      </c>
      <c r="Z31" s="18">
        <v>0</v>
      </c>
    </row>
    <row r="32" spans="1:26" ht="25.5">
      <c r="A32" s="10">
        <v>28</v>
      </c>
      <c r="B32" s="11" t="s">
        <v>44</v>
      </c>
      <c r="C32" s="12">
        <f>+'30'!G32</f>
        <v>0</v>
      </c>
      <c r="D32" s="13">
        <v>0</v>
      </c>
      <c r="E32" s="12">
        <f t="shared" si="0"/>
        <v>0</v>
      </c>
      <c r="F32" s="13">
        <v>0</v>
      </c>
      <c r="G32" s="12">
        <f t="shared" si="1"/>
        <v>0</v>
      </c>
      <c r="H32" s="14">
        <v>0</v>
      </c>
      <c r="I32" s="15">
        <v>130</v>
      </c>
      <c r="J32" s="16">
        <f t="shared" si="2"/>
        <v>0</v>
      </c>
      <c r="K32" s="17" t="s">
        <v>16</v>
      </c>
      <c r="L32" s="18">
        <v>0</v>
      </c>
      <c r="M32" s="24">
        <f t="shared" si="5"/>
        <v>0</v>
      </c>
      <c r="O32" s="10">
        <v>28</v>
      </c>
      <c r="P32" s="20"/>
      <c r="Q32" s="12">
        <f>+'[1]วันที่ 15'!U32</f>
        <v>0</v>
      </c>
      <c r="R32" s="13">
        <v>0</v>
      </c>
      <c r="S32" s="12">
        <f t="shared" si="3"/>
        <v>0</v>
      </c>
      <c r="T32" s="13">
        <v>0</v>
      </c>
      <c r="U32" s="12">
        <f t="shared" si="4"/>
        <v>0</v>
      </c>
      <c r="V32" s="14">
        <v>0</v>
      </c>
      <c r="W32" s="21"/>
      <c r="X32" s="16">
        <f t="shared" si="6"/>
        <v>0</v>
      </c>
      <c r="Y32" s="17" t="s">
        <v>16</v>
      </c>
      <c r="Z32" s="18">
        <v>0</v>
      </c>
    </row>
    <row r="33" spans="1:26" ht="25.5">
      <c r="A33" s="10">
        <v>29</v>
      </c>
      <c r="B33" s="11" t="s">
        <v>45</v>
      </c>
      <c r="C33" s="12">
        <f>+'30'!G33</f>
        <v>0</v>
      </c>
      <c r="D33" s="13">
        <v>0</v>
      </c>
      <c r="E33" s="12">
        <f t="shared" si="0"/>
        <v>0</v>
      </c>
      <c r="F33" s="13">
        <v>0</v>
      </c>
      <c r="G33" s="12">
        <f t="shared" si="1"/>
        <v>0</v>
      </c>
      <c r="H33" s="14">
        <v>0</v>
      </c>
      <c r="I33" s="15">
        <v>130</v>
      </c>
      <c r="J33" s="16">
        <f t="shared" si="2"/>
        <v>0</v>
      </c>
      <c r="K33" s="17" t="s">
        <v>16</v>
      </c>
      <c r="L33" s="18">
        <v>0</v>
      </c>
      <c r="M33" s="24">
        <f t="shared" si="5"/>
        <v>0</v>
      </c>
      <c r="O33" s="10">
        <v>29</v>
      </c>
      <c r="P33" s="20"/>
      <c r="Q33" s="12">
        <f>+'[1]วันที่ 15'!U33</f>
        <v>0</v>
      </c>
      <c r="R33" s="13">
        <v>0</v>
      </c>
      <c r="S33" s="12">
        <f t="shared" si="3"/>
        <v>0</v>
      </c>
      <c r="T33" s="13">
        <v>0</v>
      </c>
      <c r="U33" s="12">
        <f t="shared" si="4"/>
        <v>0</v>
      </c>
      <c r="V33" s="14">
        <v>0</v>
      </c>
      <c r="W33" s="21"/>
      <c r="X33" s="16">
        <f t="shared" si="6"/>
        <v>0</v>
      </c>
      <c r="Y33" s="17" t="s">
        <v>16</v>
      </c>
      <c r="Z33" s="18">
        <v>0</v>
      </c>
    </row>
    <row r="34" spans="1:26" ht="25.5">
      <c r="A34" s="10">
        <v>30</v>
      </c>
      <c r="B34" s="11" t="s">
        <v>46</v>
      </c>
      <c r="C34" s="12">
        <f>+'30'!G34</f>
        <v>1</v>
      </c>
      <c r="D34" s="13">
        <v>0</v>
      </c>
      <c r="E34" s="12">
        <f t="shared" si="0"/>
        <v>1</v>
      </c>
      <c r="F34" s="13">
        <v>0</v>
      </c>
      <c r="G34" s="12">
        <f t="shared" si="1"/>
        <v>1</v>
      </c>
      <c r="H34" s="14">
        <v>0</v>
      </c>
      <c r="I34" s="15">
        <v>130</v>
      </c>
      <c r="J34" s="16">
        <f t="shared" si="2"/>
        <v>0</v>
      </c>
      <c r="K34" s="17" t="s">
        <v>16</v>
      </c>
      <c r="L34" s="18">
        <v>0</v>
      </c>
      <c r="M34" s="24">
        <f t="shared" si="5"/>
        <v>0</v>
      </c>
      <c r="O34" s="10">
        <v>30</v>
      </c>
      <c r="P34" s="20"/>
      <c r="Q34" s="12">
        <f>+'[1]วันที่ 15'!U34</f>
        <v>0</v>
      </c>
      <c r="R34" s="13">
        <v>0</v>
      </c>
      <c r="S34" s="12">
        <f t="shared" si="3"/>
        <v>0</v>
      </c>
      <c r="T34" s="13">
        <v>0</v>
      </c>
      <c r="U34" s="12">
        <f t="shared" si="4"/>
        <v>0</v>
      </c>
      <c r="V34" s="14">
        <v>0</v>
      </c>
      <c r="W34" s="23"/>
      <c r="X34" s="16">
        <f t="shared" si="6"/>
        <v>0</v>
      </c>
      <c r="Y34" s="17" t="s">
        <v>16</v>
      </c>
      <c r="Z34" s="18">
        <v>0</v>
      </c>
    </row>
    <row r="35" spans="1:26" ht="25.5">
      <c r="A35" s="10">
        <v>31</v>
      </c>
      <c r="B35" s="11" t="s">
        <v>47</v>
      </c>
      <c r="C35" s="12">
        <f>+'30'!G35</f>
        <v>0</v>
      </c>
      <c r="D35" s="13">
        <v>0</v>
      </c>
      <c r="E35" s="12">
        <f t="shared" si="0"/>
        <v>0</v>
      </c>
      <c r="F35" s="13">
        <v>0</v>
      </c>
      <c r="G35" s="12">
        <f t="shared" si="1"/>
        <v>0</v>
      </c>
      <c r="H35" s="14">
        <v>0</v>
      </c>
      <c r="I35" s="15">
        <v>130</v>
      </c>
      <c r="J35" s="16">
        <f t="shared" si="2"/>
        <v>0</v>
      </c>
      <c r="K35" s="17" t="s">
        <v>16</v>
      </c>
      <c r="L35" s="18">
        <v>0</v>
      </c>
      <c r="M35" s="24">
        <f t="shared" si="5"/>
        <v>0</v>
      </c>
      <c r="O35" s="10">
        <v>31</v>
      </c>
      <c r="P35" s="20"/>
      <c r="Q35" s="12">
        <f>+'[1]วันที่ 15'!U35</f>
        <v>0</v>
      </c>
      <c r="R35" s="13">
        <v>0</v>
      </c>
      <c r="S35" s="12">
        <f t="shared" si="3"/>
        <v>0</v>
      </c>
      <c r="T35" s="13">
        <v>0</v>
      </c>
      <c r="U35" s="12">
        <f t="shared" si="4"/>
        <v>0</v>
      </c>
      <c r="V35" s="14">
        <v>0</v>
      </c>
      <c r="W35" s="23"/>
      <c r="X35" s="16">
        <f t="shared" si="6"/>
        <v>0</v>
      </c>
      <c r="Y35" s="17" t="s">
        <v>16</v>
      </c>
      <c r="Z35" s="18">
        <v>0</v>
      </c>
    </row>
    <row r="36" spans="1:26" ht="25.5">
      <c r="A36" s="10">
        <v>32</v>
      </c>
      <c r="B36" s="11" t="s">
        <v>48</v>
      </c>
      <c r="C36" s="12">
        <f>+'30'!G36</f>
        <v>0</v>
      </c>
      <c r="D36" s="13">
        <v>0</v>
      </c>
      <c r="E36" s="12">
        <f t="shared" si="0"/>
        <v>0</v>
      </c>
      <c r="F36" s="13">
        <v>0</v>
      </c>
      <c r="G36" s="12">
        <f t="shared" si="1"/>
        <v>0</v>
      </c>
      <c r="H36" s="14">
        <v>0</v>
      </c>
      <c r="I36" s="15">
        <v>100</v>
      </c>
      <c r="J36" s="16">
        <f t="shared" si="2"/>
        <v>0</v>
      </c>
      <c r="K36" s="17" t="s">
        <v>16</v>
      </c>
      <c r="L36" s="18">
        <v>0</v>
      </c>
      <c r="M36" s="24">
        <f t="shared" si="5"/>
        <v>0</v>
      </c>
      <c r="O36" s="10">
        <v>32</v>
      </c>
      <c r="P36" s="20"/>
      <c r="Q36" s="12">
        <f>+'[1]วันที่ 15'!U36</f>
        <v>0</v>
      </c>
      <c r="R36" s="13">
        <v>0</v>
      </c>
      <c r="S36" s="12">
        <f t="shared" si="3"/>
        <v>0</v>
      </c>
      <c r="T36" s="13">
        <v>0</v>
      </c>
      <c r="U36" s="12">
        <f t="shared" si="4"/>
        <v>0</v>
      </c>
      <c r="V36" s="14">
        <v>0</v>
      </c>
      <c r="W36" s="23"/>
      <c r="X36" s="16">
        <f t="shared" si="6"/>
        <v>0</v>
      </c>
      <c r="Y36" s="17" t="s">
        <v>16</v>
      </c>
      <c r="Z36" s="18">
        <v>0</v>
      </c>
    </row>
    <row r="37" spans="1:26" ht="25.5">
      <c r="A37" s="10">
        <v>33</v>
      </c>
      <c r="B37" s="11" t="s">
        <v>49</v>
      </c>
      <c r="C37" s="12">
        <f>+'30'!G37</f>
        <v>2</v>
      </c>
      <c r="D37" s="13">
        <v>0</v>
      </c>
      <c r="E37" s="12">
        <f t="shared" si="0"/>
        <v>2</v>
      </c>
      <c r="F37" s="13">
        <v>0</v>
      </c>
      <c r="G37" s="12">
        <f t="shared" si="1"/>
        <v>2</v>
      </c>
      <c r="H37" s="14">
        <v>0</v>
      </c>
      <c r="I37" s="15">
        <v>100</v>
      </c>
      <c r="J37" s="16">
        <f t="shared" si="2"/>
        <v>0</v>
      </c>
      <c r="K37" s="17" t="s">
        <v>16</v>
      </c>
      <c r="L37" s="18">
        <v>0</v>
      </c>
      <c r="M37" s="24">
        <f t="shared" si="5"/>
        <v>0</v>
      </c>
      <c r="O37" s="10">
        <v>33</v>
      </c>
      <c r="P37" s="20"/>
      <c r="Q37" s="12">
        <f>+'[1]วันที่ 15'!U37</f>
        <v>0</v>
      </c>
      <c r="R37" s="13">
        <v>0</v>
      </c>
      <c r="S37" s="12">
        <f t="shared" si="3"/>
        <v>0</v>
      </c>
      <c r="T37" s="13">
        <v>0</v>
      </c>
      <c r="U37" s="12">
        <f t="shared" si="4"/>
        <v>0</v>
      </c>
      <c r="V37" s="14">
        <v>0</v>
      </c>
      <c r="W37" s="23"/>
      <c r="X37" s="16">
        <f t="shared" si="6"/>
        <v>0</v>
      </c>
      <c r="Y37" s="17" t="s">
        <v>16</v>
      </c>
      <c r="Z37" s="18">
        <v>0</v>
      </c>
    </row>
    <row r="38" spans="1:26" ht="25.5">
      <c r="A38" s="10">
        <v>34</v>
      </c>
      <c r="B38" s="11" t="s">
        <v>50</v>
      </c>
      <c r="C38" s="12">
        <f>+'30'!G38</f>
        <v>1</v>
      </c>
      <c r="D38" s="13">
        <v>0</v>
      </c>
      <c r="E38" s="12">
        <f t="shared" si="0"/>
        <v>1</v>
      </c>
      <c r="F38" s="13">
        <v>0</v>
      </c>
      <c r="G38" s="12">
        <f t="shared" si="1"/>
        <v>1</v>
      </c>
      <c r="H38" s="14">
        <v>0</v>
      </c>
      <c r="I38" s="15">
        <v>50</v>
      </c>
      <c r="J38" s="16">
        <f t="shared" si="2"/>
        <v>0</v>
      </c>
      <c r="K38" s="17" t="s">
        <v>16</v>
      </c>
      <c r="L38" s="18">
        <v>0</v>
      </c>
      <c r="M38" s="24">
        <f t="shared" si="5"/>
        <v>0</v>
      </c>
      <c r="O38" s="10">
        <v>34</v>
      </c>
      <c r="P38" s="20"/>
      <c r="Q38" s="12">
        <f>+'[1]วันที่ 15'!U38</f>
        <v>0</v>
      </c>
      <c r="R38" s="13">
        <v>0</v>
      </c>
      <c r="S38" s="12">
        <f t="shared" si="3"/>
        <v>0</v>
      </c>
      <c r="T38" s="13">
        <v>0</v>
      </c>
      <c r="U38" s="12">
        <f t="shared" si="4"/>
        <v>0</v>
      </c>
      <c r="V38" s="14">
        <v>0</v>
      </c>
      <c r="W38" s="23"/>
      <c r="X38" s="16">
        <f t="shared" si="6"/>
        <v>0</v>
      </c>
      <c r="Y38" s="17" t="s">
        <v>16</v>
      </c>
      <c r="Z38" s="18">
        <v>0</v>
      </c>
    </row>
    <row r="39" spans="1:26" ht="25.5">
      <c r="A39" s="10">
        <v>35</v>
      </c>
      <c r="B39" s="11" t="s">
        <v>51</v>
      </c>
      <c r="C39" s="12">
        <f>+'30'!G39</f>
        <v>5</v>
      </c>
      <c r="D39" s="13">
        <v>0</v>
      </c>
      <c r="E39" s="12">
        <f t="shared" si="0"/>
        <v>5</v>
      </c>
      <c r="F39" s="13">
        <v>0</v>
      </c>
      <c r="G39" s="12">
        <f t="shared" si="1"/>
        <v>5</v>
      </c>
      <c r="H39" s="14">
        <v>0</v>
      </c>
      <c r="I39" s="15">
        <v>50</v>
      </c>
      <c r="J39" s="16">
        <f t="shared" si="2"/>
        <v>0</v>
      </c>
      <c r="K39" s="17" t="s">
        <v>16</v>
      </c>
      <c r="L39" s="18">
        <v>0</v>
      </c>
      <c r="M39" s="24">
        <f t="shared" si="5"/>
        <v>0</v>
      </c>
      <c r="O39" s="10">
        <v>35</v>
      </c>
      <c r="P39" s="20"/>
      <c r="Q39" s="12">
        <f>+'[1]วันที่ 15'!U39</f>
        <v>0</v>
      </c>
      <c r="R39" s="13">
        <v>0</v>
      </c>
      <c r="S39" s="12">
        <f t="shared" si="3"/>
        <v>0</v>
      </c>
      <c r="T39" s="13">
        <v>0</v>
      </c>
      <c r="U39" s="12">
        <f t="shared" si="4"/>
        <v>0</v>
      </c>
      <c r="V39" s="14">
        <v>0</v>
      </c>
      <c r="W39" s="23"/>
      <c r="X39" s="16">
        <f t="shared" si="6"/>
        <v>0</v>
      </c>
      <c r="Y39" s="17" t="s">
        <v>16</v>
      </c>
      <c r="Z39" s="18">
        <v>0</v>
      </c>
    </row>
    <row r="40" spans="1:26" ht="25.5">
      <c r="A40" s="10">
        <v>36</v>
      </c>
      <c r="B40" s="11" t="s">
        <v>52</v>
      </c>
      <c r="C40" s="12">
        <f>+'30'!G40</f>
        <v>5</v>
      </c>
      <c r="D40" s="13">
        <v>0</v>
      </c>
      <c r="E40" s="12">
        <f t="shared" si="0"/>
        <v>5</v>
      </c>
      <c r="F40" s="13">
        <v>0</v>
      </c>
      <c r="G40" s="12">
        <f t="shared" si="1"/>
        <v>5</v>
      </c>
      <c r="H40" s="14">
        <v>0</v>
      </c>
      <c r="I40" s="15">
        <v>50</v>
      </c>
      <c r="J40" s="16">
        <f t="shared" si="2"/>
        <v>0</v>
      </c>
      <c r="K40" s="17" t="s">
        <v>16</v>
      </c>
      <c r="L40" s="18">
        <v>0</v>
      </c>
      <c r="M40" s="24">
        <f t="shared" si="5"/>
        <v>0</v>
      </c>
      <c r="O40" s="10">
        <v>36</v>
      </c>
      <c r="P40" s="20"/>
      <c r="Q40" s="12">
        <f>+'[1]วันที่ 15'!U40</f>
        <v>0</v>
      </c>
      <c r="R40" s="13">
        <v>0</v>
      </c>
      <c r="S40" s="12">
        <f t="shared" si="3"/>
        <v>0</v>
      </c>
      <c r="T40" s="13">
        <v>0</v>
      </c>
      <c r="U40" s="12">
        <f t="shared" si="4"/>
        <v>0</v>
      </c>
      <c r="V40" s="14">
        <v>0</v>
      </c>
      <c r="W40" s="23"/>
      <c r="X40" s="16">
        <f t="shared" si="6"/>
        <v>0</v>
      </c>
      <c r="Y40" s="17" t="s">
        <v>16</v>
      </c>
      <c r="Z40" s="18">
        <v>0</v>
      </c>
    </row>
    <row r="41" spans="1:26" ht="25.5">
      <c r="A41" s="10">
        <v>37</v>
      </c>
      <c r="B41" s="11" t="s">
        <v>53</v>
      </c>
      <c r="C41" s="12">
        <f>+'30'!G41</f>
        <v>8</v>
      </c>
      <c r="D41" s="13">
        <v>0</v>
      </c>
      <c r="E41" s="12">
        <f t="shared" si="0"/>
        <v>8</v>
      </c>
      <c r="F41" s="13">
        <v>0</v>
      </c>
      <c r="G41" s="12">
        <f t="shared" si="1"/>
        <v>8</v>
      </c>
      <c r="H41" s="14">
        <v>0</v>
      </c>
      <c r="I41" s="15">
        <v>50</v>
      </c>
      <c r="J41" s="16">
        <f t="shared" si="2"/>
        <v>0</v>
      </c>
      <c r="K41" s="17" t="s">
        <v>16</v>
      </c>
      <c r="L41" s="18">
        <v>0</v>
      </c>
      <c r="M41" s="24">
        <f t="shared" si="5"/>
        <v>0</v>
      </c>
      <c r="O41" s="10">
        <v>37</v>
      </c>
      <c r="P41" s="20"/>
      <c r="Q41" s="12">
        <f>+'[1]วันที่ 15'!U41</f>
        <v>0</v>
      </c>
      <c r="R41" s="13">
        <v>0</v>
      </c>
      <c r="S41" s="12">
        <f t="shared" si="3"/>
        <v>0</v>
      </c>
      <c r="T41" s="13">
        <v>0</v>
      </c>
      <c r="U41" s="12">
        <f t="shared" si="4"/>
        <v>0</v>
      </c>
      <c r="V41" s="14">
        <v>0</v>
      </c>
      <c r="W41" s="21"/>
      <c r="X41" s="16">
        <f t="shared" si="6"/>
        <v>0</v>
      </c>
      <c r="Y41" s="17" t="s">
        <v>16</v>
      </c>
      <c r="Z41" s="18">
        <v>0</v>
      </c>
    </row>
    <row r="42" spans="1:26" ht="25.5">
      <c r="A42" s="10">
        <v>38</v>
      </c>
      <c r="B42" s="11" t="s">
        <v>54</v>
      </c>
      <c r="C42" s="12">
        <f>+'30'!G42</f>
        <v>5</v>
      </c>
      <c r="D42" s="13">
        <v>0</v>
      </c>
      <c r="E42" s="12">
        <f t="shared" si="0"/>
        <v>5</v>
      </c>
      <c r="F42" s="13">
        <v>0</v>
      </c>
      <c r="G42" s="12">
        <f t="shared" si="1"/>
        <v>5</v>
      </c>
      <c r="H42" s="14">
        <v>0</v>
      </c>
      <c r="I42" s="15">
        <v>50</v>
      </c>
      <c r="J42" s="16">
        <f t="shared" si="2"/>
        <v>0</v>
      </c>
      <c r="K42" s="17" t="s">
        <v>16</v>
      </c>
      <c r="L42" s="18">
        <v>0</v>
      </c>
      <c r="M42" s="24">
        <f t="shared" si="5"/>
        <v>0</v>
      </c>
      <c r="O42" s="10">
        <v>38</v>
      </c>
      <c r="P42" s="20"/>
      <c r="Q42" s="12">
        <f>+'[1]วันที่ 15'!U42</f>
        <v>0</v>
      </c>
      <c r="R42" s="13">
        <v>0</v>
      </c>
      <c r="S42" s="12">
        <f t="shared" si="3"/>
        <v>0</v>
      </c>
      <c r="T42" s="13">
        <v>0</v>
      </c>
      <c r="U42" s="12">
        <f t="shared" si="4"/>
        <v>0</v>
      </c>
      <c r="V42" s="14">
        <v>0</v>
      </c>
      <c r="W42" s="21"/>
      <c r="X42" s="16">
        <f t="shared" si="6"/>
        <v>0</v>
      </c>
      <c r="Y42" s="17" t="s">
        <v>16</v>
      </c>
      <c r="Z42" s="18">
        <v>0</v>
      </c>
    </row>
    <row r="43" spans="1:26" ht="25.5">
      <c r="A43" s="10">
        <v>39</v>
      </c>
      <c r="B43" s="11" t="s">
        <v>55</v>
      </c>
      <c r="C43" s="12">
        <f>+'30'!G43</f>
        <v>5</v>
      </c>
      <c r="D43" s="13">
        <v>0</v>
      </c>
      <c r="E43" s="12">
        <f t="shared" si="0"/>
        <v>5</v>
      </c>
      <c r="F43" s="13">
        <v>0</v>
      </c>
      <c r="G43" s="12">
        <f t="shared" si="1"/>
        <v>5</v>
      </c>
      <c r="H43" s="14">
        <v>0</v>
      </c>
      <c r="I43" s="15">
        <v>50</v>
      </c>
      <c r="J43" s="16">
        <f t="shared" si="2"/>
        <v>0</v>
      </c>
      <c r="K43" s="17" t="s">
        <v>16</v>
      </c>
      <c r="L43" s="18">
        <v>0</v>
      </c>
      <c r="M43" s="24">
        <f t="shared" si="5"/>
        <v>0</v>
      </c>
      <c r="O43" s="10">
        <v>39</v>
      </c>
      <c r="P43" s="20"/>
      <c r="Q43" s="12">
        <f>+'[1]วันที่ 15'!U43</f>
        <v>0</v>
      </c>
      <c r="R43" s="13">
        <v>0</v>
      </c>
      <c r="S43" s="12">
        <f t="shared" si="3"/>
        <v>0</v>
      </c>
      <c r="T43" s="13">
        <v>0</v>
      </c>
      <c r="U43" s="12">
        <f t="shared" si="4"/>
        <v>0</v>
      </c>
      <c r="V43" s="14">
        <v>0</v>
      </c>
      <c r="W43" s="21"/>
      <c r="X43" s="16">
        <f t="shared" si="6"/>
        <v>0</v>
      </c>
      <c r="Y43" s="17" t="s">
        <v>16</v>
      </c>
      <c r="Z43" s="18">
        <v>0</v>
      </c>
    </row>
    <row r="44" spans="1:26" ht="25.5">
      <c r="A44" s="10">
        <v>40</v>
      </c>
      <c r="B44" s="11" t="s">
        <v>56</v>
      </c>
      <c r="C44" s="12">
        <f>+'30'!G44</f>
        <v>6</v>
      </c>
      <c r="D44" s="13">
        <v>0</v>
      </c>
      <c r="E44" s="12">
        <f t="shared" si="0"/>
        <v>6</v>
      </c>
      <c r="F44" s="13">
        <v>0</v>
      </c>
      <c r="G44" s="12">
        <f t="shared" si="1"/>
        <v>6</v>
      </c>
      <c r="H44" s="14">
        <v>0</v>
      </c>
      <c r="I44" s="15">
        <v>50</v>
      </c>
      <c r="J44" s="16">
        <f t="shared" si="2"/>
        <v>0</v>
      </c>
      <c r="K44" s="17" t="s">
        <v>16</v>
      </c>
      <c r="L44" s="18">
        <v>0</v>
      </c>
      <c r="M44" s="24">
        <f t="shared" si="5"/>
        <v>0</v>
      </c>
      <c r="O44" s="10">
        <v>40</v>
      </c>
      <c r="P44" s="20"/>
      <c r="Q44" s="12">
        <f>+'[1]วันที่ 15'!U44</f>
        <v>0</v>
      </c>
      <c r="R44" s="13">
        <v>0</v>
      </c>
      <c r="S44" s="12">
        <f t="shared" si="3"/>
        <v>0</v>
      </c>
      <c r="T44" s="13">
        <v>0</v>
      </c>
      <c r="U44" s="12">
        <f t="shared" si="4"/>
        <v>0</v>
      </c>
      <c r="V44" s="14">
        <v>0</v>
      </c>
      <c r="W44" s="21"/>
      <c r="X44" s="16">
        <f t="shared" si="6"/>
        <v>0</v>
      </c>
      <c r="Y44" s="17" t="s">
        <v>16</v>
      </c>
      <c r="Z44" s="18">
        <v>0</v>
      </c>
    </row>
    <row r="45" spans="1:26" ht="25.5">
      <c r="A45" s="10">
        <v>41</v>
      </c>
      <c r="B45" s="11" t="s">
        <v>57</v>
      </c>
      <c r="C45" s="12">
        <f>+'30'!G45</f>
        <v>0</v>
      </c>
      <c r="D45" s="13">
        <v>0</v>
      </c>
      <c r="E45" s="12">
        <f t="shared" si="0"/>
        <v>0</v>
      </c>
      <c r="F45" s="13">
        <v>0</v>
      </c>
      <c r="G45" s="12">
        <f t="shared" si="1"/>
        <v>0</v>
      </c>
      <c r="H45" s="14">
        <v>0</v>
      </c>
      <c r="I45" s="15">
        <v>50</v>
      </c>
      <c r="J45" s="16">
        <f t="shared" si="2"/>
        <v>0</v>
      </c>
      <c r="K45" s="17" t="s">
        <v>16</v>
      </c>
      <c r="L45" s="18">
        <v>0</v>
      </c>
      <c r="M45" s="24">
        <f t="shared" si="5"/>
        <v>0</v>
      </c>
      <c r="O45" s="10">
        <v>41</v>
      </c>
      <c r="P45" s="20"/>
      <c r="Q45" s="12">
        <f>+'[1]วันที่ 15'!U45</f>
        <v>0</v>
      </c>
      <c r="R45" s="13">
        <v>0</v>
      </c>
      <c r="S45" s="12">
        <f t="shared" si="3"/>
        <v>0</v>
      </c>
      <c r="T45" s="13">
        <v>0</v>
      </c>
      <c r="U45" s="12">
        <f t="shared" si="4"/>
        <v>0</v>
      </c>
      <c r="V45" s="14">
        <v>0</v>
      </c>
      <c r="W45" s="21"/>
      <c r="X45" s="16">
        <f t="shared" si="6"/>
        <v>0</v>
      </c>
      <c r="Y45" s="17" t="s">
        <v>16</v>
      </c>
      <c r="Z45" s="18">
        <v>0</v>
      </c>
    </row>
    <row r="46" spans="1:26" ht="25.5">
      <c r="A46" s="10">
        <v>42</v>
      </c>
      <c r="B46" s="11" t="s">
        <v>58</v>
      </c>
      <c r="C46" s="12">
        <f>+'30'!G46</f>
        <v>8</v>
      </c>
      <c r="D46" s="13">
        <v>0</v>
      </c>
      <c r="E46" s="12">
        <f t="shared" si="0"/>
        <v>8</v>
      </c>
      <c r="F46" s="13">
        <v>0</v>
      </c>
      <c r="G46" s="12">
        <f t="shared" si="1"/>
        <v>8</v>
      </c>
      <c r="H46" s="14">
        <v>0</v>
      </c>
      <c r="I46" s="15">
        <v>50</v>
      </c>
      <c r="J46" s="16">
        <f t="shared" si="2"/>
        <v>0</v>
      </c>
      <c r="K46" s="17" t="s">
        <v>16</v>
      </c>
      <c r="L46" s="18">
        <v>0</v>
      </c>
      <c r="M46" s="24">
        <f t="shared" si="5"/>
        <v>0</v>
      </c>
      <c r="O46" s="10">
        <v>42</v>
      </c>
      <c r="P46" s="20"/>
      <c r="Q46" s="12">
        <f>+'[1]วันที่ 15'!U46</f>
        <v>0</v>
      </c>
      <c r="R46" s="13">
        <v>0</v>
      </c>
      <c r="S46" s="12">
        <f t="shared" si="3"/>
        <v>0</v>
      </c>
      <c r="T46" s="13">
        <v>0</v>
      </c>
      <c r="U46" s="12">
        <f t="shared" si="4"/>
        <v>0</v>
      </c>
      <c r="V46" s="14">
        <v>0</v>
      </c>
      <c r="W46" s="21"/>
      <c r="X46" s="16">
        <f t="shared" si="6"/>
        <v>0</v>
      </c>
      <c r="Y46" s="17" t="s">
        <v>16</v>
      </c>
      <c r="Z46" s="18">
        <v>0</v>
      </c>
    </row>
    <row r="47" spans="1:26" ht="25.5">
      <c r="A47" s="10">
        <v>43</v>
      </c>
      <c r="B47" s="11" t="s">
        <v>59</v>
      </c>
      <c r="C47" s="12">
        <f>+'30'!G47</f>
        <v>7</v>
      </c>
      <c r="D47" s="13">
        <v>0</v>
      </c>
      <c r="E47" s="12">
        <f t="shared" si="0"/>
        <v>7</v>
      </c>
      <c r="F47" s="13">
        <v>0</v>
      </c>
      <c r="G47" s="12">
        <f t="shared" si="1"/>
        <v>7</v>
      </c>
      <c r="H47" s="14">
        <v>0</v>
      </c>
      <c r="I47" s="15">
        <v>50</v>
      </c>
      <c r="J47" s="16">
        <f t="shared" si="2"/>
        <v>0</v>
      </c>
      <c r="K47" s="17" t="s">
        <v>16</v>
      </c>
      <c r="L47" s="18">
        <v>0</v>
      </c>
      <c r="M47" s="24">
        <f t="shared" si="5"/>
        <v>0</v>
      </c>
      <c r="O47" s="10">
        <v>43</v>
      </c>
      <c r="P47" s="20"/>
      <c r="Q47" s="12">
        <f>+'[1]วันที่ 15'!U47</f>
        <v>0</v>
      </c>
      <c r="R47" s="13">
        <v>0</v>
      </c>
      <c r="S47" s="12">
        <f t="shared" si="3"/>
        <v>0</v>
      </c>
      <c r="T47" s="13">
        <v>0</v>
      </c>
      <c r="U47" s="12">
        <f t="shared" si="4"/>
        <v>0</v>
      </c>
      <c r="V47" s="14">
        <v>0</v>
      </c>
      <c r="W47" s="21"/>
      <c r="X47" s="16">
        <f t="shared" si="6"/>
        <v>0</v>
      </c>
      <c r="Y47" s="17" t="s">
        <v>16</v>
      </c>
      <c r="Z47" s="18">
        <v>0</v>
      </c>
    </row>
    <row r="48" spans="1:26" ht="25.5">
      <c r="A48" s="10">
        <v>44</v>
      </c>
      <c r="B48" s="11" t="s">
        <v>60</v>
      </c>
      <c r="C48" s="12">
        <f>+'30'!G48</f>
        <v>5</v>
      </c>
      <c r="D48" s="13">
        <v>0</v>
      </c>
      <c r="E48" s="12">
        <f t="shared" si="0"/>
        <v>5</v>
      </c>
      <c r="F48" s="13">
        <v>0</v>
      </c>
      <c r="G48" s="12">
        <f t="shared" si="1"/>
        <v>5</v>
      </c>
      <c r="H48" s="14">
        <v>0</v>
      </c>
      <c r="I48" s="15">
        <v>50</v>
      </c>
      <c r="J48" s="16">
        <f t="shared" si="2"/>
        <v>0</v>
      </c>
      <c r="K48" s="17" t="s">
        <v>16</v>
      </c>
      <c r="L48" s="18">
        <v>0</v>
      </c>
      <c r="M48" s="24">
        <f t="shared" si="5"/>
        <v>0</v>
      </c>
      <c r="O48" s="10">
        <v>44</v>
      </c>
      <c r="P48" s="20"/>
      <c r="Q48" s="12">
        <f>+'[1]วันที่ 15'!U48</f>
        <v>0</v>
      </c>
      <c r="R48" s="13">
        <v>0</v>
      </c>
      <c r="S48" s="12">
        <f t="shared" si="3"/>
        <v>0</v>
      </c>
      <c r="T48" s="13">
        <v>0</v>
      </c>
      <c r="U48" s="12">
        <f t="shared" si="4"/>
        <v>0</v>
      </c>
      <c r="V48" s="14">
        <v>0</v>
      </c>
      <c r="W48" s="21"/>
      <c r="X48" s="16">
        <f t="shared" si="6"/>
        <v>0</v>
      </c>
      <c r="Y48" s="17" t="s">
        <v>16</v>
      </c>
      <c r="Z48" s="18">
        <v>0</v>
      </c>
    </row>
    <row r="49" spans="1:26" ht="25.5">
      <c r="A49" s="10">
        <v>45</v>
      </c>
      <c r="B49" s="11" t="s">
        <v>61</v>
      </c>
      <c r="C49" s="12">
        <f>+'30'!G49</f>
        <v>0</v>
      </c>
      <c r="D49" s="13">
        <v>0</v>
      </c>
      <c r="E49" s="12">
        <f t="shared" si="0"/>
        <v>0</v>
      </c>
      <c r="F49" s="13">
        <v>0</v>
      </c>
      <c r="G49" s="12">
        <f t="shared" si="1"/>
        <v>0</v>
      </c>
      <c r="H49" s="14">
        <v>0</v>
      </c>
      <c r="I49" s="15">
        <v>50</v>
      </c>
      <c r="J49" s="16">
        <f t="shared" si="2"/>
        <v>0</v>
      </c>
      <c r="K49" s="17" t="s">
        <v>16</v>
      </c>
      <c r="L49" s="18">
        <v>0</v>
      </c>
      <c r="M49" s="24">
        <f t="shared" si="5"/>
        <v>0</v>
      </c>
      <c r="O49" s="10">
        <v>45</v>
      </c>
      <c r="P49" s="20"/>
      <c r="Q49" s="12">
        <f>+'[1]วันที่ 15'!U49</f>
        <v>0</v>
      </c>
      <c r="R49" s="13">
        <v>0</v>
      </c>
      <c r="S49" s="12">
        <f t="shared" si="3"/>
        <v>0</v>
      </c>
      <c r="T49" s="13">
        <v>0</v>
      </c>
      <c r="U49" s="12">
        <f t="shared" si="4"/>
        <v>0</v>
      </c>
      <c r="V49" s="14">
        <v>0</v>
      </c>
      <c r="W49" s="21"/>
      <c r="X49" s="16">
        <f t="shared" si="6"/>
        <v>0</v>
      </c>
      <c r="Y49" s="17" t="s">
        <v>16</v>
      </c>
      <c r="Z49" s="18">
        <v>0</v>
      </c>
    </row>
    <row r="50" spans="1:26" ht="25.5">
      <c r="A50" s="10">
        <v>46</v>
      </c>
      <c r="B50" s="11" t="s">
        <v>62</v>
      </c>
      <c r="C50" s="12">
        <f>+'30'!G50</f>
        <v>0</v>
      </c>
      <c r="D50" s="13">
        <v>0</v>
      </c>
      <c r="E50" s="12">
        <f>C50+D50</f>
        <v>0</v>
      </c>
      <c r="F50" s="13">
        <v>0</v>
      </c>
      <c r="G50" s="12">
        <f t="shared" si="1"/>
        <v>0</v>
      </c>
      <c r="H50" s="14">
        <v>0</v>
      </c>
      <c r="I50" s="15">
        <v>120</v>
      </c>
      <c r="J50" s="16">
        <f t="shared" si="2"/>
        <v>0</v>
      </c>
      <c r="K50" s="17" t="s">
        <v>16</v>
      </c>
      <c r="L50" s="18">
        <v>0</v>
      </c>
      <c r="M50" s="24">
        <f t="shared" si="5"/>
        <v>0</v>
      </c>
      <c r="O50" s="10">
        <v>46</v>
      </c>
      <c r="P50" s="20"/>
      <c r="Q50" s="12">
        <f>+'[1]วันที่ 15'!U50</f>
        <v>0</v>
      </c>
      <c r="R50" s="13">
        <v>0</v>
      </c>
      <c r="S50" s="12">
        <f t="shared" si="3"/>
        <v>0</v>
      </c>
      <c r="T50" s="13">
        <v>0</v>
      </c>
      <c r="U50" s="12">
        <f t="shared" si="4"/>
        <v>0</v>
      </c>
      <c r="V50" s="14">
        <v>0</v>
      </c>
      <c r="W50" s="21"/>
      <c r="X50" s="16">
        <f t="shared" si="6"/>
        <v>0</v>
      </c>
      <c r="Y50" s="17" t="s">
        <v>16</v>
      </c>
      <c r="Z50" s="18">
        <v>0</v>
      </c>
    </row>
    <row r="51" spans="1:26" ht="25.5">
      <c r="A51" s="10">
        <v>47</v>
      </c>
      <c r="B51" s="11" t="s">
        <v>63</v>
      </c>
      <c r="C51" s="12">
        <f>+'30'!G51</f>
        <v>0</v>
      </c>
      <c r="D51" s="13">
        <v>0</v>
      </c>
      <c r="E51" s="12">
        <f>C51+D51</f>
        <v>0</v>
      </c>
      <c r="F51" s="13">
        <v>0</v>
      </c>
      <c r="G51" s="12">
        <f t="shared" si="1"/>
        <v>0</v>
      </c>
      <c r="H51" s="14">
        <v>0</v>
      </c>
      <c r="I51" s="15">
        <v>120</v>
      </c>
      <c r="J51" s="16">
        <f t="shared" si="2"/>
        <v>0</v>
      </c>
      <c r="K51" s="17" t="s">
        <v>16</v>
      </c>
      <c r="L51" s="18">
        <v>0</v>
      </c>
      <c r="M51" s="24">
        <f t="shared" si="5"/>
        <v>0</v>
      </c>
      <c r="O51" s="10">
        <v>47</v>
      </c>
      <c r="P51" s="20"/>
      <c r="Q51" s="12">
        <f>+'[1]วันที่ 15'!U51</f>
        <v>0</v>
      </c>
      <c r="R51" s="13">
        <v>0</v>
      </c>
      <c r="S51" s="12">
        <f t="shared" si="3"/>
        <v>0</v>
      </c>
      <c r="T51" s="13">
        <v>0</v>
      </c>
      <c r="U51" s="12">
        <f t="shared" si="4"/>
        <v>0</v>
      </c>
      <c r="V51" s="14">
        <v>0</v>
      </c>
      <c r="W51" s="21"/>
      <c r="X51" s="16">
        <f t="shared" si="6"/>
        <v>0</v>
      </c>
      <c r="Y51" s="17" t="s">
        <v>16</v>
      </c>
      <c r="Z51" s="18">
        <v>0</v>
      </c>
    </row>
    <row r="52" spans="1:26" ht="25.5">
      <c r="A52" s="10">
        <v>48</v>
      </c>
      <c r="B52" s="11" t="s">
        <v>64</v>
      </c>
      <c r="C52" s="12">
        <f>+'30'!G52</f>
        <v>0</v>
      </c>
      <c r="D52" s="13">
        <v>0</v>
      </c>
      <c r="E52" s="12">
        <f t="shared" si="0"/>
        <v>0</v>
      </c>
      <c r="F52" s="13">
        <v>0</v>
      </c>
      <c r="G52" s="12">
        <f t="shared" si="1"/>
        <v>0</v>
      </c>
      <c r="H52" s="14">
        <v>0</v>
      </c>
      <c r="I52" s="19">
        <v>120</v>
      </c>
      <c r="J52" s="16">
        <f t="shared" si="2"/>
        <v>0</v>
      </c>
      <c r="K52" s="17" t="s">
        <v>16</v>
      </c>
      <c r="L52" s="18">
        <v>0</v>
      </c>
      <c r="M52" s="24">
        <f t="shared" si="5"/>
        <v>0</v>
      </c>
      <c r="O52" s="10">
        <v>48</v>
      </c>
      <c r="P52" s="20"/>
      <c r="Q52" s="12">
        <f>+'[1]วันที่ 15'!U52</f>
        <v>0</v>
      </c>
      <c r="R52" s="13">
        <v>0</v>
      </c>
      <c r="S52" s="12">
        <f t="shared" si="3"/>
        <v>0</v>
      </c>
      <c r="T52" s="13">
        <v>0</v>
      </c>
      <c r="U52" s="12">
        <f t="shared" si="4"/>
        <v>0</v>
      </c>
      <c r="V52" s="14">
        <v>0</v>
      </c>
      <c r="W52" s="21"/>
      <c r="X52" s="16">
        <f t="shared" si="6"/>
        <v>0</v>
      </c>
      <c r="Y52" s="17" t="s">
        <v>16</v>
      </c>
      <c r="Z52" s="18">
        <v>0</v>
      </c>
    </row>
    <row r="53" spans="1:26" ht="25.5">
      <c r="A53" s="10">
        <v>49</v>
      </c>
      <c r="B53" s="11" t="s">
        <v>65</v>
      </c>
      <c r="C53" s="12">
        <f>+'30'!G53</f>
        <v>0</v>
      </c>
      <c r="D53" s="13">
        <v>0</v>
      </c>
      <c r="E53" s="12">
        <f t="shared" si="0"/>
        <v>0</v>
      </c>
      <c r="F53" s="13">
        <v>0</v>
      </c>
      <c r="G53" s="12">
        <f t="shared" si="1"/>
        <v>0</v>
      </c>
      <c r="H53" s="14">
        <v>0</v>
      </c>
      <c r="I53" s="15">
        <v>120</v>
      </c>
      <c r="J53" s="16">
        <f t="shared" si="2"/>
        <v>0</v>
      </c>
      <c r="K53" s="17" t="s">
        <v>16</v>
      </c>
      <c r="L53" s="18">
        <v>0</v>
      </c>
      <c r="M53" s="24">
        <f t="shared" si="5"/>
        <v>0</v>
      </c>
      <c r="O53" s="10">
        <v>49</v>
      </c>
      <c r="P53" s="20"/>
      <c r="Q53" s="12">
        <f>+'[1]วันที่ 15'!U53</f>
        <v>0</v>
      </c>
      <c r="R53" s="13">
        <v>0</v>
      </c>
      <c r="S53" s="12">
        <f t="shared" si="3"/>
        <v>0</v>
      </c>
      <c r="T53" s="13">
        <v>0</v>
      </c>
      <c r="U53" s="12">
        <f t="shared" si="4"/>
        <v>0</v>
      </c>
      <c r="V53" s="14">
        <v>0</v>
      </c>
      <c r="W53" s="21"/>
      <c r="X53" s="16">
        <f t="shared" si="6"/>
        <v>0</v>
      </c>
      <c r="Y53" s="17" t="s">
        <v>16</v>
      </c>
      <c r="Z53" s="18">
        <v>0</v>
      </c>
    </row>
    <row r="54" spans="1:26" ht="25.5">
      <c r="A54" s="10">
        <v>50</v>
      </c>
      <c r="B54" s="11" t="s">
        <v>66</v>
      </c>
      <c r="C54" s="12">
        <f>+'30'!G54</f>
        <v>0</v>
      </c>
      <c r="D54" s="13">
        <v>0</v>
      </c>
      <c r="E54" s="12">
        <f>C54+D54</f>
        <v>0</v>
      </c>
      <c r="F54" s="13">
        <v>0</v>
      </c>
      <c r="G54" s="12">
        <f t="shared" si="1"/>
        <v>0</v>
      </c>
      <c r="H54" s="14">
        <v>0</v>
      </c>
      <c r="I54" s="15">
        <v>120</v>
      </c>
      <c r="J54" s="16">
        <f t="shared" si="2"/>
        <v>0</v>
      </c>
      <c r="K54" s="17" t="s">
        <v>16</v>
      </c>
      <c r="L54" s="18">
        <v>0</v>
      </c>
      <c r="M54" s="24">
        <f t="shared" si="5"/>
        <v>0</v>
      </c>
      <c r="O54" s="10">
        <v>50</v>
      </c>
      <c r="P54" s="20"/>
      <c r="Q54" s="12">
        <f>+'[1]วันที่ 15'!U54</f>
        <v>0</v>
      </c>
      <c r="R54" s="13">
        <v>0</v>
      </c>
      <c r="S54" s="12">
        <f t="shared" si="3"/>
        <v>0</v>
      </c>
      <c r="T54" s="13">
        <v>0</v>
      </c>
      <c r="U54" s="12">
        <f t="shared" si="4"/>
        <v>0</v>
      </c>
      <c r="V54" s="14">
        <v>0</v>
      </c>
      <c r="W54" s="21"/>
      <c r="X54" s="16">
        <f t="shared" si="6"/>
        <v>0</v>
      </c>
      <c r="Y54" s="17" t="s">
        <v>16</v>
      </c>
      <c r="Z54" s="18">
        <v>0</v>
      </c>
    </row>
    <row r="55" spans="1:26" ht="25.5">
      <c r="A55" s="10">
        <v>51</v>
      </c>
      <c r="B55" s="11" t="s">
        <v>67</v>
      </c>
      <c r="C55" s="12">
        <f>+'30'!G55</f>
        <v>0</v>
      </c>
      <c r="D55" s="13">
        <v>0</v>
      </c>
      <c r="E55" s="12">
        <f t="shared" si="0"/>
        <v>0</v>
      </c>
      <c r="F55" s="13">
        <v>0</v>
      </c>
      <c r="G55" s="12">
        <f t="shared" si="1"/>
        <v>0</v>
      </c>
      <c r="H55" s="14">
        <v>0</v>
      </c>
      <c r="I55" s="19">
        <v>120</v>
      </c>
      <c r="J55" s="16">
        <f t="shared" si="2"/>
        <v>0</v>
      </c>
      <c r="K55" s="17" t="s">
        <v>16</v>
      </c>
      <c r="L55" s="18">
        <v>0</v>
      </c>
      <c r="M55" s="24">
        <f t="shared" si="5"/>
        <v>0</v>
      </c>
      <c r="O55" s="10">
        <v>51</v>
      </c>
      <c r="P55" s="20"/>
      <c r="Q55" s="12">
        <f>+'[1]วันที่ 15'!U55</f>
        <v>0</v>
      </c>
      <c r="R55" s="13">
        <v>0</v>
      </c>
      <c r="S55" s="12">
        <f t="shared" si="3"/>
        <v>0</v>
      </c>
      <c r="T55" s="13">
        <v>0</v>
      </c>
      <c r="U55" s="12">
        <f t="shared" si="4"/>
        <v>0</v>
      </c>
      <c r="V55" s="14">
        <v>0</v>
      </c>
      <c r="W55" s="21"/>
      <c r="X55" s="16">
        <f t="shared" si="6"/>
        <v>0</v>
      </c>
      <c r="Y55" s="17" t="s">
        <v>16</v>
      </c>
      <c r="Z55" s="18">
        <v>0</v>
      </c>
    </row>
    <row r="56" spans="1:26" ht="25.5">
      <c r="A56" s="10">
        <v>52</v>
      </c>
      <c r="B56" s="11" t="s">
        <v>68</v>
      </c>
      <c r="C56" s="12">
        <f>+'30'!G56</f>
        <v>0</v>
      </c>
      <c r="D56" s="13">
        <v>0</v>
      </c>
      <c r="E56" s="12">
        <f>C56+D56</f>
        <v>0</v>
      </c>
      <c r="F56" s="13">
        <v>0</v>
      </c>
      <c r="G56" s="12">
        <f t="shared" si="1"/>
        <v>0</v>
      </c>
      <c r="H56" s="14">
        <v>0</v>
      </c>
      <c r="I56" s="19">
        <v>120</v>
      </c>
      <c r="J56" s="16">
        <f t="shared" si="2"/>
        <v>0</v>
      </c>
      <c r="K56" s="17" t="s">
        <v>16</v>
      </c>
      <c r="L56" s="18">
        <v>0</v>
      </c>
      <c r="M56" s="24">
        <f t="shared" si="5"/>
        <v>0</v>
      </c>
      <c r="O56" s="10">
        <v>52</v>
      </c>
      <c r="P56" s="20"/>
      <c r="Q56" s="12">
        <f>+'[1]วันที่ 15'!U56</f>
        <v>0</v>
      </c>
      <c r="R56" s="13">
        <v>0</v>
      </c>
      <c r="S56" s="12">
        <f t="shared" si="3"/>
        <v>0</v>
      </c>
      <c r="T56" s="13">
        <v>0</v>
      </c>
      <c r="U56" s="12">
        <f t="shared" si="4"/>
        <v>0</v>
      </c>
      <c r="V56" s="14">
        <v>0</v>
      </c>
      <c r="W56" s="21"/>
      <c r="X56" s="16">
        <f t="shared" si="6"/>
        <v>0</v>
      </c>
      <c r="Y56" s="17" t="s">
        <v>16</v>
      </c>
      <c r="Z56" s="18">
        <v>0</v>
      </c>
    </row>
    <row r="57" spans="1:26" ht="25.5">
      <c r="A57" s="10">
        <v>53</v>
      </c>
      <c r="B57" s="11" t="s">
        <v>69</v>
      </c>
      <c r="C57" s="12">
        <f>+'30'!G57</f>
        <v>0</v>
      </c>
      <c r="D57" s="13">
        <v>0</v>
      </c>
      <c r="E57" s="12">
        <f t="shared" si="0"/>
        <v>0</v>
      </c>
      <c r="F57" s="13">
        <v>0</v>
      </c>
      <c r="G57" s="12">
        <f t="shared" si="1"/>
        <v>0</v>
      </c>
      <c r="H57" s="14">
        <v>0</v>
      </c>
      <c r="I57" s="19">
        <v>120</v>
      </c>
      <c r="J57" s="16">
        <f t="shared" si="2"/>
        <v>0</v>
      </c>
      <c r="K57" s="17" t="s">
        <v>16</v>
      </c>
      <c r="L57" s="18">
        <v>0</v>
      </c>
      <c r="M57" s="24">
        <f t="shared" si="5"/>
        <v>0</v>
      </c>
      <c r="O57" s="10">
        <v>53</v>
      </c>
      <c r="P57" s="20"/>
      <c r="Q57" s="12">
        <f>+'[1]วันที่ 15'!U57</f>
        <v>0</v>
      </c>
      <c r="R57" s="13">
        <v>0</v>
      </c>
      <c r="S57" s="12">
        <f t="shared" si="3"/>
        <v>0</v>
      </c>
      <c r="T57" s="13">
        <v>0</v>
      </c>
      <c r="U57" s="12">
        <f t="shared" si="4"/>
        <v>0</v>
      </c>
      <c r="V57" s="14">
        <v>0</v>
      </c>
      <c r="W57" s="21"/>
      <c r="X57" s="16">
        <f t="shared" si="6"/>
        <v>0</v>
      </c>
      <c r="Y57" s="17" t="s">
        <v>16</v>
      </c>
      <c r="Z57" s="18">
        <v>0</v>
      </c>
    </row>
    <row r="58" spans="1:26" ht="25.5">
      <c r="A58" s="10">
        <v>54</v>
      </c>
      <c r="B58" s="11" t="s">
        <v>70</v>
      </c>
      <c r="C58" s="12">
        <f>+'30'!G58</f>
        <v>0</v>
      </c>
      <c r="D58" s="13">
        <v>0</v>
      </c>
      <c r="E58" s="12">
        <f t="shared" si="0"/>
        <v>0</v>
      </c>
      <c r="F58" s="13">
        <v>0</v>
      </c>
      <c r="G58" s="12">
        <f t="shared" si="1"/>
        <v>0</v>
      </c>
      <c r="H58" s="14">
        <v>0</v>
      </c>
      <c r="I58" s="19">
        <v>120</v>
      </c>
      <c r="J58" s="16">
        <f t="shared" si="2"/>
        <v>0</v>
      </c>
      <c r="K58" s="17" t="s">
        <v>16</v>
      </c>
      <c r="L58" s="18">
        <v>0</v>
      </c>
      <c r="M58" s="24">
        <f t="shared" si="5"/>
        <v>0</v>
      </c>
      <c r="O58" s="10">
        <v>54</v>
      </c>
      <c r="P58" s="20"/>
      <c r="Q58" s="12">
        <f>+'[1]วันที่ 15'!U58</f>
        <v>0</v>
      </c>
      <c r="R58" s="13">
        <v>0</v>
      </c>
      <c r="S58" s="12">
        <f t="shared" si="3"/>
        <v>0</v>
      </c>
      <c r="T58" s="13">
        <v>0</v>
      </c>
      <c r="U58" s="12">
        <f t="shared" si="4"/>
        <v>0</v>
      </c>
      <c r="V58" s="14">
        <v>0</v>
      </c>
      <c r="W58" s="21"/>
      <c r="X58" s="16">
        <f t="shared" si="6"/>
        <v>0</v>
      </c>
      <c r="Y58" s="17" t="s">
        <v>16</v>
      </c>
      <c r="Z58" s="18">
        <v>0</v>
      </c>
    </row>
    <row r="59" spans="1:26" ht="25.5">
      <c r="A59" s="10">
        <v>55</v>
      </c>
      <c r="B59" s="11" t="s">
        <v>71</v>
      </c>
      <c r="C59" s="12">
        <f>+'30'!G59</f>
        <v>0</v>
      </c>
      <c r="D59" s="13">
        <v>0</v>
      </c>
      <c r="E59" s="12">
        <f t="shared" si="0"/>
        <v>0</v>
      </c>
      <c r="F59" s="13">
        <v>0</v>
      </c>
      <c r="G59" s="12">
        <f t="shared" si="1"/>
        <v>0</v>
      </c>
      <c r="H59" s="14">
        <v>0</v>
      </c>
      <c r="I59" s="15">
        <v>70</v>
      </c>
      <c r="J59" s="16">
        <f t="shared" si="2"/>
        <v>0</v>
      </c>
      <c r="K59" s="17" t="s">
        <v>16</v>
      </c>
      <c r="L59" s="18">
        <v>0</v>
      </c>
      <c r="M59" s="24">
        <f t="shared" si="5"/>
        <v>0</v>
      </c>
      <c r="O59" s="10">
        <v>55</v>
      </c>
      <c r="P59" s="20"/>
      <c r="Q59" s="12">
        <f>+'[1]วันที่ 15'!U59</f>
        <v>0</v>
      </c>
      <c r="R59" s="13">
        <v>0</v>
      </c>
      <c r="S59" s="12">
        <f t="shared" si="3"/>
        <v>0</v>
      </c>
      <c r="T59" s="13">
        <v>0</v>
      </c>
      <c r="U59" s="12">
        <f t="shared" si="4"/>
        <v>0</v>
      </c>
      <c r="V59" s="14">
        <v>0</v>
      </c>
      <c r="W59" s="21"/>
      <c r="X59" s="16">
        <f t="shared" si="6"/>
        <v>0</v>
      </c>
      <c r="Y59" s="17" t="s">
        <v>16</v>
      </c>
      <c r="Z59" s="18">
        <v>0</v>
      </c>
    </row>
    <row r="60" spans="1:26" ht="25.5">
      <c r="A60" s="10">
        <v>56</v>
      </c>
      <c r="B60" s="11" t="s">
        <v>72</v>
      </c>
      <c r="C60" s="12">
        <f>+'30'!G60</f>
        <v>0</v>
      </c>
      <c r="D60" s="13">
        <v>0</v>
      </c>
      <c r="E60" s="12">
        <f t="shared" si="0"/>
        <v>0</v>
      </c>
      <c r="F60" s="13">
        <v>0</v>
      </c>
      <c r="G60" s="12">
        <f t="shared" si="1"/>
        <v>0</v>
      </c>
      <c r="H60" s="14">
        <v>0</v>
      </c>
      <c r="I60" s="19">
        <v>80</v>
      </c>
      <c r="J60" s="16">
        <f t="shared" si="2"/>
        <v>0</v>
      </c>
      <c r="K60" s="17" t="s">
        <v>16</v>
      </c>
      <c r="L60" s="18">
        <v>0</v>
      </c>
      <c r="M60" s="24">
        <f t="shared" si="5"/>
        <v>0</v>
      </c>
      <c r="O60" s="10">
        <v>56</v>
      </c>
      <c r="P60" s="20"/>
      <c r="Q60" s="12">
        <f>+'[1]วันที่ 15'!U60</f>
        <v>0</v>
      </c>
      <c r="R60" s="13">
        <v>0</v>
      </c>
      <c r="S60" s="12">
        <f t="shared" si="3"/>
        <v>0</v>
      </c>
      <c r="T60" s="13">
        <v>0</v>
      </c>
      <c r="U60" s="12">
        <f t="shared" si="4"/>
        <v>0</v>
      </c>
      <c r="V60" s="14">
        <v>0</v>
      </c>
      <c r="W60" s="21"/>
      <c r="X60" s="16">
        <f t="shared" si="6"/>
        <v>0</v>
      </c>
      <c r="Y60" s="17" t="s">
        <v>16</v>
      </c>
      <c r="Z60" s="18">
        <v>0</v>
      </c>
    </row>
    <row r="61" spans="1:26" ht="25.5">
      <c r="A61" s="10">
        <v>57</v>
      </c>
      <c r="B61" s="11" t="s">
        <v>73</v>
      </c>
      <c r="C61" s="12">
        <f>+'30'!G61</f>
        <v>2</v>
      </c>
      <c r="D61" s="13">
        <v>0</v>
      </c>
      <c r="E61" s="12">
        <f t="shared" si="0"/>
        <v>2</v>
      </c>
      <c r="F61" s="13">
        <v>0</v>
      </c>
      <c r="G61" s="12">
        <f t="shared" si="1"/>
        <v>2</v>
      </c>
      <c r="H61" s="14">
        <v>0</v>
      </c>
      <c r="I61" s="15">
        <v>50</v>
      </c>
      <c r="J61" s="16">
        <f t="shared" si="2"/>
        <v>0</v>
      </c>
      <c r="K61" s="17" t="s">
        <v>16</v>
      </c>
      <c r="L61" s="18">
        <v>0</v>
      </c>
      <c r="M61" s="24">
        <f t="shared" si="5"/>
        <v>0</v>
      </c>
      <c r="O61" s="10">
        <v>57</v>
      </c>
      <c r="P61" s="20"/>
      <c r="Q61" s="12">
        <f>+'[1]วันที่ 15'!U61</f>
        <v>0</v>
      </c>
      <c r="R61" s="13">
        <v>0</v>
      </c>
      <c r="S61" s="12">
        <f t="shared" si="3"/>
        <v>0</v>
      </c>
      <c r="T61" s="13">
        <v>0</v>
      </c>
      <c r="U61" s="12">
        <f t="shared" si="4"/>
        <v>0</v>
      </c>
      <c r="V61" s="14">
        <v>0</v>
      </c>
      <c r="W61" s="21"/>
      <c r="X61" s="16">
        <f t="shared" si="6"/>
        <v>0</v>
      </c>
      <c r="Y61" s="17" t="s">
        <v>16</v>
      </c>
      <c r="Z61" s="18">
        <v>0</v>
      </c>
    </row>
    <row r="62" spans="1:26" ht="25.5">
      <c r="A62" s="10">
        <v>58</v>
      </c>
      <c r="B62" s="20" t="s">
        <v>74</v>
      </c>
      <c r="C62" s="12">
        <f>+'30'!G62</f>
        <v>1</v>
      </c>
      <c r="D62" s="13">
        <v>0</v>
      </c>
      <c r="E62" s="12">
        <f t="shared" si="0"/>
        <v>1</v>
      </c>
      <c r="F62" s="13">
        <v>0</v>
      </c>
      <c r="G62" s="12">
        <f t="shared" si="1"/>
        <v>1</v>
      </c>
      <c r="H62" s="14">
        <v>0</v>
      </c>
      <c r="I62" s="21">
        <v>50</v>
      </c>
      <c r="J62" s="16">
        <f t="shared" si="2"/>
        <v>0</v>
      </c>
      <c r="K62" s="17" t="s">
        <v>16</v>
      </c>
      <c r="L62" s="18">
        <v>0</v>
      </c>
      <c r="M62" s="24">
        <f t="shared" si="5"/>
        <v>0</v>
      </c>
      <c r="O62" s="10">
        <v>58</v>
      </c>
      <c r="P62" s="20"/>
      <c r="Q62" s="12">
        <f>+'[1]วันที่ 15'!U62</f>
        <v>0</v>
      </c>
      <c r="R62" s="13">
        <v>0</v>
      </c>
      <c r="S62" s="12">
        <f t="shared" si="3"/>
        <v>0</v>
      </c>
      <c r="T62" s="13">
        <v>0</v>
      </c>
      <c r="U62" s="12">
        <f t="shared" si="4"/>
        <v>0</v>
      </c>
      <c r="V62" s="14">
        <v>0</v>
      </c>
      <c r="W62" s="21"/>
      <c r="X62" s="16">
        <f t="shared" si="6"/>
        <v>0</v>
      </c>
      <c r="Y62" s="17" t="s">
        <v>16</v>
      </c>
      <c r="Z62" s="18">
        <v>0</v>
      </c>
    </row>
    <row r="63" spans="1:26" ht="25.5">
      <c r="A63" s="10">
        <v>59</v>
      </c>
      <c r="B63" s="20" t="s">
        <v>75</v>
      </c>
      <c r="C63" s="12">
        <f>+'30'!G63</f>
        <v>2</v>
      </c>
      <c r="D63" s="13">
        <v>0</v>
      </c>
      <c r="E63" s="12">
        <f>C63+D63</f>
        <v>2</v>
      </c>
      <c r="F63" s="13">
        <v>0</v>
      </c>
      <c r="G63" s="12">
        <f t="shared" si="1"/>
        <v>2</v>
      </c>
      <c r="H63" s="14">
        <v>0</v>
      </c>
      <c r="I63" s="21">
        <v>50</v>
      </c>
      <c r="J63" s="16">
        <f t="shared" si="2"/>
        <v>0</v>
      </c>
      <c r="K63" s="17" t="s">
        <v>16</v>
      </c>
      <c r="L63" s="18">
        <v>0</v>
      </c>
      <c r="M63" s="24">
        <f t="shared" si="5"/>
        <v>0</v>
      </c>
      <c r="O63" s="10">
        <v>59</v>
      </c>
      <c r="P63" s="20"/>
      <c r="Q63" s="12">
        <f>+'[1]วันที่ 15'!U63</f>
        <v>0</v>
      </c>
      <c r="R63" s="13">
        <v>0</v>
      </c>
      <c r="S63" s="12">
        <f t="shared" si="3"/>
        <v>0</v>
      </c>
      <c r="T63" s="13">
        <v>0</v>
      </c>
      <c r="U63" s="12">
        <f t="shared" si="4"/>
        <v>0</v>
      </c>
      <c r="V63" s="14">
        <v>0</v>
      </c>
      <c r="W63" s="21"/>
      <c r="X63" s="16">
        <f t="shared" si="6"/>
        <v>0</v>
      </c>
      <c r="Y63" s="17" t="s">
        <v>16</v>
      </c>
      <c r="Z63" s="18">
        <v>0</v>
      </c>
    </row>
    <row r="64" spans="1:26" ht="25.5">
      <c r="A64" s="10">
        <v>60</v>
      </c>
      <c r="B64" s="11" t="s">
        <v>76</v>
      </c>
      <c r="C64" s="12">
        <f>+'30'!G64</f>
        <v>0</v>
      </c>
      <c r="D64" s="13">
        <v>0</v>
      </c>
      <c r="E64" s="12">
        <f t="shared" si="0"/>
        <v>0</v>
      </c>
      <c r="F64" s="13">
        <v>0</v>
      </c>
      <c r="G64" s="12">
        <f t="shared" si="1"/>
        <v>0</v>
      </c>
      <c r="H64" s="14">
        <v>0</v>
      </c>
      <c r="I64" s="19">
        <v>30</v>
      </c>
      <c r="J64" s="16">
        <f t="shared" si="2"/>
        <v>0</v>
      </c>
      <c r="K64" s="17" t="s">
        <v>16</v>
      </c>
      <c r="L64" s="18">
        <v>0</v>
      </c>
      <c r="M64" s="24">
        <f t="shared" si="5"/>
        <v>0</v>
      </c>
      <c r="O64" s="10">
        <v>60</v>
      </c>
      <c r="P64" s="20"/>
      <c r="Q64" s="12">
        <f>+'[1]วันที่ 15'!U64</f>
        <v>0</v>
      </c>
      <c r="R64" s="13">
        <v>0</v>
      </c>
      <c r="S64" s="12">
        <f t="shared" si="3"/>
        <v>0</v>
      </c>
      <c r="T64" s="13">
        <v>0</v>
      </c>
      <c r="U64" s="12">
        <f t="shared" si="4"/>
        <v>0</v>
      </c>
      <c r="V64" s="14">
        <v>0</v>
      </c>
      <c r="W64" s="21"/>
      <c r="X64" s="16">
        <f t="shared" si="6"/>
        <v>0</v>
      </c>
      <c r="Y64" s="17" t="s">
        <v>16</v>
      </c>
      <c r="Z64" s="18">
        <v>0</v>
      </c>
    </row>
    <row r="65" spans="1:26" ht="25.5">
      <c r="A65" s="10">
        <v>61</v>
      </c>
      <c r="B65" s="11" t="s">
        <v>77</v>
      </c>
      <c r="C65" s="12">
        <f>+'30'!G65</f>
        <v>0</v>
      </c>
      <c r="D65" s="13">
        <v>0</v>
      </c>
      <c r="E65" s="12">
        <f t="shared" si="0"/>
        <v>0</v>
      </c>
      <c r="F65" s="13">
        <v>0</v>
      </c>
      <c r="G65" s="12">
        <f t="shared" si="1"/>
        <v>0</v>
      </c>
      <c r="H65" s="14">
        <v>0</v>
      </c>
      <c r="I65" s="19">
        <v>30</v>
      </c>
      <c r="J65" s="16">
        <f t="shared" si="2"/>
        <v>0</v>
      </c>
      <c r="K65" s="17" t="s">
        <v>16</v>
      </c>
      <c r="L65" s="18">
        <v>0</v>
      </c>
      <c r="M65" s="24">
        <f t="shared" si="5"/>
        <v>0</v>
      </c>
      <c r="O65" s="10">
        <v>61</v>
      </c>
      <c r="P65" s="20"/>
      <c r="Q65" s="12">
        <f>+'[1]วันที่ 15'!U65</f>
        <v>0</v>
      </c>
      <c r="R65" s="13">
        <v>0</v>
      </c>
      <c r="S65" s="12">
        <f t="shared" si="3"/>
        <v>0</v>
      </c>
      <c r="T65" s="13">
        <v>0</v>
      </c>
      <c r="U65" s="12">
        <f t="shared" si="4"/>
        <v>0</v>
      </c>
      <c r="V65" s="14">
        <v>0</v>
      </c>
      <c r="W65" s="21"/>
      <c r="X65" s="16">
        <f t="shared" si="6"/>
        <v>0</v>
      </c>
      <c r="Y65" s="17" t="s">
        <v>16</v>
      </c>
      <c r="Z65" s="18">
        <v>0</v>
      </c>
    </row>
    <row r="66" spans="1:26" ht="25.5">
      <c r="A66" s="10">
        <v>62</v>
      </c>
      <c r="B66" s="11" t="s">
        <v>78</v>
      </c>
      <c r="C66" s="12">
        <f>+'30'!G66</f>
        <v>0</v>
      </c>
      <c r="D66" s="13">
        <v>0</v>
      </c>
      <c r="E66" s="12">
        <f t="shared" si="0"/>
        <v>0</v>
      </c>
      <c r="F66" s="13">
        <v>0</v>
      </c>
      <c r="G66" s="12">
        <f t="shared" si="1"/>
        <v>0</v>
      </c>
      <c r="H66" s="14">
        <v>0</v>
      </c>
      <c r="I66" s="15">
        <v>50</v>
      </c>
      <c r="J66" s="16">
        <f t="shared" si="2"/>
        <v>0</v>
      </c>
      <c r="K66" s="17" t="s">
        <v>16</v>
      </c>
      <c r="L66" s="18">
        <v>0</v>
      </c>
      <c r="M66" s="24">
        <f t="shared" si="5"/>
        <v>0</v>
      </c>
      <c r="O66" s="10">
        <v>62</v>
      </c>
      <c r="P66" s="20"/>
      <c r="Q66" s="12">
        <f>+'[1]วันที่ 15'!U66</f>
        <v>0</v>
      </c>
      <c r="R66" s="13">
        <v>0</v>
      </c>
      <c r="S66" s="12">
        <f t="shared" si="3"/>
        <v>0</v>
      </c>
      <c r="T66" s="13">
        <v>0</v>
      </c>
      <c r="U66" s="12">
        <f t="shared" si="4"/>
        <v>0</v>
      </c>
      <c r="V66" s="14">
        <v>0</v>
      </c>
      <c r="W66" s="21"/>
      <c r="X66" s="16">
        <f t="shared" si="6"/>
        <v>0</v>
      </c>
      <c r="Y66" s="17" t="s">
        <v>16</v>
      </c>
      <c r="Z66" s="18">
        <v>0</v>
      </c>
    </row>
    <row r="67" spans="1:26" ht="25.5">
      <c r="A67" s="10">
        <v>63</v>
      </c>
      <c r="B67" s="11" t="s">
        <v>79</v>
      </c>
      <c r="C67" s="12">
        <f>+'30'!G67</f>
        <v>1</v>
      </c>
      <c r="D67" s="13">
        <v>0</v>
      </c>
      <c r="E67" s="12">
        <f>C67+D67</f>
        <v>1</v>
      </c>
      <c r="F67" s="13">
        <v>0</v>
      </c>
      <c r="G67" s="12">
        <f t="shared" si="1"/>
        <v>1</v>
      </c>
      <c r="H67" s="14">
        <v>0</v>
      </c>
      <c r="I67" s="15">
        <v>50</v>
      </c>
      <c r="J67" s="16">
        <f t="shared" si="2"/>
        <v>0</v>
      </c>
      <c r="K67" s="17" t="s">
        <v>16</v>
      </c>
      <c r="L67" s="18">
        <v>0</v>
      </c>
      <c r="M67" s="24">
        <f t="shared" si="5"/>
        <v>0</v>
      </c>
      <c r="O67" s="10">
        <v>63</v>
      </c>
      <c r="P67" s="20"/>
      <c r="Q67" s="12">
        <f>+'[1]วันที่ 15'!U67</f>
        <v>0</v>
      </c>
      <c r="R67" s="13">
        <v>0</v>
      </c>
      <c r="S67" s="12">
        <f t="shared" si="3"/>
        <v>0</v>
      </c>
      <c r="T67" s="13">
        <v>0</v>
      </c>
      <c r="U67" s="12">
        <f t="shared" si="4"/>
        <v>0</v>
      </c>
      <c r="V67" s="14">
        <v>0</v>
      </c>
      <c r="W67" s="21"/>
      <c r="X67" s="16">
        <f t="shared" si="6"/>
        <v>0</v>
      </c>
      <c r="Y67" s="17" t="s">
        <v>16</v>
      </c>
      <c r="Z67" s="18">
        <v>0</v>
      </c>
    </row>
    <row r="68" spans="1:26" ht="25.5">
      <c r="A68" s="10">
        <v>64</v>
      </c>
      <c r="B68" s="20" t="s">
        <v>80</v>
      </c>
      <c r="C68" s="12">
        <f>+'30'!G68</f>
        <v>0</v>
      </c>
      <c r="D68" s="13">
        <v>0</v>
      </c>
      <c r="E68" s="12">
        <f>C68+D68</f>
        <v>0</v>
      </c>
      <c r="F68" s="13">
        <v>0</v>
      </c>
      <c r="G68" s="12">
        <f t="shared" si="1"/>
        <v>0</v>
      </c>
      <c r="H68" s="14">
        <v>0</v>
      </c>
      <c r="I68" s="21">
        <v>35</v>
      </c>
      <c r="J68" s="16">
        <f t="shared" si="2"/>
        <v>0</v>
      </c>
      <c r="K68" s="17" t="s">
        <v>16</v>
      </c>
      <c r="L68" s="18">
        <v>0</v>
      </c>
      <c r="M68" s="24">
        <f t="shared" si="5"/>
        <v>0</v>
      </c>
      <c r="O68" s="10">
        <v>64</v>
      </c>
      <c r="P68" s="20"/>
      <c r="Q68" s="12">
        <f>+'[1]วันที่ 15'!U68</f>
        <v>0</v>
      </c>
      <c r="R68" s="13">
        <v>0</v>
      </c>
      <c r="S68" s="12">
        <f t="shared" si="3"/>
        <v>0</v>
      </c>
      <c r="T68" s="13">
        <v>0</v>
      </c>
      <c r="U68" s="12">
        <f t="shared" si="4"/>
        <v>0</v>
      </c>
      <c r="V68" s="14">
        <v>0</v>
      </c>
      <c r="W68" s="21"/>
      <c r="X68" s="16">
        <f t="shared" si="6"/>
        <v>0</v>
      </c>
      <c r="Y68" s="17" t="s">
        <v>16</v>
      </c>
      <c r="Z68" s="18">
        <v>0</v>
      </c>
    </row>
    <row r="69" spans="1:26" ht="25.5">
      <c r="A69" s="10">
        <v>65</v>
      </c>
      <c r="B69" s="20" t="s">
        <v>81</v>
      </c>
      <c r="C69" s="12">
        <f>+'30'!G69</f>
        <v>0</v>
      </c>
      <c r="D69" s="13">
        <v>0</v>
      </c>
      <c r="E69" s="12">
        <f t="shared" si="0"/>
        <v>0</v>
      </c>
      <c r="F69" s="13">
        <v>0</v>
      </c>
      <c r="G69" s="12">
        <f t="shared" si="1"/>
        <v>0</v>
      </c>
      <c r="H69" s="14">
        <v>0</v>
      </c>
      <c r="I69" s="21">
        <v>25</v>
      </c>
      <c r="J69" s="16">
        <f t="shared" si="2"/>
        <v>0</v>
      </c>
      <c r="K69" s="17" t="s">
        <v>16</v>
      </c>
      <c r="L69" s="18">
        <v>0</v>
      </c>
      <c r="M69" s="24">
        <f t="shared" si="5"/>
        <v>0</v>
      </c>
      <c r="O69" s="10">
        <v>65</v>
      </c>
      <c r="P69" s="20"/>
      <c r="Q69" s="12">
        <f>+'[1]วันที่ 15'!U69</f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1"/>
      <c r="X69" s="16">
        <f t="shared" si="6"/>
        <v>0</v>
      </c>
      <c r="Y69" s="17" t="s">
        <v>16</v>
      </c>
      <c r="Z69" s="18">
        <v>0</v>
      </c>
    </row>
    <row r="70" spans="1:26" ht="25.5">
      <c r="A70" s="10">
        <v>66</v>
      </c>
      <c r="B70" s="20" t="s">
        <v>82</v>
      </c>
      <c r="C70" s="12">
        <f>+'30'!G70</f>
        <v>1</v>
      </c>
      <c r="D70" s="13">
        <v>0</v>
      </c>
      <c r="E70" s="12">
        <f t="shared" si="0"/>
        <v>1</v>
      </c>
      <c r="F70" s="13">
        <v>0</v>
      </c>
      <c r="G70" s="12">
        <f t="shared" si="1"/>
        <v>1</v>
      </c>
      <c r="H70" s="14">
        <v>0</v>
      </c>
      <c r="I70" s="21">
        <v>50</v>
      </c>
      <c r="J70" s="16">
        <f t="shared" si="2"/>
        <v>0</v>
      </c>
      <c r="K70" s="17" t="s">
        <v>16</v>
      </c>
      <c r="L70" s="18">
        <v>0</v>
      </c>
      <c r="M70" s="24">
        <f t="shared" ref="M70:M133" si="9">SUM(J70-L70)</f>
        <v>0</v>
      </c>
      <c r="O70" s="10">
        <v>66</v>
      </c>
      <c r="P70" s="20"/>
      <c r="Q70" s="12">
        <f>+'[1]วันที่ 15'!U70</f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1"/>
      <c r="X70" s="16">
        <f t="shared" ref="X70:X104" si="10">+W70*V70</f>
        <v>0</v>
      </c>
      <c r="Y70" s="17" t="s">
        <v>16</v>
      </c>
      <c r="Z70" s="18">
        <v>0</v>
      </c>
    </row>
    <row r="71" spans="1:26" ht="25.5">
      <c r="A71" s="10">
        <v>67</v>
      </c>
      <c r="B71" s="20" t="s">
        <v>83</v>
      </c>
      <c r="C71" s="12">
        <f>+'30'!G71</f>
        <v>0</v>
      </c>
      <c r="D71" s="13">
        <v>0</v>
      </c>
      <c r="E71" s="12">
        <f t="shared" si="0"/>
        <v>0</v>
      </c>
      <c r="F71" s="13">
        <v>0</v>
      </c>
      <c r="G71" s="12">
        <f t="shared" si="1"/>
        <v>0</v>
      </c>
      <c r="H71" s="14">
        <v>0</v>
      </c>
      <c r="I71" s="21">
        <v>60</v>
      </c>
      <c r="J71" s="16">
        <f t="shared" ref="J71:J134" si="11">+I71*H71</f>
        <v>0</v>
      </c>
      <c r="K71" s="17" t="s">
        <v>16</v>
      </c>
      <c r="L71" s="18">
        <v>0</v>
      </c>
      <c r="M71" s="24">
        <f t="shared" si="9"/>
        <v>0</v>
      </c>
      <c r="O71" s="10">
        <v>67</v>
      </c>
      <c r="P71" s="20"/>
      <c r="Q71" s="12">
        <f>+'[1]วันที่ 15'!U71</f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1"/>
      <c r="X71" s="16">
        <f t="shared" si="10"/>
        <v>0</v>
      </c>
      <c r="Y71" s="17" t="s">
        <v>16</v>
      </c>
      <c r="Z71" s="18">
        <v>0</v>
      </c>
    </row>
    <row r="72" spans="1:26" ht="25.5">
      <c r="A72" s="10">
        <v>68</v>
      </c>
      <c r="B72" s="20" t="s">
        <v>84</v>
      </c>
      <c r="C72" s="12">
        <f>+'30'!G72</f>
        <v>0</v>
      </c>
      <c r="D72" s="13">
        <v>0</v>
      </c>
      <c r="E72" s="12">
        <f t="shared" si="0"/>
        <v>0</v>
      </c>
      <c r="F72" s="13">
        <v>0</v>
      </c>
      <c r="G72" s="12">
        <f t="shared" si="1"/>
        <v>0</v>
      </c>
      <c r="H72" s="14">
        <v>0</v>
      </c>
      <c r="I72" s="23">
        <v>50</v>
      </c>
      <c r="J72" s="16">
        <f t="shared" si="11"/>
        <v>0</v>
      </c>
      <c r="K72" s="17" t="s">
        <v>16</v>
      </c>
      <c r="L72" s="18">
        <v>0</v>
      </c>
      <c r="M72" s="24">
        <f t="shared" si="9"/>
        <v>0</v>
      </c>
      <c r="O72" s="10">
        <v>68</v>
      </c>
      <c r="P72" s="20"/>
      <c r="Q72" s="12">
        <f>+'[1]วันที่ 15'!U72</f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1"/>
      <c r="X72" s="16">
        <f t="shared" si="10"/>
        <v>0</v>
      </c>
      <c r="Y72" s="17" t="s">
        <v>16</v>
      </c>
      <c r="Z72" s="18">
        <v>0</v>
      </c>
    </row>
    <row r="73" spans="1:26" ht="25.5">
      <c r="A73" s="10">
        <v>69</v>
      </c>
      <c r="B73" s="20" t="s">
        <v>85</v>
      </c>
      <c r="C73" s="12">
        <f>+'30'!G73</f>
        <v>0</v>
      </c>
      <c r="D73" s="13">
        <v>0</v>
      </c>
      <c r="E73" s="12">
        <f t="shared" si="0"/>
        <v>0</v>
      </c>
      <c r="F73" s="13">
        <v>0</v>
      </c>
      <c r="G73" s="12">
        <f t="shared" si="1"/>
        <v>0</v>
      </c>
      <c r="H73" s="14">
        <v>0</v>
      </c>
      <c r="I73" s="21">
        <v>60</v>
      </c>
      <c r="J73" s="16">
        <f t="shared" si="11"/>
        <v>0</v>
      </c>
      <c r="K73" s="17" t="s">
        <v>16</v>
      </c>
      <c r="L73" s="18">
        <v>0</v>
      </c>
      <c r="M73" s="24">
        <f t="shared" si="9"/>
        <v>0</v>
      </c>
      <c r="O73" s="10">
        <v>69</v>
      </c>
      <c r="P73" s="20"/>
      <c r="Q73" s="12">
        <f>+'[1]วันที่ 15'!U73</f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1"/>
      <c r="X73" s="16">
        <f t="shared" si="10"/>
        <v>0</v>
      </c>
      <c r="Y73" s="17" t="s">
        <v>16</v>
      </c>
      <c r="Z73" s="18">
        <v>0</v>
      </c>
    </row>
    <row r="74" spans="1:26" ht="25.5">
      <c r="A74" s="10">
        <v>70</v>
      </c>
      <c r="B74" s="20" t="s">
        <v>86</v>
      </c>
      <c r="C74" s="12">
        <f>+'30'!G74</f>
        <v>0</v>
      </c>
      <c r="D74" s="13">
        <v>0</v>
      </c>
      <c r="E74" s="12">
        <f t="shared" si="0"/>
        <v>0</v>
      </c>
      <c r="F74" s="13">
        <v>0</v>
      </c>
      <c r="G74" s="12">
        <f t="shared" si="1"/>
        <v>0</v>
      </c>
      <c r="H74" s="14">
        <v>0</v>
      </c>
      <c r="I74" s="23">
        <v>120</v>
      </c>
      <c r="J74" s="16">
        <f t="shared" si="11"/>
        <v>0</v>
      </c>
      <c r="K74" s="17" t="s">
        <v>16</v>
      </c>
      <c r="L74" s="18">
        <v>0</v>
      </c>
      <c r="M74" s="24">
        <f t="shared" si="9"/>
        <v>0</v>
      </c>
      <c r="O74" s="10">
        <v>70</v>
      </c>
      <c r="P74" s="20"/>
      <c r="Q74" s="12">
        <f>+'[1]วันที่ 15'!U74</f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1"/>
      <c r="X74" s="16">
        <f t="shared" si="10"/>
        <v>0</v>
      </c>
      <c r="Y74" s="17" t="s">
        <v>16</v>
      </c>
      <c r="Z74" s="18">
        <v>0</v>
      </c>
    </row>
    <row r="75" spans="1:26" ht="25.5">
      <c r="A75" s="10">
        <v>71</v>
      </c>
      <c r="B75" s="20" t="s">
        <v>87</v>
      </c>
      <c r="C75" s="12">
        <f>+'30'!G75</f>
        <v>0</v>
      </c>
      <c r="D75" s="13">
        <v>0</v>
      </c>
      <c r="E75" s="12">
        <f t="shared" si="0"/>
        <v>0</v>
      </c>
      <c r="F75" s="13">
        <v>0</v>
      </c>
      <c r="G75" s="12">
        <f t="shared" si="1"/>
        <v>0</v>
      </c>
      <c r="H75" s="14">
        <v>0</v>
      </c>
      <c r="I75" s="23">
        <v>60</v>
      </c>
      <c r="J75" s="16">
        <f t="shared" si="11"/>
        <v>0</v>
      </c>
      <c r="K75" s="17" t="s">
        <v>16</v>
      </c>
      <c r="L75" s="18">
        <v>0</v>
      </c>
      <c r="M75" s="24">
        <f t="shared" si="9"/>
        <v>0</v>
      </c>
      <c r="O75" s="10">
        <v>71</v>
      </c>
      <c r="P75" s="20"/>
      <c r="Q75" s="12">
        <f>+'[1]วันที่ 15'!U75</f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1"/>
      <c r="X75" s="16">
        <f t="shared" si="10"/>
        <v>0</v>
      </c>
      <c r="Y75" s="17" t="s">
        <v>16</v>
      </c>
      <c r="Z75" s="18">
        <v>0</v>
      </c>
    </row>
    <row r="76" spans="1:26" ht="25.5">
      <c r="A76" s="10">
        <v>72</v>
      </c>
      <c r="B76" s="20" t="s">
        <v>88</v>
      </c>
      <c r="C76" s="12">
        <f>+'30'!G76</f>
        <v>0</v>
      </c>
      <c r="D76" s="13">
        <v>0</v>
      </c>
      <c r="E76" s="12">
        <f t="shared" si="0"/>
        <v>0</v>
      </c>
      <c r="F76" s="13">
        <v>0</v>
      </c>
      <c r="G76" s="12">
        <f t="shared" si="1"/>
        <v>0</v>
      </c>
      <c r="H76" s="14">
        <v>0</v>
      </c>
      <c r="I76" s="23">
        <v>120</v>
      </c>
      <c r="J76" s="16">
        <f t="shared" si="11"/>
        <v>0</v>
      </c>
      <c r="K76" s="17" t="s">
        <v>16</v>
      </c>
      <c r="L76" s="18">
        <v>0</v>
      </c>
      <c r="M76" s="24">
        <f t="shared" si="9"/>
        <v>0</v>
      </c>
      <c r="O76" s="10">
        <v>72</v>
      </c>
      <c r="P76" s="20"/>
      <c r="Q76" s="12">
        <f>+'[1]วันที่ 15'!U76</f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1"/>
      <c r="X76" s="16">
        <f t="shared" si="10"/>
        <v>0</v>
      </c>
      <c r="Y76" s="17" t="s">
        <v>16</v>
      </c>
      <c r="Z76" s="18">
        <v>0</v>
      </c>
    </row>
    <row r="77" spans="1:26" ht="25.5">
      <c r="A77" s="10">
        <v>73</v>
      </c>
      <c r="B77" s="20" t="s">
        <v>89</v>
      </c>
      <c r="C77" s="12">
        <f>+'30'!G77</f>
        <v>0</v>
      </c>
      <c r="D77" s="13">
        <v>0</v>
      </c>
      <c r="E77" s="12">
        <f t="shared" si="0"/>
        <v>0</v>
      </c>
      <c r="F77" s="13">
        <v>0</v>
      </c>
      <c r="G77" s="12">
        <f t="shared" si="1"/>
        <v>0</v>
      </c>
      <c r="H77" s="14">
        <v>0</v>
      </c>
      <c r="I77" s="21">
        <v>50</v>
      </c>
      <c r="J77" s="16">
        <f t="shared" si="11"/>
        <v>0</v>
      </c>
      <c r="K77" s="17" t="s">
        <v>16</v>
      </c>
      <c r="L77" s="18">
        <v>0</v>
      </c>
      <c r="M77" s="24">
        <f t="shared" si="9"/>
        <v>0</v>
      </c>
      <c r="O77" s="10">
        <v>73</v>
      </c>
      <c r="P77" s="20"/>
      <c r="Q77" s="12">
        <f>+'[1]วันที่ 15'!U77</f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1"/>
      <c r="X77" s="16">
        <f t="shared" si="10"/>
        <v>0</v>
      </c>
      <c r="Y77" s="17" t="s">
        <v>16</v>
      </c>
      <c r="Z77" s="18">
        <v>0</v>
      </c>
    </row>
    <row r="78" spans="1:26" ht="25.5">
      <c r="A78" s="10">
        <v>74</v>
      </c>
      <c r="B78" s="20" t="s">
        <v>90</v>
      </c>
      <c r="C78" s="12">
        <f>+'30'!G78</f>
        <v>0</v>
      </c>
      <c r="D78" s="13">
        <v>0</v>
      </c>
      <c r="E78" s="12">
        <f t="shared" si="0"/>
        <v>0</v>
      </c>
      <c r="F78" s="13">
        <v>0</v>
      </c>
      <c r="G78" s="12">
        <f t="shared" si="1"/>
        <v>0</v>
      </c>
      <c r="H78" s="14">
        <v>0</v>
      </c>
      <c r="I78" s="23">
        <v>120</v>
      </c>
      <c r="J78" s="16">
        <f t="shared" si="11"/>
        <v>0</v>
      </c>
      <c r="K78" s="17" t="s">
        <v>16</v>
      </c>
      <c r="L78" s="18">
        <v>0</v>
      </c>
      <c r="M78" s="24">
        <f t="shared" si="9"/>
        <v>0</v>
      </c>
      <c r="O78" s="10">
        <v>74</v>
      </c>
      <c r="P78" s="20"/>
      <c r="Q78" s="12">
        <f>+'[1]วันที่ 15'!U78</f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1"/>
      <c r="X78" s="16">
        <f t="shared" si="10"/>
        <v>0</v>
      </c>
      <c r="Y78" s="17" t="s">
        <v>16</v>
      </c>
      <c r="Z78" s="18">
        <v>0</v>
      </c>
    </row>
    <row r="79" spans="1:26" ht="25.5">
      <c r="A79" s="10">
        <v>75</v>
      </c>
      <c r="B79" s="20" t="s">
        <v>91</v>
      </c>
      <c r="C79" s="12">
        <f>+'30'!G79</f>
        <v>3</v>
      </c>
      <c r="D79" s="13">
        <v>0</v>
      </c>
      <c r="E79" s="12">
        <f t="shared" si="0"/>
        <v>3</v>
      </c>
      <c r="F79" s="13">
        <v>0</v>
      </c>
      <c r="G79" s="12">
        <f t="shared" si="1"/>
        <v>3</v>
      </c>
      <c r="H79" s="14">
        <v>0</v>
      </c>
      <c r="I79" s="23">
        <v>50</v>
      </c>
      <c r="J79" s="16">
        <f t="shared" si="11"/>
        <v>0</v>
      </c>
      <c r="K79" s="17" t="s">
        <v>16</v>
      </c>
      <c r="L79" s="18">
        <v>0</v>
      </c>
      <c r="M79" s="24">
        <f t="shared" si="9"/>
        <v>0</v>
      </c>
      <c r="O79" s="10">
        <v>75</v>
      </c>
      <c r="P79" s="20"/>
      <c r="Q79" s="12">
        <f>+'[1]วันที่ 15'!U79</f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1"/>
      <c r="X79" s="16">
        <f t="shared" si="10"/>
        <v>0</v>
      </c>
      <c r="Y79" s="17" t="s">
        <v>16</v>
      </c>
      <c r="Z79" s="18">
        <v>0</v>
      </c>
    </row>
    <row r="80" spans="1:26" ht="25.5">
      <c r="A80" s="10">
        <v>76</v>
      </c>
      <c r="B80" s="20" t="s">
        <v>92</v>
      </c>
      <c r="C80" s="12">
        <f>+'30'!G80</f>
        <v>0</v>
      </c>
      <c r="D80" s="13">
        <v>0</v>
      </c>
      <c r="E80" s="12">
        <f t="shared" si="0"/>
        <v>0</v>
      </c>
      <c r="F80" s="13">
        <v>0</v>
      </c>
      <c r="G80" s="12">
        <f t="shared" si="1"/>
        <v>0</v>
      </c>
      <c r="H80" s="14">
        <v>0</v>
      </c>
      <c r="I80" s="23">
        <v>50</v>
      </c>
      <c r="J80" s="16">
        <f t="shared" si="11"/>
        <v>0</v>
      </c>
      <c r="K80" s="17" t="s">
        <v>16</v>
      </c>
      <c r="L80" s="18">
        <v>0</v>
      </c>
      <c r="M80" s="24">
        <f t="shared" si="9"/>
        <v>0</v>
      </c>
      <c r="O80" s="10">
        <v>76</v>
      </c>
      <c r="P80" s="20"/>
      <c r="Q80" s="12">
        <f>+'[1]วันที่ 15'!U80</f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1"/>
      <c r="X80" s="16">
        <f t="shared" si="10"/>
        <v>0</v>
      </c>
      <c r="Y80" s="17" t="s">
        <v>16</v>
      </c>
      <c r="Z80" s="18">
        <v>0</v>
      </c>
    </row>
    <row r="81" spans="1:26" ht="25.5">
      <c r="A81" s="10">
        <v>77</v>
      </c>
      <c r="B81" s="20" t="s">
        <v>93</v>
      </c>
      <c r="C81" s="12">
        <f>+'30'!G81</f>
        <v>2</v>
      </c>
      <c r="D81" s="13">
        <v>0</v>
      </c>
      <c r="E81" s="12">
        <f t="shared" si="0"/>
        <v>2</v>
      </c>
      <c r="F81" s="13">
        <v>0</v>
      </c>
      <c r="G81" s="12">
        <f t="shared" si="1"/>
        <v>2</v>
      </c>
      <c r="H81" s="14">
        <v>0</v>
      </c>
      <c r="I81" s="21">
        <v>55</v>
      </c>
      <c r="J81" s="16">
        <f t="shared" si="11"/>
        <v>0</v>
      </c>
      <c r="K81" s="17" t="s">
        <v>16</v>
      </c>
      <c r="L81" s="18">
        <v>0</v>
      </c>
      <c r="M81" s="24">
        <f t="shared" si="9"/>
        <v>0</v>
      </c>
      <c r="O81" s="10">
        <v>77</v>
      </c>
      <c r="P81" s="20"/>
      <c r="Q81" s="12">
        <f>+'[1]วันที่ 15'!U81</f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1"/>
      <c r="X81" s="16">
        <f t="shared" si="10"/>
        <v>0</v>
      </c>
      <c r="Y81" s="17" t="s">
        <v>16</v>
      </c>
      <c r="Z81" s="18">
        <v>0</v>
      </c>
    </row>
    <row r="82" spans="1:26" ht="25.5">
      <c r="A82" s="10">
        <v>78</v>
      </c>
      <c r="B82" s="20" t="s">
        <v>94</v>
      </c>
      <c r="C82" s="12">
        <f>+'30'!G82</f>
        <v>0</v>
      </c>
      <c r="D82" s="13">
        <v>0</v>
      </c>
      <c r="E82" s="12">
        <f t="shared" si="0"/>
        <v>0</v>
      </c>
      <c r="F82" s="13">
        <v>0</v>
      </c>
      <c r="G82" s="12">
        <f t="shared" si="1"/>
        <v>0</v>
      </c>
      <c r="H82" s="14">
        <v>0</v>
      </c>
      <c r="I82" s="23">
        <v>55</v>
      </c>
      <c r="J82" s="16">
        <f t="shared" si="11"/>
        <v>0</v>
      </c>
      <c r="K82" s="17" t="s">
        <v>16</v>
      </c>
      <c r="L82" s="18">
        <v>0</v>
      </c>
      <c r="M82" s="24">
        <f>SUM(J82-L82)</f>
        <v>0</v>
      </c>
      <c r="O82" s="10">
        <v>78</v>
      </c>
      <c r="P82" s="20"/>
      <c r="Q82" s="12">
        <f>+'[1]วันที่ 15'!U82</f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1"/>
      <c r="X82" s="16">
        <f t="shared" si="10"/>
        <v>0</v>
      </c>
      <c r="Y82" s="17" t="s">
        <v>16</v>
      </c>
      <c r="Z82" s="18">
        <v>0</v>
      </c>
    </row>
    <row r="83" spans="1:26" ht="25.5">
      <c r="A83" s="10">
        <v>79</v>
      </c>
      <c r="B83" s="20" t="s">
        <v>95</v>
      </c>
      <c r="C83" s="12">
        <f>+'30'!G83</f>
        <v>0</v>
      </c>
      <c r="D83" s="13">
        <v>0</v>
      </c>
      <c r="E83" s="12">
        <f t="shared" si="0"/>
        <v>0</v>
      </c>
      <c r="F83" s="13">
        <v>0</v>
      </c>
      <c r="G83" s="12">
        <f t="shared" si="1"/>
        <v>0</v>
      </c>
      <c r="H83" s="14">
        <v>0</v>
      </c>
      <c r="I83" s="23">
        <v>55</v>
      </c>
      <c r="J83" s="16">
        <f t="shared" si="11"/>
        <v>0</v>
      </c>
      <c r="K83" s="17" t="s">
        <v>16</v>
      </c>
      <c r="L83" s="18">
        <v>0</v>
      </c>
      <c r="M83" s="24">
        <f>SUM(J83-L83)</f>
        <v>0</v>
      </c>
      <c r="O83" s="10">
        <v>79</v>
      </c>
      <c r="P83" s="20"/>
      <c r="Q83" s="12">
        <f>+'[1]วันที่ 15'!U83</f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1"/>
      <c r="X83" s="16">
        <f t="shared" si="10"/>
        <v>0</v>
      </c>
      <c r="Y83" s="17" t="s">
        <v>16</v>
      </c>
      <c r="Z83" s="18">
        <v>0</v>
      </c>
    </row>
    <row r="84" spans="1:26" ht="25.5">
      <c r="A84" s="10">
        <v>80</v>
      </c>
      <c r="B84" s="20" t="s">
        <v>96</v>
      </c>
      <c r="C84" s="12">
        <f>+'30'!G84</f>
        <v>0</v>
      </c>
      <c r="D84" s="13">
        <v>0</v>
      </c>
      <c r="E84" s="12">
        <f t="shared" si="0"/>
        <v>0</v>
      </c>
      <c r="F84" s="13">
        <v>0</v>
      </c>
      <c r="G84" s="12">
        <f t="shared" si="1"/>
        <v>0</v>
      </c>
      <c r="H84" s="14">
        <v>0</v>
      </c>
      <c r="I84" s="23">
        <v>55</v>
      </c>
      <c r="J84" s="16">
        <f t="shared" si="11"/>
        <v>0</v>
      </c>
      <c r="K84" s="17" t="s">
        <v>16</v>
      </c>
      <c r="L84" s="18">
        <v>0</v>
      </c>
      <c r="M84" s="24">
        <f t="shared" si="9"/>
        <v>0</v>
      </c>
      <c r="O84" s="10">
        <v>80</v>
      </c>
      <c r="P84" s="20"/>
      <c r="Q84" s="12">
        <f>+'[1]วันที่ 15'!U84</f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1"/>
      <c r="X84" s="16">
        <f t="shared" si="10"/>
        <v>0</v>
      </c>
      <c r="Y84" s="17" t="s">
        <v>16</v>
      </c>
      <c r="Z84" s="18">
        <v>0</v>
      </c>
    </row>
    <row r="85" spans="1:26" ht="25.5">
      <c r="A85" s="10">
        <v>81</v>
      </c>
      <c r="B85" s="20" t="s">
        <v>97</v>
      </c>
      <c r="C85" s="12">
        <f>+'30'!G85</f>
        <v>6</v>
      </c>
      <c r="D85" s="13">
        <v>0</v>
      </c>
      <c r="E85" s="12">
        <f t="shared" si="0"/>
        <v>6</v>
      </c>
      <c r="F85" s="13">
        <v>0</v>
      </c>
      <c r="G85" s="12">
        <f t="shared" si="1"/>
        <v>6</v>
      </c>
      <c r="H85" s="14">
        <v>0</v>
      </c>
      <c r="I85" s="23">
        <v>100</v>
      </c>
      <c r="J85" s="16">
        <f t="shared" si="11"/>
        <v>0</v>
      </c>
      <c r="K85" s="17" t="s">
        <v>16</v>
      </c>
      <c r="L85" s="18">
        <v>0</v>
      </c>
      <c r="M85" s="24">
        <f t="shared" si="9"/>
        <v>0</v>
      </c>
      <c r="O85" s="10">
        <v>81</v>
      </c>
      <c r="P85" s="20"/>
      <c r="Q85" s="12">
        <f>+'[1]วันที่ 15'!U85</f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1"/>
      <c r="X85" s="16">
        <f t="shared" si="10"/>
        <v>0</v>
      </c>
      <c r="Y85" s="17" t="s">
        <v>16</v>
      </c>
      <c r="Z85" s="18">
        <v>0</v>
      </c>
    </row>
    <row r="86" spans="1:26" ht="25.5">
      <c r="A86" s="10">
        <v>82</v>
      </c>
      <c r="B86" s="20" t="s">
        <v>98</v>
      </c>
      <c r="C86" s="12">
        <f>+'30'!G86</f>
        <v>0</v>
      </c>
      <c r="D86" s="13">
        <v>0</v>
      </c>
      <c r="E86" s="12">
        <f t="shared" si="0"/>
        <v>0</v>
      </c>
      <c r="F86" s="13">
        <v>0</v>
      </c>
      <c r="G86" s="12">
        <f t="shared" si="1"/>
        <v>0</v>
      </c>
      <c r="H86" s="14">
        <v>0</v>
      </c>
      <c r="I86" s="21">
        <v>55</v>
      </c>
      <c r="J86" s="16">
        <f t="shared" si="11"/>
        <v>0</v>
      </c>
      <c r="K86" s="17" t="s">
        <v>16</v>
      </c>
      <c r="L86" s="18">
        <v>0</v>
      </c>
      <c r="M86" s="24">
        <f t="shared" si="9"/>
        <v>0</v>
      </c>
      <c r="O86" s="10">
        <v>82</v>
      </c>
      <c r="P86" s="20"/>
      <c r="Q86" s="12">
        <f>+'[1]วันที่ 15'!U86</f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1"/>
      <c r="X86" s="16">
        <f t="shared" si="10"/>
        <v>0</v>
      </c>
      <c r="Y86" s="17" t="s">
        <v>16</v>
      </c>
      <c r="Z86" s="18">
        <v>0</v>
      </c>
    </row>
    <row r="87" spans="1:26" ht="25.5">
      <c r="A87" s="10">
        <v>83</v>
      </c>
      <c r="B87" s="20" t="s">
        <v>99</v>
      </c>
      <c r="C87" s="12">
        <f>+'30'!G87</f>
        <v>4</v>
      </c>
      <c r="D87" s="13">
        <v>0</v>
      </c>
      <c r="E87" s="12">
        <f t="shared" si="0"/>
        <v>4</v>
      </c>
      <c r="F87" s="13">
        <v>0</v>
      </c>
      <c r="G87" s="12">
        <f t="shared" si="1"/>
        <v>4</v>
      </c>
      <c r="H87" s="14">
        <v>0</v>
      </c>
      <c r="I87" s="21">
        <v>60</v>
      </c>
      <c r="J87" s="16">
        <f t="shared" si="11"/>
        <v>0</v>
      </c>
      <c r="K87" s="17" t="s">
        <v>16</v>
      </c>
      <c r="L87" s="18">
        <v>0</v>
      </c>
      <c r="M87" s="24">
        <f t="shared" si="9"/>
        <v>0</v>
      </c>
      <c r="O87" s="10">
        <v>83</v>
      </c>
      <c r="P87" s="20"/>
      <c r="Q87" s="12">
        <f>+'[1]วันที่ 15'!U87</f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1"/>
      <c r="X87" s="16">
        <f t="shared" si="10"/>
        <v>0</v>
      </c>
      <c r="Y87" s="17" t="s">
        <v>16</v>
      </c>
      <c r="Z87" s="18">
        <v>0</v>
      </c>
    </row>
    <row r="88" spans="1:26" ht="25.5">
      <c r="A88" s="10">
        <v>84</v>
      </c>
      <c r="B88" s="20" t="s">
        <v>100</v>
      </c>
      <c r="C88" s="12">
        <f>+'30'!G88</f>
        <v>3</v>
      </c>
      <c r="D88" s="13">
        <v>0</v>
      </c>
      <c r="E88" s="12">
        <f t="shared" si="0"/>
        <v>3</v>
      </c>
      <c r="F88" s="13">
        <v>0</v>
      </c>
      <c r="G88" s="12">
        <f t="shared" si="1"/>
        <v>3</v>
      </c>
      <c r="H88" s="14">
        <v>0</v>
      </c>
      <c r="I88" s="21">
        <v>100</v>
      </c>
      <c r="J88" s="16">
        <f t="shared" si="11"/>
        <v>0</v>
      </c>
      <c r="K88" s="17" t="s">
        <v>16</v>
      </c>
      <c r="L88" s="18">
        <v>0</v>
      </c>
      <c r="M88" s="24">
        <f t="shared" si="9"/>
        <v>0</v>
      </c>
      <c r="O88" s="10">
        <v>84</v>
      </c>
      <c r="P88" s="20"/>
      <c r="Q88" s="12">
        <f>+'[1]วันที่ 15'!U88</f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1"/>
      <c r="X88" s="16">
        <f t="shared" si="10"/>
        <v>0</v>
      </c>
      <c r="Y88" s="17" t="s">
        <v>16</v>
      </c>
      <c r="Z88" s="18">
        <v>0</v>
      </c>
    </row>
    <row r="89" spans="1:26" ht="25.5">
      <c r="A89" s="10">
        <v>85</v>
      </c>
      <c r="B89" s="20" t="s">
        <v>101</v>
      </c>
      <c r="C89" s="12">
        <f>+'30'!G89</f>
        <v>0</v>
      </c>
      <c r="D89" s="13">
        <v>0</v>
      </c>
      <c r="E89" s="12">
        <f t="shared" si="0"/>
        <v>0</v>
      </c>
      <c r="F89" s="13">
        <v>0</v>
      </c>
      <c r="G89" s="12">
        <f t="shared" si="1"/>
        <v>0</v>
      </c>
      <c r="H89" s="14">
        <v>0</v>
      </c>
      <c r="I89" s="21">
        <v>55</v>
      </c>
      <c r="J89" s="16">
        <f t="shared" si="11"/>
        <v>0</v>
      </c>
      <c r="K89" s="17" t="s">
        <v>16</v>
      </c>
      <c r="L89" s="18">
        <v>0</v>
      </c>
      <c r="M89" s="24">
        <f t="shared" si="9"/>
        <v>0</v>
      </c>
      <c r="O89" s="10">
        <v>85</v>
      </c>
      <c r="P89" s="20"/>
      <c r="Q89" s="12">
        <f>+'[1]วันที่ 15'!U89</f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1"/>
      <c r="X89" s="16">
        <f t="shared" si="10"/>
        <v>0</v>
      </c>
      <c r="Y89" s="17" t="s">
        <v>16</v>
      </c>
      <c r="Z89" s="18">
        <v>0</v>
      </c>
    </row>
    <row r="90" spans="1:26" ht="25.5">
      <c r="A90" s="10">
        <v>86</v>
      </c>
      <c r="B90" s="20" t="s">
        <v>102</v>
      </c>
      <c r="C90" s="12">
        <f>+'30'!G90</f>
        <v>2</v>
      </c>
      <c r="D90" s="13">
        <v>0</v>
      </c>
      <c r="E90" s="12">
        <f t="shared" si="0"/>
        <v>2</v>
      </c>
      <c r="F90" s="13">
        <v>0</v>
      </c>
      <c r="G90" s="12">
        <f t="shared" si="1"/>
        <v>2</v>
      </c>
      <c r="H90" s="14">
        <v>0</v>
      </c>
      <c r="I90" s="21">
        <v>50</v>
      </c>
      <c r="J90" s="16">
        <f t="shared" si="11"/>
        <v>0</v>
      </c>
      <c r="K90" s="17" t="s">
        <v>16</v>
      </c>
      <c r="L90" s="18">
        <v>0</v>
      </c>
      <c r="M90" s="24">
        <f t="shared" si="9"/>
        <v>0</v>
      </c>
      <c r="O90" s="10">
        <v>86</v>
      </c>
      <c r="P90" s="20"/>
      <c r="Q90" s="12">
        <f>+'[1]วันที่ 15'!U90</f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1"/>
      <c r="X90" s="16">
        <f t="shared" si="10"/>
        <v>0</v>
      </c>
      <c r="Y90" s="17" t="s">
        <v>16</v>
      </c>
      <c r="Z90" s="18">
        <v>0</v>
      </c>
    </row>
    <row r="91" spans="1:26" ht="25.5">
      <c r="A91" s="10">
        <v>87</v>
      </c>
      <c r="B91" s="20" t="s">
        <v>103</v>
      </c>
      <c r="C91" s="12">
        <f>+'30'!G91</f>
        <v>0</v>
      </c>
      <c r="D91" s="13">
        <v>0</v>
      </c>
      <c r="E91" s="12">
        <f t="shared" si="0"/>
        <v>0</v>
      </c>
      <c r="F91" s="13">
        <v>0</v>
      </c>
      <c r="G91" s="12">
        <f t="shared" si="1"/>
        <v>0</v>
      </c>
      <c r="H91" s="14">
        <v>0</v>
      </c>
      <c r="I91" s="23">
        <v>50</v>
      </c>
      <c r="J91" s="16">
        <f t="shared" si="11"/>
        <v>0</v>
      </c>
      <c r="K91" s="17" t="s">
        <v>16</v>
      </c>
      <c r="L91" s="18">
        <v>0</v>
      </c>
      <c r="M91" s="24">
        <f t="shared" si="9"/>
        <v>0</v>
      </c>
      <c r="O91" s="10">
        <v>87</v>
      </c>
      <c r="P91" s="20"/>
      <c r="Q91" s="12">
        <f>+'[1]วันที่ 15'!U91</f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1"/>
      <c r="X91" s="16">
        <f t="shared" si="10"/>
        <v>0</v>
      </c>
      <c r="Y91" s="17" t="s">
        <v>16</v>
      </c>
      <c r="Z91" s="18">
        <v>0</v>
      </c>
    </row>
    <row r="92" spans="1:26" ht="25.5">
      <c r="A92" s="10">
        <v>88</v>
      </c>
      <c r="B92" s="20" t="s">
        <v>104</v>
      </c>
      <c r="C92" s="12">
        <f>+'30'!G92</f>
        <v>0</v>
      </c>
      <c r="D92" s="13">
        <v>0</v>
      </c>
      <c r="E92" s="12">
        <f t="shared" si="0"/>
        <v>0</v>
      </c>
      <c r="F92" s="13">
        <v>0</v>
      </c>
      <c r="G92" s="12">
        <f t="shared" si="1"/>
        <v>0</v>
      </c>
      <c r="H92" s="14">
        <v>0</v>
      </c>
      <c r="I92" s="23">
        <v>120</v>
      </c>
      <c r="J92" s="16">
        <f t="shared" si="11"/>
        <v>0</v>
      </c>
      <c r="K92" s="17" t="s">
        <v>16</v>
      </c>
      <c r="L92" s="18">
        <v>0</v>
      </c>
      <c r="M92" s="24">
        <f t="shared" si="9"/>
        <v>0</v>
      </c>
      <c r="O92" s="10">
        <v>88</v>
      </c>
      <c r="P92" s="20"/>
      <c r="Q92" s="12">
        <f>+'[1]วันที่ 15'!U92</f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1"/>
      <c r="X92" s="16">
        <f t="shared" si="10"/>
        <v>0</v>
      </c>
      <c r="Y92" s="17" t="s">
        <v>16</v>
      </c>
      <c r="Z92" s="18">
        <v>0</v>
      </c>
    </row>
    <row r="93" spans="1:26" ht="25.5">
      <c r="A93" s="10">
        <v>89</v>
      </c>
      <c r="B93" s="20" t="s">
        <v>105</v>
      </c>
      <c r="C93" s="12">
        <f>+'30'!G93</f>
        <v>0</v>
      </c>
      <c r="D93" s="13">
        <v>0</v>
      </c>
      <c r="E93" s="12">
        <f t="shared" si="0"/>
        <v>0</v>
      </c>
      <c r="F93" s="13">
        <v>0</v>
      </c>
      <c r="G93" s="12">
        <f t="shared" si="1"/>
        <v>0</v>
      </c>
      <c r="H93" s="14">
        <v>0</v>
      </c>
      <c r="I93" s="21">
        <v>250</v>
      </c>
      <c r="J93" s="16">
        <f t="shared" si="11"/>
        <v>0</v>
      </c>
      <c r="K93" s="17" t="s">
        <v>16</v>
      </c>
      <c r="L93" s="18">
        <v>0</v>
      </c>
      <c r="M93" s="24">
        <f t="shared" si="9"/>
        <v>0</v>
      </c>
      <c r="O93" s="10">
        <v>89</v>
      </c>
      <c r="P93" s="20"/>
      <c r="Q93" s="12">
        <f>+'[1]วันที่ 15'!U93</f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1"/>
      <c r="X93" s="16">
        <f t="shared" si="10"/>
        <v>0</v>
      </c>
      <c r="Y93" s="17" t="s">
        <v>16</v>
      </c>
      <c r="Z93" s="18">
        <v>0</v>
      </c>
    </row>
    <row r="94" spans="1:26" ht="25.5">
      <c r="A94" s="10">
        <v>90</v>
      </c>
      <c r="B94" s="20" t="s">
        <v>106</v>
      </c>
      <c r="C94" s="12">
        <f>+'30'!G94</f>
        <v>0</v>
      </c>
      <c r="D94" s="13">
        <v>0</v>
      </c>
      <c r="E94" s="12">
        <f t="shared" si="0"/>
        <v>0</v>
      </c>
      <c r="F94" s="13">
        <v>0</v>
      </c>
      <c r="G94" s="12">
        <f t="shared" si="1"/>
        <v>0</v>
      </c>
      <c r="H94" s="14">
        <v>0</v>
      </c>
      <c r="I94" s="21">
        <v>120</v>
      </c>
      <c r="J94" s="16">
        <f t="shared" si="11"/>
        <v>0</v>
      </c>
      <c r="K94" s="17" t="s">
        <v>16</v>
      </c>
      <c r="L94" s="18">
        <v>0</v>
      </c>
      <c r="M94" s="24">
        <f t="shared" si="9"/>
        <v>0</v>
      </c>
      <c r="O94" s="10">
        <v>90</v>
      </c>
      <c r="P94" s="20"/>
      <c r="Q94" s="12">
        <f>+'[1]วันที่ 15'!U94</f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1"/>
      <c r="X94" s="16">
        <f t="shared" si="10"/>
        <v>0</v>
      </c>
      <c r="Y94" s="17" t="s">
        <v>16</v>
      </c>
      <c r="Z94" s="18">
        <v>0</v>
      </c>
    </row>
    <row r="95" spans="1:26" ht="25.5">
      <c r="A95" s="10">
        <v>91</v>
      </c>
      <c r="B95" s="20" t="s">
        <v>107</v>
      </c>
      <c r="C95" s="12">
        <f>+'30'!G95</f>
        <v>0</v>
      </c>
      <c r="D95" s="13">
        <v>0</v>
      </c>
      <c r="E95" s="12">
        <f>C95+D95</f>
        <v>0</v>
      </c>
      <c r="F95" s="13">
        <v>0</v>
      </c>
      <c r="G95" s="12">
        <f t="shared" ref="G95:G158" si="12">E95-F95-H95</f>
        <v>0</v>
      </c>
      <c r="H95" s="14">
        <v>0</v>
      </c>
      <c r="I95" s="21">
        <v>120</v>
      </c>
      <c r="J95" s="16">
        <f t="shared" si="11"/>
        <v>0</v>
      </c>
      <c r="K95" s="17" t="s">
        <v>16</v>
      </c>
      <c r="L95" s="18">
        <v>0</v>
      </c>
      <c r="M95" s="24">
        <f t="shared" si="9"/>
        <v>0</v>
      </c>
      <c r="O95" s="10">
        <v>91</v>
      </c>
      <c r="P95" s="20"/>
      <c r="Q95" s="12">
        <f>+'[1]วันที่ 15'!U95</f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1"/>
      <c r="X95" s="16">
        <f t="shared" si="10"/>
        <v>0</v>
      </c>
      <c r="Y95" s="17" t="s">
        <v>16</v>
      </c>
      <c r="Z95" s="18">
        <v>0</v>
      </c>
    </row>
    <row r="96" spans="1:26" ht="25.5">
      <c r="A96" s="10">
        <v>92</v>
      </c>
      <c r="B96" s="20" t="s">
        <v>108</v>
      </c>
      <c r="C96" s="12">
        <f>+'30'!G96</f>
        <v>0</v>
      </c>
      <c r="D96" s="13">
        <v>0</v>
      </c>
      <c r="E96" s="12">
        <f t="shared" ref="E96:E204" si="13">C96+D96</f>
        <v>0</v>
      </c>
      <c r="F96" s="13">
        <v>0</v>
      </c>
      <c r="G96" s="12">
        <f t="shared" si="12"/>
        <v>0</v>
      </c>
      <c r="H96" s="14">
        <v>0</v>
      </c>
      <c r="I96" s="21">
        <v>120</v>
      </c>
      <c r="J96" s="16">
        <f t="shared" si="11"/>
        <v>0</v>
      </c>
      <c r="K96" s="17" t="s">
        <v>16</v>
      </c>
      <c r="L96" s="18">
        <v>0</v>
      </c>
      <c r="M96" s="24">
        <f t="shared" si="9"/>
        <v>0</v>
      </c>
      <c r="O96" s="10">
        <v>92</v>
      </c>
      <c r="P96" s="20"/>
      <c r="Q96" s="12">
        <f>+'[1]วันที่ 15'!U96</f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1"/>
      <c r="X96" s="16">
        <f t="shared" si="10"/>
        <v>0</v>
      </c>
      <c r="Y96" s="17" t="s">
        <v>16</v>
      </c>
      <c r="Z96" s="18">
        <v>0</v>
      </c>
    </row>
    <row r="97" spans="1:26" ht="25.5">
      <c r="A97" s="10">
        <v>93</v>
      </c>
      <c r="B97" s="20" t="s">
        <v>109</v>
      </c>
      <c r="C97" s="12">
        <f>+'30'!G97</f>
        <v>0</v>
      </c>
      <c r="D97" s="13">
        <v>0</v>
      </c>
      <c r="E97" s="12">
        <f t="shared" si="13"/>
        <v>0</v>
      </c>
      <c r="F97" s="13">
        <v>0</v>
      </c>
      <c r="G97" s="12">
        <f t="shared" si="12"/>
        <v>0</v>
      </c>
      <c r="H97" s="14">
        <v>0</v>
      </c>
      <c r="I97" s="21">
        <v>45</v>
      </c>
      <c r="J97" s="16">
        <f t="shared" si="11"/>
        <v>0</v>
      </c>
      <c r="K97" s="17" t="s">
        <v>16</v>
      </c>
      <c r="L97" s="18">
        <v>0</v>
      </c>
      <c r="M97" s="24">
        <f t="shared" si="9"/>
        <v>0</v>
      </c>
      <c r="O97" s="10">
        <v>93</v>
      </c>
      <c r="P97" s="20"/>
      <c r="Q97" s="12">
        <f>+'[1]วันที่ 15'!U97</f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1"/>
      <c r="X97" s="16">
        <f t="shared" si="10"/>
        <v>0</v>
      </c>
      <c r="Y97" s="17" t="s">
        <v>16</v>
      </c>
      <c r="Z97" s="18">
        <v>0</v>
      </c>
    </row>
    <row r="98" spans="1:26" ht="25.5">
      <c r="A98" s="10">
        <v>94</v>
      </c>
      <c r="B98" s="20" t="s">
        <v>110</v>
      </c>
      <c r="C98" s="12">
        <f>+'30'!G98</f>
        <v>0</v>
      </c>
      <c r="D98" s="13">
        <v>0</v>
      </c>
      <c r="E98" s="12">
        <f t="shared" si="13"/>
        <v>0</v>
      </c>
      <c r="F98" s="13">
        <v>0</v>
      </c>
      <c r="G98" s="12">
        <f t="shared" si="12"/>
        <v>0</v>
      </c>
      <c r="H98" s="14">
        <v>0</v>
      </c>
      <c r="I98" s="21">
        <v>50</v>
      </c>
      <c r="J98" s="16">
        <f t="shared" si="11"/>
        <v>0</v>
      </c>
      <c r="K98" s="17" t="s">
        <v>16</v>
      </c>
      <c r="L98" s="18">
        <v>0</v>
      </c>
      <c r="M98" s="24">
        <f t="shared" si="9"/>
        <v>0</v>
      </c>
      <c r="O98" s="10">
        <v>94</v>
      </c>
      <c r="P98" s="20"/>
      <c r="Q98" s="12">
        <f>+'[1]วันที่ 15'!U98</f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1"/>
      <c r="X98" s="16">
        <f t="shared" si="10"/>
        <v>0</v>
      </c>
      <c r="Y98" s="17" t="s">
        <v>16</v>
      </c>
      <c r="Z98" s="18">
        <v>0</v>
      </c>
    </row>
    <row r="99" spans="1:26" ht="25.5">
      <c r="A99" s="10">
        <v>95</v>
      </c>
      <c r="B99" s="20" t="s">
        <v>111</v>
      </c>
      <c r="C99" s="12">
        <f>+'30'!G99</f>
        <v>0</v>
      </c>
      <c r="D99" s="13">
        <v>0</v>
      </c>
      <c r="E99" s="12">
        <f t="shared" si="13"/>
        <v>0</v>
      </c>
      <c r="F99" s="13">
        <v>0</v>
      </c>
      <c r="G99" s="12">
        <f t="shared" si="12"/>
        <v>0</v>
      </c>
      <c r="H99" s="14">
        <v>0</v>
      </c>
      <c r="I99" s="21">
        <v>50</v>
      </c>
      <c r="J99" s="16">
        <f t="shared" si="11"/>
        <v>0</v>
      </c>
      <c r="K99" s="17" t="s">
        <v>16</v>
      </c>
      <c r="L99" s="18">
        <v>0</v>
      </c>
      <c r="M99" s="24">
        <f t="shared" si="9"/>
        <v>0</v>
      </c>
      <c r="O99" s="10">
        <v>95</v>
      </c>
      <c r="P99" s="20"/>
      <c r="Q99" s="12">
        <f>+'[1]วันที่ 15'!U99</f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1"/>
      <c r="X99" s="16">
        <f t="shared" si="10"/>
        <v>0</v>
      </c>
      <c r="Y99" s="17" t="s">
        <v>16</v>
      </c>
      <c r="Z99" s="18">
        <v>0</v>
      </c>
    </row>
    <row r="100" spans="1:26" ht="25.5">
      <c r="A100" s="10">
        <v>96</v>
      </c>
      <c r="B100" s="20" t="s">
        <v>112</v>
      </c>
      <c r="C100" s="12">
        <f>+'30'!G100</f>
        <v>0</v>
      </c>
      <c r="D100" s="13">
        <v>0</v>
      </c>
      <c r="E100" s="12">
        <f t="shared" si="13"/>
        <v>0</v>
      </c>
      <c r="F100" s="13">
        <v>0</v>
      </c>
      <c r="G100" s="12">
        <f t="shared" si="12"/>
        <v>0</v>
      </c>
      <c r="H100" s="14">
        <v>0</v>
      </c>
      <c r="I100" s="21">
        <v>60</v>
      </c>
      <c r="J100" s="16">
        <f t="shared" si="11"/>
        <v>0</v>
      </c>
      <c r="K100" s="17" t="s">
        <v>16</v>
      </c>
      <c r="L100" s="18">
        <v>0</v>
      </c>
      <c r="M100" s="24">
        <f t="shared" si="9"/>
        <v>0</v>
      </c>
      <c r="O100" s="10">
        <v>96</v>
      </c>
      <c r="P100" s="20"/>
      <c r="Q100" s="12">
        <f>+'[1]วันที่ 15'!U100</f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1"/>
      <c r="X100" s="16">
        <f t="shared" si="10"/>
        <v>0</v>
      </c>
      <c r="Y100" s="17" t="s">
        <v>16</v>
      </c>
      <c r="Z100" s="18">
        <v>0</v>
      </c>
    </row>
    <row r="101" spans="1:26" ht="25.5">
      <c r="A101" s="10">
        <v>97</v>
      </c>
      <c r="B101" s="20" t="s">
        <v>226</v>
      </c>
      <c r="C101" s="12">
        <f>+'30'!G101</f>
        <v>9</v>
      </c>
      <c r="D101" s="13">
        <v>0</v>
      </c>
      <c r="E101" s="12">
        <f t="shared" si="13"/>
        <v>9</v>
      </c>
      <c r="F101" s="13">
        <v>0</v>
      </c>
      <c r="G101" s="12">
        <f t="shared" si="12"/>
        <v>9</v>
      </c>
      <c r="H101" s="14">
        <v>0</v>
      </c>
      <c r="I101" s="21">
        <v>55</v>
      </c>
      <c r="J101" s="16">
        <f t="shared" si="11"/>
        <v>0</v>
      </c>
      <c r="K101" s="17" t="s">
        <v>16</v>
      </c>
      <c r="L101" s="18">
        <v>0</v>
      </c>
      <c r="M101" s="24">
        <f t="shared" si="9"/>
        <v>0</v>
      </c>
      <c r="O101" s="10">
        <v>97</v>
      </c>
      <c r="P101" s="20"/>
      <c r="Q101" s="12">
        <f>+'[1]วันที่ 15'!U101</f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1"/>
      <c r="X101" s="16">
        <f t="shared" si="10"/>
        <v>0</v>
      </c>
      <c r="Y101" s="17" t="s">
        <v>16</v>
      </c>
      <c r="Z101" s="18">
        <v>0</v>
      </c>
    </row>
    <row r="102" spans="1:26" ht="25.5">
      <c r="A102" s="10">
        <v>98</v>
      </c>
      <c r="B102" s="20" t="s">
        <v>113</v>
      </c>
      <c r="C102" s="12">
        <f>+'30'!G102</f>
        <v>7</v>
      </c>
      <c r="D102" s="13">
        <v>0</v>
      </c>
      <c r="E102" s="12">
        <f t="shared" si="13"/>
        <v>7</v>
      </c>
      <c r="F102" s="13">
        <v>0</v>
      </c>
      <c r="G102" s="12">
        <f t="shared" si="12"/>
        <v>7</v>
      </c>
      <c r="H102" s="14">
        <v>0</v>
      </c>
      <c r="I102" s="21">
        <v>50</v>
      </c>
      <c r="J102" s="16">
        <f t="shared" si="11"/>
        <v>0</v>
      </c>
      <c r="K102" s="17" t="s">
        <v>16</v>
      </c>
      <c r="L102" s="18">
        <v>0</v>
      </c>
      <c r="M102" s="24">
        <f t="shared" si="9"/>
        <v>0</v>
      </c>
      <c r="O102" s="10">
        <v>98</v>
      </c>
      <c r="P102" s="20"/>
      <c r="Q102" s="12">
        <f>+'[1]วันที่ 15'!U102</f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1"/>
      <c r="X102" s="16">
        <f t="shared" si="10"/>
        <v>0</v>
      </c>
      <c r="Y102" s="17" t="s">
        <v>16</v>
      </c>
      <c r="Z102" s="18">
        <v>0</v>
      </c>
    </row>
    <row r="103" spans="1:26" ht="25.5">
      <c r="A103" s="10">
        <v>99</v>
      </c>
      <c r="B103" s="20" t="s">
        <v>114</v>
      </c>
      <c r="C103" s="12">
        <f>+'30'!G103</f>
        <v>0</v>
      </c>
      <c r="D103" s="13">
        <v>0</v>
      </c>
      <c r="E103" s="12">
        <f t="shared" si="13"/>
        <v>0</v>
      </c>
      <c r="F103" s="13">
        <v>0</v>
      </c>
      <c r="G103" s="12">
        <f t="shared" si="12"/>
        <v>0</v>
      </c>
      <c r="H103" s="14">
        <v>0</v>
      </c>
      <c r="I103" s="21">
        <v>100</v>
      </c>
      <c r="J103" s="16">
        <f t="shared" si="11"/>
        <v>0</v>
      </c>
      <c r="K103" s="17" t="s">
        <v>16</v>
      </c>
      <c r="L103" s="18">
        <v>0</v>
      </c>
      <c r="M103" s="24">
        <f t="shared" si="9"/>
        <v>0</v>
      </c>
      <c r="O103" s="10">
        <v>99</v>
      </c>
      <c r="P103" s="20"/>
      <c r="Q103" s="12">
        <f>+'[1]วันที่ 15'!U103</f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1"/>
      <c r="X103" s="16">
        <f t="shared" si="10"/>
        <v>0</v>
      </c>
      <c r="Y103" s="17" t="s">
        <v>16</v>
      </c>
      <c r="Z103" s="18">
        <v>0</v>
      </c>
    </row>
    <row r="104" spans="1:26" ht="25.5">
      <c r="A104" s="10">
        <v>100</v>
      </c>
      <c r="B104" s="20" t="s">
        <v>115</v>
      </c>
      <c r="C104" s="12">
        <f>+'30'!G104</f>
        <v>0</v>
      </c>
      <c r="D104" s="13">
        <v>0</v>
      </c>
      <c r="E104" s="12">
        <f t="shared" si="13"/>
        <v>0</v>
      </c>
      <c r="F104" s="13">
        <v>0</v>
      </c>
      <c r="G104" s="12">
        <f t="shared" si="12"/>
        <v>0</v>
      </c>
      <c r="H104" s="14">
        <v>0</v>
      </c>
      <c r="I104" s="21">
        <v>100</v>
      </c>
      <c r="J104" s="16">
        <f t="shared" si="11"/>
        <v>0</v>
      </c>
      <c r="K104" s="17" t="s">
        <v>16</v>
      </c>
      <c r="L104" s="18">
        <v>0</v>
      </c>
      <c r="M104" s="24">
        <f t="shared" si="9"/>
        <v>0</v>
      </c>
      <c r="O104" s="10">
        <v>100</v>
      </c>
      <c r="P104" s="20"/>
      <c r="Q104" s="12">
        <f>+'[1]วันที่ 15'!U104</f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1"/>
      <c r="X104" s="16">
        <f t="shared" si="10"/>
        <v>0</v>
      </c>
      <c r="Y104" s="17"/>
      <c r="Z104" s="18">
        <v>0</v>
      </c>
    </row>
    <row r="105" spans="1:26" ht="25.5">
      <c r="A105" s="10">
        <v>101</v>
      </c>
      <c r="B105" s="20" t="s">
        <v>116</v>
      </c>
      <c r="C105" s="12">
        <f>+'30'!G105</f>
        <v>0</v>
      </c>
      <c r="D105" s="13">
        <v>0</v>
      </c>
      <c r="E105" s="12">
        <f t="shared" si="13"/>
        <v>0</v>
      </c>
      <c r="F105" s="13">
        <v>0</v>
      </c>
      <c r="G105" s="12">
        <f t="shared" si="12"/>
        <v>0</v>
      </c>
      <c r="H105" s="14">
        <v>0</v>
      </c>
      <c r="I105" s="23">
        <v>30</v>
      </c>
      <c r="J105" s="16">
        <f t="shared" si="11"/>
        <v>0</v>
      </c>
      <c r="K105" s="17" t="s">
        <v>16</v>
      </c>
      <c r="L105" s="18">
        <v>0</v>
      </c>
      <c r="M105" s="24">
        <f t="shared" si="9"/>
        <v>0</v>
      </c>
      <c r="O105" s="1"/>
      <c r="Q105" s="25"/>
      <c r="R105" s="26"/>
      <c r="S105" s="25"/>
      <c r="T105" s="26"/>
      <c r="U105" s="25"/>
      <c r="V105" s="25"/>
      <c r="W105" s="27"/>
      <c r="X105" s="26"/>
      <c r="Y105" s="28"/>
      <c r="Z105" s="41">
        <f>SUM(Z5:Z104)</f>
        <v>0</v>
      </c>
    </row>
    <row r="106" spans="1:26" ht="25.5">
      <c r="A106" s="10">
        <v>102</v>
      </c>
      <c r="B106" s="20" t="s">
        <v>117</v>
      </c>
      <c r="C106" s="12">
        <f>+'30'!G106</f>
        <v>0</v>
      </c>
      <c r="D106" s="13">
        <v>0</v>
      </c>
      <c r="E106" s="12">
        <f t="shared" si="13"/>
        <v>0</v>
      </c>
      <c r="F106" s="13">
        <v>0</v>
      </c>
      <c r="G106" s="12">
        <f t="shared" si="12"/>
        <v>0</v>
      </c>
      <c r="H106" s="14">
        <v>0</v>
      </c>
      <c r="I106" s="23">
        <v>20</v>
      </c>
      <c r="J106" s="16">
        <f t="shared" si="11"/>
        <v>0</v>
      </c>
      <c r="K106" s="17" t="s">
        <v>16</v>
      </c>
      <c r="L106" s="18">
        <v>0</v>
      </c>
      <c r="M106" s="24">
        <f t="shared" si="9"/>
        <v>0</v>
      </c>
      <c r="Z106" s="30"/>
    </row>
    <row r="107" spans="1:26" ht="25.5">
      <c r="A107" s="10">
        <v>103</v>
      </c>
      <c r="B107" s="20" t="s">
        <v>118</v>
      </c>
      <c r="C107" s="12">
        <f>+'30'!G107</f>
        <v>0</v>
      </c>
      <c r="D107" s="13">
        <v>0</v>
      </c>
      <c r="E107" s="12">
        <f t="shared" si="13"/>
        <v>0</v>
      </c>
      <c r="F107" s="13">
        <v>0</v>
      </c>
      <c r="G107" s="12">
        <f t="shared" si="12"/>
        <v>0</v>
      </c>
      <c r="H107" s="14">
        <v>0</v>
      </c>
      <c r="I107" s="21">
        <v>100</v>
      </c>
      <c r="J107" s="16">
        <f t="shared" si="11"/>
        <v>0</v>
      </c>
      <c r="K107" s="17" t="s">
        <v>16</v>
      </c>
      <c r="L107" s="18">
        <v>0</v>
      </c>
      <c r="M107" s="24">
        <f t="shared" si="9"/>
        <v>0</v>
      </c>
      <c r="P107" s="131" t="s">
        <v>119</v>
      </c>
      <c r="Q107" s="132"/>
      <c r="R107" s="132"/>
      <c r="S107" s="132"/>
      <c r="T107" s="132"/>
      <c r="U107" s="132"/>
      <c r="V107" s="132"/>
      <c r="W107" s="133"/>
      <c r="X107" s="42">
        <f>SUM(X5:X104)</f>
        <v>0</v>
      </c>
    </row>
    <row r="108" spans="1:26" ht="25.5">
      <c r="A108" s="10">
        <v>104</v>
      </c>
      <c r="B108" s="20" t="s">
        <v>120</v>
      </c>
      <c r="C108" s="12">
        <f>+'30'!G108</f>
        <v>0</v>
      </c>
      <c r="D108" s="13">
        <v>0</v>
      </c>
      <c r="E108" s="12">
        <f t="shared" si="13"/>
        <v>0</v>
      </c>
      <c r="F108" s="13">
        <v>0</v>
      </c>
      <c r="G108" s="12">
        <f t="shared" si="12"/>
        <v>0</v>
      </c>
      <c r="H108" s="14">
        <v>0</v>
      </c>
      <c r="I108" s="21">
        <v>80</v>
      </c>
      <c r="J108" s="16">
        <f t="shared" si="11"/>
        <v>0</v>
      </c>
      <c r="K108" s="17" t="s">
        <v>16</v>
      </c>
      <c r="L108" s="18">
        <v>0</v>
      </c>
      <c r="M108" s="24">
        <f t="shared" si="9"/>
        <v>0</v>
      </c>
    </row>
    <row r="109" spans="1:26" ht="25.5">
      <c r="A109" s="10">
        <v>105</v>
      </c>
      <c r="B109" s="20" t="s">
        <v>121</v>
      </c>
      <c r="C109" s="12">
        <f>+'30'!G109</f>
        <v>0</v>
      </c>
      <c r="D109" s="13">
        <v>0</v>
      </c>
      <c r="E109" s="12">
        <f t="shared" si="13"/>
        <v>0</v>
      </c>
      <c r="F109" s="13">
        <v>0</v>
      </c>
      <c r="G109" s="12">
        <f t="shared" si="12"/>
        <v>0</v>
      </c>
      <c r="H109" s="14">
        <v>0</v>
      </c>
      <c r="I109" s="21">
        <v>60</v>
      </c>
      <c r="J109" s="16">
        <f t="shared" si="11"/>
        <v>0</v>
      </c>
      <c r="K109" s="17" t="s">
        <v>16</v>
      </c>
      <c r="L109" s="18">
        <v>0</v>
      </c>
      <c r="M109" s="24">
        <f t="shared" si="9"/>
        <v>0</v>
      </c>
    </row>
    <row r="110" spans="1:26" ht="25.5">
      <c r="A110" s="10">
        <v>106</v>
      </c>
      <c r="B110" s="20" t="s">
        <v>122</v>
      </c>
      <c r="C110" s="12">
        <f>+'30'!G110</f>
        <v>0</v>
      </c>
      <c r="D110" s="13">
        <v>0</v>
      </c>
      <c r="E110" s="12">
        <f t="shared" si="13"/>
        <v>0</v>
      </c>
      <c r="F110" s="13">
        <v>0</v>
      </c>
      <c r="G110" s="12">
        <f t="shared" si="12"/>
        <v>0</v>
      </c>
      <c r="H110" s="14">
        <v>0</v>
      </c>
      <c r="I110" s="21">
        <v>35</v>
      </c>
      <c r="J110" s="16">
        <f t="shared" si="11"/>
        <v>0</v>
      </c>
      <c r="K110" s="17" t="s">
        <v>16</v>
      </c>
      <c r="L110" s="18">
        <v>0</v>
      </c>
      <c r="M110" s="24">
        <f t="shared" si="9"/>
        <v>0</v>
      </c>
    </row>
    <row r="111" spans="1:26" ht="25.5">
      <c r="A111" s="10">
        <v>107</v>
      </c>
      <c r="B111" s="20" t="s">
        <v>123</v>
      </c>
      <c r="C111" s="12">
        <f>+'30'!G111</f>
        <v>0</v>
      </c>
      <c r="D111" s="13">
        <v>0</v>
      </c>
      <c r="E111" s="12">
        <f t="shared" si="13"/>
        <v>0</v>
      </c>
      <c r="F111" s="13">
        <v>0</v>
      </c>
      <c r="G111" s="12">
        <f t="shared" si="12"/>
        <v>0</v>
      </c>
      <c r="H111" s="14">
        <v>0</v>
      </c>
      <c r="I111" s="21">
        <v>35</v>
      </c>
      <c r="J111" s="16">
        <f t="shared" si="11"/>
        <v>0</v>
      </c>
      <c r="K111" s="17" t="s">
        <v>16</v>
      </c>
      <c r="L111" s="18">
        <v>0</v>
      </c>
      <c r="M111" s="24">
        <f t="shared" si="9"/>
        <v>0</v>
      </c>
    </row>
    <row r="112" spans="1:26" ht="25.5">
      <c r="A112" s="10">
        <v>108</v>
      </c>
      <c r="B112" s="20" t="s">
        <v>124</v>
      </c>
      <c r="C112" s="12">
        <f>+'30'!G112</f>
        <v>0</v>
      </c>
      <c r="D112" s="13">
        <v>0</v>
      </c>
      <c r="E112" s="12">
        <f t="shared" si="13"/>
        <v>0</v>
      </c>
      <c r="F112" s="13">
        <v>0</v>
      </c>
      <c r="G112" s="12">
        <f t="shared" si="12"/>
        <v>0</v>
      </c>
      <c r="H112" s="14">
        <v>0</v>
      </c>
      <c r="I112" s="21">
        <v>35</v>
      </c>
      <c r="J112" s="16">
        <f t="shared" si="11"/>
        <v>0</v>
      </c>
      <c r="K112" s="17" t="s">
        <v>16</v>
      </c>
      <c r="L112" s="18">
        <v>0</v>
      </c>
      <c r="M112" s="24">
        <f t="shared" si="9"/>
        <v>0</v>
      </c>
    </row>
    <row r="113" spans="1:13" ht="25.5">
      <c r="A113" s="10">
        <v>109</v>
      </c>
      <c r="B113" s="20" t="s">
        <v>125</v>
      </c>
      <c r="C113" s="12">
        <f>+'30'!G113</f>
        <v>0</v>
      </c>
      <c r="D113" s="13">
        <v>0</v>
      </c>
      <c r="E113" s="12">
        <f t="shared" si="13"/>
        <v>0</v>
      </c>
      <c r="F113" s="13">
        <v>0</v>
      </c>
      <c r="G113" s="12">
        <f t="shared" si="12"/>
        <v>0</v>
      </c>
      <c r="H113" s="14">
        <v>0</v>
      </c>
      <c r="I113" s="21">
        <v>35</v>
      </c>
      <c r="J113" s="16">
        <f t="shared" si="11"/>
        <v>0</v>
      </c>
      <c r="K113" s="17" t="s">
        <v>16</v>
      </c>
      <c r="L113" s="18">
        <v>0</v>
      </c>
      <c r="M113" s="24">
        <f t="shared" si="9"/>
        <v>0</v>
      </c>
    </row>
    <row r="114" spans="1:13" ht="25.5">
      <c r="A114" s="10">
        <v>110</v>
      </c>
      <c r="B114" s="20" t="s">
        <v>126</v>
      </c>
      <c r="C114" s="12">
        <f>+'30'!G114</f>
        <v>0</v>
      </c>
      <c r="D114" s="13">
        <v>0</v>
      </c>
      <c r="E114" s="12">
        <f t="shared" si="13"/>
        <v>0</v>
      </c>
      <c r="F114" s="13">
        <v>0</v>
      </c>
      <c r="G114" s="12">
        <f t="shared" si="12"/>
        <v>0</v>
      </c>
      <c r="H114" s="14">
        <v>0</v>
      </c>
      <c r="I114" s="21">
        <v>35</v>
      </c>
      <c r="J114" s="16">
        <f t="shared" si="11"/>
        <v>0</v>
      </c>
      <c r="K114" s="17" t="s">
        <v>16</v>
      </c>
      <c r="L114" s="18">
        <v>0</v>
      </c>
      <c r="M114" s="24">
        <f t="shared" si="9"/>
        <v>0</v>
      </c>
    </row>
    <row r="115" spans="1:13" ht="25.5">
      <c r="A115" s="10">
        <v>111</v>
      </c>
      <c r="B115" s="20" t="s">
        <v>127</v>
      </c>
      <c r="C115" s="12">
        <f>+'30'!G115</f>
        <v>0</v>
      </c>
      <c r="D115" s="13">
        <v>0</v>
      </c>
      <c r="E115" s="12">
        <f t="shared" si="13"/>
        <v>0</v>
      </c>
      <c r="F115" s="13">
        <v>0</v>
      </c>
      <c r="G115" s="12">
        <f t="shared" si="12"/>
        <v>0</v>
      </c>
      <c r="H115" s="14">
        <v>0</v>
      </c>
      <c r="I115" s="21">
        <v>50</v>
      </c>
      <c r="J115" s="16">
        <f t="shared" si="11"/>
        <v>0</v>
      </c>
      <c r="K115" s="17" t="s">
        <v>16</v>
      </c>
      <c r="L115" s="18">
        <v>0</v>
      </c>
      <c r="M115" s="24">
        <f t="shared" si="9"/>
        <v>0</v>
      </c>
    </row>
    <row r="116" spans="1:13" ht="25.5">
      <c r="A116" s="10">
        <v>112</v>
      </c>
      <c r="B116" s="20" t="s">
        <v>128</v>
      </c>
      <c r="C116" s="12">
        <f>+'30'!G116</f>
        <v>0</v>
      </c>
      <c r="D116" s="13">
        <v>0</v>
      </c>
      <c r="E116" s="12">
        <f t="shared" si="13"/>
        <v>0</v>
      </c>
      <c r="F116" s="13">
        <v>0</v>
      </c>
      <c r="G116" s="12">
        <f t="shared" si="12"/>
        <v>0</v>
      </c>
      <c r="H116" s="14">
        <v>0</v>
      </c>
      <c r="I116" s="21">
        <v>50</v>
      </c>
      <c r="J116" s="16">
        <f t="shared" si="11"/>
        <v>0</v>
      </c>
      <c r="K116" s="17" t="s">
        <v>16</v>
      </c>
      <c r="L116" s="18">
        <v>0</v>
      </c>
      <c r="M116" s="24">
        <f t="shared" si="9"/>
        <v>0</v>
      </c>
    </row>
    <row r="117" spans="1:13" ht="25.5">
      <c r="A117" s="10">
        <v>113</v>
      </c>
      <c r="B117" s="20" t="s">
        <v>129</v>
      </c>
      <c r="C117" s="12">
        <f>+'30'!G117</f>
        <v>0</v>
      </c>
      <c r="D117" s="13">
        <v>0</v>
      </c>
      <c r="E117" s="12">
        <f t="shared" si="13"/>
        <v>0</v>
      </c>
      <c r="F117" s="13">
        <v>0</v>
      </c>
      <c r="G117" s="12">
        <f t="shared" si="12"/>
        <v>0</v>
      </c>
      <c r="H117" s="14">
        <v>0</v>
      </c>
      <c r="I117" s="21">
        <v>50</v>
      </c>
      <c r="J117" s="16">
        <f t="shared" si="11"/>
        <v>0</v>
      </c>
      <c r="K117" s="17" t="s">
        <v>16</v>
      </c>
      <c r="L117" s="18">
        <v>0</v>
      </c>
      <c r="M117" s="24">
        <f t="shared" si="9"/>
        <v>0</v>
      </c>
    </row>
    <row r="118" spans="1:13" ht="25.5">
      <c r="A118" s="10">
        <v>114</v>
      </c>
      <c r="B118" s="20" t="s">
        <v>130</v>
      </c>
      <c r="C118" s="12">
        <f>+'30'!G118</f>
        <v>0</v>
      </c>
      <c r="D118" s="13">
        <v>0</v>
      </c>
      <c r="E118" s="12">
        <f t="shared" si="13"/>
        <v>0</v>
      </c>
      <c r="F118" s="13">
        <v>0</v>
      </c>
      <c r="G118" s="12">
        <f t="shared" si="12"/>
        <v>0</v>
      </c>
      <c r="H118" s="14">
        <v>0</v>
      </c>
      <c r="I118" s="21">
        <v>50</v>
      </c>
      <c r="J118" s="16">
        <f t="shared" si="11"/>
        <v>0</v>
      </c>
      <c r="K118" s="17" t="s">
        <v>16</v>
      </c>
      <c r="L118" s="18">
        <v>0</v>
      </c>
      <c r="M118" s="24">
        <f t="shared" si="9"/>
        <v>0</v>
      </c>
    </row>
    <row r="119" spans="1:13" ht="25.5">
      <c r="A119" s="10">
        <v>115</v>
      </c>
      <c r="B119" s="20" t="s">
        <v>131</v>
      </c>
      <c r="C119" s="12">
        <f>+'30'!G119</f>
        <v>0</v>
      </c>
      <c r="D119" s="13">
        <v>0</v>
      </c>
      <c r="E119" s="12">
        <f t="shared" si="13"/>
        <v>0</v>
      </c>
      <c r="F119" s="13">
        <v>0</v>
      </c>
      <c r="G119" s="12">
        <f t="shared" si="12"/>
        <v>0</v>
      </c>
      <c r="H119" s="14">
        <v>0</v>
      </c>
      <c r="I119" s="21">
        <v>50</v>
      </c>
      <c r="J119" s="16">
        <f t="shared" si="11"/>
        <v>0</v>
      </c>
      <c r="K119" s="17" t="s">
        <v>16</v>
      </c>
      <c r="L119" s="18">
        <v>0</v>
      </c>
      <c r="M119" s="24">
        <f t="shared" si="9"/>
        <v>0</v>
      </c>
    </row>
    <row r="120" spans="1:13" ht="25.5">
      <c r="A120" s="10">
        <v>116</v>
      </c>
      <c r="B120" s="20" t="s">
        <v>132</v>
      </c>
      <c r="C120" s="12">
        <f>+'30'!G120</f>
        <v>0</v>
      </c>
      <c r="D120" s="13">
        <v>0</v>
      </c>
      <c r="E120" s="12">
        <f t="shared" si="13"/>
        <v>0</v>
      </c>
      <c r="F120" s="13">
        <v>0</v>
      </c>
      <c r="G120" s="12">
        <f t="shared" si="12"/>
        <v>0</v>
      </c>
      <c r="H120" s="14">
        <v>0</v>
      </c>
      <c r="I120" s="21">
        <v>50</v>
      </c>
      <c r="J120" s="16">
        <f t="shared" si="11"/>
        <v>0</v>
      </c>
      <c r="K120" s="17" t="s">
        <v>16</v>
      </c>
      <c r="L120" s="18">
        <v>0</v>
      </c>
      <c r="M120" s="24">
        <f t="shared" si="9"/>
        <v>0</v>
      </c>
    </row>
    <row r="121" spans="1:13" ht="25.5">
      <c r="A121" s="10">
        <v>117</v>
      </c>
      <c r="B121" s="20" t="s">
        <v>133</v>
      </c>
      <c r="C121" s="12">
        <f>+'30'!G121</f>
        <v>0</v>
      </c>
      <c r="D121" s="13">
        <v>0</v>
      </c>
      <c r="E121" s="12">
        <f t="shared" si="13"/>
        <v>0</v>
      </c>
      <c r="F121" s="13">
        <v>0</v>
      </c>
      <c r="G121" s="12">
        <f t="shared" si="12"/>
        <v>0</v>
      </c>
      <c r="H121" s="14">
        <v>0</v>
      </c>
      <c r="I121" s="21">
        <v>40</v>
      </c>
      <c r="J121" s="16">
        <f t="shared" si="11"/>
        <v>0</v>
      </c>
      <c r="K121" s="17" t="s">
        <v>16</v>
      </c>
      <c r="L121" s="18">
        <v>0</v>
      </c>
      <c r="M121" s="24">
        <f t="shared" si="9"/>
        <v>0</v>
      </c>
    </row>
    <row r="122" spans="1:13" ht="25.5">
      <c r="A122" s="10">
        <v>118</v>
      </c>
      <c r="B122" s="20" t="s">
        <v>134</v>
      </c>
      <c r="C122" s="12">
        <f>+'30'!G122</f>
        <v>0</v>
      </c>
      <c r="D122" s="13">
        <v>0</v>
      </c>
      <c r="E122" s="12">
        <f t="shared" si="13"/>
        <v>0</v>
      </c>
      <c r="F122" s="13">
        <v>0</v>
      </c>
      <c r="G122" s="12">
        <f t="shared" si="12"/>
        <v>0</v>
      </c>
      <c r="H122" s="14">
        <v>0</v>
      </c>
      <c r="I122" s="21">
        <v>35</v>
      </c>
      <c r="J122" s="16">
        <f t="shared" si="11"/>
        <v>0</v>
      </c>
      <c r="K122" s="17" t="s">
        <v>16</v>
      </c>
      <c r="L122" s="18">
        <v>0</v>
      </c>
      <c r="M122" s="24">
        <f t="shared" si="9"/>
        <v>0</v>
      </c>
    </row>
    <row r="123" spans="1:13" ht="25.5">
      <c r="A123" s="10">
        <v>119</v>
      </c>
      <c r="B123" s="20" t="s">
        <v>135</v>
      </c>
      <c r="C123" s="12">
        <f>+'30'!G123</f>
        <v>0</v>
      </c>
      <c r="D123" s="13">
        <v>0</v>
      </c>
      <c r="E123" s="12">
        <f t="shared" si="13"/>
        <v>0</v>
      </c>
      <c r="F123" s="13">
        <v>0</v>
      </c>
      <c r="G123" s="12">
        <f t="shared" si="12"/>
        <v>0</v>
      </c>
      <c r="H123" s="14">
        <v>0</v>
      </c>
      <c r="I123" s="21">
        <v>40</v>
      </c>
      <c r="J123" s="16">
        <f t="shared" si="11"/>
        <v>0</v>
      </c>
      <c r="K123" s="17" t="s">
        <v>16</v>
      </c>
      <c r="L123" s="18">
        <v>0</v>
      </c>
      <c r="M123" s="24">
        <f t="shared" si="9"/>
        <v>0</v>
      </c>
    </row>
    <row r="124" spans="1:13" ht="25.5">
      <c r="A124" s="10">
        <v>120</v>
      </c>
      <c r="B124" s="20" t="s">
        <v>136</v>
      </c>
      <c r="C124" s="12">
        <f>+'30'!G124</f>
        <v>0</v>
      </c>
      <c r="D124" s="13">
        <v>0</v>
      </c>
      <c r="E124" s="12">
        <f t="shared" si="13"/>
        <v>0</v>
      </c>
      <c r="F124" s="13">
        <v>0</v>
      </c>
      <c r="G124" s="12">
        <f t="shared" si="12"/>
        <v>0</v>
      </c>
      <c r="H124" s="14">
        <v>0</v>
      </c>
      <c r="I124" s="21">
        <v>40</v>
      </c>
      <c r="J124" s="16">
        <f t="shared" si="11"/>
        <v>0</v>
      </c>
      <c r="K124" s="17" t="s">
        <v>16</v>
      </c>
      <c r="L124" s="18">
        <v>0</v>
      </c>
      <c r="M124" s="24">
        <f t="shared" si="9"/>
        <v>0</v>
      </c>
    </row>
    <row r="125" spans="1:13" ht="25.5">
      <c r="A125" s="10">
        <v>121</v>
      </c>
      <c r="B125" s="20" t="s">
        <v>137</v>
      </c>
      <c r="C125" s="12">
        <f>+'30'!G125</f>
        <v>0</v>
      </c>
      <c r="D125" s="13">
        <v>0</v>
      </c>
      <c r="E125" s="12">
        <f t="shared" si="13"/>
        <v>0</v>
      </c>
      <c r="F125" s="13">
        <v>0</v>
      </c>
      <c r="G125" s="12">
        <f t="shared" si="12"/>
        <v>0</v>
      </c>
      <c r="H125" s="14">
        <v>0</v>
      </c>
      <c r="I125" s="21">
        <v>30</v>
      </c>
      <c r="J125" s="16">
        <f t="shared" si="11"/>
        <v>0</v>
      </c>
      <c r="K125" s="17" t="s">
        <v>16</v>
      </c>
      <c r="L125" s="18">
        <v>0</v>
      </c>
      <c r="M125" s="24">
        <f t="shared" si="9"/>
        <v>0</v>
      </c>
    </row>
    <row r="126" spans="1:13" ht="25.5">
      <c r="A126" s="10">
        <v>122</v>
      </c>
      <c r="B126" s="20" t="s">
        <v>138</v>
      </c>
      <c r="C126" s="12">
        <f>+'30'!G126</f>
        <v>0</v>
      </c>
      <c r="D126" s="13">
        <v>0</v>
      </c>
      <c r="E126" s="12">
        <f t="shared" si="13"/>
        <v>0</v>
      </c>
      <c r="F126" s="13">
        <v>0</v>
      </c>
      <c r="G126" s="12">
        <f t="shared" si="12"/>
        <v>0</v>
      </c>
      <c r="H126" s="14">
        <v>0</v>
      </c>
      <c r="I126" s="21">
        <v>40</v>
      </c>
      <c r="J126" s="16">
        <f t="shared" si="11"/>
        <v>0</v>
      </c>
      <c r="K126" s="17" t="s">
        <v>16</v>
      </c>
      <c r="L126" s="18">
        <v>0</v>
      </c>
      <c r="M126" s="24">
        <f t="shared" si="9"/>
        <v>0</v>
      </c>
    </row>
    <row r="127" spans="1:13" ht="25.5">
      <c r="A127" s="10">
        <v>123</v>
      </c>
      <c r="B127" s="20" t="s">
        <v>139</v>
      </c>
      <c r="C127" s="12">
        <f>+'30'!G127</f>
        <v>0</v>
      </c>
      <c r="D127" s="13">
        <v>0</v>
      </c>
      <c r="E127" s="12">
        <f t="shared" si="13"/>
        <v>0</v>
      </c>
      <c r="F127" s="13">
        <v>0</v>
      </c>
      <c r="G127" s="12">
        <f t="shared" si="12"/>
        <v>0</v>
      </c>
      <c r="H127" s="14">
        <v>0</v>
      </c>
      <c r="I127" s="21">
        <v>20</v>
      </c>
      <c r="J127" s="16">
        <f t="shared" si="11"/>
        <v>0</v>
      </c>
      <c r="K127" s="17" t="s">
        <v>16</v>
      </c>
      <c r="L127" s="18">
        <v>0</v>
      </c>
      <c r="M127" s="24">
        <f t="shared" si="9"/>
        <v>0</v>
      </c>
    </row>
    <row r="128" spans="1:13" ht="25.5">
      <c r="A128" s="10">
        <v>124</v>
      </c>
      <c r="B128" s="20" t="s">
        <v>140</v>
      </c>
      <c r="C128" s="12">
        <f>+'30'!G128</f>
        <v>0</v>
      </c>
      <c r="D128" s="13">
        <v>0</v>
      </c>
      <c r="E128" s="12">
        <f t="shared" si="13"/>
        <v>0</v>
      </c>
      <c r="F128" s="13">
        <v>0</v>
      </c>
      <c r="G128" s="12">
        <f t="shared" si="12"/>
        <v>0</v>
      </c>
      <c r="H128" s="14">
        <v>0</v>
      </c>
      <c r="I128" s="21">
        <v>35</v>
      </c>
      <c r="J128" s="16">
        <f t="shared" si="11"/>
        <v>0</v>
      </c>
      <c r="K128" s="17" t="s">
        <v>16</v>
      </c>
      <c r="L128" s="18">
        <v>0</v>
      </c>
      <c r="M128" s="24">
        <f t="shared" si="9"/>
        <v>0</v>
      </c>
    </row>
    <row r="129" spans="1:13" ht="25.5">
      <c r="A129" s="10">
        <v>125</v>
      </c>
      <c r="B129" s="20" t="s">
        <v>141</v>
      </c>
      <c r="C129" s="12">
        <f>+'30'!G129</f>
        <v>0</v>
      </c>
      <c r="D129" s="13">
        <v>0</v>
      </c>
      <c r="E129" s="12">
        <f t="shared" si="13"/>
        <v>0</v>
      </c>
      <c r="F129" s="13">
        <v>0</v>
      </c>
      <c r="G129" s="12">
        <f t="shared" si="12"/>
        <v>0</v>
      </c>
      <c r="H129" s="14">
        <v>0</v>
      </c>
      <c r="I129" s="21">
        <v>40</v>
      </c>
      <c r="J129" s="16">
        <f t="shared" si="11"/>
        <v>0</v>
      </c>
      <c r="K129" s="17" t="s">
        <v>16</v>
      </c>
      <c r="L129" s="18">
        <v>0</v>
      </c>
      <c r="M129" s="24">
        <f t="shared" si="9"/>
        <v>0</v>
      </c>
    </row>
    <row r="130" spans="1:13" ht="25.5">
      <c r="A130" s="10">
        <v>126</v>
      </c>
      <c r="B130" s="20" t="s">
        <v>142</v>
      </c>
      <c r="C130" s="12">
        <f>+'30'!G130</f>
        <v>0</v>
      </c>
      <c r="D130" s="13">
        <v>0</v>
      </c>
      <c r="E130" s="12">
        <f t="shared" si="13"/>
        <v>0</v>
      </c>
      <c r="F130" s="13">
        <v>0</v>
      </c>
      <c r="G130" s="12">
        <f t="shared" si="12"/>
        <v>0</v>
      </c>
      <c r="H130" s="14">
        <v>0</v>
      </c>
      <c r="I130" s="21">
        <v>50</v>
      </c>
      <c r="J130" s="16">
        <f t="shared" si="11"/>
        <v>0</v>
      </c>
      <c r="K130" s="17" t="s">
        <v>16</v>
      </c>
      <c r="L130" s="18">
        <v>0</v>
      </c>
      <c r="M130" s="24">
        <f t="shared" si="9"/>
        <v>0</v>
      </c>
    </row>
    <row r="131" spans="1:13" ht="25.5">
      <c r="A131" s="10">
        <v>127</v>
      </c>
      <c r="B131" s="20" t="s">
        <v>143</v>
      </c>
      <c r="C131" s="12">
        <f>+'30'!G131</f>
        <v>0</v>
      </c>
      <c r="D131" s="13">
        <v>0</v>
      </c>
      <c r="E131" s="12">
        <f t="shared" si="13"/>
        <v>0</v>
      </c>
      <c r="F131" s="13">
        <v>0</v>
      </c>
      <c r="G131" s="12">
        <f t="shared" si="12"/>
        <v>0</v>
      </c>
      <c r="H131" s="14">
        <v>0</v>
      </c>
      <c r="I131" s="21">
        <v>55</v>
      </c>
      <c r="J131" s="16">
        <f t="shared" si="11"/>
        <v>0</v>
      </c>
      <c r="K131" s="17" t="s">
        <v>16</v>
      </c>
      <c r="L131" s="18">
        <v>0</v>
      </c>
      <c r="M131" s="24">
        <f t="shared" si="9"/>
        <v>0</v>
      </c>
    </row>
    <row r="132" spans="1:13" ht="25.5">
      <c r="A132" s="10">
        <v>128</v>
      </c>
      <c r="B132" s="20" t="s">
        <v>144</v>
      </c>
      <c r="C132" s="12">
        <f>+'30'!G132</f>
        <v>0</v>
      </c>
      <c r="D132" s="13">
        <v>0</v>
      </c>
      <c r="E132" s="12">
        <f t="shared" si="13"/>
        <v>0</v>
      </c>
      <c r="F132" s="13">
        <v>0</v>
      </c>
      <c r="G132" s="12">
        <f t="shared" si="12"/>
        <v>0</v>
      </c>
      <c r="H132" s="14">
        <v>0</v>
      </c>
      <c r="I132" s="21">
        <v>55</v>
      </c>
      <c r="J132" s="16">
        <f t="shared" si="11"/>
        <v>0</v>
      </c>
      <c r="K132" s="17" t="s">
        <v>16</v>
      </c>
      <c r="L132" s="18">
        <v>0</v>
      </c>
      <c r="M132" s="24">
        <f t="shared" si="9"/>
        <v>0</v>
      </c>
    </row>
    <row r="133" spans="1:13" ht="25.5">
      <c r="A133" s="10">
        <v>129</v>
      </c>
      <c r="B133" s="20" t="s">
        <v>145</v>
      </c>
      <c r="C133" s="12">
        <f>+'30'!G133</f>
        <v>0</v>
      </c>
      <c r="D133" s="13">
        <v>0</v>
      </c>
      <c r="E133" s="12">
        <f t="shared" si="13"/>
        <v>0</v>
      </c>
      <c r="F133" s="13">
        <v>0</v>
      </c>
      <c r="G133" s="12">
        <f t="shared" si="12"/>
        <v>0</v>
      </c>
      <c r="H133" s="14">
        <v>0</v>
      </c>
      <c r="I133" s="21">
        <v>45</v>
      </c>
      <c r="J133" s="16">
        <f t="shared" si="11"/>
        <v>0</v>
      </c>
      <c r="K133" s="17" t="s">
        <v>16</v>
      </c>
      <c r="L133" s="18">
        <v>0</v>
      </c>
      <c r="M133" s="24">
        <f t="shared" si="9"/>
        <v>0</v>
      </c>
    </row>
    <row r="134" spans="1:13" ht="25.5">
      <c r="A134" s="10">
        <v>130</v>
      </c>
      <c r="B134" s="20" t="s">
        <v>146</v>
      </c>
      <c r="C134" s="12">
        <f>+'30'!G134</f>
        <v>0</v>
      </c>
      <c r="D134" s="13">
        <v>0</v>
      </c>
      <c r="E134" s="12">
        <f t="shared" si="13"/>
        <v>0</v>
      </c>
      <c r="F134" s="13">
        <v>0</v>
      </c>
      <c r="G134" s="12">
        <f t="shared" si="12"/>
        <v>0</v>
      </c>
      <c r="H134" s="14">
        <v>0</v>
      </c>
      <c r="I134" s="21">
        <v>45</v>
      </c>
      <c r="J134" s="16">
        <f t="shared" si="11"/>
        <v>0</v>
      </c>
      <c r="K134" s="17" t="s">
        <v>16</v>
      </c>
      <c r="L134" s="18">
        <v>0</v>
      </c>
      <c r="M134" s="24">
        <f t="shared" ref="M134:M197" si="14">SUM(J134-L134)</f>
        <v>0</v>
      </c>
    </row>
    <row r="135" spans="1:13" ht="25.5">
      <c r="A135" s="10">
        <v>131</v>
      </c>
      <c r="B135" s="20" t="s">
        <v>147</v>
      </c>
      <c r="C135" s="12">
        <f>+'30'!G135</f>
        <v>0</v>
      </c>
      <c r="D135" s="13">
        <v>0</v>
      </c>
      <c r="E135" s="12">
        <f t="shared" si="13"/>
        <v>0</v>
      </c>
      <c r="F135" s="13">
        <v>0</v>
      </c>
      <c r="G135" s="12">
        <f t="shared" si="12"/>
        <v>0</v>
      </c>
      <c r="H135" s="14">
        <v>0</v>
      </c>
      <c r="I135" s="21">
        <v>55</v>
      </c>
      <c r="J135" s="16">
        <f t="shared" ref="J135:J198" si="15">+I135*H135</f>
        <v>0</v>
      </c>
      <c r="K135" s="17" t="s">
        <v>16</v>
      </c>
      <c r="L135" s="18">
        <v>0</v>
      </c>
      <c r="M135" s="24">
        <f t="shared" si="14"/>
        <v>0</v>
      </c>
    </row>
    <row r="136" spans="1:13" ht="25.5">
      <c r="A136" s="10">
        <v>132</v>
      </c>
      <c r="B136" s="20" t="s">
        <v>148</v>
      </c>
      <c r="C136" s="12">
        <f>+'30'!G136</f>
        <v>0</v>
      </c>
      <c r="D136" s="13">
        <v>0</v>
      </c>
      <c r="E136" s="12">
        <f t="shared" si="13"/>
        <v>0</v>
      </c>
      <c r="F136" s="13">
        <v>0</v>
      </c>
      <c r="G136" s="12">
        <f t="shared" si="12"/>
        <v>0</v>
      </c>
      <c r="H136" s="14">
        <v>0</v>
      </c>
      <c r="I136" s="21">
        <v>45</v>
      </c>
      <c r="J136" s="16">
        <f t="shared" si="15"/>
        <v>0</v>
      </c>
      <c r="K136" s="17" t="s">
        <v>16</v>
      </c>
      <c r="L136" s="18">
        <v>0</v>
      </c>
      <c r="M136" s="24">
        <f t="shared" si="14"/>
        <v>0</v>
      </c>
    </row>
    <row r="137" spans="1:13" ht="25.5">
      <c r="A137" s="10">
        <v>133</v>
      </c>
      <c r="B137" s="20" t="s">
        <v>149</v>
      </c>
      <c r="C137" s="12">
        <f>+'30'!G137</f>
        <v>0</v>
      </c>
      <c r="D137" s="13">
        <v>0</v>
      </c>
      <c r="E137" s="12">
        <f t="shared" si="13"/>
        <v>0</v>
      </c>
      <c r="F137" s="13">
        <v>0</v>
      </c>
      <c r="G137" s="12">
        <f t="shared" si="12"/>
        <v>0</v>
      </c>
      <c r="H137" s="14">
        <v>0</v>
      </c>
      <c r="I137" s="21">
        <v>45</v>
      </c>
      <c r="J137" s="16">
        <f t="shared" si="15"/>
        <v>0</v>
      </c>
      <c r="K137" s="17" t="s">
        <v>16</v>
      </c>
      <c r="L137" s="18">
        <v>0</v>
      </c>
      <c r="M137" s="24">
        <f t="shared" si="14"/>
        <v>0</v>
      </c>
    </row>
    <row r="138" spans="1:13" ht="25.5">
      <c r="A138" s="10">
        <v>134</v>
      </c>
      <c r="B138" s="20" t="s">
        <v>150</v>
      </c>
      <c r="C138" s="12">
        <f>+'30'!G138</f>
        <v>0</v>
      </c>
      <c r="D138" s="13">
        <v>0</v>
      </c>
      <c r="E138" s="12">
        <f t="shared" si="13"/>
        <v>0</v>
      </c>
      <c r="F138" s="13">
        <v>0</v>
      </c>
      <c r="G138" s="12">
        <f t="shared" si="12"/>
        <v>0</v>
      </c>
      <c r="H138" s="14">
        <v>0</v>
      </c>
      <c r="I138" s="21">
        <v>45</v>
      </c>
      <c r="J138" s="16">
        <f t="shared" si="15"/>
        <v>0</v>
      </c>
      <c r="K138" s="17" t="s">
        <v>16</v>
      </c>
      <c r="L138" s="18">
        <v>0</v>
      </c>
      <c r="M138" s="24">
        <f t="shared" si="14"/>
        <v>0</v>
      </c>
    </row>
    <row r="139" spans="1:13" ht="25.5">
      <c r="A139" s="10">
        <v>135</v>
      </c>
      <c r="B139" s="20" t="s">
        <v>151</v>
      </c>
      <c r="C139" s="12">
        <f>+'30'!G139</f>
        <v>0</v>
      </c>
      <c r="D139" s="13">
        <v>0</v>
      </c>
      <c r="E139" s="12">
        <f t="shared" si="13"/>
        <v>0</v>
      </c>
      <c r="F139" s="13">
        <v>0</v>
      </c>
      <c r="G139" s="12">
        <f t="shared" si="12"/>
        <v>0</v>
      </c>
      <c r="H139" s="14">
        <v>0</v>
      </c>
      <c r="I139" s="21">
        <v>45</v>
      </c>
      <c r="J139" s="16">
        <f t="shared" si="15"/>
        <v>0</v>
      </c>
      <c r="K139" s="17" t="s">
        <v>16</v>
      </c>
      <c r="L139" s="18">
        <v>0</v>
      </c>
      <c r="M139" s="24">
        <f t="shared" si="14"/>
        <v>0</v>
      </c>
    </row>
    <row r="140" spans="1:13" ht="25.5">
      <c r="A140" s="10">
        <v>136</v>
      </c>
      <c r="B140" s="20" t="s">
        <v>152</v>
      </c>
      <c r="C140" s="12">
        <f>+'30'!G140</f>
        <v>0</v>
      </c>
      <c r="D140" s="13">
        <v>0</v>
      </c>
      <c r="E140" s="12">
        <f t="shared" si="13"/>
        <v>0</v>
      </c>
      <c r="F140" s="13">
        <v>0</v>
      </c>
      <c r="G140" s="12">
        <f t="shared" si="12"/>
        <v>0</v>
      </c>
      <c r="H140" s="14">
        <v>0</v>
      </c>
      <c r="I140" s="21">
        <v>45</v>
      </c>
      <c r="J140" s="16">
        <f t="shared" si="15"/>
        <v>0</v>
      </c>
      <c r="K140" s="17" t="s">
        <v>16</v>
      </c>
      <c r="L140" s="18">
        <v>0</v>
      </c>
      <c r="M140" s="24">
        <f t="shared" si="14"/>
        <v>0</v>
      </c>
    </row>
    <row r="141" spans="1:13" ht="25.5">
      <c r="A141" s="10">
        <v>137</v>
      </c>
      <c r="B141" s="20" t="s">
        <v>153</v>
      </c>
      <c r="C141" s="12">
        <f>+'30'!G141</f>
        <v>0</v>
      </c>
      <c r="D141" s="13">
        <v>0</v>
      </c>
      <c r="E141" s="12">
        <f t="shared" si="13"/>
        <v>0</v>
      </c>
      <c r="F141" s="13">
        <v>0</v>
      </c>
      <c r="G141" s="12">
        <f t="shared" si="12"/>
        <v>0</v>
      </c>
      <c r="H141" s="14">
        <v>0</v>
      </c>
      <c r="I141" s="21">
        <v>45</v>
      </c>
      <c r="J141" s="16">
        <f t="shared" si="15"/>
        <v>0</v>
      </c>
      <c r="K141" s="17" t="s">
        <v>16</v>
      </c>
      <c r="L141" s="18">
        <v>0</v>
      </c>
      <c r="M141" s="24">
        <f t="shared" si="14"/>
        <v>0</v>
      </c>
    </row>
    <row r="142" spans="1:13" ht="25.5">
      <c r="A142" s="10">
        <v>138</v>
      </c>
      <c r="B142" s="20" t="s">
        <v>154</v>
      </c>
      <c r="C142" s="12">
        <f>+'30'!G142</f>
        <v>0</v>
      </c>
      <c r="D142" s="13">
        <v>0</v>
      </c>
      <c r="E142" s="12">
        <f t="shared" si="13"/>
        <v>0</v>
      </c>
      <c r="F142" s="13">
        <v>0</v>
      </c>
      <c r="G142" s="12">
        <f t="shared" si="12"/>
        <v>0</v>
      </c>
      <c r="H142" s="14">
        <v>0</v>
      </c>
      <c r="I142" s="21">
        <v>120</v>
      </c>
      <c r="J142" s="16">
        <f t="shared" si="15"/>
        <v>0</v>
      </c>
      <c r="K142" s="17" t="s">
        <v>16</v>
      </c>
      <c r="L142" s="18">
        <v>0</v>
      </c>
      <c r="M142" s="24">
        <f t="shared" si="14"/>
        <v>0</v>
      </c>
    </row>
    <row r="143" spans="1:13" ht="25.5">
      <c r="A143" s="10">
        <v>139</v>
      </c>
      <c r="B143" s="20" t="s">
        <v>155</v>
      </c>
      <c r="C143" s="12">
        <f>+'30'!G143</f>
        <v>0</v>
      </c>
      <c r="D143" s="13">
        <v>0</v>
      </c>
      <c r="E143" s="12">
        <f t="shared" si="13"/>
        <v>0</v>
      </c>
      <c r="F143" s="13">
        <v>0</v>
      </c>
      <c r="G143" s="12">
        <f t="shared" si="12"/>
        <v>0</v>
      </c>
      <c r="H143" s="14">
        <v>0</v>
      </c>
      <c r="I143" s="21">
        <v>120</v>
      </c>
      <c r="J143" s="16">
        <f t="shared" si="15"/>
        <v>0</v>
      </c>
      <c r="K143" s="17" t="s">
        <v>16</v>
      </c>
      <c r="L143" s="18">
        <v>0</v>
      </c>
      <c r="M143" s="24">
        <f t="shared" si="14"/>
        <v>0</v>
      </c>
    </row>
    <row r="144" spans="1:13" ht="25.5">
      <c r="A144" s="10">
        <v>140</v>
      </c>
      <c r="B144" s="20" t="s">
        <v>156</v>
      </c>
      <c r="C144" s="12">
        <f>+'30'!G144</f>
        <v>0</v>
      </c>
      <c r="D144" s="13">
        <v>0</v>
      </c>
      <c r="E144" s="12">
        <f t="shared" si="13"/>
        <v>0</v>
      </c>
      <c r="F144" s="13">
        <v>0</v>
      </c>
      <c r="G144" s="12">
        <f t="shared" si="12"/>
        <v>0</v>
      </c>
      <c r="H144" s="14">
        <v>0</v>
      </c>
      <c r="I144" s="21">
        <v>120</v>
      </c>
      <c r="J144" s="16">
        <f t="shared" si="15"/>
        <v>0</v>
      </c>
      <c r="K144" s="17" t="s">
        <v>16</v>
      </c>
      <c r="L144" s="18">
        <v>0</v>
      </c>
      <c r="M144" s="24">
        <f t="shared" si="14"/>
        <v>0</v>
      </c>
    </row>
    <row r="145" spans="1:13" ht="25.5">
      <c r="A145" s="10">
        <v>141</v>
      </c>
      <c r="B145" s="20" t="s">
        <v>157</v>
      </c>
      <c r="C145" s="12">
        <f>+'30'!G145</f>
        <v>0</v>
      </c>
      <c r="D145" s="13">
        <v>0</v>
      </c>
      <c r="E145" s="12">
        <f t="shared" si="13"/>
        <v>0</v>
      </c>
      <c r="F145" s="13">
        <v>0</v>
      </c>
      <c r="G145" s="12">
        <f t="shared" si="12"/>
        <v>0</v>
      </c>
      <c r="H145" s="14">
        <v>0</v>
      </c>
      <c r="I145" s="21">
        <v>120</v>
      </c>
      <c r="J145" s="16">
        <f t="shared" si="15"/>
        <v>0</v>
      </c>
      <c r="K145" s="17" t="s">
        <v>16</v>
      </c>
      <c r="L145" s="18">
        <v>0</v>
      </c>
      <c r="M145" s="24">
        <f t="shared" si="14"/>
        <v>0</v>
      </c>
    </row>
    <row r="146" spans="1:13" ht="25.5">
      <c r="A146" s="10">
        <v>142</v>
      </c>
      <c r="B146" s="20" t="s">
        <v>158</v>
      </c>
      <c r="C146" s="12">
        <f>+'30'!G146</f>
        <v>0</v>
      </c>
      <c r="D146" s="13">
        <v>0</v>
      </c>
      <c r="E146" s="12">
        <f t="shared" si="13"/>
        <v>0</v>
      </c>
      <c r="F146" s="13">
        <v>0</v>
      </c>
      <c r="G146" s="12">
        <f t="shared" si="12"/>
        <v>0</v>
      </c>
      <c r="H146" s="14">
        <v>0</v>
      </c>
      <c r="I146" s="21">
        <v>185</v>
      </c>
      <c r="J146" s="16">
        <f t="shared" si="15"/>
        <v>0</v>
      </c>
      <c r="K146" s="17" t="s">
        <v>16</v>
      </c>
      <c r="L146" s="18">
        <v>0</v>
      </c>
      <c r="M146" s="24">
        <f t="shared" si="14"/>
        <v>0</v>
      </c>
    </row>
    <row r="147" spans="1:13" ht="25.5">
      <c r="A147" s="10">
        <v>143</v>
      </c>
      <c r="B147" s="20" t="s">
        <v>159</v>
      </c>
      <c r="C147" s="12">
        <f>+'30'!G147</f>
        <v>0</v>
      </c>
      <c r="D147" s="13">
        <v>0</v>
      </c>
      <c r="E147" s="12">
        <f t="shared" si="13"/>
        <v>0</v>
      </c>
      <c r="F147" s="13">
        <v>0</v>
      </c>
      <c r="G147" s="12">
        <f t="shared" si="12"/>
        <v>0</v>
      </c>
      <c r="H147" s="14">
        <v>0</v>
      </c>
      <c r="I147" s="21">
        <v>185</v>
      </c>
      <c r="J147" s="16">
        <f t="shared" si="15"/>
        <v>0</v>
      </c>
      <c r="K147" s="17" t="s">
        <v>16</v>
      </c>
      <c r="L147" s="18">
        <v>0</v>
      </c>
      <c r="M147" s="24">
        <f t="shared" si="14"/>
        <v>0</v>
      </c>
    </row>
    <row r="148" spans="1:13" ht="25.5">
      <c r="A148" s="10">
        <v>144</v>
      </c>
      <c r="B148" s="20" t="s">
        <v>160</v>
      </c>
      <c r="C148" s="12">
        <f>+'30'!G148</f>
        <v>0</v>
      </c>
      <c r="D148" s="13">
        <v>0</v>
      </c>
      <c r="E148" s="12">
        <f t="shared" si="13"/>
        <v>0</v>
      </c>
      <c r="F148" s="13">
        <v>0</v>
      </c>
      <c r="G148" s="12">
        <f t="shared" si="12"/>
        <v>0</v>
      </c>
      <c r="H148" s="14">
        <v>0</v>
      </c>
      <c r="I148" s="21">
        <v>185</v>
      </c>
      <c r="J148" s="16">
        <f t="shared" si="15"/>
        <v>0</v>
      </c>
      <c r="K148" s="17" t="s">
        <v>16</v>
      </c>
      <c r="L148" s="18">
        <v>0</v>
      </c>
      <c r="M148" s="24">
        <f t="shared" si="14"/>
        <v>0</v>
      </c>
    </row>
    <row r="149" spans="1:13" ht="25.5">
      <c r="A149" s="10">
        <v>145</v>
      </c>
      <c r="B149" s="20" t="s">
        <v>161</v>
      </c>
      <c r="C149" s="12">
        <f>+'30'!G149</f>
        <v>0</v>
      </c>
      <c r="D149" s="13">
        <v>0</v>
      </c>
      <c r="E149" s="12">
        <f t="shared" si="13"/>
        <v>0</v>
      </c>
      <c r="F149" s="13">
        <v>0</v>
      </c>
      <c r="G149" s="12">
        <f t="shared" si="12"/>
        <v>0</v>
      </c>
      <c r="H149" s="14">
        <v>0</v>
      </c>
      <c r="I149" s="21">
        <v>185</v>
      </c>
      <c r="J149" s="16">
        <f t="shared" si="15"/>
        <v>0</v>
      </c>
      <c r="K149" s="17" t="s">
        <v>16</v>
      </c>
      <c r="L149" s="18">
        <v>0</v>
      </c>
      <c r="M149" s="24">
        <f t="shared" si="14"/>
        <v>0</v>
      </c>
    </row>
    <row r="150" spans="1:13" ht="25.5">
      <c r="A150" s="10">
        <v>146</v>
      </c>
      <c r="B150" s="20" t="s">
        <v>162</v>
      </c>
      <c r="C150" s="12">
        <f>+'30'!G150</f>
        <v>0</v>
      </c>
      <c r="D150" s="13">
        <v>0</v>
      </c>
      <c r="E150" s="12">
        <f t="shared" si="13"/>
        <v>0</v>
      </c>
      <c r="F150" s="13">
        <v>0</v>
      </c>
      <c r="G150" s="12">
        <f t="shared" si="12"/>
        <v>0</v>
      </c>
      <c r="H150" s="14">
        <v>0</v>
      </c>
      <c r="I150" s="21">
        <v>120</v>
      </c>
      <c r="J150" s="16">
        <f t="shared" si="15"/>
        <v>0</v>
      </c>
      <c r="K150" s="17" t="s">
        <v>16</v>
      </c>
      <c r="L150" s="18">
        <v>0</v>
      </c>
      <c r="M150" s="24">
        <f t="shared" si="14"/>
        <v>0</v>
      </c>
    </row>
    <row r="151" spans="1:13" ht="25.5">
      <c r="A151" s="10">
        <v>147</v>
      </c>
      <c r="B151" s="20" t="s">
        <v>163</v>
      </c>
      <c r="C151" s="12">
        <f>+'30'!G151</f>
        <v>0</v>
      </c>
      <c r="D151" s="13">
        <v>0</v>
      </c>
      <c r="E151" s="12">
        <f t="shared" si="13"/>
        <v>0</v>
      </c>
      <c r="F151" s="13">
        <v>0</v>
      </c>
      <c r="G151" s="12">
        <f t="shared" si="12"/>
        <v>0</v>
      </c>
      <c r="H151" s="14">
        <v>0</v>
      </c>
      <c r="I151" s="21">
        <v>120</v>
      </c>
      <c r="J151" s="16">
        <f t="shared" si="15"/>
        <v>0</v>
      </c>
      <c r="K151" s="17" t="s">
        <v>16</v>
      </c>
      <c r="L151" s="18">
        <v>0</v>
      </c>
      <c r="M151" s="24">
        <f t="shared" si="14"/>
        <v>0</v>
      </c>
    </row>
    <row r="152" spans="1:13" ht="25.5">
      <c r="A152" s="10">
        <v>148</v>
      </c>
      <c r="B152" s="20" t="s">
        <v>164</v>
      </c>
      <c r="C152" s="12">
        <f>+'30'!G152</f>
        <v>0</v>
      </c>
      <c r="D152" s="13">
        <v>0</v>
      </c>
      <c r="E152" s="12">
        <f t="shared" si="13"/>
        <v>0</v>
      </c>
      <c r="F152" s="13">
        <v>0</v>
      </c>
      <c r="G152" s="12">
        <f t="shared" si="12"/>
        <v>0</v>
      </c>
      <c r="H152" s="14">
        <v>0</v>
      </c>
      <c r="I152" s="21">
        <v>120</v>
      </c>
      <c r="J152" s="16">
        <f t="shared" si="15"/>
        <v>0</v>
      </c>
      <c r="K152" s="17" t="s">
        <v>16</v>
      </c>
      <c r="L152" s="18">
        <v>0</v>
      </c>
      <c r="M152" s="24">
        <f t="shared" si="14"/>
        <v>0</v>
      </c>
    </row>
    <row r="153" spans="1:13" ht="25.5">
      <c r="A153" s="10">
        <v>149</v>
      </c>
      <c r="B153" s="20" t="s">
        <v>165</v>
      </c>
      <c r="C153" s="12">
        <f>+'30'!G153</f>
        <v>0</v>
      </c>
      <c r="D153" s="13">
        <v>0</v>
      </c>
      <c r="E153" s="12">
        <f t="shared" si="13"/>
        <v>0</v>
      </c>
      <c r="F153" s="13">
        <v>0</v>
      </c>
      <c r="G153" s="12">
        <f t="shared" si="12"/>
        <v>0</v>
      </c>
      <c r="H153" s="14">
        <v>0</v>
      </c>
      <c r="I153" s="21">
        <v>120</v>
      </c>
      <c r="J153" s="16">
        <f t="shared" si="15"/>
        <v>0</v>
      </c>
      <c r="K153" s="17" t="s">
        <v>16</v>
      </c>
      <c r="L153" s="18">
        <v>0</v>
      </c>
      <c r="M153" s="24">
        <f t="shared" si="14"/>
        <v>0</v>
      </c>
    </row>
    <row r="154" spans="1:13" ht="25.5">
      <c r="A154" s="10">
        <v>150</v>
      </c>
      <c r="B154" s="20" t="s">
        <v>166</v>
      </c>
      <c r="C154" s="12">
        <f>+'30'!G154</f>
        <v>0</v>
      </c>
      <c r="D154" s="13">
        <v>0</v>
      </c>
      <c r="E154" s="12">
        <f t="shared" si="13"/>
        <v>0</v>
      </c>
      <c r="F154" s="13">
        <v>0</v>
      </c>
      <c r="G154" s="12">
        <f t="shared" si="12"/>
        <v>0</v>
      </c>
      <c r="H154" s="14">
        <v>0</v>
      </c>
      <c r="I154" s="21">
        <v>185</v>
      </c>
      <c r="J154" s="16">
        <f t="shared" si="15"/>
        <v>0</v>
      </c>
      <c r="K154" s="17" t="s">
        <v>16</v>
      </c>
      <c r="L154" s="18">
        <v>0</v>
      </c>
      <c r="M154" s="24">
        <f t="shared" si="14"/>
        <v>0</v>
      </c>
    </row>
    <row r="155" spans="1:13" ht="25.5">
      <c r="A155" s="10">
        <v>151</v>
      </c>
      <c r="B155" s="20" t="s">
        <v>167</v>
      </c>
      <c r="C155" s="12">
        <f>+'30'!G155</f>
        <v>0</v>
      </c>
      <c r="D155" s="13">
        <v>0</v>
      </c>
      <c r="E155" s="12">
        <f t="shared" si="13"/>
        <v>0</v>
      </c>
      <c r="F155" s="13">
        <v>0</v>
      </c>
      <c r="G155" s="12">
        <f t="shared" si="12"/>
        <v>0</v>
      </c>
      <c r="H155" s="14">
        <v>0</v>
      </c>
      <c r="I155" s="21">
        <v>185</v>
      </c>
      <c r="J155" s="16">
        <f t="shared" si="15"/>
        <v>0</v>
      </c>
      <c r="K155" s="17" t="s">
        <v>16</v>
      </c>
      <c r="L155" s="18">
        <v>0</v>
      </c>
      <c r="M155" s="24">
        <f t="shared" si="14"/>
        <v>0</v>
      </c>
    </row>
    <row r="156" spans="1:13" ht="25.5">
      <c r="A156" s="10">
        <v>152</v>
      </c>
      <c r="B156" s="20" t="s">
        <v>168</v>
      </c>
      <c r="C156" s="12">
        <f>+'30'!G156</f>
        <v>0</v>
      </c>
      <c r="D156" s="13">
        <v>0</v>
      </c>
      <c r="E156" s="12">
        <f t="shared" si="13"/>
        <v>0</v>
      </c>
      <c r="F156" s="13">
        <v>0</v>
      </c>
      <c r="G156" s="12">
        <f t="shared" si="12"/>
        <v>0</v>
      </c>
      <c r="H156" s="14">
        <v>0</v>
      </c>
      <c r="I156" s="21">
        <v>185</v>
      </c>
      <c r="J156" s="16">
        <f t="shared" si="15"/>
        <v>0</v>
      </c>
      <c r="K156" s="17" t="s">
        <v>16</v>
      </c>
      <c r="L156" s="18">
        <v>0</v>
      </c>
      <c r="M156" s="24">
        <f t="shared" si="14"/>
        <v>0</v>
      </c>
    </row>
    <row r="157" spans="1:13" ht="25.5">
      <c r="A157" s="10">
        <v>153</v>
      </c>
      <c r="B157" s="20" t="s">
        <v>169</v>
      </c>
      <c r="C157" s="12">
        <f>+'30'!G157</f>
        <v>0</v>
      </c>
      <c r="D157" s="13">
        <v>0</v>
      </c>
      <c r="E157" s="12">
        <f t="shared" si="13"/>
        <v>0</v>
      </c>
      <c r="F157" s="13">
        <v>0</v>
      </c>
      <c r="G157" s="12">
        <f t="shared" si="12"/>
        <v>0</v>
      </c>
      <c r="H157" s="14">
        <v>0</v>
      </c>
      <c r="I157" s="21">
        <v>185</v>
      </c>
      <c r="J157" s="16">
        <f t="shared" si="15"/>
        <v>0</v>
      </c>
      <c r="K157" s="17" t="s">
        <v>16</v>
      </c>
      <c r="L157" s="18">
        <v>0</v>
      </c>
      <c r="M157" s="24">
        <f t="shared" si="14"/>
        <v>0</v>
      </c>
    </row>
    <row r="158" spans="1:13" ht="25.5">
      <c r="A158" s="10">
        <v>154</v>
      </c>
      <c r="B158" s="20" t="s">
        <v>170</v>
      </c>
      <c r="C158" s="12">
        <f>+'30'!G158</f>
        <v>0</v>
      </c>
      <c r="D158" s="13">
        <v>0</v>
      </c>
      <c r="E158" s="12">
        <f t="shared" si="13"/>
        <v>0</v>
      </c>
      <c r="F158" s="13">
        <v>0</v>
      </c>
      <c r="G158" s="12">
        <f t="shared" si="12"/>
        <v>0</v>
      </c>
      <c r="H158" s="14">
        <v>0</v>
      </c>
      <c r="I158" s="21">
        <v>135</v>
      </c>
      <c r="J158" s="16">
        <f t="shared" si="15"/>
        <v>0</v>
      </c>
      <c r="K158" s="17" t="s">
        <v>16</v>
      </c>
      <c r="L158" s="18">
        <v>0</v>
      </c>
      <c r="M158" s="24">
        <f t="shared" si="14"/>
        <v>0</v>
      </c>
    </row>
    <row r="159" spans="1:13" ht="25.5">
      <c r="A159" s="10">
        <v>155</v>
      </c>
      <c r="B159" s="20" t="s">
        <v>171</v>
      </c>
      <c r="C159" s="12">
        <f>+'30'!G159</f>
        <v>0</v>
      </c>
      <c r="D159" s="13">
        <v>0</v>
      </c>
      <c r="E159" s="12">
        <f t="shared" si="13"/>
        <v>0</v>
      </c>
      <c r="F159" s="13">
        <v>0</v>
      </c>
      <c r="G159" s="12">
        <f t="shared" ref="G159:G204" si="16">E159-F159-H159</f>
        <v>0</v>
      </c>
      <c r="H159" s="14">
        <v>0</v>
      </c>
      <c r="I159" s="21">
        <v>90</v>
      </c>
      <c r="J159" s="16">
        <f t="shared" si="15"/>
        <v>0</v>
      </c>
      <c r="K159" s="17" t="s">
        <v>16</v>
      </c>
      <c r="L159" s="18">
        <v>0</v>
      </c>
      <c r="M159" s="24">
        <f t="shared" si="14"/>
        <v>0</v>
      </c>
    </row>
    <row r="160" spans="1:13" ht="25.5">
      <c r="A160" s="10">
        <v>156</v>
      </c>
      <c r="B160" s="20" t="s">
        <v>172</v>
      </c>
      <c r="C160" s="12">
        <f>+'30'!G160</f>
        <v>0</v>
      </c>
      <c r="D160" s="13">
        <v>0</v>
      </c>
      <c r="E160" s="12">
        <f t="shared" si="13"/>
        <v>0</v>
      </c>
      <c r="F160" s="13">
        <v>0</v>
      </c>
      <c r="G160" s="12">
        <f t="shared" si="16"/>
        <v>0</v>
      </c>
      <c r="H160" s="14">
        <v>0</v>
      </c>
      <c r="I160" s="21">
        <v>90</v>
      </c>
      <c r="J160" s="16">
        <f t="shared" si="15"/>
        <v>0</v>
      </c>
      <c r="K160" s="17" t="s">
        <v>16</v>
      </c>
      <c r="L160" s="18">
        <v>0</v>
      </c>
      <c r="M160" s="24">
        <f t="shared" si="14"/>
        <v>0</v>
      </c>
    </row>
    <row r="161" spans="1:13" ht="25.5">
      <c r="A161" s="10">
        <v>157</v>
      </c>
      <c r="B161" s="20" t="s">
        <v>173</v>
      </c>
      <c r="C161" s="12">
        <f>+'30'!G161</f>
        <v>0</v>
      </c>
      <c r="D161" s="13">
        <v>0</v>
      </c>
      <c r="E161" s="12">
        <f t="shared" si="13"/>
        <v>0</v>
      </c>
      <c r="F161" s="13">
        <v>0</v>
      </c>
      <c r="G161" s="12">
        <f t="shared" si="16"/>
        <v>0</v>
      </c>
      <c r="H161" s="14">
        <v>0</v>
      </c>
      <c r="I161" s="21">
        <v>90</v>
      </c>
      <c r="J161" s="16">
        <f t="shared" si="15"/>
        <v>0</v>
      </c>
      <c r="K161" s="17" t="s">
        <v>16</v>
      </c>
      <c r="L161" s="18">
        <v>0</v>
      </c>
      <c r="M161" s="24">
        <f t="shared" si="14"/>
        <v>0</v>
      </c>
    </row>
    <row r="162" spans="1:13" ht="25.5">
      <c r="A162" s="10">
        <v>158</v>
      </c>
      <c r="B162" s="20" t="s">
        <v>174</v>
      </c>
      <c r="C162" s="12">
        <f>+'30'!G162</f>
        <v>0</v>
      </c>
      <c r="D162" s="13">
        <v>0</v>
      </c>
      <c r="E162" s="12">
        <f t="shared" si="13"/>
        <v>0</v>
      </c>
      <c r="F162" s="13">
        <v>0</v>
      </c>
      <c r="G162" s="12">
        <f t="shared" si="16"/>
        <v>0</v>
      </c>
      <c r="H162" s="14">
        <v>0</v>
      </c>
      <c r="I162" s="21">
        <v>90</v>
      </c>
      <c r="J162" s="16">
        <f t="shared" si="15"/>
        <v>0</v>
      </c>
      <c r="K162" s="17" t="s">
        <v>16</v>
      </c>
      <c r="L162" s="18">
        <v>0</v>
      </c>
      <c r="M162" s="24">
        <f t="shared" si="14"/>
        <v>0</v>
      </c>
    </row>
    <row r="163" spans="1:13" ht="25.5">
      <c r="A163" s="10">
        <v>159</v>
      </c>
      <c r="B163" s="20" t="s">
        <v>175</v>
      </c>
      <c r="C163" s="12">
        <f>+'30'!G163</f>
        <v>0</v>
      </c>
      <c r="D163" s="13">
        <v>0</v>
      </c>
      <c r="E163" s="12">
        <f t="shared" si="13"/>
        <v>0</v>
      </c>
      <c r="F163" s="13">
        <v>0</v>
      </c>
      <c r="G163" s="12">
        <f t="shared" si="16"/>
        <v>0</v>
      </c>
      <c r="H163" s="14">
        <v>0</v>
      </c>
      <c r="I163" s="21">
        <v>25</v>
      </c>
      <c r="J163" s="16">
        <f t="shared" si="15"/>
        <v>0</v>
      </c>
      <c r="K163" s="17" t="s">
        <v>16</v>
      </c>
      <c r="L163" s="18">
        <v>0</v>
      </c>
      <c r="M163" s="24">
        <f t="shared" si="14"/>
        <v>0</v>
      </c>
    </row>
    <row r="164" spans="1:13" ht="25.5">
      <c r="A164" s="10">
        <v>160</v>
      </c>
      <c r="B164" s="20" t="s">
        <v>176</v>
      </c>
      <c r="C164" s="12">
        <f>+'30'!G164</f>
        <v>0</v>
      </c>
      <c r="D164" s="13">
        <v>0</v>
      </c>
      <c r="E164" s="12">
        <f t="shared" si="13"/>
        <v>0</v>
      </c>
      <c r="F164" s="13">
        <v>0</v>
      </c>
      <c r="G164" s="12">
        <f t="shared" si="16"/>
        <v>0</v>
      </c>
      <c r="H164" s="14">
        <v>0</v>
      </c>
      <c r="I164" s="21">
        <v>50</v>
      </c>
      <c r="J164" s="16">
        <f t="shared" si="15"/>
        <v>0</v>
      </c>
      <c r="K164" s="17" t="s">
        <v>16</v>
      </c>
      <c r="L164" s="18">
        <v>0</v>
      </c>
      <c r="M164" s="24">
        <f t="shared" si="14"/>
        <v>0</v>
      </c>
    </row>
    <row r="165" spans="1:13" ht="25.5">
      <c r="A165" s="10">
        <v>161</v>
      </c>
      <c r="B165" s="20" t="s">
        <v>177</v>
      </c>
      <c r="C165" s="12">
        <f>+'30'!G165</f>
        <v>0</v>
      </c>
      <c r="D165" s="13">
        <v>0</v>
      </c>
      <c r="E165" s="12">
        <f t="shared" si="13"/>
        <v>0</v>
      </c>
      <c r="F165" s="13">
        <v>0</v>
      </c>
      <c r="G165" s="12">
        <f t="shared" si="16"/>
        <v>0</v>
      </c>
      <c r="H165" s="14">
        <v>0</v>
      </c>
      <c r="I165" s="21">
        <v>50</v>
      </c>
      <c r="J165" s="16">
        <f t="shared" si="15"/>
        <v>0</v>
      </c>
      <c r="K165" s="17" t="s">
        <v>16</v>
      </c>
      <c r="L165" s="18">
        <v>0</v>
      </c>
      <c r="M165" s="24">
        <f t="shared" si="14"/>
        <v>0</v>
      </c>
    </row>
    <row r="166" spans="1:13" ht="25.5">
      <c r="A166" s="10">
        <v>162</v>
      </c>
      <c r="B166" s="20" t="s">
        <v>178</v>
      </c>
      <c r="C166" s="12">
        <f>+'30'!G166</f>
        <v>0</v>
      </c>
      <c r="D166" s="13">
        <v>0</v>
      </c>
      <c r="E166" s="12">
        <f t="shared" si="13"/>
        <v>0</v>
      </c>
      <c r="F166" s="13">
        <v>0</v>
      </c>
      <c r="G166" s="12">
        <f t="shared" si="16"/>
        <v>0</v>
      </c>
      <c r="H166" s="14">
        <v>0</v>
      </c>
      <c r="I166" s="21">
        <v>50</v>
      </c>
      <c r="J166" s="16">
        <f t="shared" si="15"/>
        <v>0</v>
      </c>
      <c r="K166" s="17" t="s">
        <v>16</v>
      </c>
      <c r="L166" s="18">
        <v>0</v>
      </c>
      <c r="M166" s="24">
        <f t="shared" si="14"/>
        <v>0</v>
      </c>
    </row>
    <row r="167" spans="1:13" ht="25.5">
      <c r="A167" s="10">
        <v>163</v>
      </c>
      <c r="B167" s="20" t="s">
        <v>179</v>
      </c>
      <c r="C167" s="12">
        <f>+'30'!G167</f>
        <v>0</v>
      </c>
      <c r="D167" s="13">
        <v>0</v>
      </c>
      <c r="E167" s="12">
        <f t="shared" si="13"/>
        <v>0</v>
      </c>
      <c r="F167" s="13">
        <v>0</v>
      </c>
      <c r="G167" s="12">
        <f t="shared" si="16"/>
        <v>0</v>
      </c>
      <c r="H167" s="14">
        <v>0</v>
      </c>
      <c r="I167" s="21">
        <v>50</v>
      </c>
      <c r="J167" s="16">
        <f t="shared" si="15"/>
        <v>0</v>
      </c>
      <c r="K167" s="17" t="s">
        <v>16</v>
      </c>
      <c r="L167" s="18">
        <v>0</v>
      </c>
      <c r="M167" s="24">
        <f t="shared" si="14"/>
        <v>0</v>
      </c>
    </row>
    <row r="168" spans="1:13" ht="25.5">
      <c r="A168" s="10">
        <v>164</v>
      </c>
      <c r="B168" s="20" t="s">
        <v>180</v>
      </c>
      <c r="C168" s="12">
        <f>+'30'!G168</f>
        <v>8</v>
      </c>
      <c r="D168" s="13">
        <v>0</v>
      </c>
      <c r="E168" s="12">
        <f t="shared" si="13"/>
        <v>8</v>
      </c>
      <c r="F168" s="13">
        <v>0</v>
      </c>
      <c r="G168" s="12">
        <f t="shared" si="16"/>
        <v>8</v>
      </c>
      <c r="H168" s="14">
        <v>0</v>
      </c>
      <c r="I168" s="21">
        <v>55</v>
      </c>
      <c r="J168" s="16">
        <f t="shared" si="15"/>
        <v>0</v>
      </c>
      <c r="K168" s="17" t="s">
        <v>16</v>
      </c>
      <c r="L168" s="18">
        <v>0</v>
      </c>
      <c r="M168" s="24">
        <f t="shared" si="14"/>
        <v>0</v>
      </c>
    </row>
    <row r="169" spans="1:13" ht="25.5">
      <c r="A169" s="10">
        <v>165</v>
      </c>
      <c r="B169" s="20" t="s">
        <v>181</v>
      </c>
      <c r="C169" s="12">
        <f>+'30'!G169</f>
        <v>14</v>
      </c>
      <c r="D169" s="13">
        <v>0</v>
      </c>
      <c r="E169" s="12">
        <f t="shared" si="13"/>
        <v>14</v>
      </c>
      <c r="F169" s="13">
        <v>0</v>
      </c>
      <c r="G169" s="12">
        <f t="shared" si="16"/>
        <v>14</v>
      </c>
      <c r="H169" s="14">
        <v>0</v>
      </c>
      <c r="I169" s="21">
        <v>85</v>
      </c>
      <c r="J169" s="16">
        <f t="shared" si="15"/>
        <v>0</v>
      </c>
      <c r="K169" s="17" t="s">
        <v>16</v>
      </c>
      <c r="L169" s="18">
        <v>0</v>
      </c>
      <c r="M169" s="24">
        <f t="shared" si="14"/>
        <v>0</v>
      </c>
    </row>
    <row r="170" spans="1:13" ht="25.5">
      <c r="A170" s="10">
        <v>166</v>
      </c>
      <c r="B170" s="20" t="s">
        <v>182</v>
      </c>
      <c r="C170" s="12">
        <f>+'30'!G170</f>
        <v>0</v>
      </c>
      <c r="D170" s="13">
        <v>0</v>
      </c>
      <c r="E170" s="12">
        <f t="shared" si="13"/>
        <v>0</v>
      </c>
      <c r="F170" s="13">
        <v>0</v>
      </c>
      <c r="G170" s="12">
        <f t="shared" si="16"/>
        <v>0</v>
      </c>
      <c r="H170" s="14">
        <v>0</v>
      </c>
      <c r="I170" s="21">
        <v>80</v>
      </c>
      <c r="J170" s="16">
        <f t="shared" si="15"/>
        <v>0</v>
      </c>
      <c r="K170" s="17" t="s">
        <v>16</v>
      </c>
      <c r="L170" s="18">
        <v>0</v>
      </c>
      <c r="M170" s="24">
        <f t="shared" si="14"/>
        <v>0</v>
      </c>
    </row>
    <row r="171" spans="1:13" ht="25.5">
      <c r="A171" s="10">
        <v>167</v>
      </c>
      <c r="B171" s="20" t="s">
        <v>225</v>
      </c>
      <c r="C171" s="12">
        <f>+'30'!G171</f>
        <v>1</v>
      </c>
      <c r="D171" s="13">
        <v>0</v>
      </c>
      <c r="E171" s="12">
        <f t="shared" si="13"/>
        <v>1</v>
      </c>
      <c r="F171" s="13">
        <v>0</v>
      </c>
      <c r="G171" s="12">
        <f t="shared" si="16"/>
        <v>1</v>
      </c>
      <c r="H171" s="14">
        <v>0</v>
      </c>
      <c r="I171" s="21">
        <v>40</v>
      </c>
      <c r="J171" s="16">
        <f t="shared" si="15"/>
        <v>0</v>
      </c>
      <c r="K171" s="17" t="s">
        <v>16</v>
      </c>
      <c r="L171" s="18">
        <v>0</v>
      </c>
      <c r="M171" s="24">
        <f t="shared" si="14"/>
        <v>0</v>
      </c>
    </row>
    <row r="172" spans="1:13" ht="25.5">
      <c r="A172" s="10">
        <v>168</v>
      </c>
      <c r="B172" s="20" t="s">
        <v>183</v>
      </c>
      <c r="C172" s="12">
        <f>+'30'!G172</f>
        <v>0</v>
      </c>
      <c r="D172" s="13">
        <v>0</v>
      </c>
      <c r="E172" s="12">
        <f t="shared" si="13"/>
        <v>0</v>
      </c>
      <c r="F172" s="13">
        <v>0</v>
      </c>
      <c r="G172" s="12">
        <f t="shared" si="16"/>
        <v>0</v>
      </c>
      <c r="H172" s="14">
        <v>0</v>
      </c>
      <c r="I172" s="21">
        <v>120</v>
      </c>
      <c r="J172" s="16">
        <f t="shared" si="15"/>
        <v>0</v>
      </c>
      <c r="K172" s="17" t="s">
        <v>16</v>
      </c>
      <c r="L172" s="18">
        <v>0</v>
      </c>
      <c r="M172" s="24">
        <f t="shared" si="14"/>
        <v>0</v>
      </c>
    </row>
    <row r="173" spans="1:13" ht="25.5">
      <c r="A173" s="10">
        <v>169</v>
      </c>
      <c r="B173" s="20" t="s">
        <v>184</v>
      </c>
      <c r="C173" s="12">
        <f>+'30'!G173</f>
        <v>0</v>
      </c>
      <c r="D173" s="13">
        <v>0</v>
      </c>
      <c r="E173" s="12">
        <f t="shared" si="13"/>
        <v>0</v>
      </c>
      <c r="F173" s="13">
        <v>0</v>
      </c>
      <c r="G173" s="12">
        <f t="shared" si="16"/>
        <v>0</v>
      </c>
      <c r="H173" s="14">
        <v>0</v>
      </c>
      <c r="I173" s="21">
        <v>120</v>
      </c>
      <c r="J173" s="16">
        <f t="shared" si="15"/>
        <v>0</v>
      </c>
      <c r="K173" s="17" t="s">
        <v>16</v>
      </c>
      <c r="L173" s="18">
        <v>0</v>
      </c>
      <c r="M173" s="24">
        <f t="shared" si="14"/>
        <v>0</v>
      </c>
    </row>
    <row r="174" spans="1:13" ht="25.5">
      <c r="A174" s="10">
        <v>170</v>
      </c>
      <c r="B174" s="20" t="s">
        <v>185</v>
      </c>
      <c r="C174" s="12">
        <f>+'30'!G174</f>
        <v>0</v>
      </c>
      <c r="D174" s="13">
        <v>0</v>
      </c>
      <c r="E174" s="12">
        <f t="shared" si="13"/>
        <v>0</v>
      </c>
      <c r="F174" s="13">
        <v>0</v>
      </c>
      <c r="G174" s="12">
        <f t="shared" si="16"/>
        <v>0</v>
      </c>
      <c r="H174" s="14">
        <v>0</v>
      </c>
      <c r="I174" s="21">
        <v>55</v>
      </c>
      <c r="J174" s="16">
        <f t="shared" si="15"/>
        <v>0</v>
      </c>
      <c r="K174" s="17" t="s">
        <v>16</v>
      </c>
      <c r="L174" s="18">
        <v>0</v>
      </c>
      <c r="M174" s="24">
        <f t="shared" si="14"/>
        <v>0</v>
      </c>
    </row>
    <row r="175" spans="1:13" ht="25.5">
      <c r="A175" s="10">
        <v>171</v>
      </c>
      <c r="B175" s="20" t="s">
        <v>186</v>
      </c>
      <c r="C175" s="12">
        <f>+'30'!G175</f>
        <v>0</v>
      </c>
      <c r="D175" s="13">
        <v>0</v>
      </c>
      <c r="E175" s="12">
        <f t="shared" si="13"/>
        <v>0</v>
      </c>
      <c r="F175" s="13">
        <v>0</v>
      </c>
      <c r="G175" s="12">
        <f t="shared" si="16"/>
        <v>0</v>
      </c>
      <c r="H175" s="14">
        <v>0</v>
      </c>
      <c r="I175" s="21">
        <v>50</v>
      </c>
      <c r="J175" s="16">
        <f t="shared" si="15"/>
        <v>0</v>
      </c>
      <c r="K175" s="17" t="s">
        <v>16</v>
      </c>
      <c r="L175" s="18">
        <v>0</v>
      </c>
      <c r="M175" s="24">
        <f t="shared" si="14"/>
        <v>0</v>
      </c>
    </row>
    <row r="176" spans="1:13" ht="25.5">
      <c r="A176" s="10">
        <v>172</v>
      </c>
      <c r="B176" s="20" t="s">
        <v>187</v>
      </c>
      <c r="C176" s="12">
        <f>+'30'!G176</f>
        <v>0</v>
      </c>
      <c r="D176" s="13">
        <v>0</v>
      </c>
      <c r="E176" s="12">
        <f t="shared" si="13"/>
        <v>0</v>
      </c>
      <c r="F176" s="13">
        <v>0</v>
      </c>
      <c r="G176" s="12">
        <f t="shared" si="16"/>
        <v>0</v>
      </c>
      <c r="H176" s="14">
        <v>0</v>
      </c>
      <c r="I176" s="21">
        <v>50</v>
      </c>
      <c r="J176" s="16">
        <f t="shared" si="15"/>
        <v>0</v>
      </c>
      <c r="K176" s="17" t="s">
        <v>16</v>
      </c>
      <c r="L176" s="18">
        <v>0</v>
      </c>
      <c r="M176" s="24">
        <f t="shared" si="14"/>
        <v>0</v>
      </c>
    </row>
    <row r="177" spans="1:13" ht="25.5">
      <c r="A177" s="10">
        <v>173</v>
      </c>
      <c r="B177" s="20" t="s">
        <v>188</v>
      </c>
      <c r="C177" s="12">
        <f>+'30'!G177</f>
        <v>0</v>
      </c>
      <c r="D177" s="13">
        <v>0</v>
      </c>
      <c r="E177" s="12">
        <f t="shared" si="13"/>
        <v>0</v>
      </c>
      <c r="F177" s="13">
        <v>0</v>
      </c>
      <c r="G177" s="12">
        <f t="shared" si="16"/>
        <v>0</v>
      </c>
      <c r="H177" s="14">
        <v>0</v>
      </c>
      <c r="I177" s="21">
        <v>120</v>
      </c>
      <c r="J177" s="16">
        <f t="shared" si="15"/>
        <v>0</v>
      </c>
      <c r="K177" s="17" t="s">
        <v>16</v>
      </c>
      <c r="L177" s="18">
        <v>0</v>
      </c>
      <c r="M177" s="24">
        <f t="shared" si="14"/>
        <v>0</v>
      </c>
    </row>
    <row r="178" spans="1:13" ht="25.5">
      <c r="A178" s="10">
        <v>174</v>
      </c>
      <c r="B178" s="20" t="s">
        <v>189</v>
      </c>
      <c r="C178" s="12">
        <f>+'30'!G178</f>
        <v>5</v>
      </c>
      <c r="D178" s="13">
        <v>0</v>
      </c>
      <c r="E178" s="12">
        <f t="shared" si="13"/>
        <v>5</v>
      </c>
      <c r="F178" s="13">
        <v>0</v>
      </c>
      <c r="G178" s="12">
        <f t="shared" si="16"/>
        <v>5</v>
      </c>
      <c r="H178" s="14">
        <v>0</v>
      </c>
      <c r="I178" s="21">
        <v>120</v>
      </c>
      <c r="J178" s="16">
        <f t="shared" si="15"/>
        <v>0</v>
      </c>
      <c r="K178" s="17" t="s">
        <v>16</v>
      </c>
      <c r="L178" s="18">
        <v>0</v>
      </c>
      <c r="M178" s="24">
        <f t="shared" si="14"/>
        <v>0</v>
      </c>
    </row>
    <row r="179" spans="1:13" ht="25.5">
      <c r="A179" s="10">
        <v>175</v>
      </c>
      <c r="B179" s="20" t="s">
        <v>190</v>
      </c>
      <c r="C179" s="12">
        <f>+'30'!G179</f>
        <v>0</v>
      </c>
      <c r="D179" s="13">
        <v>0</v>
      </c>
      <c r="E179" s="12">
        <f t="shared" si="13"/>
        <v>0</v>
      </c>
      <c r="F179" s="13">
        <v>0</v>
      </c>
      <c r="G179" s="12">
        <f t="shared" si="16"/>
        <v>0</v>
      </c>
      <c r="H179" s="14">
        <v>0</v>
      </c>
      <c r="I179" s="21">
        <v>10</v>
      </c>
      <c r="J179" s="16">
        <f t="shared" si="15"/>
        <v>0</v>
      </c>
      <c r="K179" s="17" t="s">
        <v>16</v>
      </c>
      <c r="L179" s="18">
        <v>0</v>
      </c>
      <c r="M179" s="24">
        <f t="shared" si="14"/>
        <v>0</v>
      </c>
    </row>
    <row r="180" spans="1:13" ht="25.5">
      <c r="A180" s="10">
        <v>176</v>
      </c>
      <c r="B180" s="20" t="s">
        <v>191</v>
      </c>
      <c r="C180" s="12">
        <f>+'30'!G180</f>
        <v>0</v>
      </c>
      <c r="D180" s="13">
        <v>0</v>
      </c>
      <c r="E180" s="12">
        <f t="shared" si="13"/>
        <v>0</v>
      </c>
      <c r="F180" s="13">
        <v>0</v>
      </c>
      <c r="G180" s="12">
        <f t="shared" si="16"/>
        <v>0</v>
      </c>
      <c r="H180" s="14">
        <v>0</v>
      </c>
      <c r="I180" s="21">
        <v>35</v>
      </c>
      <c r="J180" s="16">
        <f t="shared" si="15"/>
        <v>0</v>
      </c>
      <c r="K180" s="17" t="s">
        <v>16</v>
      </c>
      <c r="L180" s="18">
        <v>0</v>
      </c>
      <c r="M180" s="24">
        <f t="shared" si="14"/>
        <v>0</v>
      </c>
    </row>
    <row r="181" spans="1:13" ht="25.5">
      <c r="A181" s="10">
        <v>177</v>
      </c>
      <c r="B181" s="20" t="s">
        <v>192</v>
      </c>
      <c r="C181" s="12">
        <f>+'30'!G181</f>
        <v>0</v>
      </c>
      <c r="D181" s="13">
        <v>0</v>
      </c>
      <c r="E181" s="12">
        <f t="shared" si="13"/>
        <v>0</v>
      </c>
      <c r="F181" s="13">
        <v>0</v>
      </c>
      <c r="G181" s="12">
        <f t="shared" si="16"/>
        <v>0</v>
      </c>
      <c r="H181" s="14">
        <v>0</v>
      </c>
      <c r="I181" s="21">
        <v>10</v>
      </c>
      <c r="J181" s="16">
        <f t="shared" si="15"/>
        <v>0</v>
      </c>
      <c r="K181" s="17" t="s">
        <v>16</v>
      </c>
      <c r="L181" s="18">
        <v>0</v>
      </c>
      <c r="M181" s="24">
        <f t="shared" si="14"/>
        <v>0</v>
      </c>
    </row>
    <row r="182" spans="1:13" ht="25.5">
      <c r="A182" s="10">
        <v>178</v>
      </c>
      <c r="B182" s="20" t="s">
        <v>193</v>
      </c>
      <c r="C182" s="12">
        <f>+'30'!G182</f>
        <v>0</v>
      </c>
      <c r="D182" s="13">
        <v>0</v>
      </c>
      <c r="E182" s="12">
        <f t="shared" si="13"/>
        <v>0</v>
      </c>
      <c r="F182" s="13">
        <v>0</v>
      </c>
      <c r="G182" s="12">
        <f t="shared" si="16"/>
        <v>0</v>
      </c>
      <c r="H182" s="14">
        <v>0</v>
      </c>
      <c r="I182" s="21">
        <v>10</v>
      </c>
      <c r="J182" s="16">
        <f t="shared" si="15"/>
        <v>0</v>
      </c>
      <c r="K182" s="17" t="s">
        <v>16</v>
      </c>
      <c r="L182" s="18">
        <v>0</v>
      </c>
      <c r="M182" s="24">
        <f t="shared" si="14"/>
        <v>0</v>
      </c>
    </row>
    <row r="183" spans="1:13" ht="25.5">
      <c r="A183" s="10">
        <v>179</v>
      </c>
      <c r="B183" s="20" t="s">
        <v>194</v>
      </c>
      <c r="C183" s="12">
        <f>+'30'!G183</f>
        <v>0</v>
      </c>
      <c r="D183" s="13">
        <v>0</v>
      </c>
      <c r="E183" s="12">
        <f t="shared" si="13"/>
        <v>0</v>
      </c>
      <c r="F183" s="13">
        <v>0</v>
      </c>
      <c r="G183" s="12">
        <f t="shared" si="16"/>
        <v>0</v>
      </c>
      <c r="H183" s="14">
        <v>0</v>
      </c>
      <c r="I183" s="21">
        <v>10</v>
      </c>
      <c r="J183" s="16">
        <f t="shared" si="15"/>
        <v>0</v>
      </c>
      <c r="K183" s="17" t="s">
        <v>16</v>
      </c>
      <c r="L183" s="18">
        <v>0</v>
      </c>
      <c r="M183" s="24">
        <f t="shared" si="14"/>
        <v>0</v>
      </c>
    </row>
    <row r="184" spans="1:13" ht="25.5">
      <c r="A184" s="10">
        <v>180</v>
      </c>
      <c r="B184" s="20" t="s">
        <v>195</v>
      </c>
      <c r="C184" s="12">
        <f>+'30'!G184</f>
        <v>0</v>
      </c>
      <c r="D184" s="13">
        <v>0</v>
      </c>
      <c r="E184" s="12">
        <f t="shared" si="13"/>
        <v>0</v>
      </c>
      <c r="F184" s="13">
        <v>0</v>
      </c>
      <c r="G184" s="12">
        <f t="shared" si="16"/>
        <v>0</v>
      </c>
      <c r="H184" s="14">
        <v>0</v>
      </c>
      <c r="I184" s="21">
        <v>10</v>
      </c>
      <c r="J184" s="16">
        <f t="shared" si="15"/>
        <v>0</v>
      </c>
      <c r="K184" s="17" t="s">
        <v>16</v>
      </c>
      <c r="L184" s="18">
        <v>0</v>
      </c>
      <c r="M184" s="24">
        <f t="shared" si="14"/>
        <v>0</v>
      </c>
    </row>
    <row r="185" spans="1:13" ht="25.5">
      <c r="A185" s="10">
        <v>181</v>
      </c>
      <c r="B185" s="20" t="s">
        <v>196</v>
      </c>
      <c r="C185" s="12">
        <f>+'30'!G185</f>
        <v>0</v>
      </c>
      <c r="D185" s="13">
        <v>0</v>
      </c>
      <c r="E185" s="12">
        <f t="shared" si="13"/>
        <v>0</v>
      </c>
      <c r="F185" s="13">
        <v>0</v>
      </c>
      <c r="G185" s="12">
        <f t="shared" si="16"/>
        <v>0</v>
      </c>
      <c r="H185" s="14">
        <v>0</v>
      </c>
      <c r="I185" s="21">
        <v>10</v>
      </c>
      <c r="J185" s="16">
        <f t="shared" si="15"/>
        <v>0</v>
      </c>
      <c r="K185" s="17" t="s">
        <v>16</v>
      </c>
      <c r="L185" s="18">
        <v>0</v>
      </c>
      <c r="M185" s="24">
        <f t="shared" si="14"/>
        <v>0</v>
      </c>
    </row>
    <row r="186" spans="1:13" ht="25.5">
      <c r="A186" s="10">
        <v>182</v>
      </c>
      <c r="B186" s="20" t="s">
        <v>197</v>
      </c>
      <c r="C186" s="12">
        <f>+'30'!G186</f>
        <v>0</v>
      </c>
      <c r="D186" s="13">
        <v>0</v>
      </c>
      <c r="E186" s="12">
        <f t="shared" si="13"/>
        <v>0</v>
      </c>
      <c r="F186" s="13">
        <v>0</v>
      </c>
      <c r="G186" s="12">
        <f t="shared" si="16"/>
        <v>0</v>
      </c>
      <c r="H186" s="14">
        <v>0</v>
      </c>
      <c r="I186" s="21">
        <v>25</v>
      </c>
      <c r="J186" s="16">
        <f t="shared" si="15"/>
        <v>0</v>
      </c>
      <c r="K186" s="17" t="s">
        <v>16</v>
      </c>
      <c r="L186" s="18">
        <v>0</v>
      </c>
      <c r="M186" s="24">
        <f t="shared" si="14"/>
        <v>0</v>
      </c>
    </row>
    <row r="187" spans="1:13" ht="25.5">
      <c r="A187" s="10">
        <v>183</v>
      </c>
      <c r="B187" s="20" t="s">
        <v>198</v>
      </c>
      <c r="C187" s="12">
        <f>+'30'!G187</f>
        <v>0</v>
      </c>
      <c r="D187" s="13">
        <v>0</v>
      </c>
      <c r="E187" s="12">
        <f t="shared" si="13"/>
        <v>0</v>
      </c>
      <c r="F187" s="13">
        <v>0</v>
      </c>
      <c r="G187" s="12">
        <f t="shared" si="16"/>
        <v>0</v>
      </c>
      <c r="H187" s="14">
        <v>0</v>
      </c>
      <c r="I187" s="15">
        <v>50</v>
      </c>
      <c r="J187" s="16">
        <f t="shared" si="15"/>
        <v>0</v>
      </c>
      <c r="K187" s="17" t="s">
        <v>16</v>
      </c>
      <c r="L187" s="18">
        <v>0</v>
      </c>
      <c r="M187" s="24">
        <f t="shared" si="14"/>
        <v>0</v>
      </c>
    </row>
    <row r="188" spans="1:13" ht="25.5">
      <c r="A188" s="10">
        <v>184</v>
      </c>
      <c r="B188" s="20" t="s">
        <v>199</v>
      </c>
      <c r="C188" s="12">
        <f>+'30'!G188</f>
        <v>0</v>
      </c>
      <c r="D188" s="13">
        <v>0</v>
      </c>
      <c r="E188" s="12">
        <f t="shared" si="13"/>
        <v>0</v>
      </c>
      <c r="F188" s="13">
        <v>0</v>
      </c>
      <c r="G188" s="12">
        <f t="shared" si="16"/>
        <v>0</v>
      </c>
      <c r="H188" s="14">
        <v>0</v>
      </c>
      <c r="I188" s="15">
        <v>10</v>
      </c>
      <c r="J188" s="16">
        <f t="shared" si="15"/>
        <v>0</v>
      </c>
      <c r="K188" s="17" t="s">
        <v>16</v>
      </c>
      <c r="L188" s="18">
        <v>0</v>
      </c>
      <c r="M188" s="24">
        <f t="shared" si="14"/>
        <v>0</v>
      </c>
    </row>
    <row r="189" spans="1:13" ht="25.5">
      <c r="A189" s="10">
        <v>185</v>
      </c>
      <c r="B189" s="20" t="s">
        <v>200</v>
      </c>
      <c r="C189" s="12">
        <f>+'30'!G189</f>
        <v>0</v>
      </c>
      <c r="D189" s="13">
        <v>0</v>
      </c>
      <c r="E189" s="12">
        <f t="shared" si="13"/>
        <v>0</v>
      </c>
      <c r="F189" s="13">
        <v>0</v>
      </c>
      <c r="G189" s="12">
        <f t="shared" si="16"/>
        <v>0</v>
      </c>
      <c r="H189" s="14">
        <v>0</v>
      </c>
      <c r="I189" s="15">
        <v>15</v>
      </c>
      <c r="J189" s="16">
        <f t="shared" si="15"/>
        <v>0</v>
      </c>
      <c r="K189" s="17" t="s">
        <v>16</v>
      </c>
      <c r="L189" s="18">
        <v>0</v>
      </c>
      <c r="M189" s="24">
        <f t="shared" si="14"/>
        <v>0</v>
      </c>
    </row>
    <row r="190" spans="1:13" ht="25.5">
      <c r="A190" s="10">
        <v>186</v>
      </c>
      <c r="B190" s="20" t="s">
        <v>201</v>
      </c>
      <c r="C190" s="12">
        <f>+'30'!G190</f>
        <v>0</v>
      </c>
      <c r="D190" s="13">
        <v>0</v>
      </c>
      <c r="E190" s="12">
        <f t="shared" si="13"/>
        <v>0</v>
      </c>
      <c r="F190" s="13">
        <v>0</v>
      </c>
      <c r="G190" s="12">
        <f t="shared" si="16"/>
        <v>0</v>
      </c>
      <c r="H190" s="14">
        <v>0</v>
      </c>
      <c r="I190" s="15">
        <v>50</v>
      </c>
      <c r="J190" s="16">
        <f t="shared" si="15"/>
        <v>0</v>
      </c>
      <c r="K190" s="17" t="s">
        <v>16</v>
      </c>
      <c r="L190" s="18">
        <v>0</v>
      </c>
      <c r="M190" s="24">
        <f t="shared" si="14"/>
        <v>0</v>
      </c>
    </row>
    <row r="191" spans="1:13" ht="25.5">
      <c r="A191" s="10">
        <v>187</v>
      </c>
      <c r="B191" s="20" t="s">
        <v>202</v>
      </c>
      <c r="C191" s="12">
        <f>+'30'!G191</f>
        <v>12</v>
      </c>
      <c r="D191" s="13">
        <v>0</v>
      </c>
      <c r="E191" s="12">
        <f t="shared" si="13"/>
        <v>12</v>
      </c>
      <c r="F191" s="13">
        <v>0</v>
      </c>
      <c r="G191" s="12">
        <f t="shared" si="16"/>
        <v>12</v>
      </c>
      <c r="H191" s="14">
        <v>0</v>
      </c>
      <c r="I191" s="15">
        <v>15</v>
      </c>
      <c r="J191" s="16">
        <f t="shared" si="15"/>
        <v>0</v>
      </c>
      <c r="K191" s="17" t="s">
        <v>16</v>
      </c>
      <c r="L191" s="18">
        <v>0</v>
      </c>
      <c r="M191" s="24">
        <f t="shared" si="14"/>
        <v>0</v>
      </c>
    </row>
    <row r="192" spans="1:13" ht="25.5">
      <c r="A192" s="10">
        <v>188</v>
      </c>
      <c r="B192" s="20" t="s">
        <v>203</v>
      </c>
      <c r="C192" s="12">
        <f>+'30'!G192</f>
        <v>0</v>
      </c>
      <c r="D192" s="13">
        <v>0</v>
      </c>
      <c r="E192" s="12">
        <f t="shared" si="13"/>
        <v>0</v>
      </c>
      <c r="F192" s="13">
        <v>0</v>
      </c>
      <c r="G192" s="12">
        <f t="shared" si="16"/>
        <v>0</v>
      </c>
      <c r="H192" s="14">
        <v>0</v>
      </c>
      <c r="I192" s="15">
        <v>55</v>
      </c>
      <c r="J192" s="16">
        <f t="shared" si="15"/>
        <v>0</v>
      </c>
      <c r="K192" s="17" t="s">
        <v>16</v>
      </c>
      <c r="L192" s="18">
        <v>0</v>
      </c>
      <c r="M192" s="24">
        <f t="shared" si="14"/>
        <v>0</v>
      </c>
    </row>
    <row r="193" spans="1:14" ht="25.5">
      <c r="A193" s="10">
        <v>189</v>
      </c>
      <c r="B193" s="20" t="s">
        <v>204</v>
      </c>
      <c r="C193" s="12">
        <f>+'30'!G193</f>
        <v>0</v>
      </c>
      <c r="D193" s="13">
        <v>0</v>
      </c>
      <c r="E193" s="12">
        <f t="shared" si="13"/>
        <v>0</v>
      </c>
      <c r="F193" s="13">
        <v>0</v>
      </c>
      <c r="G193" s="12">
        <f t="shared" si="16"/>
        <v>0</v>
      </c>
      <c r="H193" s="14">
        <v>0</v>
      </c>
      <c r="I193" s="15">
        <v>25</v>
      </c>
      <c r="J193" s="16">
        <f t="shared" si="15"/>
        <v>0</v>
      </c>
      <c r="K193" s="17" t="s">
        <v>16</v>
      </c>
      <c r="L193" s="18">
        <v>0</v>
      </c>
      <c r="M193" s="24">
        <f t="shared" si="14"/>
        <v>0</v>
      </c>
    </row>
    <row r="194" spans="1:14" ht="25.5">
      <c r="A194" s="10">
        <v>190</v>
      </c>
      <c r="B194" s="20" t="s">
        <v>205</v>
      </c>
      <c r="C194" s="12">
        <f>+'30'!G194</f>
        <v>0</v>
      </c>
      <c r="D194" s="13">
        <v>0</v>
      </c>
      <c r="E194" s="12">
        <f t="shared" si="13"/>
        <v>0</v>
      </c>
      <c r="F194" s="13">
        <v>0</v>
      </c>
      <c r="G194" s="12">
        <f t="shared" si="16"/>
        <v>0</v>
      </c>
      <c r="H194" s="14">
        <v>0</v>
      </c>
      <c r="I194" s="15">
        <v>25</v>
      </c>
      <c r="J194" s="16">
        <f t="shared" si="15"/>
        <v>0</v>
      </c>
      <c r="K194" s="17" t="s">
        <v>16</v>
      </c>
      <c r="L194" s="18">
        <v>0</v>
      </c>
      <c r="M194" s="24">
        <f t="shared" si="14"/>
        <v>0</v>
      </c>
    </row>
    <row r="195" spans="1:14" ht="25.5">
      <c r="A195" s="10">
        <v>191</v>
      </c>
      <c r="B195" s="20" t="s">
        <v>206</v>
      </c>
      <c r="C195" s="12">
        <f>+'30'!G195</f>
        <v>0</v>
      </c>
      <c r="D195" s="13">
        <v>0</v>
      </c>
      <c r="E195" s="12">
        <f t="shared" si="13"/>
        <v>0</v>
      </c>
      <c r="F195" s="13">
        <v>0</v>
      </c>
      <c r="G195" s="12">
        <f t="shared" si="16"/>
        <v>0</v>
      </c>
      <c r="H195" s="14">
        <v>0</v>
      </c>
      <c r="I195" s="15">
        <v>15</v>
      </c>
      <c r="J195" s="16">
        <f t="shared" si="15"/>
        <v>0</v>
      </c>
      <c r="K195" s="17" t="s">
        <v>16</v>
      </c>
      <c r="L195" s="18">
        <v>0</v>
      </c>
      <c r="M195" s="24">
        <f t="shared" si="14"/>
        <v>0</v>
      </c>
    </row>
    <row r="196" spans="1:14" ht="25.5">
      <c r="A196" s="10">
        <v>192</v>
      </c>
      <c r="B196" s="20" t="s">
        <v>207</v>
      </c>
      <c r="C196" s="12">
        <f>+'30'!G196</f>
        <v>0</v>
      </c>
      <c r="D196" s="13">
        <v>0</v>
      </c>
      <c r="E196" s="12">
        <f t="shared" si="13"/>
        <v>0</v>
      </c>
      <c r="F196" s="13">
        <v>0</v>
      </c>
      <c r="G196" s="12">
        <f t="shared" si="16"/>
        <v>0</v>
      </c>
      <c r="H196" s="14">
        <v>0</v>
      </c>
      <c r="I196" s="15">
        <v>45</v>
      </c>
      <c r="J196" s="16">
        <f t="shared" si="15"/>
        <v>0</v>
      </c>
      <c r="K196" s="17" t="s">
        <v>16</v>
      </c>
      <c r="L196" s="18">
        <v>0</v>
      </c>
      <c r="M196" s="24">
        <f t="shared" si="14"/>
        <v>0</v>
      </c>
    </row>
    <row r="197" spans="1:14" ht="25.5">
      <c r="A197" s="10">
        <v>193</v>
      </c>
      <c r="B197" s="20" t="s">
        <v>208</v>
      </c>
      <c r="C197" s="12">
        <f>+'30'!G197</f>
        <v>0</v>
      </c>
      <c r="D197" s="13">
        <v>0</v>
      </c>
      <c r="E197" s="12">
        <f t="shared" si="13"/>
        <v>0</v>
      </c>
      <c r="F197" s="13">
        <v>0</v>
      </c>
      <c r="G197" s="12">
        <f t="shared" si="16"/>
        <v>0</v>
      </c>
      <c r="H197" s="14">
        <v>0</v>
      </c>
      <c r="I197" s="15">
        <v>25</v>
      </c>
      <c r="J197" s="16">
        <f t="shared" si="15"/>
        <v>0</v>
      </c>
      <c r="K197" s="17" t="s">
        <v>16</v>
      </c>
      <c r="L197" s="18">
        <v>0</v>
      </c>
      <c r="M197" s="24">
        <f t="shared" si="14"/>
        <v>0</v>
      </c>
    </row>
    <row r="198" spans="1:14" ht="25.5">
      <c r="A198" s="10">
        <v>194</v>
      </c>
      <c r="B198" s="20" t="s">
        <v>209</v>
      </c>
      <c r="C198" s="12">
        <f>+'30'!G198</f>
        <v>0</v>
      </c>
      <c r="D198" s="13">
        <v>0</v>
      </c>
      <c r="E198" s="12">
        <f t="shared" si="13"/>
        <v>0</v>
      </c>
      <c r="F198" s="13">
        <v>0</v>
      </c>
      <c r="G198" s="12">
        <f t="shared" si="16"/>
        <v>0</v>
      </c>
      <c r="H198" s="14">
        <v>0</v>
      </c>
      <c r="I198" s="15">
        <v>65</v>
      </c>
      <c r="J198" s="16">
        <f t="shared" si="15"/>
        <v>0</v>
      </c>
      <c r="K198" s="17" t="s">
        <v>16</v>
      </c>
      <c r="L198" s="18">
        <v>0</v>
      </c>
      <c r="M198" s="24">
        <f t="shared" ref="M198:M204" si="17">SUM(J198-L198)</f>
        <v>0</v>
      </c>
    </row>
    <row r="199" spans="1:14" ht="25.5">
      <c r="A199" s="10">
        <v>195</v>
      </c>
      <c r="B199" s="20" t="s">
        <v>210</v>
      </c>
      <c r="C199" s="12">
        <f>+'30'!G199</f>
        <v>0</v>
      </c>
      <c r="D199" s="13">
        <v>0</v>
      </c>
      <c r="E199" s="12">
        <f t="shared" si="13"/>
        <v>0</v>
      </c>
      <c r="F199" s="13">
        <v>0</v>
      </c>
      <c r="G199" s="12">
        <f t="shared" si="16"/>
        <v>0</v>
      </c>
      <c r="H199" s="14">
        <v>0</v>
      </c>
      <c r="I199" s="15">
        <v>50</v>
      </c>
      <c r="J199" s="16">
        <f t="shared" ref="J199:J204" si="18">+I199*H199</f>
        <v>0</v>
      </c>
      <c r="K199" s="17" t="s">
        <v>16</v>
      </c>
      <c r="L199" s="18">
        <v>0</v>
      </c>
      <c r="M199" s="24">
        <f t="shared" si="17"/>
        <v>0</v>
      </c>
    </row>
    <row r="200" spans="1:14" ht="25.5">
      <c r="A200" s="10">
        <v>196</v>
      </c>
      <c r="B200" s="20" t="s">
        <v>211</v>
      </c>
      <c r="C200" s="12">
        <f>+'30'!G200</f>
        <v>0</v>
      </c>
      <c r="D200" s="13">
        <v>0</v>
      </c>
      <c r="E200" s="12">
        <f t="shared" si="13"/>
        <v>0</v>
      </c>
      <c r="F200" s="13">
        <v>0</v>
      </c>
      <c r="G200" s="12">
        <f t="shared" si="16"/>
        <v>0</v>
      </c>
      <c r="H200" s="14">
        <v>0</v>
      </c>
      <c r="I200" s="15">
        <v>10</v>
      </c>
      <c r="J200" s="16">
        <f t="shared" si="18"/>
        <v>0</v>
      </c>
      <c r="K200" s="17" t="s">
        <v>16</v>
      </c>
      <c r="L200" s="18">
        <v>0</v>
      </c>
      <c r="M200" s="24">
        <f t="shared" si="17"/>
        <v>0</v>
      </c>
    </row>
    <row r="201" spans="1:14" ht="25.5">
      <c r="A201" s="10">
        <v>197</v>
      </c>
      <c r="B201" s="20" t="s">
        <v>254</v>
      </c>
      <c r="C201" s="12">
        <f>+'30'!G201</f>
        <v>0</v>
      </c>
      <c r="D201" s="13">
        <v>0</v>
      </c>
      <c r="E201" s="12">
        <f t="shared" si="13"/>
        <v>0</v>
      </c>
      <c r="F201" s="13">
        <v>0</v>
      </c>
      <c r="G201" s="12">
        <f t="shared" si="16"/>
        <v>0</v>
      </c>
      <c r="H201" s="14">
        <v>0</v>
      </c>
      <c r="I201" s="15">
        <v>120</v>
      </c>
      <c r="J201" s="16">
        <f t="shared" si="18"/>
        <v>0</v>
      </c>
      <c r="K201" s="17" t="s">
        <v>16</v>
      </c>
      <c r="L201" s="18">
        <v>0</v>
      </c>
      <c r="M201" s="24">
        <f t="shared" si="17"/>
        <v>0</v>
      </c>
    </row>
    <row r="202" spans="1:14" ht="25.5">
      <c r="A202" s="10">
        <v>198</v>
      </c>
      <c r="B202" s="20" t="s">
        <v>255</v>
      </c>
      <c r="C202" s="12">
        <f>+'30'!G202</f>
        <v>4</v>
      </c>
      <c r="D202" s="13">
        <v>0</v>
      </c>
      <c r="E202" s="12">
        <f t="shared" si="13"/>
        <v>4</v>
      </c>
      <c r="F202" s="13">
        <v>0</v>
      </c>
      <c r="G202" s="12">
        <f t="shared" si="16"/>
        <v>4</v>
      </c>
      <c r="H202" s="14">
        <v>0</v>
      </c>
      <c r="I202" s="15">
        <v>250</v>
      </c>
      <c r="J202" s="16">
        <f t="shared" si="18"/>
        <v>0</v>
      </c>
      <c r="K202" s="17" t="s">
        <v>16</v>
      </c>
      <c r="L202" s="18">
        <v>0</v>
      </c>
      <c r="M202" s="24">
        <f t="shared" si="17"/>
        <v>0</v>
      </c>
    </row>
    <row r="203" spans="1:14" ht="25.5">
      <c r="A203" s="10">
        <v>199</v>
      </c>
      <c r="B203" s="20" t="s">
        <v>256</v>
      </c>
      <c r="C203" s="12">
        <f>+'30'!G203</f>
        <v>7</v>
      </c>
      <c r="D203" s="13">
        <v>0</v>
      </c>
      <c r="E203" s="12">
        <f t="shared" si="13"/>
        <v>7</v>
      </c>
      <c r="F203" s="13">
        <v>0</v>
      </c>
      <c r="G203" s="12">
        <f t="shared" si="16"/>
        <v>7</v>
      </c>
      <c r="H203" s="14">
        <v>0</v>
      </c>
      <c r="I203" s="15">
        <v>120</v>
      </c>
      <c r="J203" s="16">
        <f t="shared" si="18"/>
        <v>0</v>
      </c>
      <c r="K203" s="17" t="s">
        <v>16</v>
      </c>
      <c r="L203" s="18">
        <v>0</v>
      </c>
      <c r="M203" s="24">
        <f t="shared" si="17"/>
        <v>0</v>
      </c>
    </row>
    <row r="204" spans="1:14" ht="25.5">
      <c r="A204" s="10">
        <v>200</v>
      </c>
      <c r="B204" s="20"/>
      <c r="C204" s="12">
        <f>+'30'!G204</f>
        <v>0</v>
      </c>
      <c r="D204" s="13">
        <v>0</v>
      </c>
      <c r="E204" s="12">
        <f t="shared" si="13"/>
        <v>0</v>
      </c>
      <c r="F204" s="13">
        <v>0</v>
      </c>
      <c r="G204" s="12">
        <f t="shared" si="16"/>
        <v>0</v>
      </c>
      <c r="H204" s="14">
        <v>0</v>
      </c>
      <c r="I204" s="15">
        <v>0</v>
      </c>
      <c r="J204" s="16">
        <f t="shared" si="18"/>
        <v>0</v>
      </c>
      <c r="K204" s="17" t="s">
        <v>16</v>
      </c>
      <c r="L204" s="18">
        <v>0</v>
      </c>
      <c r="M204" s="24">
        <f t="shared" si="17"/>
        <v>0</v>
      </c>
    </row>
    <row r="205" spans="1:14" ht="25.5">
      <c r="A205" s="1"/>
      <c r="C205" s="25"/>
      <c r="D205" s="26"/>
      <c r="E205" s="25"/>
      <c r="F205" s="26"/>
      <c r="G205" s="25"/>
      <c r="H205" s="25"/>
      <c r="I205" s="27"/>
      <c r="J205" s="29"/>
      <c r="K205" s="28"/>
      <c r="L205" s="18">
        <v>0</v>
      </c>
      <c r="M205" s="154" t="s">
        <v>223</v>
      </c>
      <c r="N205" s="154"/>
    </row>
    <row r="206" spans="1:14" ht="25.5" customHeight="1">
      <c r="A206" s="1"/>
      <c r="C206" s="25"/>
      <c r="D206" s="26"/>
      <c r="E206" s="25"/>
      <c r="F206" s="26"/>
      <c r="G206" s="25"/>
      <c r="H206" s="152" t="s">
        <v>224</v>
      </c>
      <c r="I206" s="153"/>
      <c r="J206" s="31">
        <f>+X107</f>
        <v>0</v>
      </c>
      <c r="K206" s="28"/>
      <c r="L206" s="30"/>
    </row>
    <row r="207" spans="1:14" ht="25.5">
      <c r="A207" s="1"/>
      <c r="C207" s="32"/>
      <c r="E207" s="32"/>
      <c r="G207" s="32"/>
      <c r="H207" s="33"/>
      <c r="I207" s="151" t="s">
        <v>212</v>
      </c>
      <c r="J207" s="151"/>
      <c r="K207" s="34">
        <f>SUM(J5:J206)</f>
        <v>0</v>
      </c>
    </row>
    <row r="208" spans="1:14" ht="25.5">
      <c r="A208" s="1"/>
      <c r="C208" s="32"/>
      <c r="E208" s="32"/>
      <c r="G208" s="32"/>
      <c r="I208" s="136" t="s">
        <v>213</v>
      </c>
      <c r="J208" s="137"/>
      <c r="K208" s="37">
        <v>0</v>
      </c>
    </row>
    <row r="209" spans="1:11" ht="25.5">
      <c r="A209" s="1"/>
      <c r="C209" s="32"/>
      <c r="E209" s="32"/>
      <c r="G209" s="32"/>
      <c r="I209" s="35" t="s">
        <v>214</v>
      </c>
      <c r="J209" s="36"/>
      <c r="K209" s="37">
        <f>SUM(L209:BO209)</f>
        <v>0</v>
      </c>
    </row>
    <row r="210" spans="1:11" ht="25.5">
      <c r="A210" s="1"/>
      <c r="C210" s="32"/>
      <c r="E210" s="32"/>
      <c r="G210" s="32"/>
      <c r="I210" s="136" t="s">
        <v>215</v>
      </c>
      <c r="J210" s="137"/>
      <c r="K210" s="37">
        <v>0</v>
      </c>
    </row>
    <row r="211" spans="1:11" ht="25.5">
      <c r="A211" s="1"/>
      <c r="C211" s="32"/>
      <c r="E211" s="32"/>
      <c r="G211" s="32"/>
      <c r="I211" s="136" t="s">
        <v>216</v>
      </c>
      <c r="J211" s="137"/>
      <c r="K211" s="37">
        <v>0</v>
      </c>
    </row>
    <row r="212" spans="1:11" ht="25.5">
      <c r="A212" s="1"/>
      <c r="C212" s="32"/>
      <c r="E212" s="32"/>
      <c r="G212" s="32"/>
      <c r="I212" s="136" t="s">
        <v>217</v>
      </c>
      <c r="J212" s="137"/>
      <c r="K212" s="38">
        <f>SUM(L5:L205)</f>
        <v>0</v>
      </c>
    </row>
    <row r="213" spans="1:11" ht="25.5">
      <c r="A213" s="1"/>
      <c r="C213" s="32"/>
      <c r="E213" s="32"/>
      <c r="G213" s="32"/>
      <c r="I213" s="136" t="s">
        <v>218</v>
      </c>
      <c r="J213" s="137"/>
      <c r="K213" s="34">
        <f>K207-K208-K209-K211-K212</f>
        <v>0</v>
      </c>
    </row>
    <row r="214" spans="1:11" ht="25.5">
      <c r="A214" s="1"/>
      <c r="C214" s="32"/>
      <c r="E214" s="32"/>
      <c r="G214" s="32"/>
      <c r="I214" s="136" t="s">
        <v>219</v>
      </c>
      <c r="J214" s="137"/>
      <c r="K214" s="38">
        <v>0</v>
      </c>
    </row>
    <row r="215" spans="1:11" ht="25.5">
      <c r="A215" s="1"/>
      <c r="C215" s="32"/>
      <c r="E215" s="32"/>
      <c r="G215" s="32"/>
      <c r="I215" s="136" t="s">
        <v>220</v>
      </c>
      <c r="J215" s="137"/>
      <c r="K215" s="34">
        <f>+K214-K213</f>
        <v>0</v>
      </c>
    </row>
    <row r="216" spans="1:11" ht="25.5">
      <c r="G216" s="2"/>
      <c r="I216" s="136" t="s">
        <v>221</v>
      </c>
      <c r="J216" s="137"/>
      <c r="K216" s="34">
        <f>+K214-K213</f>
        <v>0</v>
      </c>
    </row>
    <row r="217" spans="1:11">
      <c r="G217" s="2"/>
      <c r="I217" s="2"/>
    </row>
    <row r="218" spans="1:11">
      <c r="G218" s="2"/>
      <c r="I218" s="2"/>
    </row>
    <row r="219" spans="1:11">
      <c r="G219" s="2"/>
      <c r="I219" s="2"/>
    </row>
    <row r="220" spans="1:11">
      <c r="G220" s="2"/>
      <c r="I220" s="2"/>
    </row>
    <row r="221" spans="1:11">
      <c r="G221" s="2"/>
      <c r="I221" s="2"/>
    </row>
    <row r="222" spans="1:11">
      <c r="G222" s="2"/>
      <c r="I222" s="2"/>
    </row>
    <row r="223" spans="1:11">
      <c r="G223" s="2"/>
      <c r="I223" s="2"/>
    </row>
    <row r="224" spans="1:11">
      <c r="G224" s="2"/>
      <c r="I224" s="2"/>
    </row>
    <row r="225" s="2" customFormat="1"/>
    <row r="226" s="2" customFormat="1"/>
    <row r="227" s="2" customFormat="1"/>
    <row r="228" s="2" customFormat="1"/>
    <row r="229" s="2" customFormat="1"/>
    <row r="230" s="2" customFormat="1"/>
    <row r="231" s="2" customFormat="1"/>
    <row r="232" s="2" customFormat="1"/>
    <row r="233" s="2" customFormat="1"/>
    <row r="234" s="2" customFormat="1"/>
    <row r="235" s="2" customFormat="1"/>
    <row r="236" s="2" customFormat="1"/>
    <row r="237" s="2" customFormat="1"/>
    <row r="238" s="2" customFormat="1"/>
    <row r="239" s="2" customFormat="1"/>
    <row r="240" s="2" customFormat="1"/>
    <row r="241" s="2" customFormat="1"/>
    <row r="242" s="2" customFormat="1"/>
    <row r="243" s="2" customFormat="1"/>
    <row r="244" s="2" customFormat="1"/>
    <row r="245" s="2" customFormat="1"/>
    <row r="246" s="2" customFormat="1"/>
    <row r="247" s="2" customFormat="1"/>
    <row r="248" s="2" customFormat="1"/>
    <row r="249" s="2" customFormat="1"/>
    <row r="250" s="2" customFormat="1"/>
    <row r="251" s="2" customFormat="1"/>
    <row r="252" s="2" customFormat="1"/>
    <row r="253" s="2" customFormat="1"/>
    <row r="254" s="2" customFormat="1"/>
    <row r="255" s="2" customFormat="1"/>
    <row r="256" s="2" customFormat="1"/>
    <row r="257" s="2" customFormat="1"/>
    <row r="258" s="2" customFormat="1"/>
    <row r="259" s="2" customFormat="1"/>
    <row r="260" s="2" customFormat="1"/>
    <row r="261" s="2" customFormat="1"/>
    <row r="262" s="2" customFormat="1"/>
    <row r="263" s="2" customFormat="1"/>
    <row r="264" s="2" customFormat="1"/>
    <row r="265" s="2" customFormat="1"/>
    <row r="266" s="2" customFormat="1"/>
    <row r="267" s="2" customFormat="1"/>
    <row r="268" s="2" customFormat="1"/>
    <row r="269" s="2" customFormat="1"/>
    <row r="270" s="2" customFormat="1"/>
    <row r="271" s="2" customFormat="1"/>
    <row r="272" s="2" customFormat="1"/>
    <row r="273" s="2" customFormat="1"/>
    <row r="274" s="2" customFormat="1"/>
    <row r="275" s="2" customFormat="1"/>
    <row r="276" s="2" customFormat="1"/>
    <row r="277" s="2" customFormat="1"/>
    <row r="278" s="2" customFormat="1"/>
    <row r="279" s="2" customFormat="1"/>
    <row r="280" s="2" customFormat="1"/>
    <row r="281" s="2" customFormat="1"/>
    <row r="282" s="2" customFormat="1"/>
    <row r="283" s="2" customFormat="1"/>
    <row r="284" s="2" customFormat="1"/>
    <row r="285" s="2" customFormat="1"/>
    <row r="286" s="2" customFormat="1"/>
    <row r="287" s="2" customFormat="1"/>
    <row r="288" s="2" customFormat="1"/>
    <row r="289" s="2" customFormat="1"/>
    <row r="290" s="2" customFormat="1"/>
    <row r="291" s="2" customFormat="1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33</vt:i4>
      </vt:variant>
    </vt:vector>
  </HeadingPairs>
  <TitlesOfParts>
    <vt:vector size="33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กนกอร พุ่มนิล</cp:lastModifiedBy>
  <cp:lastPrinted>2024-02-18T08:53:58Z</cp:lastPrinted>
  <dcterms:created xsi:type="dcterms:W3CDTF">2023-12-01T06:42:43Z</dcterms:created>
  <dcterms:modified xsi:type="dcterms:W3CDTF">2024-02-18T09:11:26Z</dcterms:modified>
</cp:coreProperties>
</file>