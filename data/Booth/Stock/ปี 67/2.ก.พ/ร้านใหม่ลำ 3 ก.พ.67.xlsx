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F86559E3-098C-43A9-B9CC-0E281A209535}" xr6:coauthVersionLast="47" xr6:coauthVersionMax="47" xr10:uidLastSave="{00000000-0000-0000-0000-000000000000}"/>
  <bookViews>
    <workbookView xWindow="-120" yWindow="-120" windowWidth="29040" windowHeight="15720" tabRatio="800" xr2:uid="{272BDAE5-2F66-470D-B0F6-5F1426221CA4}"/>
  </bookViews>
  <sheets>
    <sheet name="สรุป" sheetId="16" r:id="rId1"/>
    <sheet name="ยกมา" sheetId="35" r:id="rId2"/>
    <sheet name="วันที่ 1" sheetId="2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7" sheetId="41" r:id="rId9"/>
    <sheet name="วันที่ 8" sheetId="42" r:id="rId10"/>
    <sheet name="วันที่ 9" sheetId="43" r:id="rId11"/>
    <sheet name="วันที่ 10" sheetId="44" r:id="rId12"/>
    <sheet name="วันที่ 11" sheetId="45" r:id="rId13"/>
    <sheet name="วันที่ 12" sheetId="46" r:id="rId14"/>
    <sheet name="วันที่ 13" sheetId="47" r:id="rId15"/>
    <sheet name="วันที่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7" r:id="rId25"/>
    <sheet name="วันที่ 24" sheetId="58" r:id="rId26"/>
    <sheet name="วันที่ 25" sheetId="59" r:id="rId27"/>
    <sheet name="วันที่ 26" sheetId="60" r:id="rId28"/>
    <sheet name="วันที่ 27" sheetId="61" r:id="rId29"/>
    <sheet name="วันที่ 28" sheetId="62" r:id="rId30"/>
    <sheet name="วันที่ 29" sheetId="63" r:id="rId31"/>
    <sheet name="วันที่ 30" sheetId="64" r:id="rId32"/>
    <sheet name="วันที่ 31" sheetId="65" r:id="rId33"/>
  </sheets>
  <externalReferences>
    <externalReference r:id="rId34"/>
    <externalReference r:id="rId35"/>
  </externalReferences>
  <definedNames>
    <definedName name="_xlnm._FilterDatabase" localSheetId="1" hidden="1">ยกมา!$A$1:$Y$216</definedName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12'!$A$4:$Z$216</definedName>
    <definedName name="_xlnm._FilterDatabase" localSheetId="14" hidden="1">'วันที่ 13'!$A$4:$Z$216</definedName>
    <definedName name="_xlnm._FilterDatabase" localSheetId="15" hidden="1">'วันที่ 14'!$A$4:$Z$216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7" i="16" l="1"/>
  <c r="K225" i="16"/>
  <c r="D226" i="16"/>
  <c r="B227" i="16"/>
  <c r="K209" i="48"/>
  <c r="K212" i="40"/>
  <c r="K212" i="38"/>
  <c r="K209" i="38"/>
  <c r="C102" i="16" l="1"/>
  <c r="C103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K220" i="35" l="1"/>
  <c r="K212" i="35"/>
  <c r="K209" i="35"/>
  <c r="K219" i="35" s="1"/>
  <c r="J204" i="35"/>
  <c r="M204" i="35" s="1"/>
  <c r="C204" i="35"/>
  <c r="E204" i="35" s="1"/>
  <c r="G204" i="35" s="1"/>
  <c r="C204" i="2" s="1"/>
  <c r="C204" i="16" s="1"/>
  <c r="J203" i="35"/>
  <c r="M203" i="35" s="1"/>
  <c r="C203" i="35"/>
  <c r="E203" i="35" s="1"/>
  <c r="G203" i="35" s="1"/>
  <c r="C203" i="2" s="1"/>
  <c r="C203" i="16" s="1"/>
  <c r="J202" i="35"/>
  <c r="M202" i="35" s="1"/>
  <c r="C202" i="35"/>
  <c r="E202" i="35" s="1"/>
  <c r="G202" i="35" s="1"/>
  <c r="C202" i="2" s="1"/>
  <c r="C202" i="16" s="1"/>
  <c r="J201" i="35"/>
  <c r="M201" i="35" s="1"/>
  <c r="C201" i="35"/>
  <c r="E201" i="35" s="1"/>
  <c r="G201" i="35" s="1"/>
  <c r="C201" i="2" s="1"/>
  <c r="C201" i="16" s="1"/>
  <c r="J200" i="35"/>
  <c r="M200" i="35" s="1"/>
  <c r="C200" i="35"/>
  <c r="E200" i="35" s="1"/>
  <c r="G200" i="35" s="1"/>
  <c r="C200" i="2" s="1"/>
  <c r="C200" i="16" s="1"/>
  <c r="M199" i="35"/>
  <c r="J199" i="35"/>
  <c r="C199" i="35"/>
  <c r="E199" i="35" s="1"/>
  <c r="G199" i="35" s="1"/>
  <c r="C199" i="2" s="1"/>
  <c r="C199" i="16" s="1"/>
  <c r="J198" i="35"/>
  <c r="M198" i="35" s="1"/>
  <c r="C198" i="35"/>
  <c r="E198" i="35" s="1"/>
  <c r="G198" i="35" s="1"/>
  <c r="C198" i="2" s="1"/>
  <c r="C198" i="16" s="1"/>
  <c r="J197" i="35"/>
  <c r="M197" i="35" s="1"/>
  <c r="C197" i="35"/>
  <c r="E197" i="35" s="1"/>
  <c r="G197" i="35" s="1"/>
  <c r="C197" i="2" s="1"/>
  <c r="C197" i="16" s="1"/>
  <c r="M196" i="35"/>
  <c r="J196" i="35"/>
  <c r="C196" i="35"/>
  <c r="E196" i="35" s="1"/>
  <c r="G196" i="35" s="1"/>
  <c r="C196" i="2" s="1"/>
  <c r="C196" i="16" s="1"/>
  <c r="M195" i="35"/>
  <c r="J195" i="35"/>
  <c r="C195" i="35"/>
  <c r="E195" i="35" s="1"/>
  <c r="G195" i="35" s="1"/>
  <c r="C195" i="2" s="1"/>
  <c r="C195" i="16" s="1"/>
  <c r="J194" i="35"/>
  <c r="M194" i="35" s="1"/>
  <c r="C194" i="35"/>
  <c r="E194" i="35" s="1"/>
  <c r="G194" i="35" s="1"/>
  <c r="C194" i="2" s="1"/>
  <c r="C194" i="16" s="1"/>
  <c r="J193" i="35"/>
  <c r="M193" i="35" s="1"/>
  <c r="C193" i="35"/>
  <c r="E193" i="35" s="1"/>
  <c r="G193" i="35" s="1"/>
  <c r="C193" i="2" s="1"/>
  <c r="C193" i="16" s="1"/>
  <c r="J192" i="35"/>
  <c r="M192" i="35" s="1"/>
  <c r="C192" i="35"/>
  <c r="E192" i="35" s="1"/>
  <c r="G192" i="35" s="1"/>
  <c r="C192" i="2" s="1"/>
  <c r="C192" i="16" s="1"/>
  <c r="J191" i="35"/>
  <c r="M191" i="35" s="1"/>
  <c r="C191" i="35"/>
  <c r="E191" i="35" s="1"/>
  <c r="G191" i="35" s="1"/>
  <c r="C191" i="2" s="1"/>
  <c r="C191" i="16" s="1"/>
  <c r="J190" i="35"/>
  <c r="M190" i="35" s="1"/>
  <c r="C190" i="35"/>
  <c r="E190" i="35" s="1"/>
  <c r="G190" i="35" s="1"/>
  <c r="C190" i="2" s="1"/>
  <c r="C190" i="16" s="1"/>
  <c r="J189" i="35"/>
  <c r="M189" i="35" s="1"/>
  <c r="C189" i="35"/>
  <c r="E189" i="35" s="1"/>
  <c r="G189" i="35" s="1"/>
  <c r="C189" i="2" s="1"/>
  <c r="C189" i="16" s="1"/>
  <c r="J188" i="35"/>
  <c r="M188" i="35" s="1"/>
  <c r="C188" i="35"/>
  <c r="E188" i="35" s="1"/>
  <c r="G188" i="35" s="1"/>
  <c r="C188" i="2" s="1"/>
  <c r="C188" i="16" s="1"/>
  <c r="J187" i="35"/>
  <c r="M187" i="35" s="1"/>
  <c r="C187" i="35"/>
  <c r="E187" i="35" s="1"/>
  <c r="G187" i="35" s="1"/>
  <c r="C187" i="2" s="1"/>
  <c r="C187" i="16" s="1"/>
  <c r="J186" i="35"/>
  <c r="M186" i="35" s="1"/>
  <c r="C186" i="35"/>
  <c r="E186" i="35" s="1"/>
  <c r="G186" i="35" s="1"/>
  <c r="C186" i="2" s="1"/>
  <c r="C186" i="16" s="1"/>
  <c r="J185" i="35"/>
  <c r="M185" i="35" s="1"/>
  <c r="C185" i="35"/>
  <c r="E185" i="35" s="1"/>
  <c r="G185" i="35" s="1"/>
  <c r="C185" i="2" s="1"/>
  <c r="C185" i="16" s="1"/>
  <c r="J184" i="35"/>
  <c r="M184" i="35" s="1"/>
  <c r="C184" i="35"/>
  <c r="E184" i="35" s="1"/>
  <c r="G184" i="35" s="1"/>
  <c r="C184" i="2" s="1"/>
  <c r="C184" i="16" s="1"/>
  <c r="J183" i="35"/>
  <c r="M183" i="35" s="1"/>
  <c r="C183" i="35"/>
  <c r="E183" i="35" s="1"/>
  <c r="G183" i="35" s="1"/>
  <c r="C183" i="2" s="1"/>
  <c r="C183" i="16" s="1"/>
  <c r="J182" i="35"/>
  <c r="M182" i="35" s="1"/>
  <c r="C182" i="35"/>
  <c r="E182" i="35" s="1"/>
  <c r="G182" i="35" s="1"/>
  <c r="C182" i="2" s="1"/>
  <c r="C182" i="16" s="1"/>
  <c r="J181" i="35"/>
  <c r="M181" i="35" s="1"/>
  <c r="C181" i="35"/>
  <c r="E181" i="35" s="1"/>
  <c r="G181" i="35" s="1"/>
  <c r="C181" i="2" s="1"/>
  <c r="C181" i="16" s="1"/>
  <c r="M180" i="35"/>
  <c r="J180" i="35"/>
  <c r="C180" i="35"/>
  <c r="E180" i="35" s="1"/>
  <c r="G180" i="35" s="1"/>
  <c r="C180" i="2" s="1"/>
  <c r="C180" i="16" s="1"/>
  <c r="J179" i="35"/>
  <c r="M179" i="35" s="1"/>
  <c r="C179" i="35"/>
  <c r="E179" i="35" s="1"/>
  <c r="G179" i="35" s="1"/>
  <c r="C179" i="2" s="1"/>
  <c r="C179" i="16" s="1"/>
  <c r="J178" i="35"/>
  <c r="M178" i="35" s="1"/>
  <c r="C178" i="35"/>
  <c r="E178" i="35" s="1"/>
  <c r="G178" i="35" s="1"/>
  <c r="C178" i="2" s="1"/>
  <c r="C178" i="16" s="1"/>
  <c r="J177" i="35"/>
  <c r="M177" i="35" s="1"/>
  <c r="C177" i="35"/>
  <c r="E177" i="35" s="1"/>
  <c r="G177" i="35" s="1"/>
  <c r="C177" i="2" s="1"/>
  <c r="C177" i="16" s="1"/>
  <c r="J176" i="35"/>
  <c r="M176" i="35" s="1"/>
  <c r="C176" i="35"/>
  <c r="E176" i="35" s="1"/>
  <c r="G176" i="35" s="1"/>
  <c r="C176" i="2" s="1"/>
  <c r="C176" i="16" s="1"/>
  <c r="J175" i="35"/>
  <c r="M175" i="35" s="1"/>
  <c r="C175" i="35"/>
  <c r="E175" i="35" s="1"/>
  <c r="G175" i="35" s="1"/>
  <c r="C175" i="2" s="1"/>
  <c r="C175" i="16" s="1"/>
  <c r="J174" i="35"/>
  <c r="M174" i="35" s="1"/>
  <c r="C174" i="35"/>
  <c r="E174" i="35" s="1"/>
  <c r="G174" i="35" s="1"/>
  <c r="C174" i="2" s="1"/>
  <c r="C174" i="16" s="1"/>
  <c r="J173" i="35"/>
  <c r="M173" i="35" s="1"/>
  <c r="C173" i="35"/>
  <c r="E173" i="35" s="1"/>
  <c r="G173" i="35" s="1"/>
  <c r="C173" i="2" s="1"/>
  <c r="C173" i="16" s="1"/>
  <c r="M172" i="35"/>
  <c r="J172" i="35"/>
  <c r="C172" i="35"/>
  <c r="E172" i="35" s="1"/>
  <c r="G172" i="35" s="1"/>
  <c r="C172" i="2" s="1"/>
  <c r="C172" i="16" s="1"/>
  <c r="M171" i="35"/>
  <c r="J171" i="35"/>
  <c r="C171" i="35"/>
  <c r="E171" i="35" s="1"/>
  <c r="G171" i="35" s="1"/>
  <c r="C171" i="2" s="1"/>
  <c r="C171" i="16" s="1"/>
  <c r="J170" i="35"/>
  <c r="M170" i="35" s="1"/>
  <c r="C170" i="35"/>
  <c r="E170" i="35" s="1"/>
  <c r="G170" i="35" s="1"/>
  <c r="C170" i="2" s="1"/>
  <c r="C170" i="16" s="1"/>
  <c r="J169" i="35"/>
  <c r="M169" i="35" s="1"/>
  <c r="C169" i="35"/>
  <c r="E169" i="35" s="1"/>
  <c r="G169" i="35" s="1"/>
  <c r="C169" i="2" s="1"/>
  <c r="C169" i="16" s="1"/>
  <c r="J168" i="35"/>
  <c r="M168" i="35" s="1"/>
  <c r="C168" i="35"/>
  <c r="E168" i="35" s="1"/>
  <c r="G168" i="35" s="1"/>
  <c r="C168" i="2" s="1"/>
  <c r="C168" i="16" s="1"/>
  <c r="J167" i="35"/>
  <c r="M167" i="35" s="1"/>
  <c r="C167" i="35"/>
  <c r="E167" i="35" s="1"/>
  <c r="G167" i="35" s="1"/>
  <c r="C167" i="2" s="1"/>
  <c r="C167" i="16" s="1"/>
  <c r="J166" i="35"/>
  <c r="M166" i="35" s="1"/>
  <c r="C166" i="35"/>
  <c r="E166" i="35" s="1"/>
  <c r="G166" i="35" s="1"/>
  <c r="C166" i="2" s="1"/>
  <c r="C166" i="16" s="1"/>
  <c r="J165" i="35"/>
  <c r="M165" i="35" s="1"/>
  <c r="C165" i="35"/>
  <c r="E165" i="35" s="1"/>
  <c r="G165" i="35" s="1"/>
  <c r="C165" i="2" s="1"/>
  <c r="C165" i="16" s="1"/>
  <c r="M164" i="35"/>
  <c r="J164" i="35"/>
  <c r="C164" i="35"/>
  <c r="E164" i="35" s="1"/>
  <c r="G164" i="35" s="1"/>
  <c r="C164" i="2" s="1"/>
  <c r="C164" i="16" s="1"/>
  <c r="J163" i="35"/>
  <c r="M163" i="35" s="1"/>
  <c r="C163" i="35"/>
  <c r="E163" i="35" s="1"/>
  <c r="G163" i="35" s="1"/>
  <c r="C163" i="2" s="1"/>
  <c r="C163" i="16" s="1"/>
  <c r="J162" i="35"/>
  <c r="M162" i="35" s="1"/>
  <c r="C162" i="35"/>
  <c r="E162" i="35" s="1"/>
  <c r="G162" i="35" s="1"/>
  <c r="C162" i="2" s="1"/>
  <c r="C162" i="16" s="1"/>
  <c r="J161" i="35"/>
  <c r="M161" i="35" s="1"/>
  <c r="C161" i="35"/>
  <c r="E161" i="35" s="1"/>
  <c r="G161" i="35" s="1"/>
  <c r="C161" i="2" s="1"/>
  <c r="C161" i="16" s="1"/>
  <c r="J160" i="35"/>
  <c r="M160" i="35" s="1"/>
  <c r="C160" i="35"/>
  <c r="E160" i="35" s="1"/>
  <c r="G160" i="35" s="1"/>
  <c r="C160" i="2" s="1"/>
  <c r="C160" i="16" s="1"/>
  <c r="J159" i="35"/>
  <c r="M159" i="35" s="1"/>
  <c r="C159" i="35"/>
  <c r="E159" i="35" s="1"/>
  <c r="G159" i="35" s="1"/>
  <c r="C159" i="2" s="1"/>
  <c r="C159" i="16" s="1"/>
  <c r="J158" i="35"/>
  <c r="M158" i="35" s="1"/>
  <c r="C158" i="35"/>
  <c r="E158" i="35" s="1"/>
  <c r="G158" i="35" s="1"/>
  <c r="C158" i="2" s="1"/>
  <c r="C158" i="16" s="1"/>
  <c r="J157" i="35"/>
  <c r="M157" i="35" s="1"/>
  <c r="C157" i="35"/>
  <c r="E157" i="35" s="1"/>
  <c r="G157" i="35" s="1"/>
  <c r="C157" i="2" s="1"/>
  <c r="C157" i="16" s="1"/>
  <c r="J156" i="35"/>
  <c r="M156" i="35" s="1"/>
  <c r="C156" i="35"/>
  <c r="E156" i="35" s="1"/>
  <c r="G156" i="35" s="1"/>
  <c r="C156" i="2" s="1"/>
  <c r="C156" i="16" s="1"/>
  <c r="J155" i="35"/>
  <c r="M155" i="35" s="1"/>
  <c r="C155" i="35"/>
  <c r="E155" i="35" s="1"/>
  <c r="G155" i="35" s="1"/>
  <c r="C155" i="2" s="1"/>
  <c r="C155" i="16" s="1"/>
  <c r="J154" i="35"/>
  <c r="M154" i="35" s="1"/>
  <c r="C154" i="35"/>
  <c r="E154" i="35" s="1"/>
  <c r="G154" i="35" s="1"/>
  <c r="C154" i="2" s="1"/>
  <c r="C154" i="16" s="1"/>
  <c r="J153" i="35"/>
  <c r="M153" i="35" s="1"/>
  <c r="C153" i="35"/>
  <c r="E153" i="35" s="1"/>
  <c r="G153" i="35" s="1"/>
  <c r="C153" i="2" s="1"/>
  <c r="C153" i="16" s="1"/>
  <c r="J152" i="35"/>
  <c r="M152" i="35" s="1"/>
  <c r="C152" i="35"/>
  <c r="E152" i="35" s="1"/>
  <c r="G152" i="35" s="1"/>
  <c r="C152" i="2" s="1"/>
  <c r="C152" i="16" s="1"/>
  <c r="J151" i="35"/>
  <c r="M151" i="35" s="1"/>
  <c r="C151" i="35"/>
  <c r="E151" i="35" s="1"/>
  <c r="G151" i="35" s="1"/>
  <c r="C151" i="2" s="1"/>
  <c r="C151" i="16" s="1"/>
  <c r="J150" i="35"/>
  <c r="M150" i="35" s="1"/>
  <c r="C150" i="35"/>
  <c r="E150" i="35" s="1"/>
  <c r="G150" i="35" s="1"/>
  <c r="C150" i="2" s="1"/>
  <c r="C150" i="16" s="1"/>
  <c r="J149" i="35"/>
  <c r="M149" i="35" s="1"/>
  <c r="C149" i="35"/>
  <c r="E149" i="35" s="1"/>
  <c r="G149" i="35" s="1"/>
  <c r="C149" i="2" s="1"/>
  <c r="C149" i="16" s="1"/>
  <c r="M148" i="35"/>
  <c r="J148" i="35"/>
  <c r="C148" i="35"/>
  <c r="E148" i="35" s="1"/>
  <c r="G148" i="35" s="1"/>
  <c r="C148" i="2" s="1"/>
  <c r="C148" i="16" s="1"/>
  <c r="M147" i="35"/>
  <c r="J147" i="35"/>
  <c r="C147" i="35"/>
  <c r="E147" i="35" s="1"/>
  <c r="G147" i="35" s="1"/>
  <c r="C147" i="2" s="1"/>
  <c r="C147" i="16" s="1"/>
  <c r="M146" i="35"/>
  <c r="J146" i="35"/>
  <c r="C146" i="35"/>
  <c r="E146" i="35" s="1"/>
  <c r="G146" i="35" s="1"/>
  <c r="C146" i="2" s="1"/>
  <c r="C146" i="16" s="1"/>
  <c r="J145" i="35"/>
  <c r="M145" i="35" s="1"/>
  <c r="C145" i="35"/>
  <c r="E145" i="35" s="1"/>
  <c r="G145" i="35" s="1"/>
  <c r="C145" i="2" s="1"/>
  <c r="C145" i="16" s="1"/>
  <c r="J144" i="35"/>
  <c r="M144" i="35" s="1"/>
  <c r="C144" i="35"/>
  <c r="E144" i="35" s="1"/>
  <c r="G144" i="35" s="1"/>
  <c r="C144" i="2" s="1"/>
  <c r="C144" i="16" s="1"/>
  <c r="J143" i="35"/>
  <c r="M143" i="35" s="1"/>
  <c r="C143" i="35"/>
  <c r="E143" i="35" s="1"/>
  <c r="G143" i="35" s="1"/>
  <c r="C143" i="2" s="1"/>
  <c r="C143" i="16" s="1"/>
  <c r="J142" i="35"/>
  <c r="M142" i="35" s="1"/>
  <c r="C142" i="35"/>
  <c r="E142" i="35" s="1"/>
  <c r="G142" i="35" s="1"/>
  <c r="C142" i="2" s="1"/>
  <c r="C142" i="16" s="1"/>
  <c r="M141" i="35"/>
  <c r="J141" i="35"/>
  <c r="C141" i="35"/>
  <c r="E141" i="35" s="1"/>
  <c r="G141" i="35" s="1"/>
  <c r="C141" i="2" s="1"/>
  <c r="C141" i="16" s="1"/>
  <c r="J140" i="35"/>
  <c r="M140" i="35" s="1"/>
  <c r="C140" i="35"/>
  <c r="E140" i="35" s="1"/>
  <c r="G140" i="35" s="1"/>
  <c r="C140" i="2" s="1"/>
  <c r="C140" i="16" s="1"/>
  <c r="J139" i="35"/>
  <c r="M139" i="35" s="1"/>
  <c r="E139" i="35"/>
  <c r="G139" i="35" s="1"/>
  <c r="C139" i="2" s="1"/>
  <c r="C139" i="16" s="1"/>
  <c r="C139" i="35"/>
  <c r="M138" i="35"/>
  <c r="J138" i="35"/>
  <c r="C138" i="35"/>
  <c r="E138" i="35" s="1"/>
  <c r="G138" i="35" s="1"/>
  <c r="C138" i="2" s="1"/>
  <c r="C138" i="16" s="1"/>
  <c r="J137" i="35"/>
  <c r="M137" i="35" s="1"/>
  <c r="C137" i="35"/>
  <c r="E137" i="35" s="1"/>
  <c r="G137" i="35" s="1"/>
  <c r="C137" i="2" s="1"/>
  <c r="C137" i="16" s="1"/>
  <c r="J136" i="35"/>
  <c r="M136" i="35" s="1"/>
  <c r="C136" i="35"/>
  <c r="E136" i="35" s="1"/>
  <c r="G136" i="35" s="1"/>
  <c r="C136" i="2" s="1"/>
  <c r="C136" i="16" s="1"/>
  <c r="J135" i="35"/>
  <c r="M135" i="35" s="1"/>
  <c r="C135" i="35"/>
  <c r="E135" i="35" s="1"/>
  <c r="G135" i="35" s="1"/>
  <c r="C135" i="2" s="1"/>
  <c r="C135" i="16" s="1"/>
  <c r="J134" i="35"/>
  <c r="M134" i="35" s="1"/>
  <c r="C134" i="35"/>
  <c r="E134" i="35" s="1"/>
  <c r="G134" i="35" s="1"/>
  <c r="C134" i="2" s="1"/>
  <c r="C134" i="16" s="1"/>
  <c r="M133" i="35"/>
  <c r="J133" i="35"/>
  <c r="C133" i="35"/>
  <c r="E133" i="35" s="1"/>
  <c r="G133" i="35" s="1"/>
  <c r="C133" i="2" s="1"/>
  <c r="C133" i="16" s="1"/>
  <c r="M132" i="35"/>
  <c r="J132" i="35"/>
  <c r="C132" i="35"/>
  <c r="E132" i="35" s="1"/>
  <c r="G132" i="35" s="1"/>
  <c r="C132" i="2" s="1"/>
  <c r="C132" i="16" s="1"/>
  <c r="J131" i="35"/>
  <c r="M131" i="35" s="1"/>
  <c r="C131" i="35"/>
  <c r="E131" i="35" s="1"/>
  <c r="G131" i="35" s="1"/>
  <c r="C131" i="2" s="1"/>
  <c r="C131" i="16" s="1"/>
  <c r="J130" i="35"/>
  <c r="M130" i="35" s="1"/>
  <c r="C130" i="35"/>
  <c r="E130" i="35" s="1"/>
  <c r="G130" i="35" s="1"/>
  <c r="C130" i="2" s="1"/>
  <c r="C130" i="16" s="1"/>
  <c r="J129" i="35"/>
  <c r="M129" i="35" s="1"/>
  <c r="C129" i="35"/>
  <c r="E129" i="35" s="1"/>
  <c r="G129" i="35" s="1"/>
  <c r="C129" i="2" s="1"/>
  <c r="C129" i="16" s="1"/>
  <c r="J128" i="35"/>
  <c r="M128" i="35" s="1"/>
  <c r="C128" i="35"/>
  <c r="E128" i="35" s="1"/>
  <c r="G128" i="35" s="1"/>
  <c r="C128" i="2" s="1"/>
  <c r="C128" i="16" s="1"/>
  <c r="J127" i="35"/>
  <c r="M127" i="35" s="1"/>
  <c r="C127" i="35"/>
  <c r="E127" i="35" s="1"/>
  <c r="G127" i="35" s="1"/>
  <c r="C127" i="2" s="1"/>
  <c r="C127" i="16" s="1"/>
  <c r="J126" i="35"/>
  <c r="M126" i="35" s="1"/>
  <c r="C126" i="35"/>
  <c r="E126" i="35" s="1"/>
  <c r="G126" i="35" s="1"/>
  <c r="C126" i="2" s="1"/>
  <c r="C126" i="16" s="1"/>
  <c r="J125" i="35"/>
  <c r="M125" i="35" s="1"/>
  <c r="C125" i="35"/>
  <c r="E125" i="35" s="1"/>
  <c r="G125" i="35" s="1"/>
  <c r="C125" i="2" s="1"/>
  <c r="C125" i="16" s="1"/>
  <c r="M124" i="35"/>
  <c r="J124" i="35"/>
  <c r="C124" i="35"/>
  <c r="E124" i="35" s="1"/>
  <c r="G124" i="35" s="1"/>
  <c r="C124" i="2" s="1"/>
  <c r="C124" i="16" s="1"/>
  <c r="M123" i="35"/>
  <c r="J123" i="35"/>
  <c r="C123" i="35"/>
  <c r="E123" i="35" s="1"/>
  <c r="G123" i="35" s="1"/>
  <c r="C123" i="2" s="1"/>
  <c r="C123" i="16" s="1"/>
  <c r="J122" i="35"/>
  <c r="M122" i="35" s="1"/>
  <c r="C122" i="35"/>
  <c r="E122" i="35" s="1"/>
  <c r="G122" i="35" s="1"/>
  <c r="C122" i="2" s="1"/>
  <c r="C122" i="16" s="1"/>
  <c r="J121" i="35"/>
  <c r="M121" i="35" s="1"/>
  <c r="C121" i="35"/>
  <c r="E121" i="35" s="1"/>
  <c r="G121" i="35" s="1"/>
  <c r="C121" i="2" s="1"/>
  <c r="C121" i="16" s="1"/>
  <c r="J120" i="35"/>
  <c r="M120" i="35" s="1"/>
  <c r="C120" i="35"/>
  <c r="E120" i="35" s="1"/>
  <c r="G120" i="35" s="1"/>
  <c r="C120" i="2" s="1"/>
  <c r="C120" i="16" s="1"/>
  <c r="J119" i="35"/>
  <c r="M119" i="35" s="1"/>
  <c r="C119" i="35"/>
  <c r="E119" i="35" s="1"/>
  <c r="G119" i="35" s="1"/>
  <c r="C119" i="2" s="1"/>
  <c r="C119" i="16" s="1"/>
  <c r="J118" i="35"/>
  <c r="M118" i="35" s="1"/>
  <c r="C118" i="35"/>
  <c r="E118" i="35" s="1"/>
  <c r="G118" i="35" s="1"/>
  <c r="C118" i="2" s="1"/>
  <c r="C118" i="16" s="1"/>
  <c r="J117" i="35"/>
  <c r="M117" i="35" s="1"/>
  <c r="C117" i="35"/>
  <c r="E117" i="35" s="1"/>
  <c r="G117" i="35" s="1"/>
  <c r="C117" i="2" s="1"/>
  <c r="C117" i="16" s="1"/>
  <c r="M116" i="35"/>
  <c r="J116" i="35"/>
  <c r="C116" i="35"/>
  <c r="E116" i="35" s="1"/>
  <c r="G116" i="35" s="1"/>
  <c r="C116" i="2" s="1"/>
  <c r="C116" i="16" s="1"/>
  <c r="J115" i="35"/>
  <c r="M115" i="35" s="1"/>
  <c r="C115" i="35"/>
  <c r="E115" i="35" s="1"/>
  <c r="G115" i="35" s="1"/>
  <c r="C115" i="2" s="1"/>
  <c r="C115" i="16" s="1"/>
  <c r="J114" i="35"/>
  <c r="M114" i="35" s="1"/>
  <c r="C114" i="35"/>
  <c r="E114" i="35" s="1"/>
  <c r="G114" i="35" s="1"/>
  <c r="C114" i="2" s="1"/>
  <c r="C114" i="16" s="1"/>
  <c r="J113" i="35"/>
  <c r="M113" i="35" s="1"/>
  <c r="C113" i="35"/>
  <c r="E113" i="35" s="1"/>
  <c r="G113" i="35" s="1"/>
  <c r="C113" i="2" s="1"/>
  <c r="C113" i="16" s="1"/>
  <c r="J112" i="35"/>
  <c r="M112" i="35" s="1"/>
  <c r="C112" i="35"/>
  <c r="E112" i="35" s="1"/>
  <c r="G112" i="35" s="1"/>
  <c r="C112" i="2" s="1"/>
  <c r="C112" i="16" s="1"/>
  <c r="J111" i="35"/>
  <c r="M111" i="35" s="1"/>
  <c r="C111" i="35"/>
  <c r="E111" i="35" s="1"/>
  <c r="G111" i="35" s="1"/>
  <c r="C111" i="2" s="1"/>
  <c r="C111" i="16" s="1"/>
  <c r="J110" i="35"/>
  <c r="M110" i="35" s="1"/>
  <c r="C110" i="35"/>
  <c r="E110" i="35" s="1"/>
  <c r="G110" i="35" s="1"/>
  <c r="C110" i="2" s="1"/>
  <c r="C110" i="16" s="1"/>
  <c r="J109" i="35"/>
  <c r="M109" i="35" s="1"/>
  <c r="C109" i="35"/>
  <c r="E109" i="35" s="1"/>
  <c r="G109" i="35" s="1"/>
  <c r="C109" i="2" s="1"/>
  <c r="C109" i="16" s="1"/>
  <c r="J108" i="35"/>
  <c r="M108" i="35" s="1"/>
  <c r="C108" i="35"/>
  <c r="E108" i="35" s="1"/>
  <c r="G108" i="35" s="1"/>
  <c r="C108" i="2" s="1"/>
  <c r="C108" i="16" s="1"/>
  <c r="J107" i="35"/>
  <c r="M107" i="35" s="1"/>
  <c r="C107" i="35"/>
  <c r="E107" i="35" s="1"/>
  <c r="G107" i="35" s="1"/>
  <c r="C107" i="2" s="1"/>
  <c r="C107" i="16" s="1"/>
  <c r="J106" i="35"/>
  <c r="M106" i="35" s="1"/>
  <c r="C106" i="35"/>
  <c r="E106" i="35" s="1"/>
  <c r="G106" i="35" s="1"/>
  <c r="C106" i="2" s="1"/>
  <c r="C106" i="16" s="1"/>
  <c r="Z105" i="35"/>
  <c r="J105" i="35"/>
  <c r="M105" i="35" s="1"/>
  <c r="C105" i="35"/>
  <c r="E105" i="35" s="1"/>
  <c r="G105" i="35" s="1"/>
  <c r="C105" i="2" s="1"/>
  <c r="C105" i="16" s="1"/>
  <c r="X104" i="35"/>
  <c r="S104" i="35"/>
  <c r="U104" i="35" s="1"/>
  <c r="Q104" i="35"/>
  <c r="J104" i="35"/>
  <c r="M104" i="35" s="1"/>
  <c r="C104" i="35"/>
  <c r="E104" i="35" s="1"/>
  <c r="G104" i="35" s="1"/>
  <c r="C104" i="2" s="1"/>
  <c r="C104" i="16" s="1"/>
  <c r="X103" i="35"/>
  <c r="S103" i="35"/>
  <c r="U103" i="35" s="1"/>
  <c r="Q103" i="35"/>
  <c r="J103" i="35"/>
  <c r="M103" i="35" s="1"/>
  <c r="C103" i="35"/>
  <c r="E103" i="35" s="1"/>
  <c r="G103" i="35" s="1"/>
  <c r="X102" i="35"/>
  <c r="Q102" i="35"/>
  <c r="S102" i="35" s="1"/>
  <c r="U102" i="35" s="1"/>
  <c r="J102" i="35"/>
  <c r="M102" i="35" s="1"/>
  <c r="C102" i="35"/>
  <c r="E102" i="35" s="1"/>
  <c r="G102" i="35" s="1"/>
  <c r="X101" i="35"/>
  <c r="Q101" i="35"/>
  <c r="S101" i="35" s="1"/>
  <c r="U101" i="35" s="1"/>
  <c r="M101" i="35"/>
  <c r="J101" i="35"/>
  <c r="C101" i="35"/>
  <c r="E101" i="35" s="1"/>
  <c r="G101" i="35" s="1"/>
  <c r="C101" i="2" s="1"/>
  <c r="C101" i="16" s="1"/>
  <c r="X100" i="35"/>
  <c r="Q100" i="35"/>
  <c r="S100" i="35" s="1"/>
  <c r="U100" i="35" s="1"/>
  <c r="J100" i="35"/>
  <c r="M100" i="35" s="1"/>
  <c r="C100" i="35"/>
  <c r="E100" i="35" s="1"/>
  <c r="G100" i="35" s="1"/>
  <c r="C100" i="2" s="1"/>
  <c r="C100" i="16" s="1"/>
  <c r="X99" i="35"/>
  <c r="S99" i="35"/>
  <c r="U99" i="35" s="1"/>
  <c r="Q99" i="35"/>
  <c r="J99" i="35"/>
  <c r="M99" i="35" s="1"/>
  <c r="C99" i="35"/>
  <c r="E99" i="35" s="1"/>
  <c r="G99" i="35" s="1"/>
  <c r="C99" i="2" s="1"/>
  <c r="C99" i="16" s="1"/>
  <c r="X98" i="35"/>
  <c r="Q98" i="35"/>
  <c r="S98" i="35" s="1"/>
  <c r="U98" i="35" s="1"/>
  <c r="M98" i="35"/>
  <c r="J98" i="35"/>
  <c r="C98" i="35"/>
  <c r="E98" i="35" s="1"/>
  <c r="G98" i="35" s="1"/>
  <c r="C98" i="2" s="1"/>
  <c r="C98" i="16" s="1"/>
  <c r="X97" i="35"/>
  <c r="Q97" i="35"/>
  <c r="S97" i="35" s="1"/>
  <c r="U97" i="35" s="1"/>
  <c r="J97" i="35"/>
  <c r="M97" i="35" s="1"/>
  <c r="C97" i="35"/>
  <c r="E97" i="35" s="1"/>
  <c r="G97" i="35" s="1"/>
  <c r="C97" i="2" s="1"/>
  <c r="C97" i="16" s="1"/>
  <c r="X96" i="35"/>
  <c r="Q96" i="35"/>
  <c r="S96" i="35" s="1"/>
  <c r="U96" i="35" s="1"/>
  <c r="J96" i="35"/>
  <c r="M96" i="35" s="1"/>
  <c r="C96" i="35"/>
  <c r="E96" i="35" s="1"/>
  <c r="G96" i="35" s="1"/>
  <c r="C96" i="2" s="1"/>
  <c r="C96" i="16" s="1"/>
  <c r="X95" i="35"/>
  <c r="Q95" i="35"/>
  <c r="S95" i="35" s="1"/>
  <c r="U95" i="35" s="1"/>
  <c r="J95" i="35"/>
  <c r="M95" i="35" s="1"/>
  <c r="C95" i="35"/>
  <c r="E95" i="35" s="1"/>
  <c r="G95" i="35" s="1"/>
  <c r="C95" i="2" s="1"/>
  <c r="C95" i="16" s="1"/>
  <c r="X94" i="35"/>
  <c r="Q94" i="35"/>
  <c r="S94" i="35" s="1"/>
  <c r="U94" i="35" s="1"/>
  <c r="J94" i="35"/>
  <c r="M94" i="35" s="1"/>
  <c r="C94" i="35"/>
  <c r="E94" i="35" s="1"/>
  <c r="G94" i="35" s="1"/>
  <c r="C94" i="2" s="1"/>
  <c r="C94" i="16" s="1"/>
  <c r="X93" i="35"/>
  <c r="Q93" i="35"/>
  <c r="S93" i="35" s="1"/>
  <c r="U93" i="35" s="1"/>
  <c r="J93" i="35"/>
  <c r="M93" i="35" s="1"/>
  <c r="C93" i="35"/>
  <c r="E93" i="35" s="1"/>
  <c r="G93" i="35" s="1"/>
  <c r="C93" i="2" s="1"/>
  <c r="C93" i="16" s="1"/>
  <c r="X92" i="35"/>
  <c r="Q92" i="35"/>
  <c r="S92" i="35" s="1"/>
  <c r="U92" i="35" s="1"/>
  <c r="J92" i="35"/>
  <c r="M92" i="35" s="1"/>
  <c r="C92" i="35"/>
  <c r="E92" i="35" s="1"/>
  <c r="G92" i="35" s="1"/>
  <c r="C92" i="2" s="1"/>
  <c r="C92" i="16" s="1"/>
  <c r="X91" i="35"/>
  <c r="Q91" i="35"/>
  <c r="S91" i="35" s="1"/>
  <c r="U91" i="35" s="1"/>
  <c r="J91" i="35"/>
  <c r="M91" i="35" s="1"/>
  <c r="C91" i="35"/>
  <c r="E91" i="35" s="1"/>
  <c r="G91" i="35" s="1"/>
  <c r="C91" i="2" s="1"/>
  <c r="C91" i="16" s="1"/>
  <c r="X90" i="35"/>
  <c r="Q90" i="35"/>
  <c r="S90" i="35" s="1"/>
  <c r="U90" i="35" s="1"/>
  <c r="M90" i="35"/>
  <c r="J90" i="35"/>
  <c r="C90" i="35"/>
  <c r="E90" i="35" s="1"/>
  <c r="G90" i="35" s="1"/>
  <c r="C90" i="2" s="1"/>
  <c r="C90" i="16" s="1"/>
  <c r="X89" i="35"/>
  <c r="Q89" i="35"/>
  <c r="S89" i="35" s="1"/>
  <c r="U89" i="35" s="1"/>
  <c r="J89" i="35"/>
  <c r="M89" i="35" s="1"/>
  <c r="C89" i="35"/>
  <c r="E89" i="35" s="1"/>
  <c r="G89" i="35" s="1"/>
  <c r="C89" i="2" s="1"/>
  <c r="C89" i="16" s="1"/>
  <c r="X88" i="35"/>
  <c r="Q88" i="35"/>
  <c r="S88" i="35" s="1"/>
  <c r="U88" i="35" s="1"/>
  <c r="J88" i="35"/>
  <c r="M88" i="35" s="1"/>
  <c r="C88" i="35"/>
  <c r="E88" i="35" s="1"/>
  <c r="G88" i="35" s="1"/>
  <c r="C88" i="2" s="1"/>
  <c r="C88" i="16" s="1"/>
  <c r="X87" i="35"/>
  <c r="Q87" i="35"/>
  <c r="S87" i="35" s="1"/>
  <c r="U87" i="35" s="1"/>
  <c r="J87" i="35"/>
  <c r="M87" i="35" s="1"/>
  <c r="G87" i="35"/>
  <c r="C87" i="2" s="1"/>
  <c r="C87" i="16" s="1"/>
  <c r="C87" i="35"/>
  <c r="E87" i="35" s="1"/>
  <c r="X86" i="35"/>
  <c r="Q86" i="35"/>
  <c r="S86" i="35" s="1"/>
  <c r="U86" i="35" s="1"/>
  <c r="J86" i="35"/>
  <c r="M86" i="35" s="1"/>
  <c r="C86" i="35"/>
  <c r="E86" i="35" s="1"/>
  <c r="G86" i="35" s="1"/>
  <c r="C86" i="2" s="1"/>
  <c r="C86" i="16" s="1"/>
  <c r="X85" i="35"/>
  <c r="Q85" i="35"/>
  <c r="S85" i="35" s="1"/>
  <c r="U85" i="35" s="1"/>
  <c r="M85" i="35"/>
  <c r="J85" i="35"/>
  <c r="C85" i="35"/>
  <c r="E85" i="35" s="1"/>
  <c r="G85" i="35" s="1"/>
  <c r="C85" i="2" s="1"/>
  <c r="C85" i="16" s="1"/>
  <c r="X84" i="35"/>
  <c r="Q84" i="35"/>
  <c r="S84" i="35" s="1"/>
  <c r="U84" i="35" s="1"/>
  <c r="J84" i="35"/>
  <c r="M84" i="35" s="1"/>
  <c r="C84" i="35"/>
  <c r="E84" i="35" s="1"/>
  <c r="G84" i="35" s="1"/>
  <c r="C84" i="2" s="1"/>
  <c r="C84" i="16" s="1"/>
  <c r="X83" i="35"/>
  <c r="S83" i="35"/>
  <c r="U83" i="35" s="1"/>
  <c r="Q83" i="35"/>
  <c r="J83" i="35"/>
  <c r="M83" i="35" s="1"/>
  <c r="C83" i="35"/>
  <c r="E83" i="35" s="1"/>
  <c r="G83" i="35" s="1"/>
  <c r="C83" i="2" s="1"/>
  <c r="C83" i="16" s="1"/>
  <c r="X82" i="35"/>
  <c r="U82" i="35"/>
  <c r="Q82" i="35"/>
  <c r="S82" i="35" s="1"/>
  <c r="J82" i="35"/>
  <c r="M82" i="35" s="1"/>
  <c r="C82" i="35"/>
  <c r="E82" i="35" s="1"/>
  <c r="G82" i="35" s="1"/>
  <c r="C82" i="2" s="1"/>
  <c r="C82" i="16" s="1"/>
  <c r="X81" i="35"/>
  <c r="Q81" i="35"/>
  <c r="S81" i="35" s="1"/>
  <c r="U81" i="35" s="1"/>
  <c r="J81" i="35"/>
  <c r="M81" i="35" s="1"/>
  <c r="C81" i="35"/>
  <c r="E81" i="35" s="1"/>
  <c r="G81" i="35" s="1"/>
  <c r="C81" i="2" s="1"/>
  <c r="C81" i="16" s="1"/>
  <c r="X80" i="35"/>
  <c r="Q80" i="35"/>
  <c r="S80" i="35" s="1"/>
  <c r="U80" i="35" s="1"/>
  <c r="J80" i="35"/>
  <c r="M80" i="35" s="1"/>
  <c r="C80" i="35"/>
  <c r="E80" i="35" s="1"/>
  <c r="G80" i="35" s="1"/>
  <c r="C80" i="2" s="1"/>
  <c r="C80" i="16" s="1"/>
  <c r="X79" i="35"/>
  <c r="Q79" i="35"/>
  <c r="S79" i="35" s="1"/>
  <c r="U79" i="35" s="1"/>
  <c r="J79" i="35"/>
  <c r="M79" i="35" s="1"/>
  <c r="C79" i="35"/>
  <c r="E79" i="35" s="1"/>
  <c r="G79" i="35" s="1"/>
  <c r="C79" i="2" s="1"/>
  <c r="C79" i="16" s="1"/>
  <c r="X78" i="35"/>
  <c r="Q78" i="35"/>
  <c r="S78" i="35" s="1"/>
  <c r="U78" i="35" s="1"/>
  <c r="J78" i="35"/>
  <c r="M78" i="35" s="1"/>
  <c r="C78" i="35"/>
  <c r="E78" i="35" s="1"/>
  <c r="G78" i="35" s="1"/>
  <c r="C78" i="2" s="1"/>
  <c r="C78" i="16" s="1"/>
  <c r="X77" i="35"/>
  <c r="Q77" i="35"/>
  <c r="S77" i="35" s="1"/>
  <c r="U77" i="35" s="1"/>
  <c r="M77" i="35"/>
  <c r="J77" i="35"/>
  <c r="C77" i="35"/>
  <c r="E77" i="35" s="1"/>
  <c r="G77" i="35" s="1"/>
  <c r="C77" i="2" s="1"/>
  <c r="C77" i="16" s="1"/>
  <c r="X76" i="35"/>
  <c r="Q76" i="35"/>
  <c r="S76" i="35" s="1"/>
  <c r="U76" i="35" s="1"/>
  <c r="J76" i="35"/>
  <c r="M76" i="35" s="1"/>
  <c r="C76" i="35"/>
  <c r="E76" i="35" s="1"/>
  <c r="G76" i="35" s="1"/>
  <c r="C76" i="2" s="1"/>
  <c r="C76" i="16" s="1"/>
  <c r="X75" i="35"/>
  <c r="S75" i="35"/>
  <c r="U75" i="35" s="1"/>
  <c r="Q75" i="35"/>
  <c r="J75" i="35"/>
  <c r="M75" i="35" s="1"/>
  <c r="C75" i="35"/>
  <c r="E75" i="35" s="1"/>
  <c r="G75" i="35" s="1"/>
  <c r="C75" i="2" s="1"/>
  <c r="C75" i="16" s="1"/>
  <c r="X74" i="35"/>
  <c r="Q74" i="35"/>
  <c r="S74" i="35" s="1"/>
  <c r="U74" i="35" s="1"/>
  <c r="M74" i="35"/>
  <c r="J74" i="35"/>
  <c r="C74" i="35"/>
  <c r="E74" i="35" s="1"/>
  <c r="G74" i="35" s="1"/>
  <c r="C74" i="2" s="1"/>
  <c r="C74" i="16" s="1"/>
  <c r="X73" i="35"/>
  <c r="Q73" i="35"/>
  <c r="S73" i="35" s="1"/>
  <c r="U73" i="35" s="1"/>
  <c r="J73" i="35"/>
  <c r="M73" i="35" s="1"/>
  <c r="C73" i="35"/>
  <c r="E73" i="35" s="1"/>
  <c r="G73" i="35" s="1"/>
  <c r="C73" i="2" s="1"/>
  <c r="C73" i="16" s="1"/>
  <c r="X72" i="35"/>
  <c r="S72" i="35"/>
  <c r="U72" i="35" s="1"/>
  <c r="Q72" i="35"/>
  <c r="J72" i="35"/>
  <c r="M72" i="35" s="1"/>
  <c r="C72" i="35"/>
  <c r="E72" i="35" s="1"/>
  <c r="G72" i="35" s="1"/>
  <c r="C72" i="2" s="1"/>
  <c r="C72" i="16" s="1"/>
  <c r="X71" i="35"/>
  <c r="Q71" i="35"/>
  <c r="S71" i="35" s="1"/>
  <c r="U71" i="35" s="1"/>
  <c r="J71" i="35"/>
  <c r="M71" i="35" s="1"/>
  <c r="C71" i="35"/>
  <c r="E71" i="35" s="1"/>
  <c r="G71" i="35" s="1"/>
  <c r="C71" i="2" s="1"/>
  <c r="C71" i="16" s="1"/>
  <c r="X70" i="35"/>
  <c r="Q70" i="35"/>
  <c r="S70" i="35" s="1"/>
  <c r="U70" i="35" s="1"/>
  <c r="J70" i="35"/>
  <c r="M70" i="35" s="1"/>
  <c r="C70" i="35"/>
  <c r="E70" i="35" s="1"/>
  <c r="G70" i="35" s="1"/>
  <c r="C70" i="2" s="1"/>
  <c r="C70" i="16" s="1"/>
  <c r="X69" i="35"/>
  <c r="Q69" i="35"/>
  <c r="S69" i="35" s="1"/>
  <c r="U69" i="35" s="1"/>
  <c r="J69" i="35"/>
  <c r="M69" i="35" s="1"/>
  <c r="C69" i="35"/>
  <c r="E69" i="35" s="1"/>
  <c r="G69" i="35" s="1"/>
  <c r="C69" i="2" s="1"/>
  <c r="C69" i="16" s="1"/>
  <c r="X68" i="35"/>
  <c r="Q68" i="35"/>
  <c r="S68" i="35" s="1"/>
  <c r="U68" i="35" s="1"/>
  <c r="M68" i="35"/>
  <c r="J68" i="35"/>
  <c r="C68" i="35"/>
  <c r="E68" i="35" s="1"/>
  <c r="G68" i="35" s="1"/>
  <c r="C68" i="2" s="1"/>
  <c r="C68" i="16" s="1"/>
  <c r="X67" i="35"/>
  <c r="Q67" i="35"/>
  <c r="S67" i="35" s="1"/>
  <c r="U67" i="35" s="1"/>
  <c r="J67" i="35"/>
  <c r="M67" i="35" s="1"/>
  <c r="C67" i="35"/>
  <c r="E67" i="35" s="1"/>
  <c r="G67" i="35" s="1"/>
  <c r="C67" i="2" s="1"/>
  <c r="C67" i="16" s="1"/>
  <c r="X66" i="35"/>
  <c r="Q66" i="35"/>
  <c r="S66" i="35" s="1"/>
  <c r="U66" i="35" s="1"/>
  <c r="M66" i="35"/>
  <c r="J66" i="35"/>
  <c r="C66" i="35"/>
  <c r="E66" i="35" s="1"/>
  <c r="G66" i="35" s="1"/>
  <c r="C66" i="2" s="1"/>
  <c r="C66" i="16" s="1"/>
  <c r="X65" i="35"/>
  <c r="Q65" i="35"/>
  <c r="S65" i="35" s="1"/>
  <c r="U65" i="35" s="1"/>
  <c r="J65" i="35"/>
  <c r="M65" i="35" s="1"/>
  <c r="C65" i="35"/>
  <c r="E65" i="35" s="1"/>
  <c r="G65" i="35" s="1"/>
  <c r="C65" i="2" s="1"/>
  <c r="C65" i="16" s="1"/>
  <c r="X64" i="35"/>
  <c r="S64" i="35"/>
  <c r="U64" i="35" s="1"/>
  <c r="Q64" i="35"/>
  <c r="J64" i="35"/>
  <c r="M64" i="35" s="1"/>
  <c r="C64" i="35"/>
  <c r="E64" i="35" s="1"/>
  <c r="G64" i="35" s="1"/>
  <c r="C64" i="2" s="1"/>
  <c r="C64" i="16" s="1"/>
  <c r="X63" i="35"/>
  <c r="Q63" i="35"/>
  <c r="S63" i="35" s="1"/>
  <c r="U63" i="35" s="1"/>
  <c r="J63" i="35"/>
  <c r="M63" i="35" s="1"/>
  <c r="C63" i="35"/>
  <c r="E63" i="35" s="1"/>
  <c r="G63" i="35" s="1"/>
  <c r="C63" i="2" s="1"/>
  <c r="C63" i="16" s="1"/>
  <c r="X62" i="35"/>
  <c r="Q62" i="35"/>
  <c r="S62" i="35" s="1"/>
  <c r="U62" i="35" s="1"/>
  <c r="J62" i="35"/>
  <c r="M62" i="35" s="1"/>
  <c r="C62" i="35"/>
  <c r="E62" i="35" s="1"/>
  <c r="G62" i="35" s="1"/>
  <c r="C62" i="2" s="1"/>
  <c r="C62" i="16" s="1"/>
  <c r="X61" i="35"/>
  <c r="Q61" i="35"/>
  <c r="S61" i="35" s="1"/>
  <c r="U61" i="35" s="1"/>
  <c r="M61" i="35"/>
  <c r="J61" i="35"/>
  <c r="C61" i="35"/>
  <c r="E61" i="35" s="1"/>
  <c r="G61" i="35" s="1"/>
  <c r="C61" i="2" s="1"/>
  <c r="C61" i="16" s="1"/>
  <c r="X60" i="35"/>
  <c r="Q60" i="35"/>
  <c r="S60" i="35" s="1"/>
  <c r="U60" i="35" s="1"/>
  <c r="J60" i="35"/>
  <c r="M60" i="35" s="1"/>
  <c r="C60" i="35"/>
  <c r="E60" i="35" s="1"/>
  <c r="G60" i="35" s="1"/>
  <c r="C60" i="2" s="1"/>
  <c r="C60" i="16" s="1"/>
  <c r="X59" i="35"/>
  <c r="S59" i="35"/>
  <c r="U59" i="35" s="1"/>
  <c r="Q59" i="35"/>
  <c r="J59" i="35"/>
  <c r="M59" i="35" s="1"/>
  <c r="C59" i="35"/>
  <c r="E59" i="35" s="1"/>
  <c r="G59" i="35" s="1"/>
  <c r="C59" i="2" s="1"/>
  <c r="C59" i="16" s="1"/>
  <c r="X58" i="35"/>
  <c r="Q58" i="35"/>
  <c r="S58" i="35" s="1"/>
  <c r="U58" i="35" s="1"/>
  <c r="J58" i="35"/>
  <c r="M58" i="35" s="1"/>
  <c r="C58" i="35"/>
  <c r="E58" i="35" s="1"/>
  <c r="G58" i="35" s="1"/>
  <c r="C58" i="2" s="1"/>
  <c r="C58" i="16" s="1"/>
  <c r="X57" i="35"/>
  <c r="Q57" i="35"/>
  <c r="S57" i="35" s="1"/>
  <c r="U57" i="35" s="1"/>
  <c r="J57" i="35"/>
  <c r="M57" i="35" s="1"/>
  <c r="C57" i="35"/>
  <c r="E57" i="35" s="1"/>
  <c r="G57" i="35" s="1"/>
  <c r="C57" i="2" s="1"/>
  <c r="C57" i="16" s="1"/>
  <c r="X56" i="35"/>
  <c r="Q56" i="35"/>
  <c r="S56" i="35" s="1"/>
  <c r="U56" i="35" s="1"/>
  <c r="M56" i="35"/>
  <c r="J56" i="35"/>
  <c r="C56" i="35"/>
  <c r="E56" i="35" s="1"/>
  <c r="G56" i="35" s="1"/>
  <c r="C56" i="2" s="1"/>
  <c r="C56" i="16" s="1"/>
  <c r="X55" i="35"/>
  <c r="Q55" i="35"/>
  <c r="S55" i="35" s="1"/>
  <c r="U55" i="35" s="1"/>
  <c r="J55" i="35"/>
  <c r="M55" i="35" s="1"/>
  <c r="C55" i="35"/>
  <c r="E55" i="35" s="1"/>
  <c r="G55" i="35" s="1"/>
  <c r="C55" i="2" s="1"/>
  <c r="C55" i="16" s="1"/>
  <c r="X54" i="35"/>
  <c r="Q54" i="35"/>
  <c r="S54" i="35" s="1"/>
  <c r="U54" i="35" s="1"/>
  <c r="J54" i="35"/>
  <c r="M54" i="35" s="1"/>
  <c r="C54" i="35"/>
  <c r="E54" i="35" s="1"/>
  <c r="G54" i="35" s="1"/>
  <c r="C54" i="2" s="1"/>
  <c r="C54" i="16" s="1"/>
  <c r="X53" i="35"/>
  <c r="Q53" i="35"/>
  <c r="S53" i="35" s="1"/>
  <c r="U53" i="35" s="1"/>
  <c r="J53" i="35"/>
  <c r="M53" i="35" s="1"/>
  <c r="C53" i="35"/>
  <c r="E53" i="35" s="1"/>
  <c r="G53" i="35" s="1"/>
  <c r="C53" i="2" s="1"/>
  <c r="C53" i="16" s="1"/>
  <c r="X52" i="35"/>
  <c r="Q52" i="35"/>
  <c r="S52" i="35" s="1"/>
  <c r="U52" i="35" s="1"/>
  <c r="J52" i="35"/>
  <c r="M52" i="35" s="1"/>
  <c r="C52" i="35"/>
  <c r="E52" i="35" s="1"/>
  <c r="G52" i="35" s="1"/>
  <c r="C52" i="2" s="1"/>
  <c r="C52" i="16" s="1"/>
  <c r="X51" i="35"/>
  <c r="Q51" i="35"/>
  <c r="S51" i="35" s="1"/>
  <c r="U51" i="35" s="1"/>
  <c r="J51" i="35"/>
  <c r="M51" i="35" s="1"/>
  <c r="C51" i="35"/>
  <c r="E51" i="35" s="1"/>
  <c r="G51" i="35" s="1"/>
  <c r="C51" i="2" s="1"/>
  <c r="C51" i="16" s="1"/>
  <c r="X50" i="35"/>
  <c r="Q50" i="35"/>
  <c r="S50" i="35" s="1"/>
  <c r="U50" i="35" s="1"/>
  <c r="M50" i="35"/>
  <c r="J50" i="35"/>
  <c r="C50" i="35"/>
  <c r="E50" i="35" s="1"/>
  <c r="G50" i="35" s="1"/>
  <c r="C50" i="2" s="1"/>
  <c r="C50" i="16" s="1"/>
  <c r="X49" i="35"/>
  <c r="Q49" i="35"/>
  <c r="S49" i="35" s="1"/>
  <c r="U49" i="35" s="1"/>
  <c r="J49" i="35"/>
  <c r="M49" i="35" s="1"/>
  <c r="C49" i="35"/>
  <c r="E49" i="35" s="1"/>
  <c r="G49" i="35" s="1"/>
  <c r="C49" i="2" s="1"/>
  <c r="C49" i="16" s="1"/>
  <c r="X48" i="35"/>
  <c r="Q48" i="35"/>
  <c r="S48" i="35" s="1"/>
  <c r="U48" i="35" s="1"/>
  <c r="J48" i="35"/>
  <c r="M48" i="35" s="1"/>
  <c r="C48" i="35"/>
  <c r="E48" i="35" s="1"/>
  <c r="G48" i="35" s="1"/>
  <c r="C48" i="2" s="1"/>
  <c r="C48" i="16" s="1"/>
  <c r="X47" i="35"/>
  <c r="Q47" i="35"/>
  <c r="S47" i="35" s="1"/>
  <c r="U47" i="35" s="1"/>
  <c r="M47" i="35"/>
  <c r="J47" i="35"/>
  <c r="C47" i="35"/>
  <c r="E47" i="35" s="1"/>
  <c r="G47" i="35" s="1"/>
  <c r="C47" i="2" s="1"/>
  <c r="C47" i="16" s="1"/>
  <c r="X46" i="35"/>
  <c r="Q46" i="35"/>
  <c r="S46" i="35" s="1"/>
  <c r="U46" i="35" s="1"/>
  <c r="J46" i="35"/>
  <c r="M46" i="35" s="1"/>
  <c r="C46" i="35"/>
  <c r="E46" i="35" s="1"/>
  <c r="G46" i="35" s="1"/>
  <c r="C46" i="2" s="1"/>
  <c r="C46" i="16" s="1"/>
  <c r="X45" i="35"/>
  <c r="Q45" i="35"/>
  <c r="S45" i="35" s="1"/>
  <c r="U45" i="35" s="1"/>
  <c r="J45" i="35"/>
  <c r="M45" i="35" s="1"/>
  <c r="C45" i="35"/>
  <c r="E45" i="35" s="1"/>
  <c r="G45" i="35" s="1"/>
  <c r="C45" i="2" s="1"/>
  <c r="C45" i="16" s="1"/>
  <c r="X44" i="35"/>
  <c r="Q44" i="35"/>
  <c r="S44" i="35" s="1"/>
  <c r="U44" i="35" s="1"/>
  <c r="J44" i="35"/>
  <c r="M44" i="35" s="1"/>
  <c r="C44" i="35"/>
  <c r="E44" i="35" s="1"/>
  <c r="G44" i="35" s="1"/>
  <c r="C44" i="2" s="1"/>
  <c r="C44" i="16" s="1"/>
  <c r="X43" i="35"/>
  <c r="Q43" i="35"/>
  <c r="S43" i="35" s="1"/>
  <c r="U43" i="35" s="1"/>
  <c r="J43" i="35"/>
  <c r="M43" i="35" s="1"/>
  <c r="C43" i="35"/>
  <c r="E43" i="35" s="1"/>
  <c r="G43" i="35" s="1"/>
  <c r="C43" i="2" s="1"/>
  <c r="C43" i="16" s="1"/>
  <c r="X42" i="35"/>
  <c r="Q42" i="35"/>
  <c r="S42" i="35" s="1"/>
  <c r="U42" i="35" s="1"/>
  <c r="J42" i="35"/>
  <c r="M42" i="35" s="1"/>
  <c r="E42" i="35"/>
  <c r="G42" i="35" s="1"/>
  <c r="C42" i="2" s="1"/>
  <c r="C42" i="16" s="1"/>
  <c r="C42" i="35"/>
  <c r="X41" i="35"/>
  <c r="Q41" i="35"/>
  <c r="S41" i="35" s="1"/>
  <c r="U41" i="35" s="1"/>
  <c r="J41" i="35"/>
  <c r="M41" i="35" s="1"/>
  <c r="C41" i="35"/>
  <c r="E41" i="35" s="1"/>
  <c r="G41" i="35" s="1"/>
  <c r="C41" i="2" s="1"/>
  <c r="C41" i="16" s="1"/>
  <c r="X40" i="35"/>
  <c r="Q40" i="35"/>
  <c r="S40" i="35" s="1"/>
  <c r="U40" i="35" s="1"/>
  <c r="M40" i="35"/>
  <c r="J40" i="35"/>
  <c r="C40" i="35"/>
  <c r="E40" i="35" s="1"/>
  <c r="G40" i="35" s="1"/>
  <c r="C40" i="2" s="1"/>
  <c r="C40" i="16" s="1"/>
  <c r="X39" i="35"/>
  <c r="Q39" i="35"/>
  <c r="S39" i="35" s="1"/>
  <c r="U39" i="35" s="1"/>
  <c r="J39" i="35"/>
  <c r="M39" i="35" s="1"/>
  <c r="C39" i="35"/>
  <c r="E39" i="35" s="1"/>
  <c r="G39" i="35" s="1"/>
  <c r="C39" i="2" s="1"/>
  <c r="C39" i="16" s="1"/>
  <c r="X38" i="35"/>
  <c r="Q38" i="35"/>
  <c r="S38" i="35" s="1"/>
  <c r="U38" i="35" s="1"/>
  <c r="J38" i="35"/>
  <c r="M38" i="35" s="1"/>
  <c r="C38" i="35"/>
  <c r="E38" i="35" s="1"/>
  <c r="G38" i="35" s="1"/>
  <c r="C38" i="2" s="1"/>
  <c r="C38" i="16" s="1"/>
  <c r="X37" i="35"/>
  <c r="Q37" i="35"/>
  <c r="S37" i="35" s="1"/>
  <c r="U37" i="35" s="1"/>
  <c r="M37" i="35"/>
  <c r="J37" i="35"/>
  <c r="C37" i="35"/>
  <c r="E37" i="35" s="1"/>
  <c r="G37" i="35" s="1"/>
  <c r="C37" i="2" s="1"/>
  <c r="C37" i="16" s="1"/>
  <c r="X36" i="35"/>
  <c r="Q36" i="35"/>
  <c r="S36" i="35" s="1"/>
  <c r="U36" i="35" s="1"/>
  <c r="J36" i="35"/>
  <c r="M36" i="35" s="1"/>
  <c r="C36" i="35"/>
  <c r="E36" i="35" s="1"/>
  <c r="G36" i="35" s="1"/>
  <c r="C36" i="2" s="1"/>
  <c r="C36" i="16" s="1"/>
  <c r="X35" i="35"/>
  <c r="S35" i="35"/>
  <c r="U35" i="35" s="1"/>
  <c r="Q35" i="35"/>
  <c r="J35" i="35"/>
  <c r="M35" i="35" s="1"/>
  <c r="C35" i="35"/>
  <c r="E35" i="35" s="1"/>
  <c r="G35" i="35" s="1"/>
  <c r="C35" i="2" s="1"/>
  <c r="C35" i="16" s="1"/>
  <c r="X34" i="35"/>
  <c r="Q34" i="35"/>
  <c r="S34" i="35" s="1"/>
  <c r="U34" i="35" s="1"/>
  <c r="J34" i="35"/>
  <c r="M34" i="35" s="1"/>
  <c r="C34" i="35"/>
  <c r="E34" i="35" s="1"/>
  <c r="G34" i="35" s="1"/>
  <c r="C34" i="2" s="1"/>
  <c r="C34" i="16" s="1"/>
  <c r="X33" i="35"/>
  <c r="Q33" i="35"/>
  <c r="S33" i="35" s="1"/>
  <c r="U33" i="35" s="1"/>
  <c r="J33" i="35"/>
  <c r="M33" i="35" s="1"/>
  <c r="C33" i="35"/>
  <c r="E33" i="35" s="1"/>
  <c r="G33" i="35" s="1"/>
  <c r="C33" i="2" s="1"/>
  <c r="C33" i="16" s="1"/>
  <c r="X32" i="35"/>
  <c r="Q32" i="35"/>
  <c r="S32" i="35" s="1"/>
  <c r="U32" i="35" s="1"/>
  <c r="M32" i="35"/>
  <c r="J32" i="35"/>
  <c r="C32" i="35"/>
  <c r="E32" i="35" s="1"/>
  <c r="G32" i="35" s="1"/>
  <c r="C32" i="2" s="1"/>
  <c r="C32" i="16" s="1"/>
  <c r="X31" i="35"/>
  <c r="Q31" i="35"/>
  <c r="S31" i="35" s="1"/>
  <c r="U31" i="35" s="1"/>
  <c r="J31" i="35"/>
  <c r="M31" i="35" s="1"/>
  <c r="C31" i="35"/>
  <c r="E31" i="35" s="1"/>
  <c r="G31" i="35" s="1"/>
  <c r="C31" i="2" s="1"/>
  <c r="C31" i="16" s="1"/>
  <c r="X30" i="35"/>
  <c r="Q30" i="35"/>
  <c r="S30" i="35" s="1"/>
  <c r="U30" i="35" s="1"/>
  <c r="J30" i="35"/>
  <c r="M30" i="35" s="1"/>
  <c r="C30" i="35"/>
  <c r="E30" i="35" s="1"/>
  <c r="G30" i="35" s="1"/>
  <c r="C30" i="2" s="1"/>
  <c r="C30" i="16" s="1"/>
  <c r="X29" i="35"/>
  <c r="U29" i="35"/>
  <c r="Q29" i="35"/>
  <c r="S29" i="35" s="1"/>
  <c r="J29" i="35"/>
  <c r="M29" i="35" s="1"/>
  <c r="C29" i="35"/>
  <c r="E29" i="35" s="1"/>
  <c r="G29" i="35" s="1"/>
  <c r="C29" i="2" s="1"/>
  <c r="C29" i="16" s="1"/>
  <c r="X28" i="35"/>
  <c r="Q28" i="35"/>
  <c r="S28" i="35" s="1"/>
  <c r="U28" i="35" s="1"/>
  <c r="J28" i="35"/>
  <c r="M28" i="35" s="1"/>
  <c r="C28" i="35"/>
  <c r="E28" i="35" s="1"/>
  <c r="G28" i="35" s="1"/>
  <c r="C28" i="2" s="1"/>
  <c r="C28" i="16" s="1"/>
  <c r="X27" i="35"/>
  <c r="S27" i="35"/>
  <c r="U27" i="35" s="1"/>
  <c r="Q27" i="35"/>
  <c r="J27" i="35"/>
  <c r="M27" i="35" s="1"/>
  <c r="C27" i="35"/>
  <c r="E27" i="35" s="1"/>
  <c r="G27" i="35" s="1"/>
  <c r="C27" i="2" s="1"/>
  <c r="C27" i="16" s="1"/>
  <c r="X26" i="35"/>
  <c r="Q26" i="35"/>
  <c r="S26" i="35" s="1"/>
  <c r="U26" i="35" s="1"/>
  <c r="J26" i="35"/>
  <c r="M26" i="35" s="1"/>
  <c r="C26" i="35"/>
  <c r="E26" i="35" s="1"/>
  <c r="G26" i="35" s="1"/>
  <c r="C26" i="2" s="1"/>
  <c r="C26" i="16" s="1"/>
  <c r="X25" i="35"/>
  <c r="Q25" i="35"/>
  <c r="S25" i="35" s="1"/>
  <c r="U25" i="35" s="1"/>
  <c r="J25" i="35"/>
  <c r="M25" i="35" s="1"/>
  <c r="C25" i="35"/>
  <c r="E25" i="35" s="1"/>
  <c r="G25" i="35" s="1"/>
  <c r="C25" i="2" s="1"/>
  <c r="C25" i="16" s="1"/>
  <c r="X24" i="35"/>
  <c r="Q24" i="35"/>
  <c r="S24" i="35" s="1"/>
  <c r="U24" i="35" s="1"/>
  <c r="J24" i="35"/>
  <c r="M24" i="35" s="1"/>
  <c r="C24" i="35"/>
  <c r="E24" i="35" s="1"/>
  <c r="G24" i="35" s="1"/>
  <c r="C24" i="2" s="1"/>
  <c r="C24" i="16" s="1"/>
  <c r="X23" i="35"/>
  <c r="Q23" i="35"/>
  <c r="S23" i="35" s="1"/>
  <c r="U23" i="35" s="1"/>
  <c r="J23" i="35"/>
  <c r="M23" i="35" s="1"/>
  <c r="C23" i="35"/>
  <c r="E23" i="35" s="1"/>
  <c r="G23" i="35" s="1"/>
  <c r="C23" i="2" s="1"/>
  <c r="C23" i="16" s="1"/>
  <c r="X22" i="35"/>
  <c r="Q22" i="35"/>
  <c r="S22" i="35" s="1"/>
  <c r="U22" i="35" s="1"/>
  <c r="J22" i="35"/>
  <c r="M22" i="35" s="1"/>
  <c r="C22" i="35"/>
  <c r="E22" i="35" s="1"/>
  <c r="G22" i="35" s="1"/>
  <c r="X21" i="35"/>
  <c r="Q21" i="35"/>
  <c r="S21" i="35" s="1"/>
  <c r="U21" i="35" s="1"/>
  <c r="J21" i="35"/>
  <c r="M21" i="35" s="1"/>
  <c r="C21" i="35"/>
  <c r="E21" i="35" s="1"/>
  <c r="G21" i="35" s="1"/>
  <c r="X20" i="35"/>
  <c r="Q20" i="35"/>
  <c r="S20" i="35" s="1"/>
  <c r="U20" i="35" s="1"/>
  <c r="J20" i="35"/>
  <c r="M20" i="35" s="1"/>
  <c r="C20" i="35"/>
  <c r="E20" i="35" s="1"/>
  <c r="G20" i="35" s="1"/>
  <c r="X19" i="35"/>
  <c r="Q19" i="35"/>
  <c r="S19" i="35" s="1"/>
  <c r="U19" i="35" s="1"/>
  <c r="M19" i="35"/>
  <c r="J19" i="35"/>
  <c r="C19" i="35"/>
  <c r="E19" i="35" s="1"/>
  <c r="G19" i="35" s="1"/>
  <c r="X18" i="35"/>
  <c r="Q18" i="35"/>
  <c r="S18" i="35" s="1"/>
  <c r="U18" i="35" s="1"/>
  <c r="J18" i="35"/>
  <c r="M18" i="35" s="1"/>
  <c r="C18" i="35"/>
  <c r="E18" i="35" s="1"/>
  <c r="G18" i="35" s="1"/>
  <c r="X17" i="35"/>
  <c r="Q17" i="35"/>
  <c r="S17" i="35" s="1"/>
  <c r="U17" i="35" s="1"/>
  <c r="M17" i="35"/>
  <c r="J17" i="35"/>
  <c r="C17" i="35"/>
  <c r="E17" i="35" s="1"/>
  <c r="G17" i="35" s="1"/>
  <c r="X16" i="35"/>
  <c r="Q16" i="35"/>
  <c r="S16" i="35" s="1"/>
  <c r="U16" i="35" s="1"/>
  <c r="M16" i="35"/>
  <c r="J16" i="35"/>
  <c r="C16" i="35"/>
  <c r="E16" i="35" s="1"/>
  <c r="G16" i="35" s="1"/>
  <c r="X15" i="35"/>
  <c r="Q15" i="35"/>
  <c r="S15" i="35" s="1"/>
  <c r="U15" i="35" s="1"/>
  <c r="J15" i="35"/>
  <c r="M15" i="35" s="1"/>
  <c r="C15" i="35"/>
  <c r="E15" i="35" s="1"/>
  <c r="G15" i="35" s="1"/>
  <c r="X14" i="35"/>
  <c r="Q14" i="35"/>
  <c r="S14" i="35" s="1"/>
  <c r="U14" i="35" s="1"/>
  <c r="J14" i="35"/>
  <c r="M14" i="35" s="1"/>
  <c r="C14" i="35"/>
  <c r="E14" i="35" s="1"/>
  <c r="G14" i="35" s="1"/>
  <c r="X13" i="35"/>
  <c r="Q13" i="35"/>
  <c r="S13" i="35" s="1"/>
  <c r="U13" i="35" s="1"/>
  <c r="J13" i="35"/>
  <c r="M13" i="35" s="1"/>
  <c r="C13" i="35"/>
  <c r="E13" i="35" s="1"/>
  <c r="G13" i="35" s="1"/>
  <c r="X12" i="35"/>
  <c r="Q12" i="35"/>
  <c r="S12" i="35" s="1"/>
  <c r="U12" i="35" s="1"/>
  <c r="J12" i="35"/>
  <c r="M12" i="35" s="1"/>
  <c r="C12" i="35"/>
  <c r="E12" i="35" s="1"/>
  <c r="G12" i="35" s="1"/>
  <c r="X11" i="35"/>
  <c r="Q11" i="35"/>
  <c r="S11" i="35" s="1"/>
  <c r="U11" i="35" s="1"/>
  <c r="J11" i="35"/>
  <c r="M11" i="35" s="1"/>
  <c r="C11" i="35"/>
  <c r="E11" i="35" s="1"/>
  <c r="G11" i="35" s="1"/>
  <c r="X10" i="35"/>
  <c r="Q10" i="35"/>
  <c r="S10" i="35" s="1"/>
  <c r="U10" i="35" s="1"/>
  <c r="J10" i="35"/>
  <c r="M10" i="35" s="1"/>
  <c r="C10" i="35"/>
  <c r="E10" i="35" s="1"/>
  <c r="G10" i="35" s="1"/>
  <c r="X9" i="35"/>
  <c r="Q9" i="35"/>
  <c r="S9" i="35" s="1"/>
  <c r="U9" i="35" s="1"/>
  <c r="J9" i="35"/>
  <c r="M9" i="35" s="1"/>
  <c r="C9" i="35"/>
  <c r="E9" i="35" s="1"/>
  <c r="G9" i="35" s="1"/>
  <c r="X8" i="35"/>
  <c r="Q8" i="35"/>
  <c r="S8" i="35" s="1"/>
  <c r="U8" i="35" s="1"/>
  <c r="J8" i="35"/>
  <c r="M8" i="35" s="1"/>
  <c r="C8" i="35"/>
  <c r="E8" i="35" s="1"/>
  <c r="G8" i="35" s="1"/>
  <c r="X7" i="35"/>
  <c r="S7" i="35"/>
  <c r="U7" i="35" s="1"/>
  <c r="Q7" i="35"/>
  <c r="J7" i="35"/>
  <c r="M7" i="35" s="1"/>
  <c r="C7" i="35"/>
  <c r="E7" i="35" s="1"/>
  <c r="G7" i="35" s="1"/>
  <c r="X6" i="35"/>
  <c r="S6" i="35"/>
  <c r="U6" i="35" s="1"/>
  <c r="Q6" i="35"/>
  <c r="J6" i="35"/>
  <c r="M6" i="35" s="1"/>
  <c r="C6" i="35"/>
  <c r="E6" i="35" s="1"/>
  <c r="G6" i="35" s="1"/>
  <c r="X5" i="35"/>
  <c r="Q5" i="35"/>
  <c r="S5" i="35" s="1"/>
  <c r="U5" i="35" s="1"/>
  <c r="M5" i="35"/>
  <c r="J5" i="35"/>
  <c r="C5" i="35"/>
  <c r="E5" i="35" s="1"/>
  <c r="G5" i="35" s="1"/>
  <c r="X107" i="35" l="1"/>
  <c r="J206" i="35" s="1"/>
  <c r="K207" i="35"/>
  <c r="K213" i="35" l="1"/>
  <c r="T35" i="16"/>
  <c r="Q35" i="16"/>
  <c r="P35" i="16"/>
  <c r="O35" i="16"/>
  <c r="T34" i="16"/>
  <c r="K209" i="64"/>
  <c r="R34" i="16" s="1"/>
  <c r="Q34" i="16"/>
  <c r="P34" i="16"/>
  <c r="O34" i="16"/>
  <c r="K212" i="64"/>
  <c r="N34" i="16" s="1"/>
  <c r="J5" i="64"/>
  <c r="J12" i="64"/>
  <c r="J14" i="64"/>
  <c r="J17" i="64"/>
  <c r="J19" i="64"/>
  <c r="J23" i="64"/>
  <c r="J29" i="64"/>
  <c r="J34" i="64"/>
  <c r="J35" i="64"/>
  <c r="M35" i="64" s="1"/>
  <c r="J37" i="64"/>
  <c r="J39" i="64"/>
  <c r="J40" i="64"/>
  <c r="J43" i="64"/>
  <c r="J47" i="64"/>
  <c r="J49" i="64"/>
  <c r="J59" i="64"/>
  <c r="J67" i="64"/>
  <c r="M67" i="64" s="1"/>
  <c r="J85" i="64"/>
  <c r="J88" i="64"/>
  <c r="J102" i="64"/>
  <c r="J168" i="64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D29" i="16"/>
  <c r="D30" i="16"/>
  <c r="E30" i="16" s="1"/>
  <c r="G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D37" i="16"/>
  <c r="D38" i="16"/>
  <c r="D39" i="16"/>
  <c r="E39" i="16" s="1"/>
  <c r="D40" i="16"/>
  <c r="E40" i="16" s="1"/>
  <c r="D41" i="16"/>
  <c r="E41" i="16" s="1"/>
  <c r="D42" i="16"/>
  <c r="E42" i="16" s="1"/>
  <c r="D43" i="16"/>
  <c r="E43" i="16" s="1"/>
  <c r="D44" i="16"/>
  <c r="D45" i="16"/>
  <c r="D46" i="16"/>
  <c r="E46" i="16" s="1"/>
  <c r="D47" i="16"/>
  <c r="E47" i="16" s="1"/>
  <c r="D48" i="16"/>
  <c r="E48" i="16" s="1"/>
  <c r="D49" i="16"/>
  <c r="E49" i="16" s="1"/>
  <c r="D50" i="16"/>
  <c r="E50" i="16" s="1"/>
  <c r="D51" i="16"/>
  <c r="E51" i="16" s="1"/>
  <c r="D52" i="16"/>
  <c r="D53" i="16"/>
  <c r="D54" i="16"/>
  <c r="E54" i="16" s="1"/>
  <c r="D55" i="16"/>
  <c r="E55" i="16" s="1"/>
  <c r="D56" i="16"/>
  <c r="E56" i="16" s="1"/>
  <c r="D57" i="16"/>
  <c r="E57" i="16" s="1"/>
  <c r="D58" i="16"/>
  <c r="E58" i="16" s="1"/>
  <c r="D59" i="16"/>
  <c r="E59" i="16" s="1"/>
  <c r="D60" i="16"/>
  <c r="D61" i="16"/>
  <c r="D62" i="16"/>
  <c r="E62" i="16" s="1"/>
  <c r="D63" i="16"/>
  <c r="E63" i="16" s="1"/>
  <c r="G63" i="16" s="1"/>
  <c r="D64" i="16"/>
  <c r="E64" i="16" s="1"/>
  <c r="D65" i="16"/>
  <c r="E65" i="16" s="1"/>
  <c r="D66" i="16"/>
  <c r="E66" i="16" s="1"/>
  <c r="D67" i="16"/>
  <c r="E67" i="16" s="1"/>
  <c r="D68" i="16"/>
  <c r="D69" i="16"/>
  <c r="D70" i="16"/>
  <c r="E70" i="16" s="1"/>
  <c r="D71" i="16"/>
  <c r="E71" i="16" s="1"/>
  <c r="G71" i="16" s="1"/>
  <c r="D72" i="16"/>
  <c r="E72" i="16" s="1"/>
  <c r="D73" i="16"/>
  <c r="D74" i="16"/>
  <c r="E74" i="16" s="1"/>
  <c r="D75" i="16"/>
  <c r="E75" i="16" s="1"/>
  <c r="D76" i="16"/>
  <c r="D77" i="16"/>
  <c r="D78" i="16"/>
  <c r="E78" i="16" s="1"/>
  <c r="G78" i="16" s="1"/>
  <c r="D79" i="16"/>
  <c r="E79" i="16" s="1"/>
  <c r="D80" i="16"/>
  <c r="E80" i="16" s="1"/>
  <c r="D81" i="16"/>
  <c r="E81" i="16" s="1"/>
  <c r="D82" i="16"/>
  <c r="E82" i="16" s="1"/>
  <c r="D83" i="16"/>
  <c r="E83" i="16" s="1"/>
  <c r="D84" i="16"/>
  <c r="D85" i="16"/>
  <c r="D86" i="16"/>
  <c r="E86" i="16" s="1"/>
  <c r="D87" i="16"/>
  <c r="E87" i="16" s="1"/>
  <c r="D88" i="16"/>
  <c r="E88" i="16" s="1"/>
  <c r="D89" i="16"/>
  <c r="D90" i="16"/>
  <c r="E90" i="16" s="1"/>
  <c r="D91" i="16"/>
  <c r="D92" i="16"/>
  <c r="D93" i="16"/>
  <c r="D94" i="16"/>
  <c r="E94" i="16" s="1"/>
  <c r="D95" i="16"/>
  <c r="E95" i="16" s="1"/>
  <c r="G95" i="16" s="1"/>
  <c r="D96" i="16"/>
  <c r="E96" i="16" s="1"/>
  <c r="D97" i="16"/>
  <c r="E97" i="16" s="1"/>
  <c r="D98" i="16"/>
  <c r="E98" i="16" s="1"/>
  <c r="D99" i="16"/>
  <c r="E99" i="16" s="1"/>
  <c r="D100" i="16"/>
  <c r="D101" i="16"/>
  <c r="D102" i="16"/>
  <c r="E102" i="16" s="1"/>
  <c r="D103" i="16"/>
  <c r="E103" i="16" s="1"/>
  <c r="D104" i="16"/>
  <c r="E104" i="16" s="1"/>
  <c r="D105" i="16"/>
  <c r="D106" i="16"/>
  <c r="E106" i="16" s="1"/>
  <c r="D107" i="16"/>
  <c r="E107" i="16" s="1"/>
  <c r="D108" i="16"/>
  <c r="D109" i="16"/>
  <c r="D110" i="16"/>
  <c r="E110" i="16" s="1"/>
  <c r="G110" i="16" s="1"/>
  <c r="D111" i="16"/>
  <c r="E111" i="16" s="1"/>
  <c r="G111" i="16" s="1"/>
  <c r="D112" i="16"/>
  <c r="E112" i="16" s="1"/>
  <c r="D113" i="16"/>
  <c r="E113" i="16" s="1"/>
  <c r="D114" i="16"/>
  <c r="E114" i="16" s="1"/>
  <c r="D115" i="16"/>
  <c r="E115" i="16" s="1"/>
  <c r="D116" i="16"/>
  <c r="D117" i="16"/>
  <c r="D118" i="16"/>
  <c r="E118" i="16" s="1"/>
  <c r="D119" i="16"/>
  <c r="E119" i="16" s="1"/>
  <c r="D120" i="16"/>
  <c r="E120" i="16" s="1"/>
  <c r="D121" i="16"/>
  <c r="E121" i="16" s="1"/>
  <c r="D122" i="16"/>
  <c r="E122" i="16" s="1"/>
  <c r="D123" i="16"/>
  <c r="E123" i="16" s="1"/>
  <c r="D124" i="16"/>
  <c r="D125" i="16"/>
  <c r="D126" i="16"/>
  <c r="E126" i="16" s="1"/>
  <c r="D127" i="16"/>
  <c r="E127" i="16" s="1"/>
  <c r="D128" i="16"/>
  <c r="E128" i="16" s="1"/>
  <c r="D129" i="16"/>
  <c r="E129" i="16" s="1"/>
  <c r="D130" i="16"/>
  <c r="E130" i="16" s="1"/>
  <c r="D131" i="16"/>
  <c r="E131" i="16" s="1"/>
  <c r="D132" i="16"/>
  <c r="D133" i="16"/>
  <c r="D134" i="16"/>
  <c r="E134" i="16" s="1"/>
  <c r="D135" i="16"/>
  <c r="E135" i="16" s="1"/>
  <c r="G135" i="16" s="1"/>
  <c r="D136" i="16"/>
  <c r="E136" i="16" s="1"/>
  <c r="D137" i="16"/>
  <c r="D138" i="16"/>
  <c r="E138" i="16" s="1"/>
  <c r="D139" i="16"/>
  <c r="E139" i="16" s="1"/>
  <c r="D140" i="16"/>
  <c r="D141" i="16"/>
  <c r="D142" i="16"/>
  <c r="E142" i="16" s="1"/>
  <c r="D143" i="16"/>
  <c r="E143" i="16" s="1"/>
  <c r="G143" i="16" s="1"/>
  <c r="D144" i="16"/>
  <c r="E144" i="16" s="1"/>
  <c r="D145" i="16"/>
  <c r="E145" i="16" s="1"/>
  <c r="D146" i="16"/>
  <c r="E146" i="16" s="1"/>
  <c r="D147" i="16"/>
  <c r="E147" i="16" s="1"/>
  <c r="D148" i="16"/>
  <c r="D149" i="16"/>
  <c r="D150" i="16"/>
  <c r="E150" i="16" s="1"/>
  <c r="D151" i="16"/>
  <c r="E151" i="16" s="1"/>
  <c r="G151" i="16" s="1"/>
  <c r="D152" i="16"/>
  <c r="E152" i="16" s="1"/>
  <c r="D153" i="16"/>
  <c r="D154" i="16"/>
  <c r="E154" i="16" s="1"/>
  <c r="D155" i="16"/>
  <c r="E155" i="16" s="1"/>
  <c r="D156" i="16"/>
  <c r="D157" i="16"/>
  <c r="D158" i="16"/>
  <c r="E158" i="16" s="1"/>
  <c r="D159" i="16"/>
  <c r="E159" i="16" s="1"/>
  <c r="D160" i="16"/>
  <c r="E160" i="16" s="1"/>
  <c r="D161" i="16"/>
  <c r="E161" i="16" s="1"/>
  <c r="D162" i="16"/>
  <c r="E162" i="16" s="1"/>
  <c r="D163" i="16"/>
  <c r="E163" i="16" s="1"/>
  <c r="D164" i="16"/>
  <c r="D165" i="16"/>
  <c r="D166" i="16"/>
  <c r="E166" i="16" s="1"/>
  <c r="D167" i="16"/>
  <c r="E167" i="16" s="1"/>
  <c r="G167" i="16" s="1"/>
  <c r="D168" i="16"/>
  <c r="E168" i="16" s="1"/>
  <c r="D169" i="16"/>
  <c r="E169" i="16" s="1"/>
  <c r="D170" i="16"/>
  <c r="E170" i="16" s="1"/>
  <c r="D171" i="16"/>
  <c r="E171" i="16" s="1"/>
  <c r="D172" i="16"/>
  <c r="D173" i="16"/>
  <c r="D174" i="16"/>
  <c r="E174" i="16" s="1"/>
  <c r="D175" i="16"/>
  <c r="E175" i="16" s="1"/>
  <c r="D176" i="16"/>
  <c r="E176" i="16" s="1"/>
  <c r="D177" i="16"/>
  <c r="E177" i="16" s="1"/>
  <c r="D178" i="16"/>
  <c r="E178" i="16" s="1"/>
  <c r="D179" i="16"/>
  <c r="E179" i="16" s="1"/>
  <c r="D180" i="16"/>
  <c r="D181" i="16"/>
  <c r="D182" i="16"/>
  <c r="E182" i="16" s="1"/>
  <c r="D183" i="16"/>
  <c r="E183" i="16" s="1"/>
  <c r="D184" i="16"/>
  <c r="E184" i="16" s="1"/>
  <c r="D185" i="16"/>
  <c r="E185" i="16" s="1"/>
  <c r="D186" i="16"/>
  <c r="E186" i="16" s="1"/>
  <c r="D187" i="16"/>
  <c r="D188" i="16"/>
  <c r="D189" i="16"/>
  <c r="D190" i="16"/>
  <c r="E190" i="16" s="1"/>
  <c r="D191" i="16"/>
  <c r="E191" i="16" s="1"/>
  <c r="D192" i="16"/>
  <c r="E192" i="16" s="1"/>
  <c r="D193" i="16"/>
  <c r="D194" i="16"/>
  <c r="E194" i="16" s="1"/>
  <c r="D195" i="16"/>
  <c r="D196" i="16"/>
  <c r="D197" i="16"/>
  <c r="D198" i="16"/>
  <c r="E198" i="16" s="1"/>
  <c r="D199" i="16"/>
  <c r="E199" i="16" s="1"/>
  <c r="D200" i="16"/>
  <c r="E200" i="16" s="1"/>
  <c r="D201" i="16"/>
  <c r="E201" i="16" s="1"/>
  <c r="D202" i="16"/>
  <c r="E202" i="16" s="1"/>
  <c r="D203" i="16"/>
  <c r="E203" i="16" s="1"/>
  <c r="D204" i="16"/>
  <c r="D205" i="16"/>
  <c r="D206" i="16"/>
  <c r="D207" i="16"/>
  <c r="D208" i="16"/>
  <c r="D209" i="16"/>
  <c r="E209" i="16" s="1"/>
  <c r="G209" i="16" s="1"/>
  <c r="D210" i="16"/>
  <c r="D211" i="16"/>
  <c r="D212" i="16"/>
  <c r="D213" i="16"/>
  <c r="D214" i="16"/>
  <c r="D215" i="16"/>
  <c r="D216" i="16"/>
  <c r="D217" i="16"/>
  <c r="E217" i="16" s="1"/>
  <c r="G217" i="16" s="1"/>
  <c r="D218" i="16"/>
  <c r="D219" i="16"/>
  <c r="D220" i="16"/>
  <c r="D221" i="16"/>
  <c r="D5" i="16"/>
  <c r="K220" i="65"/>
  <c r="K212" i="65"/>
  <c r="N35" i="16" s="1"/>
  <c r="K209" i="65"/>
  <c r="R35" i="16" s="1"/>
  <c r="K219" i="65"/>
  <c r="J204" i="65"/>
  <c r="M204" i="65" s="1"/>
  <c r="J203" i="65"/>
  <c r="M203" i="65" s="1"/>
  <c r="M202" i="65"/>
  <c r="J202" i="65"/>
  <c r="J201" i="65"/>
  <c r="M201" i="65"/>
  <c r="M200" i="65"/>
  <c r="J200" i="65"/>
  <c r="J199" i="65"/>
  <c r="M199" i="65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/>
  <c r="J192" i="65"/>
  <c r="M192" i="65"/>
  <c r="J191" i="65"/>
  <c r="M191" i="65"/>
  <c r="J190" i="65"/>
  <c r="M190" i="65" s="1"/>
  <c r="J189" i="65"/>
  <c r="M189" i="65"/>
  <c r="M188" i="65"/>
  <c r="J188" i="65"/>
  <c r="J187" i="65"/>
  <c r="M187" i="65" s="1"/>
  <c r="M186" i="65"/>
  <c r="J186" i="65"/>
  <c r="J185" i="65"/>
  <c r="M185" i="65"/>
  <c r="J184" i="65"/>
  <c r="M184" i="65" s="1"/>
  <c r="J183" i="65"/>
  <c r="M183" i="65"/>
  <c r="J182" i="65"/>
  <c r="M182" i="65" s="1"/>
  <c r="J181" i="65"/>
  <c r="M181" i="65" s="1"/>
  <c r="M180" i="65"/>
  <c r="J180" i="65"/>
  <c r="J179" i="65"/>
  <c r="M179" i="65" s="1"/>
  <c r="J178" i="65"/>
  <c r="M178" i="65" s="1"/>
  <c r="J177" i="65"/>
  <c r="M177" i="65"/>
  <c r="J176" i="65"/>
  <c r="M176" i="65"/>
  <c r="J175" i="65"/>
  <c r="M175" i="65"/>
  <c r="J174" i="65"/>
  <c r="M174" i="65" s="1"/>
  <c r="J173" i="65"/>
  <c r="M173" i="65"/>
  <c r="M172" i="65"/>
  <c r="J172" i="65"/>
  <c r="J171" i="65"/>
  <c r="M171" i="65" s="1"/>
  <c r="J170" i="65"/>
  <c r="M170" i="65" s="1"/>
  <c r="J169" i="65"/>
  <c r="M169" i="65"/>
  <c r="J168" i="65"/>
  <c r="M168" i="65" s="1"/>
  <c r="J167" i="65"/>
  <c r="M167" i="65"/>
  <c r="M166" i="65"/>
  <c r="J166" i="65"/>
  <c r="J165" i="65"/>
  <c r="M165" i="65"/>
  <c r="M164" i="65"/>
  <c r="J164" i="65"/>
  <c r="J163" i="65"/>
  <c r="M163" i="65" s="1"/>
  <c r="J162" i="65"/>
  <c r="M162" i="65" s="1"/>
  <c r="J161" i="65"/>
  <c r="M161" i="65"/>
  <c r="J160" i="65"/>
  <c r="M160" i="65"/>
  <c r="J159" i="65"/>
  <c r="M159" i="65"/>
  <c r="J158" i="65"/>
  <c r="M158" i="65" s="1"/>
  <c r="J157" i="65"/>
  <c r="M157" i="65"/>
  <c r="M156" i="65"/>
  <c r="J156" i="65"/>
  <c r="J155" i="65"/>
  <c r="M155" i="65" s="1"/>
  <c r="J154" i="65"/>
  <c r="M154" i="65" s="1"/>
  <c r="J153" i="65"/>
  <c r="M153" i="65"/>
  <c r="J152" i="65"/>
  <c r="M152" i="65" s="1"/>
  <c r="J151" i="65"/>
  <c r="M151" i="65"/>
  <c r="M150" i="65"/>
  <c r="J150" i="65"/>
  <c r="J149" i="65"/>
  <c r="M149" i="65"/>
  <c r="J148" i="65"/>
  <c r="M148" i="65" s="1"/>
  <c r="J147" i="65"/>
  <c r="M147" i="65" s="1"/>
  <c r="J146" i="65"/>
  <c r="M146" i="65" s="1"/>
  <c r="J145" i="65"/>
  <c r="M145" i="65"/>
  <c r="J144" i="65"/>
  <c r="M144" i="65"/>
  <c r="J143" i="65"/>
  <c r="M143" i="65"/>
  <c r="J142" i="65"/>
  <c r="M142" i="65" s="1"/>
  <c r="J141" i="65"/>
  <c r="M141" i="65" s="1"/>
  <c r="J140" i="65"/>
  <c r="M140" i="65" s="1"/>
  <c r="J139" i="65"/>
  <c r="M139" i="65" s="1"/>
  <c r="M138" i="65"/>
  <c r="J138" i="65"/>
  <c r="J137" i="65"/>
  <c r="M137" i="65"/>
  <c r="J136" i="65"/>
  <c r="M136" i="65" s="1"/>
  <c r="J135" i="65"/>
  <c r="M135" i="65"/>
  <c r="J134" i="65"/>
  <c r="M134" i="65" s="1"/>
  <c r="J133" i="65"/>
  <c r="M133" i="65"/>
  <c r="M132" i="65"/>
  <c r="J132" i="65"/>
  <c r="J131" i="65"/>
  <c r="M131" i="65" s="1"/>
  <c r="M130" i="65"/>
  <c r="J130" i="65"/>
  <c r="J129" i="65"/>
  <c r="M129" i="65"/>
  <c r="J128" i="65"/>
  <c r="M128" i="65" s="1"/>
  <c r="J127" i="65"/>
  <c r="M127" i="65"/>
  <c r="J126" i="65"/>
  <c r="M126" i="65" s="1"/>
  <c r="J125" i="65"/>
  <c r="M125" i="65"/>
  <c r="J124" i="65"/>
  <c r="M124" i="65" s="1"/>
  <c r="J123" i="65"/>
  <c r="M123" i="65" s="1"/>
  <c r="J122" i="65"/>
  <c r="M122" i="65" s="1"/>
  <c r="J121" i="65"/>
  <c r="M121" i="65"/>
  <c r="J120" i="65"/>
  <c r="M120" i="65"/>
  <c r="J119" i="65"/>
  <c r="M119" i="65"/>
  <c r="J118" i="65"/>
  <c r="M118" i="65" s="1"/>
  <c r="J117" i="65"/>
  <c r="M117" i="65" s="1"/>
  <c r="J116" i="65"/>
  <c r="M116" i="65" s="1"/>
  <c r="J115" i="65"/>
  <c r="M115" i="65" s="1"/>
  <c r="M114" i="65"/>
  <c r="J114" i="65"/>
  <c r="J113" i="65"/>
  <c r="M113" i="65"/>
  <c r="J112" i="65"/>
  <c r="M112" i="65" s="1"/>
  <c r="J111" i="65"/>
  <c r="M111" i="65"/>
  <c r="J110" i="65"/>
  <c r="M110" i="65" s="1"/>
  <c r="J109" i="65"/>
  <c r="M109" i="65" s="1"/>
  <c r="J108" i="65"/>
  <c r="M108" i="65" s="1"/>
  <c r="J107" i="65"/>
  <c r="M107" i="65"/>
  <c r="J106" i="65"/>
  <c r="M106" i="65" s="1"/>
  <c r="Z105" i="65"/>
  <c r="J105" i="65"/>
  <c r="M105" i="65" s="1"/>
  <c r="X104" i="65"/>
  <c r="Q104" i="65"/>
  <c r="S104" i="65" s="1"/>
  <c r="U104" i="65" s="1"/>
  <c r="M104" i="65"/>
  <c r="J104" i="65"/>
  <c r="X103" i="65"/>
  <c r="Q103" i="65"/>
  <c r="S103" i="65" s="1"/>
  <c r="U103" i="65" s="1"/>
  <c r="M103" i="65"/>
  <c r="J103" i="65"/>
  <c r="X102" i="65"/>
  <c r="Q102" i="65"/>
  <c r="S102" i="65" s="1"/>
  <c r="U102" i="65" s="1"/>
  <c r="M102" i="65"/>
  <c r="J102" i="65"/>
  <c r="X101" i="65"/>
  <c r="Q101" i="65"/>
  <c r="S101" i="65" s="1"/>
  <c r="U101" i="65" s="1"/>
  <c r="M101" i="65"/>
  <c r="J101" i="65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/>
  <c r="X98" i="65"/>
  <c r="Q98" i="65"/>
  <c r="S98" i="65" s="1"/>
  <c r="U98" i="65" s="1"/>
  <c r="M98" i="65"/>
  <c r="J98" i="65"/>
  <c r="X97" i="65"/>
  <c r="Q97" i="65"/>
  <c r="S97" i="65" s="1"/>
  <c r="U97" i="65" s="1"/>
  <c r="J97" i="65"/>
  <c r="M97" i="65"/>
  <c r="X96" i="65"/>
  <c r="S96" i="65"/>
  <c r="U96" i="65" s="1"/>
  <c r="Q96" i="65"/>
  <c r="J96" i="65"/>
  <c r="M96" i="65" s="1"/>
  <c r="X95" i="65"/>
  <c r="Q95" i="65"/>
  <c r="S95" i="65" s="1"/>
  <c r="U95" i="65" s="1"/>
  <c r="J95" i="65"/>
  <c r="M95" i="65"/>
  <c r="X94" i="65"/>
  <c r="Q94" i="65"/>
  <c r="S94" i="65" s="1"/>
  <c r="U94" i="65" s="1"/>
  <c r="J94" i="65"/>
  <c r="M94" i="65"/>
  <c r="X93" i="65"/>
  <c r="S93" i="65"/>
  <c r="U93" i="65" s="1"/>
  <c r="Q93" i="65"/>
  <c r="M93" i="65"/>
  <c r="J93" i="65"/>
  <c r="X92" i="65"/>
  <c r="Q92" i="65"/>
  <c r="S92" i="65" s="1"/>
  <c r="U92" i="65" s="1"/>
  <c r="J92" i="65"/>
  <c r="M92" i="65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/>
  <c r="X83" i="65"/>
  <c r="Q83" i="65"/>
  <c r="S83" i="65" s="1"/>
  <c r="U83" i="65" s="1"/>
  <c r="J83" i="65"/>
  <c r="M83" i="65"/>
  <c r="X82" i="65"/>
  <c r="Q82" i="65"/>
  <c r="S82" i="65" s="1"/>
  <c r="U82" i="65" s="1"/>
  <c r="M82" i="65"/>
  <c r="J82" i="65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M77" i="65"/>
  <c r="J77" i="65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S72" i="65"/>
  <c r="U72" i="65" s="1"/>
  <c r="Q72" i="65"/>
  <c r="J72" i="65"/>
  <c r="M72" i="65" s="1"/>
  <c r="X71" i="65"/>
  <c r="Q71" i="65"/>
  <c r="S71" i="65" s="1"/>
  <c r="U71" i="65" s="1"/>
  <c r="M71" i="65"/>
  <c r="J71" i="65"/>
  <c r="X70" i="65"/>
  <c r="Q70" i="65"/>
  <c r="S70" i="65" s="1"/>
  <c r="U70" i="65" s="1"/>
  <c r="M70" i="65"/>
  <c r="J70" i="65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S64" i="65"/>
  <c r="U64" i="65" s="1"/>
  <c r="Q64" i="65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M61" i="65"/>
  <c r="J61" i="65"/>
  <c r="X60" i="65"/>
  <c r="S60" i="65"/>
  <c r="U60" i="65" s="1"/>
  <c r="Q60" i="65"/>
  <c r="J60" i="65"/>
  <c r="M60" i="65"/>
  <c r="X59" i="65"/>
  <c r="Q59" i="65"/>
  <c r="S59" i="65" s="1"/>
  <c r="U59" i="65" s="1"/>
  <c r="J59" i="65"/>
  <c r="M59" i="65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/>
  <c r="X56" i="65"/>
  <c r="S56" i="65"/>
  <c r="U56" i="65" s="1"/>
  <c r="Q56" i="65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/>
  <c r="J54" i="65"/>
  <c r="M54" i="65" s="1"/>
  <c r="X53" i="65"/>
  <c r="Q53" i="65"/>
  <c r="S53" i="65" s="1"/>
  <c r="U53" i="65" s="1"/>
  <c r="M53" i="65"/>
  <c r="J53" i="65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/>
  <c r="X50" i="65"/>
  <c r="Q50" i="65"/>
  <c r="S50" i="65" s="1"/>
  <c r="U50" i="65" s="1"/>
  <c r="M50" i="65"/>
  <c r="J50" i="65"/>
  <c r="X49" i="65"/>
  <c r="Q49" i="65"/>
  <c r="S49" i="65" s="1"/>
  <c r="U49" i="65" s="1"/>
  <c r="J49" i="65"/>
  <c r="M49" i="65"/>
  <c r="X48" i="65"/>
  <c r="S48" i="65"/>
  <c r="U48" i="65" s="1"/>
  <c r="Q48" i="65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M46" i="65"/>
  <c r="J46" i="65"/>
  <c r="X45" i="65"/>
  <c r="Q45" i="65"/>
  <c r="S45" i="65" s="1"/>
  <c r="U45" i="65" s="1"/>
  <c r="M45" i="65"/>
  <c r="J45" i="65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/>
  <c r="X40" i="65"/>
  <c r="Q40" i="65"/>
  <c r="S40" i="65" s="1"/>
  <c r="U40" i="65" s="1"/>
  <c r="J40" i="65"/>
  <c r="M40" i="65"/>
  <c r="X39" i="65"/>
  <c r="Q39" i="65"/>
  <c r="S39" i="65" s="1"/>
  <c r="U39" i="65" s="1"/>
  <c r="J39" i="65"/>
  <c r="M39" i="65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M29" i="65"/>
  <c r="J29" i="65"/>
  <c r="X28" i="65"/>
  <c r="Q28" i="65"/>
  <c r="S28" i="65" s="1"/>
  <c r="U28" i="65" s="1"/>
  <c r="J28" i="65"/>
  <c r="M28" i="65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/>
  <c r="X25" i="65"/>
  <c r="Q25" i="65"/>
  <c r="S25" i="65" s="1"/>
  <c r="U25" i="65" s="1"/>
  <c r="M25" i="65"/>
  <c r="J25" i="65"/>
  <c r="X24" i="65"/>
  <c r="Q24" i="65"/>
  <c r="S24" i="65" s="1"/>
  <c r="U24" i="65" s="1"/>
  <c r="J24" i="65"/>
  <c r="M24" i="65"/>
  <c r="X23" i="65"/>
  <c r="S23" i="65"/>
  <c r="U23" i="65" s="1"/>
  <c r="Q23" i="65"/>
  <c r="J23" i="65"/>
  <c r="M23" i="65" s="1"/>
  <c r="X22" i="65"/>
  <c r="Q22" i="65"/>
  <c r="S22" i="65" s="1"/>
  <c r="U22" i="65" s="1"/>
  <c r="J22" i="65"/>
  <c r="M22" i="65"/>
  <c r="X21" i="65"/>
  <c r="Q21" i="65"/>
  <c r="S21" i="65" s="1"/>
  <c r="U21" i="65" s="1"/>
  <c r="J21" i="65"/>
  <c r="M21" i="65"/>
  <c r="X20" i="65"/>
  <c r="Q20" i="65"/>
  <c r="S20" i="65" s="1"/>
  <c r="U20" i="65" s="1"/>
  <c r="J20" i="65"/>
  <c r="M20" i="65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/>
  <c r="X17" i="65"/>
  <c r="S17" i="65"/>
  <c r="U17" i="65" s="1"/>
  <c r="Q17" i="65"/>
  <c r="J17" i="65"/>
  <c r="M17" i="65" s="1"/>
  <c r="X16" i="65"/>
  <c r="X107" i="65" s="1"/>
  <c r="J206" i="65" s="1"/>
  <c r="K207" i="65" s="1"/>
  <c r="Q16" i="65"/>
  <c r="S16" i="65" s="1"/>
  <c r="U16" i="65" s="1"/>
  <c r="J16" i="65"/>
  <c r="M16" i="65" s="1"/>
  <c r="X15" i="65"/>
  <c r="Q15" i="65"/>
  <c r="S15" i="65" s="1"/>
  <c r="U15" i="65" s="1"/>
  <c r="M15" i="65"/>
  <c r="J15" i="65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M9" i="65"/>
  <c r="J9" i="65"/>
  <c r="X8" i="65"/>
  <c r="Q8" i="65"/>
  <c r="S8" i="65" s="1"/>
  <c r="U8" i="65" s="1"/>
  <c r="J8" i="65"/>
  <c r="M8" i="65" s="1"/>
  <c r="X7" i="65"/>
  <c r="S7" i="65"/>
  <c r="U7" i="65" s="1"/>
  <c r="Q7" i="65"/>
  <c r="M7" i="65"/>
  <c r="J7" i="65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0" i="64"/>
  <c r="K219" i="64"/>
  <c r="J204" i="64"/>
  <c r="M204" i="64" s="1"/>
  <c r="J203" i="64"/>
  <c r="M203" i="64" s="1"/>
  <c r="J202" i="64"/>
  <c r="M202" i="64" s="1"/>
  <c r="M201" i="64"/>
  <c r="J201" i="64"/>
  <c r="J200" i="64"/>
  <c r="M200" i="64" s="1"/>
  <c r="J199" i="64"/>
  <c r="M199" i="64" s="1"/>
  <c r="J198" i="64"/>
  <c r="M198" i="64"/>
  <c r="J197" i="64"/>
  <c r="M197" i="64" s="1"/>
  <c r="J196" i="64"/>
  <c r="M196" i="64" s="1"/>
  <c r="J195" i="64"/>
  <c r="M195" i="64" s="1"/>
  <c r="J194" i="64"/>
  <c r="M194" i="64" s="1"/>
  <c r="M193" i="64"/>
  <c r="J193" i="64"/>
  <c r="J192" i="64"/>
  <c r="M192" i="64" s="1"/>
  <c r="J191" i="64"/>
  <c r="M191" i="64" s="1"/>
  <c r="J190" i="64"/>
  <c r="M190" i="64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/>
  <c r="J181" i="64"/>
  <c r="M181" i="64" s="1"/>
  <c r="J180" i="64"/>
  <c r="M180" i="64" s="1"/>
  <c r="J179" i="64"/>
  <c r="M179" i="64" s="1"/>
  <c r="J178" i="64"/>
  <c r="M178" i="64" s="1"/>
  <c r="M177" i="64"/>
  <c r="J177" i="64"/>
  <c r="J176" i="64"/>
  <c r="M176" i="64" s="1"/>
  <c r="J175" i="64"/>
  <c r="M175" i="64" s="1"/>
  <c r="J174" i="64"/>
  <c r="M174" i="64"/>
  <c r="J173" i="64"/>
  <c r="M173" i="64" s="1"/>
  <c r="J172" i="64"/>
  <c r="M172" i="64" s="1"/>
  <c r="M171" i="64"/>
  <c r="J171" i="64"/>
  <c r="J170" i="64"/>
  <c r="M170" i="64"/>
  <c r="J169" i="64"/>
  <c r="M169" i="64" s="1"/>
  <c r="M168" i="64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/>
  <c r="J144" i="64"/>
  <c r="M144" i="64" s="1"/>
  <c r="J143" i="64"/>
  <c r="M143" i="64" s="1"/>
  <c r="J142" i="64"/>
  <c r="M142" i="64" s="1"/>
  <c r="J141" i="64"/>
  <c r="M141" i="64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/>
  <c r="J126" i="64"/>
  <c r="M126" i="64" s="1"/>
  <c r="J125" i="64"/>
  <c r="M125" i="64" s="1"/>
  <c r="J124" i="64"/>
  <c r="M124" i="64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S102" i="64"/>
  <c r="U102" i="64" s="1"/>
  <c r="Q102" i="64"/>
  <c r="M102" i="64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/>
  <c r="U98" i="64" s="1"/>
  <c r="J98" i="64"/>
  <c r="M98" i="64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 s="1"/>
  <c r="U88" i="64" s="1"/>
  <c r="M88" i="64"/>
  <c r="X87" i="64"/>
  <c r="Q87" i="64"/>
  <c r="S87" i="64" s="1"/>
  <c r="U87" i="64" s="1"/>
  <c r="J87" i="64"/>
  <c r="M87" i="64" s="1"/>
  <c r="X86" i="64"/>
  <c r="S86" i="64"/>
  <c r="U86" i="64" s="1"/>
  <c r="Q86" i="64"/>
  <c r="M86" i="64"/>
  <c r="J86" i="64"/>
  <c r="X85" i="64"/>
  <c r="Q85" i="64"/>
  <c r="S85" i="64" s="1"/>
  <c r="U85" i="64" s="1"/>
  <c r="M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/>
  <c r="U80" i="64" s="1"/>
  <c r="J80" i="64"/>
  <c r="M80" i="64" s="1"/>
  <c r="X79" i="64"/>
  <c r="S79" i="64"/>
  <c r="U79" i="64" s="1"/>
  <c r="Q79" i="64"/>
  <c r="J79" i="64"/>
  <c r="M79" i="64" s="1"/>
  <c r="X78" i="64"/>
  <c r="Q78" i="64"/>
  <c r="S78" i="64" s="1"/>
  <c r="U78" i="64" s="1"/>
  <c r="J78" i="64"/>
  <c r="M78" i="64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Q74" i="64"/>
  <c r="S74" i="64" s="1"/>
  <c r="U74" i="64" s="1"/>
  <c r="J74" i="64"/>
  <c r="M74" i="64" s="1"/>
  <c r="X73" i="64"/>
  <c r="Q73" i="64"/>
  <c r="S73" i="64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M61" i="64"/>
  <c r="J61" i="64"/>
  <c r="X60" i="64"/>
  <c r="Q60" i="64"/>
  <c r="S60" i="64" s="1"/>
  <c r="U60" i="64" s="1"/>
  <c r="J60" i="64"/>
  <c r="M60" i="64" s="1"/>
  <c r="X59" i="64"/>
  <c r="Q59" i="64"/>
  <c r="S59" i="64" s="1"/>
  <c r="U59" i="64" s="1"/>
  <c r="M59" i="64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M43" i="64"/>
  <c r="X42" i="64"/>
  <c r="Q42" i="64"/>
  <c r="S42" i="64" s="1"/>
  <c r="U42" i="64" s="1"/>
  <c r="J42" i="64"/>
  <c r="M42" i="64" s="1"/>
  <c r="X41" i="64"/>
  <c r="Q41" i="64"/>
  <c r="S41" i="64" s="1"/>
  <c r="U41" i="64" s="1"/>
  <c r="M41" i="64"/>
  <c r="J41" i="64"/>
  <c r="X40" i="64"/>
  <c r="Q40" i="64"/>
  <c r="S40" i="64" s="1"/>
  <c r="U40" i="64" s="1"/>
  <c r="M40" i="64"/>
  <c r="X39" i="64"/>
  <c r="Q39" i="64"/>
  <c r="S39" i="64" s="1"/>
  <c r="U39" i="64" s="1"/>
  <c r="M39" i="64"/>
  <c r="X38" i="64"/>
  <c r="Q38" i="64"/>
  <c r="S38" i="64" s="1"/>
  <c r="U38" i="64" s="1"/>
  <c r="J38" i="64"/>
  <c r="M38" i="64" s="1"/>
  <c r="X37" i="64"/>
  <c r="Q37" i="64"/>
  <c r="S37" i="64" s="1"/>
  <c r="U37" i="64" s="1"/>
  <c r="M37" i="64"/>
  <c r="X36" i="64"/>
  <c r="Q36" i="64"/>
  <c r="S36" i="64" s="1"/>
  <c r="U36" i="64" s="1"/>
  <c r="J36" i="64"/>
  <c r="M36" i="64" s="1"/>
  <c r="X35" i="64"/>
  <c r="Q35" i="64"/>
  <c r="S35" i="64" s="1"/>
  <c r="U35" i="64" s="1"/>
  <c r="X34" i="64"/>
  <c r="Q34" i="64"/>
  <c r="S34" i="64" s="1"/>
  <c r="U34" i="64" s="1"/>
  <c r="M34" i="64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M29" i="64"/>
  <c r="X28" i="64"/>
  <c r="Q28" i="64"/>
  <c r="S28" i="64" s="1"/>
  <c r="U28" i="64" s="1"/>
  <c r="M28" i="64"/>
  <c r="J28" i="64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M24" i="64"/>
  <c r="J24" i="64"/>
  <c r="X23" i="64"/>
  <c r="Q23" i="64"/>
  <c r="S23" i="64" s="1"/>
  <c r="U23" i="64" s="1"/>
  <c r="M23" i="64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M19" i="64"/>
  <c r="X18" i="64"/>
  <c r="Q18" i="64"/>
  <c r="S18" i="64" s="1"/>
  <c r="U18" i="64" s="1"/>
  <c r="J18" i="64"/>
  <c r="M18" i="64" s="1"/>
  <c r="X17" i="64"/>
  <c r="Q17" i="64"/>
  <c r="S17" i="64" s="1"/>
  <c r="U17" i="64" s="1"/>
  <c r="M17" i="64"/>
  <c r="X16" i="64"/>
  <c r="S16" i="64"/>
  <c r="U16" i="64" s="1"/>
  <c r="Q16" i="64"/>
  <c r="J16" i="64"/>
  <c r="M16" i="64" s="1"/>
  <c r="X15" i="64"/>
  <c r="Q15" i="64"/>
  <c r="S15" i="64"/>
  <c r="U15" i="64" s="1"/>
  <c r="J15" i="64"/>
  <c r="M15" i="64"/>
  <c r="X14" i="64"/>
  <c r="Q14" i="64"/>
  <c r="S14" i="64" s="1"/>
  <c r="U14" i="64" s="1"/>
  <c r="M14" i="64"/>
  <c r="X13" i="64"/>
  <c r="Q13" i="64"/>
  <c r="S13" i="64" s="1"/>
  <c r="U13" i="64" s="1"/>
  <c r="J13" i="64"/>
  <c r="M13" i="64" s="1"/>
  <c r="X12" i="64"/>
  <c r="Q12" i="64"/>
  <c r="S12" i="64" s="1"/>
  <c r="U12" i="64" s="1"/>
  <c r="M12" i="64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/>
  <c r="J9" i="64"/>
  <c r="M9" i="64" s="1"/>
  <c r="X8" i="64"/>
  <c r="Q8" i="64"/>
  <c r="S8" i="64" s="1"/>
  <c r="U8" i="64" s="1"/>
  <c r="J8" i="64"/>
  <c r="M8" i="64" s="1"/>
  <c r="X7" i="64"/>
  <c r="Q7" i="64"/>
  <c r="S7" i="64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K220" i="63"/>
  <c r="K212" i="63"/>
  <c r="N33" i="16" s="1"/>
  <c r="K209" i="63"/>
  <c r="K219" i="63" s="1"/>
  <c r="J204" i="63"/>
  <c r="M204" i="63" s="1"/>
  <c r="M203" i="63"/>
  <c r="J203" i="63"/>
  <c r="J202" i="63"/>
  <c r="M202" i="63" s="1"/>
  <c r="J201" i="63"/>
  <c r="M201" i="63" s="1"/>
  <c r="J200" i="63"/>
  <c r="M200" i="63" s="1"/>
  <c r="J199" i="63"/>
  <c r="M199" i="63" s="1"/>
  <c r="M198" i="63"/>
  <c r="J198" i="63"/>
  <c r="J197" i="63"/>
  <c r="M197" i="63" s="1"/>
  <c r="J196" i="63"/>
  <c r="M196" i="63" s="1"/>
  <c r="M195" i="63"/>
  <c r="J195" i="63"/>
  <c r="J194" i="63"/>
  <c r="M194" i="63" s="1"/>
  <c r="J193" i="63"/>
  <c r="M193" i="63" s="1"/>
  <c r="J192" i="63"/>
  <c r="M192" i="63" s="1"/>
  <c r="J191" i="63"/>
  <c r="M191" i="63" s="1"/>
  <c r="M190" i="63"/>
  <c r="J190" i="63"/>
  <c r="J189" i="63"/>
  <c r="M189" i="63" s="1"/>
  <c r="J188" i="63"/>
  <c r="M188" i="63"/>
  <c r="J187" i="63"/>
  <c r="M187" i="63" s="1"/>
  <c r="J186" i="63"/>
  <c r="M186" i="63" s="1"/>
  <c r="J185" i="63"/>
  <c r="M185" i="63" s="1"/>
  <c r="J184" i="63"/>
  <c r="M184" i="63" s="1"/>
  <c r="J183" i="63"/>
  <c r="M183" i="63" s="1"/>
  <c r="M182" i="63"/>
  <c r="J182" i="63"/>
  <c r="J181" i="63"/>
  <c r="M181" i="63" s="1"/>
  <c r="J180" i="63"/>
  <c r="M180" i="63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/>
  <c r="J172" i="63"/>
  <c r="M172" i="63" s="1"/>
  <c r="M171" i="63"/>
  <c r="J171" i="63"/>
  <c r="M170" i="63"/>
  <c r="J170" i="63"/>
  <c r="J169" i="63"/>
  <c r="M169" i="63" s="1"/>
  <c r="J168" i="63"/>
  <c r="M168" i="63" s="1"/>
  <c r="M167" i="63"/>
  <c r="J167" i="63"/>
  <c r="M166" i="63"/>
  <c r="J166" i="63"/>
  <c r="J165" i="63"/>
  <c r="M165" i="63" s="1"/>
  <c r="J164" i="63"/>
  <c r="M164" i="63" s="1"/>
  <c r="M163" i="63"/>
  <c r="J163" i="63"/>
  <c r="M162" i="63"/>
  <c r="J162" i="63"/>
  <c r="J161" i="63"/>
  <c r="M161" i="63" s="1"/>
  <c r="J160" i="63"/>
  <c r="M160" i="63" s="1"/>
  <c r="J159" i="63"/>
  <c r="M159" i="63" s="1"/>
  <c r="J158" i="63"/>
  <c r="M158" i="63" s="1"/>
  <c r="J157" i="63"/>
  <c r="M157" i="63"/>
  <c r="J156" i="63"/>
  <c r="M156" i="63"/>
  <c r="M155" i="63"/>
  <c r="J155" i="63"/>
  <c r="J154" i="63"/>
  <c r="M154" i="63" s="1"/>
  <c r="J153" i="63"/>
  <c r="M153" i="63" s="1"/>
  <c r="J152" i="63"/>
  <c r="M152" i="63"/>
  <c r="J151" i="63"/>
  <c r="M151" i="63" s="1"/>
  <c r="J150" i="63"/>
  <c r="M150" i="63" s="1"/>
  <c r="J149" i="63"/>
  <c r="M149" i="63" s="1"/>
  <c r="J148" i="63"/>
  <c r="M148" i="63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/>
  <c r="M139" i="63"/>
  <c r="J139" i="63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M123" i="63"/>
  <c r="J123" i="63"/>
  <c r="J122" i="63"/>
  <c r="M122" i="63" s="1"/>
  <c r="J121" i="63"/>
  <c r="M121" i="63" s="1"/>
  <c r="J120" i="63"/>
  <c r="M120" i="63" s="1"/>
  <c r="J119" i="63"/>
  <c r="M119" i="63" s="1"/>
  <c r="M118" i="63"/>
  <c r="J118" i="63"/>
  <c r="J117" i="63"/>
  <c r="M117" i="63" s="1"/>
  <c r="J116" i="63"/>
  <c r="M116" i="63" s="1"/>
  <c r="M115" i="63"/>
  <c r="J115" i="63"/>
  <c r="M114" i="63"/>
  <c r="J114" i="63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M102" i="63"/>
  <c r="J102" i="63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S89" i="63"/>
  <c r="U89" i="63" s="1"/>
  <c r="Q89" i="63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S84" i="63"/>
  <c r="U84" i="63" s="1"/>
  <c r="Q84" i="63"/>
  <c r="J84" i="63"/>
  <c r="M84" i="63" s="1"/>
  <c r="X83" i="63"/>
  <c r="S83" i="63"/>
  <c r="U83" i="63" s="1"/>
  <c r="Q83" i="63"/>
  <c r="J83" i="63"/>
  <c r="M83" i="63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/>
  <c r="U77" i="63" s="1"/>
  <c r="J77" i="63"/>
  <c r="M77" i="63" s="1"/>
  <c r="X76" i="63"/>
  <c r="Q76" i="63"/>
  <c r="S76" i="63" s="1"/>
  <c r="U76" i="63"/>
  <c r="J76" i="63"/>
  <c r="M76" i="63" s="1"/>
  <c r="X75" i="63"/>
  <c r="Q75" i="63"/>
  <c r="S75" i="63" s="1"/>
  <c r="U75" i="63" s="1"/>
  <c r="J75" i="63"/>
  <c r="M75" i="63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M46" i="63"/>
  <c r="J46" i="63"/>
  <c r="X45" i="63"/>
  <c r="Q45" i="63"/>
  <c r="S45" i="63" s="1"/>
  <c r="U45" i="63" s="1"/>
  <c r="M45" i="63"/>
  <c r="J45" i="63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/>
  <c r="X39" i="63"/>
  <c r="Q39" i="63"/>
  <c r="S39" i="63" s="1"/>
  <c r="U39" i="63" s="1"/>
  <c r="J39" i="63"/>
  <c r="M39" i="63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/>
  <c r="X18" i="63"/>
  <c r="Q18" i="63"/>
  <c r="S18" i="63" s="1"/>
  <c r="U18" i="63" s="1"/>
  <c r="J18" i="63"/>
  <c r="M18" i="63" s="1"/>
  <c r="X17" i="63"/>
  <c r="Q17" i="63"/>
  <c r="S17" i="63" s="1"/>
  <c r="U17" i="63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/>
  <c r="U12" i="63" s="1"/>
  <c r="J12" i="63"/>
  <c r="M12" i="63" s="1"/>
  <c r="X11" i="63"/>
  <c r="X107" i="63" s="1"/>
  <c r="J206" i="63" s="1"/>
  <c r="Q11" i="63"/>
  <c r="S11" i="63"/>
  <c r="U11" i="63" s="1"/>
  <c r="J11" i="63"/>
  <c r="M11" i="63"/>
  <c r="X10" i="63"/>
  <c r="S10" i="63"/>
  <c r="U10" i="63" s="1"/>
  <c r="Q10" i="63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X5" i="63"/>
  <c r="Q5" i="63"/>
  <c r="S5" i="63" s="1"/>
  <c r="U5" i="63" s="1"/>
  <c r="J5" i="63"/>
  <c r="K220" i="62"/>
  <c r="K212" i="62"/>
  <c r="N32" i="16" s="1"/>
  <c r="K209" i="62"/>
  <c r="K219" i="62" s="1"/>
  <c r="J204" i="62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/>
  <c r="J187" i="62"/>
  <c r="M187" i="62" s="1"/>
  <c r="J186" i="62"/>
  <c r="M186" i="62" s="1"/>
  <c r="M185" i="62"/>
  <c r="J185" i="62"/>
  <c r="J184" i="62"/>
  <c r="M184" i="62" s="1"/>
  <c r="J183" i="62"/>
  <c r="M183" i="62" s="1"/>
  <c r="J182" i="62"/>
  <c r="M182" i="62" s="1"/>
  <c r="M181" i="62"/>
  <c r="J181" i="62"/>
  <c r="J180" i="62"/>
  <c r="M180" i="62" s="1"/>
  <c r="J179" i="62"/>
  <c r="M179" i="62" s="1"/>
  <c r="J178" i="62"/>
  <c r="M178" i="62"/>
  <c r="M177" i="62"/>
  <c r="J177" i="62"/>
  <c r="J176" i="62"/>
  <c r="M176" i="62"/>
  <c r="J175" i="62"/>
  <c r="M175" i="62" s="1"/>
  <c r="J174" i="62"/>
  <c r="M174" i="62" s="1"/>
  <c r="J173" i="62"/>
  <c r="M173" i="62" s="1"/>
  <c r="J172" i="62"/>
  <c r="M172" i="62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M165" i="62"/>
  <c r="J165" i="62"/>
  <c r="J164" i="62"/>
  <c r="M164" i="62"/>
  <c r="J163" i="62"/>
  <c r="M163" i="62" s="1"/>
  <c r="J162" i="62"/>
  <c r="M162" i="62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/>
  <c r="J155" i="62"/>
  <c r="M155" i="62" s="1"/>
  <c r="J154" i="62"/>
  <c r="M154" i="62" s="1"/>
  <c r="M153" i="62"/>
  <c r="J153" i="62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/>
  <c r="M145" i="62"/>
  <c r="J145" i="62"/>
  <c r="J144" i="62"/>
  <c r="M144" i="62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/>
  <c r="M137" i="62"/>
  <c r="J137" i="62"/>
  <c r="J136" i="62"/>
  <c r="M136" i="62" s="1"/>
  <c r="J135" i="62"/>
  <c r="M135" i="62" s="1"/>
  <c r="J134" i="62"/>
  <c r="M134" i="62" s="1"/>
  <c r="M133" i="62"/>
  <c r="J133" i="62"/>
  <c r="J132" i="62"/>
  <c r="M132" i="62" s="1"/>
  <c r="J131" i="62"/>
  <c r="M131" i="62" s="1"/>
  <c r="J130" i="62"/>
  <c r="M130" i="62" s="1"/>
  <c r="J129" i="62"/>
  <c r="M129" i="62" s="1"/>
  <c r="J128" i="62"/>
  <c r="M128" i="62"/>
  <c r="J127" i="62"/>
  <c r="M127" i="62" s="1"/>
  <c r="J126" i="62"/>
  <c r="M126" i="62" s="1"/>
  <c r="J125" i="62"/>
  <c r="M125" i="62" s="1"/>
  <c r="J124" i="62"/>
  <c r="M124" i="62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/>
  <c r="J111" i="62"/>
  <c r="M111" i="62" s="1"/>
  <c r="J110" i="62"/>
  <c r="M110" i="62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/>
  <c r="U104" i="62" s="1"/>
  <c r="J104" i="62"/>
  <c r="M104" i="62" s="1"/>
  <c r="X103" i="62"/>
  <c r="Q103" i="62"/>
  <c r="S103" i="62" s="1"/>
  <c r="U103" i="62" s="1"/>
  <c r="M103" i="62"/>
  <c r="J103" i="62"/>
  <c r="X102" i="62"/>
  <c r="Q102" i="62"/>
  <c r="S102" i="62"/>
  <c r="U102" i="62" s="1"/>
  <c r="M102" i="62"/>
  <c r="J102" i="62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M81" i="62"/>
  <c r="J81" i="62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M75" i="62"/>
  <c r="J75" i="62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M63" i="62"/>
  <c r="J63" i="62"/>
  <c r="X62" i="62"/>
  <c r="Q62" i="62"/>
  <c r="S62" i="62" s="1"/>
  <c r="U62" i="62" s="1"/>
  <c r="M62" i="62"/>
  <c r="J62" i="62"/>
  <c r="X61" i="62"/>
  <c r="Q61" i="62"/>
  <c r="S61" i="62"/>
  <c r="U61" i="62" s="1"/>
  <c r="J61" i="62"/>
  <c r="M61" i="62" s="1"/>
  <c r="X60" i="62"/>
  <c r="Q60" i="62"/>
  <c r="S60" i="62" s="1"/>
  <c r="U60" i="62" s="1"/>
  <c r="M60" i="62"/>
  <c r="J60" i="62"/>
  <c r="X59" i="62"/>
  <c r="Q59" i="62"/>
  <c r="S59" i="62" s="1"/>
  <c r="U59" i="62" s="1"/>
  <c r="J59" i="62"/>
  <c r="M59" i="62" s="1"/>
  <c r="X58" i="62"/>
  <c r="S58" i="62"/>
  <c r="U58" i="62" s="1"/>
  <c r="Q58" i="62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/>
  <c r="J55" i="62"/>
  <c r="M55" i="62" s="1"/>
  <c r="X54" i="62"/>
  <c r="Q54" i="62"/>
  <c r="S54" i="62" s="1"/>
  <c r="U54" i="62" s="1"/>
  <c r="M54" i="62"/>
  <c r="J54" i="62"/>
  <c r="X53" i="62"/>
  <c r="Q53" i="62"/>
  <c r="S53" i="62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/>
  <c r="U32" i="62" s="1"/>
  <c r="J32" i="62"/>
  <c r="M32" i="62" s="1"/>
  <c r="X31" i="62"/>
  <c r="Q31" i="62"/>
  <c r="S31" i="62" s="1"/>
  <c r="U31" i="62" s="1"/>
  <c r="M31" i="62"/>
  <c r="J31" i="62"/>
  <c r="X30" i="62"/>
  <c r="Q30" i="62"/>
  <c r="S30" i="62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M27" i="62"/>
  <c r="J27" i="62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M23" i="62"/>
  <c r="J23" i="62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M20" i="62"/>
  <c r="J20" i="62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/>
  <c r="J6" i="62"/>
  <c r="M6" i="62" s="1"/>
  <c r="X5" i="62"/>
  <c r="Q5" i="62"/>
  <c r="S5" i="62" s="1"/>
  <c r="U5" i="62" s="1"/>
  <c r="J5" i="62"/>
  <c r="M5" i="62" s="1"/>
  <c r="K220" i="61"/>
  <c r="K212" i="61"/>
  <c r="N31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/>
  <c r="J187" i="61"/>
  <c r="M187" i="61" s="1"/>
  <c r="J186" i="61"/>
  <c r="M186" i="61" s="1"/>
  <c r="J185" i="61"/>
  <c r="M185" i="61"/>
  <c r="J184" i="61"/>
  <c r="M184" i="61" s="1"/>
  <c r="J183" i="61"/>
  <c r="M183" i="61" s="1"/>
  <c r="J182" i="61"/>
  <c r="M182" i="61" s="1"/>
  <c r="J181" i="61"/>
  <c r="M181" i="61" s="1"/>
  <c r="J180" i="61"/>
  <c r="M180" i="61"/>
  <c r="J179" i="61"/>
  <c r="M179" i="61" s="1"/>
  <c r="M178" i="61"/>
  <c r="J178" i="6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/>
  <c r="J171" i="61"/>
  <c r="M171" i="61" s="1"/>
  <c r="J170" i="61"/>
  <c r="M170" i="61" s="1"/>
  <c r="J169" i="61"/>
  <c r="M169" i="61" s="1"/>
  <c r="J168" i="61"/>
  <c r="M168" i="61"/>
  <c r="J167" i="61"/>
  <c r="M167" i="61"/>
  <c r="J166" i="61"/>
  <c r="M166" i="61" s="1"/>
  <c r="J165" i="61"/>
  <c r="M165" i="6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/>
  <c r="J155" i="61"/>
  <c r="M155" i="61" s="1"/>
  <c r="J154" i="61"/>
  <c r="M154" i="61" s="1"/>
  <c r="J153" i="61"/>
  <c r="M153" i="61" s="1"/>
  <c r="J152" i="61"/>
  <c r="M152" i="61"/>
  <c r="J151" i="61"/>
  <c r="M151" i="61" s="1"/>
  <c r="J150" i="61"/>
  <c r="M150" i="61" s="1"/>
  <c r="J149" i="61"/>
  <c r="M149" i="61"/>
  <c r="J148" i="61"/>
  <c r="M148" i="6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M101" i="61"/>
  <c r="J101" i="6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S94" i="61"/>
  <c r="U94" i="61" s="1"/>
  <c r="Q94" i="61"/>
  <c r="J94" i="61"/>
  <c r="M94" i="61" s="1"/>
  <c r="X93" i="61"/>
  <c r="Q93" i="61"/>
  <c r="S93" i="61"/>
  <c r="U93" i="61" s="1"/>
  <c r="M93" i="61"/>
  <c r="J93" i="6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M75" i="61"/>
  <c r="J75" i="61"/>
  <c r="X74" i="61"/>
  <c r="Q74" i="61"/>
  <c r="S74" i="61" s="1"/>
  <c r="U74" i="61" s="1"/>
  <c r="J74" i="61"/>
  <c r="M74" i="61" s="1"/>
  <c r="X73" i="61"/>
  <c r="S73" i="61"/>
  <c r="U73" i="61" s="1"/>
  <c r="Q73" i="61"/>
  <c r="M73" i="61"/>
  <c r="J73" i="61"/>
  <c r="X72" i="61"/>
  <c r="Q72" i="61"/>
  <c r="S72" i="61"/>
  <c r="U72" i="61" s="1"/>
  <c r="J72" i="61"/>
  <c r="M72" i="61" s="1"/>
  <c r="X71" i="61"/>
  <c r="Q71" i="61"/>
  <c r="S71" i="6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M59" i="61"/>
  <c r="J59" i="61"/>
  <c r="X58" i="61"/>
  <c r="Q58" i="61"/>
  <c r="S58" i="61" s="1"/>
  <c r="U58" i="61" s="1"/>
  <c r="J58" i="61"/>
  <c r="M58" i="61" s="1"/>
  <c r="X57" i="61"/>
  <c r="S57" i="61"/>
  <c r="U57" i="61" s="1"/>
  <c r="Q57" i="61"/>
  <c r="M57" i="61"/>
  <c r="J57" i="61"/>
  <c r="X56" i="61"/>
  <c r="Q56" i="61"/>
  <c r="S56" i="61" s="1"/>
  <c r="U56" i="61" s="1"/>
  <c r="M56" i="61"/>
  <c r="J56" i="6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M48" i="61"/>
  <c r="J48" i="6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M45" i="61"/>
  <c r="J45" i="61"/>
  <c r="X44" i="61"/>
  <c r="Q44" i="61"/>
  <c r="S44" i="61" s="1"/>
  <c r="U44" i="61" s="1"/>
  <c r="J44" i="61"/>
  <c r="M44" i="61" s="1"/>
  <c r="X43" i="61"/>
  <c r="S43" i="61"/>
  <c r="U43" i="61" s="1"/>
  <c r="Q43" i="61"/>
  <c r="M43" i="61"/>
  <c r="J43" i="6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M27" i="61"/>
  <c r="J27" i="61"/>
  <c r="X26" i="61"/>
  <c r="Q26" i="61"/>
  <c r="S26" i="61" s="1"/>
  <c r="U26" i="61" s="1"/>
  <c r="J26" i="61"/>
  <c r="M26" i="61" s="1"/>
  <c r="X25" i="61"/>
  <c r="Q25" i="61"/>
  <c r="S25" i="61" s="1"/>
  <c r="U25" i="61" s="1"/>
  <c r="M25" i="61"/>
  <c r="J25" i="6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/>
  <c r="U16" i="61" s="1"/>
  <c r="J16" i="61"/>
  <c r="M16" i="61" s="1"/>
  <c r="X15" i="61"/>
  <c r="S15" i="61"/>
  <c r="U15" i="61" s="1"/>
  <c r="Q15" i="6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/>
  <c r="U6" i="61" s="1"/>
  <c r="J6" i="61"/>
  <c r="M6" i="61" s="1"/>
  <c r="X5" i="61"/>
  <c r="Q5" i="61"/>
  <c r="S5" i="61" s="1"/>
  <c r="U5" i="61" s="1"/>
  <c r="J5" i="61"/>
  <c r="M5" i="61" s="1"/>
  <c r="K220" i="60"/>
  <c r="K212" i="60"/>
  <c r="N30" i="16" s="1"/>
  <c r="K209" i="60"/>
  <c r="K219" i="60" s="1"/>
  <c r="J204" i="60"/>
  <c r="M204" i="60" s="1"/>
  <c r="M203" i="60"/>
  <c r="J203" i="60"/>
  <c r="J202" i="60"/>
  <c r="M202" i="60" s="1"/>
  <c r="J201" i="60"/>
  <c r="M201" i="60" s="1"/>
  <c r="J200" i="60"/>
  <c r="M200" i="60" s="1"/>
  <c r="M199" i="60"/>
  <c r="J199" i="60"/>
  <c r="J198" i="60"/>
  <c r="M198" i="60"/>
  <c r="J197" i="60"/>
  <c r="M197" i="60" s="1"/>
  <c r="J196" i="60"/>
  <c r="M196" i="60"/>
  <c r="J195" i="60"/>
  <c r="M195" i="60" s="1"/>
  <c r="J194" i="60"/>
  <c r="M194" i="60" s="1"/>
  <c r="J193" i="60"/>
  <c r="M193" i="60" s="1"/>
  <c r="J192" i="60"/>
  <c r="M192" i="60"/>
  <c r="J191" i="60"/>
  <c r="M191" i="60" s="1"/>
  <c r="J190" i="60"/>
  <c r="M190" i="60"/>
  <c r="J189" i="60"/>
  <c r="M189" i="60" s="1"/>
  <c r="J188" i="60"/>
  <c r="M188" i="60"/>
  <c r="J187" i="60"/>
  <c r="M187" i="60" s="1"/>
  <c r="J186" i="60"/>
  <c r="M186" i="60"/>
  <c r="J185" i="60"/>
  <c r="M185" i="60" s="1"/>
  <c r="J184" i="60"/>
  <c r="M184" i="60" s="1"/>
  <c r="M183" i="60"/>
  <c r="J183" i="60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/>
  <c r="J175" i="60"/>
  <c r="M175" i="60" s="1"/>
  <c r="J174" i="60"/>
  <c r="M174" i="60" s="1"/>
  <c r="J173" i="60"/>
  <c r="M173" i="60" s="1"/>
  <c r="J172" i="60"/>
  <c r="M172" i="60"/>
  <c r="M171" i="60"/>
  <c r="J171" i="60"/>
  <c r="J170" i="60"/>
  <c r="M170" i="60"/>
  <c r="J169" i="60"/>
  <c r="M169" i="60" s="1"/>
  <c r="J168" i="60"/>
  <c r="M168" i="60" s="1"/>
  <c r="J167" i="60"/>
  <c r="M167" i="60" s="1"/>
  <c r="J166" i="60"/>
  <c r="M166" i="60"/>
  <c r="J165" i="60"/>
  <c r="M165" i="60" s="1"/>
  <c r="J164" i="60"/>
  <c r="M164" i="60" s="1"/>
  <c r="M163" i="60"/>
  <c r="J163" i="60"/>
  <c r="J162" i="60"/>
  <c r="M162" i="60"/>
  <c r="J161" i="60"/>
  <c r="M161" i="60" s="1"/>
  <c r="J160" i="60"/>
  <c r="M160" i="60"/>
  <c r="J159" i="60"/>
  <c r="M159" i="60" s="1"/>
  <c r="J158" i="60"/>
  <c r="M158" i="60"/>
  <c r="J157" i="60"/>
  <c r="M157" i="60" s="1"/>
  <c r="J156" i="60"/>
  <c r="M156" i="60"/>
  <c r="M155" i="60"/>
  <c r="J155" i="60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/>
  <c r="J145" i="60"/>
  <c r="M145" i="60" s="1"/>
  <c r="J144" i="60"/>
  <c r="M144" i="60"/>
  <c r="J143" i="60"/>
  <c r="M143" i="60" s="1"/>
  <c r="J142" i="60"/>
  <c r="M142" i="60" s="1"/>
  <c r="J141" i="60"/>
  <c r="M141" i="60" s="1"/>
  <c r="J140" i="60"/>
  <c r="M140" i="60" s="1"/>
  <c r="M139" i="60"/>
  <c r="J139" i="60"/>
  <c r="J138" i="60"/>
  <c r="M138" i="60"/>
  <c r="J137" i="60"/>
  <c r="M137" i="60" s="1"/>
  <c r="J136" i="60"/>
  <c r="M136" i="60"/>
  <c r="J135" i="60"/>
  <c r="M135" i="60" s="1"/>
  <c r="J134" i="60"/>
  <c r="M134" i="60"/>
  <c r="J133" i="60"/>
  <c r="M133" i="60" s="1"/>
  <c r="J132" i="60"/>
  <c r="M132" i="60" s="1"/>
  <c r="J131" i="60"/>
  <c r="M131" i="60" s="1"/>
  <c r="J130" i="60"/>
  <c r="M130" i="60"/>
  <c r="J129" i="60"/>
  <c r="M129" i="60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/>
  <c r="J121" i="60"/>
  <c r="M121" i="60" s="1"/>
  <c r="J120" i="60"/>
  <c r="M120" i="60" s="1"/>
  <c r="M119" i="60"/>
  <c r="J119" i="60"/>
  <c r="J118" i="60"/>
  <c r="M118" i="60"/>
  <c r="J117" i="60"/>
  <c r="M117" i="60" s="1"/>
  <c r="J116" i="60"/>
  <c r="M116" i="60" s="1"/>
  <c r="M115" i="60"/>
  <c r="J115" i="60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/>
  <c r="U102" i="60" s="1"/>
  <c r="J102" i="60"/>
  <c r="M102" i="60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/>
  <c r="X89" i="60"/>
  <c r="Q89" i="60"/>
  <c r="S89" i="60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U68" i="60"/>
  <c r="Q68" i="60"/>
  <c r="S68" i="60" s="1"/>
  <c r="M68" i="60"/>
  <c r="J68" i="60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S60" i="60"/>
  <c r="U60" i="60" s="1"/>
  <c r="Q60" i="60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/>
  <c r="X57" i="60"/>
  <c r="Q57" i="60"/>
  <c r="S57" i="60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M52" i="60"/>
  <c r="J52" i="60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/>
  <c r="X45" i="60"/>
  <c r="Q45" i="60"/>
  <c r="S45" i="60" s="1"/>
  <c r="U45" i="60" s="1"/>
  <c r="J45" i="60"/>
  <c r="M45" i="60" s="1"/>
  <c r="X44" i="60"/>
  <c r="Q44" i="60"/>
  <c r="S44" i="60" s="1"/>
  <c r="U44" i="60" s="1"/>
  <c r="M44" i="60"/>
  <c r="J44" i="60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S39" i="60"/>
  <c r="U39" i="60" s="1"/>
  <c r="Q39" i="60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/>
  <c r="U36" i="60" s="1"/>
  <c r="M36" i="60"/>
  <c r="J36" i="60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X29" i="60"/>
  <c r="S29" i="60"/>
  <c r="U29" i="60" s="1"/>
  <c r="Q29" i="60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M15" i="60"/>
  <c r="J15" i="60"/>
  <c r="X14" i="60"/>
  <c r="Q14" i="60"/>
  <c r="S14" i="60" s="1"/>
  <c r="U14" i="60" s="1"/>
  <c r="J14" i="60"/>
  <c r="M14" i="60" s="1"/>
  <c r="X13" i="60"/>
  <c r="S13" i="60"/>
  <c r="U13" i="60" s="1"/>
  <c r="Q13" i="60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M11" i="60"/>
  <c r="J11" i="60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/>
  <c r="U6" i="60" s="1"/>
  <c r="J6" i="60"/>
  <c r="M6" i="60" s="1"/>
  <c r="X5" i="60"/>
  <c r="S5" i="60"/>
  <c r="U5" i="60" s="1"/>
  <c r="Q5" i="60"/>
  <c r="J5" i="60"/>
  <c r="M5" i="60" s="1"/>
  <c r="K220" i="59"/>
  <c r="K212" i="59"/>
  <c r="N29" i="16" s="1"/>
  <c r="K20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M199" i="59"/>
  <c r="J199" i="59"/>
  <c r="J198" i="59"/>
  <c r="M198" i="59" s="1"/>
  <c r="J197" i="59"/>
  <c r="M197" i="59"/>
  <c r="J196" i="59"/>
  <c r="M196" i="59" s="1"/>
  <c r="J195" i="59"/>
  <c r="M195" i="59" s="1"/>
  <c r="J194" i="59"/>
  <c r="M194" i="59" s="1"/>
  <c r="J193" i="59"/>
  <c r="M193" i="59" s="1"/>
  <c r="J192" i="59"/>
  <c r="M192" i="59"/>
  <c r="J191" i="59"/>
  <c r="M191" i="59" s="1"/>
  <c r="J190" i="59"/>
  <c r="M190" i="59" s="1"/>
  <c r="J189" i="59"/>
  <c r="M189" i="59"/>
  <c r="J188" i="59"/>
  <c r="M188" i="59"/>
  <c r="M187" i="59"/>
  <c r="J187" i="59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/>
  <c r="J180" i="59"/>
  <c r="M180" i="59" s="1"/>
  <c r="M179" i="59"/>
  <c r="J179" i="59"/>
  <c r="J178" i="59"/>
  <c r="M178" i="59" s="1"/>
  <c r="J177" i="59"/>
  <c r="M177" i="59" s="1"/>
  <c r="J176" i="59"/>
  <c r="M176" i="59" s="1"/>
  <c r="M175" i="59"/>
  <c r="J175" i="59"/>
  <c r="J174" i="59"/>
  <c r="M174" i="59" s="1"/>
  <c r="J173" i="59"/>
  <c r="M173" i="59"/>
  <c r="J172" i="59"/>
  <c r="M172" i="59" s="1"/>
  <c r="J171" i="59"/>
  <c r="M171" i="59" s="1"/>
  <c r="J170" i="59"/>
  <c r="M170" i="59" s="1"/>
  <c r="J169" i="59"/>
  <c r="M169" i="59" s="1"/>
  <c r="J168" i="59"/>
  <c r="M168" i="59"/>
  <c r="J167" i="59"/>
  <c r="M167" i="59" s="1"/>
  <c r="J166" i="59"/>
  <c r="M166" i="59" s="1"/>
  <c r="J165" i="59"/>
  <c r="M165" i="59"/>
  <c r="J164" i="59"/>
  <c r="M164" i="59"/>
  <c r="M163" i="59"/>
  <c r="J163" i="59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/>
  <c r="J156" i="59"/>
  <c r="M156" i="59"/>
  <c r="J155" i="59"/>
  <c r="M155" i="59" s="1"/>
  <c r="J154" i="59"/>
  <c r="M154" i="59" s="1"/>
  <c r="J153" i="59"/>
  <c r="M153" i="59"/>
  <c r="J152" i="59"/>
  <c r="M152" i="59" s="1"/>
  <c r="M151" i="59"/>
  <c r="J151" i="59"/>
  <c r="J150" i="59"/>
  <c r="M150" i="59" s="1"/>
  <c r="J149" i="59"/>
  <c r="M149" i="59" s="1"/>
  <c r="J148" i="59"/>
  <c r="M148" i="59"/>
  <c r="J147" i="59"/>
  <c r="M147" i="59" s="1"/>
  <c r="J146" i="59"/>
  <c r="M146" i="59" s="1"/>
  <c r="J145" i="59"/>
  <c r="M145" i="59"/>
  <c r="J144" i="59"/>
  <c r="M144" i="59" s="1"/>
  <c r="J143" i="59"/>
  <c r="M143" i="59" s="1"/>
  <c r="J142" i="59"/>
  <c r="M142" i="59" s="1"/>
  <c r="J141" i="59"/>
  <c r="M141" i="59" s="1"/>
  <c r="J140" i="59"/>
  <c r="M140" i="59"/>
  <c r="J139" i="59"/>
  <c r="M139" i="59" s="1"/>
  <c r="J138" i="59"/>
  <c r="M138" i="59" s="1"/>
  <c r="J137" i="59"/>
  <c r="M137" i="59"/>
  <c r="J136" i="59"/>
  <c r="M136" i="59" s="1"/>
  <c r="J135" i="59"/>
  <c r="M135" i="59" s="1"/>
  <c r="J134" i="59"/>
  <c r="M134" i="59" s="1"/>
  <c r="J133" i="59"/>
  <c r="M133" i="59"/>
  <c r="J132" i="59"/>
  <c r="M132" i="59"/>
  <c r="J131" i="59"/>
  <c r="M131" i="59" s="1"/>
  <c r="J130" i="59"/>
  <c r="M130" i="59" s="1"/>
  <c r="J129" i="59"/>
  <c r="M129" i="59"/>
  <c r="J128" i="59"/>
  <c r="M128" i="59" s="1"/>
  <c r="M127" i="59"/>
  <c r="J127" i="59"/>
  <c r="J126" i="59"/>
  <c r="M126" i="59" s="1"/>
  <c r="J125" i="59"/>
  <c r="M125" i="59" s="1"/>
  <c r="J124" i="59"/>
  <c r="M124" i="59"/>
  <c r="J123" i="59"/>
  <c r="M123" i="59" s="1"/>
  <c r="J122" i="59"/>
  <c r="M122" i="59" s="1"/>
  <c r="J121" i="59"/>
  <c r="M121" i="59"/>
  <c r="J120" i="59"/>
  <c r="M120" i="59" s="1"/>
  <c r="J119" i="59"/>
  <c r="M119" i="59" s="1"/>
  <c r="J118" i="59"/>
  <c r="M118" i="59" s="1"/>
  <c r="J117" i="59"/>
  <c r="M117" i="59" s="1"/>
  <c r="J116" i="59"/>
  <c r="M116" i="59"/>
  <c r="J115" i="59"/>
  <c r="M115" i="59" s="1"/>
  <c r="J114" i="59"/>
  <c r="M114" i="59" s="1"/>
  <c r="J113" i="59"/>
  <c r="M113" i="59"/>
  <c r="J112" i="59"/>
  <c r="M112" i="59" s="1"/>
  <c r="J111" i="59"/>
  <c r="M111" i="59" s="1"/>
  <c r="J110" i="59"/>
  <c r="M110" i="59" s="1"/>
  <c r="J109" i="59"/>
  <c r="M109" i="59"/>
  <c r="J108" i="59"/>
  <c r="M108" i="59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/>
  <c r="X102" i="59"/>
  <c r="Q102" i="59"/>
  <c r="S102" i="59" s="1"/>
  <c r="U102" i="59" s="1"/>
  <c r="J102" i="59"/>
  <c r="M102" i="59" s="1"/>
  <c r="X101" i="59"/>
  <c r="Q101" i="59"/>
  <c r="S101" i="59" s="1"/>
  <c r="U101" i="59" s="1"/>
  <c r="M101" i="59"/>
  <c r="J101" i="59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/>
  <c r="X98" i="59"/>
  <c r="Q98" i="59"/>
  <c r="S98" i="59" s="1"/>
  <c r="U98" i="59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/>
  <c r="U93" i="59" s="1"/>
  <c r="J93" i="59"/>
  <c r="M93" i="59" s="1"/>
  <c r="X92" i="59"/>
  <c r="Q92" i="59"/>
  <c r="S92" i="59" s="1"/>
  <c r="U92" i="59"/>
  <c r="J92" i="59"/>
  <c r="M92" i="59" s="1"/>
  <c r="X91" i="59"/>
  <c r="Q91" i="59"/>
  <c r="S91" i="59" s="1"/>
  <c r="U91" i="59" s="1"/>
  <c r="J91" i="59"/>
  <c r="M91" i="59"/>
  <c r="X90" i="59"/>
  <c r="Q90" i="59"/>
  <c r="S90" i="59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/>
  <c r="X86" i="59"/>
  <c r="Q86" i="59"/>
  <c r="S86" i="59" s="1"/>
  <c r="U86" i="59" s="1"/>
  <c r="J86" i="59"/>
  <c r="M86" i="59" s="1"/>
  <c r="X85" i="59"/>
  <c r="Q85" i="59"/>
  <c r="S85" i="59" s="1"/>
  <c r="U85" i="59" s="1"/>
  <c r="M85" i="59"/>
  <c r="J85" i="59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/>
  <c r="X78" i="59"/>
  <c r="Q78" i="59"/>
  <c r="S78" i="59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S60" i="59"/>
  <c r="U60" i="59"/>
  <c r="Q60" i="59"/>
  <c r="J60" i="59"/>
  <c r="M60" i="59" s="1"/>
  <c r="X59" i="59"/>
  <c r="Q59" i="59"/>
  <c r="S59" i="59" s="1"/>
  <c r="U59" i="59" s="1"/>
  <c r="J59" i="59"/>
  <c r="M59" i="59" s="1"/>
  <c r="X58" i="59"/>
  <c r="S58" i="59"/>
  <c r="U58" i="59" s="1"/>
  <c r="Q58" i="59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/>
  <c r="J56" i="59"/>
  <c r="M56" i="59"/>
  <c r="X55" i="59"/>
  <c r="Q55" i="59"/>
  <c r="S55" i="59" s="1"/>
  <c r="U55" i="59" s="1"/>
  <c r="J55" i="59"/>
  <c r="M55" i="59" s="1"/>
  <c r="X54" i="59"/>
  <c r="Q54" i="59"/>
  <c r="S54" i="59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/>
  <c r="U52" i="59"/>
  <c r="J52" i="59"/>
  <c r="M52" i="59" s="1"/>
  <c r="X51" i="59"/>
  <c r="Q51" i="59"/>
  <c r="S51" i="59" s="1"/>
  <c r="U51" i="59" s="1"/>
  <c r="J51" i="59"/>
  <c r="M51" i="59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/>
  <c r="X38" i="59"/>
  <c r="Q38" i="59"/>
  <c r="S38" i="59" s="1"/>
  <c r="U38" i="59" s="1"/>
  <c r="J38" i="59"/>
  <c r="M38" i="59" s="1"/>
  <c r="X37" i="59"/>
  <c r="Q37" i="59"/>
  <c r="S37" i="59"/>
  <c r="U37" i="59" s="1"/>
  <c r="J37" i="59"/>
  <c r="M37" i="59"/>
  <c r="X36" i="59"/>
  <c r="Q36" i="59"/>
  <c r="S36" i="59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/>
  <c r="J20" i="59"/>
  <c r="M20" i="59" s="1"/>
  <c r="X19" i="59"/>
  <c r="Q19" i="59"/>
  <c r="S19" i="59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X10" i="59"/>
  <c r="Q10" i="59"/>
  <c r="S10" i="59"/>
  <c r="U10" i="59" s="1"/>
  <c r="J10" i="59"/>
  <c r="M10" i="59" s="1"/>
  <c r="X9" i="59"/>
  <c r="S9" i="59"/>
  <c r="U9" i="59" s="1"/>
  <c r="Q9" i="59"/>
  <c r="J9" i="59"/>
  <c r="M9" i="59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X107" i="59" s="1"/>
  <c r="J206" i="59" s="1"/>
  <c r="Q5" i="59"/>
  <c r="S5" i="59" s="1"/>
  <c r="U5" i="59" s="1"/>
  <c r="J5" i="59"/>
  <c r="M5" i="59"/>
  <c r="K220" i="58"/>
  <c r="K212" i="58"/>
  <c r="N28" i="16" s="1"/>
  <c r="K209" i="58"/>
  <c r="R28" i="16" s="1"/>
  <c r="J204" i="58"/>
  <c r="M204" i="58" s="1"/>
  <c r="J203" i="58"/>
  <c r="M203" i="58" s="1"/>
  <c r="J202" i="58"/>
  <c r="M202" i="58" s="1"/>
  <c r="J201" i="58"/>
  <c r="M201" i="58" s="1"/>
  <c r="M200" i="58"/>
  <c r="J200" i="58"/>
  <c r="J199" i="58"/>
  <c r="M199" i="58" s="1"/>
  <c r="J198" i="58"/>
  <c r="M198" i="58" s="1"/>
  <c r="J197" i="58"/>
  <c r="M197" i="58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/>
  <c r="J189" i="58"/>
  <c r="M189" i="58"/>
  <c r="J188" i="58"/>
  <c r="M188" i="58" s="1"/>
  <c r="J187" i="58"/>
  <c r="M187" i="58" s="1"/>
  <c r="J186" i="58"/>
  <c r="M186" i="58"/>
  <c r="J185" i="58"/>
  <c r="M185" i="58" s="1"/>
  <c r="J184" i="58"/>
  <c r="M184" i="58" s="1"/>
  <c r="J183" i="58"/>
  <c r="M183" i="58" s="1"/>
  <c r="J182" i="58"/>
  <c r="M182" i="58"/>
  <c r="J181" i="58"/>
  <c r="M181" i="58"/>
  <c r="J180" i="58"/>
  <c r="M180" i="58" s="1"/>
  <c r="J179" i="58"/>
  <c r="M179" i="58" s="1"/>
  <c r="J178" i="58"/>
  <c r="M178" i="58" s="1"/>
  <c r="J177" i="58"/>
  <c r="M177" i="58"/>
  <c r="J176" i="58"/>
  <c r="M176" i="58" s="1"/>
  <c r="M175" i="58"/>
  <c r="J175" i="58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/>
  <c r="J165" i="58"/>
  <c r="M165" i="58"/>
  <c r="J164" i="58"/>
  <c r="M164" i="58" s="1"/>
  <c r="J163" i="58"/>
  <c r="M163" i="58" s="1"/>
  <c r="J162" i="58"/>
  <c r="M162" i="58" s="1"/>
  <c r="J161" i="58"/>
  <c r="M161" i="58" s="1"/>
  <c r="M160" i="58"/>
  <c r="J160" i="58"/>
  <c r="J159" i="58"/>
  <c r="M159" i="58" s="1"/>
  <c r="J158" i="58"/>
  <c r="M158" i="58"/>
  <c r="J157" i="58"/>
  <c r="M157" i="58" s="1"/>
  <c r="J156" i="58"/>
  <c r="M156" i="58" s="1"/>
  <c r="M155" i="58"/>
  <c r="J155" i="58"/>
  <c r="J154" i="58"/>
  <c r="M154" i="58" s="1"/>
  <c r="J153" i="58"/>
  <c r="M153" i="58" s="1"/>
  <c r="M152" i="58"/>
  <c r="J152" i="58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/>
  <c r="J144" i="58"/>
  <c r="M144" i="58" s="1"/>
  <c r="J143" i="58"/>
  <c r="M143" i="58" s="1"/>
  <c r="J142" i="58"/>
  <c r="M142" i="58" s="1"/>
  <c r="J141" i="58"/>
  <c r="M141" i="58" s="1"/>
  <c r="J140" i="58"/>
  <c r="M140" i="58" s="1"/>
  <c r="M139" i="58"/>
  <c r="J139" i="58"/>
  <c r="J138" i="58"/>
  <c r="M138" i="58" s="1"/>
  <c r="J137" i="58"/>
  <c r="M137" i="58"/>
  <c r="J136" i="58"/>
  <c r="M136" i="58" s="1"/>
  <c r="M135" i="58"/>
  <c r="J135" i="58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M127" i="58"/>
  <c r="J127" i="58"/>
  <c r="J126" i="58"/>
  <c r="M126" i="58"/>
  <c r="J125" i="58"/>
  <c r="M125" i="58" s="1"/>
  <c r="J124" i="58"/>
  <c r="M124" i="58" s="1"/>
  <c r="J123" i="58"/>
  <c r="M123" i="58" s="1"/>
  <c r="J122" i="58"/>
  <c r="M122" i="58" s="1"/>
  <c r="J121" i="58"/>
  <c r="M121" i="58"/>
  <c r="J120" i="58"/>
  <c r="M120" i="58" s="1"/>
  <c r="J119" i="58"/>
  <c r="M119" i="58" s="1"/>
  <c r="J118" i="58"/>
  <c r="M118" i="58"/>
  <c r="J117" i="58"/>
  <c r="M117" i="58" s="1"/>
  <c r="J116" i="58"/>
  <c r="M116" i="58" s="1"/>
  <c r="M115" i="58"/>
  <c r="J115" i="58"/>
  <c r="J114" i="58"/>
  <c r="M114" i="58" s="1"/>
  <c r="J113" i="58"/>
  <c r="M113" i="58" s="1"/>
  <c r="J112" i="58"/>
  <c r="M112" i="58" s="1"/>
  <c r="J111" i="58"/>
  <c r="M111" i="58" s="1"/>
  <c r="J110" i="58"/>
  <c r="M110" i="58" s="1"/>
  <c r="M109" i="58"/>
  <c r="J109" i="58"/>
  <c r="J108" i="58"/>
  <c r="M108" i="58" s="1"/>
  <c r="J107" i="58"/>
  <c r="M107" i="58" s="1"/>
  <c r="J106" i="58"/>
  <c r="M106" i="58"/>
  <c r="Z105" i="58"/>
  <c r="J105" i="58"/>
  <c r="M105" i="58"/>
  <c r="X104" i="58"/>
  <c r="Q104" i="58"/>
  <c r="S104" i="58" s="1"/>
  <c r="U104" i="58" s="1"/>
  <c r="M104" i="58"/>
  <c r="J104" i="58"/>
  <c r="X103" i="58"/>
  <c r="S103" i="58"/>
  <c r="U103" i="58" s="1"/>
  <c r="Q103" i="58"/>
  <c r="J103" i="58"/>
  <c r="M103" i="58" s="1"/>
  <c r="X102" i="58"/>
  <c r="Q102" i="58"/>
  <c r="S102" i="58" s="1"/>
  <c r="U102" i="58" s="1"/>
  <c r="J102" i="58"/>
  <c r="M102" i="58" s="1"/>
  <c r="X101" i="58"/>
  <c r="S101" i="58"/>
  <c r="U101" i="58" s="1"/>
  <c r="Q101" i="58"/>
  <c r="J101" i="58"/>
  <c r="M101" i="58" s="1"/>
  <c r="X100" i="58"/>
  <c r="Q100" i="58"/>
  <c r="S100" i="58" s="1"/>
  <c r="U100" i="58" s="1"/>
  <c r="M100" i="58"/>
  <c r="J100" i="58"/>
  <c r="X99" i="58"/>
  <c r="S99" i="58"/>
  <c r="U99" i="58" s="1"/>
  <c r="Q99" i="58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/>
  <c r="U96" i="58" s="1"/>
  <c r="M96" i="58"/>
  <c r="J96" i="58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/>
  <c r="U66" i="58" s="1"/>
  <c r="J66" i="58"/>
  <c r="M66" i="58"/>
  <c r="X65" i="58"/>
  <c r="Q65" i="58"/>
  <c r="S65" i="58" s="1"/>
  <c r="U65" i="58" s="1"/>
  <c r="J65" i="58"/>
  <c r="M65" i="58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S49" i="58"/>
  <c r="U49" i="58" s="1"/>
  <c r="Q49" i="58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/>
  <c r="X36" i="58"/>
  <c r="Q36" i="58"/>
  <c r="S36" i="58" s="1"/>
  <c r="U36" i="58" s="1"/>
  <c r="J36" i="58"/>
  <c r="M36" i="58" s="1"/>
  <c r="X35" i="58"/>
  <c r="S35" i="58"/>
  <c r="U35" i="58" s="1"/>
  <c r="Q35" i="58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X9" i="58"/>
  <c r="Q9" i="58"/>
  <c r="S9" i="58" s="1"/>
  <c r="U9" i="58" s="1"/>
  <c r="J9" i="58"/>
  <c r="M9" i="58" s="1"/>
  <c r="X8" i="58"/>
  <c r="S8" i="58"/>
  <c r="U8" i="58" s="1"/>
  <c r="Q8" i="58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N27" i="16" s="1"/>
  <c r="K209" i="57"/>
  <c r="K219" i="57" s="1"/>
  <c r="J204" i="57"/>
  <c r="J203" i="57"/>
  <c r="J202" i="57"/>
  <c r="J201" i="57"/>
  <c r="J200" i="57"/>
  <c r="J199" i="57"/>
  <c r="M199" i="57" s="1"/>
  <c r="J198" i="57"/>
  <c r="J197" i="57"/>
  <c r="J196" i="57"/>
  <c r="J195" i="57"/>
  <c r="M195" i="57" s="1"/>
  <c r="J194" i="57"/>
  <c r="J193" i="57"/>
  <c r="J192" i="57"/>
  <c r="M192" i="57" s="1"/>
  <c r="J191" i="57"/>
  <c r="J190" i="57"/>
  <c r="J189" i="57"/>
  <c r="J188" i="57"/>
  <c r="J187" i="57"/>
  <c r="M187" i="57" s="1"/>
  <c r="J186" i="57"/>
  <c r="J185" i="57"/>
  <c r="J184" i="57"/>
  <c r="M184" i="57" s="1"/>
  <c r="J183" i="57"/>
  <c r="M183" i="57" s="1"/>
  <c r="J182" i="57"/>
  <c r="J181" i="57"/>
  <c r="J180" i="57"/>
  <c r="J179" i="57"/>
  <c r="M179" i="57" s="1"/>
  <c r="J178" i="57"/>
  <c r="M178" i="57" s="1"/>
  <c r="J177" i="57"/>
  <c r="J176" i="57"/>
  <c r="J175" i="57"/>
  <c r="J174" i="57"/>
  <c r="J173" i="57"/>
  <c r="J172" i="57"/>
  <c r="J171" i="57"/>
  <c r="J170" i="57"/>
  <c r="M170" i="57" s="1"/>
  <c r="J169" i="57"/>
  <c r="J168" i="57"/>
  <c r="M168" i="57" s="1"/>
  <c r="J167" i="57"/>
  <c r="J166" i="57"/>
  <c r="J165" i="57"/>
  <c r="J164" i="57"/>
  <c r="J163" i="57"/>
  <c r="M163" i="57" s="1"/>
  <c r="J162" i="57"/>
  <c r="J161" i="57"/>
  <c r="J160" i="57"/>
  <c r="J159" i="57"/>
  <c r="J158" i="57"/>
  <c r="J157" i="57"/>
  <c r="J156" i="57"/>
  <c r="J155" i="57"/>
  <c r="M155" i="57" s="1"/>
  <c r="J154" i="57"/>
  <c r="J153" i="57"/>
  <c r="J152" i="57"/>
  <c r="M152" i="57" s="1"/>
  <c r="J151" i="57"/>
  <c r="M151" i="57" s="1"/>
  <c r="J150" i="57"/>
  <c r="M149" i="57"/>
  <c r="J149" i="57"/>
  <c r="J148" i="57"/>
  <c r="M148" i="57" s="1"/>
  <c r="J147" i="57"/>
  <c r="M147" i="57" s="1"/>
  <c r="J146" i="57"/>
  <c r="J145" i="57"/>
  <c r="J144" i="57"/>
  <c r="J143" i="57"/>
  <c r="M143" i="57" s="1"/>
  <c r="J142" i="57"/>
  <c r="J141" i="57"/>
  <c r="M141" i="57" s="1"/>
  <c r="J140" i="57"/>
  <c r="J139" i="57"/>
  <c r="J138" i="57"/>
  <c r="J137" i="57"/>
  <c r="J136" i="57"/>
  <c r="M136" i="57" s="1"/>
  <c r="J135" i="57"/>
  <c r="J134" i="57"/>
  <c r="J133" i="57"/>
  <c r="J132" i="57"/>
  <c r="J131" i="57"/>
  <c r="J130" i="57"/>
  <c r="J129" i="57"/>
  <c r="J128" i="57"/>
  <c r="M128" i="57" s="1"/>
  <c r="J127" i="57"/>
  <c r="J126" i="57"/>
  <c r="J125" i="57"/>
  <c r="J124" i="57"/>
  <c r="J123" i="57"/>
  <c r="J122" i="57"/>
  <c r="J121" i="57"/>
  <c r="M120" i="57"/>
  <c r="J120" i="57"/>
  <c r="J119" i="57"/>
  <c r="J118" i="57"/>
  <c r="J117" i="57"/>
  <c r="J116" i="57"/>
  <c r="J115" i="57"/>
  <c r="J114" i="57"/>
  <c r="M114" i="57" s="1"/>
  <c r="J113" i="57"/>
  <c r="J112" i="57"/>
  <c r="M112" i="57" s="1"/>
  <c r="J111" i="57"/>
  <c r="J110" i="57"/>
  <c r="J109" i="57"/>
  <c r="J108" i="57"/>
  <c r="J107" i="57"/>
  <c r="M107" i="57" s="1"/>
  <c r="J106" i="57"/>
  <c r="Z105" i="57"/>
  <c r="J105" i="57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X101" i="57"/>
  <c r="Q101" i="57"/>
  <c r="S101" i="57" s="1"/>
  <c r="U101" i="57" s="1"/>
  <c r="M101" i="57"/>
  <c r="J101" i="57"/>
  <c r="X100" i="57"/>
  <c r="Q100" i="57"/>
  <c r="S100" i="57" s="1"/>
  <c r="U100" i="57" s="1"/>
  <c r="J100" i="57"/>
  <c r="X99" i="57"/>
  <c r="Q99" i="57"/>
  <c r="S99" i="57" s="1"/>
  <c r="U99" i="57" s="1"/>
  <c r="J99" i="57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X96" i="57"/>
  <c r="Q96" i="57"/>
  <c r="S96" i="57"/>
  <c r="U96" i="57" s="1"/>
  <c r="J96" i="57"/>
  <c r="X95" i="57"/>
  <c r="Q95" i="57"/>
  <c r="S95" i="57" s="1"/>
  <c r="U95" i="57" s="1"/>
  <c r="J95" i="57"/>
  <c r="X94" i="57"/>
  <c r="Q94" i="57"/>
  <c r="S94" i="57" s="1"/>
  <c r="U94" i="57" s="1"/>
  <c r="J94" i="57"/>
  <c r="X93" i="57"/>
  <c r="Q93" i="57"/>
  <c r="S93" i="57" s="1"/>
  <c r="U93" i="57" s="1"/>
  <c r="J93" i="57"/>
  <c r="X92" i="57"/>
  <c r="Q92" i="57"/>
  <c r="S92" i="57" s="1"/>
  <c r="U92" i="57" s="1"/>
  <c r="J92" i="57"/>
  <c r="X91" i="57"/>
  <c r="Q91" i="57"/>
  <c r="S91" i="57" s="1"/>
  <c r="U91" i="57" s="1"/>
  <c r="J91" i="57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X88" i="57"/>
  <c r="Q88" i="57"/>
  <c r="S88" i="57" s="1"/>
  <c r="U88" i="57" s="1"/>
  <c r="J88" i="57"/>
  <c r="X87" i="57"/>
  <c r="Q87" i="57"/>
  <c r="S87" i="57" s="1"/>
  <c r="U87" i="57" s="1"/>
  <c r="J87" i="57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X83" i="57"/>
  <c r="Q83" i="57"/>
  <c r="S83" i="57" s="1"/>
  <c r="U83" i="57" s="1"/>
  <c r="J83" i="57"/>
  <c r="X82" i="57"/>
  <c r="Q82" i="57"/>
  <c r="S82" i="57" s="1"/>
  <c r="U82" i="57" s="1"/>
  <c r="J82" i="57"/>
  <c r="X81" i="57"/>
  <c r="Q81" i="57"/>
  <c r="S81" i="57" s="1"/>
  <c r="U81" i="57" s="1"/>
  <c r="J81" i="57"/>
  <c r="X80" i="57"/>
  <c r="Q80" i="57"/>
  <c r="S80" i="57" s="1"/>
  <c r="U80" i="57" s="1"/>
  <c r="J80" i="57"/>
  <c r="X79" i="57"/>
  <c r="Q79" i="57"/>
  <c r="S79" i="57" s="1"/>
  <c r="U79" i="57" s="1"/>
  <c r="J79" i="57"/>
  <c r="M79" i="57" s="1"/>
  <c r="X78" i="57"/>
  <c r="S78" i="57"/>
  <c r="U78" i="57" s="1"/>
  <c r="Q78" i="57"/>
  <c r="J78" i="57"/>
  <c r="X77" i="57"/>
  <c r="Q77" i="57"/>
  <c r="S77" i="57" s="1"/>
  <c r="U77" i="57" s="1"/>
  <c r="J77" i="57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X74" i="57"/>
  <c r="Q74" i="57"/>
  <c r="S74" i="57" s="1"/>
  <c r="U74" i="57" s="1"/>
  <c r="J74" i="57"/>
  <c r="M74" i="57"/>
  <c r="X73" i="57"/>
  <c r="Q73" i="57"/>
  <c r="S73" i="57" s="1"/>
  <c r="U73" i="57" s="1"/>
  <c r="J73" i="57"/>
  <c r="M73" i="57"/>
  <c r="X72" i="57"/>
  <c r="Q72" i="57"/>
  <c r="S72" i="57" s="1"/>
  <c r="U72" i="57" s="1"/>
  <c r="J72" i="57"/>
  <c r="X71" i="57"/>
  <c r="Q71" i="57"/>
  <c r="S71" i="57" s="1"/>
  <c r="U71" i="57" s="1"/>
  <c r="J71" i="57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U66" i="57"/>
  <c r="Q66" i="57"/>
  <c r="S66" i="57" s="1"/>
  <c r="J66" i="57"/>
  <c r="M66" i="57" s="1"/>
  <c r="X65" i="57"/>
  <c r="Q65" i="57"/>
  <c r="S65" i="57" s="1"/>
  <c r="U65" i="57" s="1"/>
  <c r="J65" i="57"/>
  <c r="X64" i="57"/>
  <c r="Q64" i="57"/>
  <c r="S64" i="57"/>
  <c r="U64" i="57" s="1"/>
  <c r="J64" i="57"/>
  <c r="M64" i="57" s="1"/>
  <c r="X63" i="57"/>
  <c r="Q63" i="57"/>
  <c r="S63" i="57" s="1"/>
  <c r="U63" i="57" s="1"/>
  <c r="J63" i="57"/>
  <c r="X62" i="57"/>
  <c r="Q62" i="57"/>
  <c r="S62" i="57" s="1"/>
  <c r="U62" i="57" s="1"/>
  <c r="J62" i="57"/>
  <c r="X61" i="57"/>
  <c r="Q61" i="57"/>
  <c r="S61" i="57" s="1"/>
  <c r="U61" i="57" s="1"/>
  <c r="J61" i="57"/>
  <c r="X60" i="57"/>
  <c r="Q60" i="57"/>
  <c r="S60" i="57" s="1"/>
  <c r="U60" i="57" s="1"/>
  <c r="J60" i="57"/>
  <c r="M60" i="57" s="1"/>
  <c r="X59" i="57"/>
  <c r="S59" i="57"/>
  <c r="U59" i="57" s="1"/>
  <c r="Q59" i="57"/>
  <c r="J59" i="57"/>
  <c r="X58" i="57"/>
  <c r="Q58" i="57"/>
  <c r="S58" i="57" s="1"/>
  <c r="U58" i="57" s="1"/>
  <c r="J58" i="57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X55" i="57"/>
  <c r="Q55" i="57"/>
  <c r="S55" i="57" s="1"/>
  <c r="U55" i="57" s="1"/>
  <c r="J55" i="57"/>
  <c r="X54" i="57"/>
  <c r="Q54" i="57"/>
  <c r="S54" i="57" s="1"/>
  <c r="U54" i="57" s="1"/>
  <c r="J54" i="57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X51" i="57"/>
  <c r="Q51" i="57"/>
  <c r="S51" i="57" s="1"/>
  <c r="U51" i="57" s="1"/>
  <c r="J51" i="57"/>
  <c r="X50" i="57"/>
  <c r="Q50" i="57"/>
  <c r="S50" i="57" s="1"/>
  <c r="U50" i="57" s="1"/>
  <c r="J50" i="57"/>
  <c r="X49" i="57"/>
  <c r="Q49" i="57"/>
  <c r="S49" i="57" s="1"/>
  <c r="U49" i="57" s="1"/>
  <c r="J49" i="57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/>
  <c r="X46" i="57"/>
  <c r="Q46" i="57"/>
  <c r="S46" i="57" s="1"/>
  <c r="U46" i="57" s="1"/>
  <c r="J46" i="57"/>
  <c r="X45" i="57"/>
  <c r="Q45" i="57"/>
  <c r="S45" i="57"/>
  <c r="U45" i="57" s="1"/>
  <c r="J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X42" i="57"/>
  <c r="Q42" i="57"/>
  <c r="S42" i="57"/>
  <c r="U42" i="57" s="1"/>
  <c r="J42" i="57"/>
  <c r="M42" i="57" s="1"/>
  <c r="X41" i="57"/>
  <c r="Q41" i="57"/>
  <c r="S41" i="57" s="1"/>
  <c r="U41" i="57" s="1"/>
  <c r="J41" i="57"/>
  <c r="X40" i="57"/>
  <c r="Q40" i="57"/>
  <c r="S40" i="57" s="1"/>
  <c r="U40" i="57" s="1"/>
  <c r="J40" i="57"/>
  <c r="M40" i="57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X37" i="57"/>
  <c r="Q37" i="57"/>
  <c r="S37" i="57" s="1"/>
  <c r="U37" i="57" s="1"/>
  <c r="J37" i="57"/>
  <c r="X36" i="57"/>
  <c r="Q36" i="57"/>
  <c r="S36" i="57" s="1"/>
  <c r="U36" i="57" s="1"/>
  <c r="J36" i="57"/>
  <c r="X35" i="57"/>
  <c r="Q35" i="57"/>
  <c r="S35" i="57" s="1"/>
  <c r="U35" i="57" s="1"/>
  <c r="J35" i="57"/>
  <c r="M35" i="57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X32" i="57"/>
  <c r="Q32" i="57"/>
  <c r="S32" i="57" s="1"/>
  <c r="U32" i="57" s="1"/>
  <c r="J32" i="57"/>
  <c r="X31" i="57"/>
  <c r="Q31" i="57"/>
  <c r="S31" i="57" s="1"/>
  <c r="U31" i="57" s="1"/>
  <c r="J31" i="57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X26" i="57"/>
  <c r="Q26" i="57"/>
  <c r="S26" i="57" s="1"/>
  <c r="U26" i="57" s="1"/>
  <c r="J26" i="57"/>
  <c r="X25" i="57"/>
  <c r="Q25" i="57"/>
  <c r="S25" i="57" s="1"/>
  <c r="U25" i="57" s="1"/>
  <c r="J25" i="57"/>
  <c r="X24" i="57"/>
  <c r="Q24" i="57"/>
  <c r="S24" i="57" s="1"/>
  <c r="U24" i="57" s="1"/>
  <c r="J24" i="57"/>
  <c r="X23" i="57"/>
  <c r="Q23" i="57"/>
  <c r="S23" i="57" s="1"/>
  <c r="U23" i="57" s="1"/>
  <c r="J23" i="57"/>
  <c r="X22" i="57"/>
  <c r="Q22" i="57"/>
  <c r="S22" i="57" s="1"/>
  <c r="U22" i="57" s="1"/>
  <c r="J22" i="57"/>
  <c r="M22" i="57" s="1"/>
  <c r="X21" i="57"/>
  <c r="U21" i="57"/>
  <c r="Q21" i="57"/>
  <c r="S21" i="57" s="1"/>
  <c r="J21" i="57"/>
  <c r="X20" i="57"/>
  <c r="Q20" i="57"/>
  <c r="S20" i="57" s="1"/>
  <c r="U20" i="57" s="1"/>
  <c r="J20" i="57"/>
  <c r="X19" i="57"/>
  <c r="Q19" i="57"/>
  <c r="S19" i="57" s="1"/>
  <c r="U19" i="57" s="1"/>
  <c r="J19" i="57"/>
  <c r="X18" i="57"/>
  <c r="Q18" i="57"/>
  <c r="S18" i="57" s="1"/>
  <c r="U18" i="57" s="1"/>
  <c r="J18" i="57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X10" i="57"/>
  <c r="Q10" i="57"/>
  <c r="S10" i="57" s="1"/>
  <c r="U10" i="57" s="1"/>
  <c r="J10" i="57"/>
  <c r="X9" i="57"/>
  <c r="Q9" i="57"/>
  <c r="S9" i="57" s="1"/>
  <c r="U9" i="57" s="1"/>
  <c r="J9" i="57"/>
  <c r="M9" i="57" s="1"/>
  <c r="X8" i="57"/>
  <c r="Q8" i="57"/>
  <c r="S8" i="57"/>
  <c r="U8" i="57" s="1"/>
  <c r="J8" i="57"/>
  <c r="X7" i="57"/>
  <c r="Q7" i="57"/>
  <c r="S7" i="57" s="1"/>
  <c r="U7" i="57" s="1"/>
  <c r="J7" i="57"/>
  <c r="M7" i="57" s="1"/>
  <c r="X6" i="57"/>
  <c r="Q6" i="57"/>
  <c r="S6" i="57" s="1"/>
  <c r="U6" i="57" s="1"/>
  <c r="J6" i="57"/>
  <c r="X5" i="57"/>
  <c r="Q5" i="57"/>
  <c r="S5" i="57" s="1"/>
  <c r="U5" i="57" s="1"/>
  <c r="J5" i="57"/>
  <c r="E34" i="62"/>
  <c r="G34" i="62"/>
  <c r="C34" i="63" s="1"/>
  <c r="E34" i="63" s="1"/>
  <c r="G34" i="63" s="1"/>
  <c r="C34" i="64" s="1"/>
  <c r="E34" i="64" s="1"/>
  <c r="G34" i="64" s="1"/>
  <c r="C34" i="65" s="1"/>
  <c r="E34" i="65" s="1"/>
  <c r="G34" i="65" s="1"/>
  <c r="E35" i="62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/>
  <c r="J195" i="56"/>
  <c r="M195" i="56"/>
  <c r="J194" i="56"/>
  <c r="M194" i="56" s="1"/>
  <c r="J193" i="56"/>
  <c r="M193" i="56"/>
  <c r="J192" i="56"/>
  <c r="M192" i="56" s="1"/>
  <c r="J191" i="56"/>
  <c r="M191" i="56" s="1"/>
  <c r="M190" i="56"/>
  <c r="J190" i="56"/>
  <c r="J189" i="56"/>
  <c r="M189" i="56" s="1"/>
  <c r="J188" i="56"/>
  <c r="M188" i="56" s="1"/>
  <c r="J187" i="56"/>
  <c r="M187" i="56" s="1"/>
  <c r="J186" i="56"/>
  <c r="M186" i="56" s="1"/>
  <c r="J185" i="56"/>
  <c r="M185" i="56"/>
  <c r="J184" i="56"/>
  <c r="M184" i="56"/>
  <c r="J183" i="56"/>
  <c r="M183" i="56" s="1"/>
  <c r="M182" i="56"/>
  <c r="J182" i="56"/>
  <c r="J181" i="56"/>
  <c r="M181" i="56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M174" i="56"/>
  <c r="J174" i="56"/>
  <c r="J173" i="56"/>
  <c r="M173" i="56" s="1"/>
  <c r="J172" i="56"/>
  <c r="M172" i="56" s="1"/>
  <c r="J171" i="56"/>
  <c r="M171" i="56"/>
  <c r="J170" i="56"/>
  <c r="M170" i="56" s="1"/>
  <c r="J169" i="56"/>
  <c r="M169" i="56" s="1"/>
  <c r="J168" i="56"/>
  <c r="M168" i="56" s="1"/>
  <c r="J167" i="56"/>
  <c r="M167" i="56" s="1"/>
  <c r="M166" i="56"/>
  <c r="J166" i="56"/>
  <c r="J165" i="56"/>
  <c r="M165" i="56" s="1"/>
  <c r="J164" i="56"/>
  <c r="M164" i="56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M134" i="56"/>
  <c r="J134" i="56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M107" i="56"/>
  <c r="J107" i="56"/>
  <c r="J106" i="56"/>
  <c r="M106" i="56" s="1"/>
  <c r="Z105" i="56"/>
  <c r="J105" i="56"/>
  <c r="M105" i="56" s="1"/>
  <c r="X104" i="56"/>
  <c r="Q104" i="56"/>
  <c r="S104" i="56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S96" i="56"/>
  <c r="U96" i="56" s="1"/>
  <c r="Q96" i="56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/>
  <c r="J80" i="56"/>
  <c r="M80" i="56" s="1"/>
  <c r="X79" i="56"/>
  <c r="Q79" i="56"/>
  <c r="S79" i="56" s="1"/>
  <c r="U79" i="56" s="1"/>
  <c r="J79" i="56"/>
  <c r="M79" i="56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M72" i="56"/>
  <c r="J72" i="56"/>
  <c r="X71" i="56"/>
  <c r="Q71" i="56"/>
  <c r="S71" i="56" s="1"/>
  <c r="U71" i="56" s="1"/>
  <c r="J71" i="56"/>
  <c r="M71" i="56" s="1"/>
  <c r="X70" i="56"/>
  <c r="S70" i="56"/>
  <c r="U70" i="56" s="1"/>
  <c r="Q70" i="56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M68" i="56"/>
  <c r="J68" i="56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M64" i="56"/>
  <c r="J64" i="56"/>
  <c r="X63" i="56"/>
  <c r="Q63" i="56"/>
  <c r="S63" i="56" s="1"/>
  <c r="U63" i="56" s="1"/>
  <c r="J63" i="56"/>
  <c r="M63" i="56" s="1"/>
  <c r="X62" i="56"/>
  <c r="Q62" i="56"/>
  <c r="S62" i="56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S59" i="56"/>
  <c r="U59" i="56" s="1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M17" i="56"/>
  <c r="J17" i="56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M9" i="56"/>
  <c r="J9" i="56"/>
  <c r="X8" i="56"/>
  <c r="X107" i="56" s="1"/>
  <c r="J206" i="56" s="1"/>
  <c r="Q8" i="56"/>
  <c r="S8" i="56" s="1"/>
  <c r="U8" i="56" s="1"/>
  <c r="J8" i="56"/>
  <c r="M8" i="56" s="1"/>
  <c r="X7" i="56"/>
  <c r="Q7" i="56"/>
  <c r="S7" i="56" s="1"/>
  <c r="U7" i="56" s="1"/>
  <c r="J7" i="56"/>
  <c r="M7" i="56"/>
  <c r="X6" i="56"/>
  <c r="Q6" i="56"/>
  <c r="S6" i="56" s="1"/>
  <c r="U6" i="56" s="1"/>
  <c r="J6" i="56"/>
  <c r="M6" i="56" s="1"/>
  <c r="X5" i="56"/>
  <c r="Q5" i="56"/>
  <c r="S5" i="56" s="1"/>
  <c r="U5" i="56" s="1"/>
  <c r="J5" i="56"/>
  <c r="K220" i="55"/>
  <c r="K212" i="55"/>
  <c r="N25" i="16" s="1"/>
  <c r="K209" i="55"/>
  <c r="R25" i="16" s="1"/>
  <c r="J204" i="55"/>
  <c r="M204" i="55" s="1"/>
  <c r="J203" i="55"/>
  <c r="M203" i="55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/>
  <c r="J196" i="55"/>
  <c r="M196" i="55"/>
  <c r="J195" i="55"/>
  <c r="M195" i="55"/>
  <c r="J194" i="55"/>
  <c r="M194" i="55" s="1"/>
  <c r="J193" i="55"/>
  <c r="M193" i="55"/>
  <c r="J192" i="55"/>
  <c r="M192" i="55"/>
  <c r="J191" i="55"/>
  <c r="M191" i="55"/>
  <c r="J190" i="55"/>
  <c r="M190" i="55" s="1"/>
  <c r="J189" i="55"/>
  <c r="M189" i="55"/>
  <c r="J188" i="55"/>
  <c r="M188" i="55"/>
  <c r="J187" i="55"/>
  <c r="M187" i="55"/>
  <c r="J186" i="55"/>
  <c r="M186" i="55" s="1"/>
  <c r="J185" i="55"/>
  <c r="M185" i="55"/>
  <c r="J184" i="55"/>
  <c r="M184" i="55"/>
  <c r="J183" i="55"/>
  <c r="M183" i="55"/>
  <c r="J182" i="55"/>
  <c r="M182" i="55" s="1"/>
  <c r="J181" i="55"/>
  <c r="M181" i="55"/>
  <c r="J180" i="55"/>
  <c r="M180" i="55"/>
  <c r="J179" i="55"/>
  <c r="M179" i="55"/>
  <c r="J178" i="55"/>
  <c r="M178" i="55" s="1"/>
  <c r="J177" i="55"/>
  <c r="M177" i="55"/>
  <c r="J176" i="55"/>
  <c r="M176" i="55"/>
  <c r="J175" i="55"/>
  <c r="M175" i="55"/>
  <c r="J174" i="55"/>
  <c r="M174" i="55" s="1"/>
  <c r="J173" i="55"/>
  <c r="M173" i="55" s="1"/>
  <c r="J172" i="55"/>
  <c r="M172" i="55" s="1"/>
  <c r="J171" i="55"/>
  <c r="M171" i="55"/>
  <c r="J170" i="55"/>
  <c r="M170" i="55"/>
  <c r="J169" i="55"/>
  <c r="M169" i="55" s="1"/>
  <c r="J168" i="55"/>
  <c r="M168" i="55"/>
  <c r="J167" i="55"/>
  <c r="M167" i="55"/>
  <c r="J166" i="55"/>
  <c r="M166" i="55" s="1"/>
  <c r="J165" i="55"/>
  <c r="M165" i="55" s="1"/>
  <c r="J164" i="55"/>
  <c r="M164" i="55" s="1"/>
  <c r="J163" i="55"/>
  <c r="M163" i="55" s="1"/>
  <c r="J162" i="55"/>
  <c r="M162" i="55"/>
  <c r="J161" i="55"/>
  <c r="M161" i="55" s="1"/>
  <c r="J160" i="55"/>
  <c r="M160" i="55"/>
  <c r="J159" i="55"/>
  <c r="M159" i="55" s="1"/>
  <c r="J158" i="55"/>
  <c r="M158" i="55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/>
  <c r="J151" i="55"/>
  <c r="M151" i="55" s="1"/>
  <c r="J150" i="55"/>
  <c r="M150" i="55" s="1"/>
  <c r="J149" i="55"/>
  <c r="M149" i="55" s="1"/>
  <c r="J148" i="55"/>
  <c r="M148" i="55"/>
  <c r="J147" i="55"/>
  <c r="M147" i="55"/>
  <c r="J146" i="55"/>
  <c r="M146" i="55"/>
  <c r="J145" i="55"/>
  <c r="M145" i="55" s="1"/>
  <c r="J144" i="55"/>
  <c r="M144" i="55" s="1"/>
  <c r="J143" i="55"/>
  <c r="M143" i="55"/>
  <c r="J142" i="55"/>
  <c r="M142" i="55" s="1"/>
  <c r="J141" i="55"/>
  <c r="M141" i="55" s="1"/>
  <c r="J140" i="55"/>
  <c r="M140" i="55" s="1"/>
  <c r="J139" i="55"/>
  <c r="M139" i="55"/>
  <c r="J138" i="55"/>
  <c r="M138" i="55"/>
  <c r="J137" i="55"/>
  <c r="M137" i="55" s="1"/>
  <c r="J136" i="55"/>
  <c r="M136" i="55" s="1"/>
  <c r="J135" i="55"/>
  <c r="M135" i="55" s="1"/>
  <c r="J134" i="55"/>
  <c r="M134" i="55"/>
  <c r="J133" i="55"/>
  <c r="M133" i="55" s="1"/>
  <c r="J132" i="55"/>
  <c r="M132" i="55"/>
  <c r="J131" i="55"/>
  <c r="M131" i="55" s="1"/>
  <c r="J130" i="55"/>
  <c r="M130" i="55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/>
  <c r="J123" i="55"/>
  <c r="M123" i="55" s="1"/>
  <c r="J122" i="55"/>
  <c r="M122" i="55" s="1"/>
  <c r="J121" i="55"/>
  <c r="M121" i="55" s="1"/>
  <c r="J120" i="55"/>
  <c r="M120" i="55"/>
  <c r="J119" i="55"/>
  <c r="M119" i="55"/>
  <c r="J118" i="55"/>
  <c r="M118" i="55"/>
  <c r="J117" i="55"/>
  <c r="M117" i="55" s="1"/>
  <c r="J116" i="55"/>
  <c r="M116" i="55" s="1"/>
  <c r="J115" i="55"/>
  <c r="M115" i="55"/>
  <c r="J114" i="55"/>
  <c r="M114" i="55" s="1"/>
  <c r="J113" i="55"/>
  <c r="M113" i="55" s="1"/>
  <c r="J112" i="55"/>
  <c r="M112" i="55" s="1"/>
  <c r="J111" i="55"/>
  <c r="M111" i="55"/>
  <c r="J110" i="55"/>
  <c r="M110" i="55"/>
  <c r="J109" i="55"/>
  <c r="M109" i="55" s="1"/>
  <c r="J108" i="55"/>
  <c r="M108" i="55" s="1"/>
  <c r="J107" i="55"/>
  <c r="M107" i="55" s="1"/>
  <c r="J106" i="55"/>
  <c r="M106" i="55"/>
  <c r="Z105" i="55"/>
  <c r="J105" i="55"/>
  <c r="M105" i="55"/>
  <c r="X104" i="55"/>
  <c r="Q104" i="55"/>
  <c r="S104" i="55" s="1"/>
  <c r="U104" i="55" s="1"/>
  <c r="J104" i="55"/>
  <c r="M104" i="55" s="1"/>
  <c r="X103" i="55"/>
  <c r="Q103" i="55"/>
  <c r="S103" i="55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/>
  <c r="X93" i="55"/>
  <c r="Q93" i="55"/>
  <c r="S93" i="55" s="1"/>
  <c r="U93" i="55" s="1"/>
  <c r="J93" i="55"/>
  <c r="M93" i="55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/>
  <c r="U78" i="55" s="1"/>
  <c r="J78" i="55"/>
  <c r="M78" i="55"/>
  <c r="X77" i="55"/>
  <c r="Q77" i="55"/>
  <c r="S77" i="55" s="1"/>
  <c r="U77" i="55" s="1"/>
  <c r="J77" i="55"/>
  <c r="M77" i="55" s="1"/>
  <c r="X76" i="55"/>
  <c r="Q76" i="55"/>
  <c r="S76" i="55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/>
  <c r="U66" i="55" s="1"/>
  <c r="J66" i="55"/>
  <c r="M66" i="55"/>
  <c r="X65" i="55"/>
  <c r="Q65" i="55"/>
  <c r="S65" i="55"/>
  <c r="U65" i="55" s="1"/>
  <c r="J65" i="55"/>
  <c r="M65" i="55" s="1"/>
  <c r="X64" i="55"/>
  <c r="Q64" i="55"/>
  <c r="S64" i="55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/>
  <c r="X61" i="55"/>
  <c r="Q61" i="55"/>
  <c r="S61" i="55" s="1"/>
  <c r="U61" i="55" s="1"/>
  <c r="J61" i="55"/>
  <c r="M61" i="55" s="1"/>
  <c r="X60" i="55"/>
  <c r="Q60" i="55"/>
  <c r="S60" i="55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/>
  <c r="X53" i="55"/>
  <c r="Q53" i="55"/>
  <c r="S53" i="55" s="1"/>
  <c r="U53" i="55" s="1"/>
  <c r="J53" i="55"/>
  <c r="M53" i="55"/>
  <c r="X52" i="55"/>
  <c r="Q52" i="55"/>
  <c r="S52" i="55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/>
  <c r="X49" i="55"/>
  <c r="Q49" i="55"/>
  <c r="S49" i="55"/>
  <c r="U49" i="55" s="1"/>
  <c r="J49" i="55"/>
  <c r="M49" i="55" s="1"/>
  <c r="X48" i="55"/>
  <c r="Q48" i="55"/>
  <c r="S48" i="55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U42" i="55"/>
  <c r="Q42" i="55"/>
  <c r="S42" i="55" s="1"/>
  <c r="J42" i="55"/>
  <c r="M42" i="55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/>
  <c r="J30" i="55"/>
  <c r="M30" i="55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/>
  <c r="X5" i="55"/>
  <c r="X107" i="55" s="1"/>
  <c r="J206" i="55" s="1"/>
  <c r="Q5" i="55"/>
  <c r="S5" i="55" s="1"/>
  <c r="U5" i="55" s="1"/>
  <c r="J5" i="55"/>
  <c r="R33" i="16"/>
  <c r="R32" i="16"/>
  <c r="R31" i="16"/>
  <c r="R30" i="16"/>
  <c r="M139" i="57"/>
  <c r="M8" i="57"/>
  <c r="M81" i="57"/>
  <c r="M93" i="57"/>
  <c r="M131" i="57"/>
  <c r="M49" i="57"/>
  <c r="M176" i="57"/>
  <c r="M15" i="57"/>
  <c r="M23" i="57"/>
  <c r="M36" i="57"/>
  <c r="M181" i="57"/>
  <c r="M204" i="57"/>
  <c r="M26" i="57"/>
  <c r="M31" i="57"/>
  <c r="M50" i="57"/>
  <c r="M52" i="57"/>
  <c r="M54" i="57"/>
  <c r="M61" i="57"/>
  <c r="M69" i="57"/>
  <c r="M71" i="57"/>
  <c r="M82" i="57"/>
  <c r="M91" i="57"/>
  <c r="M99" i="57"/>
  <c r="M115" i="57"/>
  <c r="M123" i="57"/>
  <c r="M127" i="57"/>
  <c r="M142" i="57"/>
  <c r="M145" i="57"/>
  <c r="M157" i="57"/>
  <c r="M160" i="57"/>
  <c r="M165" i="57"/>
  <c r="M173" i="57"/>
  <c r="M186" i="57"/>
  <c r="M190" i="57"/>
  <c r="M193" i="57"/>
  <c r="M200" i="57"/>
  <c r="M20" i="57"/>
  <c r="M41" i="57"/>
  <c r="M43" i="57"/>
  <c r="M56" i="57"/>
  <c r="M88" i="57"/>
  <c r="M109" i="57"/>
  <c r="M117" i="57"/>
  <c r="M124" i="57"/>
  <c r="M132" i="57"/>
  <c r="M135" i="57"/>
  <c r="M146" i="57"/>
  <c r="M158" i="57"/>
  <c r="M161" i="57"/>
  <c r="M166" i="57"/>
  <c r="M174" i="57"/>
  <c r="M180" i="57"/>
  <c r="M194" i="57"/>
  <c r="M201" i="57"/>
  <c r="M89" i="57"/>
  <c r="M137" i="57"/>
  <c r="M164" i="57"/>
  <c r="M116" i="57"/>
  <c r="M138" i="57"/>
  <c r="M6" i="57"/>
  <c r="M25" i="57"/>
  <c r="M33" i="57"/>
  <c r="M38" i="57"/>
  <c r="M45" i="57"/>
  <c r="M51" i="57"/>
  <c r="M58" i="57"/>
  <c r="M63" i="57"/>
  <c r="M96" i="57"/>
  <c r="M105" i="57"/>
  <c r="M113" i="57"/>
  <c r="M121" i="57"/>
  <c r="M125" i="57"/>
  <c r="M154" i="57"/>
  <c r="M177" i="57"/>
  <c r="M191" i="57"/>
  <c r="M130" i="57"/>
  <c r="M197" i="57"/>
  <c r="M10" i="57"/>
  <c r="M153" i="57"/>
  <c r="M169" i="57"/>
  <c r="M198" i="57"/>
  <c r="M18" i="57"/>
  <c r="M118" i="57"/>
  <c r="M162" i="57"/>
  <c r="M202" i="57"/>
  <c r="M21" i="57"/>
  <c r="M97" i="57"/>
  <c r="M75" i="57"/>
  <c r="M84" i="57"/>
  <c r="M108" i="57"/>
  <c r="M83" i="57"/>
  <c r="M11" i="57"/>
  <c r="M13" i="57"/>
  <c r="M27" i="57"/>
  <c r="M55" i="57"/>
  <c r="M65" i="57"/>
  <c r="M72" i="57"/>
  <c r="M87" i="57"/>
  <c r="M92" i="57"/>
  <c r="M95" i="57"/>
  <c r="M100" i="57"/>
  <c r="M126" i="57"/>
  <c r="M129" i="57"/>
  <c r="M133" i="57"/>
  <c r="M140" i="57"/>
  <c r="M159" i="57"/>
  <c r="M167" i="57"/>
  <c r="M171" i="57"/>
  <c r="M19" i="57"/>
  <c r="M46" i="57"/>
  <c r="M59" i="57"/>
  <c r="M80" i="57"/>
  <c r="M134" i="57"/>
  <c r="M156" i="57"/>
  <c r="M150" i="57"/>
  <c r="M110" i="57"/>
  <c r="M188" i="57"/>
  <c r="M24" i="57"/>
  <c r="M32" i="57"/>
  <c r="M37" i="57"/>
  <c r="M62" i="57"/>
  <c r="M78" i="57"/>
  <c r="M94" i="57"/>
  <c r="M106" i="57"/>
  <c r="M111" i="57"/>
  <c r="M119" i="57"/>
  <c r="M122" i="57"/>
  <c r="M144" i="57"/>
  <c r="M172" i="57"/>
  <c r="M175" i="57"/>
  <c r="M182" i="57"/>
  <c r="M185" i="57"/>
  <c r="M189" i="57"/>
  <c r="M196" i="57"/>
  <c r="M203" i="57"/>
  <c r="R27" i="16"/>
  <c r="M102" i="57"/>
  <c r="M77" i="57"/>
  <c r="R26" i="16"/>
  <c r="M5" i="64"/>
  <c r="M5" i="63"/>
  <c r="X107" i="58"/>
  <c r="J206" i="58"/>
  <c r="X107" i="57"/>
  <c r="J206" i="57"/>
  <c r="M5" i="57"/>
  <c r="M5" i="56"/>
  <c r="M5" i="55"/>
  <c r="T24" i="16"/>
  <c r="Q24" i="16"/>
  <c r="P24" i="16"/>
  <c r="O24" i="16"/>
  <c r="T23" i="16"/>
  <c r="Q23" i="16"/>
  <c r="P23" i="16"/>
  <c r="O23" i="16"/>
  <c r="K220" i="54"/>
  <c r="K212" i="54"/>
  <c r="N24" i="16" s="1"/>
  <c r="K209" i="54"/>
  <c r="K219" i="54" s="1"/>
  <c r="J204" i="54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/>
  <c r="J196" i="54"/>
  <c r="M196" i="54" s="1"/>
  <c r="J195" i="54"/>
  <c r="M195" i="54" s="1"/>
  <c r="J194" i="54"/>
  <c r="M194" i="54" s="1"/>
  <c r="J193" i="54"/>
  <c r="M193" i="54" s="1"/>
  <c r="J192" i="54"/>
  <c r="M192" i="54"/>
  <c r="J191" i="54"/>
  <c r="M191" i="54" s="1"/>
  <c r="J190" i="54"/>
  <c r="M190" i="54" s="1"/>
  <c r="J189" i="54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/>
  <c r="J172" i="54"/>
  <c r="M172" i="54" s="1"/>
  <c r="J171" i="54"/>
  <c r="M171" i="54" s="1"/>
  <c r="J170" i="54"/>
  <c r="M170" i="54" s="1"/>
  <c r="J169" i="54"/>
  <c r="M169" i="54" s="1"/>
  <c r="J168" i="54"/>
  <c r="M168" i="54"/>
  <c r="J167" i="54"/>
  <c r="M167" i="54" s="1"/>
  <c r="J166" i="54"/>
  <c r="M166" i="54" s="1"/>
  <c r="J165" i="54"/>
  <c r="M165" i="54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/>
  <c r="J148" i="54"/>
  <c r="M148" i="54" s="1"/>
  <c r="J147" i="54"/>
  <c r="M147" i="54" s="1"/>
  <c r="J146" i="54"/>
  <c r="M146" i="54" s="1"/>
  <c r="J145" i="54"/>
  <c r="M145" i="54" s="1"/>
  <c r="J144" i="54"/>
  <c r="M144" i="54"/>
  <c r="J143" i="54"/>
  <c r="M143" i="54" s="1"/>
  <c r="J142" i="54"/>
  <c r="M142" i="54" s="1"/>
  <c r="J141" i="54"/>
  <c r="M141" i="54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/>
  <c r="J124" i="54"/>
  <c r="M124" i="54"/>
  <c r="J123" i="54"/>
  <c r="M123" i="54" s="1"/>
  <c r="J122" i="54"/>
  <c r="M122" i="54" s="1"/>
  <c r="J121" i="54"/>
  <c r="M121" i="54" s="1"/>
  <c r="J120" i="54"/>
  <c r="M120" i="54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/>
  <c r="J111" i="54"/>
  <c r="M111" i="54" s="1"/>
  <c r="J110" i="54"/>
  <c r="M110" i="54" s="1"/>
  <c r="J109" i="54"/>
  <c r="M109" i="54"/>
  <c r="J108" i="54"/>
  <c r="M108" i="54"/>
  <c r="J107" i="54"/>
  <c r="M107" i="54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/>
  <c r="U102" i="54" s="1"/>
  <c r="J102" i="54"/>
  <c r="M102" i="54" s="1"/>
  <c r="X101" i="54"/>
  <c r="Q101" i="54"/>
  <c r="S101" i="54"/>
  <c r="U101" i="54" s="1"/>
  <c r="M101" i="54"/>
  <c r="J101" i="54"/>
  <c r="X100" i="54"/>
  <c r="Q100" i="54"/>
  <c r="S100" i="54" s="1"/>
  <c r="U100" i="54" s="1"/>
  <c r="J100" i="54"/>
  <c r="M100" i="54" s="1"/>
  <c r="X99" i="54"/>
  <c r="S99" i="54"/>
  <c r="U99" i="54" s="1"/>
  <c r="Q99" i="54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M97" i="54"/>
  <c r="J97" i="54"/>
  <c r="X96" i="54"/>
  <c r="Q96" i="54"/>
  <c r="S96" i="54" s="1"/>
  <c r="U96" i="54" s="1"/>
  <c r="J96" i="54"/>
  <c r="M96" i="54" s="1"/>
  <c r="X95" i="54"/>
  <c r="U95" i="54"/>
  <c r="Q95" i="54"/>
  <c r="S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M93" i="54"/>
  <c r="J93" i="54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M69" i="54"/>
  <c r="J69" i="54"/>
  <c r="X68" i="54"/>
  <c r="Q68" i="54"/>
  <c r="S68" i="54" s="1"/>
  <c r="U68" i="54" s="1"/>
  <c r="J68" i="54"/>
  <c r="M68" i="54" s="1"/>
  <c r="X67" i="54"/>
  <c r="Q67" i="54"/>
  <c r="S67" i="54" s="1"/>
  <c r="U67" i="54" s="1"/>
  <c r="M67" i="54"/>
  <c r="J67" i="54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M60" i="54"/>
  <c r="J60" i="54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M53" i="54"/>
  <c r="J53" i="54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M49" i="54"/>
  <c r="J49" i="54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M45" i="54"/>
  <c r="J45" i="54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M34" i="54"/>
  <c r="J34" i="54"/>
  <c r="X33" i="54"/>
  <c r="Q33" i="54"/>
  <c r="S33" i="54" s="1"/>
  <c r="U33" i="54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/>
  <c r="U26" i="54" s="1"/>
  <c r="J26" i="54"/>
  <c r="M26" i="54" s="1"/>
  <c r="X25" i="54"/>
  <c r="Q25" i="54"/>
  <c r="S25" i="54" s="1"/>
  <c r="U25" i="54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M22" i="54"/>
  <c r="J22" i="54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/>
  <c r="U14" i="54" s="1"/>
  <c r="J14" i="54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U11" i="54"/>
  <c r="Q11" i="54"/>
  <c r="S11" i="54" s="1"/>
  <c r="J11" i="54"/>
  <c r="M11" i="54"/>
  <c r="X10" i="54"/>
  <c r="Q10" i="54"/>
  <c r="S10" i="54" s="1"/>
  <c r="U10" i="54" s="1"/>
  <c r="J10" i="54"/>
  <c r="M10" i="54" s="1"/>
  <c r="X9" i="54"/>
  <c r="Q9" i="54"/>
  <c r="S9" i="54"/>
  <c r="U9" i="54" s="1"/>
  <c r="J9" i="54"/>
  <c r="M9" i="54" s="1"/>
  <c r="X8" i="54"/>
  <c r="Q8" i="54"/>
  <c r="S8" i="54" s="1"/>
  <c r="U8" i="54" s="1"/>
  <c r="J8" i="54"/>
  <c r="M8" i="54"/>
  <c r="X7" i="54"/>
  <c r="X107" i="54" s="1"/>
  <c r="J206" i="54" s="1"/>
  <c r="Q7" i="54"/>
  <c r="S7" i="54" s="1"/>
  <c r="U7" i="54" s="1"/>
  <c r="J7" i="54"/>
  <c r="M7" i="54" s="1"/>
  <c r="X6" i="54"/>
  <c r="Q6" i="54"/>
  <c r="S6" i="54" s="1"/>
  <c r="U6" i="54" s="1"/>
  <c r="J6" i="54"/>
  <c r="M6" i="54"/>
  <c r="X5" i="54"/>
  <c r="Q5" i="54"/>
  <c r="S5" i="54" s="1"/>
  <c r="U5" i="54" s="1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M198" i="53"/>
  <c r="J198" i="53"/>
  <c r="J197" i="53"/>
  <c r="M197" i="53"/>
  <c r="J196" i="53"/>
  <c r="M196" i="53"/>
  <c r="J195" i="53"/>
  <c r="M195" i="53" s="1"/>
  <c r="J194" i="53"/>
  <c r="M194" i="53" s="1"/>
  <c r="J193" i="53"/>
  <c r="M193" i="53"/>
  <c r="J192" i="53"/>
  <c r="M192" i="53" s="1"/>
  <c r="J191" i="53"/>
  <c r="M191" i="53" s="1"/>
  <c r="M190" i="53"/>
  <c r="J190" i="53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/>
  <c r="J180" i="53"/>
  <c r="M180" i="53"/>
  <c r="J179" i="53"/>
  <c r="M179" i="53" s="1"/>
  <c r="J178" i="53"/>
  <c r="M178" i="53" s="1"/>
  <c r="J177" i="53"/>
  <c r="M177" i="53" s="1"/>
  <c r="J176" i="53"/>
  <c r="M176" i="53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/>
  <c r="J168" i="53"/>
  <c r="M168" i="53" s="1"/>
  <c r="J167" i="53"/>
  <c r="M167" i="53" s="1"/>
  <c r="J166" i="53"/>
  <c r="M166" i="53" s="1"/>
  <c r="J165" i="53"/>
  <c r="M165" i="53"/>
  <c r="J164" i="53"/>
  <c r="M164" i="53"/>
  <c r="M163" i="53"/>
  <c r="J163" i="53"/>
  <c r="J162" i="53"/>
  <c r="M162" i="53" s="1"/>
  <c r="J161" i="53"/>
  <c r="M161" i="53"/>
  <c r="J160" i="53"/>
  <c r="M160" i="53"/>
  <c r="M159" i="53"/>
  <c r="J159" i="53"/>
  <c r="J158" i="53"/>
  <c r="M158" i="53" s="1"/>
  <c r="J157" i="53"/>
  <c r="M157" i="53" s="1"/>
  <c r="J156" i="53"/>
  <c r="M156" i="53"/>
  <c r="J155" i="53"/>
  <c r="M155" i="53" s="1"/>
  <c r="J154" i="53"/>
  <c r="M154" i="53" s="1"/>
  <c r="J153" i="53"/>
  <c r="M153" i="53" s="1"/>
  <c r="J152" i="53"/>
  <c r="M152" i="53"/>
  <c r="J151" i="53"/>
  <c r="M151" i="53" s="1"/>
  <c r="J150" i="53"/>
  <c r="M150" i="53" s="1"/>
  <c r="J149" i="53"/>
  <c r="M149" i="53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/>
  <c r="J140" i="53"/>
  <c r="M140" i="53" s="1"/>
  <c r="M139" i="53"/>
  <c r="J139" i="53"/>
  <c r="J138" i="53"/>
  <c r="M138" i="53" s="1"/>
  <c r="J137" i="53"/>
  <c r="M137" i="53" s="1"/>
  <c r="J136" i="53"/>
  <c r="M136" i="53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M127" i="53"/>
  <c r="J127" i="53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M121" i="53" s="1"/>
  <c r="J120" i="53"/>
  <c r="M120" i="53"/>
  <c r="J119" i="53"/>
  <c r="M119" i="53" s="1"/>
  <c r="J118" i="53"/>
  <c r="M118" i="53" s="1"/>
  <c r="J117" i="53"/>
  <c r="M117" i="53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/>
  <c r="U102" i="53" s="1"/>
  <c r="J102" i="53"/>
  <c r="M102" i="53" s="1"/>
  <c r="X101" i="53"/>
  <c r="Q101" i="53"/>
  <c r="S101" i="53" s="1"/>
  <c r="U101" i="53" s="1"/>
  <c r="M101" i="53"/>
  <c r="J101" i="53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S97" i="53"/>
  <c r="U97" i="53" s="1"/>
  <c r="Q97" i="53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M93" i="53"/>
  <c r="J93" i="53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/>
  <c r="X86" i="53"/>
  <c r="Q86" i="53"/>
  <c r="S86" i="53" s="1"/>
  <c r="U86" i="53" s="1"/>
  <c r="J86" i="53"/>
  <c r="M86" i="53" s="1"/>
  <c r="X85" i="53"/>
  <c r="Q85" i="53"/>
  <c r="S85" i="53" s="1"/>
  <c r="U85" i="53" s="1"/>
  <c r="M85" i="53"/>
  <c r="J85" i="53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/>
  <c r="U79" i="53" s="1"/>
  <c r="J79" i="53"/>
  <c r="M79" i="53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S59" i="53"/>
  <c r="U59" i="53" s="1"/>
  <c r="Q59" i="53"/>
  <c r="J59" i="53"/>
  <c r="M59" i="53" s="1"/>
  <c r="X58" i="53"/>
  <c r="Q58" i="53"/>
  <c r="S58" i="53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/>
  <c r="U55" i="53" s="1"/>
  <c r="J55" i="53"/>
  <c r="M55" i="53" s="1"/>
  <c r="X54" i="53"/>
  <c r="Q54" i="53"/>
  <c r="S54" i="53" s="1"/>
  <c r="U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M43" i="53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M16" i="53"/>
  <c r="J16" i="53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/>
  <c r="U12" i="53" s="1"/>
  <c r="M12" i="53"/>
  <c r="J12" i="53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T22" i="16"/>
  <c r="Q22" i="16"/>
  <c r="P22" i="16"/>
  <c r="O22" i="16"/>
  <c r="K220" i="52"/>
  <c r="K212" i="52"/>
  <c r="N22" i="16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/>
  <c r="J198" i="52"/>
  <c r="M198" i="52" s="1"/>
  <c r="J197" i="52"/>
  <c r="M197" i="52" s="1"/>
  <c r="J196" i="52"/>
  <c r="M196" i="52" s="1"/>
  <c r="J195" i="52"/>
  <c r="M195" i="52"/>
  <c r="J194" i="52"/>
  <c r="M194" i="52" s="1"/>
  <c r="J193" i="52"/>
  <c r="M193" i="52" s="1"/>
  <c r="J192" i="52"/>
  <c r="M192" i="52" s="1"/>
  <c r="J191" i="52"/>
  <c r="M191" i="52"/>
  <c r="J190" i="52"/>
  <c r="M190" i="52" s="1"/>
  <c r="J189" i="52"/>
  <c r="M189" i="52" s="1"/>
  <c r="J188" i="52"/>
  <c r="M188" i="52"/>
  <c r="J187" i="52"/>
  <c r="M187" i="52"/>
  <c r="J186" i="52"/>
  <c r="M186" i="52" s="1"/>
  <c r="J185" i="52"/>
  <c r="M185" i="52" s="1"/>
  <c r="J184" i="52"/>
  <c r="M184" i="52"/>
  <c r="J183" i="52"/>
  <c r="M183" i="52" s="1"/>
  <c r="J182" i="52"/>
  <c r="M182" i="52" s="1"/>
  <c r="J181" i="52"/>
  <c r="M181" i="52" s="1"/>
  <c r="J180" i="52"/>
  <c r="M180" i="52" s="1"/>
  <c r="J179" i="52"/>
  <c r="M179" i="52"/>
  <c r="J178" i="52"/>
  <c r="M178" i="52" s="1"/>
  <c r="J177" i="52"/>
  <c r="M177" i="52" s="1"/>
  <c r="J176" i="52"/>
  <c r="M176" i="52" s="1"/>
  <c r="J175" i="52"/>
  <c r="M175" i="52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/>
  <c r="J167" i="52"/>
  <c r="M167" i="52"/>
  <c r="J166" i="52"/>
  <c r="M166" i="52" s="1"/>
  <c r="J165" i="52"/>
  <c r="M165" i="52" s="1"/>
  <c r="J164" i="52"/>
  <c r="M164" i="52"/>
  <c r="J163" i="52"/>
  <c r="M163" i="52" s="1"/>
  <c r="J162" i="52"/>
  <c r="M162" i="52" s="1"/>
  <c r="J161" i="52"/>
  <c r="M161" i="52" s="1"/>
  <c r="J160" i="52"/>
  <c r="M160" i="52" s="1"/>
  <c r="J159" i="52"/>
  <c r="M159" i="52"/>
  <c r="J158" i="52"/>
  <c r="M158" i="52" s="1"/>
  <c r="J157" i="52"/>
  <c r="M157" i="52" s="1"/>
  <c r="J156" i="52"/>
  <c r="M156" i="52" s="1"/>
  <c r="J155" i="52"/>
  <c r="M155" i="52"/>
  <c r="J154" i="52"/>
  <c r="M154" i="52"/>
  <c r="J153" i="52"/>
  <c r="M153" i="52" s="1"/>
  <c r="J152" i="52"/>
  <c r="M152" i="52" s="1"/>
  <c r="J151" i="52"/>
  <c r="M151" i="52" s="1"/>
  <c r="J150" i="52"/>
  <c r="M150" i="52"/>
  <c r="J149" i="52"/>
  <c r="M149" i="52" s="1"/>
  <c r="J148" i="52"/>
  <c r="M148" i="52" s="1"/>
  <c r="J147" i="52"/>
  <c r="M147" i="52"/>
  <c r="J146" i="52"/>
  <c r="M146" i="52" s="1"/>
  <c r="J145" i="52"/>
  <c r="M145" i="52" s="1"/>
  <c r="J144" i="52"/>
  <c r="M144" i="52" s="1"/>
  <c r="J143" i="52"/>
  <c r="M143" i="52"/>
  <c r="J142" i="52"/>
  <c r="M142" i="52"/>
  <c r="J141" i="52"/>
  <c r="M141" i="52" s="1"/>
  <c r="J140" i="52"/>
  <c r="M140" i="52" s="1"/>
  <c r="J139" i="52"/>
  <c r="M139" i="52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/>
  <c r="J130" i="52"/>
  <c r="M130" i="52" s="1"/>
  <c r="J129" i="52"/>
  <c r="M129" i="52" s="1"/>
  <c r="J128" i="52"/>
  <c r="M128" i="52" s="1"/>
  <c r="J127" i="52"/>
  <c r="M127" i="52"/>
  <c r="J126" i="52"/>
  <c r="M126" i="52" s="1"/>
  <c r="J125" i="52"/>
  <c r="M125" i="52" s="1"/>
  <c r="J124" i="52"/>
  <c r="M124" i="52" s="1"/>
  <c r="J123" i="52"/>
  <c r="M123" i="52"/>
  <c r="J122" i="52"/>
  <c r="M122" i="52" s="1"/>
  <c r="J121" i="52"/>
  <c r="M121" i="52" s="1"/>
  <c r="J120" i="52"/>
  <c r="M120" i="52" s="1"/>
  <c r="J119" i="52"/>
  <c r="M119" i="52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S92" i="52"/>
  <c r="U92" i="52" s="1"/>
  <c r="Q92" i="52"/>
  <c r="J92" i="52"/>
  <c r="M92" i="52" s="1"/>
  <c r="X91" i="52"/>
  <c r="S91" i="52"/>
  <c r="U91" i="52" s="1"/>
  <c r="Q91" i="52"/>
  <c r="J91" i="52"/>
  <c r="M91" i="52" s="1"/>
  <c r="X90" i="52"/>
  <c r="U90" i="52"/>
  <c r="Q90" i="52"/>
  <c r="S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S68" i="52"/>
  <c r="U68" i="52" s="1"/>
  <c r="Q68" i="52"/>
  <c r="J68" i="52"/>
  <c r="M68" i="52" s="1"/>
  <c r="X67" i="52"/>
  <c r="Q67" i="52"/>
  <c r="S67" i="52" s="1"/>
  <c r="U67" i="52" s="1"/>
  <c r="J67" i="52"/>
  <c r="M67" i="52" s="1"/>
  <c r="X66" i="52"/>
  <c r="S66" i="52"/>
  <c r="U66" i="52" s="1"/>
  <c r="Q66" i="52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J47" i="52"/>
  <c r="M47" i="52" s="1"/>
  <c r="X46" i="52"/>
  <c r="Q46" i="52"/>
  <c r="S46" i="52" s="1"/>
  <c r="U46" i="52" s="1"/>
  <c r="J46" i="52"/>
  <c r="M46" i="52" s="1"/>
  <c r="X45" i="52"/>
  <c r="Q45" i="52"/>
  <c r="S45" i="52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X40" i="52"/>
  <c r="S40" i="52"/>
  <c r="U40" i="52" s="1"/>
  <c r="Q40" i="52"/>
  <c r="J40" i="52"/>
  <c r="M40" i="52"/>
  <c r="X39" i="52"/>
  <c r="Q39" i="52"/>
  <c r="S39" i="52" s="1"/>
  <c r="U39" i="52" s="1"/>
  <c r="J39" i="52"/>
  <c r="M39" i="52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/>
  <c r="X36" i="52"/>
  <c r="Q36" i="52"/>
  <c r="S36" i="52" s="1"/>
  <c r="U36" i="52" s="1"/>
  <c r="J36" i="52"/>
  <c r="M36" i="52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/>
  <c r="U33" i="52" s="1"/>
  <c r="J33" i="52"/>
  <c r="M33" i="52" s="1"/>
  <c r="X32" i="52"/>
  <c r="Q32" i="52"/>
  <c r="S32" i="52" s="1"/>
  <c r="U32" i="52" s="1"/>
  <c r="J32" i="52"/>
  <c r="M32" i="52"/>
  <c r="X31" i="52"/>
  <c r="S31" i="52"/>
  <c r="U31" i="52" s="1"/>
  <c r="Q31" i="52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/>
  <c r="U20" i="52" s="1"/>
  <c r="J20" i="52"/>
  <c r="M20" i="52" s="1"/>
  <c r="X19" i="52"/>
  <c r="U19" i="52"/>
  <c r="Q19" i="52"/>
  <c r="S19" i="52" s="1"/>
  <c r="J19" i="52"/>
  <c r="M19" i="52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/>
  <c r="X11" i="52"/>
  <c r="Q11" i="52"/>
  <c r="S11" i="52" s="1"/>
  <c r="U11" i="52" s="1"/>
  <c r="J11" i="52"/>
  <c r="M11" i="52"/>
  <c r="X10" i="52"/>
  <c r="Q10" i="52"/>
  <c r="S10" i="52" s="1"/>
  <c r="U10" i="52" s="1"/>
  <c r="J10" i="52"/>
  <c r="M10" i="52" s="1"/>
  <c r="X9" i="52"/>
  <c r="Q9" i="52"/>
  <c r="S9" i="52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R24" i="16"/>
  <c r="M14" i="54"/>
  <c r="R23" i="16"/>
  <c r="M73" i="53"/>
  <c r="M41" i="52"/>
  <c r="M5" i="53"/>
  <c r="P20" i="16"/>
  <c r="T21" i="16"/>
  <c r="Q21" i="16"/>
  <c r="P21" i="16"/>
  <c r="O21" i="16"/>
  <c r="K220" i="51"/>
  <c r="K212" i="51"/>
  <c r="N21" i="16"/>
  <c r="K209" i="51"/>
  <c r="K219" i="51" s="1"/>
  <c r="J204" i="51"/>
  <c r="M204" i="51" s="1"/>
  <c r="J203" i="51"/>
  <c r="M203" i="51" s="1"/>
  <c r="J202" i="51"/>
  <c r="M202" i="51"/>
  <c r="J201" i="51"/>
  <c r="M201" i="51" s="1"/>
  <c r="J200" i="51"/>
  <c r="M200" i="51"/>
  <c r="J199" i="51"/>
  <c r="M199" i="51"/>
  <c r="J198" i="51"/>
  <c r="M198" i="51" s="1"/>
  <c r="J197" i="51"/>
  <c r="M197" i="51"/>
  <c r="J196" i="51"/>
  <c r="M196" i="51" s="1"/>
  <c r="J195" i="51"/>
  <c r="M195" i="51"/>
  <c r="J194" i="51"/>
  <c r="M194" i="51" s="1"/>
  <c r="J193" i="51"/>
  <c r="M193" i="51"/>
  <c r="J192" i="51"/>
  <c r="M192" i="51" s="1"/>
  <c r="J191" i="51"/>
  <c r="M191" i="51"/>
  <c r="J190" i="51"/>
  <c r="M190" i="51" s="1"/>
  <c r="J189" i="51"/>
  <c r="M189" i="51" s="1"/>
  <c r="J188" i="51"/>
  <c r="M188" i="51"/>
  <c r="J187" i="51"/>
  <c r="M187" i="51" s="1"/>
  <c r="J186" i="51"/>
  <c r="M186" i="51" s="1"/>
  <c r="J185" i="51"/>
  <c r="M185" i="51" s="1"/>
  <c r="J184" i="51"/>
  <c r="M184" i="51"/>
  <c r="J183" i="51"/>
  <c r="M183" i="51" s="1"/>
  <c r="J182" i="51"/>
  <c r="M182" i="51"/>
  <c r="J181" i="51"/>
  <c r="M181" i="51" s="1"/>
  <c r="J180" i="51"/>
  <c r="M180" i="51"/>
  <c r="J179" i="51"/>
  <c r="M179" i="51" s="1"/>
  <c r="J178" i="51"/>
  <c r="M178" i="51"/>
  <c r="J177" i="51"/>
  <c r="M177" i="51" s="1"/>
  <c r="J176" i="51"/>
  <c r="M176" i="51"/>
  <c r="J175" i="51"/>
  <c r="M175" i="51"/>
  <c r="J174" i="51"/>
  <c r="M174" i="51"/>
  <c r="J173" i="51"/>
  <c r="M173" i="51" s="1"/>
  <c r="J172" i="51"/>
  <c r="M172" i="51"/>
  <c r="J171" i="51"/>
  <c r="M171" i="51" s="1"/>
  <c r="J170" i="51"/>
  <c r="M170" i="51"/>
  <c r="J169" i="51"/>
  <c r="M169" i="51" s="1"/>
  <c r="J168" i="51"/>
  <c r="M168" i="51" s="1"/>
  <c r="J167" i="51"/>
  <c r="M167" i="51"/>
  <c r="J166" i="51"/>
  <c r="M166" i="51" s="1"/>
  <c r="J165" i="51"/>
  <c r="M165" i="51" s="1"/>
  <c r="J164" i="51"/>
  <c r="M164" i="51" s="1"/>
  <c r="J163" i="51"/>
  <c r="M163" i="51" s="1"/>
  <c r="J162" i="51"/>
  <c r="M162" i="5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/>
  <c r="J153" i="51"/>
  <c r="M153" i="51" s="1"/>
  <c r="J152" i="51"/>
  <c r="M152" i="51" s="1"/>
  <c r="J151" i="51"/>
  <c r="M151" i="51"/>
  <c r="J150" i="51"/>
  <c r="M150" i="51" s="1"/>
  <c r="J149" i="51"/>
  <c r="M149" i="51" s="1"/>
  <c r="J148" i="51"/>
  <c r="M148" i="51" s="1"/>
  <c r="J147" i="51"/>
  <c r="M147" i="51" s="1"/>
  <c r="J146" i="51"/>
  <c r="M146" i="5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/>
  <c r="J138" i="51"/>
  <c r="M138" i="51"/>
  <c r="J137" i="51"/>
  <c r="M137" i="51" s="1"/>
  <c r="J136" i="51"/>
  <c r="M136" i="51" s="1"/>
  <c r="J135" i="51"/>
  <c r="M135" i="51"/>
  <c r="J134" i="51"/>
  <c r="M134" i="51"/>
  <c r="J133" i="51"/>
  <c r="M133" i="51" s="1"/>
  <c r="J132" i="51"/>
  <c r="M132" i="51" s="1"/>
  <c r="J131" i="51"/>
  <c r="M131" i="51" s="1"/>
  <c r="J130" i="51"/>
  <c r="M130" i="5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/>
  <c r="J121" i="51"/>
  <c r="M121" i="51" s="1"/>
  <c r="J120" i="51"/>
  <c r="M120" i="51" s="1"/>
  <c r="J119" i="51"/>
  <c r="M119" i="51"/>
  <c r="J118" i="51"/>
  <c r="M118" i="51" s="1"/>
  <c r="J117" i="51"/>
  <c r="M117" i="51" s="1"/>
  <c r="J116" i="51"/>
  <c r="M116" i="51" s="1"/>
  <c r="J115" i="51"/>
  <c r="M115" i="51" s="1"/>
  <c r="J114" i="51"/>
  <c r="M114" i="51"/>
  <c r="J113" i="51"/>
  <c r="M113" i="51" s="1"/>
  <c r="J112" i="51"/>
  <c r="M112" i="51" s="1"/>
  <c r="J111" i="51"/>
  <c r="M111" i="51"/>
  <c r="J110" i="51"/>
  <c r="M110" i="51" s="1"/>
  <c r="J109" i="51"/>
  <c r="M109" i="51" s="1"/>
  <c r="J108" i="51"/>
  <c r="M108" i="51" s="1"/>
  <c r="J107" i="51"/>
  <c r="M107" i="51" s="1"/>
  <c r="J106" i="51"/>
  <c r="M106" i="51"/>
  <c r="Z105" i="51"/>
  <c r="J105" i="51"/>
  <c r="M105" i="51" s="1"/>
  <c r="X104" i="51"/>
  <c r="Q104" i="51"/>
  <c r="S104" i="5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/>
  <c r="X92" i="51"/>
  <c r="Q92" i="51"/>
  <c r="S92" i="51" s="1"/>
  <c r="U92" i="51" s="1"/>
  <c r="M92" i="51"/>
  <c r="J92" i="51"/>
  <c r="X91" i="51"/>
  <c r="Q91" i="51"/>
  <c r="S91" i="51" s="1"/>
  <c r="U91" i="51" s="1"/>
  <c r="J91" i="51"/>
  <c r="M91" i="5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/>
  <c r="X86" i="51"/>
  <c r="S86" i="51"/>
  <c r="U86" i="51" s="1"/>
  <c r="Q86" i="51"/>
  <c r="J86" i="51"/>
  <c r="M86" i="51" s="1"/>
  <c r="X85" i="51"/>
  <c r="Q85" i="51"/>
  <c r="S85" i="51" s="1"/>
  <c r="U85" i="51" s="1"/>
  <c r="J85" i="51"/>
  <c r="M85" i="5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M80" i="51"/>
  <c r="J80" i="5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/>
  <c r="X76" i="51"/>
  <c r="Q76" i="51"/>
  <c r="S76" i="51"/>
  <c r="U76" i="51" s="1"/>
  <c r="J76" i="51"/>
  <c r="M76" i="51" s="1"/>
  <c r="X75" i="51"/>
  <c r="Q75" i="51"/>
  <c r="S75" i="51" s="1"/>
  <c r="U75" i="51" s="1"/>
  <c r="J75" i="51"/>
  <c r="M75" i="51"/>
  <c r="X74" i="51"/>
  <c r="Q74" i="51"/>
  <c r="S74" i="51" s="1"/>
  <c r="U74" i="51" s="1"/>
  <c r="J74" i="51"/>
  <c r="M74" i="51" s="1"/>
  <c r="X73" i="51"/>
  <c r="Q73" i="51"/>
  <c r="S73" i="51"/>
  <c r="U73" i="51" s="1"/>
  <c r="J73" i="51"/>
  <c r="M73" i="51"/>
  <c r="X72" i="51"/>
  <c r="Q72" i="51"/>
  <c r="S72" i="51"/>
  <c r="U72" i="51" s="1"/>
  <c r="J72" i="51"/>
  <c r="M72" i="51" s="1"/>
  <c r="X71" i="51"/>
  <c r="Q71" i="51"/>
  <c r="S71" i="51" s="1"/>
  <c r="U71" i="51" s="1"/>
  <c r="J71" i="51"/>
  <c r="M71" i="5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U61" i="51"/>
  <c r="Q61" i="51"/>
  <c r="S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M58" i="51"/>
  <c r="J58" i="5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/>
  <c r="J33" i="51"/>
  <c r="M33" i="51" s="1"/>
  <c r="X32" i="51"/>
  <c r="Q32" i="51"/>
  <c r="S32" i="51" s="1"/>
  <c r="U32" i="51" s="1"/>
  <c r="J32" i="51"/>
  <c r="M32" i="51" s="1"/>
  <c r="X31" i="51"/>
  <c r="Q31" i="51"/>
  <c r="S31" i="5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/>
  <c r="X24" i="51"/>
  <c r="Q24" i="51"/>
  <c r="S24" i="51" s="1"/>
  <c r="U24" i="51" s="1"/>
  <c r="J24" i="51"/>
  <c r="M24" i="51" s="1"/>
  <c r="X23" i="51"/>
  <c r="Q23" i="51"/>
  <c r="S23" i="51"/>
  <c r="U23" i="51" s="1"/>
  <c r="J23" i="51"/>
  <c r="M23" i="51"/>
  <c r="X22" i="51"/>
  <c r="Q22" i="51"/>
  <c r="S22" i="51"/>
  <c r="U22" i="51" s="1"/>
  <c r="J22" i="51"/>
  <c r="M22" i="51" s="1"/>
  <c r="X21" i="51"/>
  <c r="Q21" i="51"/>
  <c r="S21" i="51" s="1"/>
  <c r="U21" i="51" s="1"/>
  <c r="J21" i="51"/>
  <c r="M21" i="51"/>
  <c r="X20" i="51"/>
  <c r="Q20" i="51"/>
  <c r="S20" i="51" s="1"/>
  <c r="U20" i="51"/>
  <c r="J20" i="51"/>
  <c r="M20" i="51" s="1"/>
  <c r="X19" i="51"/>
  <c r="Q19" i="51"/>
  <c r="S19" i="51" s="1"/>
  <c r="U19" i="51" s="1"/>
  <c r="J19" i="51"/>
  <c r="M19" i="5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/>
  <c r="U13" i="51" s="1"/>
  <c r="J13" i="51"/>
  <c r="M13" i="51"/>
  <c r="X12" i="51"/>
  <c r="Q12" i="51"/>
  <c r="S12" i="51" s="1"/>
  <c r="U12" i="51" s="1"/>
  <c r="J12" i="51"/>
  <c r="M12" i="51" s="1"/>
  <c r="X11" i="51"/>
  <c r="Q11" i="51"/>
  <c r="S11" i="51" s="1"/>
  <c r="U11" i="51"/>
  <c r="J11" i="51"/>
  <c r="M11" i="51"/>
  <c r="X10" i="51"/>
  <c r="Q10" i="51"/>
  <c r="S10" i="51" s="1"/>
  <c r="U10" i="51" s="1"/>
  <c r="J10" i="51"/>
  <c r="M10" i="51" s="1"/>
  <c r="X9" i="51"/>
  <c r="Q9" i="51"/>
  <c r="S9" i="51"/>
  <c r="U9" i="51" s="1"/>
  <c r="J9" i="51"/>
  <c r="M9" i="51"/>
  <c r="X8" i="51"/>
  <c r="Q8" i="51"/>
  <c r="S8" i="51"/>
  <c r="U8" i="51" s="1"/>
  <c r="J8" i="51"/>
  <c r="M8" i="51" s="1"/>
  <c r="X7" i="51"/>
  <c r="Q7" i="51"/>
  <c r="S7" i="51" s="1"/>
  <c r="U7" i="51" s="1"/>
  <c r="J7" i="51"/>
  <c r="M7" i="51"/>
  <c r="X6" i="51"/>
  <c r="X107" i="51" s="1"/>
  <c r="J206" i="51" s="1"/>
  <c r="Q6" i="51"/>
  <c r="S6" i="51" s="1"/>
  <c r="U6" i="51" s="1"/>
  <c r="J6" i="51"/>
  <c r="M6" i="51" s="1"/>
  <c r="X5" i="51"/>
  <c r="Q5" i="51"/>
  <c r="S5" i="51"/>
  <c r="U5" i="51" s="1"/>
  <c r="J5" i="51"/>
  <c r="T20" i="16"/>
  <c r="Q20" i="16"/>
  <c r="O20" i="16"/>
  <c r="K220" i="50"/>
  <c r="K212" i="50"/>
  <c r="N20" i="16" s="1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/>
  <c r="J198" i="50"/>
  <c r="M198" i="50"/>
  <c r="J197" i="50"/>
  <c r="M197" i="50" s="1"/>
  <c r="J196" i="50"/>
  <c r="M196" i="50" s="1"/>
  <c r="J195" i="50"/>
  <c r="M195" i="50"/>
  <c r="J194" i="50"/>
  <c r="M194" i="50"/>
  <c r="J193" i="50"/>
  <c r="M193" i="50" s="1"/>
  <c r="J192" i="50"/>
  <c r="M192" i="50" s="1"/>
  <c r="J191" i="50"/>
  <c r="M191" i="50"/>
  <c r="J190" i="50"/>
  <c r="M190" i="50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/>
  <c r="J183" i="50"/>
  <c r="M183" i="50" s="1"/>
  <c r="J182" i="50"/>
  <c r="M182" i="50" s="1"/>
  <c r="J181" i="50"/>
  <c r="M181" i="50" s="1"/>
  <c r="J180" i="50"/>
  <c r="M180" i="50"/>
  <c r="J179" i="50"/>
  <c r="M179" i="50" s="1"/>
  <c r="J178" i="50"/>
  <c r="M178" i="50" s="1"/>
  <c r="J177" i="50"/>
  <c r="M177" i="50" s="1"/>
  <c r="J176" i="50"/>
  <c r="M176" i="50"/>
  <c r="J175" i="50"/>
  <c r="M175" i="50" s="1"/>
  <c r="J174" i="50"/>
  <c r="M174" i="50" s="1"/>
  <c r="J173" i="50"/>
  <c r="M173" i="50" s="1"/>
  <c r="J172" i="50"/>
  <c r="M172" i="50"/>
  <c r="J171" i="50"/>
  <c r="M171" i="50" s="1"/>
  <c r="J170" i="50"/>
  <c r="M170" i="50" s="1"/>
  <c r="J169" i="50"/>
  <c r="M169" i="50" s="1"/>
  <c r="J168" i="50"/>
  <c r="M168" i="50"/>
  <c r="J167" i="50"/>
  <c r="M167" i="50" s="1"/>
  <c r="J166" i="50"/>
  <c r="M166" i="50"/>
  <c r="J165" i="50"/>
  <c r="M165" i="50"/>
  <c r="J164" i="50"/>
  <c r="M164" i="50" s="1"/>
  <c r="J163" i="50"/>
  <c r="M163" i="50" s="1"/>
  <c r="J162" i="50"/>
  <c r="M162" i="50"/>
  <c r="J161" i="50"/>
  <c r="M161" i="50"/>
  <c r="J160" i="50"/>
  <c r="M160" i="50" s="1"/>
  <c r="J159" i="50"/>
  <c r="M159" i="50" s="1"/>
  <c r="J158" i="50"/>
  <c r="M158" i="50"/>
  <c r="J157" i="50"/>
  <c r="M157" i="50"/>
  <c r="J156" i="50"/>
  <c r="M156" i="50" s="1"/>
  <c r="J155" i="50"/>
  <c r="M155" i="50" s="1"/>
  <c r="J154" i="50"/>
  <c r="M154" i="50"/>
  <c r="J153" i="50"/>
  <c r="M153" i="50"/>
  <c r="J152" i="50"/>
  <c r="M152" i="50" s="1"/>
  <c r="J151" i="50"/>
  <c r="M151" i="50" s="1"/>
  <c r="J150" i="50"/>
  <c r="M150" i="50"/>
  <c r="J149" i="50"/>
  <c r="M149" i="50"/>
  <c r="J148" i="50"/>
  <c r="M148" i="50" s="1"/>
  <c r="J147" i="50"/>
  <c r="M147" i="50" s="1"/>
  <c r="J146" i="50"/>
  <c r="M146" i="50"/>
  <c r="J145" i="50"/>
  <c r="M145" i="50"/>
  <c r="J144" i="50"/>
  <c r="M144" i="50" s="1"/>
  <c r="J143" i="50"/>
  <c r="M143" i="50" s="1"/>
  <c r="J142" i="50"/>
  <c r="M142" i="50"/>
  <c r="J141" i="50"/>
  <c r="M141" i="50"/>
  <c r="J140" i="50"/>
  <c r="M140" i="50" s="1"/>
  <c r="J139" i="50"/>
  <c r="M139" i="50" s="1"/>
  <c r="J138" i="50"/>
  <c r="M138" i="50"/>
  <c r="J137" i="50"/>
  <c r="M137" i="50"/>
  <c r="J136" i="50"/>
  <c r="M136" i="50" s="1"/>
  <c r="J135" i="50"/>
  <c r="M135" i="50" s="1"/>
  <c r="J134" i="50"/>
  <c r="M134" i="50"/>
  <c r="J133" i="50"/>
  <c r="M133" i="50"/>
  <c r="J132" i="50"/>
  <c r="M132" i="50" s="1"/>
  <c r="J131" i="50"/>
  <c r="M131" i="50" s="1"/>
  <c r="J130" i="50"/>
  <c r="M130" i="50"/>
  <c r="J129" i="50"/>
  <c r="M129" i="50"/>
  <c r="J128" i="50"/>
  <c r="M128" i="50" s="1"/>
  <c r="J127" i="50"/>
  <c r="M127" i="50" s="1"/>
  <c r="J126" i="50"/>
  <c r="M126" i="50"/>
  <c r="J125" i="50"/>
  <c r="M125" i="50"/>
  <c r="J124" i="50"/>
  <c r="M124" i="50" s="1"/>
  <c r="J123" i="50"/>
  <c r="M123" i="50" s="1"/>
  <c r="J122" i="50"/>
  <c r="M122" i="50"/>
  <c r="J121" i="50"/>
  <c r="M121" i="50"/>
  <c r="J120" i="50"/>
  <c r="M120" i="50" s="1"/>
  <c r="J119" i="50"/>
  <c r="M119" i="50" s="1"/>
  <c r="J118" i="50"/>
  <c r="M118" i="50"/>
  <c r="J117" i="50"/>
  <c r="M117" i="50"/>
  <c r="J116" i="50"/>
  <c r="M116" i="50" s="1"/>
  <c r="J115" i="50"/>
  <c r="M115" i="50" s="1"/>
  <c r="J114" i="50"/>
  <c r="M114" i="50"/>
  <c r="J113" i="50"/>
  <c r="M113" i="50"/>
  <c r="J112" i="50"/>
  <c r="M112" i="50" s="1"/>
  <c r="J111" i="50"/>
  <c r="M111" i="50" s="1"/>
  <c r="J110" i="50"/>
  <c r="M110" i="50"/>
  <c r="J109" i="50"/>
  <c r="M109" i="50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M77" i="50"/>
  <c r="J77" i="50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/>
  <c r="U68" i="50" s="1"/>
  <c r="J68" i="50"/>
  <c r="M68" i="50" s="1"/>
  <c r="X67" i="50"/>
  <c r="S67" i="50"/>
  <c r="U67" i="50" s="1"/>
  <c r="Q67" i="50"/>
  <c r="J67" i="50"/>
  <c r="M67" i="50" s="1"/>
  <c r="X66" i="50"/>
  <c r="Q66" i="50"/>
  <c r="S66" i="50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M61" i="50"/>
  <c r="J61" i="50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/>
  <c r="U35" i="50" s="1"/>
  <c r="J35" i="50"/>
  <c r="M35" i="50" s="1"/>
  <c r="X34" i="50"/>
  <c r="Q34" i="50"/>
  <c r="S34" i="50" s="1"/>
  <c r="U34" i="50" s="1"/>
  <c r="J34" i="50"/>
  <c r="M34" i="50" s="1"/>
  <c r="X33" i="50"/>
  <c r="S33" i="50"/>
  <c r="U33" i="50" s="1"/>
  <c r="Q33" i="50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/>
  <c r="X13" i="50"/>
  <c r="U13" i="50"/>
  <c r="Q13" i="50"/>
  <c r="S13" i="50" s="1"/>
  <c r="J13" i="50"/>
  <c r="M13" i="50" s="1"/>
  <c r="X12" i="50"/>
  <c r="Q12" i="50"/>
  <c r="S12" i="50" s="1"/>
  <c r="U12" i="50" s="1"/>
  <c r="J12" i="50"/>
  <c r="M12" i="50" s="1"/>
  <c r="X11" i="50"/>
  <c r="S11" i="50"/>
  <c r="U11" i="50" s="1"/>
  <c r="Q11" i="50"/>
  <c r="J11" i="50"/>
  <c r="M11" i="50" s="1"/>
  <c r="X10" i="50"/>
  <c r="Q10" i="50"/>
  <c r="S10" i="50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/>
  <c r="U7" i="50" s="1"/>
  <c r="J7" i="50"/>
  <c r="M7" i="50" s="1"/>
  <c r="X6" i="50"/>
  <c r="S6" i="50"/>
  <c r="U6" i="50" s="1"/>
  <c r="Q6" i="50"/>
  <c r="J6" i="50"/>
  <c r="M6" i="50"/>
  <c r="X5" i="50"/>
  <c r="X107" i="50" s="1"/>
  <c r="J206" i="50" s="1"/>
  <c r="Q5" i="50"/>
  <c r="S5" i="50" s="1"/>
  <c r="U5" i="50" s="1"/>
  <c r="J5" i="50"/>
  <c r="M5" i="50" s="1"/>
  <c r="R21" i="16"/>
  <c r="M5" i="51"/>
  <c r="T19" i="16"/>
  <c r="Q19" i="16"/>
  <c r="P19" i="16"/>
  <c r="O19" i="16"/>
  <c r="M104" i="49"/>
  <c r="M135" i="49"/>
  <c r="K220" i="49"/>
  <c r="K212" i="49"/>
  <c r="N19" i="16" s="1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/>
  <c r="J182" i="49"/>
  <c r="M182" i="49"/>
  <c r="J181" i="49"/>
  <c r="M181" i="49" s="1"/>
  <c r="J180" i="49"/>
  <c r="M180" i="49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/>
  <c r="J169" i="49"/>
  <c r="M169" i="49" s="1"/>
  <c r="J168" i="49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/>
  <c r="J144" i="49"/>
  <c r="M144" i="49" s="1"/>
  <c r="J143" i="49"/>
  <c r="M143" i="49" s="1"/>
  <c r="J142" i="49"/>
  <c r="M142" i="49" s="1"/>
  <c r="J141" i="49"/>
  <c r="M141" i="49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/>
  <c r="J126" i="49"/>
  <c r="M126" i="49" s="1"/>
  <c r="J125" i="49"/>
  <c r="M125" i="49" s="1"/>
  <c r="J124" i="49"/>
  <c r="M124" i="49" s="1"/>
  <c r="J123" i="49"/>
  <c r="M123" i="49" s="1"/>
  <c r="J122" i="49"/>
  <c r="M122" i="49"/>
  <c r="J121" i="49"/>
  <c r="M121" i="49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X103" i="49"/>
  <c r="Q103" i="49"/>
  <c r="S103" i="49" s="1"/>
  <c r="U103" i="49" s="1"/>
  <c r="J103" i="49"/>
  <c r="X102" i="49"/>
  <c r="Q102" i="49"/>
  <c r="S102" i="49" s="1"/>
  <c r="U102" i="49" s="1"/>
  <c r="J102" i="49"/>
  <c r="M102" i="49" s="1"/>
  <c r="X101" i="49"/>
  <c r="Q101" i="49"/>
  <c r="S101" i="49"/>
  <c r="U101" i="49" s="1"/>
  <c r="J101" i="49"/>
  <c r="M101" i="49" s="1"/>
  <c r="X100" i="49"/>
  <c r="Q100" i="49"/>
  <c r="S100" i="49" s="1"/>
  <c r="U100" i="49" s="1"/>
  <c r="J100" i="49"/>
  <c r="M100" i="49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/>
  <c r="U93" i="49" s="1"/>
  <c r="J93" i="49"/>
  <c r="M93" i="49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/>
  <c r="U75" i="49" s="1"/>
  <c r="J75" i="49"/>
  <c r="M75" i="49" s="1"/>
  <c r="X74" i="49"/>
  <c r="Q74" i="49"/>
  <c r="S74" i="49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S28" i="49"/>
  <c r="U28" i="49" s="1"/>
  <c r="Q28" i="49"/>
  <c r="J28" i="49"/>
  <c r="M28" i="49" s="1"/>
  <c r="X27" i="49"/>
  <c r="Q27" i="49"/>
  <c r="S27" i="49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/>
  <c r="X9" i="49"/>
  <c r="Q9" i="49"/>
  <c r="S9" i="49" s="1"/>
  <c r="U9" i="49" s="1"/>
  <c r="J9" i="49"/>
  <c r="M9" i="49" s="1"/>
  <c r="X8" i="49"/>
  <c r="X107" i="49" s="1"/>
  <c r="J206" i="49" s="1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M168" i="49"/>
  <c r="M103" i="49"/>
  <c r="M19" i="49"/>
  <c r="T18" i="16"/>
  <c r="Q18" i="16"/>
  <c r="P18" i="16"/>
  <c r="O18" i="16"/>
  <c r="K220" i="48"/>
  <c r="K212" i="48"/>
  <c r="N18" i="16" s="1"/>
  <c r="K219" i="48"/>
  <c r="J204" i="48"/>
  <c r="J203" i="48"/>
  <c r="J202" i="48"/>
  <c r="J201" i="48"/>
  <c r="J200" i="48"/>
  <c r="M200" i="48" s="1"/>
  <c r="J199" i="48"/>
  <c r="M199" i="48" s="1"/>
  <c r="J198" i="48"/>
  <c r="M198" i="48" s="1"/>
  <c r="J197" i="48"/>
  <c r="M197" i="48" s="1"/>
  <c r="J196" i="48"/>
  <c r="J195" i="48"/>
  <c r="J194" i="48"/>
  <c r="M194" i="48" s="1"/>
  <c r="J193" i="48"/>
  <c r="J192" i="48"/>
  <c r="M192" i="48" s="1"/>
  <c r="J191" i="48"/>
  <c r="M191" i="48"/>
  <c r="J190" i="48"/>
  <c r="M190" i="48" s="1"/>
  <c r="J189" i="48"/>
  <c r="M189" i="48"/>
  <c r="J188" i="48"/>
  <c r="J187" i="48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J178" i="48"/>
  <c r="J177" i="48"/>
  <c r="J176" i="48"/>
  <c r="M176" i="48" s="1"/>
  <c r="J175" i="48"/>
  <c r="M175" i="48" s="1"/>
  <c r="J174" i="48"/>
  <c r="J173" i="48"/>
  <c r="M173" i="48" s="1"/>
  <c r="J172" i="48"/>
  <c r="J171" i="48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J164" i="48"/>
  <c r="M164" i="48" s="1"/>
  <c r="J163" i="48"/>
  <c r="M163" i="48" s="1"/>
  <c r="J162" i="48"/>
  <c r="M162" i="48" s="1"/>
  <c r="J161" i="48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J153" i="48"/>
  <c r="J152" i="48"/>
  <c r="J151" i="48"/>
  <c r="J150" i="48"/>
  <c r="M150" i="48" s="1"/>
  <c r="J149" i="48"/>
  <c r="J148" i="48"/>
  <c r="M148" i="48"/>
  <c r="J147" i="48"/>
  <c r="J146" i="48"/>
  <c r="J145" i="48"/>
  <c r="M145" i="48" s="1"/>
  <c r="J144" i="48"/>
  <c r="M144" i="48" s="1"/>
  <c r="J143" i="48"/>
  <c r="J142" i="48"/>
  <c r="J141" i="48"/>
  <c r="J140" i="48"/>
  <c r="M140" i="48" s="1"/>
  <c r="J139" i="48"/>
  <c r="M139" i="48" s="1"/>
  <c r="J138" i="48"/>
  <c r="J137" i="48"/>
  <c r="M137" i="48" s="1"/>
  <c r="J136" i="48"/>
  <c r="M136" i="48" s="1"/>
  <c r="J135" i="48"/>
  <c r="J134" i="48"/>
  <c r="J133" i="48"/>
  <c r="J132" i="48"/>
  <c r="M132" i="48" s="1"/>
  <c r="J131" i="48"/>
  <c r="J130" i="48"/>
  <c r="M130" i="48" s="1"/>
  <c r="J129" i="48"/>
  <c r="M129" i="48" s="1"/>
  <c r="J128" i="48"/>
  <c r="J127" i="48"/>
  <c r="J126" i="48"/>
  <c r="J125" i="48"/>
  <c r="J124" i="48"/>
  <c r="M124" i="48" s="1"/>
  <c r="J123" i="48"/>
  <c r="M123" i="48" s="1"/>
  <c r="J122" i="48"/>
  <c r="J121" i="48"/>
  <c r="M121" i="48" s="1"/>
  <c r="J120" i="48"/>
  <c r="J119" i="48"/>
  <c r="J118" i="48"/>
  <c r="J117" i="48"/>
  <c r="J116" i="48"/>
  <c r="M116" i="48" s="1"/>
  <c r="J115" i="48"/>
  <c r="M115" i="48" s="1"/>
  <c r="J114" i="48"/>
  <c r="J113" i="48"/>
  <c r="J112" i="48"/>
  <c r="M112" i="48" s="1"/>
  <c r="J111" i="48"/>
  <c r="J110" i="48"/>
  <c r="J109" i="48"/>
  <c r="M109" i="48" s="1"/>
  <c r="J108" i="48"/>
  <c r="M108" i="48" s="1"/>
  <c r="J107" i="48"/>
  <c r="J106" i="48"/>
  <c r="Z105" i="48"/>
  <c r="J105" i="48"/>
  <c r="M105" i="48" s="1"/>
  <c r="X104" i="48"/>
  <c r="Q104" i="48"/>
  <c r="S104" i="48" s="1"/>
  <c r="U104" i="48" s="1"/>
  <c r="J104" i="48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X101" i="48"/>
  <c r="Q101" i="48"/>
  <c r="S101" i="48" s="1"/>
  <c r="U101" i="48" s="1"/>
  <c r="J101" i="48"/>
  <c r="M101" i="48" s="1"/>
  <c r="X100" i="48"/>
  <c r="Q100" i="48"/>
  <c r="S100" i="48" s="1"/>
  <c r="U100" i="48"/>
  <c r="J100" i="48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X96" i="48"/>
  <c r="Q96" i="48"/>
  <c r="S96" i="48" s="1"/>
  <c r="U96" i="48" s="1"/>
  <c r="J96" i="48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X93" i="48"/>
  <c r="Q93" i="48"/>
  <c r="S93" i="48"/>
  <c r="U93" i="48" s="1"/>
  <c r="J93" i="48"/>
  <c r="M93" i="48" s="1"/>
  <c r="X92" i="48"/>
  <c r="Q92" i="48"/>
  <c r="S92" i="48" s="1"/>
  <c r="U92" i="48" s="1"/>
  <c r="J92" i="48"/>
  <c r="X91" i="48"/>
  <c r="S91" i="48"/>
  <c r="U91" i="48" s="1"/>
  <c r="Q91" i="48"/>
  <c r="J91" i="48"/>
  <c r="M91" i="48" s="1"/>
  <c r="X90" i="48"/>
  <c r="Q90" i="48"/>
  <c r="S90" i="48" s="1"/>
  <c r="U90" i="48" s="1"/>
  <c r="J90" i="48"/>
  <c r="X89" i="48"/>
  <c r="Q89" i="48"/>
  <c r="S89" i="48" s="1"/>
  <c r="U89" i="48" s="1"/>
  <c r="J89" i="48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/>
  <c r="J86" i="48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X83" i="48"/>
  <c r="S83" i="48"/>
  <c r="U83" i="48" s="1"/>
  <c r="Q83" i="48"/>
  <c r="J83" i="48"/>
  <c r="X82" i="48"/>
  <c r="Q82" i="48"/>
  <c r="S82" i="48" s="1"/>
  <c r="U82" i="48" s="1"/>
  <c r="J82" i="48"/>
  <c r="X81" i="48"/>
  <c r="Q81" i="48"/>
  <c r="S81" i="48"/>
  <c r="U81" i="48" s="1"/>
  <c r="J81" i="48"/>
  <c r="M81" i="48" s="1"/>
  <c r="X80" i="48"/>
  <c r="Q80" i="48"/>
  <c r="S80" i="48" s="1"/>
  <c r="U80" i="48" s="1"/>
  <c r="J80" i="48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X77" i="48"/>
  <c r="Q77" i="48"/>
  <c r="S77" i="48" s="1"/>
  <c r="U77" i="48" s="1"/>
  <c r="J77" i="48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X74" i="48"/>
  <c r="S74" i="48"/>
  <c r="U74" i="48" s="1"/>
  <c r="Q74" i="48"/>
  <c r="J74" i="48"/>
  <c r="M74" i="48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X66" i="48"/>
  <c r="Q66" i="48"/>
  <c r="S66" i="48" s="1"/>
  <c r="U66" i="48" s="1"/>
  <c r="J66" i="48"/>
  <c r="M66" i="48" s="1"/>
  <c r="X65" i="48"/>
  <c r="S65" i="48"/>
  <c r="U65" i="48" s="1"/>
  <c r="Q65" i="48"/>
  <c r="J65" i="48"/>
  <c r="M65" i="48" s="1"/>
  <c r="X64" i="48"/>
  <c r="Q64" i="48"/>
  <c r="S64" i="48"/>
  <c r="U64" i="48" s="1"/>
  <c r="J64" i="48"/>
  <c r="X63" i="48"/>
  <c r="Q63" i="48"/>
  <c r="S63" i="48" s="1"/>
  <c r="U63" i="48" s="1"/>
  <c r="J63" i="48"/>
  <c r="X62" i="48"/>
  <c r="Q62" i="48"/>
  <c r="S62" i="48" s="1"/>
  <c r="U62" i="48" s="1"/>
  <c r="J62" i="48"/>
  <c r="X61" i="48"/>
  <c r="Q61" i="48"/>
  <c r="S61" i="48" s="1"/>
  <c r="U61" i="48" s="1"/>
  <c r="J61" i="48"/>
  <c r="M61" i="48" s="1"/>
  <c r="X60" i="48"/>
  <c r="Q60" i="48"/>
  <c r="S60" i="48"/>
  <c r="U60" i="48" s="1"/>
  <c r="J60" i="48"/>
  <c r="M60" i="48" s="1"/>
  <c r="X59" i="48"/>
  <c r="Q59" i="48"/>
  <c r="S59" i="48" s="1"/>
  <c r="U59" i="48" s="1"/>
  <c r="J59" i="48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X56" i="48"/>
  <c r="Q56" i="48"/>
  <c r="S56" i="48" s="1"/>
  <c r="U56" i="48" s="1"/>
  <c r="J56" i="48"/>
  <c r="X55" i="48"/>
  <c r="Q55" i="48"/>
  <c r="S55" i="48" s="1"/>
  <c r="U55" i="48" s="1"/>
  <c r="J55" i="48"/>
  <c r="X54" i="48"/>
  <c r="Q54" i="48"/>
  <c r="S54" i="48" s="1"/>
  <c r="U54" i="48" s="1"/>
  <c r="J54" i="48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X48" i="48"/>
  <c r="Q48" i="48"/>
  <c r="S48" i="48"/>
  <c r="U48" i="48" s="1"/>
  <c r="J48" i="48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X43" i="48"/>
  <c r="Q43" i="48"/>
  <c r="S43" i="48" s="1"/>
  <c r="U43" i="48" s="1"/>
  <c r="J43" i="48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X40" i="48"/>
  <c r="Q40" i="48"/>
  <c r="S40" i="48" s="1"/>
  <c r="U40" i="48" s="1"/>
  <c r="J40" i="48"/>
  <c r="X39" i="48"/>
  <c r="Q39" i="48"/>
  <c r="S39" i="48" s="1"/>
  <c r="U39" i="48" s="1"/>
  <c r="J39" i="48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X33" i="48"/>
  <c r="Q33" i="48"/>
  <c r="S33" i="48" s="1"/>
  <c r="U33" i="48" s="1"/>
  <c r="J33" i="48"/>
  <c r="X32" i="48"/>
  <c r="Q32" i="48"/>
  <c r="S32" i="48" s="1"/>
  <c r="U32" i="48" s="1"/>
  <c r="J32" i="48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/>
  <c r="U26" i="48" s="1"/>
  <c r="J26" i="48"/>
  <c r="X25" i="48"/>
  <c r="S25" i="48"/>
  <c r="U25" i="48" s="1"/>
  <c r="Q25" i="48"/>
  <c r="J25" i="48"/>
  <c r="X24" i="48"/>
  <c r="Q24" i="48"/>
  <c r="S24" i="48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X20" i="48"/>
  <c r="Q20" i="48"/>
  <c r="S20" i="48" s="1"/>
  <c r="U20" i="48" s="1"/>
  <c r="J20" i="48"/>
  <c r="M20" i="48" s="1"/>
  <c r="X19" i="48"/>
  <c r="Q19" i="48"/>
  <c r="S19" i="48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/>
  <c r="X16" i="48"/>
  <c r="Q16" i="48"/>
  <c r="S16" i="48"/>
  <c r="U16" i="48" s="1"/>
  <c r="J16" i="48"/>
  <c r="M16" i="48" s="1"/>
  <c r="X15" i="48"/>
  <c r="Q15" i="48"/>
  <c r="S15" i="48" s="1"/>
  <c r="U15" i="48" s="1"/>
  <c r="J15" i="48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X7" i="48"/>
  <c r="Q7" i="48"/>
  <c r="S7" i="48" s="1"/>
  <c r="U7" i="48" s="1"/>
  <c r="J7" i="48"/>
  <c r="M7" i="48" s="1"/>
  <c r="X6" i="48"/>
  <c r="X107" i="48" s="1"/>
  <c r="J206" i="48" s="1"/>
  <c r="Q6" i="48"/>
  <c r="S6" i="48" s="1"/>
  <c r="U6" i="48" s="1"/>
  <c r="J6" i="48"/>
  <c r="M6" i="48" s="1"/>
  <c r="X5" i="48"/>
  <c r="Q5" i="48"/>
  <c r="S5" i="48" s="1"/>
  <c r="U5" i="48" s="1"/>
  <c r="J5" i="48"/>
  <c r="M5" i="48" s="1"/>
  <c r="M44" i="48"/>
  <c r="M39" i="48"/>
  <c r="M196" i="48"/>
  <c r="M174" i="48"/>
  <c r="M34" i="48"/>
  <c r="M135" i="48"/>
  <c r="M84" i="48"/>
  <c r="M59" i="48"/>
  <c r="M102" i="48"/>
  <c r="M78" i="48"/>
  <c r="M127" i="48"/>
  <c r="M188" i="48"/>
  <c r="M131" i="48"/>
  <c r="M100" i="48"/>
  <c r="M151" i="48"/>
  <c r="M119" i="48"/>
  <c r="M96" i="48"/>
  <c r="M62" i="48"/>
  <c r="M26" i="48"/>
  <c r="M147" i="48"/>
  <c r="M143" i="48"/>
  <c r="M111" i="48"/>
  <c r="M92" i="48"/>
  <c r="M94" i="48"/>
  <c r="M204" i="48"/>
  <c r="M172" i="48"/>
  <c r="M107" i="48"/>
  <c r="M90" i="48"/>
  <c r="M48" i="48"/>
  <c r="M8" i="48"/>
  <c r="M165" i="48"/>
  <c r="M141" i="48"/>
  <c r="M133" i="48"/>
  <c r="M80" i="48"/>
  <c r="M203" i="48"/>
  <c r="M195" i="48"/>
  <c r="M187" i="48"/>
  <c r="M179" i="48"/>
  <c r="M171" i="48"/>
  <c r="M154" i="48"/>
  <c r="M146" i="48"/>
  <c r="M138" i="48"/>
  <c r="M122" i="48"/>
  <c r="M114" i="48"/>
  <c r="M106" i="48"/>
  <c r="M97" i="48"/>
  <c r="M89" i="48"/>
  <c r="M77" i="48"/>
  <c r="M56" i="48"/>
  <c r="M33" i="48"/>
  <c r="M25" i="48"/>
  <c r="M15" i="48"/>
  <c r="M117" i="48"/>
  <c r="M57" i="48"/>
  <c r="M202" i="48"/>
  <c r="M178" i="48"/>
  <c r="M161" i="48"/>
  <c r="M153" i="48"/>
  <c r="M113" i="48"/>
  <c r="M64" i="48"/>
  <c r="M55" i="48"/>
  <c r="M32" i="48"/>
  <c r="M201" i="48"/>
  <c r="M193" i="48"/>
  <c r="M177" i="48"/>
  <c r="M152" i="48"/>
  <c r="M128" i="48"/>
  <c r="M120" i="48"/>
  <c r="M104" i="48"/>
  <c r="M83" i="48"/>
  <c r="M75" i="48"/>
  <c r="M63" i="48"/>
  <c r="M54" i="48"/>
  <c r="M40" i="48"/>
  <c r="M21" i="48"/>
  <c r="M11" i="48"/>
  <c r="M149" i="48"/>
  <c r="M125" i="48"/>
  <c r="M72" i="48"/>
  <c r="M82" i="48"/>
  <c r="M142" i="48"/>
  <c r="M134" i="48"/>
  <c r="M126" i="48"/>
  <c r="M118" i="48"/>
  <c r="M110" i="48"/>
  <c r="M29" i="48"/>
  <c r="M49" i="48"/>
  <c r="M86" i="48"/>
  <c r="M67" i="48"/>
  <c r="M43" i="48"/>
  <c r="M41" i="48"/>
  <c r="T17" i="16"/>
  <c r="Q17" i="16"/>
  <c r="P17" i="16"/>
  <c r="O17" i="16"/>
  <c r="M129" i="47"/>
  <c r="M189" i="47"/>
  <c r="K220" i="47"/>
  <c r="K212" i="47"/>
  <c r="N17" i="16" s="1"/>
  <c r="K209" i="47"/>
  <c r="K219" i="47" s="1"/>
  <c r="J204" i="47"/>
  <c r="M204" i="47"/>
  <c r="J203" i="47"/>
  <c r="M203" i="47"/>
  <c r="J202" i="47"/>
  <c r="M202" i="47" s="1"/>
  <c r="J201" i="47"/>
  <c r="M201" i="47" s="1"/>
  <c r="J200" i="47"/>
  <c r="M200" i="47" s="1"/>
  <c r="J199" i="47"/>
  <c r="M199" i="47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/>
  <c r="J192" i="47"/>
  <c r="M192" i="47"/>
  <c r="J191" i="47"/>
  <c r="M191" i="47" s="1"/>
  <c r="J190" i="47"/>
  <c r="M190" i="47" s="1"/>
  <c r="J189" i="47"/>
  <c r="J188" i="47"/>
  <c r="M188" i="47" s="1"/>
  <c r="J187" i="47"/>
  <c r="M187" i="47"/>
  <c r="J186" i="47"/>
  <c r="M186" i="47"/>
  <c r="J185" i="47"/>
  <c r="M185" i="47" s="1"/>
  <c r="J184" i="47"/>
  <c r="M184" i="47" s="1"/>
  <c r="J183" i="47"/>
  <c r="M183" i="47" s="1"/>
  <c r="J182" i="47"/>
  <c r="M182" i="47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/>
  <c r="J169" i="47"/>
  <c r="M169" i="47" s="1"/>
  <c r="J168" i="47"/>
  <c r="M168" i="47" s="1"/>
  <c r="J167" i="47"/>
  <c r="M167" i="47" s="1"/>
  <c r="J166" i="47"/>
  <c r="M166" i="47"/>
  <c r="J165" i="47"/>
  <c r="M165" i="47" s="1"/>
  <c r="J164" i="47"/>
  <c r="M164" i="47" s="1"/>
  <c r="J163" i="47"/>
  <c r="M163" i="47" s="1"/>
  <c r="J162" i="47"/>
  <c r="M162" i="47" s="1"/>
  <c r="J161" i="47"/>
  <c r="M161" i="47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J128" i="47"/>
  <c r="M128" i="47" s="1"/>
  <c r="J127" i="47"/>
  <c r="M127" i="47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/>
  <c r="U103" i="47" s="1"/>
  <c r="J103" i="47"/>
  <c r="M103" i="47" s="1"/>
  <c r="X102" i="47"/>
  <c r="Q102" i="47"/>
  <c r="S102" i="47" s="1"/>
  <c r="U102" i="47" s="1"/>
  <c r="J102" i="47"/>
  <c r="M102" i="47"/>
  <c r="X101" i="47"/>
  <c r="Q101" i="47"/>
  <c r="S101" i="47" s="1"/>
  <c r="U101" i="47" s="1"/>
  <c r="J101" i="47"/>
  <c r="M101" i="47" s="1"/>
  <c r="X100" i="47"/>
  <c r="Q100" i="47"/>
  <c r="S100" i="47"/>
  <c r="U100" i="47" s="1"/>
  <c r="J100" i="47"/>
  <c r="M100" i="47" s="1"/>
  <c r="X99" i="47"/>
  <c r="Q99" i="47"/>
  <c r="S99" i="47" s="1"/>
  <c r="U99" i="47" s="1"/>
  <c r="J99" i="47"/>
  <c r="M99" i="47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/>
  <c r="U6" i="47" s="1"/>
  <c r="J6" i="47"/>
  <c r="M6" i="47" s="1"/>
  <c r="X5" i="47"/>
  <c r="X107" i="47" s="1"/>
  <c r="J206" i="47" s="1"/>
  <c r="Q5" i="47"/>
  <c r="S5" i="47" s="1"/>
  <c r="U5" i="47" s="1"/>
  <c r="J5" i="47"/>
  <c r="M5" i="47" s="1"/>
  <c r="T16" i="16"/>
  <c r="Q16" i="16"/>
  <c r="P16" i="16"/>
  <c r="O16" i="16"/>
  <c r="M106" i="46"/>
  <c r="K220" i="46"/>
  <c r="K212" i="46"/>
  <c r="N16" i="16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/>
  <c r="J192" i="46"/>
  <c r="M192" i="46" s="1"/>
  <c r="J191" i="46"/>
  <c r="M191" i="46" s="1"/>
  <c r="J190" i="46"/>
  <c r="M190" i="46"/>
  <c r="J189" i="46"/>
  <c r="M189" i="46" s="1"/>
  <c r="J188" i="46"/>
  <c r="M188" i="46" s="1"/>
  <c r="J187" i="46"/>
  <c r="M187" i="46" s="1"/>
  <c r="J186" i="46"/>
  <c r="M186" i="46"/>
  <c r="J185" i="46"/>
  <c r="M185" i="46"/>
  <c r="J184" i="46"/>
  <c r="M184" i="46" s="1"/>
  <c r="J183" i="46"/>
  <c r="M183" i="46" s="1"/>
  <c r="J182" i="46"/>
  <c r="M182" i="46"/>
  <c r="J181" i="46"/>
  <c r="M181" i="46"/>
  <c r="J180" i="46"/>
  <c r="M180" i="46" s="1"/>
  <c r="J179" i="46"/>
  <c r="M179" i="46" s="1"/>
  <c r="J178" i="46"/>
  <c r="M178" i="46" s="1"/>
  <c r="J177" i="46"/>
  <c r="M177" i="46"/>
  <c r="J176" i="46"/>
  <c r="M176" i="46" s="1"/>
  <c r="J175" i="46"/>
  <c r="M175" i="46" s="1"/>
  <c r="J174" i="46"/>
  <c r="M174" i="46"/>
  <c r="J173" i="46"/>
  <c r="M173" i="46" s="1"/>
  <c r="J172" i="46"/>
  <c r="M172" i="46" s="1"/>
  <c r="J171" i="46"/>
  <c r="M171" i="46" s="1"/>
  <c r="J170" i="46"/>
  <c r="M170" i="46"/>
  <c r="J169" i="46"/>
  <c r="M169" i="46"/>
  <c r="J168" i="46"/>
  <c r="M168" i="46" s="1"/>
  <c r="J167" i="46"/>
  <c r="M167" i="46" s="1"/>
  <c r="J166" i="46"/>
  <c r="M166" i="46"/>
  <c r="J165" i="46"/>
  <c r="M165" i="46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/>
  <c r="J108" i="46"/>
  <c r="M108" i="46" s="1"/>
  <c r="J107" i="46"/>
  <c r="M107" i="46"/>
  <c r="J106" i="46"/>
  <c r="Z105" i="46"/>
  <c r="J105" i="46"/>
  <c r="M105" i="46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/>
  <c r="X96" i="46"/>
  <c r="Q96" i="46"/>
  <c r="S96" i="46" s="1"/>
  <c r="U96" i="46" s="1"/>
  <c r="J96" i="46"/>
  <c r="M96" i="46"/>
  <c r="X95" i="46"/>
  <c r="Q95" i="46"/>
  <c r="S95" i="46" s="1"/>
  <c r="U95" i="46" s="1"/>
  <c r="J95" i="46"/>
  <c r="M95" i="46"/>
  <c r="X94" i="46"/>
  <c r="Q94" i="46"/>
  <c r="S94" i="46" s="1"/>
  <c r="U94" i="46" s="1"/>
  <c r="J94" i="46"/>
  <c r="M94" i="46" s="1"/>
  <c r="X93" i="46"/>
  <c r="Q93" i="46"/>
  <c r="S93" i="46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/>
  <c r="X87" i="46"/>
  <c r="Q87" i="46"/>
  <c r="S87" i="46" s="1"/>
  <c r="U87" i="46" s="1"/>
  <c r="J87" i="46"/>
  <c r="M87" i="46" s="1"/>
  <c r="X86" i="46"/>
  <c r="Q86" i="46"/>
  <c r="S86" i="46"/>
  <c r="U86" i="46" s="1"/>
  <c r="J86" i="46"/>
  <c r="M86" i="46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/>
  <c r="X63" i="46"/>
  <c r="Q63" i="46"/>
  <c r="S63" i="46"/>
  <c r="U63" i="46" s="1"/>
  <c r="J63" i="46"/>
  <c r="M63" i="46"/>
  <c r="X62" i="46"/>
  <c r="Q62" i="46"/>
  <c r="S62" i="46" s="1"/>
  <c r="U62" i="46" s="1"/>
  <c r="J62" i="46"/>
  <c r="M62" i="46" s="1"/>
  <c r="X61" i="46"/>
  <c r="Q61" i="46"/>
  <c r="S61" i="46" s="1"/>
  <c r="U61" i="46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/>
  <c r="X55" i="46"/>
  <c r="S55" i="46"/>
  <c r="U55" i="46"/>
  <c r="Q55" i="46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/>
  <c r="X51" i="46"/>
  <c r="Q51" i="46"/>
  <c r="S51" i="46" s="1"/>
  <c r="U51" i="46" s="1"/>
  <c r="J51" i="46"/>
  <c r="M51" i="46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/>
  <c r="U35" i="46" s="1"/>
  <c r="J35" i="46"/>
  <c r="M35" i="46" s="1"/>
  <c r="X34" i="46"/>
  <c r="Q34" i="46"/>
  <c r="S34" i="46" s="1"/>
  <c r="U34" i="46" s="1"/>
  <c r="J34" i="46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/>
  <c r="U26" i="46" s="1"/>
  <c r="J26" i="46"/>
  <c r="M26" i="46" s="1"/>
  <c r="X25" i="46"/>
  <c r="Q25" i="46"/>
  <c r="S25" i="46" s="1"/>
  <c r="U25" i="46" s="1"/>
  <c r="J25" i="46"/>
  <c r="M25" i="46"/>
  <c r="X24" i="46"/>
  <c r="Q24" i="46"/>
  <c r="S24" i="46" s="1"/>
  <c r="U24" i="46" s="1"/>
  <c r="J24" i="46"/>
  <c r="X23" i="46"/>
  <c r="Q23" i="46"/>
  <c r="S23" i="46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/>
  <c r="X17" i="46"/>
  <c r="Q17" i="46"/>
  <c r="S17" i="46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X107" i="46" s="1"/>
  <c r="J206" i="46" s="1"/>
  <c r="Q6" i="46"/>
  <c r="S6" i="46" s="1"/>
  <c r="U6" i="46" s="1"/>
  <c r="J6" i="46"/>
  <c r="M6" i="46" s="1"/>
  <c r="X5" i="46"/>
  <c r="Q5" i="46"/>
  <c r="S5" i="46" s="1"/>
  <c r="U5" i="46" s="1"/>
  <c r="J5" i="46"/>
  <c r="M5" i="46" s="1"/>
  <c r="M34" i="46"/>
  <c r="M24" i="46"/>
  <c r="T15" i="16"/>
  <c r="Q15" i="16"/>
  <c r="P15" i="16"/>
  <c r="O15" i="16"/>
  <c r="K209" i="44"/>
  <c r="M180" i="45"/>
  <c r="K220" i="45"/>
  <c r="K212" i="45"/>
  <c r="N15" i="16" s="1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/>
  <c r="U56" i="45" s="1"/>
  <c r="J56" i="45"/>
  <c r="M56" i="45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/>
  <c r="X44" i="45"/>
  <c r="Q44" i="45"/>
  <c r="S44" i="45" s="1"/>
  <c r="U44" i="45" s="1"/>
  <c r="J44" i="45"/>
  <c r="M44" i="45" s="1"/>
  <c r="X43" i="45"/>
  <c r="Q43" i="45"/>
  <c r="S43" i="45" s="1"/>
  <c r="U43" i="45"/>
  <c r="J43" i="45"/>
  <c r="M43" i="45" s="1"/>
  <c r="X42" i="45"/>
  <c r="Q42" i="45"/>
  <c r="S42" i="45"/>
  <c r="U42" i="45" s="1"/>
  <c r="J42" i="45"/>
  <c r="M42" i="45" s="1"/>
  <c r="X41" i="45"/>
  <c r="Q41" i="45"/>
  <c r="S41" i="45" s="1"/>
  <c r="U41" i="45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/>
  <c r="J21" i="45"/>
  <c r="M21" i="45"/>
  <c r="X20" i="45"/>
  <c r="Q20" i="45"/>
  <c r="S20" i="45" s="1"/>
  <c r="U20" i="45" s="1"/>
  <c r="J20" i="45"/>
  <c r="M20" i="45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X107" i="45" s="1"/>
  <c r="J206" i="45" s="1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R15" i="16"/>
  <c r="T14" i="16"/>
  <c r="Q14" i="16"/>
  <c r="P14" i="16"/>
  <c r="O14" i="16"/>
  <c r="T13" i="16"/>
  <c r="Q13" i="16"/>
  <c r="P13" i="16"/>
  <c r="O13" i="16"/>
  <c r="K220" i="44"/>
  <c r="K212" i="44"/>
  <c r="N14" i="16" s="1"/>
  <c r="K219" i="44"/>
  <c r="J204" i="44"/>
  <c r="M204" i="44" s="1"/>
  <c r="J203" i="44"/>
  <c r="M203" i="44" s="1"/>
  <c r="J202" i="44"/>
  <c r="M202" i="44" s="1"/>
  <c r="J201" i="44"/>
  <c r="M201" i="44" s="1"/>
  <c r="J200" i="44"/>
  <c r="M200" i="44"/>
  <c r="J199" i="44"/>
  <c r="M199" i="44" s="1"/>
  <c r="J198" i="44"/>
  <c r="M198" i="44" s="1"/>
  <c r="J197" i="44"/>
  <c r="M197" i="44" s="1"/>
  <c r="J196" i="44"/>
  <c r="M196" i="44"/>
  <c r="J195" i="44"/>
  <c r="M195" i="44" s="1"/>
  <c r="J194" i="44"/>
  <c r="M194" i="44" s="1"/>
  <c r="J193" i="44"/>
  <c r="M193" i="44" s="1"/>
  <c r="J192" i="44"/>
  <c r="M192" i="44"/>
  <c r="J191" i="44"/>
  <c r="M191" i="44" s="1"/>
  <c r="J190" i="44"/>
  <c r="M190" i="44" s="1"/>
  <c r="J189" i="44"/>
  <c r="M189" i="44" s="1"/>
  <c r="J188" i="44"/>
  <c r="M188" i="44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M179" i="44"/>
  <c r="J179" i="44"/>
  <c r="J178" i="44"/>
  <c r="M178" i="44" s="1"/>
  <c r="J177" i="44"/>
  <c r="M177" i="44" s="1"/>
  <c r="J176" i="44"/>
  <c r="M176" i="44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/>
  <c r="J163" i="44"/>
  <c r="M163" i="44" s="1"/>
  <c r="J162" i="44"/>
  <c r="M162" i="44" s="1"/>
  <c r="J161" i="44"/>
  <c r="M161" i="44" s="1"/>
  <c r="J160" i="44"/>
  <c r="M160" i="44"/>
  <c r="J159" i="44"/>
  <c r="M159" i="44" s="1"/>
  <c r="J158" i="44"/>
  <c r="M158" i="44" s="1"/>
  <c r="J157" i="44"/>
  <c r="M157" i="44" s="1"/>
  <c r="J156" i="44"/>
  <c r="M156" i="44"/>
  <c r="J155" i="44"/>
  <c r="M155" i="44" s="1"/>
  <c r="J154" i="44"/>
  <c r="M154" i="44" s="1"/>
  <c r="J153" i="44"/>
  <c r="M153" i="44" s="1"/>
  <c r="J152" i="44"/>
  <c r="M152" i="44" s="1"/>
  <c r="M151" i="44"/>
  <c r="J151" i="44"/>
  <c r="J150" i="44"/>
  <c r="M150" i="44" s="1"/>
  <c r="J149" i="44"/>
  <c r="M149" i="44" s="1"/>
  <c r="J148" i="44"/>
  <c r="M148" i="44"/>
  <c r="J147" i="44"/>
  <c r="M147" i="44" s="1"/>
  <c r="J146" i="44"/>
  <c r="M146" i="44" s="1"/>
  <c r="J145" i="44"/>
  <c r="M145" i="44" s="1"/>
  <c r="J144" i="44"/>
  <c r="M144" i="44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 s="1"/>
  <c r="X102" i="44"/>
  <c r="Q102" i="44"/>
  <c r="S102" i="44" s="1"/>
  <c r="U102" i="44" s="1"/>
  <c r="J102" i="44"/>
  <c r="M102" i="44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/>
  <c r="J92" i="44"/>
  <c r="M92" i="44" s="1"/>
  <c r="X91" i="44"/>
  <c r="S91" i="44"/>
  <c r="U91" i="44" s="1"/>
  <c r="Q91" i="44"/>
  <c r="J91" i="44"/>
  <c r="M91" i="44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/>
  <c r="X82" i="44"/>
  <c r="Q82" i="44"/>
  <c r="S82" i="44" s="1"/>
  <c r="U82" i="44" s="1"/>
  <c r="J82" i="44"/>
  <c r="M82" i="44" s="1"/>
  <c r="X81" i="44"/>
  <c r="Q81" i="44"/>
  <c r="S81" i="44"/>
  <c r="U81" i="44" s="1"/>
  <c r="J81" i="44"/>
  <c r="M81" i="44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U16" i="44"/>
  <c r="Q16" i="44"/>
  <c r="S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/>
  <c r="X9" i="44"/>
  <c r="Q9" i="44"/>
  <c r="S9" i="44" s="1"/>
  <c r="U9" i="44" s="1"/>
  <c r="J9" i="44"/>
  <c r="M9" i="44" s="1"/>
  <c r="X8" i="44"/>
  <c r="Q8" i="44"/>
  <c r="S8" i="44"/>
  <c r="U8" i="44" s="1"/>
  <c r="J8" i="44"/>
  <c r="M8" i="44" s="1"/>
  <c r="X7" i="44"/>
  <c r="Q7" i="44"/>
  <c r="S7" i="44" s="1"/>
  <c r="U7" i="44" s="1"/>
  <c r="J7" i="44"/>
  <c r="M7" i="44"/>
  <c r="X6" i="44"/>
  <c r="Q6" i="44"/>
  <c r="S6" i="44" s="1"/>
  <c r="U6" i="44" s="1"/>
  <c r="J6" i="44"/>
  <c r="M6" i="44" s="1"/>
  <c r="X5" i="44"/>
  <c r="Q5" i="44"/>
  <c r="S5" i="44" s="1"/>
  <c r="U5" i="44" s="1"/>
  <c r="J5" i="44"/>
  <c r="K220" i="43"/>
  <c r="K212" i="43"/>
  <c r="N13" i="16" s="1"/>
  <c r="K209" i="43"/>
  <c r="K219" i="43" s="1"/>
  <c r="J204" i="43"/>
  <c r="M204" i="43" s="1"/>
  <c r="J203" i="43"/>
  <c r="M203" i="43" s="1"/>
  <c r="J202" i="43"/>
  <c r="M202" i="43"/>
  <c r="J201" i="43"/>
  <c r="M201" i="43" s="1"/>
  <c r="J200" i="43"/>
  <c r="M200" i="43" s="1"/>
  <c r="J199" i="43"/>
  <c r="M199" i="43" s="1"/>
  <c r="J198" i="43"/>
  <c r="M198" i="43"/>
  <c r="J197" i="43"/>
  <c r="M197" i="43"/>
  <c r="J196" i="43"/>
  <c r="M196" i="43" s="1"/>
  <c r="J195" i="43"/>
  <c r="M195" i="43"/>
  <c r="J194" i="43"/>
  <c r="M194" i="43"/>
  <c r="J193" i="43"/>
  <c r="M193" i="43" s="1"/>
  <c r="J192" i="43"/>
  <c r="M192" i="43" s="1"/>
  <c r="J191" i="43"/>
  <c r="M191" i="43"/>
  <c r="J190" i="43"/>
  <c r="M190" i="43" s="1"/>
  <c r="J189" i="43"/>
  <c r="M189" i="43"/>
  <c r="J188" i="43"/>
  <c r="M188" i="43" s="1"/>
  <c r="J187" i="43"/>
  <c r="M187" i="43" s="1"/>
  <c r="J186" i="43"/>
  <c r="M186" i="43"/>
  <c r="J185" i="43"/>
  <c r="M185" i="43" s="1"/>
  <c r="J184" i="43"/>
  <c r="M184" i="43" s="1"/>
  <c r="J183" i="43"/>
  <c r="M183" i="43"/>
  <c r="J182" i="43"/>
  <c r="M182" i="43"/>
  <c r="J181" i="43"/>
  <c r="M181" i="43" s="1"/>
  <c r="J180" i="43"/>
  <c r="M180" i="43" s="1"/>
  <c r="J179" i="43"/>
  <c r="M179" i="43" s="1"/>
  <c r="J178" i="43"/>
  <c r="M178" i="43" s="1"/>
  <c r="J177" i="43"/>
  <c r="M177" i="43"/>
  <c r="J176" i="43"/>
  <c r="M176" i="43" s="1"/>
  <c r="J175" i="43"/>
  <c r="M175" i="43"/>
  <c r="J174" i="43"/>
  <c r="M174" i="43"/>
  <c r="J173" i="43"/>
  <c r="M173" i="43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/>
  <c r="J166" i="43"/>
  <c r="M166" i="43" s="1"/>
  <c r="J165" i="43"/>
  <c r="M165" i="43" s="1"/>
  <c r="J164" i="43"/>
  <c r="M164" i="43" s="1"/>
  <c r="J163" i="43"/>
  <c r="M163" i="43" s="1"/>
  <c r="J162" i="43"/>
  <c r="M162" i="43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/>
  <c r="J153" i="43"/>
  <c r="M153" i="43" s="1"/>
  <c r="J152" i="43"/>
  <c r="M152" i="43" s="1"/>
  <c r="J151" i="43"/>
  <c r="M151" i="43" s="1"/>
  <c r="J150" i="43"/>
  <c r="M150" i="43"/>
  <c r="J149" i="43"/>
  <c r="M149" i="43" s="1"/>
  <c r="J148" i="43"/>
  <c r="M148" i="43" s="1"/>
  <c r="J147" i="43"/>
  <c r="M147" i="43" s="1"/>
  <c r="J146" i="43"/>
  <c r="M146" i="43"/>
  <c r="J145" i="43"/>
  <c r="M145" i="43" s="1"/>
  <c r="J144" i="43"/>
  <c r="M144" i="43" s="1"/>
  <c r="J143" i="43"/>
  <c r="M143" i="43" s="1"/>
  <c r="J142" i="43"/>
  <c r="M142" i="43"/>
  <c r="J141" i="43"/>
  <c r="M141" i="43" s="1"/>
  <c r="J140" i="43"/>
  <c r="M140" i="43" s="1"/>
  <c r="J139" i="43"/>
  <c r="M139" i="43" s="1"/>
  <c r="J138" i="43"/>
  <c r="M138" i="43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/>
  <c r="J117" i="43"/>
  <c r="M117" i="43" s="1"/>
  <c r="J116" i="43"/>
  <c r="M116" i="43" s="1"/>
  <c r="J115" i="43"/>
  <c r="M115" i="43" s="1"/>
  <c r="J114" i="43"/>
  <c r="M114" i="43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/>
  <c r="U97" i="43" s="1"/>
  <c r="J97" i="43"/>
  <c r="M97" i="43"/>
  <c r="X96" i="43"/>
  <c r="Q96" i="43"/>
  <c r="S96" i="43" s="1"/>
  <c r="U96" i="43" s="1"/>
  <c r="J96" i="43"/>
  <c r="M96" i="43" s="1"/>
  <c r="X95" i="43"/>
  <c r="Q95" i="43"/>
  <c r="S95" i="43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/>
  <c r="X92" i="43"/>
  <c r="Q92" i="43"/>
  <c r="S92" i="43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/>
  <c r="U84" i="43" s="1"/>
  <c r="J84" i="43"/>
  <c r="M84" i="43" s="1"/>
  <c r="X83" i="43"/>
  <c r="Q83" i="43"/>
  <c r="S83" i="43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/>
  <c r="U77" i="43"/>
  <c r="J77" i="43"/>
  <c r="M77" i="43" s="1"/>
  <c r="X76" i="43"/>
  <c r="Q76" i="43"/>
  <c r="S76" i="43" s="1"/>
  <c r="U76" i="43" s="1"/>
  <c r="J76" i="43"/>
  <c r="M76" i="43" s="1"/>
  <c r="X75" i="43"/>
  <c r="Q75" i="43"/>
  <c r="S75" i="43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/>
  <c r="U37" i="43" s="1"/>
  <c r="J37" i="43"/>
  <c r="M37" i="43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/>
  <c r="U15" i="43"/>
  <c r="J15" i="43"/>
  <c r="M15" i="43" s="1"/>
  <c r="X14" i="43"/>
  <c r="Q14" i="43"/>
  <c r="S14" i="43" s="1"/>
  <c r="U14" i="43" s="1"/>
  <c r="J14" i="43"/>
  <c r="M14" i="43" s="1"/>
  <c r="X13" i="43"/>
  <c r="Q13" i="43"/>
  <c r="S13" i="43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S6" i="43"/>
  <c r="U6" i="43" s="1"/>
  <c r="Q6" i="43"/>
  <c r="J6" i="43"/>
  <c r="M6" i="43" s="1"/>
  <c r="X5" i="43"/>
  <c r="Q5" i="43"/>
  <c r="S5" i="43" s="1"/>
  <c r="U5" i="43" s="1"/>
  <c r="J5" i="43"/>
  <c r="R14" i="16"/>
  <c r="M5" i="44"/>
  <c r="X107" i="44"/>
  <c r="J206" i="44" s="1"/>
  <c r="X107" i="43"/>
  <c r="J206" i="43" s="1"/>
  <c r="T12" i="16"/>
  <c r="Q12" i="16"/>
  <c r="P12" i="16"/>
  <c r="O12" i="16"/>
  <c r="K220" i="42"/>
  <c r="K212" i="42"/>
  <c r="N12" i="16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/>
  <c r="J189" i="42"/>
  <c r="M189" i="42"/>
  <c r="J188" i="42"/>
  <c r="M188" i="42"/>
  <c r="J187" i="42"/>
  <c r="M187" i="42" s="1"/>
  <c r="J186" i="42"/>
  <c r="M186" i="42"/>
  <c r="J185" i="42"/>
  <c r="M185" i="42"/>
  <c r="J184" i="42"/>
  <c r="M184" i="42"/>
  <c r="J183" i="42"/>
  <c r="M183" i="42" s="1"/>
  <c r="J182" i="42"/>
  <c r="M182" i="42"/>
  <c r="J181" i="42"/>
  <c r="M181" i="42"/>
  <c r="J180" i="42"/>
  <c r="M180" i="42" s="1"/>
  <c r="J179" i="42"/>
  <c r="M179" i="42" s="1"/>
  <c r="J178" i="42"/>
  <c r="M178" i="42"/>
  <c r="J177" i="42"/>
  <c r="M177" i="42" s="1"/>
  <c r="J176" i="42"/>
  <c r="M176" i="42" s="1"/>
  <c r="J175" i="42"/>
  <c r="M175" i="42"/>
  <c r="J174" i="42"/>
  <c r="M174" i="42" s="1"/>
  <c r="J173" i="42"/>
  <c r="M173" i="42"/>
  <c r="J172" i="42"/>
  <c r="M172" i="42" s="1"/>
  <c r="J171" i="42"/>
  <c r="M171" i="42" s="1"/>
  <c r="J170" i="42"/>
  <c r="M170" i="42" s="1"/>
  <c r="J169" i="42"/>
  <c r="M169" i="42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/>
  <c r="J154" i="42"/>
  <c r="M154" i="42" s="1"/>
  <c r="J153" i="42"/>
  <c r="M153" i="42" s="1"/>
  <c r="J152" i="42"/>
  <c r="M152" i="42" s="1"/>
  <c r="J151" i="42"/>
  <c r="M151" i="42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/>
  <c r="J132" i="42"/>
  <c r="M132" i="42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/>
  <c r="J125" i="42"/>
  <c r="M125" i="42" s="1"/>
  <c r="J124" i="42"/>
  <c r="M124" i="42"/>
  <c r="J123" i="42"/>
  <c r="M123" i="42" s="1"/>
  <c r="J122" i="42"/>
  <c r="M122" i="42" s="1"/>
  <c r="J121" i="42"/>
  <c r="M121" i="42" s="1"/>
  <c r="J120" i="42"/>
  <c r="M120" i="42" s="1"/>
  <c r="J119" i="42"/>
  <c r="M119" i="42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/>
  <c r="J107" i="42"/>
  <c r="M107" i="42" s="1"/>
  <c r="J106" i="42"/>
  <c r="M106" i="42" s="1"/>
  <c r="Z105" i="42"/>
  <c r="J105" i="42"/>
  <c r="M105" i="42" s="1"/>
  <c r="X104" i="42"/>
  <c r="Q104" i="42"/>
  <c r="S104" i="42"/>
  <c r="U104" i="42" s="1"/>
  <c r="J104" i="42"/>
  <c r="M104" i="42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/>
  <c r="X72" i="42"/>
  <c r="Q72" i="42"/>
  <c r="S72" i="42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/>
  <c r="U58" i="42" s="1"/>
  <c r="J58" i="42"/>
  <c r="M58" i="42" s="1"/>
  <c r="X57" i="42"/>
  <c r="Q57" i="42"/>
  <c r="S57" i="42" s="1"/>
  <c r="U57" i="42" s="1"/>
  <c r="J57" i="42"/>
  <c r="M57" i="42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/>
  <c r="J52" i="42"/>
  <c r="M52" i="42"/>
  <c r="X51" i="42"/>
  <c r="Q51" i="42"/>
  <c r="S51" i="42" s="1"/>
  <c r="U51" i="42" s="1"/>
  <c r="J51" i="42"/>
  <c r="M51" i="42" s="1"/>
  <c r="X50" i="42"/>
  <c r="Q50" i="42"/>
  <c r="S50" i="42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/>
  <c r="U37" i="42" s="1"/>
  <c r="J37" i="42"/>
  <c r="M37" i="42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/>
  <c r="X32" i="42"/>
  <c r="Q32" i="42"/>
  <c r="S32" i="42" s="1"/>
  <c r="U32" i="42" s="1"/>
  <c r="J32" i="42"/>
  <c r="M32" i="42"/>
  <c r="X31" i="42"/>
  <c r="Q31" i="42"/>
  <c r="S31" i="42" s="1"/>
  <c r="U31" i="42" s="1"/>
  <c r="J31" i="42"/>
  <c r="M31" i="42" s="1"/>
  <c r="X30" i="42"/>
  <c r="Q30" i="42"/>
  <c r="S30" i="42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/>
  <c r="X24" i="42"/>
  <c r="Q24" i="42"/>
  <c r="S24" i="42" s="1"/>
  <c r="U24" i="42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/>
  <c r="X7" i="42"/>
  <c r="Q7" i="42"/>
  <c r="S7" i="42" s="1"/>
  <c r="U7" i="42" s="1"/>
  <c r="J7" i="42"/>
  <c r="M7" i="42" s="1"/>
  <c r="X6" i="42"/>
  <c r="Q6" i="42"/>
  <c r="S6" i="42"/>
  <c r="U6" i="42" s="1"/>
  <c r="J6" i="42"/>
  <c r="M6" i="42" s="1"/>
  <c r="X5" i="42"/>
  <c r="X107" i="42" s="1"/>
  <c r="J206" i="42" s="1"/>
  <c r="Q5" i="42"/>
  <c r="S5" i="42" s="1"/>
  <c r="U5" i="42" s="1"/>
  <c r="J5" i="42"/>
  <c r="T11" i="16"/>
  <c r="Q11" i="16"/>
  <c r="P11" i="16"/>
  <c r="O11" i="16"/>
  <c r="K220" i="41"/>
  <c r="K212" i="41"/>
  <c r="N11" i="16" s="1"/>
  <c r="K209" i="41"/>
  <c r="J204" i="41"/>
  <c r="M204" i="41"/>
  <c r="J203" i="41"/>
  <c r="M203" i="41" s="1"/>
  <c r="J202" i="41"/>
  <c r="M202" i="41" s="1"/>
  <c r="J201" i="41"/>
  <c r="M201" i="41" s="1"/>
  <c r="J200" i="41"/>
  <c r="M200" i="41"/>
  <c r="J199" i="41"/>
  <c r="M199" i="41" s="1"/>
  <c r="J198" i="41"/>
  <c r="M198" i="41"/>
  <c r="J197" i="41"/>
  <c r="M197" i="41"/>
  <c r="J196" i="41"/>
  <c r="M196" i="41"/>
  <c r="J195" i="41"/>
  <c r="M195" i="41" s="1"/>
  <c r="J194" i="41"/>
  <c r="M194" i="41"/>
  <c r="J193" i="41"/>
  <c r="M193" i="41"/>
  <c r="J192" i="41"/>
  <c r="M192" i="41"/>
  <c r="J191" i="41"/>
  <c r="M191" i="41" s="1"/>
  <c r="J190" i="41"/>
  <c r="M190" i="41"/>
  <c r="J189" i="41"/>
  <c r="M189" i="41"/>
  <c r="J188" i="41"/>
  <c r="M188" i="41"/>
  <c r="J187" i="41"/>
  <c r="M187" i="41" s="1"/>
  <c r="J186" i="41"/>
  <c r="M186" i="41"/>
  <c r="J185" i="41"/>
  <c r="M185" i="41"/>
  <c r="J184" i="41"/>
  <c r="M184" i="41"/>
  <c r="J183" i="41"/>
  <c r="M183" i="41" s="1"/>
  <c r="J182" i="41"/>
  <c r="M182" i="41"/>
  <c r="J181" i="41"/>
  <c r="M181" i="41"/>
  <c r="J180" i="41"/>
  <c r="M180" i="41"/>
  <c r="J179" i="41"/>
  <c r="M179" i="41" s="1"/>
  <c r="J178" i="41"/>
  <c r="M178" i="41"/>
  <c r="J177" i="41"/>
  <c r="M177" i="41"/>
  <c r="J176" i="41"/>
  <c r="M176" i="41"/>
  <c r="J175" i="41"/>
  <c r="M175" i="41" s="1"/>
  <c r="J174" i="41"/>
  <c r="M174" i="41"/>
  <c r="J173" i="41"/>
  <c r="M173" i="41"/>
  <c r="J172" i="41"/>
  <c r="M172" i="41"/>
  <c r="J171" i="41"/>
  <c r="M171" i="41" s="1"/>
  <c r="J170" i="41"/>
  <c r="M170" i="41"/>
  <c r="J169" i="41"/>
  <c r="M169" i="41"/>
  <c r="J168" i="41"/>
  <c r="M168" i="41"/>
  <c r="J167" i="41"/>
  <c r="M167" i="41" s="1"/>
  <c r="J166" i="41"/>
  <c r="M166" i="41"/>
  <c r="J165" i="41"/>
  <c r="M165" i="41"/>
  <c r="J164" i="41"/>
  <c r="M164" i="41"/>
  <c r="J163" i="41"/>
  <c r="M163" i="41" s="1"/>
  <c r="J162" i="41"/>
  <c r="M162" i="41"/>
  <c r="J161" i="41"/>
  <c r="M161" i="41" s="1"/>
  <c r="J160" i="41"/>
  <c r="M160" i="41"/>
  <c r="J159" i="41"/>
  <c r="M159" i="41" s="1"/>
  <c r="J158" i="41"/>
  <c r="M158" i="41" s="1"/>
  <c r="J157" i="41"/>
  <c r="M157" i="41" s="1"/>
  <c r="J156" i="41"/>
  <c r="M156" i="41"/>
  <c r="J155" i="41"/>
  <c r="M155" i="41" s="1"/>
  <c r="J154" i="41"/>
  <c r="M154" i="41" s="1"/>
  <c r="J153" i="41"/>
  <c r="M153" i="41" s="1"/>
  <c r="J152" i="41"/>
  <c r="M152" i="4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/>
  <c r="J127" i="41"/>
  <c r="M127" i="41" s="1"/>
  <c r="J126" i="41"/>
  <c r="M126" i="41" s="1"/>
  <c r="J125" i="41"/>
  <c r="M125" i="41" s="1"/>
  <c r="J124" i="41"/>
  <c r="M124" i="41"/>
  <c r="J123" i="41"/>
  <c r="M123" i="41" s="1"/>
  <c r="J122" i="41"/>
  <c r="M122" i="41" s="1"/>
  <c r="J121" i="41"/>
  <c r="M121" i="41" s="1"/>
  <c r="J120" i="41"/>
  <c r="M120" i="4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/>
  <c r="X104" i="41"/>
  <c r="Q104" i="41"/>
  <c r="S104" i="41" s="1"/>
  <c r="U104" i="41" s="1"/>
  <c r="J104" i="41"/>
  <c r="M104" i="41"/>
  <c r="X103" i="41"/>
  <c r="Q103" i="41"/>
  <c r="S103" i="41" s="1"/>
  <c r="U103" i="41" s="1"/>
  <c r="J103" i="41"/>
  <c r="M103" i="4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/>
  <c r="X96" i="41"/>
  <c r="Q96" i="41"/>
  <c r="S96" i="41" s="1"/>
  <c r="U96" i="41" s="1"/>
  <c r="J96" i="41"/>
  <c r="M96" i="41"/>
  <c r="X95" i="41"/>
  <c r="Q95" i="41"/>
  <c r="S95" i="41" s="1"/>
  <c r="U95" i="41" s="1"/>
  <c r="J95" i="41"/>
  <c r="M95" i="4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/>
  <c r="X14" i="41"/>
  <c r="Q14" i="41"/>
  <c r="S14" i="41" s="1"/>
  <c r="U14" i="41" s="1"/>
  <c r="J14" i="41"/>
  <c r="M14" i="41" s="1"/>
  <c r="X13" i="41"/>
  <c r="Q13" i="41"/>
  <c r="S13" i="4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/>
  <c r="J185" i="40"/>
  <c r="M185" i="40" s="1"/>
  <c r="J184" i="40"/>
  <c r="M184" i="40" s="1"/>
  <c r="J183" i="40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/>
  <c r="J169" i="40"/>
  <c r="M169" i="40" s="1"/>
  <c r="J168" i="40"/>
  <c r="M168" i="40" s="1"/>
  <c r="J167" i="40"/>
  <c r="J166" i="40"/>
  <c r="M166" i="40" s="1"/>
  <c r="J165" i="40"/>
  <c r="M165" i="40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/>
  <c r="J119" i="40"/>
  <c r="M119" i="40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/>
  <c r="U92" i="40" s="1"/>
  <c r="J92" i="40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X71" i="40"/>
  <c r="Q71" i="40"/>
  <c r="S71" i="40" s="1"/>
  <c r="U71" i="40" s="1"/>
  <c r="J71" i="40"/>
  <c r="M71" i="40" s="1"/>
  <c r="X70" i="40"/>
  <c r="Q70" i="40"/>
  <c r="S70" i="40"/>
  <c r="U70" i="40" s="1"/>
  <c r="J70" i="40"/>
  <c r="M70" i="40" s="1"/>
  <c r="X69" i="40"/>
  <c r="Q69" i="40"/>
  <c r="S69" i="40" s="1"/>
  <c r="U69" i="40"/>
  <c r="J69" i="40"/>
  <c r="M69" i="40" s="1"/>
  <c r="X68" i="40"/>
  <c r="Q68" i="40"/>
  <c r="S68" i="40"/>
  <c r="U68" i="40" s="1"/>
  <c r="J68" i="40"/>
  <c r="M68" i="40" s="1"/>
  <c r="X67" i="40"/>
  <c r="Q67" i="40"/>
  <c r="S67" i="40" s="1"/>
  <c r="U67" i="40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S62" i="40"/>
  <c r="U62" i="40" s="1"/>
  <c r="Q62" i="40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X107" i="40" s="1"/>
  <c r="J206" i="40" s="1"/>
  <c r="Q5" i="40"/>
  <c r="S5" i="40"/>
  <c r="U5" i="40" s="1"/>
  <c r="J5" i="40"/>
  <c r="K219" i="41"/>
  <c r="R11" i="16"/>
  <c r="X107" i="41"/>
  <c r="J206" i="41"/>
  <c r="M5" i="41"/>
  <c r="M111" i="40"/>
  <c r="M33" i="40"/>
  <c r="M72" i="40"/>
  <c r="M167" i="40"/>
  <c r="M92" i="40"/>
  <c r="M151" i="40"/>
  <c r="M183" i="40"/>
  <c r="M5" i="40"/>
  <c r="T9" i="16"/>
  <c r="P9" i="16"/>
  <c r="Q9" i="16"/>
  <c r="O9" i="16"/>
  <c r="K220" i="39"/>
  <c r="K212" i="39"/>
  <c r="N9" i="16" s="1"/>
  <c r="K209" i="39"/>
  <c r="K219" i="39" s="1"/>
  <c r="J204" i="39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/>
  <c r="J195" i="39"/>
  <c r="M195" i="39" s="1"/>
  <c r="J194" i="39"/>
  <c r="M194" i="39" s="1"/>
  <c r="J193" i="39"/>
  <c r="M193" i="39" s="1"/>
  <c r="J192" i="39"/>
  <c r="M192" i="39" s="1"/>
  <c r="J191" i="39"/>
  <c r="M191" i="39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/>
  <c r="J179" i="39"/>
  <c r="M179" i="39" s="1"/>
  <c r="J178" i="39"/>
  <c r="M178" i="39" s="1"/>
  <c r="J177" i="39"/>
  <c r="M177" i="39" s="1"/>
  <c r="J176" i="39"/>
  <c r="M176" i="39" s="1"/>
  <c r="J175" i="39"/>
  <c r="M175" i="39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/>
  <c r="J159" i="39"/>
  <c r="M159" i="39" s="1"/>
  <c r="J158" i="39"/>
  <c r="M158" i="39" s="1"/>
  <c r="J157" i="39"/>
  <c r="M157" i="39" s="1"/>
  <c r="J156" i="39"/>
  <c r="M156" i="39"/>
  <c r="J155" i="39"/>
  <c r="M155" i="39"/>
  <c r="J154" i="39"/>
  <c r="M154" i="39" s="1"/>
  <c r="J153" i="39"/>
  <c r="M153" i="39" s="1"/>
  <c r="J152" i="39"/>
  <c r="M152" i="39" s="1"/>
  <c r="J151" i="39"/>
  <c r="M151" i="39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/>
  <c r="J143" i="39"/>
  <c r="M143" i="39" s="1"/>
  <c r="J142" i="39"/>
  <c r="M142" i="39" s="1"/>
  <c r="J141" i="39"/>
  <c r="M141" i="39" s="1"/>
  <c r="J140" i="39"/>
  <c r="M140" i="39"/>
  <c r="J139" i="39"/>
  <c r="M139" i="39"/>
  <c r="J138" i="39"/>
  <c r="M138" i="39" s="1"/>
  <c r="J137" i="39"/>
  <c r="M137" i="39" s="1"/>
  <c r="J136" i="39"/>
  <c r="M136" i="39" s="1"/>
  <c r="J135" i="39"/>
  <c r="M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/>
  <c r="J127" i="39"/>
  <c r="M127" i="39" s="1"/>
  <c r="J126" i="39"/>
  <c r="M126" i="39" s="1"/>
  <c r="J125" i="39"/>
  <c r="M125" i="39" s="1"/>
  <c r="J124" i="39"/>
  <c r="M124" i="39"/>
  <c r="J123" i="39"/>
  <c r="M123" i="39"/>
  <c r="J122" i="39"/>
  <c r="M122" i="39" s="1"/>
  <c r="J121" i="39"/>
  <c r="M121" i="39" s="1"/>
  <c r="J120" i="39"/>
  <c r="M120" i="39" s="1"/>
  <c r="J119" i="39"/>
  <c r="M119" i="39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/>
  <c r="J111" i="39"/>
  <c r="M111" i="39" s="1"/>
  <c r="J110" i="39"/>
  <c r="M110" i="39" s="1"/>
  <c r="J109" i="39"/>
  <c r="M109" i="39" s="1"/>
  <c r="J108" i="39"/>
  <c r="M108" i="39"/>
  <c r="J107" i="39"/>
  <c r="M107" i="39"/>
  <c r="J106" i="39"/>
  <c r="M106" i="39" s="1"/>
  <c r="Z105" i="39"/>
  <c r="J105" i="39"/>
  <c r="M105" i="39" s="1"/>
  <c r="X104" i="39"/>
  <c r="Q104" i="39"/>
  <c r="S104" i="39"/>
  <c r="U104" i="39" s="1"/>
  <c r="J104" i="39"/>
  <c r="M104" i="39"/>
  <c r="X103" i="39"/>
  <c r="Q103" i="39"/>
  <c r="S103" i="39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/>
  <c r="U88" i="39" s="1"/>
  <c r="J88" i="39"/>
  <c r="M88" i="39" s="1"/>
  <c r="X87" i="39"/>
  <c r="Q87" i="39"/>
  <c r="S87" i="39" s="1"/>
  <c r="U87" i="39" s="1"/>
  <c r="J87" i="39"/>
  <c r="M87" i="39"/>
  <c r="X86" i="39"/>
  <c r="Q86" i="39"/>
  <c r="S86" i="39" s="1"/>
  <c r="U86" i="39" s="1"/>
  <c r="J86" i="39"/>
  <c r="M86" i="39" s="1"/>
  <c r="X85" i="39"/>
  <c r="Q85" i="39"/>
  <c r="S85" i="39" s="1"/>
  <c r="U85" i="39"/>
  <c r="J85" i="39"/>
  <c r="M85" i="39" s="1"/>
  <c r="X84" i="39"/>
  <c r="Q84" i="39"/>
  <c r="S84" i="39" s="1"/>
  <c r="U84" i="39" s="1"/>
  <c r="J84" i="39"/>
  <c r="M84" i="39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/>
  <c r="X75" i="39"/>
  <c r="Q75" i="39"/>
  <c r="S75" i="39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/>
  <c r="X66" i="39"/>
  <c r="Q66" i="39"/>
  <c r="S66" i="39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/>
  <c r="X59" i="39"/>
  <c r="Q59" i="39"/>
  <c r="S59" i="39" s="1"/>
  <c r="U59" i="39" s="1"/>
  <c r="J59" i="39"/>
  <c r="M59" i="39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/>
  <c r="X31" i="39"/>
  <c r="Q31" i="39"/>
  <c r="S31" i="39"/>
  <c r="U31" i="39" s="1"/>
  <c r="J31" i="39"/>
  <c r="M31" i="39"/>
  <c r="X30" i="39"/>
  <c r="Q30" i="39"/>
  <c r="S30" i="39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R9" i="16"/>
  <c r="T8" i="16"/>
  <c r="Q8" i="16"/>
  <c r="P8" i="16"/>
  <c r="O8" i="16"/>
  <c r="K220" i="38"/>
  <c r="N8" i="16"/>
  <c r="R8" i="16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/>
  <c r="J197" i="38"/>
  <c r="M197" i="38" s="1"/>
  <c r="J196" i="38"/>
  <c r="M196" i="38" s="1"/>
  <c r="J195" i="38"/>
  <c r="M195" i="38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/>
  <c r="J188" i="38"/>
  <c r="M188" i="38" s="1"/>
  <c r="J187" i="38"/>
  <c r="M187" i="38"/>
  <c r="J186" i="38"/>
  <c r="M186" i="38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/>
  <c r="J177" i="38"/>
  <c r="M177" i="38"/>
  <c r="J176" i="38"/>
  <c r="M176" i="38" s="1"/>
  <c r="J175" i="38"/>
  <c r="M175" i="38"/>
  <c r="J174" i="38"/>
  <c r="M174" i="38" s="1"/>
  <c r="J173" i="38"/>
  <c r="M173" i="38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/>
  <c r="J160" i="38"/>
  <c r="M160" i="38" s="1"/>
  <c r="J159" i="38"/>
  <c r="M159" i="38"/>
  <c r="J158" i="38"/>
  <c r="M158" i="38" s="1"/>
  <c r="J157" i="38"/>
  <c r="M157" i="38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/>
  <c r="J144" i="38"/>
  <c r="M144" i="38" s="1"/>
  <c r="J143" i="38"/>
  <c r="M143" i="38"/>
  <c r="J142" i="38"/>
  <c r="M142" i="38" s="1"/>
  <c r="J141" i="38"/>
  <c r="M141" i="38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/>
  <c r="J128" i="38"/>
  <c r="M128" i="38" s="1"/>
  <c r="J127" i="38"/>
  <c r="M127" i="38"/>
  <c r="J126" i="38"/>
  <c r="M126" i="38" s="1"/>
  <c r="J125" i="38"/>
  <c r="M125" i="38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/>
  <c r="J112" i="38"/>
  <c r="M112" i="38" s="1"/>
  <c r="J111" i="38"/>
  <c r="M111" i="38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/>
  <c r="X104" i="38"/>
  <c r="Q104" i="38"/>
  <c r="S104" i="38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/>
  <c r="X101" i="38"/>
  <c r="Q101" i="38"/>
  <c r="S101" i="38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/>
  <c r="J98" i="38"/>
  <c r="M98" i="38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/>
  <c r="X92" i="38"/>
  <c r="Q92" i="38"/>
  <c r="S92" i="38" s="1"/>
  <c r="U92" i="38" s="1"/>
  <c r="J92" i="38"/>
  <c r="M92" i="38" s="1"/>
  <c r="X91" i="38"/>
  <c r="Q91" i="38"/>
  <c r="S91" i="38"/>
  <c r="U91" i="38" s="1"/>
  <c r="J91" i="38"/>
  <c r="M91" i="38" s="1"/>
  <c r="X90" i="38"/>
  <c r="Q90" i="38"/>
  <c r="S90" i="38" s="1"/>
  <c r="U90" i="38" s="1"/>
  <c r="J90" i="38"/>
  <c r="M90" i="38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/>
  <c r="X76" i="38"/>
  <c r="Q76" i="38"/>
  <c r="S76" i="38" s="1"/>
  <c r="U76" i="38" s="1"/>
  <c r="J76" i="38"/>
  <c r="M76" i="38" s="1"/>
  <c r="X75" i="38"/>
  <c r="Q75" i="38"/>
  <c r="S75" i="38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/>
  <c r="X68" i="38"/>
  <c r="Q68" i="38"/>
  <c r="S68" i="38" s="1"/>
  <c r="U68" i="38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/>
  <c r="X65" i="38"/>
  <c r="Q65" i="38"/>
  <c r="S65" i="38" s="1"/>
  <c r="U65" i="38"/>
  <c r="J65" i="38"/>
  <c r="M65" i="38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/>
  <c r="X61" i="38"/>
  <c r="Q61" i="38"/>
  <c r="S61" i="38" s="1"/>
  <c r="U61" i="38" s="1"/>
  <c r="J61" i="38"/>
  <c r="M61" i="38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/>
  <c r="U55" i="38" s="1"/>
  <c r="J55" i="38"/>
  <c r="M55" i="38" s="1"/>
  <c r="X54" i="38"/>
  <c r="Q54" i="38"/>
  <c r="S54" i="38" s="1"/>
  <c r="U54" i="38" s="1"/>
  <c r="J54" i="38"/>
  <c r="M54" i="38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/>
  <c r="X49" i="38"/>
  <c r="Q49" i="38"/>
  <c r="S49" i="38" s="1"/>
  <c r="U49" i="38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/>
  <c r="U42" i="38"/>
  <c r="J42" i="38"/>
  <c r="M42" i="38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/>
  <c r="X17" i="38"/>
  <c r="Q17" i="38"/>
  <c r="S17" i="38" s="1"/>
  <c r="U17" i="38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/>
  <c r="X9" i="38"/>
  <c r="Q9" i="38"/>
  <c r="S9" i="38" s="1"/>
  <c r="U9" i="38" s="1"/>
  <c r="J9" i="38"/>
  <c r="M9" i="38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X107" i="38" s="1"/>
  <c r="J206" i="38" s="1"/>
  <c r="Q5" i="38"/>
  <c r="S5" i="38" s="1"/>
  <c r="U5" i="38" s="1"/>
  <c r="J5" i="38"/>
  <c r="J6" i="37"/>
  <c r="M6" i="37" s="1"/>
  <c r="J7" i="37"/>
  <c r="M7" i="37" s="1"/>
  <c r="J8" i="37"/>
  <c r="M8" i="37"/>
  <c r="J9" i="37"/>
  <c r="M9" i="37" s="1"/>
  <c r="J10" i="37"/>
  <c r="M10" i="37" s="1"/>
  <c r="J11" i="37"/>
  <c r="M11" i="37" s="1"/>
  <c r="J12" i="37"/>
  <c r="M12" i="37" s="1"/>
  <c r="J13" i="37"/>
  <c r="M13" i="37" s="1"/>
  <c r="J14" i="37"/>
  <c r="M14" i="37" s="1"/>
  <c r="J15" i="37"/>
  <c r="M15" i="37" s="1"/>
  <c r="J16" i="37"/>
  <c r="M16" i="37"/>
  <c r="J17" i="37"/>
  <c r="M17" i="37" s="1"/>
  <c r="J18" i="37"/>
  <c r="M18" i="37" s="1"/>
  <c r="J19" i="37"/>
  <c r="M19" i="37" s="1"/>
  <c r="J20" i="37"/>
  <c r="M20" i="37" s="1"/>
  <c r="J21" i="37"/>
  <c r="M21" i="37" s="1"/>
  <c r="J22" i="37"/>
  <c r="M22" i="37" s="1"/>
  <c r="J23" i="37"/>
  <c r="M23" i="37" s="1"/>
  <c r="J24" i="37"/>
  <c r="M24" i="37" s="1"/>
  <c r="J25" i="37"/>
  <c r="M25" i="37" s="1"/>
  <c r="J26" i="37"/>
  <c r="M26" i="37" s="1"/>
  <c r="J27" i="37"/>
  <c r="M27" i="37" s="1"/>
  <c r="J28" i="37"/>
  <c r="M28" i="37"/>
  <c r="J29" i="37"/>
  <c r="M29" i="37" s="1"/>
  <c r="J30" i="37"/>
  <c r="M30" i="37" s="1"/>
  <c r="J31" i="37"/>
  <c r="M31" i="37" s="1"/>
  <c r="J32" i="37"/>
  <c r="M32" i="37"/>
  <c r="J33" i="37"/>
  <c r="M33" i="37" s="1"/>
  <c r="J34" i="37"/>
  <c r="M34" i="37" s="1"/>
  <c r="J35" i="37"/>
  <c r="M35" i="37" s="1"/>
  <c r="J36" i="37"/>
  <c r="M36" i="37"/>
  <c r="J37" i="37"/>
  <c r="M37" i="37" s="1"/>
  <c r="J38" i="37"/>
  <c r="M38" i="37" s="1"/>
  <c r="J39" i="37"/>
  <c r="M39" i="37" s="1"/>
  <c r="J40" i="37"/>
  <c r="M40" i="37" s="1"/>
  <c r="J41" i="37"/>
  <c r="M41" i="37" s="1"/>
  <c r="J42" i="37"/>
  <c r="M42" i="37" s="1"/>
  <c r="J43" i="37"/>
  <c r="M43" i="37" s="1"/>
  <c r="J44" i="37"/>
  <c r="M44" i="37" s="1"/>
  <c r="J45" i="37"/>
  <c r="M45" i="37" s="1"/>
  <c r="J46" i="37"/>
  <c r="M46" i="37" s="1"/>
  <c r="J47" i="37"/>
  <c r="M47" i="37" s="1"/>
  <c r="J48" i="37"/>
  <c r="M48" i="37"/>
  <c r="J49" i="37"/>
  <c r="M49" i="37" s="1"/>
  <c r="J50" i="37"/>
  <c r="M50" i="37" s="1"/>
  <c r="J51" i="37"/>
  <c r="M51" i="37" s="1"/>
  <c r="J52" i="37"/>
  <c r="M52" i="37"/>
  <c r="J53" i="37"/>
  <c r="M53" i="37" s="1"/>
  <c r="J54" i="37"/>
  <c r="M54" i="37" s="1"/>
  <c r="J55" i="37"/>
  <c r="M55" i="37" s="1"/>
  <c r="J56" i="37"/>
  <c r="M56" i="37" s="1"/>
  <c r="J57" i="37"/>
  <c r="M57" i="37" s="1"/>
  <c r="J58" i="37"/>
  <c r="M58" i="37" s="1"/>
  <c r="J59" i="37"/>
  <c r="J60" i="37"/>
  <c r="M60" i="37" s="1"/>
  <c r="J61" i="37"/>
  <c r="M61" i="37" s="1"/>
  <c r="J62" i="37"/>
  <c r="M62" i="37" s="1"/>
  <c r="J63" i="37"/>
  <c r="M63" i="37" s="1"/>
  <c r="J64" i="37"/>
  <c r="M64" i="37"/>
  <c r="J65" i="37"/>
  <c r="M65" i="37" s="1"/>
  <c r="J66" i="37"/>
  <c r="M66" i="37" s="1"/>
  <c r="J67" i="37"/>
  <c r="M67" i="37" s="1"/>
  <c r="J68" i="37"/>
  <c r="M68" i="37"/>
  <c r="J69" i="37"/>
  <c r="M69" i="37" s="1"/>
  <c r="J70" i="37"/>
  <c r="M70" i="37" s="1"/>
  <c r="J71" i="37"/>
  <c r="M71" i="37" s="1"/>
  <c r="J72" i="37"/>
  <c r="M72" i="37"/>
  <c r="J73" i="37"/>
  <c r="M73" i="37" s="1"/>
  <c r="J74" i="37"/>
  <c r="M74" i="37" s="1"/>
  <c r="J75" i="37"/>
  <c r="M75" i="37" s="1"/>
  <c r="J76" i="37"/>
  <c r="M76" i="37" s="1"/>
  <c r="J77" i="37"/>
  <c r="M77" i="37" s="1"/>
  <c r="J78" i="37"/>
  <c r="M78" i="37" s="1"/>
  <c r="J79" i="37"/>
  <c r="M79" i="37" s="1"/>
  <c r="J80" i="37"/>
  <c r="M80" i="37" s="1"/>
  <c r="J81" i="37"/>
  <c r="M81" i="37" s="1"/>
  <c r="J82" i="37"/>
  <c r="M82" i="37" s="1"/>
  <c r="J83" i="37"/>
  <c r="M83" i="37" s="1"/>
  <c r="J84" i="37"/>
  <c r="M84" i="37" s="1"/>
  <c r="J85" i="37"/>
  <c r="M85" i="37" s="1"/>
  <c r="J86" i="37"/>
  <c r="M86" i="37" s="1"/>
  <c r="J87" i="37"/>
  <c r="M87" i="37" s="1"/>
  <c r="J88" i="37"/>
  <c r="M88" i="37" s="1"/>
  <c r="J89" i="37"/>
  <c r="M89" i="37" s="1"/>
  <c r="J90" i="37"/>
  <c r="M90" i="37" s="1"/>
  <c r="J91" i="37"/>
  <c r="M91" i="37" s="1"/>
  <c r="J92" i="37"/>
  <c r="M92" i="37"/>
  <c r="J93" i="37"/>
  <c r="M93" i="37" s="1"/>
  <c r="J94" i="37"/>
  <c r="M94" i="37" s="1"/>
  <c r="J95" i="37"/>
  <c r="M95" i="37" s="1"/>
  <c r="J96" i="37"/>
  <c r="M96" i="37"/>
  <c r="J97" i="37"/>
  <c r="M97" i="37" s="1"/>
  <c r="J98" i="37"/>
  <c r="M98" i="37" s="1"/>
  <c r="J99" i="37"/>
  <c r="M99" i="37" s="1"/>
  <c r="J100" i="37"/>
  <c r="M100" i="37" s="1"/>
  <c r="J101" i="37"/>
  <c r="M101" i="37" s="1"/>
  <c r="J102" i="37"/>
  <c r="M102" i="37" s="1"/>
  <c r="J103" i="37"/>
  <c r="M103" i="37" s="1"/>
  <c r="J104" i="37"/>
  <c r="M104" i="37" s="1"/>
  <c r="J105" i="37"/>
  <c r="M105" i="37" s="1"/>
  <c r="J106" i="37"/>
  <c r="M106" i="37" s="1"/>
  <c r="J107" i="37"/>
  <c r="M107" i="37" s="1"/>
  <c r="J108" i="37"/>
  <c r="M108" i="37" s="1"/>
  <c r="J109" i="37"/>
  <c r="M109" i="37" s="1"/>
  <c r="J110" i="37"/>
  <c r="M110" i="37" s="1"/>
  <c r="J111" i="37"/>
  <c r="M111" i="37" s="1"/>
  <c r="J112" i="37"/>
  <c r="M112" i="37" s="1"/>
  <c r="J113" i="37"/>
  <c r="M113" i="37" s="1"/>
  <c r="J114" i="37"/>
  <c r="M114" i="37" s="1"/>
  <c r="J115" i="37"/>
  <c r="M115" i="37" s="1"/>
  <c r="J116" i="37"/>
  <c r="M116" i="37" s="1"/>
  <c r="J117" i="37"/>
  <c r="M117" i="37" s="1"/>
  <c r="J118" i="37"/>
  <c r="M118" i="37" s="1"/>
  <c r="J119" i="37"/>
  <c r="M119" i="37" s="1"/>
  <c r="J120" i="37"/>
  <c r="M120" i="37"/>
  <c r="J121" i="37"/>
  <c r="M121" i="37" s="1"/>
  <c r="J122" i="37"/>
  <c r="M122" i="37" s="1"/>
  <c r="J123" i="37"/>
  <c r="M123" i="37" s="1"/>
  <c r="J124" i="37"/>
  <c r="M124" i="37"/>
  <c r="J125" i="37"/>
  <c r="M125" i="37" s="1"/>
  <c r="J126" i="37"/>
  <c r="M126" i="37" s="1"/>
  <c r="J127" i="37"/>
  <c r="M127" i="37" s="1"/>
  <c r="J128" i="37"/>
  <c r="M128" i="37"/>
  <c r="J129" i="37"/>
  <c r="M129" i="37" s="1"/>
  <c r="J130" i="37"/>
  <c r="M130" i="37" s="1"/>
  <c r="J131" i="37"/>
  <c r="M131" i="37" s="1"/>
  <c r="J132" i="37"/>
  <c r="M132" i="37" s="1"/>
  <c r="J133" i="37"/>
  <c r="M133" i="37"/>
  <c r="J134" i="37"/>
  <c r="M134" i="37" s="1"/>
  <c r="J135" i="37"/>
  <c r="M135" i="37" s="1"/>
  <c r="J136" i="37"/>
  <c r="M136" i="37"/>
  <c r="J137" i="37"/>
  <c r="M137" i="37" s="1"/>
  <c r="J138" i="37"/>
  <c r="M138" i="37" s="1"/>
  <c r="J139" i="37"/>
  <c r="M139" i="37" s="1"/>
  <c r="J140" i="37"/>
  <c r="M140" i="37" s="1"/>
  <c r="J141" i="37"/>
  <c r="M141" i="37"/>
  <c r="J142" i="37"/>
  <c r="M142" i="37" s="1"/>
  <c r="J143" i="37"/>
  <c r="M143" i="37" s="1"/>
  <c r="J144" i="37"/>
  <c r="M144" i="37"/>
  <c r="J145" i="37"/>
  <c r="M145" i="37" s="1"/>
  <c r="J146" i="37"/>
  <c r="M146" i="37" s="1"/>
  <c r="J147" i="37"/>
  <c r="M147" i="37" s="1"/>
  <c r="J148" i="37"/>
  <c r="M148" i="37" s="1"/>
  <c r="J149" i="37"/>
  <c r="M149" i="37" s="1"/>
  <c r="J150" i="37"/>
  <c r="M150" i="37" s="1"/>
  <c r="J151" i="37"/>
  <c r="M151" i="37" s="1"/>
  <c r="J152" i="37"/>
  <c r="M152" i="37"/>
  <c r="J153" i="37"/>
  <c r="M153" i="37" s="1"/>
  <c r="J154" i="37"/>
  <c r="M154" i="37" s="1"/>
  <c r="J155" i="37"/>
  <c r="M155" i="37" s="1"/>
  <c r="J156" i="37"/>
  <c r="M156" i="37"/>
  <c r="J157" i="37"/>
  <c r="M157" i="37"/>
  <c r="J158" i="37"/>
  <c r="M158" i="37" s="1"/>
  <c r="J159" i="37"/>
  <c r="M159" i="37" s="1"/>
  <c r="J160" i="37"/>
  <c r="M160" i="37"/>
  <c r="J161" i="37"/>
  <c r="M161" i="37"/>
  <c r="J162" i="37"/>
  <c r="M162" i="37" s="1"/>
  <c r="J163" i="37"/>
  <c r="M163" i="37" s="1"/>
  <c r="J164" i="37"/>
  <c r="M164" i="37" s="1"/>
  <c r="J165" i="37"/>
  <c r="M165" i="37"/>
  <c r="J166" i="37"/>
  <c r="J167" i="37"/>
  <c r="M167" i="37" s="1"/>
  <c r="J168" i="37"/>
  <c r="M168" i="37"/>
  <c r="J169" i="37"/>
  <c r="M169" i="37" s="1"/>
  <c r="J170" i="37"/>
  <c r="M170" i="37" s="1"/>
  <c r="J171" i="37"/>
  <c r="M171" i="37" s="1"/>
  <c r="J172" i="37"/>
  <c r="M172" i="37"/>
  <c r="J173" i="37"/>
  <c r="M173" i="37"/>
  <c r="J174" i="37"/>
  <c r="M174" i="37" s="1"/>
  <c r="J175" i="37"/>
  <c r="M175" i="37" s="1"/>
  <c r="J176" i="37"/>
  <c r="M176" i="37" s="1"/>
  <c r="J177" i="37"/>
  <c r="M177" i="37"/>
  <c r="J178" i="37"/>
  <c r="M178" i="37" s="1"/>
  <c r="J179" i="37"/>
  <c r="M179" i="37" s="1"/>
  <c r="J180" i="37"/>
  <c r="M180" i="37" s="1"/>
  <c r="J181" i="37"/>
  <c r="M181" i="37"/>
  <c r="J182" i="37"/>
  <c r="M182" i="37" s="1"/>
  <c r="J183" i="37"/>
  <c r="M183" i="37" s="1"/>
  <c r="J184" i="37"/>
  <c r="M184" i="37"/>
  <c r="J185" i="37"/>
  <c r="M185" i="37" s="1"/>
  <c r="J186" i="37"/>
  <c r="M186" i="37" s="1"/>
  <c r="J187" i="37"/>
  <c r="M187" i="37" s="1"/>
  <c r="J188" i="37"/>
  <c r="M188" i="37" s="1"/>
  <c r="J189" i="37"/>
  <c r="M189" i="37"/>
  <c r="J190" i="37"/>
  <c r="M190" i="37" s="1"/>
  <c r="J191" i="37"/>
  <c r="M191" i="37" s="1"/>
  <c r="J192" i="37"/>
  <c r="M192" i="37" s="1"/>
  <c r="J193" i="37"/>
  <c r="M193" i="37" s="1"/>
  <c r="J194" i="37"/>
  <c r="M194" i="37" s="1"/>
  <c r="J195" i="37"/>
  <c r="M195" i="37" s="1"/>
  <c r="J196" i="37"/>
  <c r="M196" i="37" s="1"/>
  <c r="J197" i="37"/>
  <c r="M197" i="37"/>
  <c r="J198" i="37"/>
  <c r="M198" i="37" s="1"/>
  <c r="J199" i="37"/>
  <c r="M199" i="37" s="1"/>
  <c r="J200" i="37"/>
  <c r="M200" i="37"/>
  <c r="J201" i="37"/>
  <c r="M201" i="37" s="1"/>
  <c r="J202" i="37"/>
  <c r="M202" i="37" s="1"/>
  <c r="J203" i="37"/>
  <c r="M203" i="37" s="1"/>
  <c r="J204" i="37"/>
  <c r="M204" i="37" s="1"/>
  <c r="T7" i="16"/>
  <c r="Q7" i="16"/>
  <c r="P7" i="16"/>
  <c r="O7" i="16"/>
  <c r="K220" i="37"/>
  <c r="K212" i="37"/>
  <c r="N7" i="16" s="1"/>
  <c r="K209" i="37"/>
  <c r="Z105" i="37"/>
  <c r="X104" i="37"/>
  <c r="Q104" i="37"/>
  <c r="S104" i="37"/>
  <c r="U104" i="37" s="1"/>
  <c r="X103" i="37"/>
  <c r="Q103" i="37"/>
  <c r="S103" i="37"/>
  <c r="U103" i="37" s="1"/>
  <c r="X102" i="37"/>
  <c r="Q102" i="37"/>
  <c r="S102" i="37" s="1"/>
  <c r="U102" i="37" s="1"/>
  <c r="X101" i="37"/>
  <c r="Q101" i="37"/>
  <c r="S101" i="37" s="1"/>
  <c r="U101" i="37" s="1"/>
  <c r="X100" i="37"/>
  <c r="Q100" i="37"/>
  <c r="S100" i="37" s="1"/>
  <c r="U100" i="37" s="1"/>
  <c r="X99" i="37"/>
  <c r="Q99" i="37"/>
  <c r="S99" i="37" s="1"/>
  <c r="U99" i="37" s="1"/>
  <c r="X98" i="37"/>
  <c r="Q98" i="37"/>
  <c r="S98" i="37" s="1"/>
  <c r="U98" i="37" s="1"/>
  <c r="X97" i="37"/>
  <c r="Q97" i="37"/>
  <c r="S97" i="37" s="1"/>
  <c r="U97" i="37" s="1"/>
  <c r="X96" i="37"/>
  <c r="Q96" i="37"/>
  <c r="S96" i="37" s="1"/>
  <c r="U96" i="37" s="1"/>
  <c r="X95" i="37"/>
  <c r="Q95" i="37"/>
  <c r="S95" i="37" s="1"/>
  <c r="U95" i="37" s="1"/>
  <c r="X94" i="37"/>
  <c r="Q94" i="37"/>
  <c r="S94" i="37"/>
  <c r="U94" i="37" s="1"/>
  <c r="X93" i="37"/>
  <c r="Q93" i="37"/>
  <c r="S93" i="37" s="1"/>
  <c r="U93" i="37" s="1"/>
  <c r="X92" i="37"/>
  <c r="Q92" i="37"/>
  <c r="S92" i="37" s="1"/>
  <c r="U92" i="37" s="1"/>
  <c r="X91" i="37"/>
  <c r="Q91" i="37"/>
  <c r="S91" i="37" s="1"/>
  <c r="U91" i="37" s="1"/>
  <c r="X90" i="37"/>
  <c r="Q90" i="37"/>
  <c r="S90" i="37" s="1"/>
  <c r="U90" i="37" s="1"/>
  <c r="X89" i="37"/>
  <c r="Q89" i="37"/>
  <c r="S89" i="37"/>
  <c r="U89" i="37" s="1"/>
  <c r="X88" i="37"/>
  <c r="Q88" i="37"/>
  <c r="S88" i="37"/>
  <c r="U88" i="37" s="1"/>
  <c r="X87" i="37"/>
  <c r="Q87" i="37"/>
  <c r="S87" i="37"/>
  <c r="U87" i="37" s="1"/>
  <c r="X86" i="37"/>
  <c r="Q86" i="37"/>
  <c r="S86" i="37"/>
  <c r="U86" i="37" s="1"/>
  <c r="X85" i="37"/>
  <c r="Q85" i="37"/>
  <c r="S85" i="37"/>
  <c r="U85" i="37" s="1"/>
  <c r="X84" i="37"/>
  <c r="Q84" i="37"/>
  <c r="S84" i="37" s="1"/>
  <c r="U84" i="37" s="1"/>
  <c r="X83" i="37"/>
  <c r="Q83" i="37"/>
  <c r="S83" i="37" s="1"/>
  <c r="U83" i="37" s="1"/>
  <c r="X82" i="37"/>
  <c r="Q82" i="37"/>
  <c r="S82" i="37"/>
  <c r="U82" i="37" s="1"/>
  <c r="X81" i="37"/>
  <c r="Q81" i="37"/>
  <c r="S81" i="37"/>
  <c r="U81" i="37" s="1"/>
  <c r="X80" i="37"/>
  <c r="Q80" i="37"/>
  <c r="S80" i="37"/>
  <c r="U80" i="37" s="1"/>
  <c r="X79" i="37"/>
  <c r="Q79" i="37"/>
  <c r="S79" i="37"/>
  <c r="U79" i="37" s="1"/>
  <c r="X78" i="37"/>
  <c r="Q78" i="37"/>
  <c r="S78" i="37" s="1"/>
  <c r="U78" i="37" s="1"/>
  <c r="X77" i="37"/>
  <c r="Q77" i="37"/>
  <c r="S77" i="37" s="1"/>
  <c r="U77" i="37" s="1"/>
  <c r="X76" i="37"/>
  <c r="Q76" i="37"/>
  <c r="S76" i="37" s="1"/>
  <c r="U76" i="37" s="1"/>
  <c r="X75" i="37"/>
  <c r="Q75" i="37"/>
  <c r="S75" i="37" s="1"/>
  <c r="U75" i="37" s="1"/>
  <c r="X74" i="37"/>
  <c r="Q74" i="37"/>
  <c r="S74" i="37"/>
  <c r="U74" i="37" s="1"/>
  <c r="X73" i="37"/>
  <c r="Q73" i="37"/>
  <c r="S73" i="37"/>
  <c r="U73" i="37" s="1"/>
  <c r="X72" i="37"/>
  <c r="Q72" i="37"/>
  <c r="S72" i="37" s="1"/>
  <c r="U72" i="37" s="1"/>
  <c r="X71" i="37"/>
  <c r="Q71" i="37"/>
  <c r="S71" i="37"/>
  <c r="U71" i="37" s="1"/>
  <c r="X70" i="37"/>
  <c r="Q70" i="37"/>
  <c r="S70" i="37" s="1"/>
  <c r="U70" i="37" s="1"/>
  <c r="X69" i="37"/>
  <c r="Q69" i="37"/>
  <c r="S69" i="37"/>
  <c r="U69" i="37" s="1"/>
  <c r="X68" i="37"/>
  <c r="Q68" i="37"/>
  <c r="S68" i="37" s="1"/>
  <c r="U68" i="37" s="1"/>
  <c r="X67" i="37"/>
  <c r="Q67" i="37"/>
  <c r="S67" i="37" s="1"/>
  <c r="U67" i="37" s="1"/>
  <c r="X66" i="37"/>
  <c r="Q66" i="37"/>
  <c r="S66" i="37" s="1"/>
  <c r="U66" i="37" s="1"/>
  <c r="X65" i="37"/>
  <c r="Q65" i="37"/>
  <c r="S65" i="37" s="1"/>
  <c r="U65" i="37" s="1"/>
  <c r="X64" i="37"/>
  <c r="Q64" i="37"/>
  <c r="S64" i="37" s="1"/>
  <c r="U64" i="37" s="1"/>
  <c r="X63" i="37"/>
  <c r="Q63" i="37"/>
  <c r="S63" i="37" s="1"/>
  <c r="U63" i="37" s="1"/>
  <c r="X62" i="37"/>
  <c r="Q62" i="37"/>
  <c r="S62" i="37" s="1"/>
  <c r="U62" i="37" s="1"/>
  <c r="X61" i="37"/>
  <c r="Q61" i="37"/>
  <c r="S61" i="37"/>
  <c r="U61" i="37"/>
  <c r="X60" i="37"/>
  <c r="Q60" i="37"/>
  <c r="S60" i="37" s="1"/>
  <c r="U60" i="37" s="1"/>
  <c r="X59" i="37"/>
  <c r="Q59" i="37"/>
  <c r="S59" i="37"/>
  <c r="U59" i="37" s="1"/>
  <c r="X58" i="37"/>
  <c r="Q58" i="37"/>
  <c r="S58" i="37" s="1"/>
  <c r="U58" i="37" s="1"/>
  <c r="X57" i="37"/>
  <c r="Q57" i="37"/>
  <c r="S57" i="37" s="1"/>
  <c r="U57" i="37" s="1"/>
  <c r="X56" i="37"/>
  <c r="Q56" i="37"/>
  <c r="S56" i="37" s="1"/>
  <c r="U56" i="37" s="1"/>
  <c r="X55" i="37"/>
  <c r="Q55" i="37"/>
  <c r="S55" i="37" s="1"/>
  <c r="U55" i="37" s="1"/>
  <c r="X54" i="37"/>
  <c r="Q54" i="37"/>
  <c r="S54" i="37" s="1"/>
  <c r="U54" i="37" s="1"/>
  <c r="X53" i="37"/>
  <c r="Q53" i="37"/>
  <c r="S53" i="37"/>
  <c r="U53" i="37"/>
  <c r="X52" i="37"/>
  <c r="Q52" i="37"/>
  <c r="S52" i="37" s="1"/>
  <c r="U52" i="37" s="1"/>
  <c r="X51" i="37"/>
  <c r="Q51" i="37"/>
  <c r="S51" i="37"/>
  <c r="U51" i="37" s="1"/>
  <c r="X50" i="37"/>
  <c r="Q50" i="37"/>
  <c r="S50" i="37" s="1"/>
  <c r="U50" i="37" s="1"/>
  <c r="X49" i="37"/>
  <c r="Q49" i="37"/>
  <c r="S49" i="37" s="1"/>
  <c r="U49" i="37"/>
  <c r="X48" i="37"/>
  <c r="Q48" i="37"/>
  <c r="S48" i="37" s="1"/>
  <c r="U48" i="37" s="1"/>
  <c r="X47" i="37"/>
  <c r="Q47" i="37"/>
  <c r="S47" i="37"/>
  <c r="U47" i="37"/>
  <c r="X46" i="37"/>
  <c r="Q46" i="37"/>
  <c r="S46" i="37" s="1"/>
  <c r="U46" i="37" s="1"/>
  <c r="X45" i="37"/>
  <c r="Q45" i="37"/>
  <c r="S45" i="37"/>
  <c r="U45" i="37" s="1"/>
  <c r="X44" i="37"/>
  <c r="Q44" i="37"/>
  <c r="S44" i="37" s="1"/>
  <c r="U44" i="37" s="1"/>
  <c r="X43" i="37"/>
  <c r="Q43" i="37"/>
  <c r="S43" i="37" s="1"/>
  <c r="U43" i="37" s="1"/>
  <c r="X42" i="37"/>
  <c r="Q42" i="37"/>
  <c r="S42" i="37" s="1"/>
  <c r="U42" i="37" s="1"/>
  <c r="X41" i="37"/>
  <c r="Q41" i="37"/>
  <c r="S41" i="37" s="1"/>
  <c r="U41" i="37"/>
  <c r="X40" i="37"/>
  <c r="Q40" i="37"/>
  <c r="S40" i="37" s="1"/>
  <c r="U40" i="37" s="1"/>
  <c r="X39" i="37"/>
  <c r="Q39" i="37"/>
  <c r="S39" i="37"/>
  <c r="U39" i="37" s="1"/>
  <c r="X38" i="37"/>
  <c r="Q38" i="37"/>
  <c r="S38" i="37" s="1"/>
  <c r="U38" i="37" s="1"/>
  <c r="X37" i="37"/>
  <c r="Q37" i="37"/>
  <c r="S37" i="37"/>
  <c r="U37" i="37" s="1"/>
  <c r="X36" i="37"/>
  <c r="Q36" i="37"/>
  <c r="S36" i="37" s="1"/>
  <c r="U36" i="37" s="1"/>
  <c r="X35" i="37"/>
  <c r="Q35" i="37"/>
  <c r="S35" i="37" s="1"/>
  <c r="U35" i="37" s="1"/>
  <c r="X34" i="37"/>
  <c r="Q34" i="37"/>
  <c r="S34" i="37" s="1"/>
  <c r="U34" i="37" s="1"/>
  <c r="X33" i="37"/>
  <c r="Q33" i="37"/>
  <c r="S33" i="37" s="1"/>
  <c r="U33" i="37" s="1"/>
  <c r="X32" i="37"/>
  <c r="Q32" i="37"/>
  <c r="S32" i="37"/>
  <c r="U32" i="37" s="1"/>
  <c r="X31" i="37"/>
  <c r="Q31" i="37"/>
  <c r="S31" i="37" s="1"/>
  <c r="U31" i="37" s="1"/>
  <c r="X30" i="37"/>
  <c r="Q30" i="37"/>
  <c r="S30" i="37" s="1"/>
  <c r="U30" i="37" s="1"/>
  <c r="X29" i="37"/>
  <c r="Q29" i="37"/>
  <c r="S29" i="37" s="1"/>
  <c r="U29" i="37" s="1"/>
  <c r="X28" i="37"/>
  <c r="Q28" i="37"/>
  <c r="S28" i="37" s="1"/>
  <c r="U28" i="37" s="1"/>
  <c r="X27" i="37"/>
  <c r="Q27" i="37"/>
  <c r="S27" i="37"/>
  <c r="U27" i="37" s="1"/>
  <c r="X26" i="37"/>
  <c r="Q26" i="37"/>
  <c r="S26" i="37" s="1"/>
  <c r="U26" i="37" s="1"/>
  <c r="X25" i="37"/>
  <c r="Q25" i="37"/>
  <c r="S25" i="37" s="1"/>
  <c r="U25" i="37" s="1"/>
  <c r="X24" i="37"/>
  <c r="Q24" i="37"/>
  <c r="S24" i="37"/>
  <c r="U24" i="37" s="1"/>
  <c r="X23" i="37"/>
  <c r="Q23" i="37"/>
  <c r="S23" i="37"/>
  <c r="U23" i="37" s="1"/>
  <c r="X22" i="37"/>
  <c r="Q22" i="37"/>
  <c r="S22" i="37" s="1"/>
  <c r="U22" i="37" s="1"/>
  <c r="X21" i="37"/>
  <c r="Q21" i="37"/>
  <c r="S21" i="37"/>
  <c r="U21" i="37" s="1"/>
  <c r="X20" i="37"/>
  <c r="Q20" i="37"/>
  <c r="S20" i="37"/>
  <c r="U20" i="37" s="1"/>
  <c r="X19" i="37"/>
  <c r="Q19" i="37"/>
  <c r="S19" i="37" s="1"/>
  <c r="U19" i="37" s="1"/>
  <c r="X18" i="37"/>
  <c r="Q18" i="37"/>
  <c r="S18" i="37" s="1"/>
  <c r="U18" i="37" s="1"/>
  <c r="X17" i="37"/>
  <c r="Q17" i="37"/>
  <c r="S17" i="37" s="1"/>
  <c r="U17" i="37" s="1"/>
  <c r="X16" i="37"/>
  <c r="Q16" i="37"/>
  <c r="S16" i="37" s="1"/>
  <c r="U16" i="37" s="1"/>
  <c r="X15" i="37"/>
  <c r="Q15" i="37"/>
  <c r="S15" i="37"/>
  <c r="U15" i="37" s="1"/>
  <c r="X14" i="37"/>
  <c r="Q14" i="37"/>
  <c r="S14" i="37"/>
  <c r="U14" i="37"/>
  <c r="X13" i="37"/>
  <c r="Q13" i="37"/>
  <c r="S13" i="37" s="1"/>
  <c r="U13" i="37" s="1"/>
  <c r="X12" i="37"/>
  <c r="Q12" i="37"/>
  <c r="S12" i="37"/>
  <c r="U12" i="37" s="1"/>
  <c r="X11" i="37"/>
  <c r="Q11" i="37"/>
  <c r="S11" i="37"/>
  <c r="U11" i="37" s="1"/>
  <c r="X10" i="37"/>
  <c r="Q10" i="37"/>
  <c r="S10" i="37" s="1"/>
  <c r="U10" i="37" s="1"/>
  <c r="X9" i="37"/>
  <c r="Q9" i="37"/>
  <c r="S9" i="37" s="1"/>
  <c r="U9" i="37" s="1"/>
  <c r="X8" i="37"/>
  <c r="Q8" i="37"/>
  <c r="S8" i="37" s="1"/>
  <c r="U8" i="37" s="1"/>
  <c r="X7" i="37"/>
  <c r="X107" i="37" s="1"/>
  <c r="J206" i="37" s="1"/>
  <c r="Q7" i="37"/>
  <c r="S7" i="37" s="1"/>
  <c r="U7" i="37" s="1"/>
  <c r="X6" i="37"/>
  <c r="Q6" i="37"/>
  <c r="S6" i="37" s="1"/>
  <c r="U6" i="37" s="1"/>
  <c r="X5" i="37"/>
  <c r="Q5" i="37"/>
  <c r="S5" i="37"/>
  <c r="U5" i="37" s="1"/>
  <c r="J5" i="37"/>
  <c r="M5" i="37" s="1"/>
  <c r="K220" i="36"/>
  <c r="K220" i="2"/>
  <c r="T6" i="16"/>
  <c r="Q6" i="16"/>
  <c r="P6" i="16"/>
  <c r="O6" i="16"/>
  <c r="K212" i="36"/>
  <c r="N6" i="16" s="1"/>
  <c r="K209" i="36"/>
  <c r="J204" i="36"/>
  <c r="M204" i="36" s="1"/>
  <c r="J203" i="36"/>
  <c r="M203" i="36" s="1"/>
  <c r="J202" i="36"/>
  <c r="M202" i="36" s="1"/>
  <c r="J201" i="36"/>
  <c r="M201" i="36"/>
  <c r="J200" i="36"/>
  <c r="M200" i="36"/>
  <c r="J199" i="36"/>
  <c r="M199" i="36" s="1"/>
  <c r="J198" i="36"/>
  <c r="M198" i="36" s="1"/>
  <c r="J197" i="36"/>
  <c r="M197" i="36" s="1"/>
  <c r="J196" i="36"/>
  <c r="M196" i="36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/>
  <c r="J188" i="36"/>
  <c r="M188" i="36" s="1"/>
  <c r="J187" i="36"/>
  <c r="M187" i="36" s="1"/>
  <c r="J186" i="36"/>
  <c r="M186" i="36" s="1"/>
  <c r="J185" i="36"/>
  <c r="M185" i="36"/>
  <c r="J184" i="36"/>
  <c r="M184" i="36"/>
  <c r="J183" i="36"/>
  <c r="M183" i="36" s="1"/>
  <c r="J182" i="36"/>
  <c r="M182" i="36" s="1"/>
  <c r="J181" i="36"/>
  <c r="M181" i="36" s="1"/>
  <c r="J180" i="36"/>
  <c r="M180" i="36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/>
  <c r="J172" i="36"/>
  <c r="M172" i="36" s="1"/>
  <c r="J171" i="36"/>
  <c r="M171" i="36" s="1"/>
  <c r="J170" i="36"/>
  <c r="M170" i="36" s="1"/>
  <c r="J169" i="36"/>
  <c r="M169" i="36"/>
  <c r="J168" i="36"/>
  <c r="M168" i="36" s="1"/>
  <c r="J167" i="36"/>
  <c r="M167" i="36" s="1"/>
  <c r="J166" i="36"/>
  <c r="M166" i="36" s="1"/>
  <c r="J165" i="36"/>
  <c r="M165" i="36"/>
  <c r="J164" i="36"/>
  <c r="M164" i="36"/>
  <c r="J163" i="36"/>
  <c r="M163" i="36" s="1"/>
  <c r="J162" i="36"/>
  <c r="M162" i="36" s="1"/>
  <c r="J161" i="36"/>
  <c r="M161" i="36" s="1"/>
  <c r="J160" i="36"/>
  <c r="M160" i="36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/>
  <c r="J152" i="36"/>
  <c r="M152" i="36" s="1"/>
  <c r="J151" i="36"/>
  <c r="M151" i="36" s="1"/>
  <c r="J150" i="36"/>
  <c r="M150" i="36" s="1"/>
  <c r="J149" i="36"/>
  <c r="M149" i="36"/>
  <c r="J148" i="36"/>
  <c r="M148" i="36"/>
  <c r="J147" i="36"/>
  <c r="M147" i="36" s="1"/>
  <c r="J146" i="36"/>
  <c r="M146" i="36" s="1"/>
  <c r="J145" i="36"/>
  <c r="M145" i="36" s="1"/>
  <c r="J144" i="36"/>
  <c r="M144" i="36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/>
  <c r="J136" i="36"/>
  <c r="M136" i="36" s="1"/>
  <c r="J135" i="36"/>
  <c r="J134" i="36"/>
  <c r="M134" i="36" s="1"/>
  <c r="J133" i="36"/>
  <c r="M133" i="36"/>
  <c r="J132" i="36"/>
  <c r="M132" i="36"/>
  <c r="J131" i="36"/>
  <c r="M131" i="36" s="1"/>
  <c r="J130" i="36"/>
  <c r="M130" i="36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/>
  <c r="J123" i="36"/>
  <c r="M123" i="36" s="1"/>
  <c r="J122" i="36"/>
  <c r="M122" i="36"/>
  <c r="J121" i="36"/>
  <c r="M121" i="36"/>
  <c r="J120" i="36"/>
  <c r="M120" i="36" s="1"/>
  <c r="J119" i="36"/>
  <c r="M119" i="36" s="1"/>
  <c r="J118" i="36"/>
  <c r="M118" i="36"/>
  <c r="J117" i="36"/>
  <c r="M117" i="36" s="1"/>
  <c r="J116" i="36"/>
  <c r="M116" i="36" s="1"/>
  <c r="J115" i="36"/>
  <c r="M115" i="36" s="1"/>
  <c r="J114" i="36"/>
  <c r="M114" i="36" s="1"/>
  <c r="J113" i="36"/>
  <c r="M113" i="36"/>
  <c r="J112" i="36"/>
  <c r="M112" i="36"/>
  <c r="J111" i="36"/>
  <c r="M111" i="36" s="1"/>
  <c r="J110" i="36"/>
  <c r="M110" i="36"/>
  <c r="J109" i="36"/>
  <c r="M109" i="36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/>
  <c r="U100" i="36" s="1"/>
  <c r="J100" i="36"/>
  <c r="M100" i="36" s="1"/>
  <c r="X99" i="36"/>
  <c r="Q99" i="36"/>
  <c r="S99" i="36" s="1"/>
  <c r="U99" i="36" s="1"/>
  <c r="J99" i="36"/>
  <c r="X98" i="36"/>
  <c r="Q98" i="36"/>
  <c r="S98" i="36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/>
  <c r="U8" i="36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/>
  <c r="J6" i="36"/>
  <c r="M6" i="36" s="1"/>
  <c r="X5" i="36"/>
  <c r="X107" i="36" s="1"/>
  <c r="J206" i="36" s="1"/>
  <c r="Q5" i="36"/>
  <c r="S5" i="36" s="1"/>
  <c r="U5" i="36" s="1"/>
  <c r="J5" i="36"/>
  <c r="M5" i="36" s="1"/>
  <c r="T5" i="16"/>
  <c r="P5" i="16"/>
  <c r="O5" i="16"/>
  <c r="J6" i="2"/>
  <c r="M6" i="2" s="1"/>
  <c r="J7" i="2"/>
  <c r="J8" i="2"/>
  <c r="J9" i="2"/>
  <c r="J10" i="2"/>
  <c r="M10" i="2" s="1"/>
  <c r="J11" i="2"/>
  <c r="J12" i="2"/>
  <c r="J13" i="2"/>
  <c r="J14" i="2"/>
  <c r="M14" i="2" s="1"/>
  <c r="J15" i="2"/>
  <c r="J16" i="2"/>
  <c r="J17" i="2"/>
  <c r="J18" i="2"/>
  <c r="M18" i="2" s="1"/>
  <c r="J19" i="2"/>
  <c r="J20" i="2"/>
  <c r="J21" i="2"/>
  <c r="J22" i="2"/>
  <c r="J23" i="2"/>
  <c r="J24" i="2"/>
  <c r="J25" i="2"/>
  <c r="J26" i="2"/>
  <c r="M26" i="2" s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M41" i="2" s="1"/>
  <c r="J42" i="2"/>
  <c r="J43" i="2"/>
  <c r="J44" i="2"/>
  <c r="J45" i="2"/>
  <c r="J46" i="2"/>
  <c r="M46" i="2" s="1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M62" i="2" s="1"/>
  <c r="J63" i="2"/>
  <c r="J64" i="2"/>
  <c r="J65" i="2"/>
  <c r="J66" i="2"/>
  <c r="M66" i="2" s="1"/>
  <c r="J67" i="2"/>
  <c r="J68" i="2"/>
  <c r="J69" i="2"/>
  <c r="J70" i="2"/>
  <c r="M70" i="2" s="1"/>
  <c r="J71" i="2"/>
  <c r="J72" i="2"/>
  <c r="J73" i="2"/>
  <c r="M73" i="2" s="1"/>
  <c r="J74" i="2"/>
  <c r="J75" i="2"/>
  <c r="J76" i="2"/>
  <c r="J77" i="2"/>
  <c r="J77" i="16" s="1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M98" i="2" s="1"/>
  <c r="J99" i="2"/>
  <c r="J100" i="2"/>
  <c r="J101" i="2"/>
  <c r="J102" i="2"/>
  <c r="J103" i="2"/>
  <c r="J104" i="2"/>
  <c r="J105" i="2"/>
  <c r="J106" i="2"/>
  <c r="M106" i="2" s="1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5" i="16" s="1"/>
  <c r="J126" i="2"/>
  <c r="M126" i="2" s="1"/>
  <c r="J127" i="2"/>
  <c r="J128" i="2"/>
  <c r="J129" i="2"/>
  <c r="J130" i="2"/>
  <c r="M130" i="2" s="1"/>
  <c r="J131" i="2"/>
  <c r="J132" i="2"/>
  <c r="J133" i="2"/>
  <c r="J134" i="2"/>
  <c r="M134" i="2" s="1"/>
  <c r="J135" i="2"/>
  <c r="J136" i="2"/>
  <c r="J137" i="2"/>
  <c r="J138" i="2"/>
  <c r="J139" i="2"/>
  <c r="J140" i="2"/>
  <c r="J141" i="2"/>
  <c r="J142" i="2"/>
  <c r="M142" i="2" s="1"/>
  <c r="J143" i="2"/>
  <c r="J144" i="2"/>
  <c r="J145" i="2"/>
  <c r="J146" i="2"/>
  <c r="J147" i="2"/>
  <c r="J148" i="2"/>
  <c r="J149" i="2"/>
  <c r="J150" i="2"/>
  <c r="J151" i="2"/>
  <c r="J152" i="2"/>
  <c r="J153" i="2"/>
  <c r="J153" i="16" s="1"/>
  <c r="J154" i="2"/>
  <c r="M154" i="2" s="1"/>
  <c r="J155" i="2"/>
  <c r="J156" i="2"/>
  <c r="J157" i="2"/>
  <c r="J158" i="2"/>
  <c r="J159" i="2"/>
  <c r="J160" i="2"/>
  <c r="J161" i="2"/>
  <c r="J162" i="2"/>
  <c r="M162" i="2" s="1"/>
  <c r="J163" i="2"/>
  <c r="J164" i="2"/>
  <c r="J165" i="2"/>
  <c r="J166" i="2"/>
  <c r="M166" i="2" s="1"/>
  <c r="J167" i="2"/>
  <c r="J168" i="2"/>
  <c r="J169" i="2"/>
  <c r="J170" i="2"/>
  <c r="J171" i="2"/>
  <c r="J172" i="2"/>
  <c r="J173" i="2"/>
  <c r="J174" i="2"/>
  <c r="J175" i="2"/>
  <c r="J176" i="2"/>
  <c r="J177" i="2"/>
  <c r="J178" i="2"/>
  <c r="M178" i="2" s="1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M194" i="2" s="1"/>
  <c r="J195" i="2"/>
  <c r="J196" i="2"/>
  <c r="J197" i="2"/>
  <c r="J198" i="2"/>
  <c r="J199" i="2"/>
  <c r="J200" i="2"/>
  <c r="J201" i="2"/>
  <c r="J202" i="2"/>
  <c r="J203" i="2"/>
  <c r="J204" i="2"/>
  <c r="E204" i="2"/>
  <c r="G204" i="2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E202" i="2"/>
  <c r="G202" i="2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E200" i="2"/>
  <c r="G200" i="2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E199" i="2"/>
  <c r="G199" i="2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E198" i="2"/>
  <c r="G198" i="2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E195" i="2"/>
  <c r="G195" i="2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E193" i="2"/>
  <c r="G193" i="2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E191" i="2"/>
  <c r="G191" i="2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E188" i="2"/>
  <c r="G188" i="2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E187" i="2"/>
  <c r="G187" i="2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E186" i="2"/>
  <c r="G186" i="2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E183" i="2"/>
  <c r="G183" i="2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E180" i="2"/>
  <c r="G180" i="2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E178" i="2"/>
  <c r="G178" i="2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E176" i="2"/>
  <c r="G176" i="2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E175" i="2"/>
  <c r="G175" i="2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E174" i="2"/>
  <c r="G174" i="2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E171" i="2"/>
  <c r="G171" i="2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E170" i="2"/>
  <c r="G170" i="2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E169" i="2"/>
  <c r="G169" i="2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E164" i="2"/>
  <c r="G164" i="2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E162" i="2"/>
  <c r="G162" i="2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E159" i="2"/>
  <c r="G159" i="2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E157" i="2"/>
  <c r="G157" i="2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E156" i="2"/>
  <c r="G156" i="2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E153" i="2"/>
  <c r="G153" i="2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E148" i="2"/>
  <c r="G148" i="2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E146" i="2"/>
  <c r="G146" i="2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E140" i="2"/>
  <c r="G140" i="2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E137" i="2"/>
  <c r="G137" i="2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E132" i="2"/>
  <c r="G132" i="2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E125" i="2"/>
  <c r="G125" i="2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E124" i="2"/>
  <c r="G124" i="2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E121" i="2"/>
  <c r="G121" i="2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E116" i="2"/>
  <c r="G116" i="2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E114" i="2"/>
  <c r="G114" i="2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E109" i="2"/>
  <c r="G109" i="2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E108" i="2"/>
  <c r="G108" i="2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E105" i="2"/>
  <c r="G105" i="2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E104" i="2"/>
  <c r="G104" i="2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E100" i="2"/>
  <c r="G100" i="2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E97" i="2"/>
  <c r="G97" i="2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E96" i="2"/>
  <c r="G96" i="2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E95" i="2"/>
  <c r="G95" i="2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E92" i="2"/>
  <c r="G92" i="2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E91" i="2"/>
  <c r="G91" i="2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E90" i="2"/>
  <c r="G90" i="2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E89" i="2"/>
  <c r="G89" i="2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E88" i="2"/>
  <c r="G88" i="2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E87" i="2"/>
  <c r="G87" i="2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4" i="2"/>
  <c r="G84" i="2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E83" i="2"/>
  <c r="G83" i="2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E81" i="2"/>
  <c r="G81" i="2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E79" i="2"/>
  <c r="G79" i="2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E78" i="2"/>
  <c r="G78" i="2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E74" i="2"/>
  <c r="G74" i="2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3" i="2"/>
  <c r="G73" i="2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E72" i="2"/>
  <c r="G72" i="2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E68" i="2"/>
  <c r="G68" i="2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E65" i="2"/>
  <c r="G65" i="2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E61" i="2"/>
  <c r="G61" i="2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E59" i="2"/>
  <c r="G59" i="2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E56" i="2"/>
  <c r="G56" i="2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E55" i="2"/>
  <c r="G55" i="2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E54" i="2"/>
  <c r="G54" i="2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E53" i="2"/>
  <c r="G53" i="2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E52" i="2"/>
  <c r="G52" i="2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E51" i="2"/>
  <c r="G51" i="2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E50" i="2"/>
  <c r="G50" i="2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E49" i="2"/>
  <c r="G49" i="2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E48" i="2"/>
  <c r="G48" i="2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E47" i="2"/>
  <c r="G47" i="2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E46" i="2"/>
  <c r="G46" i="2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E45" i="2"/>
  <c r="G45" i="2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E44" i="2"/>
  <c r="G44" i="2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E43" i="2"/>
  <c r="G43" i="2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E42" i="2"/>
  <c r="G42" i="2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E41" i="2"/>
  <c r="G41" i="2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E39" i="2"/>
  <c r="G39" i="2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E38" i="2"/>
  <c r="G38" i="2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E37" i="2"/>
  <c r="G37" i="2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E36" i="2"/>
  <c r="G36" i="2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E35" i="2"/>
  <c r="G35" i="2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E34" i="2"/>
  <c r="G34" i="2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E33" i="2"/>
  <c r="G33" i="2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E32" i="2"/>
  <c r="G32" i="2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E31" i="2"/>
  <c r="G31" i="2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E30" i="2"/>
  <c r="G30" i="2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E28" i="2"/>
  <c r="G28" i="2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E27" i="2"/>
  <c r="G27" i="2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E26" i="2"/>
  <c r="G26" i="2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E25" i="2"/>
  <c r="G25" i="2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E24" i="2"/>
  <c r="G24" i="2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5" i="16" s="1"/>
  <c r="E5" i="16" s="1"/>
  <c r="M179" i="2"/>
  <c r="M139" i="2"/>
  <c r="M115" i="2"/>
  <c r="M83" i="2"/>
  <c r="M51" i="2"/>
  <c r="M11" i="2"/>
  <c r="M161" i="2"/>
  <c r="M121" i="2"/>
  <c r="M97" i="2"/>
  <c r="M89" i="2"/>
  <c r="M81" i="2"/>
  <c r="M65" i="2"/>
  <c r="M57" i="2"/>
  <c r="M49" i="2"/>
  <c r="M25" i="2"/>
  <c r="M17" i="2"/>
  <c r="M203" i="2"/>
  <c r="M155" i="2"/>
  <c r="M99" i="2"/>
  <c r="M19" i="2"/>
  <c r="M82" i="2"/>
  <c r="M200" i="2"/>
  <c r="M192" i="2"/>
  <c r="M184" i="2"/>
  <c r="M168" i="2"/>
  <c r="M144" i="2"/>
  <c r="M120" i="2"/>
  <c r="M96" i="2"/>
  <c r="M88" i="2"/>
  <c r="M80" i="2"/>
  <c r="M64" i="2"/>
  <c r="M56" i="2"/>
  <c r="M48" i="2"/>
  <c r="M40" i="2"/>
  <c r="M24" i="2"/>
  <c r="M16" i="2"/>
  <c r="M195" i="2"/>
  <c r="M163" i="2"/>
  <c r="M131" i="2"/>
  <c r="M107" i="2"/>
  <c r="M91" i="2"/>
  <c r="M75" i="2"/>
  <c r="M67" i="2"/>
  <c r="M43" i="2"/>
  <c r="M35" i="2"/>
  <c r="M27" i="2"/>
  <c r="M199" i="2"/>
  <c r="M191" i="2"/>
  <c r="M183" i="2"/>
  <c r="M175" i="2"/>
  <c r="M167" i="2"/>
  <c r="M143" i="2"/>
  <c r="M103" i="2"/>
  <c r="M95" i="2"/>
  <c r="M79" i="2"/>
  <c r="M71" i="2"/>
  <c r="M63" i="2"/>
  <c r="M55" i="2"/>
  <c r="M47" i="2"/>
  <c r="M39" i="2"/>
  <c r="M31" i="2"/>
  <c r="M23" i="2"/>
  <c r="M15" i="2"/>
  <c r="M7" i="2"/>
  <c r="M146" i="2"/>
  <c r="M182" i="2"/>
  <c r="M150" i="2"/>
  <c r="M118" i="2"/>
  <c r="M86" i="2"/>
  <c r="M54" i="2"/>
  <c r="M22" i="2"/>
  <c r="M147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187" i="2"/>
  <c r="M171" i="2"/>
  <c r="M123" i="2"/>
  <c r="M59" i="2"/>
  <c r="M34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201" i="2"/>
  <c r="M193" i="2"/>
  <c r="M185" i="2"/>
  <c r="M177" i="2"/>
  <c r="M169" i="2"/>
  <c r="M153" i="2"/>
  <c r="M145" i="2"/>
  <c r="M137" i="2"/>
  <c r="M129" i="2"/>
  <c r="M113" i="2"/>
  <c r="M105" i="2"/>
  <c r="M33" i="2"/>
  <c r="M9" i="2"/>
  <c r="M176" i="2"/>
  <c r="M160" i="2"/>
  <c r="M152" i="2"/>
  <c r="M136" i="2"/>
  <c r="M128" i="2"/>
  <c r="M112" i="2"/>
  <c r="M104" i="2"/>
  <c r="M72" i="2"/>
  <c r="M32" i="2"/>
  <c r="M8" i="2"/>
  <c r="M159" i="2"/>
  <c r="M151" i="2"/>
  <c r="M135" i="2"/>
  <c r="M127" i="2"/>
  <c r="M119" i="2"/>
  <c r="M111" i="2"/>
  <c r="M87" i="2"/>
  <c r="E206" i="16"/>
  <c r="G206" i="16" s="1"/>
  <c r="E208" i="16"/>
  <c r="G208" i="16" s="1"/>
  <c r="E212" i="16"/>
  <c r="G212" i="16" s="1"/>
  <c r="E214" i="16"/>
  <c r="G214" i="16"/>
  <c r="E216" i="16"/>
  <c r="G216" i="16" s="1"/>
  <c r="E219" i="16"/>
  <c r="G219" i="16" s="1"/>
  <c r="E221" i="16"/>
  <c r="G221" i="16"/>
  <c r="E220" i="16"/>
  <c r="G220" i="16"/>
  <c r="E215" i="16"/>
  <c r="G215" i="16" s="1"/>
  <c r="E207" i="16"/>
  <c r="G207" i="16" s="1"/>
  <c r="E210" i="16"/>
  <c r="G210" i="16" s="1"/>
  <c r="E218" i="16"/>
  <c r="E213" i="16"/>
  <c r="G213" i="16" s="1"/>
  <c r="E205" i="16"/>
  <c r="G205" i="16" s="1"/>
  <c r="E211" i="16"/>
  <c r="K209" i="2"/>
  <c r="R5" i="16" s="1"/>
  <c r="Z105" i="2"/>
  <c r="K212" i="2"/>
  <c r="N5" i="16" s="1"/>
  <c r="X6" i="2"/>
  <c r="X7" i="2"/>
  <c r="X8" i="2"/>
  <c r="X9" i="2"/>
  <c r="X10" i="2"/>
  <c r="X107" i="2" s="1"/>
  <c r="J206" i="2" s="1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1" i="2"/>
  <c r="Q5" i="16" s="1"/>
  <c r="Q104" i="2"/>
  <c r="S104" i="2" s="1"/>
  <c r="U104" i="2" s="1"/>
  <c r="Q103" i="2"/>
  <c r="S103" i="2" s="1"/>
  <c r="U103" i="2" s="1"/>
  <c r="Q102" i="2"/>
  <c r="S102" i="2" s="1"/>
  <c r="U102" i="2" s="1"/>
  <c r="Q101" i="2"/>
  <c r="S101" i="2" s="1"/>
  <c r="U101" i="2" s="1"/>
  <c r="Q100" i="2"/>
  <c r="S100" i="2"/>
  <c r="U100" i="2"/>
  <c r="Q99" i="2"/>
  <c r="S99" i="2" s="1"/>
  <c r="U99" i="2" s="1"/>
  <c r="Q98" i="2"/>
  <c r="S98" i="2" s="1"/>
  <c r="U98" i="2" s="1"/>
  <c r="Q97" i="2"/>
  <c r="S97" i="2" s="1"/>
  <c r="U97" i="2" s="1"/>
  <c r="Q96" i="2"/>
  <c r="S96" i="2"/>
  <c r="U96" i="2" s="1"/>
  <c r="Q95" i="2"/>
  <c r="S95" i="2" s="1"/>
  <c r="U95" i="2" s="1"/>
  <c r="Q94" i="2"/>
  <c r="S94" i="2" s="1"/>
  <c r="U94" i="2" s="1"/>
  <c r="Q93" i="2"/>
  <c r="S93" i="2" s="1"/>
  <c r="U93" i="2" s="1"/>
  <c r="Q92" i="2"/>
  <c r="S92" i="2" s="1"/>
  <c r="U92" i="2" s="1"/>
  <c r="Q91" i="2"/>
  <c r="S91" i="2" s="1"/>
  <c r="U91" i="2" s="1"/>
  <c r="Q90" i="2"/>
  <c r="S90" i="2" s="1"/>
  <c r="U90" i="2" s="1"/>
  <c r="Q89" i="2"/>
  <c r="S89" i="2" s="1"/>
  <c r="U89" i="2" s="1"/>
  <c r="Q88" i="2"/>
  <c r="S88" i="2" s="1"/>
  <c r="U88" i="2" s="1"/>
  <c r="Q87" i="2"/>
  <c r="S87" i="2"/>
  <c r="U87" i="2" s="1"/>
  <c r="Q86" i="2"/>
  <c r="S86" i="2" s="1"/>
  <c r="U86" i="2" s="1"/>
  <c r="Q85" i="2"/>
  <c r="S85" i="2" s="1"/>
  <c r="U85" i="2" s="1"/>
  <c r="Q84" i="2"/>
  <c r="S84" i="2"/>
  <c r="U84" i="2" s="1"/>
  <c r="Q83" i="2"/>
  <c r="S83" i="2" s="1"/>
  <c r="U83" i="2" s="1"/>
  <c r="Q82" i="2"/>
  <c r="S82" i="2" s="1"/>
  <c r="U82" i="2" s="1"/>
  <c r="Q81" i="2"/>
  <c r="S81" i="2" s="1"/>
  <c r="U81" i="2" s="1"/>
  <c r="Q80" i="2"/>
  <c r="S80" i="2" s="1"/>
  <c r="U80" i="2" s="1"/>
  <c r="Q79" i="2"/>
  <c r="S79" i="2"/>
  <c r="U79" i="2" s="1"/>
  <c r="Q78" i="2"/>
  <c r="S78" i="2" s="1"/>
  <c r="U78" i="2" s="1"/>
  <c r="Q77" i="2"/>
  <c r="S77" i="2" s="1"/>
  <c r="U77" i="2" s="1"/>
  <c r="Q76" i="2"/>
  <c r="S76" i="2"/>
  <c r="U76" i="2" s="1"/>
  <c r="Q75" i="2"/>
  <c r="S75" i="2" s="1"/>
  <c r="U75" i="2" s="1"/>
  <c r="Q74" i="2"/>
  <c r="S74" i="2" s="1"/>
  <c r="U74" i="2" s="1"/>
  <c r="Q73" i="2"/>
  <c r="S73" i="2" s="1"/>
  <c r="U73" i="2" s="1"/>
  <c r="Q72" i="2"/>
  <c r="S72" i="2" s="1"/>
  <c r="U72" i="2" s="1"/>
  <c r="Q71" i="2"/>
  <c r="S71" i="2"/>
  <c r="U71" i="2"/>
  <c r="Q70" i="2"/>
  <c r="S70" i="2" s="1"/>
  <c r="U70" i="2" s="1"/>
  <c r="Q69" i="2"/>
  <c r="S69" i="2" s="1"/>
  <c r="U69" i="2" s="1"/>
  <c r="Q68" i="2"/>
  <c r="S68" i="2" s="1"/>
  <c r="U68" i="2" s="1"/>
  <c r="Q67" i="2"/>
  <c r="S67" i="2" s="1"/>
  <c r="U67" i="2" s="1"/>
  <c r="Q66" i="2"/>
  <c r="S66" i="2" s="1"/>
  <c r="U66" i="2" s="1"/>
  <c r="Q65" i="2"/>
  <c r="S65" i="2"/>
  <c r="U65" i="2" s="1"/>
  <c r="Q64" i="2"/>
  <c r="S64" i="2" s="1"/>
  <c r="U64" i="2" s="1"/>
  <c r="Q63" i="2"/>
  <c r="S63" i="2" s="1"/>
  <c r="U63" i="2" s="1"/>
  <c r="Q62" i="2"/>
  <c r="S62" i="2" s="1"/>
  <c r="U62" i="2" s="1"/>
  <c r="Q61" i="2"/>
  <c r="S61" i="2" s="1"/>
  <c r="U61" i="2" s="1"/>
  <c r="Q60" i="2"/>
  <c r="S60" i="2" s="1"/>
  <c r="U60" i="2" s="1"/>
  <c r="Q59" i="2"/>
  <c r="S59" i="2" s="1"/>
  <c r="U59" i="2" s="1"/>
  <c r="Q58" i="2"/>
  <c r="S58" i="2" s="1"/>
  <c r="U58" i="2" s="1"/>
  <c r="Q57" i="2"/>
  <c r="S57" i="2" s="1"/>
  <c r="U57" i="2" s="1"/>
  <c r="Q56" i="2"/>
  <c r="S56" i="2" s="1"/>
  <c r="U56" i="2" s="1"/>
  <c r="Q55" i="2"/>
  <c r="S55" i="2" s="1"/>
  <c r="U55" i="2" s="1"/>
  <c r="Q54" i="2"/>
  <c r="S54" i="2"/>
  <c r="U54" i="2" s="1"/>
  <c r="Q53" i="2"/>
  <c r="S53" i="2" s="1"/>
  <c r="U53" i="2" s="1"/>
  <c r="Q52" i="2"/>
  <c r="S52" i="2" s="1"/>
  <c r="U52" i="2" s="1"/>
  <c r="Q51" i="2"/>
  <c r="S51" i="2" s="1"/>
  <c r="U51" i="2" s="1"/>
  <c r="Q50" i="2"/>
  <c r="S50" i="2" s="1"/>
  <c r="U50" i="2" s="1"/>
  <c r="Q49" i="2"/>
  <c r="S49" i="2"/>
  <c r="U49" i="2" s="1"/>
  <c r="Q48" i="2"/>
  <c r="S48" i="2" s="1"/>
  <c r="U48" i="2" s="1"/>
  <c r="Q47" i="2"/>
  <c r="S47" i="2" s="1"/>
  <c r="U47" i="2" s="1"/>
  <c r="Q46" i="2"/>
  <c r="S46" i="2"/>
  <c r="U46" i="2" s="1"/>
  <c r="Q45" i="2"/>
  <c r="S45" i="2" s="1"/>
  <c r="U45" i="2" s="1"/>
  <c r="Q44" i="2"/>
  <c r="S44" i="2" s="1"/>
  <c r="U44" i="2" s="1"/>
  <c r="Q43" i="2"/>
  <c r="S43" i="2" s="1"/>
  <c r="U43" i="2" s="1"/>
  <c r="Q42" i="2"/>
  <c r="S42" i="2"/>
  <c r="U42" i="2"/>
  <c r="Q41" i="2"/>
  <c r="S41" i="2" s="1"/>
  <c r="U41" i="2" s="1"/>
  <c r="Q40" i="2"/>
  <c r="S40" i="2" s="1"/>
  <c r="U40" i="2" s="1"/>
  <c r="Q39" i="2"/>
  <c r="S39" i="2" s="1"/>
  <c r="U39" i="2" s="1"/>
  <c r="Q38" i="2"/>
  <c r="S38" i="2"/>
  <c r="U38" i="2" s="1"/>
  <c r="Q37" i="2"/>
  <c r="S37" i="2" s="1"/>
  <c r="U37" i="2" s="1"/>
  <c r="Q36" i="2"/>
  <c r="S36" i="2" s="1"/>
  <c r="U36" i="2" s="1"/>
  <c r="Q35" i="2"/>
  <c r="S35" i="2" s="1"/>
  <c r="U35" i="2" s="1"/>
  <c r="Q34" i="2"/>
  <c r="S34" i="2" s="1"/>
  <c r="U34" i="2" s="1"/>
  <c r="Q33" i="2"/>
  <c r="S33" i="2"/>
  <c r="U33" i="2" s="1"/>
  <c r="Q32" i="2"/>
  <c r="S32" i="2" s="1"/>
  <c r="U32" i="2" s="1"/>
  <c r="Q31" i="2"/>
  <c r="S31" i="2"/>
  <c r="U31" i="2"/>
  <c r="Q30" i="2"/>
  <c r="S30" i="2" s="1"/>
  <c r="U30" i="2" s="1"/>
  <c r="Q29" i="2"/>
  <c r="S29" i="2" s="1"/>
  <c r="U29" i="2" s="1"/>
  <c r="Q28" i="2"/>
  <c r="S28" i="2" s="1"/>
  <c r="U28" i="2" s="1"/>
  <c r="Q27" i="2"/>
  <c r="S27" i="2" s="1"/>
  <c r="U27" i="2" s="1"/>
  <c r="Q26" i="2"/>
  <c r="S26" i="2" s="1"/>
  <c r="U26" i="2" s="1"/>
  <c r="Q25" i="2"/>
  <c r="S25" i="2" s="1"/>
  <c r="U25" i="2" s="1"/>
  <c r="Q24" i="2"/>
  <c r="S24" i="2" s="1"/>
  <c r="U24" i="2" s="1"/>
  <c r="Q23" i="2"/>
  <c r="S23" i="2" s="1"/>
  <c r="U23" i="2" s="1"/>
  <c r="Q22" i="2"/>
  <c r="S22" i="2" s="1"/>
  <c r="U22" i="2" s="1"/>
  <c r="Q21" i="2"/>
  <c r="S21" i="2" s="1"/>
  <c r="U21" i="2" s="1"/>
  <c r="Q20" i="2"/>
  <c r="S20" i="2" s="1"/>
  <c r="U20" i="2" s="1"/>
  <c r="Q19" i="2"/>
  <c r="S19" i="2" s="1"/>
  <c r="U19" i="2" s="1"/>
  <c r="Q18" i="2"/>
  <c r="S18" i="2" s="1"/>
  <c r="U18" i="2" s="1"/>
  <c r="Q17" i="2"/>
  <c r="S17" i="2"/>
  <c r="U17" i="2" s="1"/>
  <c r="Q16" i="2"/>
  <c r="S16" i="2" s="1"/>
  <c r="U16" i="2" s="1"/>
  <c r="Q15" i="2"/>
  <c r="S15" i="2" s="1"/>
  <c r="U15" i="2" s="1"/>
  <c r="Q14" i="2"/>
  <c r="S14" i="2"/>
  <c r="U14" i="2" s="1"/>
  <c r="Q13" i="2"/>
  <c r="S13" i="2" s="1"/>
  <c r="U13" i="2" s="1"/>
  <c r="Q12" i="2"/>
  <c r="S12" i="2"/>
  <c r="U12" i="2" s="1"/>
  <c r="Q11" i="2"/>
  <c r="S11" i="2" s="1"/>
  <c r="U11" i="2" s="1"/>
  <c r="Q10" i="2"/>
  <c r="S10" i="2" s="1"/>
  <c r="U10" i="2" s="1"/>
  <c r="Q9" i="2"/>
  <c r="S9" i="2" s="1"/>
  <c r="U9" i="2" s="1"/>
  <c r="Q8" i="2"/>
  <c r="S8" i="2" s="1"/>
  <c r="U8" i="2" s="1"/>
  <c r="Q7" i="2"/>
  <c r="S7" i="2" s="1"/>
  <c r="U7" i="2" s="1"/>
  <c r="Q6" i="2"/>
  <c r="S6" i="2"/>
  <c r="U6" i="2" s="1"/>
  <c r="Q5" i="2"/>
  <c r="S5" i="2" s="1"/>
  <c r="U5" i="2" s="1"/>
  <c r="J5" i="2"/>
  <c r="M5" i="2" s="1"/>
  <c r="E113" i="2"/>
  <c r="G113" i="2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E182" i="2"/>
  <c r="G182" i="2" s="1"/>
  <c r="C182" i="36" s="1"/>
  <c r="E57" i="2"/>
  <c r="G57" i="2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E64" i="2"/>
  <c r="G64" i="2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E66" i="2"/>
  <c r="G66" i="2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E102" i="2"/>
  <c r="G102" i="2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E107" i="2"/>
  <c r="G107" i="2" s="1"/>
  <c r="C107" i="36" s="1"/>
  <c r="E118" i="2"/>
  <c r="G118" i="2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E155" i="2"/>
  <c r="G155" i="2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E163" i="2"/>
  <c r="G163" i="2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E23" i="2"/>
  <c r="G23" i="2" s="1"/>
  <c r="C23" i="36" s="1"/>
  <c r="E147" i="2"/>
  <c r="G147" i="2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E166" i="2"/>
  <c r="G166" i="2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E62" i="2"/>
  <c r="G62" i="2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E94" i="2"/>
  <c r="G94" i="2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E122" i="2"/>
  <c r="G122" i="2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E130" i="2"/>
  <c r="G130" i="2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E133" i="2"/>
  <c r="G133" i="2" s="1"/>
  <c r="C133" i="36" s="1"/>
  <c r="E201" i="2"/>
  <c r="G201" i="2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E71" i="2"/>
  <c r="G71" i="2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E80" i="2"/>
  <c r="G80" i="2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E99" i="2"/>
  <c r="G99" i="2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E154" i="2"/>
  <c r="G154" i="2" s="1"/>
  <c r="C154" i="36" s="1"/>
  <c r="E196" i="2"/>
  <c r="G196" i="2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E5" i="2"/>
  <c r="G5" i="2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110" i="2"/>
  <c r="G110" i="2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E181" i="2"/>
  <c r="G181" i="2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E70" i="2"/>
  <c r="G70" i="2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E82" i="2"/>
  <c r="G82" i="2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E136" i="2"/>
  <c r="G136" i="2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E144" i="2"/>
  <c r="G144" i="2" s="1"/>
  <c r="C144" i="36" s="1"/>
  <c r="E185" i="2"/>
  <c r="G185" i="2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E189" i="2"/>
  <c r="G189" i="2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E145" i="2"/>
  <c r="G145" i="2" s="1"/>
  <c r="C145" i="36" s="1"/>
  <c r="E152" i="2"/>
  <c r="G152" i="2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E190" i="2"/>
  <c r="G190" i="2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E197" i="2"/>
  <c r="G197" i="2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E60" i="2"/>
  <c r="G60" i="2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E98" i="2"/>
  <c r="G98" i="2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E115" i="2"/>
  <c r="G115" i="2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E119" i="2"/>
  <c r="G119" i="2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E160" i="2"/>
  <c r="G160" i="2" s="1"/>
  <c r="C160" i="36" s="1"/>
  <c r="E58" i="2"/>
  <c r="G58" i="2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E67" i="2"/>
  <c r="G67" i="2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E112" i="2"/>
  <c r="G112" i="2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E123" i="2"/>
  <c r="G123" i="2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E127" i="2"/>
  <c r="G127" i="2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E134" i="2"/>
  <c r="G134" i="2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E138" i="2"/>
  <c r="G138" i="2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E142" i="2"/>
  <c r="G142" i="2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E168" i="2"/>
  <c r="G168" i="2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E179" i="2"/>
  <c r="G179" i="2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E117" i="2"/>
  <c r="G117" i="2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E158" i="2"/>
  <c r="G158" i="2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E151" i="2"/>
  <c r="G151" i="2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E111" i="2"/>
  <c r="G111" i="2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E126" i="2"/>
  <c r="G126" i="2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E194" i="2"/>
  <c r="G194" i="2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E40" i="2"/>
  <c r="G40" i="2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E29" i="2"/>
  <c r="G29" i="2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E75" i="2"/>
  <c r="G75" i="2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E86" i="2"/>
  <c r="G86" i="2" s="1"/>
  <c r="C86" i="36" s="1"/>
  <c r="E120" i="2"/>
  <c r="G120" i="2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E131" i="2"/>
  <c r="G131" i="2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E161" i="2"/>
  <c r="G161" i="2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E63" i="2"/>
  <c r="G63" i="2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E103" i="2"/>
  <c r="G103" i="2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E106" i="2"/>
  <c r="G106" i="2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E128" i="2"/>
  <c r="G128" i="2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E135" i="2"/>
  <c r="G135" i="2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E139" i="2"/>
  <c r="G139" i="2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E143" i="2"/>
  <c r="G143" i="2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E150" i="2"/>
  <c r="G150" i="2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E184" i="2"/>
  <c r="G184" i="2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E192" i="2"/>
  <c r="G192" i="2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E203" i="2"/>
  <c r="G203" i="2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E165" i="2"/>
  <c r="G165" i="2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E149" i="2"/>
  <c r="G149" i="2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E85" i="2"/>
  <c r="G85" i="2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E76" i="2"/>
  <c r="G76" i="2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E101" i="2"/>
  <c r="G101" i="2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E77" i="2"/>
  <c r="G77" i="2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E69" i="2"/>
  <c r="G69" i="2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E141" i="2"/>
  <c r="G141" i="2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E129" i="2"/>
  <c r="G129" i="2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E172" i="2"/>
  <c r="G172" i="2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E167" i="2"/>
  <c r="G167" i="2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E173" i="2"/>
  <c r="G173" i="2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E93" i="2"/>
  <c r="G93" i="2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E177" i="2"/>
  <c r="G177" i="2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E60" i="16"/>
  <c r="E89" i="16"/>
  <c r="E87" i="4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E124" i="16"/>
  <c r="E172" i="16"/>
  <c r="G172" i="16" s="1"/>
  <c r="E69" i="16"/>
  <c r="E68" i="16"/>
  <c r="E85" i="16"/>
  <c r="E180" i="16"/>
  <c r="E86" i="36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E117" i="16"/>
  <c r="E107" i="36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E52" i="16"/>
  <c r="G52" i="16" s="1"/>
  <c r="E187" i="16"/>
  <c r="E173" i="16"/>
  <c r="E164" i="16"/>
  <c r="G164" i="16" s="1"/>
  <c r="E38" i="16"/>
  <c r="E73" i="16"/>
  <c r="E53" i="16"/>
  <c r="E45" i="16"/>
  <c r="E77" i="16"/>
  <c r="E76" i="16"/>
  <c r="G76" i="16" s="1"/>
  <c r="E149" i="16"/>
  <c r="E92" i="16"/>
  <c r="G92" i="16" s="1"/>
  <c r="E197" i="16"/>
  <c r="E204" i="16"/>
  <c r="E182" i="36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E157" i="16"/>
  <c r="E137" i="16"/>
  <c r="E148" i="16"/>
  <c r="G148" i="16" s="1"/>
  <c r="E109" i="16"/>
  <c r="E165" i="16"/>
  <c r="E91" i="16"/>
  <c r="E189" i="16"/>
  <c r="E196" i="16"/>
  <c r="G196" i="16" s="1"/>
  <c r="E153" i="16"/>
  <c r="E188" i="16"/>
  <c r="G188" i="16" s="1"/>
  <c r="E100" i="16"/>
  <c r="G100" i="16" s="1"/>
  <c r="E44" i="16"/>
  <c r="G44" i="16" s="1"/>
  <c r="E23" i="36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E125" i="16"/>
  <c r="E101" i="16"/>
  <c r="E132" i="16"/>
  <c r="G132" i="16" s="1"/>
  <c r="E108" i="16"/>
  <c r="G108" i="16" s="1"/>
  <c r="E37" i="16"/>
  <c r="E154" i="36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E133" i="16"/>
  <c r="E133" i="36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E195" i="16"/>
  <c r="E84" i="16"/>
  <c r="G84" i="16" s="1"/>
  <c r="E36" i="16"/>
  <c r="G36" i="16" s="1"/>
  <c r="E29" i="16"/>
  <c r="E160" i="36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E193" i="16"/>
  <c r="E116" i="16"/>
  <c r="G116" i="16" s="1"/>
  <c r="E93" i="16"/>
  <c r="E141" i="16"/>
  <c r="E28" i="16"/>
  <c r="G28" i="16" s="1"/>
  <c r="E156" i="16"/>
  <c r="G156" i="16" s="1"/>
  <c r="E61" i="16"/>
  <c r="E105" i="16"/>
  <c r="E145" i="36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E144" i="36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E181" i="16"/>
  <c r="E74" i="4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E140" i="16"/>
  <c r="G140" i="16" s="1"/>
  <c r="K219" i="37" l="1"/>
  <c r="R7" i="16"/>
  <c r="C102" i="4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J69" i="16"/>
  <c r="J57" i="16"/>
  <c r="E103" i="4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1"/>
  <c r="Q36" i="16"/>
  <c r="F227" i="16" s="1"/>
  <c r="X107" i="39"/>
  <c r="J206" i="39" s="1"/>
  <c r="J206" i="16" s="1"/>
  <c r="J105" i="16"/>
  <c r="J97" i="16"/>
  <c r="J89" i="16"/>
  <c r="J81" i="16"/>
  <c r="T36" i="16"/>
  <c r="J230" i="16" s="1"/>
  <c r="O36" i="16"/>
  <c r="J226" i="16" s="1"/>
  <c r="X107" i="53"/>
  <c r="J206" i="53" s="1"/>
  <c r="K207" i="51"/>
  <c r="K219" i="52"/>
  <c r="R22" i="16"/>
  <c r="M35" i="16"/>
  <c r="S35" i="16" s="1"/>
  <c r="U35" i="16" s="1"/>
  <c r="K213" i="65"/>
  <c r="K216" i="65" s="1"/>
  <c r="X107" i="52"/>
  <c r="J206" i="52" s="1"/>
  <c r="K207" i="52" s="1"/>
  <c r="M22" i="16" s="1"/>
  <c r="S22" i="16" s="1"/>
  <c r="U22" i="16" s="1"/>
  <c r="K207" i="58"/>
  <c r="K219" i="59"/>
  <c r="R29" i="16"/>
  <c r="X107" i="60"/>
  <c r="J206" i="60" s="1"/>
  <c r="K207" i="59"/>
  <c r="X107" i="61"/>
  <c r="J206" i="61" s="1"/>
  <c r="X107" i="64"/>
  <c r="J206" i="64" s="1"/>
  <c r="K207" i="60"/>
  <c r="M30" i="16" s="1"/>
  <c r="S30" i="16" s="1"/>
  <c r="U30" i="16" s="1"/>
  <c r="X107" i="62"/>
  <c r="J206" i="62" s="1"/>
  <c r="G211" i="16"/>
  <c r="K207" i="63"/>
  <c r="M33" i="16" s="1"/>
  <c r="C165" i="4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50" i="4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73" i="4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19" i="4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55" i="4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79" i="4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154" i="4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67" i="4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85" i="4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143" i="4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31" i="4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11" i="4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34" i="4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15" i="4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85" i="4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96" i="4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22" i="4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18" i="4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61" i="48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81" i="4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92" i="4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109" i="4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40" i="4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64" i="4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80" i="4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98" i="4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37" i="4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60" i="4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86" i="4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172" i="4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49" i="4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39" i="4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20" i="4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51" i="4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27" i="4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98" i="4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4" i="4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65" i="48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83" i="4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95" i="4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114" i="4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46" i="4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83" i="4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99" i="4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62" i="48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138" i="4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59" i="48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178" i="4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87" i="48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129" i="4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58" i="4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23" i="4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60" i="48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136" i="4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99" i="4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68" i="48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84" i="4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96" i="4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116" i="4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48" i="4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86" i="4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200" i="4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145" i="4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76" i="4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126" i="4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89" i="4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30" i="4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08" i="4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35" i="4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28" i="4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41" i="4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75" i="4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117" i="4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97" i="4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82" i="4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0" i="4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166" i="4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66" i="48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72" i="4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97" i="4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121" i="4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53" i="4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71" i="4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87" i="4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202" i="4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74" i="48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69" i="48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203" i="4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106" i="4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190" i="4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70" i="48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1" i="4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147" i="4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64" i="48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88" i="4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100" i="4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24" i="4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56" i="4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74" i="4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88" i="4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204" i="4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195" i="4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12" i="4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77" i="4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92" i="4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68" i="4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52" i="4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81" i="4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201" i="4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89" i="4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25" i="4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57" i="4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75" i="4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91" i="4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13" i="4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77" i="4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144" i="4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33" i="4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79" i="4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82" i="4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07" i="4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93" i="4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101" i="4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84" i="4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63" i="48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194" i="4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42" i="4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10" i="4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63" i="4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78" i="4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105" i="4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32" i="4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59" i="4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76" i="4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93" i="4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R13" i="16"/>
  <c r="R12" i="16"/>
  <c r="G55" i="16"/>
  <c r="E7" i="2"/>
  <c r="G7" i="2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16"/>
  <c r="E7" i="16" s="1"/>
  <c r="G7" i="16" s="1"/>
  <c r="E15" i="2"/>
  <c r="G15" i="2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16"/>
  <c r="E15" i="16" s="1"/>
  <c r="G15" i="16" s="1"/>
  <c r="E8" i="2"/>
  <c r="G8" i="2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16"/>
  <c r="E8" i="16" s="1"/>
  <c r="G8" i="16" s="1"/>
  <c r="E16" i="2"/>
  <c r="G16" i="2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16"/>
  <c r="E16" i="16" s="1"/>
  <c r="G16" i="16" s="1"/>
  <c r="E9" i="2"/>
  <c r="G9" i="2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16"/>
  <c r="E9" i="16" s="1"/>
  <c r="G9" i="16" s="1"/>
  <c r="E17" i="2"/>
  <c r="G17" i="2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16"/>
  <c r="E17" i="16" s="1"/>
  <c r="G17" i="16" s="1"/>
  <c r="E6" i="2"/>
  <c r="G6" i="2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16"/>
  <c r="E6" i="16" s="1"/>
  <c r="G6" i="16" s="1"/>
  <c r="E14" i="2"/>
  <c r="G14" i="2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16"/>
  <c r="E14" i="16" s="1"/>
  <c r="G14" i="16" s="1"/>
  <c r="E22" i="2"/>
  <c r="G22" i="2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16"/>
  <c r="E22" i="16" s="1"/>
  <c r="G22" i="16" s="1"/>
  <c r="E10" i="2"/>
  <c r="G10" i="2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16"/>
  <c r="E10" i="16" s="1"/>
  <c r="G10" i="16" s="1"/>
  <c r="E18" i="2"/>
  <c r="G18" i="2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16"/>
  <c r="E18" i="16" s="1"/>
  <c r="G18" i="16" s="1"/>
  <c r="E11" i="2"/>
  <c r="G11" i="2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16"/>
  <c r="E11" i="16" s="1"/>
  <c r="G11" i="16" s="1"/>
  <c r="E19" i="2"/>
  <c r="G19" i="2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16"/>
  <c r="E19" i="16" s="1"/>
  <c r="G19" i="16" s="1"/>
  <c r="E13" i="2"/>
  <c r="G13" i="2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16"/>
  <c r="E13" i="16" s="1"/>
  <c r="G13" i="16" s="1"/>
  <c r="E21" i="2"/>
  <c r="G21" i="2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16"/>
  <c r="E21" i="16" s="1"/>
  <c r="E12" i="2"/>
  <c r="G12" i="2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16"/>
  <c r="E12" i="16" s="1"/>
  <c r="G12" i="16" s="1"/>
  <c r="E20" i="2"/>
  <c r="G20" i="2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16"/>
  <c r="E20" i="16" s="1"/>
  <c r="G20" i="16" s="1"/>
  <c r="M38" i="38"/>
  <c r="K207" i="38"/>
  <c r="K213" i="38" s="1"/>
  <c r="K219" i="38"/>
  <c r="G39" i="16"/>
  <c r="G5" i="16"/>
  <c r="P36" i="16"/>
  <c r="F225" i="16" s="1"/>
  <c r="F228" i="16" s="1"/>
  <c r="J228" i="16" s="1"/>
  <c r="G103" i="16"/>
  <c r="G102" i="16"/>
  <c r="G46" i="16"/>
  <c r="G23" i="16"/>
  <c r="G218" i="16"/>
  <c r="K216" i="35"/>
  <c r="K215" i="35"/>
  <c r="K218" i="35" s="1"/>
  <c r="K215" i="65"/>
  <c r="K218" i="65" s="1"/>
  <c r="K207" i="64"/>
  <c r="K213" i="64" s="1"/>
  <c r="J197" i="16"/>
  <c r="J181" i="16"/>
  <c r="J93" i="16"/>
  <c r="G91" i="16"/>
  <c r="G195" i="16"/>
  <c r="S33" i="16"/>
  <c r="U33" i="16" s="1"/>
  <c r="M6" i="63"/>
  <c r="K213" i="63"/>
  <c r="K216" i="63" s="1"/>
  <c r="J183" i="16"/>
  <c r="J167" i="16"/>
  <c r="J159" i="16"/>
  <c r="J151" i="16"/>
  <c r="G199" i="16"/>
  <c r="K207" i="62"/>
  <c r="M32" i="16" s="1"/>
  <c r="S32" i="16" s="1"/>
  <c r="U32" i="16" s="1"/>
  <c r="K207" i="61"/>
  <c r="M30" i="60"/>
  <c r="M29" i="16"/>
  <c r="S29" i="16" s="1"/>
  <c r="U29" i="16" s="1"/>
  <c r="K213" i="59"/>
  <c r="K215" i="59" s="1"/>
  <c r="K218" i="59" s="1"/>
  <c r="M11" i="59"/>
  <c r="G187" i="16"/>
  <c r="M28" i="16"/>
  <c r="S28" i="16" s="1"/>
  <c r="U28" i="16" s="1"/>
  <c r="K213" i="58"/>
  <c r="K215" i="58" s="1"/>
  <c r="K218" i="58" s="1"/>
  <c r="G117" i="16"/>
  <c r="M10" i="58"/>
  <c r="G77" i="16"/>
  <c r="G203" i="16"/>
  <c r="G179" i="16"/>
  <c r="G171" i="16"/>
  <c r="G163" i="16"/>
  <c r="G155" i="16"/>
  <c r="G147" i="16"/>
  <c r="G139" i="16"/>
  <c r="G131" i="16"/>
  <c r="G123" i="16"/>
  <c r="G115" i="16"/>
  <c r="G107" i="16"/>
  <c r="G99" i="16"/>
  <c r="G83" i="16"/>
  <c r="G75" i="16"/>
  <c r="G67" i="16"/>
  <c r="G59" i="16"/>
  <c r="G51" i="16"/>
  <c r="G43" i="16"/>
  <c r="G35" i="16"/>
  <c r="G27" i="16"/>
  <c r="K219" i="58"/>
  <c r="J121" i="16"/>
  <c r="K207" i="57"/>
  <c r="M27" i="16" s="1"/>
  <c r="S27" i="16" s="1"/>
  <c r="U27" i="16" s="1"/>
  <c r="G42" i="16"/>
  <c r="G61" i="16"/>
  <c r="G93" i="16"/>
  <c r="G45" i="16"/>
  <c r="G173" i="16"/>
  <c r="G157" i="16"/>
  <c r="G133" i="16"/>
  <c r="G37" i="16"/>
  <c r="G165" i="16"/>
  <c r="G21" i="16"/>
  <c r="K207" i="56"/>
  <c r="G149" i="16"/>
  <c r="G53" i="16"/>
  <c r="G85" i="16"/>
  <c r="G141" i="16"/>
  <c r="G101" i="16"/>
  <c r="G181" i="16"/>
  <c r="G125" i="16"/>
  <c r="G109" i="16"/>
  <c r="G197" i="16"/>
  <c r="G29" i="16"/>
  <c r="G189" i="16"/>
  <c r="G69" i="16"/>
  <c r="K219" i="55"/>
  <c r="K207" i="55"/>
  <c r="M25" i="16" s="1"/>
  <c r="S25" i="16" s="1"/>
  <c r="U25" i="16" s="1"/>
  <c r="G193" i="16"/>
  <c r="G177" i="16"/>
  <c r="G73" i="16"/>
  <c r="G41" i="16"/>
  <c r="G89" i="16"/>
  <c r="G81" i="16"/>
  <c r="G25" i="16"/>
  <c r="G182" i="16"/>
  <c r="G62" i="16"/>
  <c r="G118" i="16"/>
  <c r="G94" i="16"/>
  <c r="G38" i="16"/>
  <c r="G70" i="16"/>
  <c r="G190" i="16"/>
  <c r="G150" i="16"/>
  <c r="G142" i="16"/>
  <c r="G174" i="16"/>
  <c r="G134" i="16"/>
  <c r="G54" i="16"/>
  <c r="G126" i="16"/>
  <c r="J55" i="16"/>
  <c r="K207" i="54"/>
  <c r="K213" i="54" s="1"/>
  <c r="K216" i="54" s="1"/>
  <c r="J179" i="16"/>
  <c r="J171" i="16"/>
  <c r="K207" i="53"/>
  <c r="K213" i="53" s="1"/>
  <c r="K216" i="53" s="1"/>
  <c r="G166" i="16"/>
  <c r="G198" i="16"/>
  <c r="G86" i="16"/>
  <c r="G158" i="16"/>
  <c r="M5" i="52"/>
  <c r="M21" i="16"/>
  <c r="S21" i="16" s="1"/>
  <c r="U21" i="16" s="1"/>
  <c r="K213" i="51"/>
  <c r="G169" i="16"/>
  <c r="G97" i="16"/>
  <c r="J75" i="16"/>
  <c r="J67" i="16"/>
  <c r="J51" i="16"/>
  <c r="G145" i="16"/>
  <c r="G161" i="16"/>
  <c r="G121" i="16"/>
  <c r="G65" i="16"/>
  <c r="G129" i="16"/>
  <c r="G57" i="16"/>
  <c r="G113" i="16"/>
  <c r="G185" i="16"/>
  <c r="G105" i="16"/>
  <c r="G153" i="16"/>
  <c r="G137" i="16"/>
  <c r="G201" i="16"/>
  <c r="G33" i="16"/>
  <c r="G49" i="16"/>
  <c r="J63" i="16"/>
  <c r="J47" i="16"/>
  <c r="R20" i="16"/>
  <c r="K207" i="50"/>
  <c r="R19" i="16"/>
  <c r="J133" i="16"/>
  <c r="J117" i="16"/>
  <c r="J187" i="16"/>
  <c r="J83" i="16"/>
  <c r="K207" i="49"/>
  <c r="M19" i="16" s="1"/>
  <c r="J193" i="16"/>
  <c r="J113" i="16"/>
  <c r="J191" i="16"/>
  <c r="R18" i="16"/>
  <c r="J155" i="16"/>
  <c r="J185" i="16"/>
  <c r="J108" i="16"/>
  <c r="K207" i="48"/>
  <c r="J137" i="16"/>
  <c r="J73" i="16"/>
  <c r="R17" i="16"/>
  <c r="K207" i="47"/>
  <c r="M17" i="16" s="1"/>
  <c r="J173" i="16"/>
  <c r="J49" i="16"/>
  <c r="J41" i="16"/>
  <c r="J33" i="16"/>
  <c r="J25" i="16"/>
  <c r="J17" i="16"/>
  <c r="J9" i="16"/>
  <c r="R16" i="16"/>
  <c r="J45" i="16"/>
  <c r="J37" i="16"/>
  <c r="J115" i="16"/>
  <c r="K207" i="46"/>
  <c r="J39" i="16"/>
  <c r="J157" i="16"/>
  <c r="J141" i="16"/>
  <c r="K207" i="45"/>
  <c r="K213" i="45" s="1"/>
  <c r="J43" i="16"/>
  <c r="J145" i="16"/>
  <c r="M5" i="45"/>
  <c r="K207" i="44"/>
  <c r="K213" i="44" s="1"/>
  <c r="K216" i="44" s="1"/>
  <c r="K207" i="43"/>
  <c r="M13" i="16" s="1"/>
  <c r="S13" i="16" s="1"/>
  <c r="U13" i="16" s="1"/>
  <c r="J100" i="16"/>
  <c r="J60" i="16"/>
  <c r="J52" i="16"/>
  <c r="J44" i="16"/>
  <c r="J36" i="16"/>
  <c r="J28" i="16"/>
  <c r="J20" i="16"/>
  <c r="J12" i="16"/>
  <c r="J104" i="16"/>
  <c r="J96" i="16"/>
  <c r="J80" i="16"/>
  <c r="J72" i="16"/>
  <c r="J64" i="16"/>
  <c r="J56" i="16"/>
  <c r="J48" i="16"/>
  <c r="J40" i="16"/>
  <c r="M5" i="43"/>
  <c r="J199" i="16"/>
  <c r="J95" i="16"/>
  <c r="J165" i="16"/>
  <c r="J61" i="16"/>
  <c r="J92" i="16"/>
  <c r="J84" i="16"/>
  <c r="J76" i="16"/>
  <c r="K207" i="42"/>
  <c r="K213" i="42" s="1"/>
  <c r="J203" i="16"/>
  <c r="J99" i="16"/>
  <c r="G202" i="16"/>
  <c r="J161" i="16"/>
  <c r="J65" i="16"/>
  <c r="M5" i="42"/>
  <c r="G162" i="16"/>
  <c r="G114" i="16"/>
  <c r="G194" i="16"/>
  <c r="G66" i="16"/>
  <c r="G82" i="16"/>
  <c r="G170" i="16"/>
  <c r="G122" i="16"/>
  <c r="G34" i="16"/>
  <c r="G130" i="16"/>
  <c r="G138" i="16"/>
  <c r="G154" i="16"/>
  <c r="G26" i="16"/>
  <c r="G178" i="16"/>
  <c r="G106" i="16"/>
  <c r="G98" i="16"/>
  <c r="G50" i="16"/>
  <c r="G58" i="16"/>
  <c r="K207" i="41"/>
  <c r="G74" i="16"/>
  <c r="G146" i="16"/>
  <c r="G186" i="16"/>
  <c r="G90" i="16"/>
  <c r="R10" i="16"/>
  <c r="J32" i="16"/>
  <c r="J24" i="16"/>
  <c r="J16" i="16"/>
  <c r="J8" i="16"/>
  <c r="J53" i="16"/>
  <c r="J175" i="16"/>
  <c r="J119" i="16"/>
  <c r="J103" i="16"/>
  <c r="J79" i="16"/>
  <c r="G183" i="16"/>
  <c r="G119" i="16"/>
  <c r="G159" i="16"/>
  <c r="G31" i="16"/>
  <c r="G47" i="16"/>
  <c r="J189" i="16"/>
  <c r="J149" i="16"/>
  <c r="J109" i="16"/>
  <c r="J85" i="16"/>
  <c r="J29" i="16"/>
  <c r="J21" i="16"/>
  <c r="J13" i="16"/>
  <c r="G127" i="16"/>
  <c r="G191" i="16"/>
  <c r="G175" i="16"/>
  <c r="G87" i="16"/>
  <c r="J68" i="16"/>
  <c r="G79" i="16"/>
  <c r="J195" i="16"/>
  <c r="J163" i="16"/>
  <c r="J123" i="16"/>
  <c r="J91" i="16"/>
  <c r="J35" i="16"/>
  <c r="J147" i="16"/>
  <c r="J139" i="16"/>
  <c r="J131" i="16"/>
  <c r="J19" i="16"/>
  <c r="K207" i="40"/>
  <c r="J27" i="16"/>
  <c r="J177" i="16"/>
  <c r="J88" i="16"/>
  <c r="J135" i="16"/>
  <c r="J143" i="16"/>
  <c r="J127" i="16"/>
  <c r="J31" i="16"/>
  <c r="J23" i="16"/>
  <c r="J15" i="16"/>
  <c r="J7" i="16"/>
  <c r="J198" i="16"/>
  <c r="J190" i="16"/>
  <c r="J182" i="16"/>
  <c r="J174" i="16"/>
  <c r="J158" i="16"/>
  <c r="J150" i="16"/>
  <c r="J118" i="16"/>
  <c r="J110" i="16"/>
  <c r="J169" i="16"/>
  <c r="J201" i="16"/>
  <c r="J11" i="16"/>
  <c r="J59" i="16"/>
  <c r="K207" i="39"/>
  <c r="J202" i="16"/>
  <c r="J186" i="16"/>
  <c r="J170" i="16"/>
  <c r="J146" i="16"/>
  <c r="J138" i="16"/>
  <c r="J122" i="16"/>
  <c r="J114" i="16"/>
  <c r="J166" i="16"/>
  <c r="J129" i="16"/>
  <c r="M5" i="39"/>
  <c r="G180" i="16"/>
  <c r="J101" i="16"/>
  <c r="J204" i="16"/>
  <c r="J196" i="16"/>
  <c r="J188" i="16"/>
  <c r="J180" i="16"/>
  <c r="J172" i="16"/>
  <c r="J164" i="16"/>
  <c r="J148" i="16"/>
  <c r="J140" i="16"/>
  <c r="J132" i="16"/>
  <c r="J124" i="16"/>
  <c r="J200" i="16"/>
  <c r="J192" i="16"/>
  <c r="J184" i="16"/>
  <c r="J176" i="16"/>
  <c r="J168" i="16"/>
  <c r="J160" i="16"/>
  <c r="J152" i="16"/>
  <c r="J144" i="16"/>
  <c r="J136" i="16"/>
  <c r="J128" i="16"/>
  <c r="J120" i="16"/>
  <c r="J112" i="16"/>
  <c r="J116" i="16"/>
  <c r="J156" i="16"/>
  <c r="M5" i="38"/>
  <c r="G204" i="16"/>
  <c r="G60" i="16"/>
  <c r="G124" i="16"/>
  <c r="G68" i="16"/>
  <c r="M59" i="37"/>
  <c r="M166" i="37"/>
  <c r="K207" i="37"/>
  <c r="K213" i="37" s="1"/>
  <c r="G24" i="16"/>
  <c r="N36" i="16"/>
  <c r="M53" i="36"/>
  <c r="M57" i="36"/>
  <c r="J107" i="16"/>
  <c r="J14" i="16"/>
  <c r="J90" i="16"/>
  <c r="J82" i="16"/>
  <c r="J74" i="16"/>
  <c r="J58" i="16"/>
  <c r="J50" i="16"/>
  <c r="J42" i="16"/>
  <c r="J34" i="16"/>
  <c r="J71" i="16"/>
  <c r="J87" i="16"/>
  <c r="M27" i="36"/>
  <c r="M55" i="36"/>
  <c r="M99" i="36"/>
  <c r="J111" i="16"/>
  <c r="K207" i="36"/>
  <c r="M6" i="16" s="1"/>
  <c r="M135" i="36"/>
  <c r="G160" i="16"/>
  <c r="J102" i="16"/>
  <c r="J94" i="16"/>
  <c r="J86" i="16"/>
  <c r="J78" i="16"/>
  <c r="J54" i="16"/>
  <c r="J38" i="16"/>
  <c r="J30" i="16"/>
  <c r="J22" i="16"/>
  <c r="G200" i="16"/>
  <c r="G184" i="16"/>
  <c r="G176" i="16"/>
  <c r="G128" i="16"/>
  <c r="G112" i="16"/>
  <c r="G96" i="16"/>
  <c r="G56" i="16"/>
  <c r="G40" i="16"/>
  <c r="G32" i="16"/>
  <c r="K219" i="36"/>
  <c r="R6" i="16"/>
  <c r="J162" i="16"/>
  <c r="M42" i="2"/>
  <c r="M30" i="2"/>
  <c r="M94" i="2"/>
  <c r="M158" i="2"/>
  <c r="M114" i="2"/>
  <c r="J70" i="16"/>
  <c r="J66" i="16"/>
  <c r="J98" i="16"/>
  <c r="J130" i="16"/>
  <c r="M58" i="2"/>
  <c r="M38" i="2"/>
  <c r="M102" i="2"/>
  <c r="J106" i="16"/>
  <c r="J134" i="16"/>
  <c r="J46" i="16"/>
  <c r="J126" i="16"/>
  <c r="J194" i="16"/>
  <c r="J142" i="16"/>
  <c r="G136" i="16"/>
  <c r="G80" i="16"/>
  <c r="M90" i="2"/>
  <c r="M110" i="2"/>
  <c r="M174" i="2"/>
  <c r="M74" i="2"/>
  <c r="M186" i="2"/>
  <c r="J178" i="16"/>
  <c r="J62" i="16"/>
  <c r="J154" i="16"/>
  <c r="G144" i="16"/>
  <c r="K207" i="2"/>
  <c r="M5" i="16" s="1"/>
  <c r="S5" i="16" s="1"/>
  <c r="G120" i="16"/>
  <c r="G192" i="16"/>
  <c r="M122" i="2"/>
  <c r="M50" i="2"/>
  <c r="J18" i="16"/>
  <c r="J10" i="16"/>
  <c r="J6" i="16"/>
  <c r="M170" i="2"/>
  <c r="M202" i="2"/>
  <c r="M190" i="2"/>
  <c r="J26" i="16"/>
  <c r="G168" i="16"/>
  <c r="G64" i="16"/>
  <c r="M198" i="2"/>
  <c r="M138" i="2"/>
  <c r="G72" i="16"/>
  <c r="G152" i="16"/>
  <c r="G88" i="16"/>
  <c r="G48" i="16"/>
  <c r="G104" i="16"/>
  <c r="M78" i="2"/>
  <c r="J5" i="16"/>
  <c r="K219" i="2"/>
  <c r="C102" i="48" l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3" i="48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M34" i="16"/>
  <c r="S34" i="16" s="1"/>
  <c r="U34" i="16" s="1"/>
  <c r="K213" i="60"/>
  <c r="C193" i="48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68" i="48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35" i="48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83" i="48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149" i="48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0" i="48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85" i="48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54" i="48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76" i="48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42" i="48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79" i="48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57" i="48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92" i="48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24" i="48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90" i="48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87" i="48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80" i="48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108" i="48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70" i="48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2" i="48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09" i="48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15" i="48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79" i="48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182" i="48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66" i="48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33" i="48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77" i="48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00" i="48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71" i="48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82" i="48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130" i="48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48" i="48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23" i="48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99" i="48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94" i="48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86" i="48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92" i="48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134" i="48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55" i="48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36" i="48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94" i="48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32" i="48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44" i="48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12" i="48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06" i="48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97" i="48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89" i="48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16" i="48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58" i="48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83" i="48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98" i="48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160" i="48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81" i="48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111" i="48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9" i="48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0" i="48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56" i="48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86" i="48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59" i="48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04" i="48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88" i="48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153" i="48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05" i="48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84" i="48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77" i="48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89" i="48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195" i="48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73" i="48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203" i="48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121" i="48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17" i="48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26" i="48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96" i="48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129" i="48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69" i="48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27" i="48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37" i="48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1" i="48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61" i="48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75" i="48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202" i="48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138" i="48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25" i="48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90" i="48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101" i="48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91" i="48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201" i="48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4" i="48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97" i="48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75" i="48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6" i="48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84" i="48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146" i="48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51" i="48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98" i="48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18" i="48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43" i="48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73" i="48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78" i="48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93" i="48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113" i="48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81" i="48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8" i="48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47" i="48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72" i="48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141" i="48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5" i="48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78" i="48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14" i="48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20" i="48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80" i="48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22" i="48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85" i="48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150" i="48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63" i="48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07" i="48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91" i="48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52" i="48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74" i="48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71" i="48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162" i="48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28" i="48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200" i="48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99" i="48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5" i="48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139" i="48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64" i="48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96" i="48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67" i="48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5" i="48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K213" i="49"/>
  <c r="K216" i="49" s="1"/>
  <c r="K213" i="47"/>
  <c r="K215" i="47" s="1"/>
  <c r="K218" i="47" s="1"/>
  <c r="M15" i="16"/>
  <c r="S15" i="16" s="1"/>
  <c r="U15" i="16" s="1"/>
  <c r="K213" i="43"/>
  <c r="K216" i="43" s="1"/>
  <c r="M12" i="16"/>
  <c r="S12" i="16" s="1"/>
  <c r="U12" i="16" s="1"/>
  <c r="K213" i="39"/>
  <c r="K215" i="39" s="1"/>
  <c r="K218" i="39" s="1"/>
  <c r="M9" i="16"/>
  <c r="S9" i="16" s="1"/>
  <c r="U9" i="16" s="1"/>
  <c r="M8" i="16"/>
  <c r="S8" i="16" s="1"/>
  <c r="U8" i="16" s="1"/>
  <c r="K216" i="38"/>
  <c r="K213" i="2"/>
  <c r="K216" i="2" s="1"/>
  <c r="K216" i="64"/>
  <c r="K215" i="64"/>
  <c r="K218" i="64" s="1"/>
  <c r="K215" i="63"/>
  <c r="K218" i="63" s="1"/>
  <c r="K213" i="62"/>
  <c r="K215" i="62" s="1"/>
  <c r="K218" i="62" s="1"/>
  <c r="M31" i="16"/>
  <c r="S31" i="16" s="1"/>
  <c r="U31" i="16" s="1"/>
  <c r="K213" i="61"/>
  <c r="K216" i="60"/>
  <c r="K215" i="60"/>
  <c r="K218" i="60" s="1"/>
  <c r="K216" i="59"/>
  <c r="K216" i="58"/>
  <c r="K213" i="57"/>
  <c r="K216" i="57" s="1"/>
  <c r="K213" i="56"/>
  <c r="M26" i="16"/>
  <c r="S26" i="16" s="1"/>
  <c r="U26" i="16" s="1"/>
  <c r="K213" i="55"/>
  <c r="K215" i="55" s="1"/>
  <c r="K218" i="55" s="1"/>
  <c r="M24" i="16"/>
  <c r="S24" i="16" s="1"/>
  <c r="U24" i="16" s="1"/>
  <c r="K215" i="54"/>
  <c r="K218" i="54" s="1"/>
  <c r="M23" i="16"/>
  <c r="S23" i="16" s="1"/>
  <c r="U23" i="16" s="1"/>
  <c r="K215" i="53"/>
  <c r="K218" i="53" s="1"/>
  <c r="K213" i="52"/>
  <c r="K216" i="52" s="1"/>
  <c r="K215" i="52"/>
  <c r="K218" i="52" s="1"/>
  <c r="K216" i="51"/>
  <c r="K215" i="51"/>
  <c r="K218" i="51" s="1"/>
  <c r="K213" i="50"/>
  <c r="M20" i="16"/>
  <c r="S20" i="16" s="1"/>
  <c r="U20" i="16" s="1"/>
  <c r="S19" i="16"/>
  <c r="U19" i="16" s="1"/>
  <c r="M18" i="16"/>
  <c r="S18" i="16" s="1"/>
  <c r="U18" i="16" s="1"/>
  <c r="K213" i="48"/>
  <c r="R36" i="16"/>
  <c r="S17" i="16"/>
  <c r="U17" i="16" s="1"/>
  <c r="K213" i="46"/>
  <c r="M16" i="16"/>
  <c r="S16" i="16" s="1"/>
  <c r="U16" i="16" s="1"/>
  <c r="K216" i="45"/>
  <c r="K215" i="45"/>
  <c r="K218" i="45" s="1"/>
  <c r="M14" i="16"/>
  <c r="S14" i="16" s="1"/>
  <c r="U14" i="16" s="1"/>
  <c r="K215" i="44"/>
  <c r="K218" i="44" s="1"/>
  <c r="K216" i="42"/>
  <c r="K215" i="42"/>
  <c r="K218" i="42" s="1"/>
  <c r="M11" i="16"/>
  <c r="S11" i="16" s="1"/>
  <c r="U11" i="16" s="1"/>
  <c r="K213" i="41"/>
  <c r="K213" i="40"/>
  <c r="M10" i="16"/>
  <c r="S10" i="16" s="1"/>
  <c r="U10" i="16" s="1"/>
  <c r="K215" i="38"/>
  <c r="K218" i="38" s="1"/>
  <c r="M7" i="16"/>
  <c r="S7" i="16" s="1"/>
  <c r="U7" i="16" s="1"/>
  <c r="K213" i="36"/>
  <c r="K216" i="36" s="1"/>
  <c r="S6" i="16"/>
  <c r="U6" i="16" s="1"/>
  <c r="K218" i="2"/>
  <c r="J224" i="16"/>
  <c r="J227" i="16" s="1"/>
  <c r="U5" i="16"/>
  <c r="K215" i="57" l="1"/>
  <c r="K218" i="57" s="1"/>
  <c r="K215" i="49"/>
  <c r="K218" i="49" s="1"/>
  <c r="K216" i="47"/>
  <c r="K215" i="43"/>
  <c r="K218" i="43" s="1"/>
  <c r="K216" i="39"/>
  <c r="B225" i="16"/>
  <c r="B228" i="16" s="1"/>
  <c r="K215" i="2"/>
  <c r="K216" i="62"/>
  <c r="K216" i="61"/>
  <c r="K215" i="61"/>
  <c r="K218" i="61" s="1"/>
  <c r="K215" i="56"/>
  <c r="K218" i="56" s="1"/>
  <c r="K216" i="56"/>
  <c r="K216" i="55"/>
  <c r="K216" i="50"/>
  <c r="K215" i="50"/>
  <c r="K218" i="50" s="1"/>
  <c r="K215" i="48"/>
  <c r="K218" i="48" s="1"/>
  <c r="K216" i="48"/>
  <c r="K216" i="46"/>
  <c r="K215" i="46"/>
  <c r="K218" i="46" s="1"/>
  <c r="K216" i="41"/>
  <c r="K215" i="41"/>
  <c r="K218" i="41" s="1"/>
  <c r="K215" i="40"/>
  <c r="K218" i="40" s="1"/>
  <c r="K216" i="40"/>
  <c r="K215" i="37"/>
  <c r="K218" i="37" s="1"/>
  <c r="K216" i="37"/>
  <c r="M36" i="16"/>
  <c r="U36" i="16"/>
  <c r="S36" i="16"/>
  <c r="K215" i="36"/>
  <c r="K218" i="36" s="1"/>
  <c r="D225" i="16"/>
  <c r="D228" i="16" s="1"/>
  <c r="D230" i="16" s="1"/>
  <c r="J229" i="16"/>
  <c r="J23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8" authorId="0" shapeId="0" xr:uid="{4F61EB95-E9D4-45B8-B6C4-87DC86DA6E75}">
      <text>
        <r>
          <rPr>
            <b/>
            <sz val="9"/>
            <color indexed="81"/>
            <rFont val="Tahoma"/>
            <family val="2"/>
          </rPr>
          <t>เกินมาเนื่องจาก โอนขาดไว้วันที่ 12-13 ค่ะ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4" authorId="0" shapeId="0" xr:uid="{621DE16A-C48A-4594-A67A-B55112D6E729}">
      <text>
        <r>
          <rPr>
            <b/>
            <sz val="9"/>
            <color indexed="81"/>
            <rFont val="Tahoma"/>
            <family val="2"/>
          </rPr>
          <t>โยกมาจากลำ 3 เก่า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3" authorId="0" shapeId="0" xr:uid="{60479DCF-9EFB-41EB-A0A3-1C813B64A770}">
      <text>
        <r>
          <rPr>
            <b/>
            <sz val="9"/>
            <color indexed="81"/>
            <rFont val="Tahoma"/>
            <charset val="222"/>
          </rPr>
          <t xml:space="preserve">โยกมาจากลำ3เก่า
</t>
        </r>
      </text>
    </comment>
  </commentList>
</comments>
</file>

<file path=xl/sharedStrings.xml><?xml version="1.0" encoding="utf-8"?>
<sst xmlns="http://schemas.openxmlformats.org/spreadsheetml/2006/main" count="17378" uniqueCount="264">
  <si>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</si>
  <si>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</si>
  <si>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</si>
  <si>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</si>
  <si>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</si>
  <si>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</si>
  <si>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</si>
  <si>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</si>
  <si>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</si>
  <si>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</si>
  <si>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</si>
  <si>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</si>
  <si>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</si>
  <si>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</si>
  <si>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</si>
  <si>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</si>
  <si>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</si>
  <si>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</si>
  <si>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</si>
  <si>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</si>
  <si>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</si>
  <si>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</si>
  <si>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</si>
  <si>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</si>
  <si>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</si>
  <si>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</si>
  <si>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</si>
  <si>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</si>
  <si>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</si>
  <si>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</si>
  <si>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</si>
  <si>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</si>
  <si>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</si>
  <si>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</si>
  <si>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</si>
  <si>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</si>
  <si>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</si>
  <si>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</si>
  <si>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</si>
  <si>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</si>
  <si>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</si>
  <si>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</si>
  <si>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</si>
  <si>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</si>
  <si>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</si>
  <si>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</si>
  <si>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</si>
  <si>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</si>
  <si>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</si>
  <si>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</si>
  <si>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</si>
  <si>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</si>
  <si>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</si>
  <si>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</si>
  <si>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</si>
  <si>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</si>
  <si>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</si>
  <si>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</si>
  <si>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</si>
  <si>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</si>
  <si>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</si>
  <si>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</si>
  <si>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</si>
  <si>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</si>
  <si>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</si>
  <si>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</si>
  <si>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</si>
  <si>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</si>
  <si>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</si>
  <si>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</si>
  <si>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</si>
  <si>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</si>
  <si>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</si>
  <si>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</si>
  <si>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</si>
  <si>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</si>
  <si>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</si>
  <si>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</si>
  <si>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</si>
  <si>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</si>
  <si>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</si>
  <si>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</si>
  <si>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</si>
  <si>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</si>
  <si>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</si>
  <si>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</si>
  <si>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</si>
  <si>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</si>
  <si>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</si>
  <si>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</si>
  <si>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</si>
  <si>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</si>
  <si>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</si>
  <si>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</si>
  <si>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</si>
  <si>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</si>
  <si>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</si>
  <si>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</si>
  <si>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</si>
  <si>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</si>
  <si>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</si>
  <si>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</si>
  <si>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</si>
  <si>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</si>
  <si>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</si>
  <si>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</si>
  <si>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</si>
  <si>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</si>
  <si>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</si>
  <si>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</si>
  <si>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</si>
  <si>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</si>
  <si>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</si>
  <si>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</si>
  <si>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</si>
  <si>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</si>
  <si>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</si>
  <si>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</si>
  <si>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</si>
  <si>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</si>
  <si>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</si>
  <si>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</si>
  <si>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</si>
  <si>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</si>
  <si>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</si>
  <si>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</si>
  <si>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</si>
  <si>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</si>
  <si>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</si>
  <si>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</si>
  <si>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</si>
  <si>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</si>
  <si>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</si>
  <si>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</si>
  <si>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</si>
  <si>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</si>
  <si>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</si>
  <si>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</si>
  <si>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</si>
  <si>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</si>
  <si>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</si>
  <si>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</si>
  <si>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</si>
  <si>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</si>
  <si>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</si>
  <si>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</si>
  <si>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</si>
  <si>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</si>
  <si>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</si>
  <si>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</si>
  <si>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</si>
  <si>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</si>
  <si>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</si>
  <si>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</si>
  <si>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</si>
  <si>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</si>
  <si>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</si>
  <si>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</si>
  <si>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</si>
  <si>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</si>
  <si>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</si>
  <si>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</si>
  <si>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</si>
  <si>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</si>
  <si>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</si>
  <si>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</si>
  <si>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</si>
  <si>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</si>
  <si>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</si>
  <si>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</si>
  <si>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</si>
  <si>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</si>
  <si>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</si>
  <si>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</si>
  <si>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</si>
  <si>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</si>
  <si>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</si>
  <si>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</si>
  <si>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</si>
  <si>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</si>
  <si>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</si>
  <si>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</si>
  <si>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</si>
  <si>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</si>
  <si>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</si>
  <si>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</si>
  <si>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</si>
  <si>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</si>
  <si>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</si>
  <si>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</si>
  <si>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</si>
  <si>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</si>
  <si>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</si>
  <si>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</si>
  <si>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</si>
  <si>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</si>
  <si>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</si>
  <si>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</si>
  <si>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</si>
  <si>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</si>
  <si>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</si>
  <si>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</si>
  <si>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</si>
  <si>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</si>
  <si>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</si>
  <si>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</si>
  <si>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</si>
  <si>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</si>
  <si>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</si>
  <si>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</si>
  <si>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</si>
  <si>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</si>
  <si>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</si>
  <si>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</si>
  <si>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</si>
  <si>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</si>
  <si>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</si>
  <si>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</si>
  <si>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</si>
  <si>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</si>
  <si>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</si>
  <si>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</si>
  <si>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</si>
  <si>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</si>
  <si>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</si>
  <si>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</si>
  <si>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</si>
  <si>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</si>
  <si>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</si>
  <si>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</si>
  <si>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</si>
  <si>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</si>
  <si>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</si>
  <si>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</si>
  <si>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</si>
  <si>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</si>
  <si>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</si>
  <si>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</si>
  <si>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</si>
  <si>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</si>
  <si>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</si>
  <si>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</si>
  <si>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</si>
  <si>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</si>
  <si>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</si>
  <si>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ร้านใหม่ลำ 3  วันที่ 1-31/12/2566</t>
  </si>
  <si>
    <t>ค่าคอมมิสชั่น ร้านใหม่ลำ 3</t>
  </si>
  <si>
    <t>เค้กวุ้นฝอยทอง</t>
  </si>
  <si>
    <t>ขนมปังเวอร์ รวมไส้</t>
  </si>
  <si>
    <t>บูธ ร้านใหม่ลำ 3 วันที่ 1-31/01/2567</t>
  </si>
  <si>
    <t>ยอดขายหักส่วนลด</t>
  </si>
  <si>
    <t>ยอดเงินสด</t>
  </si>
  <si>
    <t>ยอดโอน</t>
  </si>
  <si>
    <t xml:space="preserve"> </t>
  </si>
  <si>
    <t>หมดอายุ</t>
  </si>
  <si>
    <t>แถม</t>
  </si>
  <si>
    <t>โยกมาจากลำ3เก่า</t>
  </si>
  <si>
    <t xml:space="preserve">แถม </t>
  </si>
  <si>
    <t>แถม 1</t>
  </si>
  <si>
    <t>ลด 20%</t>
  </si>
  <si>
    <t>โปรคู่</t>
  </si>
  <si>
    <t>ลด50%=1</t>
  </si>
  <si>
    <t>แถม1</t>
  </si>
  <si>
    <t>ฝอยทองกรอบ (ระบาย)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</si>
</sst>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26" xfId="1" applyFont="1" applyFill="1" applyBorder="1" applyAlignment="1">
      <alignment horizontal="center"/>
    </xf>
    <xf numFmtId="0" fontId="2" fillId="15" borderId="22" xfId="0" applyFont="1" applyFill="1" applyBorder="1"/>
    <xf numFmtId="0" fontId="2" fillId="0" borderId="0" xfId="0" applyFont="1" applyAlignment="1">
      <alignment horizontal="right"/>
    </xf>
    <xf numFmtId="43" fontId="2" fillId="0" borderId="14" xfId="1" applyFont="1" applyFill="1" applyBorder="1" applyAlignment="1">
      <alignment horizontal="center"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textRotation="180"/>
    </xf>
    <xf numFmtId="41" fontId="2" fillId="0" borderId="0" xfId="0" applyNumberFormat="1" applyFont="1" applyAlignment="1">
      <alignment vertical="center"/>
    </xf>
    <xf numFmtId="43" fontId="2" fillId="2" borderId="14" xfId="1" applyFont="1" applyFill="1" applyBorder="1" applyAlignment="1">
      <alignment horizontal="center"/>
    </xf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19;&#3657;&#3634;&#3609;&#3651;&#3627;&#3617;&#3656;&#3621;&#3635;%203%20&#3617;.&#3588;.%2067(1).xlsx" TargetMode="External"/><Relationship Id="rId1" Type="http://schemas.openxmlformats.org/officeDocument/2006/relationships/externalLinkPath" Target="file:///D:\Users\PC29\Downloads\&#3610;&#3641;&#3608;&#3619;&#3657;&#3634;&#3609;&#3651;&#3627;&#3617;&#3656;&#3621;&#3635;%203%20&#3617;.&#3588;.%2067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14;.&#3618;.%2066\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7</v>
          </cell>
        </row>
        <row r="6">
          <cell r="G6">
            <v>19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10</v>
          </cell>
        </row>
        <row r="13">
          <cell r="G13">
            <v>0</v>
          </cell>
        </row>
        <row r="14">
          <cell r="G14">
            <v>3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4</v>
          </cell>
        </row>
        <row r="18">
          <cell r="G18">
            <v>0</v>
          </cell>
        </row>
        <row r="19">
          <cell r="G19">
            <v>9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5</v>
          </cell>
        </row>
        <row r="23">
          <cell r="G23">
            <v>2</v>
          </cell>
        </row>
        <row r="24">
          <cell r="G24">
            <v>11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8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2</v>
          </cell>
        </row>
        <row r="39">
          <cell r="G39">
            <v>3</v>
          </cell>
        </row>
        <row r="40">
          <cell r="G40">
            <v>5</v>
          </cell>
        </row>
        <row r="41">
          <cell r="G41">
            <v>8</v>
          </cell>
        </row>
        <row r="42">
          <cell r="G42">
            <v>6</v>
          </cell>
        </row>
        <row r="43">
          <cell r="G43">
            <v>9</v>
          </cell>
        </row>
        <row r="44">
          <cell r="G44">
            <v>6</v>
          </cell>
        </row>
        <row r="45">
          <cell r="G45">
            <v>0</v>
          </cell>
        </row>
        <row r="46">
          <cell r="G46">
            <v>8</v>
          </cell>
        </row>
        <row r="47">
          <cell r="G47">
            <v>15</v>
          </cell>
        </row>
        <row r="48">
          <cell r="G48">
            <v>0</v>
          </cell>
        </row>
        <row r="49">
          <cell r="G49">
            <v>7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7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7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12</v>
          </cell>
        </row>
        <row r="86">
          <cell r="G86">
            <v>16</v>
          </cell>
        </row>
        <row r="87">
          <cell r="G87">
            <v>9</v>
          </cell>
        </row>
        <row r="88">
          <cell r="G88">
            <v>10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1</v>
          </cell>
        </row>
        <row r="103">
          <cell r="G103">
            <v>2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15</v>
          </cell>
        </row>
        <row r="169">
          <cell r="G169">
            <v>1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1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U5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14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4"/>
  <sheetViews>
    <sheetView tabSelected="1" zoomScale="98" zoomScaleNormal="98" workbookViewId="0">
      <pane xSplit="5" ySplit="4" topLeftCell="F219" activePane="bottomRight" state="frozen"/>
      <selection activeCell="G6" sqref="G6"/>
      <selection pane="topRight" activeCell="G6" sqref="G6"/>
      <selection pane="bottomLeft" activeCell="G6" sqref="G6"/>
      <selection pane="bottomRight" activeCell="K228" sqref="K228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1.5703125" style="2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27" t="s">
        <v>245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43"/>
      <c r="O2" s="43"/>
      <c r="P2" s="43"/>
      <c r="Q2" s="43"/>
      <c r="R2" s="43"/>
      <c r="S2" s="43"/>
      <c r="T2" s="43"/>
    </row>
    <row r="3" spans="1:22" s="5" customFormat="1">
      <c r="A3" s="128" t="s">
        <v>1</v>
      </c>
      <c r="B3" s="128" t="s">
        <v>2</v>
      </c>
      <c r="C3" s="130" t="s">
        <v>3</v>
      </c>
      <c r="D3" s="130" t="s">
        <v>4</v>
      </c>
      <c r="E3" s="130" t="s">
        <v>5</v>
      </c>
      <c r="F3" s="44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14" t="s">
        <v>220</v>
      </c>
      <c r="M3" s="114" t="s">
        <v>221</v>
      </c>
      <c r="N3" s="114" t="s">
        <v>10</v>
      </c>
      <c r="O3" s="114" t="s">
        <v>222</v>
      </c>
      <c r="P3" s="114" t="s">
        <v>223</v>
      </c>
      <c r="Q3" s="112" t="s">
        <v>224</v>
      </c>
      <c r="R3" s="112" t="s">
        <v>225</v>
      </c>
      <c r="S3" s="112" t="s">
        <v>226</v>
      </c>
      <c r="T3" s="114" t="s">
        <v>227</v>
      </c>
      <c r="U3" s="115" t="s">
        <v>228</v>
      </c>
    </row>
    <row r="4" spans="1:22" s="5" customFormat="1">
      <c r="A4" s="129"/>
      <c r="B4" s="129"/>
      <c r="C4" s="130"/>
      <c r="D4" s="130"/>
      <c r="E4" s="130"/>
      <c r="F4" s="44" t="s">
        <v>11</v>
      </c>
      <c r="G4" s="130"/>
      <c r="H4" s="44" t="s">
        <v>12</v>
      </c>
      <c r="I4" s="45" t="s">
        <v>13</v>
      </c>
      <c r="J4" s="44" t="s">
        <v>14</v>
      </c>
      <c r="K4" s="130"/>
      <c r="L4" s="114"/>
      <c r="M4" s="114"/>
      <c r="N4" s="114"/>
      <c r="O4" s="114"/>
      <c r="P4" s="114"/>
      <c r="Q4" s="113"/>
      <c r="R4" s="113"/>
      <c r="S4" s="113"/>
      <c r="T4" s="114"/>
      <c r="U4" s="116"/>
    </row>
    <row r="5" spans="1:22">
      <c r="A5" s="10">
        <v>1</v>
      </c>
      <c r="B5" s="11" t="s">
        <v>15</v>
      </c>
      <c r="C5" s="46">
        <f>+'วันที่ 1'!C5</f>
        <v>6</v>
      </c>
      <c r="D5" s="47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60</v>
      </c>
      <c r="E5" s="46">
        <f>+C5+D5</f>
        <v>66</v>
      </c>
      <c r="F5" s="47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90">
        <f>E5-F5-H5</f>
        <v>18</v>
      </c>
      <c r="H5" s="47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48</v>
      </c>
      <c r="I5" s="16">
        <v>50</v>
      </c>
      <c r="J5" s="47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2400</v>
      </c>
      <c r="K5" s="16"/>
      <c r="L5" s="49">
        <v>1</v>
      </c>
      <c r="M5" s="50">
        <f>+'วันที่ 1'!K207</f>
        <v>2780</v>
      </c>
      <c r="N5" s="50">
        <f>+'วันที่ 1'!K212</f>
        <v>50</v>
      </c>
      <c r="O5" s="50">
        <f>+'วันที่ 1'!K210</f>
        <v>0</v>
      </c>
      <c r="P5" s="50">
        <f>+'วันที่ 1'!K208</f>
        <v>15</v>
      </c>
      <c r="Q5" s="50">
        <f>+'วันที่ 1'!K211</f>
        <v>0</v>
      </c>
      <c r="R5" s="50">
        <f>+'วันที่ 1'!K209</f>
        <v>1065</v>
      </c>
      <c r="S5" s="50">
        <f t="shared" ref="S5" si="0">+M5-N5-P5-R5-Q5</f>
        <v>1650</v>
      </c>
      <c r="T5" s="50">
        <f>+'วันที่ 1'!K214</f>
        <v>1650</v>
      </c>
      <c r="U5" s="51">
        <f>+T5-S5</f>
        <v>0</v>
      </c>
      <c r="V5" s="5"/>
    </row>
    <row r="6" spans="1:22">
      <c r="A6" s="10">
        <v>2</v>
      </c>
      <c r="B6" s="11" t="s">
        <v>17</v>
      </c>
      <c r="C6" s="46">
        <f>+'วันที่ 1'!C6</f>
        <v>19</v>
      </c>
      <c r="D6" s="47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60</v>
      </c>
      <c r="E6" s="46">
        <f t="shared" ref="E6:E69" si="1">+C6+D6</f>
        <v>79</v>
      </c>
      <c r="F6" s="47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90">
        <f t="shared" ref="G6:G69" si="2">E6-F6-H6</f>
        <v>36</v>
      </c>
      <c r="H6" s="47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43</v>
      </c>
      <c r="I6" s="16">
        <v>100</v>
      </c>
      <c r="J6" s="47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4300</v>
      </c>
      <c r="K6" s="16"/>
      <c r="L6" s="49">
        <v>2</v>
      </c>
      <c r="M6" s="50">
        <f>+'วันที่ 2'!K207</f>
        <v>3275</v>
      </c>
      <c r="N6" s="50">
        <f>+'วันที่ 2'!K212</f>
        <v>0</v>
      </c>
      <c r="O6" s="50">
        <f>+'วันที่ 2'!K210</f>
        <v>0</v>
      </c>
      <c r="P6" s="50">
        <f>+'วันที่ 2'!K208</f>
        <v>15</v>
      </c>
      <c r="Q6" s="50">
        <f>+'วันที่ 2'!K211</f>
        <v>0</v>
      </c>
      <c r="R6" s="50">
        <f>+'วันที่ 2'!K209</f>
        <v>940</v>
      </c>
      <c r="S6" s="50">
        <f t="shared" ref="S6" si="3">+M6-N6-P6-R6-Q6</f>
        <v>2320</v>
      </c>
      <c r="T6" s="50">
        <f>+'วันที่ 2'!K214</f>
        <v>2320</v>
      </c>
      <c r="U6" s="51">
        <f>+T6-S6</f>
        <v>0</v>
      </c>
      <c r="V6" s="5"/>
    </row>
    <row r="7" spans="1:22">
      <c r="A7" s="10">
        <v>3</v>
      </c>
      <c r="B7" s="11" t="s">
        <v>18</v>
      </c>
      <c r="C7" s="46">
        <f>+'วันที่ 1'!C7</f>
        <v>0</v>
      </c>
      <c r="D7" s="47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1"/>
        <v>0</v>
      </c>
      <c r="F7" s="47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0">
        <f t="shared" si="2"/>
        <v>0</v>
      </c>
      <c r="H7" s="47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6">
        <v>50</v>
      </c>
      <c r="J7" s="47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6"/>
      <c r="L7" s="49">
        <v>3</v>
      </c>
      <c r="M7" s="50">
        <f>+'วันที่ 3'!K207</f>
        <v>2790</v>
      </c>
      <c r="N7" s="50">
        <f>+'วันที่ 3'!K212</f>
        <v>50</v>
      </c>
      <c r="O7" s="50">
        <f>+'วันที่ 3'!K210</f>
        <v>0</v>
      </c>
      <c r="P7" s="50">
        <f>+'วันที่ 3'!K208</f>
        <v>15</v>
      </c>
      <c r="Q7" s="50">
        <f>+'วันที่ 3'!K211</f>
        <v>0</v>
      </c>
      <c r="R7" s="50">
        <f>+'วันที่ 3'!K209</f>
        <v>515</v>
      </c>
      <c r="S7" s="50">
        <f t="shared" ref="S7" si="4">+M7-N7-P7-R7-Q7</f>
        <v>2210</v>
      </c>
      <c r="T7" s="50">
        <f>+'วันที่ 3'!K214</f>
        <v>2210</v>
      </c>
      <c r="U7" s="51">
        <f>+T7-S7</f>
        <v>0</v>
      </c>
      <c r="V7" s="5"/>
    </row>
    <row r="8" spans="1:22">
      <c r="A8" s="10">
        <v>4</v>
      </c>
      <c r="B8" s="11" t="s">
        <v>19</v>
      </c>
      <c r="C8" s="46">
        <f>+'วันที่ 1'!C8</f>
        <v>0</v>
      </c>
      <c r="D8" s="47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1"/>
        <v>0</v>
      </c>
      <c r="F8" s="47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0">
        <f t="shared" si="2"/>
        <v>0</v>
      </c>
      <c r="H8" s="47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6">
        <v>100</v>
      </c>
      <c r="J8" s="47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6"/>
      <c r="L8" s="49">
        <v>4</v>
      </c>
      <c r="M8" s="50">
        <f>+'วันที่ 4'!K207</f>
        <v>7570</v>
      </c>
      <c r="N8" s="50">
        <f>+'วันที่ 4'!K212</f>
        <v>100</v>
      </c>
      <c r="O8" s="50">
        <f>+'วันที่ 4'!K210</f>
        <v>0</v>
      </c>
      <c r="P8" s="50">
        <f>+'วันที่ 4'!K208</f>
        <v>15</v>
      </c>
      <c r="Q8" s="50">
        <f>+'วันที่ 4'!K211</f>
        <v>0</v>
      </c>
      <c r="R8" s="50">
        <f>+'วันที่ 4'!K209</f>
        <v>1925</v>
      </c>
      <c r="S8" s="50">
        <f t="shared" ref="S8:S35" si="5">+M8-N8-P8-R8-Q8</f>
        <v>5530</v>
      </c>
      <c r="T8" s="50">
        <f>+'วันที่ 4'!K214</f>
        <v>5530</v>
      </c>
      <c r="U8" s="51">
        <f t="shared" ref="U8:U35" si="6">+T8-S8</f>
        <v>0</v>
      </c>
      <c r="V8" s="5"/>
    </row>
    <row r="9" spans="1:22">
      <c r="A9" s="10">
        <v>5</v>
      </c>
      <c r="B9" s="11" t="s">
        <v>20</v>
      </c>
      <c r="C9" s="46">
        <f>+'วันที่ 1'!C9</f>
        <v>0</v>
      </c>
      <c r="D9" s="47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1"/>
        <v>0</v>
      </c>
      <c r="F9" s="47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0">
        <f t="shared" si="2"/>
        <v>0</v>
      </c>
      <c r="H9" s="47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6">
        <v>12</v>
      </c>
      <c r="J9" s="47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6"/>
      <c r="L9" s="49">
        <v>5</v>
      </c>
      <c r="M9" s="50">
        <f>+'วันที่ 5'!K207</f>
        <v>2775</v>
      </c>
      <c r="N9" s="50">
        <f>+'วันที่ 5'!K212</f>
        <v>80</v>
      </c>
      <c r="O9" s="50">
        <f>+'วันที่ 5'!K210</f>
        <v>0</v>
      </c>
      <c r="P9" s="50">
        <f>+'วันที่ 5'!K208</f>
        <v>15</v>
      </c>
      <c r="Q9" s="50">
        <f>+'วันที่ 5'!K211</f>
        <v>0</v>
      </c>
      <c r="R9" s="50">
        <f>+'วันที่ 5'!K209</f>
        <v>455</v>
      </c>
      <c r="S9" s="50">
        <f t="shared" si="5"/>
        <v>2225</v>
      </c>
      <c r="T9" s="50">
        <f>+'วันที่ 5'!K214</f>
        <v>2225</v>
      </c>
      <c r="U9" s="51">
        <f t="shared" si="6"/>
        <v>0</v>
      </c>
      <c r="V9" s="5"/>
    </row>
    <row r="10" spans="1:22">
      <c r="A10" s="10">
        <v>6</v>
      </c>
      <c r="B10" s="11" t="s">
        <v>21</v>
      </c>
      <c r="C10" s="46">
        <f>+'วันที่ 1'!C10</f>
        <v>0</v>
      </c>
      <c r="D10" s="47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1"/>
        <v>0</v>
      </c>
      <c r="F10" s="47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0">
        <f t="shared" si="2"/>
        <v>0</v>
      </c>
      <c r="H10" s="47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6">
        <v>15</v>
      </c>
      <c r="J10" s="47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6"/>
      <c r="L10" s="49">
        <v>6</v>
      </c>
      <c r="M10" s="50">
        <f>+'วันที่ 6'!K207</f>
        <v>2215</v>
      </c>
      <c r="N10" s="50">
        <f>+'วันที่ 6'!K212</f>
        <v>210</v>
      </c>
      <c r="O10" s="50">
        <f>+'วันที่ 6'!K210</f>
        <v>0</v>
      </c>
      <c r="P10" s="50">
        <f>+'วันที่ 6'!K208</f>
        <v>15</v>
      </c>
      <c r="Q10" s="50">
        <f>+'วันที่ 6'!K211</f>
        <v>0</v>
      </c>
      <c r="R10" s="50">
        <f>+'วันที่ 6'!K209</f>
        <v>700</v>
      </c>
      <c r="S10" s="50">
        <f t="shared" si="5"/>
        <v>1290</v>
      </c>
      <c r="T10" s="50">
        <f>+'วันที่ 6'!K214</f>
        <v>1290</v>
      </c>
      <c r="U10" s="51">
        <f t="shared" si="6"/>
        <v>0</v>
      </c>
      <c r="V10" s="5"/>
    </row>
    <row r="11" spans="1:22">
      <c r="A11" s="10">
        <v>7</v>
      </c>
      <c r="B11" s="11" t="s">
        <v>22</v>
      </c>
      <c r="C11" s="46">
        <f>+'วันที่ 1'!C11</f>
        <v>0</v>
      </c>
      <c r="D11" s="47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1"/>
        <v>0</v>
      </c>
      <c r="F11" s="47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0">
        <f t="shared" si="2"/>
        <v>0</v>
      </c>
      <c r="H11" s="47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6">
        <v>40</v>
      </c>
      <c r="J11" s="47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6"/>
      <c r="L11" s="49">
        <v>7</v>
      </c>
      <c r="M11" s="50">
        <f>+'วันที่ 7'!K207</f>
        <v>1800</v>
      </c>
      <c r="N11" s="50">
        <f>+'วันที่ 7'!K212</f>
        <v>0</v>
      </c>
      <c r="O11" s="50">
        <f>+'วันที่ 7'!K210</f>
        <v>0</v>
      </c>
      <c r="P11" s="50">
        <f>+'วันที่ 7'!K208</f>
        <v>15</v>
      </c>
      <c r="Q11" s="50">
        <f>+'วันที่ 7'!K211</f>
        <v>0</v>
      </c>
      <c r="R11" s="50">
        <f>+'วันที่ 7'!K209</f>
        <v>700</v>
      </c>
      <c r="S11" s="50">
        <f t="shared" si="5"/>
        <v>1085</v>
      </c>
      <c r="T11" s="50">
        <f>+'วันที่ 7'!K214</f>
        <v>1085</v>
      </c>
      <c r="U11" s="51">
        <f t="shared" si="6"/>
        <v>0</v>
      </c>
      <c r="V11" s="5"/>
    </row>
    <row r="12" spans="1:22">
      <c r="A12" s="10">
        <v>8</v>
      </c>
      <c r="B12" s="11" t="s">
        <v>23</v>
      </c>
      <c r="C12" s="46">
        <f>+'วันที่ 1'!C12</f>
        <v>7</v>
      </c>
      <c r="D12" s="47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25</v>
      </c>
      <c r="E12" s="46">
        <f t="shared" si="1"/>
        <v>32</v>
      </c>
      <c r="F12" s="47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0">
        <f t="shared" si="2"/>
        <v>8</v>
      </c>
      <c r="H12" s="47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24</v>
      </c>
      <c r="I12" s="21">
        <v>50</v>
      </c>
      <c r="J12" s="47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1200</v>
      </c>
      <c r="K12" s="16"/>
      <c r="L12" s="49">
        <v>8</v>
      </c>
      <c r="M12" s="50">
        <f>+'วันที่ 8'!K207</f>
        <v>2665</v>
      </c>
      <c r="N12" s="50">
        <f>+'วันที่ 8'!K212</f>
        <v>165</v>
      </c>
      <c r="O12" s="50">
        <f>+'วันที่ 8'!K210</f>
        <v>0</v>
      </c>
      <c r="P12" s="50">
        <f>+'วันที่ 8'!K208</f>
        <v>15</v>
      </c>
      <c r="Q12" s="50">
        <f>+'วันที่ 8'!K211</f>
        <v>0</v>
      </c>
      <c r="R12" s="50">
        <f>+'วันที่ 8'!K209</f>
        <v>1110</v>
      </c>
      <c r="S12" s="50">
        <f t="shared" si="5"/>
        <v>1375</v>
      </c>
      <c r="T12" s="50">
        <f>+'วันที่ 8'!K214</f>
        <v>1375</v>
      </c>
      <c r="U12" s="51">
        <f t="shared" si="6"/>
        <v>0</v>
      </c>
      <c r="V12" s="5"/>
    </row>
    <row r="13" spans="1:22">
      <c r="A13" s="10">
        <v>9</v>
      </c>
      <c r="B13" s="11" t="s">
        <v>24</v>
      </c>
      <c r="C13" s="46">
        <f>+'วันที่ 1'!C13</f>
        <v>0</v>
      </c>
      <c r="D13" s="47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1"/>
        <v>0</v>
      </c>
      <c r="F13" s="47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0">
        <f t="shared" si="2"/>
        <v>0</v>
      </c>
      <c r="H13" s="47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21">
        <v>55</v>
      </c>
      <c r="J13" s="47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6"/>
      <c r="L13" s="49">
        <v>9</v>
      </c>
      <c r="M13" s="50">
        <f>+'วันที่ 9'!K207</f>
        <v>4015</v>
      </c>
      <c r="N13" s="50">
        <f>+'วันที่ 9'!K212</f>
        <v>150</v>
      </c>
      <c r="O13" s="50">
        <f>+'วันที่ 9'!K210</f>
        <v>0</v>
      </c>
      <c r="P13" s="50">
        <f>+'วันที่ 9'!K208</f>
        <v>15</v>
      </c>
      <c r="Q13" s="50">
        <f>+'วันที่ 9'!K211</f>
        <v>0</v>
      </c>
      <c r="R13" s="50">
        <f>+'วันที่ 9'!K209</f>
        <v>855</v>
      </c>
      <c r="S13" s="50">
        <f t="shared" si="5"/>
        <v>2995</v>
      </c>
      <c r="T13" s="50">
        <f>+'วันที่ 9'!K214</f>
        <v>2995</v>
      </c>
      <c r="U13" s="51">
        <f t="shared" si="6"/>
        <v>0</v>
      </c>
      <c r="V13" s="5"/>
    </row>
    <row r="14" spans="1:22">
      <c r="A14" s="10">
        <v>10</v>
      </c>
      <c r="B14" s="11" t="s">
        <v>25</v>
      </c>
      <c r="C14" s="46">
        <f>+'วันที่ 1'!C14</f>
        <v>3</v>
      </c>
      <c r="D14" s="47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25</v>
      </c>
      <c r="E14" s="46">
        <f t="shared" si="1"/>
        <v>28</v>
      </c>
      <c r="F14" s="47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90">
        <f t="shared" si="2"/>
        <v>5</v>
      </c>
      <c r="H14" s="47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23</v>
      </c>
      <c r="I14" s="21">
        <v>65</v>
      </c>
      <c r="J14" s="47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1495</v>
      </c>
      <c r="K14" s="16"/>
      <c r="L14" s="49">
        <v>10</v>
      </c>
      <c r="M14" s="50">
        <f>+'วันที่ 10'!K207</f>
        <v>3355</v>
      </c>
      <c r="N14" s="50">
        <f>+'วันที่ 10'!K212</f>
        <v>0</v>
      </c>
      <c r="O14" s="50">
        <f>+'วันที่ 10'!K210</f>
        <v>0</v>
      </c>
      <c r="P14" s="50">
        <f>+'วันที่ 10'!K208</f>
        <v>15</v>
      </c>
      <c r="Q14" s="50">
        <f>+'วันที่ 10'!K211</f>
        <v>0</v>
      </c>
      <c r="R14" s="50">
        <f>+'วันที่ 10'!K209</f>
        <v>815</v>
      </c>
      <c r="S14" s="50">
        <f t="shared" si="5"/>
        <v>2525</v>
      </c>
      <c r="T14" s="50">
        <f>+'วันที่ 10'!K214</f>
        <v>2525</v>
      </c>
      <c r="U14" s="51">
        <f t="shared" si="6"/>
        <v>0</v>
      </c>
      <c r="V14" s="5"/>
    </row>
    <row r="15" spans="1:22">
      <c r="A15" s="10">
        <v>11</v>
      </c>
      <c r="B15" s="11" t="s">
        <v>26</v>
      </c>
      <c r="C15" s="46">
        <f>+'วันที่ 1'!C15</f>
        <v>0</v>
      </c>
      <c r="D15" s="47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0</v>
      </c>
      <c r="E15" s="46">
        <f t="shared" si="1"/>
        <v>0</v>
      </c>
      <c r="F15" s="47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90">
        <f t="shared" si="2"/>
        <v>0</v>
      </c>
      <c r="H15" s="47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0</v>
      </c>
      <c r="I15" s="21">
        <v>50</v>
      </c>
      <c r="J15" s="47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0</v>
      </c>
      <c r="K15" s="16"/>
      <c r="L15" s="49">
        <v>11</v>
      </c>
      <c r="M15" s="50">
        <f>+'วันที่ 11'!K207</f>
        <v>9535</v>
      </c>
      <c r="N15" s="50">
        <f>+'วันที่ 11'!K212</f>
        <v>380</v>
      </c>
      <c r="O15" s="50">
        <f>+'วันที่ 11'!K210</f>
        <v>0</v>
      </c>
      <c r="P15" s="50">
        <f>+'วันที่ 11'!K208</f>
        <v>15</v>
      </c>
      <c r="Q15" s="50">
        <f>+'วันที่ 11'!K211</f>
        <v>0</v>
      </c>
      <c r="R15" s="50">
        <f>+'วันที่ 11'!K209</f>
        <v>2670</v>
      </c>
      <c r="S15" s="50">
        <f t="shared" si="5"/>
        <v>6470</v>
      </c>
      <c r="T15" s="50">
        <f>+'วันที่ 11'!K214</f>
        <v>6470</v>
      </c>
      <c r="U15" s="51">
        <f t="shared" si="6"/>
        <v>0</v>
      </c>
      <c r="V15" s="5"/>
    </row>
    <row r="16" spans="1:22">
      <c r="A16" s="10">
        <v>12</v>
      </c>
      <c r="B16" s="11" t="s">
        <v>27</v>
      </c>
      <c r="C16" s="46">
        <f>+'วันที่ 1'!C16</f>
        <v>0</v>
      </c>
      <c r="D16" s="47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16" s="46">
        <f t="shared" si="1"/>
        <v>0</v>
      </c>
      <c r="F16" s="47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90">
        <f t="shared" si="2"/>
        <v>0</v>
      </c>
      <c r="H16" s="47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16" s="16">
        <v>50</v>
      </c>
      <c r="J16" s="47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16" s="16"/>
      <c r="L16" s="49">
        <v>12</v>
      </c>
      <c r="M16" s="50">
        <f>+'วันที่ 12'!K207</f>
        <v>3615</v>
      </c>
      <c r="N16" s="50">
        <f>+'วันที่ 12'!K212</f>
        <v>120</v>
      </c>
      <c r="O16" s="50">
        <f>+'วันที่ 12'!K210</f>
        <v>0</v>
      </c>
      <c r="P16" s="50">
        <f>+'วันที่ 12'!K208</f>
        <v>15</v>
      </c>
      <c r="Q16" s="50">
        <f>+'วันที่ 12'!K211</f>
        <v>0</v>
      </c>
      <c r="R16" s="50">
        <f>+'วันที่ 12'!K209</f>
        <v>1215</v>
      </c>
      <c r="S16" s="50">
        <f t="shared" si="5"/>
        <v>2265</v>
      </c>
      <c r="T16" s="50">
        <f>+'วันที่ 12'!K214</f>
        <v>2265</v>
      </c>
      <c r="U16" s="51">
        <f t="shared" si="6"/>
        <v>0</v>
      </c>
      <c r="V16" s="5"/>
    </row>
    <row r="17" spans="1:22">
      <c r="A17" s="10">
        <v>13</v>
      </c>
      <c r="B17" s="11" t="s">
        <v>28</v>
      </c>
      <c r="C17" s="46">
        <f>+'วันที่ 1'!C17</f>
        <v>7</v>
      </c>
      <c r="D17" s="47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25</v>
      </c>
      <c r="E17" s="46">
        <f t="shared" si="1"/>
        <v>32</v>
      </c>
      <c r="F17" s="47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90">
        <f t="shared" si="2"/>
        <v>8</v>
      </c>
      <c r="H17" s="47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24</v>
      </c>
      <c r="I17" s="16">
        <v>50</v>
      </c>
      <c r="J17" s="47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1200</v>
      </c>
      <c r="K17" s="16"/>
      <c r="L17" s="49">
        <v>13</v>
      </c>
      <c r="M17" s="50">
        <f>+'วันที่ 13'!K207</f>
        <v>2105</v>
      </c>
      <c r="N17" s="50">
        <f>+'วันที่ 13'!K212</f>
        <v>50</v>
      </c>
      <c r="O17" s="50">
        <f>+'วันที่ 13'!K210</f>
        <v>0</v>
      </c>
      <c r="P17" s="50">
        <f>+'วันที่ 13'!K208</f>
        <v>15</v>
      </c>
      <c r="Q17" s="50">
        <f>+'วันที่ 13'!K211</f>
        <v>0</v>
      </c>
      <c r="R17" s="50">
        <f>+'วันที่ 13'!K209</f>
        <v>865</v>
      </c>
      <c r="S17" s="50">
        <f t="shared" si="5"/>
        <v>1175</v>
      </c>
      <c r="T17" s="50">
        <f>+'วันที่ 13'!K214</f>
        <v>1175</v>
      </c>
      <c r="U17" s="51">
        <f t="shared" si="6"/>
        <v>0</v>
      </c>
      <c r="V17" s="5"/>
    </row>
    <row r="18" spans="1:22">
      <c r="A18" s="10">
        <v>14</v>
      </c>
      <c r="B18" s="11" t="s">
        <v>29</v>
      </c>
      <c r="C18" s="46">
        <f>+'วันที่ 1'!C18</f>
        <v>0</v>
      </c>
      <c r="D18" s="47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1"/>
        <v>0</v>
      </c>
      <c r="F18" s="47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0">
        <f t="shared" si="2"/>
        <v>0</v>
      </c>
      <c r="H18" s="47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21">
        <v>50</v>
      </c>
      <c r="J18" s="47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6"/>
      <c r="L18" s="49">
        <v>14</v>
      </c>
      <c r="M18" s="50">
        <f>+'วันที่ 14'!K207</f>
        <v>1520</v>
      </c>
      <c r="N18" s="50">
        <f>+'วันที่ 14'!K212</f>
        <v>70</v>
      </c>
      <c r="O18" s="50">
        <f>+'วันที่ 14'!K210</f>
        <v>0</v>
      </c>
      <c r="P18" s="50">
        <f>+'วันที่ 14'!K208</f>
        <v>15</v>
      </c>
      <c r="Q18" s="50">
        <f>+'วันที่ 14'!K211</f>
        <v>0</v>
      </c>
      <c r="R18" s="50">
        <f>+'วันที่ 14'!K209</f>
        <v>670</v>
      </c>
      <c r="S18" s="50">
        <f t="shared" si="5"/>
        <v>765</v>
      </c>
      <c r="T18" s="50">
        <f>+'วันที่ 14'!K214</f>
        <v>765</v>
      </c>
      <c r="U18" s="51">
        <f t="shared" si="6"/>
        <v>0</v>
      </c>
      <c r="V18" s="5"/>
    </row>
    <row r="19" spans="1:22">
      <c r="A19" s="10">
        <v>15</v>
      </c>
      <c r="B19" s="11" t="s">
        <v>30</v>
      </c>
      <c r="C19" s="46">
        <f>+'วันที่ 1'!C19</f>
        <v>7</v>
      </c>
      <c r="D19" s="47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35</v>
      </c>
      <c r="E19" s="46">
        <f t="shared" si="1"/>
        <v>42</v>
      </c>
      <c r="F19" s="47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4</v>
      </c>
      <c r="G19" s="90">
        <f t="shared" si="2"/>
        <v>12</v>
      </c>
      <c r="H19" s="47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26</v>
      </c>
      <c r="I19" s="16">
        <v>50</v>
      </c>
      <c r="J19" s="47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1300</v>
      </c>
      <c r="K19" s="16"/>
      <c r="L19" s="49">
        <v>15</v>
      </c>
      <c r="M19" s="50">
        <f>+'วันที่ 15'!K207</f>
        <v>2215</v>
      </c>
      <c r="N19" s="50">
        <f>+'วันที่ 15'!K212</f>
        <v>120</v>
      </c>
      <c r="O19" s="50">
        <f>+'วันที่ 15'!K210</f>
        <v>0</v>
      </c>
      <c r="P19" s="50">
        <f>+'วันที่ 15'!K208</f>
        <v>15</v>
      </c>
      <c r="Q19" s="50">
        <f>+'วันที่ 15'!K211</f>
        <v>0</v>
      </c>
      <c r="R19" s="50">
        <f>+'วันที่ 15'!K209</f>
        <v>210</v>
      </c>
      <c r="S19" s="50">
        <f t="shared" si="5"/>
        <v>1870</v>
      </c>
      <c r="T19" s="50">
        <f>+'วันที่ 15'!K214</f>
        <v>1870</v>
      </c>
      <c r="U19" s="51">
        <f t="shared" si="6"/>
        <v>0</v>
      </c>
      <c r="V19" s="5"/>
    </row>
    <row r="20" spans="1:22">
      <c r="A20" s="10">
        <v>16</v>
      </c>
      <c r="B20" s="11" t="s">
        <v>31</v>
      </c>
      <c r="C20" s="46">
        <f>+'วันที่ 1'!C20</f>
        <v>0</v>
      </c>
      <c r="D20" s="47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1"/>
        <v>0</v>
      </c>
      <c r="F20" s="47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0">
        <f t="shared" si="2"/>
        <v>0</v>
      </c>
      <c r="H20" s="47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6">
        <v>50</v>
      </c>
      <c r="J20" s="47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6"/>
      <c r="L20" s="49">
        <v>16</v>
      </c>
      <c r="M20" s="50">
        <f>+'วันที่ 16'!K207</f>
        <v>0</v>
      </c>
      <c r="N20" s="50">
        <f>+'วันที่ 16'!K212</f>
        <v>0</v>
      </c>
      <c r="O20" s="50">
        <f>+'วันที่ 16'!K210</f>
        <v>0</v>
      </c>
      <c r="P20" s="50">
        <f>+'วันที่ 16'!K208</f>
        <v>0</v>
      </c>
      <c r="Q20" s="50">
        <f>+'วันที่ 16'!K211</f>
        <v>0</v>
      </c>
      <c r="R20" s="50">
        <f>+'วันที่ 16'!K209</f>
        <v>0</v>
      </c>
      <c r="S20" s="50">
        <f>+M20-N20-P20-R20-Q20</f>
        <v>0</v>
      </c>
      <c r="T20" s="50">
        <f>+'วันที่ 16'!K214</f>
        <v>0</v>
      </c>
      <c r="U20" s="51">
        <f>+T20-S20</f>
        <v>0</v>
      </c>
      <c r="V20" s="5"/>
    </row>
    <row r="21" spans="1:22">
      <c r="A21" s="10">
        <v>17</v>
      </c>
      <c r="B21" s="11" t="s">
        <v>32</v>
      </c>
      <c r="C21" s="46">
        <f>+'วันที่ 1'!C21</f>
        <v>0</v>
      </c>
      <c r="D21" s="47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1"/>
        <v>0</v>
      </c>
      <c r="F21" s="47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0">
        <f t="shared" si="2"/>
        <v>0</v>
      </c>
      <c r="H21" s="47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6">
        <v>50</v>
      </c>
      <c r="J21" s="47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6"/>
      <c r="L21" s="49">
        <v>17</v>
      </c>
      <c r="M21" s="50">
        <f>+'วันที่ 17'!K207</f>
        <v>0</v>
      </c>
      <c r="N21" s="50">
        <f>+'วันที่ 17'!K212</f>
        <v>0</v>
      </c>
      <c r="O21" s="50">
        <f>+'วันที่ 17'!K210</f>
        <v>0</v>
      </c>
      <c r="P21" s="50">
        <f>+'วันที่ 17'!K208</f>
        <v>0</v>
      </c>
      <c r="Q21" s="50">
        <f>+'วันที่ 17'!K211</f>
        <v>0</v>
      </c>
      <c r="R21" s="50">
        <f>+'วันที่ 17'!K209</f>
        <v>0</v>
      </c>
      <c r="S21" s="50">
        <f t="shared" si="5"/>
        <v>0</v>
      </c>
      <c r="T21" s="50">
        <f>+'วันที่ 17'!K214</f>
        <v>0</v>
      </c>
      <c r="U21" s="51">
        <f t="shared" si="6"/>
        <v>0</v>
      </c>
      <c r="V21" s="5"/>
    </row>
    <row r="22" spans="1:22">
      <c r="A22" s="10">
        <v>18</v>
      </c>
      <c r="B22" s="11" t="s">
        <v>33</v>
      </c>
      <c r="C22" s="46">
        <f>+'วันที่ 1'!C22</f>
        <v>5</v>
      </c>
      <c r="D22" s="47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13</v>
      </c>
      <c r="E22" s="46">
        <f t="shared" si="1"/>
        <v>18</v>
      </c>
      <c r="F22" s="47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90">
        <f t="shared" si="2"/>
        <v>5</v>
      </c>
      <c r="H22" s="47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13</v>
      </c>
      <c r="I22" s="16">
        <v>85</v>
      </c>
      <c r="J22" s="47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1105</v>
      </c>
      <c r="K22" s="16"/>
      <c r="L22" s="49">
        <v>18</v>
      </c>
      <c r="M22" s="50">
        <f>+'วันที่ 18'!K207</f>
        <v>0</v>
      </c>
      <c r="N22" s="50">
        <f>+'วันที่ 18'!K212</f>
        <v>0</v>
      </c>
      <c r="O22" s="50">
        <f>+'วันที่ 18'!K210</f>
        <v>0</v>
      </c>
      <c r="P22" s="50">
        <f>+'วันที่ 18'!K208</f>
        <v>0</v>
      </c>
      <c r="Q22" s="50">
        <f>+'วันที่ 18'!K211</f>
        <v>0</v>
      </c>
      <c r="R22" s="50">
        <f>+'วันที่ 18'!K209</f>
        <v>0</v>
      </c>
      <c r="S22" s="50">
        <f t="shared" si="5"/>
        <v>0</v>
      </c>
      <c r="T22" s="50">
        <f>+'วันที่ 18'!K214</f>
        <v>0</v>
      </c>
      <c r="U22" s="51">
        <f t="shared" si="6"/>
        <v>0</v>
      </c>
      <c r="V22" s="5"/>
    </row>
    <row r="23" spans="1:22">
      <c r="A23" s="10">
        <v>19</v>
      </c>
      <c r="B23" s="82" t="s">
        <v>34</v>
      </c>
      <c r="C23" s="46">
        <f>+'วันที่ 1'!C23</f>
        <v>9</v>
      </c>
      <c r="D23" s="47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45</v>
      </c>
      <c r="E23" s="46">
        <f t="shared" si="1"/>
        <v>54</v>
      </c>
      <c r="F23" s="47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23" s="90">
        <f t="shared" si="2"/>
        <v>5</v>
      </c>
      <c r="H23" s="47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49</v>
      </c>
      <c r="I23" s="85">
        <v>100</v>
      </c>
      <c r="J23" s="47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4900</v>
      </c>
      <c r="K23" s="16"/>
      <c r="L23" s="49">
        <v>19</v>
      </c>
      <c r="M23" s="50">
        <f>+'วันที่ 19'!K207</f>
        <v>0</v>
      </c>
      <c r="N23" s="50">
        <f>+'วันที่ 19'!K212</f>
        <v>0</v>
      </c>
      <c r="O23" s="50">
        <f>+'วันที่ 19'!K210</f>
        <v>0</v>
      </c>
      <c r="P23" s="50">
        <f>+'วันที่ 19'!K208</f>
        <v>0</v>
      </c>
      <c r="Q23" s="50">
        <f>+'วันที่ 19'!K210</f>
        <v>0</v>
      </c>
      <c r="R23" s="50">
        <f>+'วันที่ 19'!K209</f>
        <v>0</v>
      </c>
      <c r="S23" s="50">
        <f t="shared" si="5"/>
        <v>0</v>
      </c>
      <c r="T23" s="50">
        <f>+'วันที่ 19'!K214</f>
        <v>0</v>
      </c>
      <c r="U23" s="51">
        <f t="shared" si="6"/>
        <v>0</v>
      </c>
      <c r="V23" s="5"/>
    </row>
    <row r="24" spans="1:22">
      <c r="A24" s="10">
        <v>20</v>
      </c>
      <c r="B24" s="11" t="s">
        <v>35</v>
      </c>
      <c r="C24" s="46">
        <f>+'วันที่ 1'!C24</f>
        <v>11</v>
      </c>
      <c r="D24" s="47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15</v>
      </c>
      <c r="E24" s="46">
        <f t="shared" si="1"/>
        <v>26</v>
      </c>
      <c r="F24" s="47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1</v>
      </c>
      <c r="G24" s="90">
        <f t="shared" si="2"/>
        <v>6</v>
      </c>
      <c r="H24" s="47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19</v>
      </c>
      <c r="I24" s="22">
        <v>100</v>
      </c>
      <c r="J24" s="47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1900</v>
      </c>
      <c r="K24" s="16"/>
      <c r="L24" s="49">
        <v>20</v>
      </c>
      <c r="M24" s="50">
        <f>+'วันที่ 20'!K207</f>
        <v>0</v>
      </c>
      <c r="N24" s="50">
        <f>+'วันที่ 20'!K212</f>
        <v>0</v>
      </c>
      <c r="O24" s="50">
        <f>+'วันที่ 20'!K210</f>
        <v>0</v>
      </c>
      <c r="P24" s="50">
        <f>+'วันที่ 20'!K208</f>
        <v>0</v>
      </c>
      <c r="Q24" s="50">
        <f>+'วันที่ 20'!K211</f>
        <v>0</v>
      </c>
      <c r="R24" s="50">
        <f>+'วันที่ 20'!K209</f>
        <v>0</v>
      </c>
      <c r="S24" s="50">
        <f t="shared" si="5"/>
        <v>0</v>
      </c>
      <c r="T24" s="50">
        <f>+'วันที่ 20'!K214</f>
        <v>0</v>
      </c>
      <c r="U24" s="51">
        <f t="shared" si="6"/>
        <v>0</v>
      </c>
      <c r="V24" s="5"/>
    </row>
    <row r="25" spans="1:22">
      <c r="A25" s="10">
        <v>21</v>
      </c>
      <c r="B25" s="11" t="s">
        <v>36</v>
      </c>
      <c r="C25" s="46">
        <f>+'วันที่ 1'!C25</f>
        <v>0</v>
      </c>
      <c r="D25" s="47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1"/>
        <v>0</v>
      </c>
      <c r="F25" s="47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0">
        <f t="shared" si="2"/>
        <v>0</v>
      </c>
      <c r="H25" s="47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22">
        <v>100</v>
      </c>
      <c r="J25" s="47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6"/>
      <c r="L25" s="49">
        <v>21</v>
      </c>
      <c r="M25" s="50">
        <f>+'วันที่ 21'!K207</f>
        <v>0</v>
      </c>
      <c r="N25" s="50">
        <f>+'วันที่ 21'!K212</f>
        <v>0</v>
      </c>
      <c r="O25" s="50">
        <f>+'วันที่ 21'!K210</f>
        <v>0</v>
      </c>
      <c r="P25" s="50">
        <f>+'วันที่ 21'!K208</f>
        <v>0</v>
      </c>
      <c r="Q25" s="50">
        <f>+'วันที่ 21'!K211</f>
        <v>0</v>
      </c>
      <c r="R25" s="50">
        <f>+'วันที่ 21'!K209</f>
        <v>0</v>
      </c>
      <c r="S25" s="50">
        <f t="shared" si="5"/>
        <v>0</v>
      </c>
      <c r="T25" s="50">
        <f>+'วันที่ 21'!K214</f>
        <v>0</v>
      </c>
      <c r="U25" s="51">
        <f t="shared" si="6"/>
        <v>0</v>
      </c>
      <c r="V25" s="5"/>
    </row>
    <row r="26" spans="1:22">
      <c r="A26" s="10">
        <v>22</v>
      </c>
      <c r="B26" s="11" t="s">
        <v>37</v>
      </c>
      <c r="C26" s="46">
        <f>+'วันที่ 1'!C26</f>
        <v>0</v>
      </c>
      <c r="D26" s="47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1"/>
        <v>0</v>
      </c>
      <c r="F26" s="47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0">
        <f t="shared" si="2"/>
        <v>0</v>
      </c>
      <c r="H26" s="47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22">
        <v>100</v>
      </c>
      <c r="J26" s="47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6"/>
      <c r="L26" s="49">
        <v>22</v>
      </c>
      <c r="M26" s="50">
        <f>+'วันที่ 22'!K207</f>
        <v>0</v>
      </c>
      <c r="N26" s="50">
        <f>+'วันที่ 22'!K212</f>
        <v>0</v>
      </c>
      <c r="O26" s="50">
        <f>+'วันที่ 22'!K210</f>
        <v>0</v>
      </c>
      <c r="P26" s="50">
        <f>+'วันที่ 22'!K208</f>
        <v>0</v>
      </c>
      <c r="Q26" s="50">
        <f>+'วันที่ 22'!K211</f>
        <v>0</v>
      </c>
      <c r="R26" s="50">
        <f>+'วันที่ 22'!K209</f>
        <v>0</v>
      </c>
      <c r="S26" s="50">
        <f t="shared" si="5"/>
        <v>0</v>
      </c>
      <c r="T26" s="50">
        <f>+'วันที่ 22'!K214</f>
        <v>0</v>
      </c>
      <c r="U26" s="51">
        <f t="shared" si="6"/>
        <v>0</v>
      </c>
      <c r="V26" s="5"/>
    </row>
    <row r="27" spans="1:22">
      <c r="A27" s="10">
        <v>23</v>
      </c>
      <c r="B27" s="11" t="s">
        <v>38</v>
      </c>
      <c r="C27" s="46">
        <f>+'วันที่ 1'!C27</f>
        <v>0</v>
      </c>
      <c r="D27" s="47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1"/>
        <v>0</v>
      </c>
      <c r="F27" s="47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0">
        <f t="shared" si="2"/>
        <v>0</v>
      </c>
      <c r="H27" s="47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21">
        <v>100</v>
      </c>
      <c r="J27" s="47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6"/>
      <c r="L27" s="49">
        <v>23</v>
      </c>
      <c r="M27" s="50">
        <f>+'วันที่ 23'!K207</f>
        <v>0</v>
      </c>
      <c r="N27" s="50">
        <f>+'วันที่ 23'!K212</f>
        <v>0</v>
      </c>
      <c r="O27" s="50">
        <f>+'วันที่ 23'!K210</f>
        <v>0</v>
      </c>
      <c r="P27" s="50">
        <f>+'วันที่ 23'!K208</f>
        <v>0</v>
      </c>
      <c r="Q27" s="50">
        <f>+'วันที่ 23'!K211</f>
        <v>0</v>
      </c>
      <c r="R27" s="50">
        <f>+'วันที่ 23'!K209</f>
        <v>0</v>
      </c>
      <c r="S27" s="50">
        <f t="shared" si="5"/>
        <v>0</v>
      </c>
      <c r="T27" s="50">
        <f>+'วันที่ 23'!K214</f>
        <v>0</v>
      </c>
      <c r="U27" s="51">
        <f t="shared" si="6"/>
        <v>0</v>
      </c>
      <c r="V27" s="5"/>
    </row>
    <row r="28" spans="1:22">
      <c r="A28" s="10">
        <v>24</v>
      </c>
      <c r="B28" s="11" t="s">
        <v>39</v>
      </c>
      <c r="C28" s="46">
        <f>+'วันที่ 1'!C28</f>
        <v>0</v>
      </c>
      <c r="D28" s="47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1"/>
        <v>0</v>
      </c>
      <c r="F28" s="47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0">
        <f t="shared" si="2"/>
        <v>0</v>
      </c>
      <c r="H28" s="47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21">
        <v>100</v>
      </c>
      <c r="J28" s="47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6"/>
      <c r="L28" s="49">
        <v>24</v>
      </c>
      <c r="M28" s="50">
        <f>+'วันที่ 24'!K207</f>
        <v>0</v>
      </c>
      <c r="N28" s="50">
        <f>+'วันที่ 24'!K212</f>
        <v>0</v>
      </c>
      <c r="O28" s="50">
        <f>+'วันที่ 24'!K210</f>
        <v>0</v>
      </c>
      <c r="P28" s="50">
        <f>+'วันที่ 24'!K208</f>
        <v>0</v>
      </c>
      <c r="Q28" s="50">
        <f>+'วันที่ 24'!K211</f>
        <v>0</v>
      </c>
      <c r="R28" s="50">
        <f>+'วันที่ 24'!K209</f>
        <v>0</v>
      </c>
      <c r="S28" s="50">
        <f t="shared" si="5"/>
        <v>0</v>
      </c>
      <c r="T28" s="50">
        <f>+'วันที่ 24'!K214</f>
        <v>0</v>
      </c>
      <c r="U28" s="51">
        <f t="shared" si="6"/>
        <v>0</v>
      </c>
      <c r="V28" s="5"/>
    </row>
    <row r="29" spans="1:22">
      <c r="A29" s="10">
        <v>25</v>
      </c>
      <c r="B29" s="11" t="s">
        <v>40</v>
      </c>
      <c r="C29" s="46">
        <f>+'วันที่ 1'!C29</f>
        <v>7</v>
      </c>
      <c r="D29" s="47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25</v>
      </c>
      <c r="E29" s="46">
        <f t="shared" si="1"/>
        <v>32</v>
      </c>
      <c r="F29" s="47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90">
        <f t="shared" si="2"/>
        <v>11</v>
      </c>
      <c r="H29" s="47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21</v>
      </c>
      <c r="I29" s="16">
        <v>100</v>
      </c>
      <c r="J29" s="47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2100</v>
      </c>
      <c r="K29" s="16"/>
      <c r="L29" s="49">
        <v>25</v>
      </c>
      <c r="M29" s="50">
        <f>+'วันที่ 25'!K207</f>
        <v>0</v>
      </c>
      <c r="N29" s="50">
        <f>+'วันที่ 25'!K212</f>
        <v>0</v>
      </c>
      <c r="O29" s="50">
        <f>+'วันที่ 25'!K210</f>
        <v>0</v>
      </c>
      <c r="P29" s="50">
        <f>+'วันที่ 25'!K208</f>
        <v>0</v>
      </c>
      <c r="Q29" s="50">
        <f>+'วันที่ 25'!K211</f>
        <v>0</v>
      </c>
      <c r="R29" s="50">
        <f>+'วันที่ 25'!K209</f>
        <v>0</v>
      </c>
      <c r="S29" s="50">
        <f t="shared" si="5"/>
        <v>0</v>
      </c>
      <c r="T29" s="50">
        <f>+'วันที่ 25'!K214</f>
        <v>0</v>
      </c>
      <c r="U29" s="51">
        <f t="shared" si="6"/>
        <v>0</v>
      </c>
      <c r="V29" s="5"/>
    </row>
    <row r="30" spans="1:22">
      <c r="A30" s="10">
        <v>26</v>
      </c>
      <c r="B30" s="11" t="s">
        <v>41</v>
      </c>
      <c r="C30" s="46">
        <f>+'วันที่ 1'!C30</f>
        <v>0</v>
      </c>
      <c r="D30" s="47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1"/>
        <v>0</v>
      </c>
      <c r="F30" s="47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0">
        <f t="shared" si="2"/>
        <v>0</v>
      </c>
      <c r="H30" s="47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6">
        <v>100</v>
      </c>
      <c r="J30" s="47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6"/>
      <c r="L30" s="49">
        <v>26</v>
      </c>
      <c r="M30" s="50">
        <f>+'วันที่ 26'!K207</f>
        <v>0</v>
      </c>
      <c r="N30" s="50">
        <f>+'วันที่ 26'!K212</f>
        <v>0</v>
      </c>
      <c r="O30" s="50">
        <f>+'วันที่ 26'!K210</f>
        <v>0</v>
      </c>
      <c r="P30" s="50">
        <f>+'วันที่ 26'!K208</f>
        <v>0</v>
      </c>
      <c r="Q30" s="50">
        <f>+'วันที่ 26'!K211</f>
        <v>0</v>
      </c>
      <c r="R30" s="50">
        <f>+'วันที่ 26'!K209</f>
        <v>0</v>
      </c>
      <c r="S30" s="50">
        <f t="shared" si="5"/>
        <v>0</v>
      </c>
      <c r="T30" s="50">
        <f>+'วันที่ 26'!K214</f>
        <v>0</v>
      </c>
      <c r="U30" s="51">
        <f t="shared" si="6"/>
        <v>0</v>
      </c>
      <c r="V30" s="5"/>
    </row>
    <row r="31" spans="1:22">
      <c r="A31" s="10">
        <v>27</v>
      </c>
      <c r="B31" s="11" t="s">
        <v>42</v>
      </c>
      <c r="C31" s="46">
        <f>+'วันที่ 1'!C31</f>
        <v>0</v>
      </c>
      <c r="D31" s="47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1"/>
        <v>0</v>
      </c>
      <c r="F31" s="47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0">
        <f t="shared" si="2"/>
        <v>0</v>
      </c>
      <c r="H31" s="47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6">
        <v>100</v>
      </c>
      <c r="J31" s="47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6"/>
      <c r="L31" s="49">
        <v>27</v>
      </c>
      <c r="M31" s="50">
        <f>+'วันที่ 27'!K207</f>
        <v>0</v>
      </c>
      <c r="N31" s="50">
        <f>+'วันที่ 27'!K212</f>
        <v>0</v>
      </c>
      <c r="O31" s="50">
        <f>+'วันที่ 27'!K210</f>
        <v>0</v>
      </c>
      <c r="P31" s="50">
        <f>+'วันที่ 27'!K208</f>
        <v>0</v>
      </c>
      <c r="Q31" s="50">
        <f>+'วันที่ 27'!K211</f>
        <v>0</v>
      </c>
      <c r="R31" s="50">
        <f>+'วันที่ 27'!K209</f>
        <v>0</v>
      </c>
      <c r="S31" s="50">
        <f t="shared" si="5"/>
        <v>0</v>
      </c>
      <c r="T31" s="50">
        <f>+'วันที่ 27'!K214</f>
        <v>0</v>
      </c>
      <c r="U31" s="51">
        <f t="shared" si="6"/>
        <v>0</v>
      </c>
      <c r="V31" s="5"/>
    </row>
    <row r="32" spans="1:22">
      <c r="A32" s="10">
        <v>28</v>
      </c>
      <c r="B32" s="11" t="s">
        <v>43</v>
      </c>
      <c r="C32" s="46">
        <f>+'วันที่ 1'!C32</f>
        <v>0</v>
      </c>
      <c r="D32" s="47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46">
        <f t="shared" si="1"/>
        <v>0</v>
      </c>
      <c r="F32" s="47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0">
        <f t="shared" si="2"/>
        <v>0</v>
      </c>
      <c r="H32" s="47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16">
        <v>130</v>
      </c>
      <c r="J32" s="47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16"/>
      <c r="L32" s="49">
        <v>28</v>
      </c>
      <c r="M32" s="50">
        <f>+'วันที่ 28'!K207</f>
        <v>0</v>
      </c>
      <c r="N32" s="50">
        <f>+'วันที่ 28'!K212</f>
        <v>0</v>
      </c>
      <c r="O32" s="50">
        <f>+'วันที่ 28'!K210</f>
        <v>0</v>
      </c>
      <c r="P32" s="50">
        <f>+'วันที่ 28'!K208</f>
        <v>0</v>
      </c>
      <c r="Q32" s="50">
        <f>+'วันที่ 28'!K211</f>
        <v>0</v>
      </c>
      <c r="R32" s="50">
        <f>+'วันที่ 28'!K209</f>
        <v>0</v>
      </c>
      <c r="S32" s="50">
        <f t="shared" si="5"/>
        <v>0</v>
      </c>
      <c r="T32" s="50">
        <f>+'วันที่ 28'!K214</f>
        <v>0</v>
      </c>
      <c r="U32" s="51">
        <f t="shared" si="6"/>
        <v>0</v>
      </c>
      <c r="V32" s="5"/>
    </row>
    <row r="33" spans="1:22">
      <c r="A33" s="10">
        <v>29</v>
      </c>
      <c r="B33" s="11" t="s">
        <v>44</v>
      </c>
      <c r="C33" s="46">
        <f>+'วันที่ 1'!C33</f>
        <v>0</v>
      </c>
      <c r="D33" s="47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1"/>
        <v>0</v>
      </c>
      <c r="F33" s="47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0">
        <f t="shared" si="2"/>
        <v>0</v>
      </c>
      <c r="H33" s="47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6">
        <v>130</v>
      </c>
      <c r="J33" s="47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6"/>
      <c r="L33" s="49">
        <v>29</v>
      </c>
      <c r="M33" s="50">
        <f>+'วันที่ 29'!K207</f>
        <v>0</v>
      </c>
      <c r="N33" s="50">
        <f>+'วันที่ 29'!K212</f>
        <v>0</v>
      </c>
      <c r="O33" s="50">
        <f>+'วันที่ 29'!K210</f>
        <v>0</v>
      </c>
      <c r="P33" s="50">
        <f>+'วันที่ 29'!K208</f>
        <v>0</v>
      </c>
      <c r="Q33" s="50">
        <f>+'วันที่ 29'!K211</f>
        <v>0</v>
      </c>
      <c r="R33" s="50">
        <f>+'วันที่ 29'!K209</f>
        <v>0</v>
      </c>
      <c r="S33" s="50">
        <f t="shared" si="5"/>
        <v>0</v>
      </c>
      <c r="T33" s="50">
        <f>+'วันที่ 29'!K214</f>
        <v>0</v>
      </c>
      <c r="U33" s="51">
        <f t="shared" si="6"/>
        <v>0</v>
      </c>
      <c r="V33" s="5"/>
    </row>
    <row r="34" spans="1:22">
      <c r="A34" s="10">
        <v>30</v>
      </c>
      <c r="B34" s="11" t="s">
        <v>45</v>
      </c>
      <c r="C34" s="46">
        <f>+'วันที่ 1'!C34</f>
        <v>1</v>
      </c>
      <c r="D34" s="47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15</v>
      </c>
      <c r="E34" s="46">
        <f t="shared" si="1"/>
        <v>16</v>
      </c>
      <c r="F34" s="47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90">
        <f t="shared" si="2"/>
        <v>3</v>
      </c>
      <c r="H34" s="47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13</v>
      </c>
      <c r="I34" s="16">
        <v>130</v>
      </c>
      <c r="J34" s="47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1690</v>
      </c>
      <c r="K34" s="16"/>
      <c r="L34" s="49">
        <v>30</v>
      </c>
      <c r="M34" s="50">
        <f>+'วันที่ 30'!K207</f>
        <v>0</v>
      </c>
      <c r="N34" s="50">
        <f>+'วันที่ 30'!K212</f>
        <v>0</v>
      </c>
      <c r="O34" s="50">
        <f>+'วันที่ 30'!K210</f>
        <v>0</v>
      </c>
      <c r="P34" s="50">
        <f>+'วันที่ 30'!K208</f>
        <v>0</v>
      </c>
      <c r="Q34" s="50">
        <f>+'วันที่ 30'!K211</f>
        <v>0</v>
      </c>
      <c r="R34" s="50">
        <f>+'วันที่ 30'!K209</f>
        <v>0</v>
      </c>
      <c r="S34" s="50">
        <f t="shared" si="5"/>
        <v>0</v>
      </c>
      <c r="T34" s="50">
        <f>+'วันที่ 30'!K214</f>
        <v>0</v>
      </c>
      <c r="U34" s="51">
        <f t="shared" si="6"/>
        <v>0</v>
      </c>
      <c r="V34" s="5"/>
    </row>
    <row r="35" spans="1:22">
      <c r="A35" s="10">
        <v>31</v>
      </c>
      <c r="B35" s="11" t="s">
        <v>46</v>
      </c>
      <c r="C35" s="46">
        <f>+'วันที่ 1'!C35</f>
        <v>2</v>
      </c>
      <c r="D35" s="47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12</v>
      </c>
      <c r="E35" s="46">
        <f t="shared" si="1"/>
        <v>14</v>
      </c>
      <c r="F35" s="47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90">
        <f t="shared" si="2"/>
        <v>1</v>
      </c>
      <c r="H35" s="47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13</v>
      </c>
      <c r="I35" s="16">
        <v>130</v>
      </c>
      <c r="J35" s="47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1690</v>
      </c>
      <c r="K35" s="16"/>
      <c r="L35" s="49">
        <v>31</v>
      </c>
      <c r="M35" s="50">
        <f>+'วันที่ 31'!K207</f>
        <v>0</v>
      </c>
      <c r="N35" s="50">
        <f>+'วันที่ 31'!K212</f>
        <v>0</v>
      </c>
      <c r="O35" s="50">
        <f>+'วันที่ 31'!K210</f>
        <v>0</v>
      </c>
      <c r="P35" s="50">
        <f>+'วันที่ 31'!K208</f>
        <v>0</v>
      </c>
      <c r="Q35" s="50">
        <f>+'วันที่ 31'!K211</f>
        <v>0</v>
      </c>
      <c r="R35" s="50">
        <f>+'วันที่ 31'!K209</f>
        <v>0</v>
      </c>
      <c r="S35" s="50">
        <f t="shared" si="5"/>
        <v>0</v>
      </c>
      <c r="T35" s="50">
        <f>+'วันที่ 31'!K214</f>
        <v>0</v>
      </c>
      <c r="U35" s="51">
        <f t="shared" si="6"/>
        <v>0</v>
      </c>
      <c r="V35" s="5"/>
    </row>
    <row r="36" spans="1:22">
      <c r="A36" s="10">
        <v>32</v>
      </c>
      <c r="B36" s="11" t="s">
        <v>47</v>
      </c>
      <c r="C36" s="46">
        <f>+'วันที่ 1'!C36</f>
        <v>0</v>
      </c>
      <c r="D36" s="47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1"/>
        <v>0</v>
      </c>
      <c r="F36" s="47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0">
        <f t="shared" si="2"/>
        <v>0</v>
      </c>
      <c r="H36" s="47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6">
        <v>100</v>
      </c>
      <c r="J36" s="47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6"/>
      <c r="L36" s="52" t="s">
        <v>5</v>
      </c>
      <c r="M36" s="53">
        <f t="shared" ref="M36:T36" si="7">SUM(M5:M35)</f>
        <v>52230</v>
      </c>
      <c r="N36" s="53">
        <f t="shared" si="7"/>
        <v>1545</v>
      </c>
      <c r="O36" s="53">
        <f t="shared" si="7"/>
        <v>0</v>
      </c>
      <c r="P36" s="53">
        <f>SUM(P5:P35)</f>
        <v>225</v>
      </c>
      <c r="Q36" s="53">
        <f t="shared" si="7"/>
        <v>0</v>
      </c>
      <c r="R36" s="53">
        <f>SUM(R5:R35)</f>
        <v>14710</v>
      </c>
      <c r="S36" s="53">
        <f t="shared" si="7"/>
        <v>35750</v>
      </c>
      <c r="T36" s="53">
        <f t="shared" si="7"/>
        <v>35750</v>
      </c>
      <c r="U36" s="53">
        <f>SUM(U5:U35)</f>
        <v>0</v>
      </c>
      <c r="V36" s="5"/>
    </row>
    <row r="37" spans="1:22">
      <c r="A37" s="10">
        <v>33</v>
      </c>
      <c r="B37" s="11" t="s">
        <v>48</v>
      </c>
      <c r="C37" s="46">
        <f>+'วันที่ 1'!C37</f>
        <v>6</v>
      </c>
      <c r="D37" s="47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36</v>
      </c>
      <c r="E37" s="46">
        <f t="shared" si="1"/>
        <v>42</v>
      </c>
      <c r="F37" s="47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37" s="90">
        <f t="shared" si="2"/>
        <v>8</v>
      </c>
      <c r="H37" s="47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34</v>
      </c>
      <c r="I37" s="16">
        <v>100</v>
      </c>
      <c r="J37" s="47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3400</v>
      </c>
      <c r="K37" s="16"/>
      <c r="P37" s="54"/>
      <c r="S37" s="54"/>
      <c r="U37" s="5"/>
    </row>
    <row r="38" spans="1:22">
      <c r="A38" s="10">
        <v>34</v>
      </c>
      <c r="B38" s="11" t="s">
        <v>49</v>
      </c>
      <c r="C38" s="46">
        <f>+'วันที่ 1'!C38</f>
        <v>7</v>
      </c>
      <c r="D38" s="47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10</v>
      </c>
      <c r="E38" s="46">
        <f t="shared" si="1"/>
        <v>17</v>
      </c>
      <c r="F38" s="47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90">
        <f t="shared" si="2"/>
        <v>0</v>
      </c>
      <c r="H38" s="47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17</v>
      </c>
      <c r="I38" s="16">
        <v>50</v>
      </c>
      <c r="J38" s="47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850</v>
      </c>
      <c r="K38" s="16"/>
      <c r="M38" s="55"/>
      <c r="N38" s="54"/>
      <c r="U38" s="5"/>
    </row>
    <row r="39" spans="1:22">
      <c r="A39" s="10">
        <v>35</v>
      </c>
      <c r="B39" s="11" t="s">
        <v>50</v>
      </c>
      <c r="C39" s="46">
        <f>+'วันที่ 1'!C39</f>
        <v>1</v>
      </c>
      <c r="D39" s="47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8</v>
      </c>
      <c r="E39" s="46">
        <f t="shared" si="1"/>
        <v>9</v>
      </c>
      <c r="F39" s="47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90">
        <f t="shared" si="2"/>
        <v>0</v>
      </c>
      <c r="H39" s="47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9</v>
      </c>
      <c r="I39" s="16">
        <v>50</v>
      </c>
      <c r="J39" s="47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450</v>
      </c>
      <c r="K39" s="16"/>
      <c r="M39" s="56"/>
      <c r="O39" s="54"/>
      <c r="U39" s="5"/>
    </row>
    <row r="40" spans="1:22">
      <c r="A40" s="10">
        <v>36</v>
      </c>
      <c r="B40" s="11" t="s">
        <v>51</v>
      </c>
      <c r="C40" s="46">
        <f>+'วันที่ 1'!C40</f>
        <v>4</v>
      </c>
      <c r="D40" s="47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5</v>
      </c>
      <c r="E40" s="46">
        <f t="shared" si="1"/>
        <v>9</v>
      </c>
      <c r="F40" s="47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1</v>
      </c>
      <c r="G40" s="90">
        <f t="shared" si="2"/>
        <v>0</v>
      </c>
      <c r="H40" s="47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8</v>
      </c>
      <c r="I40" s="16">
        <v>50</v>
      </c>
      <c r="J40" s="47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400</v>
      </c>
      <c r="K40" s="16"/>
      <c r="M40" s="56"/>
      <c r="U40" s="5"/>
    </row>
    <row r="41" spans="1:22">
      <c r="A41" s="10">
        <v>37</v>
      </c>
      <c r="B41" s="11" t="s">
        <v>52</v>
      </c>
      <c r="C41" s="46">
        <f>+'วันที่ 1'!C41</f>
        <v>8</v>
      </c>
      <c r="D41" s="47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20</v>
      </c>
      <c r="E41" s="46">
        <f t="shared" si="1"/>
        <v>28</v>
      </c>
      <c r="F41" s="47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90">
        <f t="shared" si="2"/>
        <v>9</v>
      </c>
      <c r="H41" s="47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19</v>
      </c>
      <c r="I41" s="16">
        <v>50</v>
      </c>
      <c r="J41" s="47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950</v>
      </c>
      <c r="K41" s="16"/>
      <c r="M41" s="56"/>
      <c r="U41" s="5"/>
    </row>
    <row r="42" spans="1:22">
      <c r="A42" s="10">
        <v>38</v>
      </c>
      <c r="B42" s="11" t="s">
        <v>53</v>
      </c>
      <c r="C42" s="46">
        <f>+'วันที่ 1'!C42</f>
        <v>5</v>
      </c>
      <c r="D42" s="47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15</v>
      </c>
      <c r="E42" s="46">
        <f t="shared" si="1"/>
        <v>20</v>
      </c>
      <c r="F42" s="47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2</v>
      </c>
      <c r="G42" s="90">
        <f t="shared" si="2"/>
        <v>4</v>
      </c>
      <c r="H42" s="47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14</v>
      </c>
      <c r="I42" s="16">
        <v>50</v>
      </c>
      <c r="J42" s="47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700</v>
      </c>
      <c r="K42" s="16"/>
      <c r="M42" s="56"/>
      <c r="U42" s="5"/>
    </row>
    <row r="43" spans="1:22">
      <c r="A43" s="10">
        <v>39</v>
      </c>
      <c r="B43" s="11" t="s">
        <v>54</v>
      </c>
      <c r="C43" s="46">
        <f>+'วันที่ 1'!C43</f>
        <v>9</v>
      </c>
      <c r="D43" s="47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10</v>
      </c>
      <c r="E43" s="46">
        <f t="shared" si="1"/>
        <v>19</v>
      </c>
      <c r="F43" s="47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1</v>
      </c>
      <c r="G43" s="90">
        <f t="shared" si="2"/>
        <v>9</v>
      </c>
      <c r="H43" s="47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9</v>
      </c>
      <c r="I43" s="16">
        <v>50</v>
      </c>
      <c r="J43" s="47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450</v>
      </c>
      <c r="K43" s="16"/>
      <c r="M43" s="56"/>
      <c r="U43" s="5"/>
    </row>
    <row r="44" spans="1:22">
      <c r="A44" s="10">
        <v>40</v>
      </c>
      <c r="B44" s="11" t="s">
        <v>55</v>
      </c>
      <c r="C44" s="46">
        <f>+'วันที่ 1'!C44</f>
        <v>6</v>
      </c>
      <c r="D44" s="47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15</v>
      </c>
      <c r="E44" s="46">
        <f t="shared" si="1"/>
        <v>21</v>
      </c>
      <c r="F44" s="47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1</v>
      </c>
      <c r="G44" s="90">
        <f t="shared" si="2"/>
        <v>8</v>
      </c>
      <c r="H44" s="47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12</v>
      </c>
      <c r="I44" s="16">
        <v>50</v>
      </c>
      <c r="J44" s="47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600</v>
      </c>
      <c r="K44" s="16"/>
      <c r="M44" s="56"/>
      <c r="U44" s="5"/>
    </row>
    <row r="45" spans="1:22">
      <c r="A45" s="10">
        <v>41</v>
      </c>
      <c r="B45" s="11" t="s">
        <v>56</v>
      </c>
      <c r="C45" s="46">
        <f>+'วันที่ 1'!C45</f>
        <v>0</v>
      </c>
      <c r="D45" s="47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1"/>
        <v>0</v>
      </c>
      <c r="F45" s="47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0">
        <f t="shared" si="2"/>
        <v>0</v>
      </c>
      <c r="H45" s="47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6">
        <v>50</v>
      </c>
      <c r="J45" s="47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6"/>
      <c r="M45" s="56"/>
      <c r="O45" s="54"/>
      <c r="U45" s="5"/>
    </row>
    <row r="46" spans="1:22">
      <c r="A46" s="10">
        <v>42</v>
      </c>
      <c r="B46" s="11" t="s">
        <v>57</v>
      </c>
      <c r="C46" s="46">
        <f>+'วันที่ 1'!C46</f>
        <v>8</v>
      </c>
      <c r="D46" s="47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15</v>
      </c>
      <c r="E46" s="46">
        <f t="shared" si="1"/>
        <v>23</v>
      </c>
      <c r="F46" s="47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1</v>
      </c>
      <c r="G46" s="90">
        <f t="shared" si="2"/>
        <v>6</v>
      </c>
      <c r="H46" s="47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16</v>
      </c>
      <c r="I46" s="16">
        <v>50</v>
      </c>
      <c r="J46" s="47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800</v>
      </c>
      <c r="K46" s="23"/>
      <c r="M46" s="56"/>
      <c r="U46" s="5"/>
    </row>
    <row r="47" spans="1:22">
      <c r="A47" s="10">
        <v>43</v>
      </c>
      <c r="B47" s="11" t="s">
        <v>58</v>
      </c>
      <c r="C47" s="46">
        <f>+'วันที่ 1'!C47</f>
        <v>14</v>
      </c>
      <c r="D47" s="47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25</v>
      </c>
      <c r="E47" s="46">
        <f t="shared" si="1"/>
        <v>39</v>
      </c>
      <c r="F47" s="47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90">
        <f t="shared" si="2"/>
        <v>13</v>
      </c>
      <c r="H47" s="47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26</v>
      </c>
      <c r="I47" s="16">
        <v>50</v>
      </c>
      <c r="J47" s="47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1300</v>
      </c>
      <c r="K47" s="23"/>
      <c r="M47" s="56"/>
      <c r="U47" s="5"/>
    </row>
    <row r="48" spans="1:22">
      <c r="A48" s="10">
        <v>44</v>
      </c>
      <c r="B48" s="11" t="s">
        <v>59</v>
      </c>
      <c r="C48" s="46">
        <f>+'วันที่ 1'!C48</f>
        <v>0</v>
      </c>
      <c r="D48" s="47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10</v>
      </c>
      <c r="E48" s="46">
        <f t="shared" si="1"/>
        <v>10</v>
      </c>
      <c r="F48" s="47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48" s="90">
        <f t="shared" si="2"/>
        <v>6</v>
      </c>
      <c r="H48" s="47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4</v>
      </c>
      <c r="I48" s="16">
        <v>50</v>
      </c>
      <c r="J48" s="47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200</v>
      </c>
      <c r="K48" s="23"/>
      <c r="M48" s="56"/>
      <c r="U48" s="5"/>
    </row>
    <row r="49" spans="1:21">
      <c r="A49" s="10">
        <v>45</v>
      </c>
      <c r="B49" s="11" t="s">
        <v>60</v>
      </c>
      <c r="C49" s="46">
        <f>+'วันที่ 1'!C49</f>
        <v>7</v>
      </c>
      <c r="D49" s="47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46">
        <f t="shared" si="1"/>
        <v>7</v>
      </c>
      <c r="F49" s="47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90">
        <f t="shared" si="2"/>
        <v>0</v>
      </c>
      <c r="H49" s="47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7</v>
      </c>
      <c r="I49" s="16">
        <v>50</v>
      </c>
      <c r="J49" s="47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350</v>
      </c>
      <c r="K49" s="23"/>
      <c r="M49" s="56"/>
      <c r="U49" s="5"/>
    </row>
    <row r="50" spans="1:21">
      <c r="A50" s="10">
        <v>46</v>
      </c>
      <c r="B50" s="11" t="s">
        <v>61</v>
      </c>
      <c r="C50" s="46">
        <f>+'วันที่ 1'!C50</f>
        <v>0</v>
      </c>
      <c r="D50" s="47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6</v>
      </c>
      <c r="E50" s="46">
        <f t="shared" si="1"/>
        <v>6</v>
      </c>
      <c r="F50" s="47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90">
        <f t="shared" si="2"/>
        <v>0</v>
      </c>
      <c r="H50" s="47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6</v>
      </c>
      <c r="I50" s="16">
        <v>120</v>
      </c>
      <c r="J50" s="47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720</v>
      </c>
      <c r="K50" s="23"/>
      <c r="M50" s="56"/>
      <c r="U50" s="5"/>
    </row>
    <row r="51" spans="1:21">
      <c r="A51" s="10">
        <v>47</v>
      </c>
      <c r="B51" s="11" t="s">
        <v>62</v>
      </c>
      <c r="C51" s="46">
        <f>+'วันที่ 1'!C51</f>
        <v>0</v>
      </c>
      <c r="D51" s="47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46">
        <f t="shared" si="1"/>
        <v>0</v>
      </c>
      <c r="F51" s="47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0">
        <f t="shared" si="2"/>
        <v>0</v>
      </c>
      <c r="H51" s="47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0</v>
      </c>
      <c r="I51" s="16">
        <v>120</v>
      </c>
      <c r="J51" s="47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0</v>
      </c>
      <c r="K51" s="23"/>
      <c r="M51" s="56"/>
      <c r="U51" s="5"/>
    </row>
    <row r="52" spans="1:21">
      <c r="A52" s="10">
        <v>48</v>
      </c>
      <c r="B52" s="11" t="s">
        <v>63</v>
      </c>
      <c r="C52" s="46">
        <f>+'วันที่ 1'!C52</f>
        <v>0</v>
      </c>
      <c r="D52" s="47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6</v>
      </c>
      <c r="E52" s="46">
        <f t="shared" si="1"/>
        <v>6</v>
      </c>
      <c r="F52" s="47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0">
        <f t="shared" si="2"/>
        <v>1</v>
      </c>
      <c r="H52" s="47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5</v>
      </c>
      <c r="I52" s="22">
        <v>120</v>
      </c>
      <c r="J52" s="47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600</v>
      </c>
      <c r="K52" s="23"/>
      <c r="M52" s="56"/>
      <c r="U52" s="5"/>
    </row>
    <row r="53" spans="1:21">
      <c r="A53" s="10">
        <v>49</v>
      </c>
      <c r="B53" s="11" t="s">
        <v>64</v>
      </c>
      <c r="C53" s="46">
        <f>+'วันที่ 1'!C53</f>
        <v>0</v>
      </c>
      <c r="D53" s="47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1"/>
        <v>0</v>
      </c>
      <c r="F53" s="47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0">
        <f t="shared" si="2"/>
        <v>0</v>
      </c>
      <c r="H53" s="47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6">
        <v>120</v>
      </c>
      <c r="J53" s="47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>
      <c r="A54" s="10">
        <v>50</v>
      </c>
      <c r="B54" s="11" t="s">
        <v>65</v>
      </c>
      <c r="C54" s="46">
        <f>+'วันที่ 1'!C54</f>
        <v>0</v>
      </c>
      <c r="D54" s="47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46">
        <f t="shared" si="1"/>
        <v>0</v>
      </c>
      <c r="F54" s="47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0">
        <f t="shared" si="2"/>
        <v>0</v>
      </c>
      <c r="H54" s="47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0</v>
      </c>
      <c r="I54" s="16">
        <v>120</v>
      </c>
      <c r="J54" s="47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0</v>
      </c>
      <c r="K54" s="23"/>
      <c r="M54" s="56"/>
      <c r="U54" s="5"/>
    </row>
    <row r="55" spans="1:21">
      <c r="A55" s="10">
        <v>51</v>
      </c>
      <c r="B55" s="11" t="s">
        <v>66</v>
      </c>
      <c r="C55" s="46">
        <f>+'วันที่ 1'!C55</f>
        <v>0</v>
      </c>
      <c r="D55" s="47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6</v>
      </c>
      <c r="E55" s="46">
        <f t="shared" si="1"/>
        <v>6</v>
      </c>
      <c r="F55" s="47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0">
        <f t="shared" si="2"/>
        <v>0</v>
      </c>
      <c r="H55" s="47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6</v>
      </c>
      <c r="I55" s="22">
        <v>120</v>
      </c>
      <c r="J55" s="47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720</v>
      </c>
      <c r="K55" s="21"/>
      <c r="M55" s="56"/>
      <c r="U55" s="5"/>
    </row>
    <row r="56" spans="1:21">
      <c r="A56" s="10">
        <v>52</v>
      </c>
      <c r="B56" s="11" t="s">
        <v>67</v>
      </c>
      <c r="C56" s="46">
        <f>+'วันที่ 1'!C56</f>
        <v>0</v>
      </c>
      <c r="D56" s="47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1"/>
        <v>0</v>
      </c>
      <c r="F56" s="47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0">
        <f t="shared" si="2"/>
        <v>0</v>
      </c>
      <c r="H56" s="47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22">
        <v>120</v>
      </c>
      <c r="J56" s="47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1"/>
      <c r="M56" s="56"/>
      <c r="U56" s="5"/>
    </row>
    <row r="57" spans="1:21">
      <c r="A57" s="10">
        <v>53</v>
      </c>
      <c r="B57" s="11" t="s">
        <v>68</v>
      </c>
      <c r="C57" s="46">
        <f>+'วันที่ 1'!C57</f>
        <v>0</v>
      </c>
      <c r="D57" s="47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3</v>
      </c>
      <c r="E57" s="46">
        <f t="shared" si="1"/>
        <v>3</v>
      </c>
      <c r="F57" s="47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57" s="90">
        <f t="shared" si="2"/>
        <v>0</v>
      </c>
      <c r="H57" s="47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3</v>
      </c>
      <c r="I57" s="22">
        <v>120</v>
      </c>
      <c r="J57" s="47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360</v>
      </c>
      <c r="K57" s="21"/>
      <c r="M57" s="56"/>
      <c r="U57" s="5"/>
    </row>
    <row r="58" spans="1:21">
      <c r="A58" s="10">
        <v>54</v>
      </c>
      <c r="B58" s="11" t="s">
        <v>69</v>
      </c>
      <c r="C58" s="46">
        <f>+'วันที่ 1'!C58</f>
        <v>0</v>
      </c>
      <c r="D58" s="47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1"/>
        <v>0</v>
      </c>
      <c r="F58" s="47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0">
        <f t="shared" si="2"/>
        <v>0</v>
      </c>
      <c r="H58" s="47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22">
        <v>120</v>
      </c>
      <c r="J58" s="47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1"/>
      <c r="M58" s="56"/>
      <c r="U58" s="5"/>
    </row>
    <row r="59" spans="1:21">
      <c r="A59" s="10">
        <v>55</v>
      </c>
      <c r="B59" s="11" t="s">
        <v>70</v>
      </c>
      <c r="C59" s="46">
        <f>+'วันที่ 1'!C59</f>
        <v>3</v>
      </c>
      <c r="D59" s="47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6</v>
      </c>
      <c r="E59" s="46">
        <f t="shared" si="1"/>
        <v>9</v>
      </c>
      <c r="F59" s="47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90">
        <f t="shared" si="2"/>
        <v>3</v>
      </c>
      <c r="H59" s="47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6</v>
      </c>
      <c r="I59" s="16">
        <v>70</v>
      </c>
      <c r="J59" s="47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420</v>
      </c>
      <c r="K59" s="20"/>
      <c r="M59" s="56"/>
      <c r="U59" s="5"/>
    </row>
    <row r="60" spans="1:21">
      <c r="A60" s="10">
        <v>56</v>
      </c>
      <c r="B60" s="11" t="s">
        <v>71</v>
      </c>
      <c r="C60" s="46">
        <f>+'วันที่ 1'!C60</f>
        <v>2</v>
      </c>
      <c r="D60" s="47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6</v>
      </c>
      <c r="E60" s="46">
        <f t="shared" si="1"/>
        <v>8</v>
      </c>
      <c r="F60" s="47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0">
        <f t="shared" si="2"/>
        <v>3</v>
      </c>
      <c r="H60" s="47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5</v>
      </c>
      <c r="I60" s="22">
        <v>80</v>
      </c>
      <c r="J60" s="47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400</v>
      </c>
      <c r="K60" s="20"/>
      <c r="M60" s="56"/>
      <c r="U60" s="5"/>
    </row>
    <row r="61" spans="1:21">
      <c r="A61" s="10">
        <v>57</v>
      </c>
      <c r="B61" s="11" t="s">
        <v>72</v>
      </c>
      <c r="C61" s="46">
        <f>+'วันที่ 1'!C61</f>
        <v>0</v>
      </c>
      <c r="D61" s="47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1"/>
        <v>0</v>
      </c>
      <c r="F61" s="47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0">
        <f t="shared" si="2"/>
        <v>0</v>
      </c>
      <c r="H61" s="47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6">
        <v>50</v>
      </c>
      <c r="J61" s="47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20"/>
      <c r="M61" s="56"/>
      <c r="U61" s="5"/>
    </row>
    <row r="62" spans="1:21">
      <c r="A62" s="10">
        <v>58</v>
      </c>
      <c r="B62" s="11" t="s">
        <v>73</v>
      </c>
      <c r="C62" s="46">
        <f>+'วันที่ 1'!C62</f>
        <v>0</v>
      </c>
      <c r="D62" s="47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1"/>
        <v>0</v>
      </c>
      <c r="F62" s="47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0">
        <f t="shared" si="2"/>
        <v>0</v>
      </c>
      <c r="H62" s="47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21">
        <v>50</v>
      </c>
      <c r="J62" s="47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20"/>
      <c r="M62" s="56"/>
      <c r="U62" s="5"/>
    </row>
    <row r="63" spans="1:21">
      <c r="A63" s="10">
        <v>59</v>
      </c>
      <c r="B63" s="11" t="s">
        <v>74</v>
      </c>
      <c r="C63" s="46">
        <f>+'วันที่ 1'!C63</f>
        <v>0</v>
      </c>
      <c r="D63" s="47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1"/>
        <v>0</v>
      </c>
      <c r="F63" s="47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0">
        <f t="shared" si="2"/>
        <v>0</v>
      </c>
      <c r="H63" s="47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21">
        <v>50</v>
      </c>
      <c r="J63" s="47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20"/>
      <c r="M63" s="56"/>
      <c r="U63" s="5"/>
    </row>
    <row r="64" spans="1:21">
      <c r="A64" s="10">
        <v>60</v>
      </c>
      <c r="B64" s="11" t="s">
        <v>75</v>
      </c>
      <c r="C64" s="46">
        <f>+'วันที่ 1'!C64</f>
        <v>0</v>
      </c>
      <c r="D64" s="47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1"/>
        <v>0</v>
      </c>
      <c r="F64" s="47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0">
        <f t="shared" si="2"/>
        <v>0</v>
      </c>
      <c r="H64" s="47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22">
        <v>30</v>
      </c>
      <c r="J64" s="47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20"/>
      <c r="M64" s="56"/>
      <c r="U64" s="5"/>
    </row>
    <row r="65" spans="1:21">
      <c r="A65" s="10">
        <v>61</v>
      </c>
      <c r="B65" s="11" t="s">
        <v>76</v>
      </c>
      <c r="C65" s="46">
        <f>+'วันที่ 1'!C65</f>
        <v>0</v>
      </c>
      <c r="D65" s="47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1"/>
        <v>0</v>
      </c>
      <c r="F65" s="47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0">
        <f t="shared" si="2"/>
        <v>0</v>
      </c>
      <c r="H65" s="47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22">
        <v>30</v>
      </c>
      <c r="J65" s="47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20"/>
      <c r="M65" s="56"/>
      <c r="U65" s="5"/>
    </row>
    <row r="66" spans="1:21">
      <c r="A66" s="10">
        <v>62</v>
      </c>
      <c r="B66" s="11" t="s">
        <v>77</v>
      </c>
      <c r="C66" s="46">
        <f>+'วันที่ 1'!C66</f>
        <v>7</v>
      </c>
      <c r="D66" s="47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10</v>
      </c>
      <c r="E66" s="46">
        <f t="shared" si="1"/>
        <v>17</v>
      </c>
      <c r="F66" s="47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0">
        <f t="shared" si="2"/>
        <v>5</v>
      </c>
      <c r="H66" s="47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12</v>
      </c>
      <c r="I66" s="16">
        <v>50</v>
      </c>
      <c r="J66" s="47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600</v>
      </c>
      <c r="K66" s="20"/>
      <c r="M66" s="56"/>
      <c r="U66" s="5"/>
    </row>
    <row r="67" spans="1:21">
      <c r="A67" s="10">
        <v>63</v>
      </c>
      <c r="B67" s="11" t="s">
        <v>78</v>
      </c>
      <c r="C67" s="46">
        <f>+'วันที่ 1'!C67</f>
        <v>5</v>
      </c>
      <c r="D67" s="47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20</v>
      </c>
      <c r="E67" s="46">
        <f t="shared" si="1"/>
        <v>25</v>
      </c>
      <c r="F67" s="47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90">
        <f t="shared" si="2"/>
        <v>4</v>
      </c>
      <c r="H67" s="47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21</v>
      </c>
      <c r="I67" s="16">
        <v>50</v>
      </c>
      <c r="J67" s="47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1050</v>
      </c>
      <c r="K67" s="20"/>
      <c r="M67" s="56"/>
      <c r="U67" s="5"/>
    </row>
    <row r="68" spans="1:21">
      <c r="A68" s="10">
        <v>64</v>
      </c>
      <c r="B68" s="11" t="s">
        <v>79</v>
      </c>
      <c r="C68" s="46">
        <f>+'วันที่ 1'!C68</f>
        <v>0</v>
      </c>
      <c r="D68" s="47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1"/>
        <v>0</v>
      </c>
      <c r="F68" s="47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0">
        <f t="shared" si="2"/>
        <v>0</v>
      </c>
      <c r="H68" s="47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21">
        <v>35</v>
      </c>
      <c r="J68" s="47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20"/>
      <c r="M68" s="56"/>
      <c r="U68" s="5"/>
    </row>
    <row r="69" spans="1:21">
      <c r="A69" s="10">
        <v>65</v>
      </c>
      <c r="B69" s="11" t="s">
        <v>80</v>
      </c>
      <c r="C69" s="46">
        <f>+'วันที่ 1'!C69</f>
        <v>0</v>
      </c>
      <c r="D69" s="47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1"/>
        <v>0</v>
      </c>
      <c r="F69" s="47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0">
        <f t="shared" si="2"/>
        <v>0</v>
      </c>
      <c r="H69" s="47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21">
        <v>25</v>
      </c>
      <c r="J69" s="47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20"/>
      <c r="M69" s="56"/>
      <c r="U69" s="5"/>
    </row>
    <row r="70" spans="1:21">
      <c r="A70" s="10">
        <v>66</v>
      </c>
      <c r="B70" s="11" t="s">
        <v>81</v>
      </c>
      <c r="C70" s="46">
        <f>+'วันที่ 1'!C70</f>
        <v>0</v>
      </c>
      <c r="D70" s="47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70" s="46">
        <f t="shared" ref="E70:E202" si="8">+C70+D70</f>
        <v>0</v>
      </c>
      <c r="F70" s="47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90">
        <f t="shared" ref="G70:G133" si="9">E70-F70-H70</f>
        <v>0</v>
      </c>
      <c r="H70" s="47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70" s="21">
        <v>50</v>
      </c>
      <c r="J70" s="47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70" s="20"/>
      <c r="M70" s="56"/>
      <c r="U70" s="5"/>
    </row>
    <row r="71" spans="1:21">
      <c r="A71" s="10">
        <v>67</v>
      </c>
      <c r="B71" s="11" t="s">
        <v>82</v>
      </c>
      <c r="C71" s="46">
        <f>+'วันที่ 1'!C71</f>
        <v>0</v>
      </c>
      <c r="D71" s="47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46">
        <f t="shared" si="8"/>
        <v>0</v>
      </c>
      <c r="F71" s="47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90">
        <f t="shared" si="9"/>
        <v>0</v>
      </c>
      <c r="H71" s="47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21">
        <v>60</v>
      </c>
      <c r="J71" s="47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20"/>
      <c r="M71" s="56"/>
      <c r="U71" s="5"/>
    </row>
    <row r="72" spans="1:21">
      <c r="A72" s="10">
        <v>68</v>
      </c>
      <c r="B72" s="11" t="s">
        <v>83</v>
      </c>
      <c r="C72" s="46">
        <f>+'วันที่ 1'!C72</f>
        <v>0</v>
      </c>
      <c r="D72" s="47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8"/>
        <v>0</v>
      </c>
      <c r="F72" s="47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0">
        <f t="shared" si="9"/>
        <v>0</v>
      </c>
      <c r="H72" s="47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23">
        <v>50</v>
      </c>
      <c r="J72" s="47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20"/>
      <c r="M72" s="56"/>
      <c r="U72" s="5"/>
    </row>
    <row r="73" spans="1:21">
      <c r="A73" s="10">
        <v>69</v>
      </c>
      <c r="B73" s="11" t="s">
        <v>84</v>
      </c>
      <c r="C73" s="46">
        <f>+'วันที่ 1'!C73</f>
        <v>5</v>
      </c>
      <c r="D73" s="47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15</v>
      </c>
      <c r="E73" s="46">
        <f t="shared" si="8"/>
        <v>20</v>
      </c>
      <c r="F73" s="47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90">
        <f t="shared" si="9"/>
        <v>11</v>
      </c>
      <c r="H73" s="47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9</v>
      </c>
      <c r="I73" s="21">
        <v>60</v>
      </c>
      <c r="J73" s="47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540</v>
      </c>
      <c r="K73" s="20"/>
      <c r="M73" s="56"/>
      <c r="U73" s="5"/>
    </row>
    <row r="74" spans="1:21">
      <c r="A74" s="10">
        <v>70</v>
      </c>
      <c r="B74" s="11" t="s">
        <v>85</v>
      </c>
      <c r="C74" s="46">
        <f>+'วันที่ 1'!C74</f>
        <v>8</v>
      </c>
      <c r="D74" s="47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20</v>
      </c>
      <c r="E74" s="46">
        <f t="shared" si="8"/>
        <v>28</v>
      </c>
      <c r="F74" s="47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90">
        <f t="shared" si="9"/>
        <v>10</v>
      </c>
      <c r="H74" s="47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18</v>
      </c>
      <c r="I74" s="23">
        <v>120</v>
      </c>
      <c r="J74" s="47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2160</v>
      </c>
      <c r="K74" s="20"/>
      <c r="M74" s="56"/>
      <c r="U74" s="5"/>
    </row>
    <row r="75" spans="1:21">
      <c r="A75" s="10">
        <v>71</v>
      </c>
      <c r="B75" s="11" t="s">
        <v>86</v>
      </c>
      <c r="C75" s="46">
        <f>+'วันที่ 1'!C75</f>
        <v>0</v>
      </c>
      <c r="D75" s="47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8"/>
        <v>0</v>
      </c>
      <c r="F75" s="47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0">
        <f t="shared" si="9"/>
        <v>0</v>
      </c>
      <c r="H75" s="47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23">
        <v>60</v>
      </c>
      <c r="J75" s="47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20"/>
      <c r="M75" s="56"/>
      <c r="U75" s="5"/>
    </row>
    <row r="76" spans="1:21">
      <c r="A76" s="10">
        <v>72</v>
      </c>
      <c r="B76" s="11" t="s">
        <v>87</v>
      </c>
      <c r="C76" s="46">
        <f>+'วันที่ 1'!C76</f>
        <v>0</v>
      </c>
      <c r="D76" s="47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8"/>
        <v>0</v>
      </c>
      <c r="F76" s="47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0">
        <f t="shared" si="9"/>
        <v>0</v>
      </c>
      <c r="H76" s="47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23">
        <v>120</v>
      </c>
      <c r="J76" s="47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20"/>
      <c r="M76" s="56"/>
      <c r="U76" s="5"/>
    </row>
    <row r="77" spans="1:21">
      <c r="A77" s="10">
        <v>73</v>
      </c>
      <c r="B77" s="11" t="s">
        <v>88</v>
      </c>
      <c r="C77" s="46">
        <f>+'วันที่ 1'!C77</f>
        <v>0</v>
      </c>
      <c r="D77" s="47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13</v>
      </c>
      <c r="E77" s="46">
        <f t="shared" si="8"/>
        <v>13</v>
      </c>
      <c r="F77" s="47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90">
        <f t="shared" si="9"/>
        <v>3</v>
      </c>
      <c r="H77" s="47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10</v>
      </c>
      <c r="I77" s="21">
        <v>50</v>
      </c>
      <c r="J77" s="47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500</v>
      </c>
      <c r="K77" s="20"/>
      <c r="M77" s="56"/>
      <c r="U77" s="5"/>
    </row>
    <row r="78" spans="1:21">
      <c r="A78" s="10">
        <v>74</v>
      </c>
      <c r="B78" s="11" t="s">
        <v>89</v>
      </c>
      <c r="C78" s="46">
        <f>+'วันที่ 1'!C78</f>
        <v>0</v>
      </c>
      <c r="D78" s="47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8"/>
        <v>0</v>
      </c>
      <c r="F78" s="47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0">
        <f t="shared" si="9"/>
        <v>0</v>
      </c>
      <c r="H78" s="47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23">
        <v>120</v>
      </c>
      <c r="J78" s="47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20"/>
      <c r="M78" s="56"/>
      <c r="T78" s="5"/>
    </row>
    <row r="79" spans="1:21">
      <c r="A79" s="10">
        <v>75</v>
      </c>
      <c r="B79" s="11" t="s">
        <v>90</v>
      </c>
      <c r="C79" s="46">
        <f>+'วันที่ 1'!C79</f>
        <v>5</v>
      </c>
      <c r="D79" s="47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16</v>
      </c>
      <c r="E79" s="46">
        <f t="shared" si="8"/>
        <v>21</v>
      </c>
      <c r="F79" s="47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90">
        <f t="shared" si="9"/>
        <v>4</v>
      </c>
      <c r="H79" s="47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17</v>
      </c>
      <c r="I79" s="23">
        <v>50</v>
      </c>
      <c r="J79" s="47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850</v>
      </c>
      <c r="K79" s="20"/>
      <c r="M79" s="56"/>
      <c r="T79" s="5"/>
    </row>
    <row r="80" spans="1:21">
      <c r="A80" s="10">
        <v>76</v>
      </c>
      <c r="B80" s="11" t="s">
        <v>91</v>
      </c>
      <c r="C80" s="46">
        <f>+'วันที่ 1'!C80</f>
        <v>0</v>
      </c>
      <c r="D80" s="47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8"/>
        <v>0</v>
      </c>
      <c r="F80" s="47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0">
        <f t="shared" si="9"/>
        <v>0</v>
      </c>
      <c r="H80" s="47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23">
        <v>50</v>
      </c>
      <c r="J80" s="47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20"/>
      <c r="M80" s="56"/>
      <c r="T80" s="5"/>
    </row>
    <row r="81" spans="1:21">
      <c r="A81" s="10">
        <v>77</v>
      </c>
      <c r="B81" s="11" t="s">
        <v>92</v>
      </c>
      <c r="C81" s="46">
        <f>+'วันที่ 1'!C81</f>
        <v>0</v>
      </c>
      <c r="D81" s="47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8"/>
        <v>0</v>
      </c>
      <c r="F81" s="47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0">
        <f t="shared" si="9"/>
        <v>0</v>
      </c>
      <c r="H81" s="47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21">
        <v>55</v>
      </c>
      <c r="J81" s="47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20"/>
      <c r="M81" s="56"/>
      <c r="T81" s="5"/>
    </row>
    <row r="82" spans="1:21">
      <c r="A82" s="10">
        <v>78</v>
      </c>
      <c r="B82" s="11" t="s">
        <v>93</v>
      </c>
      <c r="C82" s="46">
        <f>+'วันที่ 1'!C82</f>
        <v>0</v>
      </c>
      <c r="D82" s="47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8"/>
        <v>0</v>
      </c>
      <c r="F82" s="47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0">
        <f t="shared" si="9"/>
        <v>0</v>
      </c>
      <c r="H82" s="47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23">
        <v>55</v>
      </c>
      <c r="J82" s="47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20"/>
      <c r="M82" s="56"/>
      <c r="U82" s="5"/>
    </row>
    <row r="83" spans="1:21">
      <c r="A83" s="10">
        <v>79</v>
      </c>
      <c r="B83" s="11" t="s">
        <v>94</v>
      </c>
      <c r="C83" s="46">
        <f>+'วันที่ 1'!C83</f>
        <v>0</v>
      </c>
      <c r="D83" s="47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8"/>
        <v>0</v>
      </c>
      <c r="F83" s="47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0">
        <f t="shared" si="9"/>
        <v>0</v>
      </c>
      <c r="H83" s="47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23">
        <v>55</v>
      </c>
      <c r="J83" s="47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20"/>
      <c r="M83" s="56"/>
      <c r="U83" s="5"/>
    </row>
    <row r="84" spans="1:21">
      <c r="A84" s="10">
        <v>80</v>
      </c>
      <c r="B84" s="11" t="s">
        <v>95</v>
      </c>
      <c r="C84" s="46">
        <f>+'วันที่ 1'!C84</f>
        <v>0</v>
      </c>
      <c r="D84" s="47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8"/>
        <v>0</v>
      </c>
      <c r="F84" s="47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0">
        <f t="shared" si="9"/>
        <v>0</v>
      </c>
      <c r="H84" s="47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23">
        <v>55</v>
      </c>
      <c r="J84" s="47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20"/>
      <c r="M84" s="56"/>
      <c r="U84" s="5"/>
    </row>
    <row r="85" spans="1:21">
      <c r="A85" s="10">
        <v>81</v>
      </c>
      <c r="B85" s="11" t="s">
        <v>96</v>
      </c>
      <c r="C85" s="46">
        <f>+'วันที่ 1'!C85</f>
        <v>12</v>
      </c>
      <c r="D85" s="47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10</v>
      </c>
      <c r="E85" s="46">
        <f t="shared" si="8"/>
        <v>22</v>
      </c>
      <c r="F85" s="47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0">
        <f t="shared" si="9"/>
        <v>9</v>
      </c>
      <c r="H85" s="47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13</v>
      </c>
      <c r="I85" s="23">
        <v>100</v>
      </c>
      <c r="J85" s="47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1300</v>
      </c>
      <c r="K85" s="20"/>
      <c r="M85" s="56"/>
      <c r="U85" s="5"/>
    </row>
    <row r="86" spans="1:21">
      <c r="A86" s="10">
        <v>82</v>
      </c>
      <c r="B86" s="11" t="s">
        <v>97</v>
      </c>
      <c r="C86" s="46">
        <f>+'วันที่ 1'!C86</f>
        <v>16</v>
      </c>
      <c r="D86" s="47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0</v>
      </c>
      <c r="E86" s="46">
        <f t="shared" si="8"/>
        <v>16</v>
      </c>
      <c r="F86" s="47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0">
        <f t="shared" si="9"/>
        <v>11</v>
      </c>
      <c r="H86" s="47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5</v>
      </c>
      <c r="I86" s="21">
        <v>55</v>
      </c>
      <c r="J86" s="47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275</v>
      </c>
      <c r="K86" s="20"/>
      <c r="M86" s="56"/>
      <c r="U86" s="5"/>
    </row>
    <row r="87" spans="1:21">
      <c r="A87" s="10">
        <v>83</v>
      </c>
      <c r="B87" s="11" t="s">
        <v>98</v>
      </c>
      <c r="C87" s="46">
        <f>+'วันที่ 1'!C87</f>
        <v>9</v>
      </c>
      <c r="D87" s="47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10</v>
      </c>
      <c r="E87" s="46">
        <f t="shared" si="8"/>
        <v>19</v>
      </c>
      <c r="F87" s="47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0">
        <f t="shared" si="9"/>
        <v>2</v>
      </c>
      <c r="H87" s="47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17</v>
      </c>
      <c r="I87" s="21">
        <v>60</v>
      </c>
      <c r="J87" s="47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1020</v>
      </c>
      <c r="K87" s="20"/>
      <c r="M87" s="56"/>
      <c r="U87" s="5"/>
    </row>
    <row r="88" spans="1:21">
      <c r="A88" s="10">
        <v>84</v>
      </c>
      <c r="B88" s="11" t="s">
        <v>99</v>
      </c>
      <c r="C88" s="46">
        <f>+'วันที่ 1'!C88</f>
        <v>9</v>
      </c>
      <c r="D88" s="47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21</v>
      </c>
      <c r="E88" s="46">
        <f t="shared" si="8"/>
        <v>30</v>
      </c>
      <c r="F88" s="47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90">
        <f t="shared" si="9"/>
        <v>11</v>
      </c>
      <c r="H88" s="47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19</v>
      </c>
      <c r="I88" s="21">
        <v>100</v>
      </c>
      <c r="J88" s="47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1900</v>
      </c>
      <c r="K88" s="20"/>
      <c r="M88" s="56"/>
      <c r="U88" s="5"/>
    </row>
    <row r="89" spans="1:21">
      <c r="A89" s="10">
        <v>85</v>
      </c>
      <c r="B89" s="11" t="s">
        <v>100</v>
      </c>
      <c r="C89" s="46">
        <f>+'วันที่ 1'!C89</f>
        <v>0</v>
      </c>
      <c r="D89" s="47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8"/>
        <v>0</v>
      </c>
      <c r="F89" s="47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0">
        <f t="shared" si="9"/>
        <v>0</v>
      </c>
      <c r="H89" s="47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21">
        <v>55</v>
      </c>
      <c r="J89" s="47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20"/>
      <c r="M89" s="56"/>
      <c r="U89" s="5"/>
    </row>
    <row r="90" spans="1:21">
      <c r="A90" s="10">
        <v>86</v>
      </c>
      <c r="B90" s="11" t="s">
        <v>101</v>
      </c>
      <c r="C90" s="46">
        <f>+'วันที่ 1'!C90</f>
        <v>0</v>
      </c>
      <c r="D90" s="47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8"/>
        <v>0</v>
      </c>
      <c r="F90" s="47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0">
        <f t="shared" si="9"/>
        <v>0</v>
      </c>
      <c r="H90" s="47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21">
        <v>50</v>
      </c>
      <c r="J90" s="47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20"/>
      <c r="M90" s="56"/>
      <c r="U90" s="5"/>
    </row>
    <row r="91" spans="1:21">
      <c r="A91" s="10">
        <v>87</v>
      </c>
      <c r="B91" s="11" t="s">
        <v>102</v>
      </c>
      <c r="C91" s="46">
        <f>+'วันที่ 1'!C91</f>
        <v>0</v>
      </c>
      <c r="D91" s="47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8"/>
        <v>0</v>
      </c>
      <c r="F91" s="47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0">
        <f t="shared" si="9"/>
        <v>0</v>
      </c>
      <c r="H91" s="47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23">
        <v>50</v>
      </c>
      <c r="J91" s="47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20"/>
      <c r="M91" s="56"/>
      <c r="U91" s="5"/>
    </row>
    <row r="92" spans="1:21">
      <c r="A92" s="10">
        <v>88</v>
      </c>
      <c r="B92" s="11" t="s">
        <v>103</v>
      </c>
      <c r="C92" s="46">
        <f>+'วันที่ 1'!C92</f>
        <v>0</v>
      </c>
      <c r="D92" s="47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8"/>
        <v>0</v>
      </c>
      <c r="F92" s="47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0">
        <f t="shared" si="9"/>
        <v>0</v>
      </c>
      <c r="H92" s="47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23">
        <v>120</v>
      </c>
      <c r="J92" s="47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20"/>
      <c r="M92" s="56"/>
      <c r="U92" s="5"/>
    </row>
    <row r="93" spans="1:21">
      <c r="A93" s="10">
        <v>89</v>
      </c>
      <c r="B93" s="11" t="s">
        <v>104</v>
      </c>
      <c r="C93" s="46">
        <f>+'วันที่ 1'!C93</f>
        <v>0</v>
      </c>
      <c r="D93" s="47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8"/>
        <v>0</v>
      </c>
      <c r="F93" s="47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0">
        <f t="shared" si="9"/>
        <v>0</v>
      </c>
      <c r="H93" s="47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21">
        <v>250</v>
      </c>
      <c r="J93" s="47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20"/>
      <c r="M93" s="56"/>
      <c r="U93" s="5"/>
    </row>
    <row r="94" spans="1:21">
      <c r="A94" s="10">
        <v>90</v>
      </c>
      <c r="B94" s="11" t="s">
        <v>105</v>
      </c>
      <c r="C94" s="46">
        <f>+'วันที่ 1'!C94</f>
        <v>0</v>
      </c>
      <c r="D94" s="47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8"/>
        <v>0</v>
      </c>
      <c r="F94" s="47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0">
        <f t="shared" si="9"/>
        <v>0</v>
      </c>
      <c r="H94" s="47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21">
        <v>120</v>
      </c>
      <c r="J94" s="47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20"/>
      <c r="M94" s="56"/>
      <c r="U94" s="5"/>
    </row>
    <row r="95" spans="1:21">
      <c r="A95" s="10">
        <v>91</v>
      </c>
      <c r="B95" s="11" t="s">
        <v>106</v>
      </c>
      <c r="C95" s="46">
        <f>+'วันที่ 1'!C95</f>
        <v>0</v>
      </c>
      <c r="D95" s="47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8"/>
        <v>0</v>
      </c>
      <c r="F95" s="47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0">
        <f t="shared" si="9"/>
        <v>0</v>
      </c>
      <c r="H95" s="47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21">
        <v>120</v>
      </c>
      <c r="J95" s="47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20"/>
      <c r="M95" s="56"/>
      <c r="U95" s="5"/>
    </row>
    <row r="96" spans="1:21">
      <c r="A96" s="10">
        <v>92</v>
      </c>
      <c r="B96" s="11" t="s">
        <v>107</v>
      </c>
      <c r="C96" s="46">
        <f>+'วันที่ 1'!C96</f>
        <v>0</v>
      </c>
      <c r="D96" s="47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8"/>
        <v>0</v>
      </c>
      <c r="F96" s="47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0">
        <f t="shared" si="9"/>
        <v>0</v>
      </c>
      <c r="H96" s="47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21">
        <v>120</v>
      </c>
      <c r="J96" s="47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20"/>
      <c r="M96" s="56"/>
      <c r="U96" s="5"/>
    </row>
    <row r="97" spans="1:21">
      <c r="A97" s="10">
        <v>93</v>
      </c>
      <c r="B97" s="11" t="s">
        <v>108</v>
      </c>
      <c r="C97" s="46">
        <f>+'วันที่ 1'!C97</f>
        <v>0</v>
      </c>
      <c r="D97" s="47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8"/>
        <v>0</v>
      </c>
      <c r="F97" s="47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0">
        <f t="shared" si="9"/>
        <v>0</v>
      </c>
      <c r="H97" s="47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21">
        <v>45</v>
      </c>
      <c r="J97" s="47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20"/>
      <c r="M97" s="56"/>
      <c r="U97" s="5"/>
    </row>
    <row r="98" spans="1:21">
      <c r="A98" s="10">
        <v>94</v>
      </c>
      <c r="B98" s="11" t="s">
        <v>109</v>
      </c>
      <c r="C98" s="46">
        <f>+'วันที่ 1'!C98</f>
        <v>0</v>
      </c>
      <c r="D98" s="47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8"/>
        <v>0</v>
      </c>
      <c r="F98" s="47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0">
        <f t="shared" si="9"/>
        <v>0</v>
      </c>
      <c r="H98" s="47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21">
        <v>50</v>
      </c>
      <c r="J98" s="47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20"/>
      <c r="M98" s="56"/>
      <c r="U98" s="5"/>
    </row>
    <row r="99" spans="1:21">
      <c r="A99" s="10">
        <v>95</v>
      </c>
      <c r="B99" s="11" t="s">
        <v>110</v>
      </c>
      <c r="C99" s="46">
        <f>+'วันที่ 1'!C99</f>
        <v>0</v>
      </c>
      <c r="D99" s="47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8"/>
        <v>0</v>
      </c>
      <c r="F99" s="47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0">
        <f t="shared" si="9"/>
        <v>0</v>
      </c>
      <c r="H99" s="47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21">
        <v>50</v>
      </c>
      <c r="J99" s="47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20"/>
      <c r="M99" s="56"/>
      <c r="U99" s="5"/>
    </row>
    <row r="100" spans="1:21">
      <c r="A100" s="10">
        <v>96</v>
      </c>
      <c r="B100" s="11" t="s">
        <v>111</v>
      </c>
      <c r="C100" s="46">
        <f>+'วันที่ 1'!C100</f>
        <v>0</v>
      </c>
      <c r="D100" s="47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8"/>
        <v>0</v>
      </c>
      <c r="F100" s="47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0">
        <f t="shared" si="9"/>
        <v>0</v>
      </c>
      <c r="H100" s="47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21">
        <v>60</v>
      </c>
      <c r="J100" s="47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20"/>
      <c r="M100" s="56"/>
      <c r="U100" s="5"/>
    </row>
    <row r="101" spans="1:21">
      <c r="A101" s="10">
        <v>97</v>
      </c>
      <c r="B101" s="11" t="s">
        <v>219</v>
      </c>
      <c r="C101" s="46">
        <f>+'วันที่ 1'!C101</f>
        <v>0</v>
      </c>
      <c r="D101" s="47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20</v>
      </c>
      <c r="E101" s="46">
        <f t="shared" si="8"/>
        <v>20</v>
      </c>
      <c r="F101" s="47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0">
        <f t="shared" si="9"/>
        <v>13</v>
      </c>
      <c r="H101" s="47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7</v>
      </c>
      <c r="I101" s="21">
        <v>55</v>
      </c>
      <c r="J101" s="47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385</v>
      </c>
      <c r="K101" s="20"/>
      <c r="M101" s="56"/>
      <c r="U101" s="5"/>
    </row>
    <row r="102" spans="1:21">
      <c r="A102" s="10">
        <v>98</v>
      </c>
      <c r="B102" s="11" t="s">
        <v>113</v>
      </c>
      <c r="C102" s="46">
        <f>+'วันที่ 1'!C102</f>
        <v>6</v>
      </c>
      <c r="D102" s="47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10</v>
      </c>
      <c r="E102" s="46">
        <f t="shared" si="8"/>
        <v>16</v>
      </c>
      <c r="F102" s="47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0">
        <f t="shared" si="9"/>
        <v>9</v>
      </c>
      <c r="H102" s="47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7</v>
      </c>
      <c r="I102" s="21">
        <v>50</v>
      </c>
      <c r="J102" s="47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350</v>
      </c>
      <c r="K102" s="20"/>
      <c r="M102" s="56"/>
      <c r="U102" s="5"/>
    </row>
    <row r="103" spans="1:21">
      <c r="A103" s="10">
        <v>99</v>
      </c>
      <c r="B103" s="11" t="s">
        <v>114</v>
      </c>
      <c r="C103" s="46">
        <f>+'วันที่ 1'!C103</f>
        <v>7</v>
      </c>
      <c r="D103" s="47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10</v>
      </c>
      <c r="E103" s="46">
        <f t="shared" si="8"/>
        <v>17</v>
      </c>
      <c r="F103" s="47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0">
        <f t="shared" si="9"/>
        <v>7</v>
      </c>
      <c r="H103" s="47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10</v>
      </c>
      <c r="I103" s="21">
        <v>100</v>
      </c>
      <c r="J103" s="47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1000</v>
      </c>
      <c r="K103" s="20"/>
      <c r="M103" s="56"/>
      <c r="U103" s="5"/>
    </row>
    <row r="104" spans="1:21">
      <c r="A104" s="10">
        <v>100</v>
      </c>
      <c r="B104" s="11" t="s">
        <v>115</v>
      </c>
      <c r="C104" s="46">
        <f>+'วันที่ 1'!C104</f>
        <v>0</v>
      </c>
      <c r="D104" s="47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8"/>
        <v>0</v>
      </c>
      <c r="F104" s="47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0">
        <f t="shared" si="9"/>
        <v>0</v>
      </c>
      <c r="H104" s="47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21">
        <v>100</v>
      </c>
      <c r="J104" s="47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20"/>
      <c r="M104" s="56"/>
      <c r="U104" s="5"/>
    </row>
    <row r="105" spans="1:21">
      <c r="A105" s="10">
        <v>101</v>
      </c>
      <c r="B105" s="11" t="s">
        <v>116</v>
      </c>
      <c r="C105" s="46">
        <f>+'วันที่ 1'!C105</f>
        <v>0</v>
      </c>
      <c r="D105" s="47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8"/>
        <v>0</v>
      </c>
      <c r="F105" s="47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0">
        <f t="shared" si="9"/>
        <v>0</v>
      </c>
      <c r="H105" s="47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23">
        <v>30</v>
      </c>
      <c r="J105" s="47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20"/>
      <c r="M105" s="56"/>
      <c r="U105" s="5"/>
    </row>
    <row r="106" spans="1:21">
      <c r="A106" s="10">
        <v>102</v>
      </c>
      <c r="B106" s="11" t="s">
        <v>117</v>
      </c>
      <c r="C106" s="46">
        <f>+'วันที่ 1'!C106</f>
        <v>0</v>
      </c>
      <c r="D106" s="47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8"/>
        <v>0</v>
      </c>
      <c r="F106" s="47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0">
        <f t="shared" si="9"/>
        <v>0</v>
      </c>
      <c r="H106" s="47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23">
        <v>20</v>
      </c>
      <c r="J106" s="47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20"/>
      <c r="M106" s="56"/>
      <c r="U106" s="5"/>
    </row>
    <row r="107" spans="1:21">
      <c r="A107" s="10">
        <v>103</v>
      </c>
      <c r="B107" s="11" t="s">
        <v>118</v>
      </c>
      <c r="C107" s="46">
        <f>+'วันที่ 1'!C107</f>
        <v>0</v>
      </c>
      <c r="D107" s="47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8"/>
        <v>0</v>
      </c>
      <c r="F107" s="47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0">
        <f t="shared" si="9"/>
        <v>0</v>
      </c>
      <c r="H107" s="47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21">
        <v>100</v>
      </c>
      <c r="J107" s="47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20"/>
      <c r="M107" s="56"/>
      <c r="U107" s="5"/>
    </row>
    <row r="108" spans="1:21">
      <c r="A108" s="10">
        <v>104</v>
      </c>
      <c r="B108" s="11" t="s">
        <v>120</v>
      </c>
      <c r="C108" s="46">
        <f>+'วันที่ 1'!C108</f>
        <v>0</v>
      </c>
      <c r="D108" s="47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8"/>
        <v>0</v>
      </c>
      <c r="F108" s="47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0">
        <f t="shared" si="9"/>
        <v>0</v>
      </c>
      <c r="H108" s="47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21">
        <v>80</v>
      </c>
      <c r="J108" s="47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20"/>
      <c r="M108" s="56"/>
      <c r="U108" s="5"/>
    </row>
    <row r="109" spans="1:21">
      <c r="A109" s="10">
        <v>105</v>
      </c>
      <c r="B109" s="11" t="s">
        <v>121</v>
      </c>
      <c r="C109" s="46">
        <f>+'วันที่ 1'!C109</f>
        <v>0</v>
      </c>
      <c r="D109" s="47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8"/>
        <v>0</v>
      </c>
      <c r="F109" s="47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0">
        <f t="shared" si="9"/>
        <v>0</v>
      </c>
      <c r="H109" s="47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21">
        <v>60</v>
      </c>
      <c r="J109" s="47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20"/>
      <c r="M109" s="56"/>
      <c r="U109" s="5"/>
    </row>
    <row r="110" spans="1:21">
      <c r="A110" s="10">
        <v>106</v>
      </c>
      <c r="B110" s="11" t="s">
        <v>122</v>
      </c>
      <c r="C110" s="46">
        <f>+'วันที่ 1'!C110</f>
        <v>0</v>
      </c>
      <c r="D110" s="47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8"/>
        <v>0</v>
      </c>
      <c r="F110" s="47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0">
        <f t="shared" si="9"/>
        <v>0</v>
      </c>
      <c r="H110" s="47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21">
        <v>35</v>
      </c>
      <c r="J110" s="47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20"/>
      <c r="M110" s="56"/>
      <c r="U110" s="5"/>
    </row>
    <row r="111" spans="1:21">
      <c r="A111" s="10">
        <v>107</v>
      </c>
      <c r="B111" s="11" t="s">
        <v>123</v>
      </c>
      <c r="C111" s="46">
        <f>+'วันที่ 1'!C111</f>
        <v>0</v>
      </c>
      <c r="D111" s="47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8"/>
        <v>0</v>
      </c>
      <c r="F111" s="47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0">
        <f t="shared" si="9"/>
        <v>0</v>
      </c>
      <c r="H111" s="47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21">
        <v>35</v>
      </c>
      <c r="J111" s="47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20"/>
      <c r="M111" s="56"/>
      <c r="U111" s="5"/>
    </row>
    <row r="112" spans="1:21">
      <c r="A112" s="10">
        <v>108</v>
      </c>
      <c r="B112" s="11" t="s">
        <v>124</v>
      </c>
      <c r="C112" s="46">
        <f>+'วันที่ 1'!C112</f>
        <v>0</v>
      </c>
      <c r="D112" s="47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8"/>
        <v>0</v>
      </c>
      <c r="F112" s="47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0">
        <f t="shared" si="9"/>
        <v>0</v>
      </c>
      <c r="H112" s="47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21">
        <v>35</v>
      </c>
      <c r="J112" s="47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20"/>
      <c r="M112" s="56"/>
      <c r="U112" s="5"/>
    </row>
    <row r="113" spans="1:21">
      <c r="A113" s="10">
        <v>109</v>
      </c>
      <c r="B113" s="11" t="s">
        <v>125</v>
      </c>
      <c r="C113" s="46">
        <f>+'วันที่ 1'!C113</f>
        <v>0</v>
      </c>
      <c r="D113" s="47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8"/>
        <v>0</v>
      </c>
      <c r="F113" s="47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0">
        <f t="shared" si="9"/>
        <v>0</v>
      </c>
      <c r="H113" s="47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21">
        <v>35</v>
      </c>
      <c r="J113" s="47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20"/>
      <c r="M113" s="56"/>
      <c r="U113" s="5"/>
    </row>
    <row r="114" spans="1:21">
      <c r="A114" s="10">
        <v>110</v>
      </c>
      <c r="B114" s="11" t="s">
        <v>126</v>
      </c>
      <c r="C114" s="46">
        <f>+'วันที่ 1'!C114</f>
        <v>0</v>
      </c>
      <c r="D114" s="47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8"/>
        <v>0</v>
      </c>
      <c r="F114" s="47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0">
        <f t="shared" si="9"/>
        <v>0</v>
      </c>
      <c r="H114" s="47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21">
        <v>35</v>
      </c>
      <c r="J114" s="47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20"/>
      <c r="M114" s="56"/>
      <c r="U114" s="5"/>
    </row>
    <row r="115" spans="1:21">
      <c r="A115" s="10">
        <v>111</v>
      </c>
      <c r="B115" s="11" t="s">
        <v>127</v>
      </c>
      <c r="C115" s="46">
        <f>+'วันที่ 1'!C115</f>
        <v>0</v>
      </c>
      <c r="D115" s="47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8"/>
        <v>0</v>
      </c>
      <c r="F115" s="47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0">
        <f t="shared" si="9"/>
        <v>0</v>
      </c>
      <c r="H115" s="47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21">
        <v>50</v>
      </c>
      <c r="J115" s="47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20"/>
      <c r="M115" s="56"/>
      <c r="U115" s="5"/>
    </row>
    <row r="116" spans="1:21">
      <c r="A116" s="10">
        <v>112</v>
      </c>
      <c r="B116" s="11" t="s">
        <v>128</v>
      </c>
      <c r="C116" s="46">
        <f>+'วันที่ 1'!C116</f>
        <v>0</v>
      </c>
      <c r="D116" s="47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8"/>
        <v>0</v>
      </c>
      <c r="F116" s="47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0">
        <f t="shared" si="9"/>
        <v>0</v>
      </c>
      <c r="H116" s="47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21">
        <v>50</v>
      </c>
      <c r="J116" s="47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20"/>
      <c r="M116" s="56"/>
      <c r="U116" s="5"/>
    </row>
    <row r="117" spans="1:21">
      <c r="A117" s="10">
        <v>113</v>
      </c>
      <c r="B117" s="11" t="s">
        <v>129</v>
      </c>
      <c r="C117" s="46">
        <f>+'วันที่ 1'!C117</f>
        <v>0</v>
      </c>
      <c r="D117" s="47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8"/>
        <v>0</v>
      </c>
      <c r="F117" s="47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0">
        <f t="shared" si="9"/>
        <v>0</v>
      </c>
      <c r="H117" s="47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21">
        <v>50</v>
      </c>
      <c r="J117" s="47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20"/>
      <c r="M117" s="56"/>
      <c r="U117" s="5"/>
    </row>
    <row r="118" spans="1:21">
      <c r="A118" s="10">
        <v>114</v>
      </c>
      <c r="B118" s="11" t="s">
        <v>130</v>
      </c>
      <c r="C118" s="46">
        <f>+'วันที่ 1'!C118</f>
        <v>0</v>
      </c>
      <c r="D118" s="47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8"/>
        <v>0</v>
      </c>
      <c r="F118" s="47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0">
        <f t="shared" si="9"/>
        <v>0</v>
      </c>
      <c r="H118" s="47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21">
        <v>50</v>
      </c>
      <c r="J118" s="47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20"/>
      <c r="M118" s="56"/>
      <c r="U118" s="5"/>
    </row>
    <row r="119" spans="1:21">
      <c r="A119" s="10">
        <v>115</v>
      </c>
      <c r="B119" s="11" t="s">
        <v>131</v>
      </c>
      <c r="C119" s="46">
        <f>+'วันที่ 1'!C119</f>
        <v>0</v>
      </c>
      <c r="D119" s="47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8"/>
        <v>0</v>
      </c>
      <c r="F119" s="47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0">
        <f t="shared" si="9"/>
        <v>0</v>
      </c>
      <c r="H119" s="47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21">
        <v>50</v>
      </c>
      <c r="J119" s="47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20"/>
      <c r="M119" s="56"/>
      <c r="U119" s="5"/>
    </row>
    <row r="120" spans="1:21">
      <c r="A120" s="10">
        <v>116</v>
      </c>
      <c r="B120" s="11" t="s">
        <v>132</v>
      </c>
      <c r="C120" s="46">
        <f>+'วันที่ 1'!C120</f>
        <v>0</v>
      </c>
      <c r="D120" s="47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8"/>
        <v>0</v>
      </c>
      <c r="F120" s="47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0">
        <f t="shared" si="9"/>
        <v>0</v>
      </c>
      <c r="H120" s="47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21">
        <v>50</v>
      </c>
      <c r="J120" s="47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20"/>
      <c r="M120" s="56"/>
      <c r="U120" s="5"/>
    </row>
    <row r="121" spans="1:21">
      <c r="A121" s="10">
        <v>117</v>
      </c>
      <c r="B121" s="11" t="s">
        <v>133</v>
      </c>
      <c r="C121" s="46">
        <f>+'วันที่ 1'!C121</f>
        <v>0</v>
      </c>
      <c r="D121" s="47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8"/>
        <v>0</v>
      </c>
      <c r="F121" s="47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0">
        <f t="shared" si="9"/>
        <v>0</v>
      </c>
      <c r="H121" s="47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21">
        <v>40</v>
      </c>
      <c r="J121" s="47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20"/>
      <c r="M121" s="56"/>
      <c r="U121" s="5"/>
    </row>
    <row r="122" spans="1:21">
      <c r="A122" s="10">
        <v>118</v>
      </c>
      <c r="B122" s="11" t="s">
        <v>134</v>
      </c>
      <c r="C122" s="46">
        <f>+'วันที่ 1'!C122</f>
        <v>0</v>
      </c>
      <c r="D122" s="47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8"/>
        <v>0</v>
      </c>
      <c r="F122" s="47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0">
        <f t="shared" si="9"/>
        <v>0</v>
      </c>
      <c r="H122" s="47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21">
        <v>35</v>
      </c>
      <c r="J122" s="47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20"/>
      <c r="M122" s="56"/>
      <c r="U122" s="5"/>
    </row>
    <row r="123" spans="1:21">
      <c r="A123" s="10">
        <v>119</v>
      </c>
      <c r="B123" s="11" t="s">
        <v>135</v>
      </c>
      <c r="C123" s="46">
        <f>+'วันที่ 1'!C123</f>
        <v>0</v>
      </c>
      <c r="D123" s="47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8"/>
        <v>0</v>
      </c>
      <c r="F123" s="47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0">
        <f t="shared" si="9"/>
        <v>0</v>
      </c>
      <c r="H123" s="47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21">
        <v>40</v>
      </c>
      <c r="J123" s="47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20"/>
      <c r="M123" s="56"/>
      <c r="U123" s="5"/>
    </row>
    <row r="124" spans="1:21">
      <c r="A124" s="10">
        <v>120</v>
      </c>
      <c r="B124" s="11" t="s">
        <v>136</v>
      </c>
      <c r="C124" s="46">
        <f>+'วันที่ 1'!C124</f>
        <v>0</v>
      </c>
      <c r="D124" s="47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8"/>
        <v>0</v>
      </c>
      <c r="F124" s="47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0">
        <f t="shared" si="9"/>
        <v>0</v>
      </c>
      <c r="H124" s="47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21">
        <v>40</v>
      </c>
      <c r="J124" s="47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20"/>
      <c r="M124" s="56"/>
      <c r="U124" s="5"/>
    </row>
    <row r="125" spans="1:21">
      <c r="A125" s="10">
        <v>121</v>
      </c>
      <c r="B125" s="11" t="s">
        <v>137</v>
      </c>
      <c r="C125" s="46">
        <f>+'วันที่ 1'!C125</f>
        <v>0</v>
      </c>
      <c r="D125" s="47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8"/>
        <v>0</v>
      </c>
      <c r="F125" s="47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0">
        <f t="shared" si="9"/>
        <v>0</v>
      </c>
      <c r="H125" s="47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21">
        <v>30</v>
      </c>
      <c r="J125" s="47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20"/>
      <c r="M125" s="56"/>
      <c r="U125" s="5"/>
    </row>
    <row r="126" spans="1:21">
      <c r="A126" s="10">
        <v>122</v>
      </c>
      <c r="B126" s="11" t="s">
        <v>138</v>
      </c>
      <c r="C126" s="46">
        <f>+'วันที่ 1'!C126</f>
        <v>0</v>
      </c>
      <c r="D126" s="47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8"/>
        <v>0</v>
      </c>
      <c r="F126" s="47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0">
        <f t="shared" si="9"/>
        <v>0</v>
      </c>
      <c r="H126" s="47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21">
        <v>40</v>
      </c>
      <c r="J126" s="47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20"/>
      <c r="M126" s="56"/>
      <c r="U126" s="5"/>
    </row>
    <row r="127" spans="1:21">
      <c r="A127" s="10">
        <v>123</v>
      </c>
      <c r="B127" s="11" t="s">
        <v>139</v>
      </c>
      <c r="C127" s="46">
        <f>+'วันที่ 1'!C127</f>
        <v>0</v>
      </c>
      <c r="D127" s="47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8"/>
        <v>0</v>
      </c>
      <c r="F127" s="47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0">
        <f t="shared" si="9"/>
        <v>0</v>
      </c>
      <c r="H127" s="47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21">
        <v>20</v>
      </c>
      <c r="J127" s="47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20"/>
      <c r="M127" s="56"/>
      <c r="U127" s="5"/>
    </row>
    <row r="128" spans="1:21">
      <c r="A128" s="10">
        <v>124</v>
      </c>
      <c r="B128" s="11" t="s">
        <v>140</v>
      </c>
      <c r="C128" s="46">
        <f>+'วันที่ 1'!C128</f>
        <v>0</v>
      </c>
      <c r="D128" s="47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8"/>
        <v>0</v>
      </c>
      <c r="F128" s="47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0">
        <f t="shared" si="9"/>
        <v>0</v>
      </c>
      <c r="H128" s="47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21">
        <v>35</v>
      </c>
      <c r="J128" s="47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20"/>
      <c r="M128" s="56"/>
      <c r="U128" s="5"/>
    </row>
    <row r="129" spans="1:21">
      <c r="A129" s="10">
        <v>125</v>
      </c>
      <c r="B129" s="11" t="s">
        <v>141</v>
      </c>
      <c r="C129" s="46">
        <f>+'วันที่ 1'!C129</f>
        <v>0</v>
      </c>
      <c r="D129" s="47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8"/>
        <v>0</v>
      </c>
      <c r="F129" s="47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0">
        <f t="shared" si="9"/>
        <v>0</v>
      </c>
      <c r="H129" s="47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21">
        <v>40</v>
      </c>
      <c r="J129" s="47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20"/>
      <c r="M129" s="56"/>
      <c r="U129" s="5"/>
    </row>
    <row r="130" spans="1:21">
      <c r="A130" s="10">
        <v>126</v>
      </c>
      <c r="B130" s="11" t="s">
        <v>142</v>
      </c>
      <c r="C130" s="46">
        <f>+'วันที่ 1'!C130</f>
        <v>0</v>
      </c>
      <c r="D130" s="47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8"/>
        <v>0</v>
      </c>
      <c r="F130" s="47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0">
        <f t="shared" si="9"/>
        <v>0</v>
      </c>
      <c r="H130" s="47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21">
        <v>50</v>
      </c>
      <c r="J130" s="47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20"/>
      <c r="M130" s="56"/>
      <c r="U130" s="5"/>
    </row>
    <row r="131" spans="1:21">
      <c r="A131" s="10">
        <v>127</v>
      </c>
      <c r="B131" s="11" t="s">
        <v>143</v>
      </c>
      <c r="C131" s="46">
        <f>+'วันที่ 1'!C131</f>
        <v>0</v>
      </c>
      <c r="D131" s="47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8"/>
        <v>0</v>
      </c>
      <c r="F131" s="47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0">
        <f t="shared" si="9"/>
        <v>0</v>
      </c>
      <c r="H131" s="47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21">
        <v>55</v>
      </c>
      <c r="J131" s="47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20"/>
      <c r="M131" s="56"/>
      <c r="U131" s="5"/>
    </row>
    <row r="132" spans="1:21">
      <c r="A132" s="10">
        <v>128</v>
      </c>
      <c r="B132" s="11" t="s">
        <v>144</v>
      </c>
      <c r="C132" s="46">
        <f>+'วันที่ 1'!C132</f>
        <v>0</v>
      </c>
      <c r="D132" s="47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8"/>
        <v>0</v>
      </c>
      <c r="F132" s="47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0">
        <f t="shared" si="9"/>
        <v>0</v>
      </c>
      <c r="H132" s="47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21">
        <v>55</v>
      </c>
      <c r="J132" s="47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20"/>
      <c r="M132" s="56"/>
      <c r="U132" s="5"/>
    </row>
    <row r="133" spans="1:21">
      <c r="A133" s="10">
        <v>129</v>
      </c>
      <c r="B133" s="11" t="s">
        <v>145</v>
      </c>
      <c r="C133" s="46">
        <f>+'วันที่ 1'!C133</f>
        <v>0</v>
      </c>
      <c r="D133" s="47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8"/>
        <v>0</v>
      </c>
      <c r="F133" s="47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0">
        <f t="shared" si="9"/>
        <v>0</v>
      </c>
      <c r="H133" s="47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21">
        <v>45</v>
      </c>
      <c r="J133" s="47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20"/>
      <c r="M133" s="56"/>
      <c r="U133" s="5"/>
    </row>
    <row r="134" spans="1:21">
      <c r="A134" s="10">
        <v>130</v>
      </c>
      <c r="B134" s="11" t="s">
        <v>146</v>
      </c>
      <c r="C134" s="46">
        <f>+'วันที่ 1'!C134</f>
        <v>0</v>
      </c>
      <c r="D134" s="47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8"/>
        <v>0</v>
      </c>
      <c r="F134" s="47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0">
        <f t="shared" ref="G134:G197" si="10">E134-F134-H134</f>
        <v>0</v>
      </c>
      <c r="H134" s="47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21">
        <v>45</v>
      </c>
      <c r="J134" s="47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20"/>
      <c r="M134" s="56"/>
      <c r="U134" s="5"/>
    </row>
    <row r="135" spans="1:21">
      <c r="A135" s="10">
        <v>131</v>
      </c>
      <c r="B135" s="11" t="s">
        <v>147</v>
      </c>
      <c r="C135" s="46">
        <f>+'วันที่ 1'!C135</f>
        <v>0</v>
      </c>
      <c r="D135" s="47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8"/>
        <v>0</v>
      </c>
      <c r="F135" s="47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0">
        <f t="shared" si="10"/>
        <v>0</v>
      </c>
      <c r="H135" s="47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21">
        <v>55</v>
      </c>
      <c r="J135" s="47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20"/>
      <c r="M135" s="56"/>
      <c r="U135" s="5"/>
    </row>
    <row r="136" spans="1:21">
      <c r="A136" s="10">
        <v>132</v>
      </c>
      <c r="B136" s="11" t="s">
        <v>148</v>
      </c>
      <c r="C136" s="46">
        <f>+'วันที่ 1'!C136</f>
        <v>0</v>
      </c>
      <c r="D136" s="47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8"/>
        <v>0</v>
      </c>
      <c r="F136" s="47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0">
        <f t="shared" si="10"/>
        <v>0</v>
      </c>
      <c r="H136" s="47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21">
        <v>45</v>
      </c>
      <c r="J136" s="47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20"/>
      <c r="M136" s="56"/>
      <c r="U136" s="5"/>
    </row>
    <row r="137" spans="1:21">
      <c r="A137" s="10">
        <v>133</v>
      </c>
      <c r="B137" s="11" t="s">
        <v>149</v>
      </c>
      <c r="C137" s="46">
        <f>+'วันที่ 1'!C137</f>
        <v>0</v>
      </c>
      <c r="D137" s="47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8"/>
        <v>0</v>
      </c>
      <c r="F137" s="47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0">
        <f t="shared" si="10"/>
        <v>0</v>
      </c>
      <c r="H137" s="47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21">
        <v>45</v>
      </c>
      <c r="J137" s="47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20"/>
      <c r="M137" s="56"/>
      <c r="U137" s="5"/>
    </row>
    <row r="138" spans="1:21">
      <c r="A138" s="10">
        <v>134</v>
      </c>
      <c r="B138" s="11" t="s">
        <v>150</v>
      </c>
      <c r="C138" s="46">
        <f>+'วันที่ 1'!C138</f>
        <v>0</v>
      </c>
      <c r="D138" s="47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8"/>
        <v>0</v>
      </c>
      <c r="F138" s="47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0">
        <f t="shared" si="10"/>
        <v>0</v>
      </c>
      <c r="H138" s="47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21">
        <v>45</v>
      </c>
      <c r="J138" s="47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20"/>
      <c r="M138" s="56"/>
      <c r="U138" s="5"/>
    </row>
    <row r="139" spans="1:21">
      <c r="A139" s="10">
        <v>135</v>
      </c>
      <c r="B139" s="11" t="s">
        <v>151</v>
      </c>
      <c r="C139" s="46">
        <f>+'วันที่ 1'!C139</f>
        <v>0</v>
      </c>
      <c r="D139" s="47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8"/>
        <v>0</v>
      </c>
      <c r="F139" s="47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0">
        <f t="shared" si="10"/>
        <v>0</v>
      </c>
      <c r="H139" s="47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21">
        <v>45</v>
      </c>
      <c r="J139" s="47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20"/>
      <c r="M139" s="56"/>
      <c r="U139" s="5"/>
    </row>
    <row r="140" spans="1:21">
      <c r="A140" s="10">
        <v>136</v>
      </c>
      <c r="B140" s="11" t="s">
        <v>152</v>
      </c>
      <c r="C140" s="46">
        <f>+'วันที่ 1'!C140</f>
        <v>0</v>
      </c>
      <c r="D140" s="47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8"/>
        <v>0</v>
      </c>
      <c r="F140" s="47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0">
        <f t="shared" si="10"/>
        <v>0</v>
      </c>
      <c r="H140" s="47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21">
        <v>45</v>
      </c>
      <c r="J140" s="47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20"/>
      <c r="M140" s="56"/>
      <c r="U140" s="5"/>
    </row>
    <row r="141" spans="1:21">
      <c r="A141" s="10">
        <v>137</v>
      </c>
      <c r="B141" s="11" t="s">
        <v>153</v>
      </c>
      <c r="C141" s="46">
        <f>+'วันที่ 1'!C141</f>
        <v>0</v>
      </c>
      <c r="D141" s="47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8"/>
        <v>0</v>
      </c>
      <c r="F141" s="47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0">
        <f t="shared" si="10"/>
        <v>0</v>
      </c>
      <c r="H141" s="47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21">
        <v>45</v>
      </c>
      <c r="J141" s="47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20"/>
      <c r="M141" s="56"/>
      <c r="U141" s="5"/>
    </row>
    <row r="142" spans="1:21">
      <c r="A142" s="10">
        <v>138</v>
      </c>
      <c r="B142" s="11" t="s">
        <v>154</v>
      </c>
      <c r="C142" s="46">
        <f>+'วันที่ 1'!C142</f>
        <v>0</v>
      </c>
      <c r="D142" s="47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8"/>
        <v>0</v>
      </c>
      <c r="F142" s="47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0">
        <f t="shared" si="10"/>
        <v>0</v>
      </c>
      <c r="H142" s="47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21">
        <v>120</v>
      </c>
      <c r="J142" s="47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20"/>
      <c r="M142" s="56"/>
      <c r="U142" s="5"/>
    </row>
    <row r="143" spans="1:21">
      <c r="A143" s="10">
        <v>139</v>
      </c>
      <c r="B143" s="11" t="s">
        <v>155</v>
      </c>
      <c r="C143" s="46">
        <f>+'วันที่ 1'!C143</f>
        <v>0</v>
      </c>
      <c r="D143" s="47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8"/>
        <v>0</v>
      </c>
      <c r="F143" s="47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0">
        <f t="shared" si="10"/>
        <v>0</v>
      </c>
      <c r="H143" s="47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21">
        <v>120</v>
      </c>
      <c r="J143" s="47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20"/>
      <c r="M143" s="56"/>
      <c r="U143" s="5"/>
    </row>
    <row r="144" spans="1:21">
      <c r="A144" s="10">
        <v>140</v>
      </c>
      <c r="B144" s="11" t="s">
        <v>156</v>
      </c>
      <c r="C144" s="46">
        <f>+'วันที่ 1'!C144</f>
        <v>0</v>
      </c>
      <c r="D144" s="47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8"/>
        <v>0</v>
      </c>
      <c r="F144" s="47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0">
        <f t="shared" si="10"/>
        <v>0</v>
      </c>
      <c r="H144" s="47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21">
        <v>120</v>
      </c>
      <c r="J144" s="47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20"/>
      <c r="M144" s="56"/>
      <c r="U144" s="5"/>
    </row>
    <row r="145" spans="1:21">
      <c r="A145" s="10">
        <v>141</v>
      </c>
      <c r="B145" s="11" t="s">
        <v>157</v>
      </c>
      <c r="C145" s="46">
        <f>+'วันที่ 1'!C145</f>
        <v>0</v>
      </c>
      <c r="D145" s="47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8"/>
        <v>0</v>
      </c>
      <c r="F145" s="47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0">
        <f t="shared" si="10"/>
        <v>0</v>
      </c>
      <c r="H145" s="47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21">
        <v>120</v>
      </c>
      <c r="J145" s="47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20"/>
      <c r="M145" s="56"/>
      <c r="U145" s="5"/>
    </row>
    <row r="146" spans="1:21">
      <c r="A146" s="10">
        <v>142</v>
      </c>
      <c r="B146" s="11" t="s">
        <v>158</v>
      </c>
      <c r="C146" s="46">
        <f>+'วันที่ 1'!C146</f>
        <v>0</v>
      </c>
      <c r="D146" s="47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8"/>
        <v>0</v>
      </c>
      <c r="F146" s="47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0">
        <f t="shared" si="10"/>
        <v>0</v>
      </c>
      <c r="H146" s="47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21">
        <v>185</v>
      </c>
      <c r="J146" s="47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20"/>
      <c r="M146" s="56"/>
      <c r="U146" s="5"/>
    </row>
    <row r="147" spans="1:21">
      <c r="A147" s="10">
        <v>143</v>
      </c>
      <c r="B147" s="11" t="s">
        <v>159</v>
      </c>
      <c r="C147" s="46">
        <f>+'วันที่ 1'!C147</f>
        <v>0</v>
      </c>
      <c r="D147" s="47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8"/>
        <v>0</v>
      </c>
      <c r="F147" s="47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0">
        <f t="shared" si="10"/>
        <v>0</v>
      </c>
      <c r="H147" s="47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21">
        <v>185</v>
      </c>
      <c r="J147" s="47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20"/>
      <c r="M147" s="56"/>
      <c r="U147" s="5"/>
    </row>
    <row r="148" spans="1:21">
      <c r="A148" s="10">
        <v>144</v>
      </c>
      <c r="B148" s="11" t="s">
        <v>160</v>
      </c>
      <c r="C148" s="46">
        <f>+'วันที่ 1'!C148</f>
        <v>0</v>
      </c>
      <c r="D148" s="47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8"/>
        <v>0</v>
      </c>
      <c r="F148" s="47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0">
        <f t="shared" si="10"/>
        <v>0</v>
      </c>
      <c r="H148" s="47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21">
        <v>185</v>
      </c>
      <c r="J148" s="47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20"/>
      <c r="M148" s="56"/>
      <c r="U148" s="5"/>
    </row>
    <row r="149" spans="1:21">
      <c r="A149" s="10">
        <v>145</v>
      </c>
      <c r="B149" s="11" t="s">
        <v>161</v>
      </c>
      <c r="C149" s="46">
        <f>+'วันที่ 1'!C149</f>
        <v>0</v>
      </c>
      <c r="D149" s="47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8"/>
        <v>0</v>
      </c>
      <c r="F149" s="47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0">
        <f t="shared" si="10"/>
        <v>0</v>
      </c>
      <c r="H149" s="47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21">
        <v>185</v>
      </c>
      <c r="J149" s="47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20"/>
      <c r="M149" s="56"/>
      <c r="U149" s="5"/>
    </row>
    <row r="150" spans="1:21">
      <c r="A150" s="10">
        <v>146</v>
      </c>
      <c r="B150" s="11" t="s">
        <v>162</v>
      </c>
      <c r="C150" s="46">
        <f>+'วันที่ 1'!C150</f>
        <v>0</v>
      </c>
      <c r="D150" s="47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0</v>
      </c>
      <c r="E150" s="46">
        <f t="shared" si="8"/>
        <v>0</v>
      </c>
      <c r="F150" s="47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0">
        <f t="shared" si="10"/>
        <v>0</v>
      </c>
      <c r="H150" s="47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0</v>
      </c>
      <c r="I150" s="21">
        <v>120</v>
      </c>
      <c r="J150" s="47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0</v>
      </c>
      <c r="K150" s="20"/>
      <c r="M150" s="56"/>
      <c r="U150" s="5"/>
    </row>
    <row r="151" spans="1:21">
      <c r="A151" s="10">
        <v>147</v>
      </c>
      <c r="B151" s="11" t="s">
        <v>163</v>
      </c>
      <c r="C151" s="46">
        <f>+'วันที่ 1'!C151</f>
        <v>0</v>
      </c>
      <c r="D151" s="47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8"/>
        <v>0</v>
      </c>
      <c r="F151" s="47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0">
        <f t="shared" si="10"/>
        <v>0</v>
      </c>
      <c r="H151" s="47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21">
        <v>120</v>
      </c>
      <c r="J151" s="47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20"/>
      <c r="M151" s="56"/>
      <c r="U151" s="5"/>
    </row>
    <row r="152" spans="1:21">
      <c r="A152" s="10">
        <v>148</v>
      </c>
      <c r="B152" s="11" t="s">
        <v>164</v>
      </c>
      <c r="C152" s="46">
        <f>+'วันที่ 1'!C152</f>
        <v>0</v>
      </c>
      <c r="D152" s="47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8"/>
        <v>0</v>
      </c>
      <c r="F152" s="47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0">
        <f t="shared" si="10"/>
        <v>0</v>
      </c>
      <c r="H152" s="47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21">
        <v>120</v>
      </c>
      <c r="J152" s="47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20"/>
      <c r="M152" s="56"/>
      <c r="U152" s="5"/>
    </row>
    <row r="153" spans="1:21">
      <c r="A153" s="10">
        <v>149</v>
      </c>
      <c r="B153" s="11" t="s">
        <v>165</v>
      </c>
      <c r="C153" s="46">
        <f>+'วันที่ 1'!C153</f>
        <v>0</v>
      </c>
      <c r="D153" s="47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8"/>
        <v>0</v>
      </c>
      <c r="F153" s="47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0">
        <f t="shared" si="10"/>
        <v>0</v>
      </c>
      <c r="H153" s="47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21">
        <v>120</v>
      </c>
      <c r="J153" s="47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20"/>
      <c r="M153" s="56"/>
      <c r="U153" s="5"/>
    </row>
    <row r="154" spans="1:21">
      <c r="A154" s="10">
        <v>150</v>
      </c>
      <c r="B154" s="11" t="s">
        <v>166</v>
      </c>
      <c r="C154" s="46">
        <f>+'วันที่ 1'!C154</f>
        <v>0</v>
      </c>
      <c r="D154" s="47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8"/>
        <v>0</v>
      </c>
      <c r="F154" s="47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0">
        <f t="shared" si="10"/>
        <v>0</v>
      </c>
      <c r="H154" s="47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21">
        <v>185</v>
      </c>
      <c r="J154" s="47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20"/>
      <c r="M154" s="56"/>
      <c r="U154" s="5"/>
    </row>
    <row r="155" spans="1:21">
      <c r="A155" s="10">
        <v>151</v>
      </c>
      <c r="B155" s="11" t="s">
        <v>167</v>
      </c>
      <c r="C155" s="46">
        <f>+'วันที่ 1'!C155</f>
        <v>0</v>
      </c>
      <c r="D155" s="47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8"/>
        <v>0</v>
      </c>
      <c r="F155" s="47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0">
        <f t="shared" si="10"/>
        <v>0</v>
      </c>
      <c r="H155" s="47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21">
        <v>185</v>
      </c>
      <c r="J155" s="47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20"/>
      <c r="M155" s="56"/>
      <c r="U155" s="5"/>
    </row>
    <row r="156" spans="1:21">
      <c r="A156" s="10">
        <v>152</v>
      </c>
      <c r="B156" s="11" t="s">
        <v>168</v>
      </c>
      <c r="C156" s="46">
        <f>+'วันที่ 1'!C156</f>
        <v>0</v>
      </c>
      <c r="D156" s="47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8"/>
        <v>0</v>
      </c>
      <c r="F156" s="47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0">
        <f t="shared" si="10"/>
        <v>0</v>
      </c>
      <c r="H156" s="47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21">
        <v>185</v>
      </c>
      <c r="J156" s="47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20"/>
      <c r="M156" s="56"/>
      <c r="U156" s="5"/>
    </row>
    <row r="157" spans="1:21">
      <c r="A157" s="10">
        <v>153</v>
      </c>
      <c r="B157" s="11" t="s">
        <v>169</v>
      </c>
      <c r="C157" s="46">
        <f>+'วันที่ 1'!C157</f>
        <v>0</v>
      </c>
      <c r="D157" s="47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8"/>
        <v>0</v>
      </c>
      <c r="F157" s="47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0">
        <f t="shared" si="10"/>
        <v>0</v>
      </c>
      <c r="H157" s="47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21">
        <v>185</v>
      </c>
      <c r="J157" s="47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20"/>
      <c r="M157" s="56"/>
      <c r="U157" s="5"/>
    </row>
    <row r="158" spans="1:21">
      <c r="A158" s="10">
        <v>154</v>
      </c>
      <c r="B158" s="11" t="s">
        <v>170</v>
      </c>
      <c r="C158" s="46">
        <f>+'วันที่ 1'!C158</f>
        <v>0</v>
      </c>
      <c r="D158" s="47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8"/>
        <v>0</v>
      </c>
      <c r="F158" s="47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0">
        <f t="shared" si="10"/>
        <v>0</v>
      </c>
      <c r="H158" s="47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21">
        <v>135</v>
      </c>
      <c r="J158" s="47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20"/>
      <c r="M158" s="56"/>
      <c r="U158" s="5"/>
    </row>
    <row r="159" spans="1:21">
      <c r="A159" s="10">
        <v>155</v>
      </c>
      <c r="B159" s="11" t="s">
        <v>171</v>
      </c>
      <c r="C159" s="46">
        <f>+'วันที่ 1'!C159</f>
        <v>0</v>
      </c>
      <c r="D159" s="47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8"/>
        <v>0</v>
      </c>
      <c r="F159" s="47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0">
        <f t="shared" si="10"/>
        <v>0</v>
      </c>
      <c r="H159" s="47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21">
        <v>90</v>
      </c>
      <c r="J159" s="47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20"/>
      <c r="M159" s="56"/>
      <c r="U159" s="5"/>
    </row>
    <row r="160" spans="1:21">
      <c r="A160" s="10">
        <v>156</v>
      </c>
      <c r="B160" s="11" t="s">
        <v>172</v>
      </c>
      <c r="C160" s="46">
        <f>+'วันที่ 1'!C160</f>
        <v>0</v>
      </c>
      <c r="D160" s="47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8"/>
        <v>0</v>
      </c>
      <c r="F160" s="47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0">
        <f t="shared" si="10"/>
        <v>0</v>
      </c>
      <c r="H160" s="47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21">
        <v>90</v>
      </c>
      <c r="J160" s="47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20"/>
      <c r="M160" s="56"/>
      <c r="U160" s="5"/>
    </row>
    <row r="161" spans="1:21">
      <c r="A161" s="10">
        <v>157</v>
      </c>
      <c r="B161" s="11" t="s">
        <v>173</v>
      </c>
      <c r="C161" s="46">
        <f>+'วันที่ 1'!C161</f>
        <v>0</v>
      </c>
      <c r="D161" s="47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8"/>
        <v>0</v>
      </c>
      <c r="F161" s="47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0">
        <f t="shared" si="10"/>
        <v>0</v>
      </c>
      <c r="H161" s="47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21">
        <v>90</v>
      </c>
      <c r="J161" s="47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20"/>
      <c r="M161" s="56"/>
      <c r="U161" s="5"/>
    </row>
    <row r="162" spans="1:21">
      <c r="A162" s="10">
        <v>158</v>
      </c>
      <c r="B162" s="11" t="s">
        <v>174</v>
      </c>
      <c r="C162" s="46">
        <f>+'วันที่ 1'!C162</f>
        <v>0</v>
      </c>
      <c r="D162" s="47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8"/>
        <v>0</v>
      </c>
      <c r="F162" s="47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0">
        <f t="shared" si="10"/>
        <v>0</v>
      </c>
      <c r="H162" s="47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21">
        <v>90</v>
      </c>
      <c r="J162" s="47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20"/>
      <c r="M162" s="56"/>
      <c r="U162" s="5"/>
    </row>
    <row r="163" spans="1:21">
      <c r="A163" s="10">
        <v>159</v>
      </c>
      <c r="B163" s="11" t="s">
        <v>175</v>
      </c>
      <c r="C163" s="46">
        <f>+'วันที่ 1'!C163</f>
        <v>0</v>
      </c>
      <c r="D163" s="47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4</v>
      </c>
      <c r="E163" s="46">
        <f t="shared" si="8"/>
        <v>4</v>
      </c>
      <c r="F163" s="47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0">
        <f t="shared" si="10"/>
        <v>0</v>
      </c>
      <c r="H163" s="47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4</v>
      </c>
      <c r="I163" s="21">
        <v>25</v>
      </c>
      <c r="J163" s="47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100</v>
      </c>
      <c r="K163" s="20"/>
      <c r="M163" s="56"/>
      <c r="U163" s="5"/>
    </row>
    <row r="164" spans="1:21">
      <c r="A164" s="10">
        <v>160</v>
      </c>
      <c r="B164" s="11" t="s">
        <v>176</v>
      </c>
      <c r="C164" s="46">
        <f>+'วันที่ 1'!C164</f>
        <v>0</v>
      </c>
      <c r="D164" s="47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8"/>
        <v>0</v>
      </c>
      <c r="F164" s="47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0">
        <f t="shared" si="10"/>
        <v>0</v>
      </c>
      <c r="H164" s="47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21">
        <v>50</v>
      </c>
      <c r="J164" s="47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20"/>
      <c r="M164" s="56"/>
      <c r="U164" s="5"/>
    </row>
    <row r="165" spans="1:21">
      <c r="A165" s="10">
        <v>161</v>
      </c>
      <c r="B165" s="11" t="s">
        <v>177</v>
      </c>
      <c r="C165" s="46">
        <f>+'วันที่ 1'!C165</f>
        <v>0</v>
      </c>
      <c r="D165" s="47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8"/>
        <v>0</v>
      </c>
      <c r="F165" s="47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0">
        <f t="shared" si="10"/>
        <v>0</v>
      </c>
      <c r="H165" s="47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21">
        <v>50</v>
      </c>
      <c r="J165" s="47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20"/>
      <c r="M165" s="56"/>
      <c r="U165" s="5"/>
    </row>
    <row r="166" spans="1:21">
      <c r="A166" s="10">
        <v>162</v>
      </c>
      <c r="B166" s="11" t="s">
        <v>178</v>
      </c>
      <c r="C166" s="46">
        <f>+'วันที่ 1'!C166</f>
        <v>0</v>
      </c>
      <c r="D166" s="47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8"/>
        <v>0</v>
      </c>
      <c r="F166" s="47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0">
        <f t="shared" si="10"/>
        <v>0</v>
      </c>
      <c r="H166" s="47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21">
        <v>50</v>
      </c>
      <c r="J166" s="47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20"/>
      <c r="M166" s="56"/>
      <c r="U166" s="5"/>
    </row>
    <row r="167" spans="1:21">
      <c r="A167" s="10">
        <v>163</v>
      </c>
      <c r="B167" s="11" t="s">
        <v>179</v>
      </c>
      <c r="C167" s="46">
        <f>+'วันที่ 1'!C167</f>
        <v>0</v>
      </c>
      <c r="D167" s="47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8"/>
        <v>0</v>
      </c>
      <c r="F167" s="47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0">
        <f t="shared" si="10"/>
        <v>0</v>
      </c>
      <c r="H167" s="47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21">
        <v>50</v>
      </c>
      <c r="J167" s="47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20"/>
      <c r="M167" s="56"/>
      <c r="U167" s="5"/>
    </row>
    <row r="168" spans="1:21">
      <c r="A168" s="10">
        <v>164</v>
      </c>
      <c r="B168" s="11" t="s">
        <v>180</v>
      </c>
      <c r="C168" s="46">
        <f>+'วันที่ 1'!C168</f>
        <v>15</v>
      </c>
      <c r="D168" s="47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40</v>
      </c>
      <c r="E168" s="46">
        <f t="shared" si="8"/>
        <v>55</v>
      </c>
      <c r="F168" s="47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90">
        <f t="shared" si="10"/>
        <v>45</v>
      </c>
      <c r="H168" s="47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10</v>
      </c>
      <c r="I168" s="21">
        <v>55</v>
      </c>
      <c r="J168" s="47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550</v>
      </c>
      <c r="K168" s="20"/>
      <c r="M168" s="56"/>
      <c r="U168" s="5"/>
    </row>
    <row r="169" spans="1:21">
      <c r="A169" s="10">
        <v>165</v>
      </c>
      <c r="B169" s="11" t="s">
        <v>181</v>
      </c>
      <c r="C169" s="46">
        <f>+'วันที่ 1'!C169</f>
        <v>1</v>
      </c>
      <c r="D169" s="47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8"/>
        <v>1</v>
      </c>
      <c r="F169" s="47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1</v>
      </c>
      <c r="G169" s="90">
        <f t="shared" si="10"/>
        <v>0</v>
      </c>
      <c r="H169" s="47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21">
        <v>85</v>
      </c>
      <c r="J169" s="47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20"/>
      <c r="M169" s="56"/>
      <c r="U169" s="5"/>
    </row>
    <row r="170" spans="1:21">
      <c r="A170" s="10">
        <v>166</v>
      </c>
      <c r="B170" s="11" t="s">
        <v>182</v>
      </c>
      <c r="C170" s="46">
        <f>+'วันที่ 1'!C170</f>
        <v>0</v>
      </c>
      <c r="D170" s="47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8"/>
        <v>0</v>
      </c>
      <c r="F170" s="47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0">
        <f t="shared" si="10"/>
        <v>0</v>
      </c>
      <c r="H170" s="47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21">
        <v>80</v>
      </c>
      <c r="J170" s="47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20"/>
      <c r="M170" s="56"/>
      <c r="U170" s="5"/>
    </row>
    <row r="171" spans="1:21">
      <c r="A171" s="10">
        <v>167</v>
      </c>
      <c r="B171" s="11" t="s">
        <v>183</v>
      </c>
      <c r="C171" s="46">
        <f>+'วันที่ 1'!C171</f>
        <v>0</v>
      </c>
      <c r="D171" s="47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8"/>
        <v>0</v>
      </c>
      <c r="F171" s="47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0">
        <f t="shared" si="10"/>
        <v>0</v>
      </c>
      <c r="H171" s="47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21">
        <v>40</v>
      </c>
      <c r="J171" s="47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20"/>
      <c r="M171" s="56"/>
      <c r="U171" s="5"/>
    </row>
    <row r="172" spans="1:21">
      <c r="A172" s="10">
        <v>168</v>
      </c>
      <c r="B172" s="11" t="s">
        <v>184</v>
      </c>
      <c r="C172" s="46">
        <f>+'วันที่ 1'!C172</f>
        <v>0</v>
      </c>
      <c r="D172" s="47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8"/>
        <v>0</v>
      </c>
      <c r="F172" s="47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0">
        <f t="shared" si="10"/>
        <v>0</v>
      </c>
      <c r="H172" s="47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21">
        <v>120</v>
      </c>
      <c r="J172" s="47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20"/>
      <c r="M172" s="56"/>
      <c r="U172" s="5"/>
    </row>
    <row r="173" spans="1:21">
      <c r="A173" s="10">
        <v>169</v>
      </c>
      <c r="B173" s="11" t="s">
        <v>185</v>
      </c>
      <c r="C173" s="46">
        <f>+'วันที่ 1'!C173</f>
        <v>0</v>
      </c>
      <c r="D173" s="47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8"/>
        <v>0</v>
      </c>
      <c r="F173" s="47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0">
        <f t="shared" si="10"/>
        <v>0</v>
      </c>
      <c r="H173" s="47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21">
        <v>120</v>
      </c>
      <c r="J173" s="47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20"/>
      <c r="M173" s="56"/>
      <c r="U173" s="5"/>
    </row>
    <row r="174" spans="1:21">
      <c r="A174" s="10">
        <v>170</v>
      </c>
      <c r="B174" s="11" t="s">
        <v>186</v>
      </c>
      <c r="C174" s="46">
        <f>+'วันที่ 1'!C174</f>
        <v>0</v>
      </c>
      <c r="D174" s="47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8"/>
        <v>0</v>
      </c>
      <c r="F174" s="47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0">
        <f t="shared" si="10"/>
        <v>0</v>
      </c>
      <c r="H174" s="47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21">
        <v>55</v>
      </c>
      <c r="J174" s="47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20"/>
      <c r="M174" s="56"/>
      <c r="U174" s="5"/>
    </row>
    <row r="175" spans="1:21">
      <c r="A175" s="10">
        <v>171</v>
      </c>
      <c r="B175" s="11" t="s">
        <v>187</v>
      </c>
      <c r="C175" s="46">
        <f>+'วันที่ 1'!C175</f>
        <v>0</v>
      </c>
      <c r="D175" s="47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8"/>
        <v>0</v>
      </c>
      <c r="F175" s="47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0">
        <f t="shared" si="10"/>
        <v>0</v>
      </c>
      <c r="H175" s="47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21">
        <v>50</v>
      </c>
      <c r="J175" s="47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20"/>
      <c r="M175" s="56"/>
      <c r="U175" s="5"/>
    </row>
    <row r="176" spans="1:21">
      <c r="A176" s="10">
        <v>172</v>
      </c>
      <c r="B176" s="11" t="s">
        <v>188</v>
      </c>
      <c r="C176" s="46">
        <f>+'วันที่ 1'!C176</f>
        <v>0</v>
      </c>
      <c r="D176" s="47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46">
        <f t="shared" si="8"/>
        <v>0</v>
      </c>
      <c r="F176" s="47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0">
        <f t="shared" si="10"/>
        <v>0</v>
      </c>
      <c r="H176" s="47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21">
        <v>50</v>
      </c>
      <c r="J176" s="47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20"/>
      <c r="M176" s="56"/>
      <c r="U176" s="5"/>
    </row>
    <row r="177" spans="1:21">
      <c r="A177" s="10">
        <v>173</v>
      </c>
      <c r="B177" s="11" t="s">
        <v>189</v>
      </c>
      <c r="C177" s="46">
        <f>+'วันที่ 1'!C177</f>
        <v>1</v>
      </c>
      <c r="D177" s="47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3</v>
      </c>
      <c r="E177" s="46">
        <f t="shared" si="8"/>
        <v>4</v>
      </c>
      <c r="F177" s="47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2</v>
      </c>
      <c r="G177" s="90">
        <f t="shared" si="10"/>
        <v>0</v>
      </c>
      <c r="H177" s="47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2</v>
      </c>
      <c r="I177" s="21">
        <v>120</v>
      </c>
      <c r="J177" s="47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240</v>
      </c>
      <c r="K177" s="20"/>
      <c r="M177" s="56"/>
      <c r="U177" s="5"/>
    </row>
    <row r="178" spans="1:21">
      <c r="A178" s="10">
        <v>174</v>
      </c>
      <c r="B178" s="11" t="s">
        <v>190</v>
      </c>
      <c r="C178" s="46">
        <f>+'วันที่ 1'!C178</f>
        <v>0</v>
      </c>
      <c r="D178" s="47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3</v>
      </c>
      <c r="E178" s="46">
        <f t="shared" si="8"/>
        <v>3</v>
      </c>
      <c r="F178" s="47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90">
        <f t="shared" si="10"/>
        <v>0</v>
      </c>
      <c r="H178" s="47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3</v>
      </c>
      <c r="I178" s="21">
        <v>120</v>
      </c>
      <c r="J178" s="47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360</v>
      </c>
      <c r="K178" s="20"/>
      <c r="M178" s="56"/>
      <c r="U178" s="5"/>
    </row>
    <row r="179" spans="1:21">
      <c r="A179" s="10">
        <v>175</v>
      </c>
      <c r="B179" s="11" t="s">
        <v>191</v>
      </c>
      <c r="C179" s="46">
        <f>+'วันที่ 1'!C179</f>
        <v>0</v>
      </c>
      <c r="D179" s="47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8"/>
        <v>0</v>
      </c>
      <c r="F179" s="47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0">
        <f t="shared" si="10"/>
        <v>0</v>
      </c>
      <c r="H179" s="47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21">
        <v>10</v>
      </c>
      <c r="J179" s="47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20"/>
      <c r="M179" s="56"/>
      <c r="U179" s="5"/>
    </row>
    <row r="180" spans="1:21">
      <c r="A180" s="10">
        <v>176</v>
      </c>
      <c r="B180" s="11" t="s">
        <v>192</v>
      </c>
      <c r="C180" s="46">
        <f>+'วันที่ 1'!C180</f>
        <v>0</v>
      </c>
      <c r="D180" s="47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8"/>
        <v>0</v>
      </c>
      <c r="F180" s="47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0">
        <f t="shared" si="10"/>
        <v>0</v>
      </c>
      <c r="H180" s="47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21">
        <v>35</v>
      </c>
      <c r="J180" s="47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20"/>
      <c r="M180" s="56"/>
      <c r="U180" s="5"/>
    </row>
    <row r="181" spans="1:21">
      <c r="A181" s="10">
        <v>177</v>
      </c>
      <c r="B181" s="11" t="s">
        <v>193</v>
      </c>
      <c r="C181" s="46">
        <f>+'วันที่ 1'!C181</f>
        <v>0</v>
      </c>
      <c r="D181" s="47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8"/>
        <v>0</v>
      </c>
      <c r="F181" s="47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0">
        <f t="shared" si="10"/>
        <v>0</v>
      </c>
      <c r="H181" s="47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21">
        <v>10</v>
      </c>
      <c r="J181" s="47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20"/>
      <c r="M181" s="56"/>
      <c r="U181" s="5"/>
    </row>
    <row r="182" spans="1:21">
      <c r="A182" s="10">
        <v>178</v>
      </c>
      <c r="B182" s="11" t="s">
        <v>194</v>
      </c>
      <c r="C182" s="46">
        <f>+'วันที่ 1'!C182</f>
        <v>0</v>
      </c>
      <c r="D182" s="47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8"/>
        <v>0</v>
      </c>
      <c r="F182" s="47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0">
        <f t="shared" si="10"/>
        <v>0</v>
      </c>
      <c r="H182" s="47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21">
        <v>10</v>
      </c>
      <c r="J182" s="47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20"/>
      <c r="M182" s="56"/>
      <c r="U182" s="5"/>
    </row>
    <row r="183" spans="1:21">
      <c r="A183" s="10">
        <v>179</v>
      </c>
      <c r="B183" s="11" t="s">
        <v>195</v>
      </c>
      <c r="C183" s="46">
        <f>+'วันที่ 1'!C183</f>
        <v>0</v>
      </c>
      <c r="D183" s="47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8"/>
        <v>0</v>
      </c>
      <c r="F183" s="47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0">
        <f t="shared" si="10"/>
        <v>0</v>
      </c>
      <c r="H183" s="47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21">
        <v>10</v>
      </c>
      <c r="J183" s="47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20"/>
      <c r="M183" s="56"/>
      <c r="U183" s="5"/>
    </row>
    <row r="184" spans="1:21">
      <c r="A184" s="10">
        <v>180</v>
      </c>
      <c r="B184" s="11" t="s">
        <v>196</v>
      </c>
      <c r="C184" s="46">
        <f>+'วันที่ 1'!C184</f>
        <v>0</v>
      </c>
      <c r="D184" s="47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8"/>
        <v>0</v>
      </c>
      <c r="F184" s="47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0">
        <f t="shared" si="10"/>
        <v>0</v>
      </c>
      <c r="H184" s="47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21">
        <v>10</v>
      </c>
      <c r="J184" s="47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20"/>
      <c r="M184" s="56"/>
      <c r="U184" s="5"/>
    </row>
    <row r="185" spans="1:21">
      <c r="A185" s="10">
        <v>181</v>
      </c>
      <c r="B185" s="11" t="s">
        <v>197</v>
      </c>
      <c r="C185" s="46">
        <f>+'วันที่ 1'!C185</f>
        <v>0</v>
      </c>
      <c r="D185" s="47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8"/>
        <v>0</v>
      </c>
      <c r="F185" s="47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0">
        <f t="shared" si="10"/>
        <v>0</v>
      </c>
      <c r="H185" s="47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21">
        <v>10</v>
      </c>
      <c r="J185" s="47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20"/>
      <c r="M185" s="56"/>
      <c r="U185" s="5"/>
    </row>
    <row r="186" spans="1:21">
      <c r="A186" s="10">
        <v>182</v>
      </c>
      <c r="B186" s="11" t="s">
        <v>198</v>
      </c>
      <c r="C186" s="46">
        <f>+'วันที่ 1'!C186</f>
        <v>0</v>
      </c>
      <c r="D186" s="47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8"/>
        <v>0</v>
      </c>
      <c r="F186" s="47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0">
        <f t="shared" si="10"/>
        <v>0</v>
      </c>
      <c r="H186" s="47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21">
        <v>25</v>
      </c>
      <c r="J186" s="47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20"/>
      <c r="M186" s="56"/>
      <c r="U186" s="5"/>
    </row>
    <row r="187" spans="1:21">
      <c r="A187" s="10">
        <v>183</v>
      </c>
      <c r="B187" s="11" t="s">
        <v>199</v>
      </c>
      <c r="C187" s="46">
        <f>+'วันที่ 1'!C187</f>
        <v>0</v>
      </c>
      <c r="D187" s="47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8"/>
        <v>0</v>
      </c>
      <c r="F187" s="47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0">
        <f t="shared" si="10"/>
        <v>0</v>
      </c>
      <c r="H187" s="47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6">
        <v>50</v>
      </c>
      <c r="J187" s="47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20"/>
      <c r="M187" s="56"/>
      <c r="U187" s="5"/>
    </row>
    <row r="188" spans="1:21">
      <c r="A188" s="10">
        <v>184</v>
      </c>
      <c r="B188" s="11" t="s">
        <v>200</v>
      </c>
      <c r="C188" s="46">
        <f>+'วันที่ 1'!C188</f>
        <v>0</v>
      </c>
      <c r="D188" s="47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8"/>
        <v>0</v>
      </c>
      <c r="F188" s="47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0">
        <f t="shared" si="10"/>
        <v>0</v>
      </c>
      <c r="H188" s="47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6">
        <v>10</v>
      </c>
      <c r="J188" s="47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20"/>
      <c r="M188" s="56"/>
      <c r="U188" s="5"/>
    </row>
    <row r="189" spans="1:21">
      <c r="A189" s="10">
        <v>185</v>
      </c>
      <c r="B189" s="11" t="s">
        <v>201</v>
      </c>
      <c r="C189" s="46">
        <f>+'วันที่ 1'!C189</f>
        <v>0</v>
      </c>
      <c r="D189" s="47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8"/>
        <v>0</v>
      </c>
      <c r="F189" s="47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0">
        <f t="shared" si="10"/>
        <v>0</v>
      </c>
      <c r="H189" s="47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6">
        <v>15</v>
      </c>
      <c r="J189" s="47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20"/>
      <c r="M189" s="56"/>
      <c r="U189" s="5"/>
    </row>
    <row r="190" spans="1:21">
      <c r="A190" s="10">
        <v>186</v>
      </c>
      <c r="B190" s="11" t="s">
        <v>202</v>
      </c>
      <c r="C190" s="46">
        <f>+'วันที่ 1'!C190</f>
        <v>0</v>
      </c>
      <c r="D190" s="47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8"/>
        <v>0</v>
      </c>
      <c r="F190" s="47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0">
        <f t="shared" si="10"/>
        <v>0</v>
      </c>
      <c r="H190" s="47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6">
        <v>25</v>
      </c>
      <c r="J190" s="47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20"/>
      <c r="M190" s="56"/>
      <c r="U190" s="5"/>
    </row>
    <row r="191" spans="1:21">
      <c r="A191" s="10">
        <v>187</v>
      </c>
      <c r="B191" s="11" t="s">
        <v>203</v>
      </c>
      <c r="C191" s="46">
        <f>+'วันที่ 1'!C191</f>
        <v>0</v>
      </c>
      <c r="D191" s="47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8"/>
        <v>0</v>
      </c>
      <c r="F191" s="47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0">
        <f t="shared" si="10"/>
        <v>0</v>
      </c>
      <c r="H191" s="47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6">
        <v>45</v>
      </c>
      <c r="J191" s="47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20"/>
      <c r="M191" s="56"/>
      <c r="U191" s="5"/>
    </row>
    <row r="192" spans="1:21">
      <c r="A192" s="10">
        <v>188</v>
      </c>
      <c r="B192" s="11" t="s">
        <v>204</v>
      </c>
      <c r="C192" s="46">
        <f>+'วันที่ 1'!C192</f>
        <v>0</v>
      </c>
      <c r="D192" s="47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8"/>
        <v>0</v>
      </c>
      <c r="F192" s="47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0">
        <f t="shared" si="10"/>
        <v>0</v>
      </c>
      <c r="H192" s="47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6">
        <v>150</v>
      </c>
      <c r="J192" s="47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20"/>
      <c r="M192" s="56"/>
      <c r="U192" s="5"/>
    </row>
    <row r="193" spans="1:21">
      <c r="A193" s="10">
        <v>189</v>
      </c>
      <c r="B193" s="11" t="s">
        <v>205</v>
      </c>
      <c r="C193" s="46">
        <f>+'วันที่ 1'!C193</f>
        <v>0</v>
      </c>
      <c r="D193" s="47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8"/>
        <v>0</v>
      </c>
      <c r="F193" s="47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0">
        <f t="shared" si="10"/>
        <v>0</v>
      </c>
      <c r="H193" s="47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6">
        <v>150</v>
      </c>
      <c r="J193" s="47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20"/>
      <c r="M193" s="56"/>
      <c r="U193" s="5"/>
    </row>
    <row r="194" spans="1:21">
      <c r="A194" s="10">
        <v>190</v>
      </c>
      <c r="B194" s="11" t="s">
        <v>206</v>
      </c>
      <c r="C194" s="46">
        <f>+'วันที่ 1'!C194</f>
        <v>0</v>
      </c>
      <c r="D194" s="47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8"/>
        <v>0</v>
      </c>
      <c r="F194" s="47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0">
        <f t="shared" si="10"/>
        <v>0</v>
      </c>
      <c r="H194" s="47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16">
        <v>150</v>
      </c>
      <c r="J194" s="47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20"/>
      <c r="M194" s="56"/>
      <c r="U194" s="5"/>
    </row>
    <row r="195" spans="1:21">
      <c r="A195" s="10">
        <v>191</v>
      </c>
      <c r="B195" s="11" t="s">
        <v>247</v>
      </c>
      <c r="C195" s="46">
        <f>+'วันที่ 1'!C195</f>
        <v>0</v>
      </c>
      <c r="D195" s="47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10</v>
      </c>
      <c r="E195" s="46">
        <f t="shared" si="8"/>
        <v>10</v>
      </c>
      <c r="F195" s="47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90">
        <f t="shared" si="10"/>
        <v>8</v>
      </c>
      <c r="H195" s="47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2</v>
      </c>
      <c r="I195" s="16">
        <v>55</v>
      </c>
      <c r="J195" s="47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100</v>
      </c>
      <c r="K195" s="20"/>
      <c r="M195" s="56"/>
      <c r="U195" s="5"/>
    </row>
    <row r="196" spans="1:21">
      <c r="A196" s="10">
        <v>192</v>
      </c>
      <c r="B196" s="11" t="s">
        <v>248</v>
      </c>
      <c r="C196" s="46">
        <f>+'วันที่ 1'!C196</f>
        <v>0</v>
      </c>
      <c r="D196" s="47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46">
        <f t="shared" si="8"/>
        <v>0</v>
      </c>
      <c r="F196" s="47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0">
        <f t="shared" si="10"/>
        <v>0</v>
      </c>
      <c r="H196" s="47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16">
        <v>30</v>
      </c>
      <c r="J196" s="47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20"/>
      <c r="M196" s="56"/>
      <c r="U196" s="5"/>
    </row>
    <row r="197" spans="1:21">
      <c r="A197" s="10">
        <v>193</v>
      </c>
      <c r="B197" s="11"/>
      <c r="C197" s="46">
        <f>+'วันที่ 1'!C197</f>
        <v>0</v>
      </c>
      <c r="D197" s="47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8"/>
        <v>0</v>
      </c>
      <c r="F197" s="47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0">
        <f t="shared" si="10"/>
        <v>0</v>
      </c>
      <c r="H197" s="47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20"/>
      <c r="M197" s="56"/>
      <c r="U197" s="5"/>
    </row>
    <row r="198" spans="1:21">
      <c r="A198" s="10">
        <v>194</v>
      </c>
      <c r="B198" s="11"/>
      <c r="C198" s="46">
        <f>+'วันที่ 1'!C198</f>
        <v>0</v>
      </c>
      <c r="D198" s="47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8"/>
        <v>0</v>
      </c>
      <c r="F198" s="47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0">
        <f t="shared" ref="G198:G221" si="11">E198-F198-H198</f>
        <v>0</v>
      </c>
      <c r="H198" s="47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20"/>
      <c r="M198" s="56"/>
      <c r="U198" s="5"/>
    </row>
    <row r="199" spans="1:21">
      <c r="A199" s="10">
        <v>195</v>
      </c>
      <c r="B199" s="11"/>
      <c r="C199" s="46">
        <f>+'วันที่ 1'!C199</f>
        <v>0</v>
      </c>
      <c r="D199" s="47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8"/>
        <v>0</v>
      </c>
      <c r="F199" s="47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0">
        <f t="shared" si="11"/>
        <v>0</v>
      </c>
      <c r="H199" s="47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20"/>
      <c r="M199" s="56"/>
      <c r="U199" s="5"/>
    </row>
    <row r="200" spans="1:21">
      <c r="A200" s="10">
        <v>196</v>
      </c>
      <c r="B200" s="11"/>
      <c r="C200" s="46">
        <f>+'วันที่ 1'!C200</f>
        <v>0</v>
      </c>
      <c r="D200" s="47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8"/>
        <v>0</v>
      </c>
      <c r="F200" s="47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0">
        <f t="shared" si="11"/>
        <v>0</v>
      </c>
      <c r="H200" s="47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20"/>
      <c r="M200" s="56"/>
      <c r="U200" s="5"/>
    </row>
    <row r="201" spans="1:21">
      <c r="A201" s="10">
        <v>197</v>
      </c>
      <c r="B201" s="11"/>
      <c r="C201" s="46">
        <f>+'วันที่ 1'!C201</f>
        <v>0</v>
      </c>
      <c r="D201" s="47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8"/>
        <v>0</v>
      </c>
      <c r="F201" s="47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0">
        <f t="shared" si="11"/>
        <v>0</v>
      </c>
      <c r="H201" s="47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20"/>
      <c r="M201" s="56"/>
      <c r="U201" s="5"/>
    </row>
    <row r="202" spans="1:21">
      <c r="A202" s="10">
        <v>198</v>
      </c>
      <c r="B202" s="11"/>
      <c r="C202" s="46">
        <f>+'วันที่ 1'!C202</f>
        <v>0</v>
      </c>
      <c r="D202" s="47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8"/>
        <v>0</v>
      </c>
      <c r="F202" s="47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0">
        <f t="shared" si="11"/>
        <v>0</v>
      </c>
      <c r="H202" s="47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20"/>
      <c r="M202" s="56"/>
      <c r="U202" s="5"/>
    </row>
    <row r="203" spans="1:21">
      <c r="A203" s="10">
        <v>199</v>
      </c>
      <c r="B203" s="11"/>
      <c r="C203" s="46">
        <f>+'วันที่ 1'!C203</f>
        <v>0</v>
      </c>
      <c r="D203" s="47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1" si="12">+C203+D203</f>
        <v>0</v>
      </c>
      <c r="F203" s="47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0">
        <f t="shared" si="11"/>
        <v>0</v>
      </c>
      <c r="H203" s="47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20"/>
      <c r="M203" s="56"/>
      <c r="U203" s="5"/>
    </row>
    <row r="204" spans="1:21">
      <c r="A204" s="10">
        <v>200</v>
      </c>
      <c r="B204" s="11"/>
      <c r="C204" s="46">
        <f>+'วันที่ 1'!C204</f>
        <v>0</v>
      </c>
      <c r="D204" s="47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12"/>
        <v>0</v>
      </c>
      <c r="F204" s="47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0">
        <f t="shared" si="11"/>
        <v>0</v>
      </c>
      <c r="H204" s="47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20"/>
      <c r="M204" s="56"/>
      <c r="U204" s="5"/>
    </row>
    <row r="205" spans="1:21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12"/>
        <v>0</v>
      </c>
      <c r="F205" s="47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0">
        <f t="shared" si="11"/>
        <v>0</v>
      </c>
      <c r="H205" s="47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20"/>
      <c r="M205" s="56"/>
      <c r="U205" s="5"/>
    </row>
    <row r="206" spans="1:21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12"/>
        <v>0</v>
      </c>
      <c r="F206" s="47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0" t="e">
        <f t="shared" si="11"/>
        <v>#VALUE!</v>
      </c>
      <c r="H206" s="47" t="e">
        <f>+'วันที่ 1'!H206+'วันที่ 2'!H206+'วันที่ 3'!H206+'วันที่ 4'!H206+'วันที่ 5'!H206+'วันที่ 6'!H206+'วันที่ 7'!H206+'วันที่ 8'!H206+'วันที่ 9'!H206+'วันที่ 10'!H206+'วันที่ 11'!H206+'วันที่ 12'!H206+'วันที่ 13'!H206+'วันที่ 14'!H206+'วันที่ 15'!H206+'วันที่ 16'!H206+'วันที่ 17'!H206+'วันที่ 18'!H206+'วันที่ 19'!H206+'วันที่ 20'!H206+'วันที่ 21'!H206+'วันที่ 22'!H206+'วันที่ 23'!H206+'วันที่ 24'!H206+'วันที่ 25'!H206+'วันที่ 26'!H206+'วันที่ 27'!H206+'วันที่ 28'!H206+'วันที่ 29'!H206+'วันที่ 30'!H206+'วันที่ 31'!H206</f>
        <v>#VALUE!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20"/>
      <c r="M206" s="56"/>
      <c r="U206" s="5"/>
    </row>
    <row r="207" spans="1:21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12"/>
        <v>0</v>
      </c>
      <c r="F207" s="47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0">
        <f t="shared" si="11"/>
        <v>0</v>
      </c>
      <c r="H207" s="47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20"/>
      <c r="M207" s="56"/>
      <c r="U207" s="5"/>
    </row>
    <row r="208" spans="1:21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12"/>
        <v>0</v>
      </c>
      <c r="F208" s="47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0">
        <f t="shared" si="11"/>
        <v>0</v>
      </c>
      <c r="H208" s="47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20"/>
      <c r="M208" s="56"/>
      <c r="U208" s="5"/>
    </row>
    <row r="209" spans="1:22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12"/>
        <v>0</v>
      </c>
      <c r="F209" s="47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0">
        <f t="shared" si="11"/>
        <v>0</v>
      </c>
      <c r="H209" s="47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20"/>
      <c r="M209" s="56"/>
      <c r="U209" s="5"/>
    </row>
    <row r="210" spans="1:22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12"/>
        <v>0</v>
      </c>
      <c r="F210" s="47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0">
        <f t="shared" si="11"/>
        <v>0</v>
      </c>
      <c r="H210" s="47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20"/>
      <c r="M210" s="56"/>
      <c r="U210" s="5"/>
    </row>
    <row r="211" spans="1:22">
      <c r="A211" s="10">
        <v>207</v>
      </c>
      <c r="B211" s="11"/>
      <c r="C211" s="46">
        <f>+'วันที่ 1'!C211</f>
        <v>0</v>
      </c>
      <c r="D211" s="47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46">
        <f t="shared" si="12"/>
        <v>0</v>
      </c>
      <c r="F211" s="47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0">
        <f t="shared" si="11"/>
        <v>0</v>
      </c>
      <c r="H211" s="47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20"/>
      <c r="M211" s="56"/>
      <c r="U211" s="5"/>
    </row>
    <row r="212" spans="1:22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12"/>
        <v>0</v>
      </c>
      <c r="F212" s="47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0">
        <f t="shared" si="11"/>
        <v>0</v>
      </c>
      <c r="H212" s="47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20"/>
      <c r="M212" s="56"/>
      <c r="U212" s="5"/>
    </row>
    <row r="213" spans="1:22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12"/>
        <v>0</v>
      </c>
      <c r="F213" s="47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0">
        <f t="shared" si="11"/>
        <v>0</v>
      </c>
      <c r="H213" s="47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20"/>
      <c r="M213" s="56"/>
      <c r="U213" s="5"/>
    </row>
    <row r="214" spans="1:22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12"/>
        <v>0</v>
      </c>
      <c r="F214" s="47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0">
        <f t="shared" si="11"/>
        <v>0</v>
      </c>
      <c r="H214" s="47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20"/>
      <c r="M214" s="56"/>
      <c r="U214" s="5"/>
    </row>
    <row r="215" spans="1:22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12"/>
        <v>0</v>
      </c>
      <c r="F215" s="47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0">
        <f t="shared" si="11"/>
        <v>0</v>
      </c>
      <c r="H215" s="47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20"/>
      <c r="M215" s="56"/>
      <c r="U215" s="5"/>
    </row>
    <row r="216" spans="1:22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12"/>
        <v>0</v>
      </c>
      <c r="F216" s="47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0">
        <f t="shared" si="11"/>
        <v>0</v>
      </c>
      <c r="H216" s="47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20"/>
      <c r="M216" s="56"/>
      <c r="U216" s="5"/>
    </row>
    <row r="217" spans="1:22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12"/>
        <v>0</v>
      </c>
      <c r="F217" s="47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0">
        <f t="shared" si="11"/>
        <v>0</v>
      </c>
      <c r="H217" s="47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20"/>
      <c r="M217" s="56"/>
      <c r="U217" s="5"/>
    </row>
    <row r="218" spans="1:22">
      <c r="A218" s="10">
        <v>217</v>
      </c>
      <c r="B218" s="11"/>
      <c r="C218" s="46">
        <f>+'วันที่ 1'!C221</f>
        <v>0</v>
      </c>
      <c r="D218" s="47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18" s="46">
        <f t="shared" si="12"/>
        <v>0</v>
      </c>
      <c r="F218" s="47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18" s="90">
        <f t="shared" si="11"/>
        <v>0</v>
      </c>
      <c r="H218" s="47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18" s="48">
        <v>0</v>
      </c>
      <c r="J218" s="47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18" s="20"/>
      <c r="M218" s="56"/>
      <c r="U218" s="5"/>
    </row>
    <row r="219" spans="1:22">
      <c r="A219" s="10">
        <v>218</v>
      </c>
      <c r="B219" s="11"/>
      <c r="C219" s="46">
        <f>+'วันที่ 1'!C222</f>
        <v>0</v>
      </c>
      <c r="D219" s="47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19" s="46">
        <f t="shared" si="12"/>
        <v>0</v>
      </c>
      <c r="F219" s="47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19" s="90">
        <f t="shared" si="11"/>
        <v>0</v>
      </c>
      <c r="H219" s="47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19" s="48">
        <v>0</v>
      </c>
      <c r="J219" s="47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19" s="20"/>
      <c r="M219" s="56"/>
      <c r="U219" s="5"/>
    </row>
    <row r="220" spans="1:22">
      <c r="A220" s="10">
        <v>219</v>
      </c>
      <c r="B220" s="11"/>
      <c r="C220" s="46">
        <f>+'วันที่ 1'!C223</f>
        <v>0</v>
      </c>
      <c r="D220" s="47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0" s="46">
        <f t="shared" si="12"/>
        <v>0</v>
      </c>
      <c r="F220" s="47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0" s="90">
        <f t="shared" si="11"/>
        <v>0</v>
      </c>
      <c r="H220" s="47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0" s="48">
        <v>0</v>
      </c>
      <c r="J220" s="47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0" s="20"/>
      <c r="M220" s="56"/>
      <c r="U220" s="5"/>
    </row>
    <row r="221" spans="1:22">
      <c r="A221" s="10">
        <v>220</v>
      </c>
      <c r="B221" s="11"/>
      <c r="C221" s="46"/>
      <c r="D221" s="47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1" s="46">
        <f t="shared" si="12"/>
        <v>0</v>
      </c>
      <c r="F221" s="47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1" s="90">
        <f t="shared" si="11"/>
        <v>0</v>
      </c>
      <c r="H221" s="47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1" s="48">
        <v>0</v>
      </c>
      <c r="J221" s="47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1" s="20"/>
      <c r="M221" s="56"/>
      <c r="U221" s="5"/>
    </row>
    <row r="222" spans="1:22" ht="29.25">
      <c r="A222" s="10">
        <v>233</v>
      </c>
      <c r="B222" s="20"/>
      <c r="C222" s="46"/>
      <c r="D222" s="47"/>
      <c r="E222" s="46"/>
      <c r="F222" s="47"/>
      <c r="G222" s="46"/>
      <c r="H222" s="47"/>
      <c r="I222" s="16"/>
      <c r="J222" s="47"/>
      <c r="K222" s="20"/>
      <c r="M222" s="56"/>
      <c r="U222" s="5"/>
      <c r="V222" s="57"/>
    </row>
    <row r="223" spans="1:22" s="57" customFormat="1" ht="27.75" customHeight="1">
      <c r="A223" s="117" t="s">
        <v>229</v>
      </c>
      <c r="B223" s="118"/>
      <c r="C223" s="118"/>
      <c r="D223" s="118"/>
      <c r="E223" s="118"/>
      <c r="F223" s="118"/>
      <c r="G223" s="118"/>
      <c r="H223" s="118"/>
      <c r="I223" s="118"/>
      <c r="J223" s="118"/>
      <c r="K223" s="119"/>
      <c r="M223" s="58"/>
      <c r="N223" s="58"/>
      <c r="O223" s="58"/>
      <c r="P223" s="59"/>
      <c r="Q223" s="59"/>
      <c r="R223" s="59"/>
      <c r="S223" s="59"/>
      <c r="T223" s="59"/>
      <c r="U223" s="5"/>
      <c r="V223" s="60"/>
    </row>
    <row r="224" spans="1:22" s="60" customFormat="1" ht="25.5" customHeight="1">
      <c r="A224" s="120" t="s">
        <v>230</v>
      </c>
      <c r="B224" s="121"/>
      <c r="C224" s="122" t="s">
        <v>246</v>
      </c>
      <c r="D224" s="123"/>
      <c r="E224" s="124" t="s">
        <v>231</v>
      </c>
      <c r="F224" s="125"/>
      <c r="G224" s="126" t="s">
        <v>232</v>
      </c>
      <c r="H224" s="126"/>
      <c r="I224" s="126"/>
      <c r="J224" s="61">
        <f>SUM(J5:J222)</f>
        <v>52230</v>
      </c>
      <c r="K224" s="62" t="s">
        <v>225</v>
      </c>
      <c r="M224" s="63"/>
      <c r="N224" s="63"/>
      <c r="O224" s="63"/>
      <c r="P224" s="63"/>
      <c r="Q224" s="63"/>
      <c r="R224" s="63"/>
      <c r="S224" s="63"/>
      <c r="T224" s="63"/>
      <c r="U224" s="5"/>
      <c r="V224" s="64"/>
    </row>
    <row r="225" spans="1:22" s="64" customFormat="1" ht="24.75" customHeight="1">
      <c r="A225" s="65" t="s">
        <v>233</v>
      </c>
      <c r="B225" s="66">
        <f>+J227</f>
        <v>52230</v>
      </c>
      <c r="C225" s="67" t="s">
        <v>234</v>
      </c>
      <c r="D225" s="68">
        <f>+J224</f>
        <v>52230</v>
      </c>
      <c r="E225" s="69" t="s">
        <v>223</v>
      </c>
      <c r="F225" s="70">
        <f>SUM(P36)</f>
        <v>225</v>
      </c>
      <c r="G225" s="108"/>
      <c r="H225" s="108"/>
      <c r="I225" s="108"/>
      <c r="J225" s="71"/>
      <c r="K225" s="71">
        <f>+R36</f>
        <v>14710</v>
      </c>
      <c r="M225" s="5"/>
      <c r="N225" s="5"/>
      <c r="O225" s="5"/>
      <c r="P225" s="5"/>
      <c r="Q225" s="5"/>
      <c r="R225" s="5"/>
      <c r="S225" s="5"/>
      <c r="T225" s="5"/>
      <c r="U225" s="5"/>
    </row>
    <row r="226" spans="1:22" s="64" customFormat="1" ht="24.75" customHeight="1">
      <c r="A226" s="65"/>
      <c r="B226" s="66"/>
      <c r="C226" s="67" t="s">
        <v>235</v>
      </c>
      <c r="D226" s="68">
        <f>K227</f>
        <v>1545</v>
      </c>
      <c r="E226" s="69"/>
      <c r="F226" s="72">
        <v>0</v>
      </c>
      <c r="G226" s="108" t="s">
        <v>236</v>
      </c>
      <c r="H226" s="108"/>
      <c r="I226" s="108"/>
      <c r="J226" s="71">
        <f>-O36</f>
        <v>0</v>
      </c>
      <c r="K226" s="71" t="s">
        <v>235</v>
      </c>
      <c r="M226" s="5"/>
      <c r="N226" s="5"/>
      <c r="O226" s="5"/>
      <c r="P226" s="5"/>
      <c r="Q226" s="5"/>
      <c r="R226" s="5"/>
      <c r="S226" s="5"/>
      <c r="T226" s="5"/>
      <c r="U226" s="5"/>
    </row>
    <row r="227" spans="1:22" s="64" customFormat="1" ht="24.75" customHeight="1">
      <c r="A227" s="73" t="s">
        <v>10</v>
      </c>
      <c r="B227" s="66">
        <f>+D226</f>
        <v>1545</v>
      </c>
      <c r="C227" s="67"/>
      <c r="D227" s="68"/>
      <c r="E227" s="69" t="s">
        <v>237</v>
      </c>
      <c r="F227" s="72">
        <f>+Q36</f>
        <v>0</v>
      </c>
      <c r="G227" s="109" t="s">
        <v>238</v>
      </c>
      <c r="H227" s="110"/>
      <c r="I227" s="111"/>
      <c r="J227" s="71">
        <f>+J224-J225</f>
        <v>52230</v>
      </c>
      <c r="K227" s="74">
        <f>+N36</f>
        <v>1545</v>
      </c>
      <c r="M227" s="7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 thickBot="1">
      <c r="A228" s="76" t="s">
        <v>239</v>
      </c>
      <c r="B228" s="66">
        <f>B225-B227</f>
        <v>50685</v>
      </c>
      <c r="C228" s="67" t="s">
        <v>239</v>
      </c>
      <c r="D228" s="68">
        <f>+D225-D226</f>
        <v>50685</v>
      </c>
      <c r="E228" s="69" t="s">
        <v>240</v>
      </c>
      <c r="F228" s="72">
        <f>SUM(F225:F227)</f>
        <v>225</v>
      </c>
      <c r="G228" s="108" t="s">
        <v>211</v>
      </c>
      <c r="H228" s="108"/>
      <c r="I228" s="108"/>
      <c r="J228" s="71">
        <f>F228</f>
        <v>225</v>
      </c>
      <c r="K228" s="77"/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thickTop="1">
      <c r="A229" s="78"/>
      <c r="B229" s="78"/>
      <c r="C229" s="67" t="s">
        <v>241</v>
      </c>
      <c r="D229" s="68">
        <v>100000</v>
      </c>
      <c r="G229" s="101" t="s">
        <v>213</v>
      </c>
      <c r="H229" s="102"/>
      <c r="I229" s="103"/>
      <c r="J229" s="71">
        <f>J227-J228-K225-K227</f>
        <v>35750</v>
      </c>
      <c r="K229" s="77"/>
      <c r="M229" s="75"/>
      <c r="N229" s="75"/>
      <c r="O229" s="5"/>
      <c r="P229" s="5"/>
      <c r="Q229" s="5"/>
      <c r="R229" s="5"/>
      <c r="S229" s="5"/>
      <c r="T229" s="5"/>
    </row>
    <row r="230" spans="1:22" s="64" customFormat="1" ht="24.75" customHeight="1">
      <c r="A230" s="78"/>
      <c r="B230" s="78"/>
      <c r="C230" s="67" t="s">
        <v>242</v>
      </c>
      <c r="D230" s="68">
        <f>D228-D229</f>
        <v>-49315</v>
      </c>
      <c r="G230" s="101" t="s">
        <v>214</v>
      </c>
      <c r="H230" s="102"/>
      <c r="I230" s="103"/>
      <c r="J230" s="71">
        <f>+T36</f>
        <v>35750</v>
      </c>
      <c r="K230" s="77"/>
      <c r="M230" s="75"/>
      <c r="N230" s="5"/>
      <c r="O230" s="5"/>
      <c r="P230" s="5"/>
      <c r="Q230" s="5"/>
      <c r="R230" s="5"/>
      <c r="S230" s="5"/>
      <c r="T230" s="5"/>
    </row>
    <row r="231" spans="1:22" s="64" customFormat="1" ht="24.75" customHeight="1">
      <c r="A231" s="78"/>
      <c r="B231" s="78"/>
      <c r="C231" s="67" t="s">
        <v>243</v>
      </c>
      <c r="D231" s="68">
        <v>0</v>
      </c>
      <c r="G231" s="101" t="s">
        <v>215</v>
      </c>
      <c r="H231" s="102"/>
      <c r="I231" s="103"/>
      <c r="J231" s="71">
        <v>0</v>
      </c>
      <c r="K231" s="77"/>
      <c r="M231" s="75"/>
      <c r="N231" s="5"/>
      <c r="O231" s="5"/>
      <c r="P231" s="5"/>
      <c r="Q231" s="5"/>
      <c r="R231" s="5"/>
      <c r="S231" s="5"/>
      <c r="T231" s="5"/>
      <c r="U231" s="2"/>
      <c r="V231" s="2"/>
    </row>
    <row r="232" spans="1:22" ht="24.75" customHeight="1" thickBot="1">
      <c r="A232" s="78"/>
      <c r="B232" s="78"/>
      <c r="G232" s="104" t="s">
        <v>216</v>
      </c>
      <c r="H232" s="104"/>
      <c r="I232" s="104"/>
      <c r="J232" s="79">
        <f>+J230-J229</f>
        <v>0</v>
      </c>
      <c r="K232" s="91"/>
    </row>
    <row r="233" spans="1:22" ht="24.75" customHeight="1" thickBot="1">
      <c r="F233" s="105" t="s">
        <v>244</v>
      </c>
      <c r="G233" s="106"/>
      <c r="H233" s="106"/>
      <c r="I233" s="106"/>
      <c r="J233" s="106"/>
      <c r="K233" s="107"/>
    </row>
    <row r="234" spans="1:22">
      <c r="D234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3:K223"/>
    <mergeCell ref="A224:B224"/>
    <mergeCell ref="C224:D224"/>
    <mergeCell ref="E224:F224"/>
    <mergeCell ref="G224:I224"/>
    <mergeCell ref="M3:M4"/>
    <mergeCell ref="N3:N4"/>
    <mergeCell ref="O3:O4"/>
    <mergeCell ref="P3:P4"/>
    <mergeCell ref="Q3:Q4"/>
    <mergeCell ref="R3:R4"/>
    <mergeCell ref="G231:I231"/>
    <mergeCell ref="G232:I232"/>
    <mergeCell ref="F233:K233"/>
    <mergeCell ref="G225:I225"/>
    <mergeCell ref="G226:I226"/>
    <mergeCell ref="G227:I227"/>
    <mergeCell ref="G228:I228"/>
    <mergeCell ref="G229:I229"/>
    <mergeCell ref="G230:I230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Z291"/>
  <sheetViews>
    <sheetView zoomScale="110" zoomScaleNormal="110" workbookViewId="0">
      <pane xSplit="5" ySplit="4" topLeftCell="F191" activePane="bottomRight" state="frozen"/>
      <selection activeCell="G6" sqref="G6"/>
      <selection pane="topRight" activeCell="G6" sqref="G6"/>
      <selection pane="bottomLeft" activeCell="G6" sqref="G6"/>
      <selection pane="bottomRight" activeCell="C14" sqref="C1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+'[1]วันที่ 30'!G5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6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+'[1]วันที่ 30'!G6</f>
        <v>19</v>
      </c>
      <c r="D6" s="13">
        <v>0</v>
      </c>
      <c r="E6" s="84">
        <f t="shared" si="0"/>
        <v>19</v>
      </c>
      <c r="F6" s="13">
        <v>0</v>
      </c>
      <c r="G6" s="12">
        <f t="shared" si="1"/>
        <v>19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+'[1]วันที่ 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+'[1]วันที่ 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+'[1]วันที่ 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+'[1]วันที่ 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+'[1]วันที่ 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+'[1]วันที่ 30'!G12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+'[1]วันที่ 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+'[1]วันที่ 30'!G14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+'[1]วันที่ 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+'[1]วันที่ 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+'[1]วันที่ 30'!G17</f>
        <v>4</v>
      </c>
      <c r="D17" s="13">
        <v>5</v>
      </c>
      <c r="E17" s="14">
        <f t="shared" si="0"/>
        <v>9</v>
      </c>
      <c r="F17" s="13">
        <v>0</v>
      </c>
      <c r="G17" s="12">
        <f t="shared" si="1"/>
        <v>7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+'[1]วันที่ 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+'[1]วันที่ 30'!G19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7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+'[1]วันที่ 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+'[1]วันที่ 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+'[1]วันที่ 30'!G22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+'[1]วันที่ 30'!G23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9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+'[1]วันที่ 30'!G24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+'[1]วันที่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+'[1]วันที่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+'[1]วันที่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+'[1]วันที่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+'[1]วันที่ 30'!G29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+'[1]วันที่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+'[1]วันที่ 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+'[1]วันที่ 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+'[1]วันที่ 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+'[1]วันที่ 30'!G34</f>
        <v>1</v>
      </c>
      <c r="D34" s="13">
        <v>0</v>
      </c>
      <c r="E34" s="14">
        <f t="shared" si="0"/>
        <v>1</v>
      </c>
      <c r="F34" s="13">
        <v>0</v>
      </c>
      <c r="G34" s="12">
        <f t="shared" si="1"/>
        <v>1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+'[1]วันที่ 30'!G35</f>
        <v>0</v>
      </c>
      <c r="D35" s="13">
        <v>2</v>
      </c>
      <c r="E35" s="14">
        <f t="shared" si="0"/>
        <v>2</v>
      </c>
      <c r="F35" s="13">
        <v>0</v>
      </c>
      <c r="G35" s="12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+'[1]วันที่ 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+'[1]วันที่ 30'!G37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6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+'[1]วันที่ 30'!G38</f>
        <v>2</v>
      </c>
      <c r="D38" s="13">
        <v>5</v>
      </c>
      <c r="E38" s="14">
        <f t="shared" si="0"/>
        <v>7</v>
      </c>
      <c r="F38" s="13">
        <v>0</v>
      </c>
      <c r="G38" s="12">
        <f t="shared" si="1"/>
        <v>7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+'[1]วันที่ 30'!G39</f>
        <v>3</v>
      </c>
      <c r="D39" s="13">
        <v>0</v>
      </c>
      <c r="E39" s="14">
        <f t="shared" si="0"/>
        <v>3</v>
      </c>
      <c r="F39" s="13">
        <v>0</v>
      </c>
      <c r="G39" s="12">
        <f t="shared" si="1"/>
        <v>1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+'[1]วันที่ 30'!G40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+'[1]วันที่ 30'!G41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+'[1]วันที่ 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+'[1]วันที่ 30'!G43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+'[1]วันที่ 30'!G44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+'[1]วันที่ 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+'[1]วันที่ 30'!G46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+'[1]วันที่ 30'!G47</f>
        <v>15</v>
      </c>
      <c r="D47" s="13">
        <v>0</v>
      </c>
      <c r="E47" s="14">
        <f t="shared" si="0"/>
        <v>15</v>
      </c>
      <c r="F47" s="13">
        <v>0</v>
      </c>
      <c r="G47" s="12">
        <f t="shared" si="1"/>
        <v>14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+'[1]วันที่ 30'!G48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+'[1]วันที่ 30'!G49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+'[1]วันที่ 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+'[1]วันที่ 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+'[1]วันที่ 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+'[1]วันที่ 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+'[1]วันที่ 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+'[1]วันที่ 30'!G55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+'[1]วันที่ 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+'[1]วันที่ 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+'[1]วันที่ 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+'[1]วันที่ 30'!G59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+'[1]วันที่ 30'!G60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+'[1]วันที่ 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+'[1]วันที่ 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+'[1]วันที่ 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+'[1]วันที่ 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+'[1]วันที่ 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+'[1]วันที่ 30'!G66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+'[1]วันที่ 30'!G67</f>
        <v>1</v>
      </c>
      <c r="D67" s="13">
        <v>5</v>
      </c>
      <c r="E67" s="14">
        <f t="shared" si="0"/>
        <v>6</v>
      </c>
      <c r="F67" s="13">
        <v>0</v>
      </c>
      <c r="G67" s="12">
        <f t="shared" si="1"/>
        <v>5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+'[1]วันที่ 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+'[1]วันที่ 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+'[1]วันที่ 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+'[1]วันที่ 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+'[1]วันที่ 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+'[1]วันที่ 30'!G73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+'[1]วันที่ 30'!G74</f>
        <v>5</v>
      </c>
      <c r="D74" s="13">
        <v>5</v>
      </c>
      <c r="E74" s="14">
        <f t="shared" si="0"/>
        <v>10</v>
      </c>
      <c r="F74" s="13">
        <v>0</v>
      </c>
      <c r="G74" s="12">
        <f t="shared" si="7"/>
        <v>8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+'[1]วันที่ 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+'[1]วันที่ 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+'[1]วันที่ 30'!G77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+'[1]วันที่ 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+'[1]วันที่ 30'!G79</f>
        <v>0</v>
      </c>
      <c r="D79" s="13">
        <v>5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+'[1]วันที่ 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+'[1]วันที่ 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+'[1]วันที่ 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+'[1]วันที่ 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+'[1]วันที่ 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+'[1]วันที่ 30'!G85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+'[1]วันที่ 30'!G86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+'[1]วันที่ 30'!G87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+'[1]วันที่ 30'!G88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+'[1]วันที่ 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+'[1]วันที่ 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+'[1]วันที่ 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+'[1]วันที่ 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+'[1]วันที่ 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+'[1]วันที่ 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+'[1]วันที่ 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+'[1]วันที่ 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+'[1]วันที่ 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+'[1]วันที่ 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+'[1]วันที่ 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+'[1]วันที่ 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+'[1]วันที่ 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+'[1]วันที่ 30'!G102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+'[1]วันที่ 30'!G103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+'[1]วันที่ 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+'[1]วันที่ 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+'[1]วันที่ 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+'[1]วันที่ 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+'[1]วันที่ 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+'[1]วันที่ 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+'[1]วันที่ 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+'[1]วันที่ 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+'[1]วันที่ 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+'[1]วันที่ 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+'[1]วันที่ 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+'[1]วันที่ 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+'[1]วันที่ 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+'[1]วันที่ 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+'[1]วันที่ 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+'[1]วันที่ 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+'[1]วันที่ 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+'[1]วันที่ 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+'[1]วันที่ 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+'[1]วันที่ 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+'[1]วันที่ 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+'[1]วันที่ 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+'[1]วันที่ 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+'[1]วันที่ 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+'[1]วันที่ 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+'[1]วันที่ 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+'[1]วันที่ 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+'[1]วันที่ 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+'[1]วันที่ 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+'[1]วันที่ 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+'[1]วันที่ 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+'[1]วันที่ 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+'[1]วันที่ 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+'[1]วันที่ 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+'[1]วันที่ 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+'[1]วันที่ 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+'[1]วันที่ 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+'[1]วันที่ 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+'[1]วันที่ 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+'[1]วันที่ 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+'[1]วันที่ 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+'[1]วันที่ 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+'[1]วันที่ 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+'[1]วันที่ 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+'[1]วันที่ 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+'[1]วันที่ 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+'[1]วันที่ 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+'[1]วันที่ 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+'[1]วันที่ 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+'[1]วันที่ 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+'[1]วันที่ 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+'[1]วันที่ 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+'[1]วันที่ 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+'[1]วันที่ 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+'[1]วันที่ 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+'[1]วันที่ 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+'[1]วันที่ 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+'[1]วันที่ 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+'[1]วันที่ 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+'[1]วันที่ 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+'[1]วันที่ 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+'[1]วันที่ 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+'[1]วันที่ 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+'[1]วันที่ 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+'[1]วันที่ 30'!G168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+'[1]วันที่ 30'!G169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+'[1]วันที่ 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+'[1]วันที่ 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+'[1]วันที่ 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+'[1]วันที่ 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+'[1]วันที่ 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+'[1]วันที่ 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+'[1]วันที่ 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+'[1]วันที่ 30'!G177</f>
        <v>1</v>
      </c>
      <c r="D177" s="13">
        <v>2</v>
      </c>
      <c r="E177" s="14">
        <f t="shared" si="17"/>
        <v>3</v>
      </c>
      <c r="F177" s="13">
        <v>0</v>
      </c>
      <c r="G177" s="12">
        <f t="shared" si="14"/>
        <v>1</v>
      </c>
      <c r="H177" s="15">
        <v>2</v>
      </c>
      <c r="I177" s="21">
        <v>120</v>
      </c>
      <c r="J177" s="89">
        <f t="shared" si="15"/>
        <v>240</v>
      </c>
      <c r="K177" s="18" t="s">
        <v>16</v>
      </c>
      <c r="L177" s="19">
        <v>0</v>
      </c>
      <c r="M177" s="30">
        <f t="shared" si="16"/>
        <v>240</v>
      </c>
    </row>
    <row r="178" spans="1:13" ht="25.5">
      <c r="A178" s="10">
        <v>174</v>
      </c>
      <c r="B178" s="20" t="s">
        <v>190</v>
      </c>
      <c r="C178" s="12">
        <f>+'[1]วันที่ 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+'[1]วันที่ 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+'[1]วันที่ 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+'[1]วันที่ 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+'[1]วันที่ 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+'[1]วันที่ 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+'[1]วันที่ 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+'[1]วันที่ 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+'[1]วันที่ 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+'[1]วันที่ 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+'[1]วันที่ 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+'[1]วันที่ 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+'[1]วันที่ 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+'[1]วันที่ 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+'[1]วันที่ 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+'[1]วันที่ 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+'[1]วันที่ 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+'[1]วันที่ 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+'[1]วันที่ 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+'[1]วันที่ 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+'[1]วันที่ 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+'[1]วันที่ 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+'[1]วันที่ 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+'[1]วันที่ 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+'[1]วันที่ 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+'[1]วันที่ 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+'[1]วันที่ 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2230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920</v>
      </c>
      <c r="L209" s="2">
        <v>170</v>
      </c>
      <c r="M209" s="2">
        <v>230</v>
      </c>
      <c r="N209" s="2">
        <v>220</v>
      </c>
      <c r="O209" s="2">
        <v>200</v>
      </c>
      <c r="P209" s="2">
        <v>100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1295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1295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2230</v>
      </c>
    </row>
    <row r="219" spans="1:16">
      <c r="G219" s="2"/>
      <c r="I219" s="2"/>
      <c r="J219" s="2" t="s">
        <v>251</v>
      </c>
      <c r="K219" s="24">
        <f>SUM(K208:K211)</f>
        <v>935</v>
      </c>
    </row>
    <row r="220" spans="1:16">
      <c r="G220" s="2"/>
      <c r="I220" s="2"/>
      <c r="J220" s="2" t="s">
        <v>252</v>
      </c>
      <c r="K220" s="24">
        <f>+K214</f>
        <v>1295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theme="5" tint="0.79998168889431442"/>
  </sheetPr>
  <dimension ref="A1:Z291"/>
  <sheetViews>
    <sheetView zoomScaleNormal="100" workbookViewId="0">
      <pane xSplit="5" ySplit="4" topLeftCell="I206" activePane="bottomRight" state="frozen"/>
      <selection activeCell="G6" sqref="G6"/>
      <selection pane="topRight" activeCell="G6" sqref="G6"/>
      <selection pane="bottomLeft" activeCell="G6" sqref="G6"/>
      <selection pane="bottomRight" activeCell="B176" sqref="B176"/>
    </sheetView>
  </sheetViews>
  <sheetFormatPr defaultColWidth="9" defaultRowHeight="24.75"/>
  <cols>
    <col min="1" max="1" width="6.5703125" style="2" customWidth="1"/>
    <col min="2" max="2" width="40.285156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2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+ยกมา!G5</f>
        <v>6</v>
      </c>
      <c r="D5" s="13">
        <v>0</v>
      </c>
      <c r="E5" s="14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19</v>
      </c>
      <c r="D6" s="13">
        <v>0</v>
      </c>
      <c r="E6" s="14">
        <f t="shared" si="0"/>
        <v>19</v>
      </c>
      <c r="F6" s="13">
        <v>0</v>
      </c>
      <c r="G6" s="14">
        <f t="shared" si="1"/>
        <v>17</v>
      </c>
      <c r="H6" s="15">
        <v>2</v>
      </c>
      <c r="I6" s="16">
        <v>100</v>
      </c>
      <c r="J6" s="17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0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7</v>
      </c>
      <c r="D19" s="13">
        <v>0</v>
      </c>
      <c r="E19" s="14">
        <f t="shared" si="0"/>
        <v>7</v>
      </c>
      <c r="F19" s="13">
        <v>4</v>
      </c>
      <c r="G19" s="14">
        <f t="shared" si="1"/>
        <v>3</v>
      </c>
      <c r="H19" s="15">
        <v>0</v>
      </c>
      <c r="I19" s="16">
        <v>50</v>
      </c>
      <c r="J19" s="17">
        <f t="shared" si="2"/>
        <v>0</v>
      </c>
      <c r="K19" s="18" t="s">
        <v>254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5</v>
      </c>
      <c r="D22" s="13">
        <v>0</v>
      </c>
      <c r="E22" s="14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9</v>
      </c>
      <c r="D23" s="13">
        <v>0</v>
      </c>
      <c r="E23" s="14">
        <f t="shared" si="0"/>
        <v>9</v>
      </c>
      <c r="F23" s="13">
        <v>0</v>
      </c>
      <c r="G23" s="14">
        <f t="shared" si="1"/>
        <v>7</v>
      </c>
      <c r="H23" s="15">
        <v>2</v>
      </c>
      <c r="I23" s="85">
        <v>100</v>
      </c>
      <c r="J23" s="17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11</v>
      </c>
      <c r="D24" s="13">
        <v>0</v>
      </c>
      <c r="E24" s="14">
        <f t="shared" si="0"/>
        <v>11</v>
      </c>
      <c r="F24" s="13">
        <v>0</v>
      </c>
      <c r="G24" s="14">
        <f t="shared" si="1"/>
        <v>10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7</v>
      </c>
      <c r="D29" s="13">
        <v>0</v>
      </c>
      <c r="E29" s="14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6</v>
      </c>
      <c r="D37" s="13">
        <v>0</v>
      </c>
      <c r="E37" s="14">
        <f t="shared" si="0"/>
        <v>6</v>
      </c>
      <c r="F37" s="13">
        <v>0</v>
      </c>
      <c r="G37" s="14">
        <f t="shared" si="1"/>
        <v>3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7</v>
      </c>
      <c r="D38" s="13">
        <v>0</v>
      </c>
      <c r="E38" s="14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30">
        <f t="shared" si="5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5</v>
      </c>
      <c r="H41" s="15">
        <v>3</v>
      </c>
      <c r="I41" s="16">
        <v>50</v>
      </c>
      <c r="J41" s="17">
        <f t="shared" si="2"/>
        <v>150</v>
      </c>
      <c r="K41" s="18" t="s">
        <v>16</v>
      </c>
      <c r="L41" s="19">
        <v>0</v>
      </c>
      <c r="M41" s="30">
        <f t="shared" si="5"/>
        <v>150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14</v>
      </c>
      <c r="D47" s="13">
        <v>0</v>
      </c>
      <c r="E47" s="14">
        <f t="shared" si="0"/>
        <v>14</v>
      </c>
      <c r="F47" s="13">
        <v>0</v>
      </c>
      <c r="G47" s="14">
        <f t="shared" si="1"/>
        <v>13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7</v>
      </c>
      <c r="D49" s="13">
        <v>0</v>
      </c>
      <c r="E49" s="14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1</v>
      </c>
      <c r="H59" s="15">
        <v>2</v>
      </c>
      <c r="I59" s="16">
        <v>70</v>
      </c>
      <c r="J59" s="17">
        <f t="shared" si="2"/>
        <v>140</v>
      </c>
      <c r="K59" s="18" t="s">
        <v>16</v>
      </c>
      <c r="L59" s="19">
        <v>0</v>
      </c>
      <c r="M59" s="30">
        <f t="shared" si="5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1</v>
      </c>
      <c r="H60" s="15">
        <v>1</v>
      </c>
      <c r="I60" s="16">
        <v>80</v>
      </c>
      <c r="J60" s="17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2"/>
        <v>50</v>
      </c>
      <c r="K67" s="18" t="s">
        <v>255</v>
      </c>
      <c r="L67" s="19">
        <v>50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4</v>
      </c>
      <c r="H73" s="15">
        <v>1</v>
      </c>
      <c r="I73" s="21">
        <v>60</v>
      </c>
      <c r="J73" s="17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8</v>
      </c>
      <c r="D74" s="13">
        <v>0</v>
      </c>
      <c r="E74" s="14">
        <f t="shared" si="0"/>
        <v>8</v>
      </c>
      <c r="F74" s="13">
        <v>0</v>
      </c>
      <c r="G74" s="14">
        <f t="shared" si="7"/>
        <v>5</v>
      </c>
      <c r="H74" s="15">
        <v>3</v>
      </c>
      <c r="I74" s="23">
        <v>120</v>
      </c>
      <c r="J74" s="17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17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11</v>
      </c>
      <c r="H85" s="15">
        <v>1</v>
      </c>
      <c r="I85" s="23">
        <v>100</v>
      </c>
      <c r="J85" s="17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17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9</v>
      </c>
      <c r="H87" s="15">
        <v>0</v>
      </c>
      <c r="I87" s="21">
        <v>60</v>
      </c>
      <c r="J87" s="17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9</v>
      </c>
      <c r="H88" s="15">
        <v>0</v>
      </c>
      <c r="I88" s="21">
        <v>100</v>
      </c>
      <c r="J88" s="17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99"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17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99"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6</v>
      </c>
      <c r="H103" s="15">
        <v>1</v>
      </c>
      <c r="I103" s="21">
        <v>100</v>
      </c>
      <c r="J103" s="17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+ยกมา!G168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+ยกมา!G169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+ยกมา!G177</f>
        <v>1</v>
      </c>
      <c r="D177" s="13">
        <v>0</v>
      </c>
      <c r="E177" s="14">
        <f t="shared" si="17"/>
        <v>1</v>
      </c>
      <c r="F177" s="13">
        <v>0</v>
      </c>
      <c r="G177" s="14">
        <f t="shared" si="14"/>
        <v>1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+ยกมา!G198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2780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>
      <c r="A209" s="1"/>
      <c r="C209" s="32"/>
      <c r="E209" s="32"/>
      <c r="G209" s="32"/>
      <c r="I209" s="35" t="s">
        <v>209</v>
      </c>
      <c r="J209" s="36"/>
      <c r="K209" s="37">
        <f>SUM(L209:BO209)</f>
        <v>1065</v>
      </c>
      <c r="L209" s="2">
        <v>115</v>
      </c>
      <c r="M209" s="2">
        <v>100</v>
      </c>
      <c r="N209" s="2">
        <v>460</v>
      </c>
      <c r="O209" s="2">
        <v>160</v>
      </c>
      <c r="P209" s="2">
        <v>100</v>
      </c>
      <c r="Q209" s="2">
        <v>130</v>
      </c>
    </row>
    <row r="210" spans="1:17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>
      <c r="A211" s="1"/>
      <c r="C211" s="32"/>
      <c r="E211" s="32"/>
      <c r="G211" s="32"/>
      <c r="I211" s="132" t="s">
        <v>211</v>
      </c>
      <c r="J211" s="133"/>
      <c r="K211" s="37">
        <f>SUM(D211:G211)</f>
        <v>0</v>
      </c>
    </row>
    <row r="212" spans="1:17" ht="25.5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7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1650</v>
      </c>
    </row>
    <row r="214" spans="1:17" ht="25.5">
      <c r="A214" s="1"/>
      <c r="C214" s="32"/>
      <c r="E214" s="32"/>
      <c r="G214" s="32"/>
      <c r="I214" s="132" t="s">
        <v>214</v>
      </c>
      <c r="J214" s="133"/>
      <c r="K214" s="38">
        <v>1650</v>
      </c>
    </row>
    <row r="215" spans="1:17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>
      <c r="G216" s="2"/>
      <c r="I216" s="132" t="s">
        <v>216</v>
      </c>
      <c r="J216" s="133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2" t="s">
        <v>250</v>
      </c>
      <c r="K218" s="24">
        <f>+K207-K212</f>
        <v>2730</v>
      </c>
    </row>
    <row r="219" spans="1:17">
      <c r="G219" s="2"/>
      <c r="I219" s="2"/>
      <c r="J219" s="2" t="s">
        <v>251</v>
      </c>
      <c r="K219" s="24">
        <f>SUM(K208:K209)</f>
        <v>1080</v>
      </c>
    </row>
    <row r="220" spans="1:17">
      <c r="G220" s="2"/>
      <c r="I220" s="2"/>
      <c r="J220" s="2" t="s">
        <v>252</v>
      </c>
      <c r="K220" s="24">
        <f>+K214</f>
        <v>1650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I215:J215"/>
    <mergeCell ref="I216:J216"/>
    <mergeCell ref="Z3:Z4"/>
    <mergeCell ref="M205:N205"/>
    <mergeCell ref="I208:J208"/>
    <mergeCell ref="I210:J210"/>
    <mergeCell ref="I211:J211"/>
    <mergeCell ref="I212:J212"/>
    <mergeCell ref="I213:J213"/>
    <mergeCell ref="I214:J214"/>
    <mergeCell ref="U3:U4"/>
    <mergeCell ref="V3:X3"/>
    <mergeCell ref="Y3:Y4"/>
    <mergeCell ref="P107:W107"/>
    <mergeCell ref="H206:I206"/>
    <mergeCell ref="I207:J20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theme="5" tint="0.79998168889431442"/>
  </sheetPr>
  <dimension ref="A1:Z291"/>
  <sheetViews>
    <sheetView zoomScale="85" zoomScaleNormal="85" workbookViewId="0">
      <pane xSplit="5" ySplit="4" topLeftCell="G203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1'!G5</f>
        <v>6</v>
      </c>
      <c r="D5" s="13">
        <v>20</v>
      </c>
      <c r="E5" s="14">
        <f t="shared" ref="E5:E94" si="0">C5+D5</f>
        <v>26</v>
      </c>
      <c r="F5" s="13">
        <v>0</v>
      </c>
      <c r="G5" s="14">
        <f t="shared" ref="G5:G68" si="1">E5-F5-H5</f>
        <v>24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1'!G6</f>
        <v>17</v>
      </c>
      <c r="D6" s="13">
        <v>10</v>
      </c>
      <c r="E6" s="14">
        <f t="shared" si="0"/>
        <v>27</v>
      </c>
      <c r="F6" s="13">
        <v>0</v>
      </c>
      <c r="G6" s="14">
        <f t="shared" si="1"/>
        <v>24</v>
      </c>
      <c r="H6" s="15">
        <v>3</v>
      </c>
      <c r="I6" s="16">
        <v>100</v>
      </c>
      <c r="J6" s="89">
        <f t="shared" si="2"/>
        <v>300</v>
      </c>
      <c r="K6" s="18" t="s">
        <v>16</v>
      </c>
      <c r="L6" s="19">
        <v>0</v>
      </c>
      <c r="M6" s="30">
        <f t="shared" ref="M6:M69" si="5">+J6-L6</f>
        <v>300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1'!G12</f>
        <v>6</v>
      </c>
      <c r="D12" s="13">
        <v>5</v>
      </c>
      <c r="E12" s="14">
        <f t="shared" si="0"/>
        <v>11</v>
      </c>
      <c r="F12" s="13">
        <v>0</v>
      </c>
      <c r="G12" s="12">
        <f t="shared" si="1"/>
        <v>8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5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1'!G17</f>
        <v>7</v>
      </c>
      <c r="D17" s="13">
        <v>5</v>
      </c>
      <c r="E17" s="14">
        <f t="shared" si="0"/>
        <v>12</v>
      </c>
      <c r="F17" s="13">
        <v>0</v>
      </c>
      <c r="G17" s="14">
        <f t="shared" si="1"/>
        <v>11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1'!G19</f>
        <v>3</v>
      </c>
      <c r="D19" s="13">
        <v>5</v>
      </c>
      <c r="E19" s="14">
        <f t="shared" si="0"/>
        <v>8</v>
      </c>
      <c r="F19" s="13">
        <v>0</v>
      </c>
      <c r="G19" s="14">
        <f t="shared" si="1"/>
        <v>5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5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+'วันที่ 1'!G22</f>
        <v>4</v>
      </c>
      <c r="D22" s="13">
        <v>0</v>
      </c>
      <c r="E22" s="14">
        <f t="shared" si="0"/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>
      <c r="A23" s="10">
        <v>19</v>
      </c>
      <c r="B23" s="11" t="s">
        <v>34</v>
      </c>
      <c r="C23" s="12">
        <f>+'วันที่ 1'!G23</f>
        <v>7</v>
      </c>
      <c r="D23" s="13">
        <v>0</v>
      </c>
      <c r="E23" s="14">
        <f t="shared" si="0"/>
        <v>7</v>
      </c>
      <c r="F23" s="13">
        <v>0</v>
      </c>
      <c r="G23" s="14">
        <f t="shared" si="1"/>
        <v>2</v>
      </c>
      <c r="H23" s="15">
        <v>5</v>
      </c>
      <c r="I23" s="16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5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1'!G24</f>
        <v>10</v>
      </c>
      <c r="D24" s="13">
        <v>0</v>
      </c>
      <c r="E24" s="14">
        <f t="shared" si="0"/>
        <v>10</v>
      </c>
      <c r="F24" s="13">
        <v>0</v>
      </c>
      <c r="G24" s="14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1'!G29</f>
        <v>7</v>
      </c>
      <c r="D29" s="13">
        <v>5</v>
      </c>
      <c r="E29" s="14">
        <f t="shared" si="0"/>
        <v>12</v>
      </c>
      <c r="F29" s="13">
        <v>0</v>
      </c>
      <c r="G29" s="14">
        <f t="shared" si="1"/>
        <v>12</v>
      </c>
      <c r="H29" s="15">
        <v>0</v>
      </c>
      <c r="I29" s="21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+'วันที่ 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1'!G37</f>
        <v>3</v>
      </c>
      <c r="D37" s="13">
        <v>10</v>
      </c>
      <c r="E37" s="14">
        <f t="shared" si="0"/>
        <v>13</v>
      </c>
      <c r="F37" s="13">
        <v>0</v>
      </c>
      <c r="G37" s="14">
        <f t="shared" si="1"/>
        <v>11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1'!G39</f>
        <v>0</v>
      </c>
      <c r="D39" s="13">
        <v>3</v>
      </c>
      <c r="E39" s="14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3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1'!G42</f>
        <v>4</v>
      </c>
      <c r="D42" s="13">
        <v>5</v>
      </c>
      <c r="E42" s="14">
        <f t="shared" si="0"/>
        <v>9</v>
      </c>
      <c r="F42" s="13">
        <v>0</v>
      </c>
      <c r="G42" s="12">
        <f t="shared" si="1"/>
        <v>7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5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4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11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1'!G49</f>
        <v>7</v>
      </c>
      <c r="D49" s="13">
        <v>0</v>
      </c>
      <c r="E49" s="14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5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5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1'!G73</f>
        <v>4</v>
      </c>
      <c r="D73" s="13">
        <v>5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1'!G74</f>
        <v>5</v>
      </c>
      <c r="D74" s="13">
        <v>0</v>
      </c>
      <c r="E74" s="14">
        <f t="shared" si="0"/>
        <v>5</v>
      </c>
      <c r="F74" s="13">
        <v>0</v>
      </c>
      <c r="G74" s="14">
        <f t="shared" si="7"/>
        <v>4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1'!G87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7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9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3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5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1'!G168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14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+'วันที่ 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1'!G177</f>
        <v>1</v>
      </c>
      <c r="D177" s="13">
        <v>3</v>
      </c>
      <c r="E177" s="14">
        <f t="shared" si="17"/>
        <v>4</v>
      </c>
      <c r="F177" s="13">
        <v>0</v>
      </c>
      <c r="G177" s="14">
        <f t="shared" si="14"/>
        <v>4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3275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9" ht="25.5">
      <c r="A209" s="1"/>
      <c r="C209" s="32"/>
      <c r="E209" s="32"/>
      <c r="G209" s="32"/>
      <c r="I209" s="35" t="s">
        <v>209</v>
      </c>
      <c r="J209" s="36"/>
      <c r="K209" s="37">
        <f>SUM(L209:BO209)</f>
        <v>940</v>
      </c>
      <c r="L209" s="2">
        <v>100</v>
      </c>
      <c r="M209" s="2">
        <v>110</v>
      </c>
      <c r="N209" s="2">
        <v>50</v>
      </c>
      <c r="O209" s="2">
        <v>50</v>
      </c>
      <c r="P209" s="2">
        <v>50</v>
      </c>
      <c r="Q209" s="2">
        <v>200</v>
      </c>
      <c r="R209" s="2">
        <v>150</v>
      </c>
      <c r="S209" s="2">
        <v>230</v>
      </c>
    </row>
    <row r="210" spans="1:19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9" ht="25.5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9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9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2320</v>
      </c>
    </row>
    <row r="214" spans="1:19" ht="25.5">
      <c r="A214" s="1"/>
      <c r="C214" s="32"/>
      <c r="E214" s="32"/>
      <c r="G214" s="32"/>
      <c r="I214" s="132" t="s">
        <v>214</v>
      </c>
      <c r="J214" s="133"/>
      <c r="K214" s="38">
        <v>2320</v>
      </c>
    </row>
    <row r="215" spans="1:19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9" ht="25.5">
      <c r="G216" s="2"/>
      <c r="I216" s="132" t="s">
        <v>216</v>
      </c>
      <c r="J216" s="133"/>
      <c r="K216" s="34">
        <f>+K214-K213</f>
        <v>0</v>
      </c>
    </row>
    <row r="217" spans="1:19">
      <c r="G217" s="2"/>
      <c r="I217" s="2"/>
    </row>
    <row r="218" spans="1:19">
      <c r="G218" s="2"/>
      <c r="I218" s="2"/>
      <c r="J218" s="92" t="s">
        <v>250</v>
      </c>
      <c r="K218" s="24">
        <f>+K207-K212+K215</f>
        <v>3275</v>
      </c>
    </row>
    <row r="219" spans="1:19">
      <c r="G219" s="2"/>
      <c r="I219" s="2"/>
      <c r="J219" s="2" t="s">
        <v>251</v>
      </c>
      <c r="K219" s="24">
        <f>SUM(K208:K211)</f>
        <v>955</v>
      </c>
    </row>
    <row r="220" spans="1:19">
      <c r="G220" s="2"/>
      <c r="I220" s="2"/>
      <c r="J220" s="2" t="s">
        <v>252</v>
      </c>
      <c r="K220" s="24">
        <f>+K214</f>
        <v>2320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theme="5" tint="0.79998168889431442"/>
  </sheetPr>
  <dimension ref="A1:Z291"/>
  <sheetViews>
    <sheetView zoomScale="85" zoomScaleNormal="85" workbookViewId="0">
      <pane xSplit="5" ySplit="4" topLeftCell="F201" activePane="bottomRight" state="frozen"/>
      <selection activeCell="G6" sqref="G6"/>
      <selection pane="topRight" activeCell="G6" sqref="G6"/>
      <selection pane="bottomLeft" activeCell="G6" sqref="G6"/>
      <selection pane="bottomRight" activeCell="K214" sqref="K21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2'!G5</f>
        <v>24</v>
      </c>
      <c r="D5" s="13">
        <v>0</v>
      </c>
      <c r="E5" s="14">
        <f t="shared" ref="E5:E94" si="0">C5+D5</f>
        <v>24</v>
      </c>
      <c r="F5" s="13">
        <v>0</v>
      </c>
      <c r="G5" s="14">
        <f t="shared" ref="G5:G68" si="1">E5-F5-H5</f>
        <v>23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2'!G6</f>
        <v>24</v>
      </c>
      <c r="D6" s="13">
        <v>0</v>
      </c>
      <c r="E6" s="14">
        <f t="shared" si="0"/>
        <v>24</v>
      </c>
      <c r="F6" s="13">
        <v>0</v>
      </c>
      <c r="G6" s="14">
        <f t="shared" si="1"/>
        <v>22</v>
      </c>
      <c r="H6" s="15">
        <v>2</v>
      </c>
      <c r="I6" s="16">
        <v>100</v>
      </c>
      <c r="J6" s="89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7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2'!G19</f>
        <v>5</v>
      </c>
      <c r="D19" s="13">
        <v>0</v>
      </c>
      <c r="E19" s="14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2'!G23</f>
        <v>2</v>
      </c>
      <c r="D23" s="13">
        <v>5</v>
      </c>
      <c r="E23" s="12">
        <f t="shared" si="0"/>
        <v>7</v>
      </c>
      <c r="F23" s="13">
        <v>0</v>
      </c>
      <c r="G23" s="12">
        <f t="shared" si="1"/>
        <v>3</v>
      </c>
      <c r="H23" s="15">
        <v>4</v>
      </c>
      <c r="I23" s="85">
        <v>100</v>
      </c>
      <c r="J23" s="89">
        <f t="shared" si="2"/>
        <v>400</v>
      </c>
      <c r="K23" s="18" t="s">
        <v>256</v>
      </c>
      <c r="L23" s="19">
        <v>0</v>
      </c>
      <c r="M23" s="30">
        <f t="shared" si="5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10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2'!G37</f>
        <v>11</v>
      </c>
      <c r="D37" s="13">
        <v>0</v>
      </c>
      <c r="E37" s="14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257</v>
      </c>
      <c r="L38" s="19">
        <v>50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2'!G41</f>
        <v>3</v>
      </c>
      <c r="D41" s="13">
        <v>0</v>
      </c>
      <c r="E41" s="14">
        <f t="shared" si="0"/>
        <v>3</v>
      </c>
      <c r="F41" s="13">
        <v>0</v>
      </c>
      <c r="G41" s="14">
        <f t="shared" si="1"/>
        <v>2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2'!G46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2'!G49</f>
        <v>6</v>
      </c>
      <c r="D49" s="13">
        <v>0</v>
      </c>
      <c r="E49" s="14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2'!G74</f>
        <v>4</v>
      </c>
      <c r="D74" s="13">
        <v>0</v>
      </c>
      <c r="E74" s="14">
        <f t="shared" si="0"/>
        <v>4</v>
      </c>
      <c r="F74" s="13">
        <v>0</v>
      </c>
      <c r="G74" s="14">
        <f t="shared" si="7"/>
        <v>0</v>
      </c>
      <c r="H74" s="15">
        <v>4</v>
      </c>
      <c r="I74" s="23">
        <v>120</v>
      </c>
      <c r="J74" s="89">
        <f t="shared" si="10"/>
        <v>480</v>
      </c>
      <c r="K74" s="18" t="s">
        <v>16</v>
      </c>
      <c r="L74" s="19">
        <v>0</v>
      </c>
      <c r="M74" s="30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15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7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7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2'!G177</f>
        <v>4</v>
      </c>
      <c r="D177" s="13">
        <v>0</v>
      </c>
      <c r="E177" s="14">
        <f t="shared" si="17"/>
        <v>4</v>
      </c>
      <c r="F177" s="13">
        <v>0</v>
      </c>
      <c r="G177" s="14">
        <f t="shared" si="14"/>
        <v>4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2790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515</v>
      </c>
      <c r="L209" s="2">
        <v>50</v>
      </c>
      <c r="M209" s="2">
        <v>155</v>
      </c>
      <c r="N209" s="2">
        <v>80</v>
      </c>
      <c r="O209" s="2">
        <v>130</v>
      </c>
      <c r="P209" s="2">
        <v>100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2210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2210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2740</v>
      </c>
    </row>
    <row r="219" spans="1:16">
      <c r="G219" s="2"/>
      <c r="I219" s="2"/>
      <c r="J219" s="2" t="s">
        <v>251</v>
      </c>
      <c r="K219" s="24">
        <f>SUM(K208:K211)</f>
        <v>530</v>
      </c>
    </row>
    <row r="220" spans="1:16">
      <c r="G220" s="2"/>
      <c r="I220" s="2"/>
      <c r="J220" s="2" t="s">
        <v>252</v>
      </c>
      <c r="K220" s="24">
        <f>+K214</f>
        <v>2210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theme="5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H178" sqref="H17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3'!G5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7</v>
      </c>
      <c r="H5" s="15">
        <v>16</v>
      </c>
      <c r="I5" s="16">
        <v>50</v>
      </c>
      <c r="J5" s="89">
        <f t="shared" ref="J5:J69" si="2">+I5*H5</f>
        <v>800</v>
      </c>
      <c r="K5" s="18" t="s">
        <v>258</v>
      </c>
      <c r="L5" s="19">
        <v>50</v>
      </c>
      <c r="M5" s="30">
        <f>+J5-L5</f>
        <v>750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3'!G6</f>
        <v>22</v>
      </c>
      <c r="D6" s="13">
        <v>0</v>
      </c>
      <c r="E6" s="14">
        <f t="shared" si="0"/>
        <v>22</v>
      </c>
      <c r="F6" s="13">
        <v>0</v>
      </c>
      <c r="G6" s="14">
        <f t="shared" si="1"/>
        <v>18</v>
      </c>
      <c r="H6" s="15">
        <v>4</v>
      </c>
      <c r="I6" s="16">
        <v>100</v>
      </c>
      <c r="J6" s="89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3'!G12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5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3'!G14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3'!G17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3'!G19</f>
        <v>5</v>
      </c>
      <c r="D19" s="13">
        <v>0</v>
      </c>
      <c r="E19" s="14">
        <f t="shared" si="0"/>
        <v>5</v>
      </c>
      <c r="F19" s="13">
        <v>0</v>
      </c>
      <c r="G19" s="14">
        <f t="shared" si="1"/>
        <v>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3'!G22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1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3'!G23</f>
        <v>3</v>
      </c>
      <c r="D23" s="13">
        <v>0</v>
      </c>
      <c r="E23" s="12">
        <f t="shared" si="0"/>
        <v>3</v>
      </c>
      <c r="F23" s="13">
        <v>0</v>
      </c>
      <c r="G23" s="12">
        <f t="shared" si="1"/>
        <v>0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3'!G24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5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5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3'!G29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0</v>
      </c>
      <c r="H29" s="15">
        <v>10</v>
      </c>
      <c r="I29" s="16">
        <v>100</v>
      </c>
      <c r="J29" s="89">
        <f t="shared" si="2"/>
        <v>1000</v>
      </c>
      <c r="K29" s="18" t="s">
        <v>16</v>
      </c>
      <c r="L29" s="19">
        <v>0</v>
      </c>
      <c r="M29" s="30">
        <f t="shared" si="5"/>
        <v>1000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3'!G34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3'!G35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3'!G37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0</v>
      </c>
      <c r="H37" s="15">
        <v>10</v>
      </c>
      <c r="I37" s="16">
        <v>100</v>
      </c>
      <c r="J37" s="89">
        <f t="shared" si="2"/>
        <v>1000</v>
      </c>
      <c r="K37" s="18" t="s">
        <v>16</v>
      </c>
      <c r="L37" s="19">
        <v>0</v>
      </c>
      <c r="M37" s="30">
        <f t="shared" si="5"/>
        <v>1000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3'!G38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5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3'!G39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3'!G40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1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3'!G41</f>
        <v>2</v>
      </c>
      <c r="D41" s="13">
        <v>0</v>
      </c>
      <c r="E41" s="14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3'!G42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3'!G43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3'!G44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2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3'!G46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3'!G47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0</v>
      </c>
      <c r="H47" s="15">
        <v>11</v>
      </c>
      <c r="I47" s="16">
        <v>50</v>
      </c>
      <c r="J47" s="89">
        <f t="shared" si="2"/>
        <v>550</v>
      </c>
      <c r="K47" s="18" t="s">
        <v>16</v>
      </c>
      <c r="L47" s="19">
        <v>0</v>
      </c>
      <c r="M47" s="30">
        <f t="shared" si="5"/>
        <v>550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3'!G48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3'!G49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1</v>
      </c>
      <c r="H49" s="15">
        <v>4</v>
      </c>
      <c r="I49" s="16">
        <v>50</v>
      </c>
      <c r="J49" s="89">
        <f t="shared" si="2"/>
        <v>200</v>
      </c>
      <c r="K49" s="18" t="s">
        <v>16</v>
      </c>
      <c r="L49" s="19">
        <v>0</v>
      </c>
      <c r="M49" s="30">
        <f t="shared" si="5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3'!G50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3'!G52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3'!G59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3'!G60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3'!G66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3'!G67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3'!G73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7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3'!G74</f>
        <v>0</v>
      </c>
      <c r="D74" s="13">
        <v>0</v>
      </c>
      <c r="E74" s="14">
        <f t="shared" si="0"/>
        <v>0</v>
      </c>
      <c r="F74" s="13">
        <v>0</v>
      </c>
      <c r="G74" s="14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3'!G77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3'!G79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255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3'!G85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7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3'!G86</f>
        <v>15</v>
      </c>
      <c r="D86" s="13">
        <v>0</v>
      </c>
      <c r="E86" s="14">
        <f t="shared" si="0"/>
        <v>15</v>
      </c>
      <c r="F86" s="13">
        <v>0</v>
      </c>
      <c r="G86" s="14">
        <f t="shared" si="7"/>
        <v>14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3'!G87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3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3'!G88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3</v>
      </c>
      <c r="H88" s="15">
        <v>4</v>
      </c>
      <c r="I88" s="21">
        <v>100</v>
      </c>
      <c r="J88" s="89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3'!G102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3'!G103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4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3'!G168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12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181</v>
      </c>
      <c r="C169" s="12">
        <f>+'วันที่ 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3'!G177</f>
        <v>4</v>
      </c>
      <c r="D177" s="13">
        <v>0</v>
      </c>
      <c r="E177" s="14">
        <f t="shared" si="17"/>
        <v>4</v>
      </c>
      <c r="F177" s="13">
        <v>0</v>
      </c>
      <c r="G177" s="14">
        <f t="shared" si="14"/>
        <v>3</v>
      </c>
      <c r="H177" s="15">
        <v>1</v>
      </c>
      <c r="I177" s="21">
        <v>120</v>
      </c>
      <c r="J177" s="89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>
      <c r="A178" s="10">
        <v>174</v>
      </c>
      <c r="B178" s="20" t="s">
        <v>190</v>
      </c>
      <c r="C178" s="12">
        <f>+'วันที่ 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7570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2" ht="25.5">
      <c r="A209" s="1"/>
      <c r="C209" s="32"/>
      <c r="E209" s="32"/>
      <c r="G209" s="32"/>
      <c r="I209" s="35" t="s">
        <v>209</v>
      </c>
      <c r="J209" s="36"/>
      <c r="K209" s="37">
        <f>SUM(L209:BO209)</f>
        <v>1925</v>
      </c>
      <c r="L209" s="2">
        <v>100</v>
      </c>
      <c r="M209" s="2">
        <v>400</v>
      </c>
      <c r="N209" s="2">
        <v>150</v>
      </c>
      <c r="O209" s="2">
        <v>100</v>
      </c>
      <c r="P209" s="2">
        <v>55</v>
      </c>
      <c r="Q209" s="2">
        <v>160</v>
      </c>
      <c r="R209" s="2">
        <v>100</v>
      </c>
      <c r="S209" s="2">
        <v>185</v>
      </c>
      <c r="T209" s="2">
        <v>260</v>
      </c>
      <c r="U209" s="2">
        <v>205</v>
      </c>
      <c r="V209" s="2">
        <v>210</v>
      </c>
    </row>
    <row r="210" spans="1:22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2" ht="25.5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22" ht="25.5">
      <c r="A212" s="1"/>
      <c r="C212" s="32"/>
      <c r="E212" s="32"/>
      <c r="G212" s="32"/>
      <c r="I212" s="132" t="s">
        <v>212</v>
      </c>
      <c r="J212" s="133"/>
      <c r="K212" s="38">
        <f>SUM(L5:L205)</f>
        <v>100</v>
      </c>
    </row>
    <row r="213" spans="1:22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5530</v>
      </c>
    </row>
    <row r="214" spans="1:22" ht="25.5">
      <c r="A214" s="1"/>
      <c r="C214" s="32"/>
      <c r="E214" s="32"/>
      <c r="G214" s="32"/>
      <c r="I214" s="132" t="s">
        <v>214</v>
      </c>
      <c r="J214" s="133"/>
      <c r="K214" s="38">
        <v>5530</v>
      </c>
    </row>
    <row r="215" spans="1:22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2" ht="25.5">
      <c r="G216" s="2"/>
      <c r="I216" s="132" t="s">
        <v>216</v>
      </c>
      <c r="J216" s="133"/>
      <c r="K216" s="34">
        <f>+K214-K213</f>
        <v>0</v>
      </c>
    </row>
    <row r="217" spans="1:22">
      <c r="G217" s="2"/>
      <c r="I217" s="2"/>
    </row>
    <row r="218" spans="1:22">
      <c r="G218" s="2"/>
      <c r="I218" s="2"/>
      <c r="J218" s="92" t="s">
        <v>250</v>
      </c>
      <c r="K218" s="24">
        <f>+K207-K212+K215</f>
        <v>7470</v>
      </c>
    </row>
    <row r="219" spans="1:22">
      <c r="G219" s="2"/>
      <c r="I219" s="2"/>
      <c r="J219" s="2" t="s">
        <v>251</v>
      </c>
      <c r="K219" s="24">
        <f>SUM(K208:K211)</f>
        <v>1940</v>
      </c>
    </row>
    <row r="220" spans="1:22">
      <c r="G220" s="2"/>
      <c r="I220" s="2"/>
      <c r="J220" s="2" t="s">
        <v>252</v>
      </c>
      <c r="K220" s="24">
        <f>+K214</f>
        <v>5530</v>
      </c>
    </row>
    <row r="221" spans="1:22">
      <c r="G221" s="2"/>
      <c r="I221" s="2"/>
    </row>
    <row r="222" spans="1:22">
      <c r="G222" s="2"/>
      <c r="I222" s="2"/>
    </row>
    <row r="223" spans="1:22">
      <c r="G223" s="2"/>
      <c r="I223" s="2"/>
    </row>
    <row r="224" spans="1:2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theme="5" tint="0.79998168889431442"/>
  </sheetPr>
  <dimension ref="A1:Z291"/>
  <sheetViews>
    <sheetView zoomScale="85" zoomScaleNormal="85" workbookViewId="0">
      <pane xSplit="5" ySplit="4" topLeftCell="F187" activePane="bottomRight" state="frozen"/>
      <selection activeCell="G6" sqref="G6"/>
      <selection pane="topRight" activeCell="G6" sqref="G6"/>
      <selection pane="bottomLeft" activeCell="G6" sqref="G6"/>
      <selection pane="bottomRight" activeCell="I221" sqref="I22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4'!G5</f>
        <v>7</v>
      </c>
      <c r="D5" s="13">
        <v>0</v>
      </c>
      <c r="E5" s="14">
        <f t="shared" ref="E5:E94" si="0">C5+D5</f>
        <v>7</v>
      </c>
      <c r="F5" s="13">
        <v>0</v>
      </c>
      <c r="G5" s="14">
        <f t="shared" ref="G5:G68" si="1">E5-F5-H5</f>
        <v>5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4'!G6</f>
        <v>18</v>
      </c>
      <c r="D6" s="13">
        <v>10</v>
      </c>
      <c r="E6" s="14">
        <f t="shared" si="0"/>
        <v>28</v>
      </c>
      <c r="F6" s="13">
        <v>0</v>
      </c>
      <c r="G6" s="14">
        <f t="shared" si="1"/>
        <v>24</v>
      </c>
      <c r="H6" s="15">
        <v>4</v>
      </c>
      <c r="I6" s="16">
        <v>100</v>
      </c>
      <c r="J6" s="89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4'!G12</f>
        <v>5</v>
      </c>
      <c r="D12" s="13">
        <v>10</v>
      </c>
      <c r="E12" s="14">
        <f t="shared" si="0"/>
        <v>15</v>
      </c>
      <c r="F12" s="13">
        <v>0</v>
      </c>
      <c r="G12" s="12">
        <f t="shared" si="1"/>
        <v>14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4'!G14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4'!G17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8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4'!G19</f>
        <v>3</v>
      </c>
      <c r="D19" s="13">
        <v>5</v>
      </c>
      <c r="E19" s="14">
        <f t="shared" si="0"/>
        <v>8</v>
      </c>
      <c r="F19" s="13">
        <v>0</v>
      </c>
      <c r="G19" s="14">
        <f t="shared" si="1"/>
        <v>4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5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4'!G22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4'!G23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4'!G24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6</v>
      </c>
      <c r="H24" s="15">
        <v>4</v>
      </c>
      <c r="I24" s="22">
        <v>100</v>
      </c>
      <c r="J24" s="89">
        <f t="shared" si="2"/>
        <v>400</v>
      </c>
      <c r="K24" s="18" t="s">
        <v>259</v>
      </c>
      <c r="L24" s="19">
        <v>80</v>
      </c>
      <c r="M24" s="30">
        <f t="shared" si="5"/>
        <v>320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4'!G34</f>
        <v>2</v>
      </c>
      <c r="D34" s="13">
        <v>2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4'!G35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4'!G37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2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4'!G38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4'!G39</f>
        <v>1</v>
      </c>
      <c r="D39" s="13">
        <v>5</v>
      </c>
      <c r="E39" s="14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4'!G40</f>
        <v>1</v>
      </c>
      <c r="D40" s="13">
        <v>5</v>
      </c>
      <c r="E40" s="14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4'!G41</f>
        <v>2</v>
      </c>
      <c r="D41" s="13">
        <v>10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4'!G42</f>
        <v>7</v>
      </c>
      <c r="D42" s="13">
        <v>5</v>
      </c>
      <c r="E42" s="14">
        <f t="shared" si="0"/>
        <v>12</v>
      </c>
      <c r="F42" s="13">
        <v>0</v>
      </c>
      <c r="G42" s="12">
        <f t="shared" si="1"/>
        <v>11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4'!G43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4'!G44</f>
        <v>2</v>
      </c>
      <c r="D44" s="13">
        <v>5</v>
      </c>
      <c r="E44" s="14">
        <f t="shared" si="0"/>
        <v>7</v>
      </c>
      <c r="F44" s="13">
        <v>0</v>
      </c>
      <c r="G44" s="12">
        <f t="shared" si="1"/>
        <v>6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4'!G46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4'!G47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4'!G48</f>
        <v>0</v>
      </c>
      <c r="D48" s="13">
        <v>5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4'!G49</f>
        <v>1</v>
      </c>
      <c r="D49" s="13">
        <v>0</v>
      </c>
      <c r="E49" s="14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4'!G50</f>
        <v>0</v>
      </c>
      <c r="D50" s="13">
        <v>3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4'!G52</f>
        <v>0</v>
      </c>
      <c r="D52" s="13">
        <v>3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4'!G55</f>
        <v>0</v>
      </c>
      <c r="D55" s="13">
        <v>3</v>
      </c>
      <c r="E55" s="14">
        <f t="shared" si="0"/>
        <v>3</v>
      </c>
      <c r="F55" s="13">
        <v>0</v>
      </c>
      <c r="G55" s="14">
        <f t="shared" si="1"/>
        <v>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4'!G59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4'!G60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4'!G66</f>
        <v>3</v>
      </c>
      <c r="D66" s="13">
        <v>10</v>
      </c>
      <c r="E66" s="14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4'!G67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4'!G73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6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4'!G74</f>
        <v>0</v>
      </c>
      <c r="D74" s="13">
        <v>5</v>
      </c>
      <c r="E74" s="14">
        <f t="shared" si="0"/>
        <v>5</v>
      </c>
      <c r="F74" s="13">
        <v>0</v>
      </c>
      <c r="G74" s="14">
        <f t="shared" si="7"/>
        <v>5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4'!G77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4'!G79</f>
        <v>1</v>
      </c>
      <c r="D79" s="13">
        <v>1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4'!G85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6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4'!G86</f>
        <v>14</v>
      </c>
      <c r="D86" s="13">
        <v>0</v>
      </c>
      <c r="E86" s="14">
        <f t="shared" si="0"/>
        <v>14</v>
      </c>
      <c r="F86" s="13">
        <v>0</v>
      </c>
      <c r="G86" s="14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4'!G87</f>
        <v>3</v>
      </c>
      <c r="D87" s="13">
        <v>10</v>
      </c>
      <c r="E87" s="14">
        <f t="shared" si="0"/>
        <v>13</v>
      </c>
      <c r="F87" s="13">
        <v>0</v>
      </c>
      <c r="G87" s="14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4'!G88</f>
        <v>3</v>
      </c>
      <c r="D88" s="13">
        <v>1</v>
      </c>
      <c r="E88" s="14">
        <f t="shared" si="0"/>
        <v>4</v>
      </c>
      <c r="F88" s="13">
        <v>0</v>
      </c>
      <c r="G88" s="14">
        <f t="shared" si="7"/>
        <v>3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4'!G102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4'!G103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2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4'!G168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11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+'วันที่ 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4'!G177</f>
        <v>3</v>
      </c>
      <c r="D177" s="13">
        <v>0</v>
      </c>
      <c r="E177" s="14">
        <f t="shared" si="17"/>
        <v>3</v>
      </c>
      <c r="F177" s="13">
        <v>0</v>
      </c>
      <c r="G177" s="14">
        <f t="shared" si="14"/>
        <v>2</v>
      </c>
      <c r="H177" s="15">
        <v>1</v>
      </c>
      <c r="I177" s="21">
        <v>120</v>
      </c>
      <c r="J177" s="89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>
      <c r="A178" s="10">
        <v>174</v>
      </c>
      <c r="B178" s="20" t="s">
        <v>190</v>
      </c>
      <c r="C178" s="12">
        <f>+'วันที่ 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2775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4" ht="25.5">
      <c r="A209" s="1"/>
      <c r="C209" s="32"/>
      <c r="E209" s="32"/>
      <c r="G209" s="32"/>
      <c r="I209" s="35" t="s">
        <v>209</v>
      </c>
      <c r="J209" s="36"/>
      <c r="K209" s="37">
        <f>SUM(L209:BO209)</f>
        <v>455</v>
      </c>
      <c r="L209" s="2">
        <v>200</v>
      </c>
      <c r="M209" s="2">
        <v>55</v>
      </c>
      <c r="N209" s="2">
        <v>200</v>
      </c>
    </row>
    <row r="210" spans="1:14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4" ht="25.5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4" ht="25.5">
      <c r="A212" s="1"/>
      <c r="C212" s="32"/>
      <c r="E212" s="32"/>
      <c r="G212" s="32"/>
      <c r="I212" s="132" t="s">
        <v>212</v>
      </c>
      <c r="J212" s="133"/>
      <c r="K212" s="38">
        <f>SUM(L5:L205)</f>
        <v>80</v>
      </c>
    </row>
    <row r="213" spans="1:14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2225</v>
      </c>
    </row>
    <row r="214" spans="1:14" ht="25.5">
      <c r="A214" s="1"/>
      <c r="C214" s="32"/>
      <c r="E214" s="32"/>
      <c r="G214" s="32"/>
      <c r="I214" s="132" t="s">
        <v>214</v>
      </c>
      <c r="J214" s="133"/>
      <c r="K214" s="38">
        <v>2225</v>
      </c>
    </row>
    <row r="215" spans="1:14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4" ht="25.5">
      <c r="G216" s="2"/>
      <c r="I216" s="132" t="s">
        <v>216</v>
      </c>
      <c r="J216" s="13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2" t="s">
        <v>250</v>
      </c>
      <c r="K218" s="24">
        <f>+K207-K212+K215</f>
        <v>2695</v>
      </c>
    </row>
    <row r="219" spans="1:14">
      <c r="G219" s="2"/>
      <c r="I219" s="2"/>
      <c r="J219" s="2" t="s">
        <v>251</v>
      </c>
      <c r="K219" s="24">
        <f>SUM(K208:K211)</f>
        <v>470</v>
      </c>
    </row>
    <row r="220" spans="1:14">
      <c r="G220" s="2"/>
      <c r="I220" s="2"/>
      <c r="J220" s="2" t="s">
        <v>252</v>
      </c>
      <c r="K220" s="24">
        <f>+K214</f>
        <v>2225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theme="5" tint="0.79998168889431442"/>
  </sheetPr>
  <dimension ref="A1:Z291"/>
  <sheetViews>
    <sheetView zoomScale="85" zoomScaleNormal="85" workbookViewId="0">
      <pane xSplit="5" ySplit="4" topLeftCell="H205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5'!G5</f>
        <v>5</v>
      </c>
      <c r="D5" s="13">
        <v>0</v>
      </c>
      <c r="E5" s="14">
        <f t="shared" ref="E5:E94" si="0">C5+D5</f>
        <v>5</v>
      </c>
      <c r="F5" s="13">
        <v>0</v>
      </c>
      <c r="G5" s="14">
        <f t="shared" ref="G5:G68" si="1">E5-F5-H5</f>
        <v>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5'!G6</f>
        <v>24</v>
      </c>
      <c r="D6" s="13">
        <v>0</v>
      </c>
      <c r="E6" s="14">
        <f t="shared" si="0"/>
        <v>24</v>
      </c>
      <c r="F6" s="13">
        <v>0</v>
      </c>
      <c r="G6" s="14">
        <f t="shared" si="1"/>
        <v>21</v>
      </c>
      <c r="H6" s="15">
        <v>3</v>
      </c>
      <c r="I6" s="16">
        <v>100</v>
      </c>
      <c r="J6" s="89">
        <f t="shared" si="2"/>
        <v>300</v>
      </c>
      <c r="K6" s="18" t="s">
        <v>16</v>
      </c>
      <c r="L6" s="19">
        <v>0</v>
      </c>
      <c r="M6" s="30">
        <f t="shared" ref="M6:M69" si="5">+J6-L6</f>
        <v>300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5'!G12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5'!G14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5'!G17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7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5'!G19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3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5'!G22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5'!G23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9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5'!G24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5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5'!G35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5'!G37</f>
        <v>2</v>
      </c>
      <c r="D37" s="13">
        <v>0</v>
      </c>
      <c r="E37" s="14">
        <f t="shared" si="0"/>
        <v>2</v>
      </c>
      <c r="F37" s="13">
        <v>0</v>
      </c>
      <c r="G37" s="14">
        <f t="shared" si="1"/>
        <v>1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5'!G38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5'!G39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5'!G40</f>
        <v>6</v>
      </c>
      <c r="D40" s="13">
        <v>0</v>
      </c>
      <c r="E40" s="14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5'!G41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5'!G42</f>
        <v>11</v>
      </c>
      <c r="D42" s="13">
        <v>0</v>
      </c>
      <c r="E42" s="14">
        <f t="shared" si="0"/>
        <v>11</v>
      </c>
      <c r="F42" s="13">
        <v>1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5'!G43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5</v>
      </c>
      <c r="H43" s="15">
        <v>3</v>
      </c>
      <c r="I43" s="16">
        <v>50</v>
      </c>
      <c r="J43" s="89">
        <f t="shared" si="2"/>
        <v>150</v>
      </c>
      <c r="K43" s="18" t="s">
        <v>16</v>
      </c>
      <c r="L43" s="19">
        <v>0</v>
      </c>
      <c r="M43" s="30">
        <f t="shared" si="5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5'!G44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5'!G46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5'!G47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5'!G48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5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5'!G49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5'!G50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5'!G52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0</v>
      </c>
      <c r="H52" s="15">
        <v>3</v>
      </c>
      <c r="I52" s="22">
        <v>120</v>
      </c>
      <c r="J52" s="89">
        <f t="shared" si="2"/>
        <v>360</v>
      </c>
      <c r="K52" s="18" t="s">
        <v>260</v>
      </c>
      <c r="L52" s="19">
        <v>105</v>
      </c>
      <c r="M52" s="30">
        <f t="shared" si="5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5'!G55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0</v>
      </c>
      <c r="H55" s="15">
        <v>3</v>
      </c>
      <c r="I55" s="22">
        <v>120</v>
      </c>
      <c r="J55" s="89">
        <f t="shared" si="2"/>
        <v>360</v>
      </c>
      <c r="K55" s="18" t="s">
        <v>260</v>
      </c>
      <c r="L55" s="19">
        <v>105</v>
      </c>
      <c r="M55" s="30">
        <f t="shared" si="5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5'!G59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5'!G66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5'!G67</f>
        <v>6</v>
      </c>
      <c r="D67" s="13">
        <v>0</v>
      </c>
      <c r="E67" s="14">
        <f t="shared" si="0"/>
        <v>6</v>
      </c>
      <c r="F67" s="13">
        <v>0</v>
      </c>
      <c r="G67" s="14">
        <f t="shared" si="1"/>
        <v>1</v>
      </c>
      <c r="H67" s="15">
        <v>5</v>
      </c>
      <c r="I67" s="16">
        <v>50</v>
      </c>
      <c r="J67" s="89">
        <f t="shared" si="2"/>
        <v>250</v>
      </c>
      <c r="K67" s="18" t="s">
        <v>16</v>
      </c>
      <c r="L67" s="19">
        <v>0</v>
      </c>
      <c r="M67" s="30">
        <f t="shared" si="5"/>
        <v>250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5'!G73</f>
        <v>6</v>
      </c>
      <c r="D73" s="13">
        <v>0</v>
      </c>
      <c r="E73" s="14">
        <f t="shared" si="0"/>
        <v>6</v>
      </c>
      <c r="F73" s="13">
        <v>0</v>
      </c>
      <c r="G73" s="14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5'!G74</f>
        <v>5</v>
      </c>
      <c r="D74" s="13">
        <v>0</v>
      </c>
      <c r="E74" s="14">
        <f t="shared" si="0"/>
        <v>5</v>
      </c>
      <c r="F74" s="13">
        <v>0</v>
      </c>
      <c r="G74" s="14">
        <f t="shared" si="7"/>
        <v>3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5'!G77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5'!G79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5'!G85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6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5'!G86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5'!G87</f>
        <v>13</v>
      </c>
      <c r="D87" s="13">
        <v>0</v>
      </c>
      <c r="E87" s="14">
        <f t="shared" si="0"/>
        <v>13</v>
      </c>
      <c r="F87" s="13">
        <v>0</v>
      </c>
      <c r="G87" s="14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5'!G88</f>
        <v>3</v>
      </c>
      <c r="D88" s="13">
        <v>0</v>
      </c>
      <c r="E88" s="14">
        <f t="shared" si="0"/>
        <v>3</v>
      </c>
      <c r="F88" s="13">
        <v>0</v>
      </c>
      <c r="G88" s="14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5'!G102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5'!G103</f>
        <v>2</v>
      </c>
      <c r="D103" s="13">
        <v>0</v>
      </c>
      <c r="E103" s="14">
        <f t="shared" si="13"/>
        <v>2</v>
      </c>
      <c r="F103" s="13">
        <v>0</v>
      </c>
      <c r="G103" s="14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5'!G168</f>
        <v>11</v>
      </c>
      <c r="D168" s="13">
        <v>0</v>
      </c>
      <c r="E168" s="14">
        <f t="shared" si="17"/>
        <v>11</v>
      </c>
      <c r="F168" s="13">
        <v>0</v>
      </c>
      <c r="G168" s="14">
        <f t="shared" si="14"/>
        <v>10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+'วันที่ 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5'!G177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2215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5" ht="25.5">
      <c r="A209" s="1"/>
      <c r="C209" s="32"/>
      <c r="E209" s="32"/>
      <c r="G209" s="32"/>
      <c r="I209" s="35" t="s">
        <v>209</v>
      </c>
      <c r="J209" s="36"/>
      <c r="K209" s="37">
        <f>SUM(L209:BO209)</f>
        <v>700</v>
      </c>
      <c r="L209" s="2">
        <v>100</v>
      </c>
      <c r="M209" s="2">
        <v>250</v>
      </c>
      <c r="N209" s="2">
        <v>300</v>
      </c>
      <c r="O209" s="2">
        <v>50</v>
      </c>
    </row>
    <row r="210" spans="1:15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5" ht="25.5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5" ht="25.5">
      <c r="A212" s="1"/>
      <c r="C212" s="32"/>
      <c r="E212" s="32"/>
      <c r="G212" s="32"/>
      <c r="I212" s="132" t="s">
        <v>212</v>
      </c>
      <c r="J212" s="133"/>
      <c r="K212" s="38">
        <f>SUM(L5:L205)</f>
        <v>210</v>
      </c>
    </row>
    <row r="213" spans="1:15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1290</v>
      </c>
    </row>
    <row r="214" spans="1:15" ht="25.5">
      <c r="A214" s="1"/>
      <c r="C214" s="32"/>
      <c r="E214" s="32"/>
      <c r="G214" s="32"/>
      <c r="I214" s="132" t="s">
        <v>214</v>
      </c>
      <c r="J214" s="133"/>
      <c r="K214" s="38">
        <v>1290</v>
      </c>
    </row>
    <row r="215" spans="1:15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5" ht="25.5">
      <c r="G216" s="2"/>
      <c r="I216" s="132" t="s">
        <v>216</v>
      </c>
      <c r="J216" s="133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2" t="s">
        <v>250</v>
      </c>
      <c r="K218" s="24">
        <f>+K207-K212+K215</f>
        <v>2005</v>
      </c>
    </row>
    <row r="219" spans="1:15">
      <c r="G219" s="2"/>
      <c r="I219" s="2"/>
      <c r="J219" s="2" t="s">
        <v>251</v>
      </c>
      <c r="K219" s="24">
        <f>SUM(K208:K211)</f>
        <v>715</v>
      </c>
    </row>
    <row r="220" spans="1:15">
      <c r="G220" s="2"/>
      <c r="I220" s="2"/>
      <c r="J220" s="2" t="s">
        <v>252</v>
      </c>
      <c r="K220" s="24">
        <f>+K214</f>
        <v>1290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theme="5" tint="0.79998168889431442"/>
  </sheetPr>
  <dimension ref="A1:Z291"/>
  <sheetViews>
    <sheetView zoomScale="90" zoomScaleNormal="90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H103" sqref="H10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6'!G5</f>
        <v>5</v>
      </c>
      <c r="D5" s="13">
        <v>20</v>
      </c>
      <c r="E5" s="14">
        <f t="shared" ref="E5:E94" si="0">C5+D5</f>
        <v>25</v>
      </c>
      <c r="F5" s="13">
        <v>0</v>
      </c>
      <c r="G5" s="14">
        <f t="shared" ref="G5:G68" si="1">E5-F5-H5</f>
        <v>23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93">
        <f>+'วันที่ 6'!G6</f>
        <v>21</v>
      </c>
      <c r="D6" s="13">
        <v>0</v>
      </c>
      <c r="E6" s="84">
        <f t="shared" si="0"/>
        <v>21</v>
      </c>
      <c r="F6" s="13">
        <v>0</v>
      </c>
      <c r="G6" s="84">
        <f t="shared" si="1"/>
        <v>19</v>
      </c>
      <c r="H6" s="15">
        <v>2</v>
      </c>
      <c r="I6" s="85">
        <v>100</v>
      </c>
      <c r="J6" s="95">
        <f t="shared" si="2"/>
        <v>200</v>
      </c>
      <c r="K6" s="18" t="s">
        <v>16</v>
      </c>
      <c r="L6" s="19">
        <v>0</v>
      </c>
      <c r="M6" s="98">
        <f t="shared" ref="M6:M69" si="5">+J6-L6</f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3"/>
        <v>0</v>
      </c>
      <c r="T6" s="83">
        <v>0</v>
      </c>
      <c r="U6" s="84">
        <f t="shared" si="4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6'!G12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6'!G14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6'!G17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7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6'!G19</f>
        <v>3</v>
      </c>
      <c r="D19" s="13">
        <v>5</v>
      </c>
      <c r="E19" s="14">
        <f t="shared" si="0"/>
        <v>8</v>
      </c>
      <c r="F19" s="13">
        <v>0</v>
      </c>
      <c r="G19" s="12">
        <f t="shared" si="1"/>
        <v>8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6'!G22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3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6'!G23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6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6'!G29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4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6'!G34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6'!G37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6'!G38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6'!G39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6'!G40</f>
        <v>6</v>
      </c>
      <c r="D40" s="13">
        <v>0</v>
      </c>
      <c r="E40" s="14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6'!G41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6'!G42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6'!G43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6'!G44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6'!G46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6'!G47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6'!G49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6'!G50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6'!G59</f>
        <v>1</v>
      </c>
      <c r="D59" s="13">
        <v>3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6'!G60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6'!G66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8</v>
      </c>
      <c r="H66" s="15">
        <v>4</v>
      </c>
      <c r="I66" s="16">
        <v>50</v>
      </c>
      <c r="J66" s="89">
        <f t="shared" si="2"/>
        <v>200</v>
      </c>
      <c r="K66" s="18" t="s">
        <v>16</v>
      </c>
      <c r="L66" s="19">
        <v>0</v>
      </c>
      <c r="M66" s="30">
        <f t="shared" si="5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6'!G67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6'!G73</f>
        <v>6</v>
      </c>
      <c r="D73" s="13">
        <v>0</v>
      </c>
      <c r="E73" s="14">
        <f t="shared" si="0"/>
        <v>6</v>
      </c>
      <c r="F73" s="13">
        <v>0</v>
      </c>
      <c r="G73" s="14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6'!G74</f>
        <v>3</v>
      </c>
      <c r="D74" s="13">
        <v>5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6'!G77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6'!G79</f>
        <v>1</v>
      </c>
      <c r="D79" s="13">
        <v>5</v>
      </c>
      <c r="E79" s="14">
        <f t="shared" si="0"/>
        <v>6</v>
      </c>
      <c r="F79" s="13">
        <v>0</v>
      </c>
      <c r="G79" s="12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6'!G85</f>
        <v>6</v>
      </c>
      <c r="D85" s="13">
        <v>10</v>
      </c>
      <c r="E85" s="14">
        <f t="shared" si="0"/>
        <v>16</v>
      </c>
      <c r="F85" s="13">
        <v>0</v>
      </c>
      <c r="G85" s="12">
        <f t="shared" si="7"/>
        <v>15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6'!G86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6'!G87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6'!G88</f>
        <v>3</v>
      </c>
      <c r="D88" s="13">
        <v>10</v>
      </c>
      <c r="E88" s="14">
        <f t="shared" si="0"/>
        <v>13</v>
      </c>
      <c r="F88" s="13">
        <v>0</v>
      </c>
      <c r="G88" s="14">
        <f t="shared" si="7"/>
        <v>11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6'!G102</f>
        <v>3</v>
      </c>
      <c r="D102" s="13">
        <v>5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6'!G103</f>
        <v>2</v>
      </c>
      <c r="D103" s="13">
        <v>5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6'!G168</f>
        <v>10</v>
      </c>
      <c r="D168" s="13">
        <v>0</v>
      </c>
      <c r="E168" s="14">
        <f t="shared" si="17"/>
        <v>10</v>
      </c>
      <c r="F168" s="13">
        <v>0</v>
      </c>
      <c r="G168" s="14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6'!G177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1800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700</v>
      </c>
      <c r="L209" s="2">
        <v>85</v>
      </c>
      <c r="M209" s="2">
        <v>365</v>
      </c>
      <c r="N209" s="2">
        <v>250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1085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1085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1800</v>
      </c>
    </row>
    <row r="219" spans="1:16">
      <c r="G219" s="2"/>
      <c r="I219" s="2"/>
      <c r="J219" s="2" t="s">
        <v>251</v>
      </c>
      <c r="K219" s="24">
        <f>SUM(K208:K211)</f>
        <v>715</v>
      </c>
    </row>
    <row r="220" spans="1:16">
      <c r="G220" s="2"/>
      <c r="I220" s="2"/>
      <c r="J220" s="2" t="s">
        <v>252</v>
      </c>
      <c r="K220" s="24">
        <f>+K214</f>
        <v>1085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theme="5" tint="0.79998168889431442"/>
  </sheetPr>
  <dimension ref="A1:Z291"/>
  <sheetViews>
    <sheetView zoomScale="90" zoomScaleNormal="90" workbookViewId="0">
      <pane xSplit="5" ySplit="4" topLeftCell="F199" activePane="bottomRight" state="frozen"/>
      <selection activeCell="G6" sqref="G6"/>
      <selection pane="topRight" activeCell="G6" sqref="G6"/>
      <selection pane="bottomLeft" activeCell="G6" sqref="G6"/>
      <selection pane="bottomRight" activeCell="Q209" sqref="Q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7'!G5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93">
        <f>+'วันที่ 7'!G6</f>
        <v>19</v>
      </c>
      <c r="D6" s="13">
        <v>0</v>
      </c>
      <c r="E6" s="84">
        <f t="shared" si="0"/>
        <v>19</v>
      </c>
      <c r="F6" s="13">
        <v>0</v>
      </c>
      <c r="G6" s="84">
        <f t="shared" si="1"/>
        <v>16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7'!G12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7'!G14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7'!G17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3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7'!G19</f>
        <v>8</v>
      </c>
      <c r="D19" s="13">
        <v>0</v>
      </c>
      <c r="E19" s="14">
        <f t="shared" si="0"/>
        <v>8</v>
      </c>
      <c r="F19" s="13">
        <v>0</v>
      </c>
      <c r="G19" s="12">
        <f t="shared" si="1"/>
        <v>7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7'!G22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7'!G23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1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7'!G24</f>
        <v>5</v>
      </c>
      <c r="D24" s="13">
        <v>0</v>
      </c>
      <c r="E24" s="12">
        <f t="shared" si="0"/>
        <v>5</v>
      </c>
      <c r="F24" s="13">
        <v>1</v>
      </c>
      <c r="G24" s="12">
        <f t="shared" si="1"/>
        <v>1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3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7'!G34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7'!G35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261</v>
      </c>
      <c r="L35" s="19">
        <v>65</v>
      </c>
      <c r="M35" s="30">
        <f t="shared" si="3"/>
        <v>195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7'!G37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7'!G38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262</v>
      </c>
      <c r="L38" s="19">
        <v>50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7'!G39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7'!G40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7'!G41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7'!G42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7'!G43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7'!G44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7'!G46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7'!G47</f>
        <v>10</v>
      </c>
      <c r="D47" s="13">
        <v>0</v>
      </c>
      <c r="E47" s="14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7'!G48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7'!G49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7'!G50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7'!G52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7'!G59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7'!G60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0</v>
      </c>
      <c r="H60" s="15">
        <v>3</v>
      </c>
      <c r="I60" s="16">
        <v>80</v>
      </c>
      <c r="J60" s="89">
        <f t="shared" si="2"/>
        <v>240</v>
      </c>
      <c r="K60" s="18" t="s">
        <v>16</v>
      </c>
      <c r="L60" s="19">
        <v>0</v>
      </c>
      <c r="M60" s="30">
        <f t="shared" si="3"/>
        <v>240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7'!G66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7'!G67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7'!G73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7'!G74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7'!G77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7'!G79</f>
        <v>6</v>
      </c>
      <c r="D79" s="13">
        <v>0</v>
      </c>
      <c r="E79" s="14">
        <f t="shared" si="0"/>
        <v>6</v>
      </c>
      <c r="F79" s="13">
        <v>0</v>
      </c>
      <c r="G79" s="14">
        <f t="shared" si="7"/>
        <v>5</v>
      </c>
      <c r="H79" s="15">
        <v>1</v>
      </c>
      <c r="I79" s="23">
        <v>50</v>
      </c>
      <c r="J79" s="89">
        <f t="shared" si="10"/>
        <v>50</v>
      </c>
      <c r="K79" s="18" t="s">
        <v>262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7'!G85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7'!G86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7'!G87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7'!G88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10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7'!G102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7'!G103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5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7'!G163</f>
        <v>0</v>
      </c>
      <c r="D163" s="13">
        <v>4</v>
      </c>
      <c r="E163" s="14">
        <f t="shared" si="17"/>
        <v>4</v>
      </c>
      <c r="F163" s="13">
        <v>0</v>
      </c>
      <c r="G163" s="14">
        <f t="shared" si="14"/>
        <v>4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7'!G168</f>
        <v>10</v>
      </c>
      <c r="D168" s="13">
        <v>40</v>
      </c>
      <c r="E168" s="14">
        <f t="shared" si="17"/>
        <v>50</v>
      </c>
      <c r="F168" s="13">
        <v>0</v>
      </c>
      <c r="G168" s="14">
        <f t="shared" si="14"/>
        <v>50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7'!G177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2665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1110</v>
      </c>
      <c r="L209" s="2">
        <v>600</v>
      </c>
      <c r="M209" s="2">
        <v>50</v>
      </c>
      <c r="N209" s="2">
        <v>260</v>
      </c>
      <c r="O209" s="2">
        <v>150</v>
      </c>
      <c r="P209" s="2">
        <v>50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165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1375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1375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2500</v>
      </c>
    </row>
    <row r="219" spans="1:16">
      <c r="G219" s="2"/>
      <c r="I219" s="2"/>
      <c r="J219" s="2" t="s">
        <v>251</v>
      </c>
      <c r="K219" s="24">
        <f>SUM(K208:K211)</f>
        <v>1125</v>
      </c>
    </row>
    <row r="220" spans="1:16">
      <c r="G220" s="2"/>
      <c r="I220" s="2"/>
      <c r="J220" s="2" t="s">
        <v>252</v>
      </c>
      <c r="K220" s="24">
        <f>+K214</f>
        <v>1375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theme="5" tint="0.79998168889431442"/>
  </sheetPr>
  <dimension ref="A1:Z291"/>
  <sheetViews>
    <sheetView zoomScale="85" zoomScaleNormal="85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8'!G5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22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8'!G6</f>
        <v>16</v>
      </c>
      <c r="D6" s="13">
        <v>20</v>
      </c>
      <c r="E6" s="84">
        <f t="shared" si="0"/>
        <v>36</v>
      </c>
      <c r="F6" s="13">
        <v>0</v>
      </c>
      <c r="G6" s="84">
        <f t="shared" si="1"/>
        <v>35</v>
      </c>
      <c r="H6" s="15">
        <v>1</v>
      </c>
      <c r="I6" s="85">
        <v>100</v>
      </c>
      <c r="J6" s="95">
        <f t="shared" si="2"/>
        <v>100</v>
      </c>
      <c r="K6" s="18" t="s">
        <v>255</v>
      </c>
      <c r="L6" s="19">
        <v>100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8'!G12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12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8'!G14</f>
        <v>2</v>
      </c>
      <c r="D14" s="13">
        <v>5</v>
      </c>
      <c r="E14" s="14">
        <f t="shared" si="0"/>
        <v>7</v>
      </c>
      <c r="F14" s="13">
        <v>0</v>
      </c>
      <c r="G14" s="14">
        <f t="shared" si="1"/>
        <v>4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8'!G17</f>
        <v>3</v>
      </c>
      <c r="D17" s="13">
        <v>5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8'!G19</f>
        <v>7</v>
      </c>
      <c r="D19" s="13">
        <v>5</v>
      </c>
      <c r="E19" s="14">
        <f t="shared" si="0"/>
        <v>12</v>
      </c>
      <c r="F19" s="13">
        <v>0</v>
      </c>
      <c r="G19" s="12">
        <f t="shared" si="1"/>
        <v>11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8'!G22</f>
        <v>3</v>
      </c>
      <c r="D22" s="13">
        <v>3</v>
      </c>
      <c r="E22" s="12">
        <f t="shared" si="0"/>
        <v>6</v>
      </c>
      <c r="F22" s="13">
        <v>0</v>
      </c>
      <c r="G22" s="12">
        <f t="shared" si="1"/>
        <v>5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8'!G23</f>
        <v>1</v>
      </c>
      <c r="D23" s="13">
        <v>10</v>
      </c>
      <c r="E23" s="12">
        <f t="shared" si="0"/>
        <v>11</v>
      </c>
      <c r="F23" s="13">
        <v>0</v>
      </c>
      <c r="G23" s="12">
        <f t="shared" si="1"/>
        <v>0</v>
      </c>
      <c r="H23" s="15">
        <v>11</v>
      </c>
      <c r="I23" s="85">
        <v>100</v>
      </c>
      <c r="J23" s="89">
        <f t="shared" si="2"/>
        <v>1100</v>
      </c>
      <c r="K23" s="18" t="s">
        <v>16</v>
      </c>
      <c r="L23" s="19">
        <v>0</v>
      </c>
      <c r="M23" s="30">
        <f t="shared" si="3"/>
        <v>1100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8'!G24</f>
        <v>1</v>
      </c>
      <c r="D24" s="13">
        <v>5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8'!G29</f>
        <v>3</v>
      </c>
      <c r="D29" s="13">
        <v>10</v>
      </c>
      <c r="E29" s="12">
        <f t="shared" si="0"/>
        <v>13</v>
      </c>
      <c r="F29" s="13">
        <v>0</v>
      </c>
      <c r="G29" s="12">
        <f t="shared" si="1"/>
        <v>12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8'!G34</f>
        <v>4</v>
      </c>
      <c r="D34" s="13">
        <v>2</v>
      </c>
      <c r="E34" s="14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8'!G35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3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8'!G37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8'!G38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8'!G40</f>
        <v>5</v>
      </c>
      <c r="D40" s="13">
        <v>0</v>
      </c>
      <c r="E40" s="14">
        <f t="shared" si="0"/>
        <v>5</v>
      </c>
      <c r="F40" s="13">
        <v>1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8'!G41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8'!G42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7</v>
      </c>
      <c r="H42" s="15">
        <v>3</v>
      </c>
      <c r="I42" s="16">
        <v>50</v>
      </c>
      <c r="J42" s="89">
        <f t="shared" si="2"/>
        <v>150</v>
      </c>
      <c r="K42" s="18" t="s">
        <v>16</v>
      </c>
      <c r="L42" s="19">
        <v>0</v>
      </c>
      <c r="M42" s="30">
        <f t="shared" si="3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8'!G43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8'!G44</f>
        <v>4</v>
      </c>
      <c r="D44" s="13">
        <v>5</v>
      </c>
      <c r="E44" s="14">
        <f t="shared" si="0"/>
        <v>9</v>
      </c>
      <c r="F44" s="13">
        <v>1</v>
      </c>
      <c r="G44" s="12">
        <f t="shared" si="1"/>
        <v>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8'!G46</f>
        <v>6</v>
      </c>
      <c r="D46" s="13">
        <v>5</v>
      </c>
      <c r="E46" s="14">
        <f t="shared" si="0"/>
        <v>11</v>
      </c>
      <c r="F46" s="13">
        <v>0</v>
      </c>
      <c r="G46" s="14">
        <f t="shared" si="1"/>
        <v>7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3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8'!G47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5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8'!G48</f>
        <v>4</v>
      </c>
      <c r="D48" s="13">
        <v>5</v>
      </c>
      <c r="E48" s="14">
        <f t="shared" si="0"/>
        <v>9</v>
      </c>
      <c r="F48" s="13">
        <v>0</v>
      </c>
      <c r="G48" s="14">
        <f t="shared" si="1"/>
        <v>8</v>
      </c>
      <c r="H48" s="15">
        <v>1</v>
      </c>
      <c r="I48" s="16">
        <v>50</v>
      </c>
      <c r="J48" s="89">
        <f t="shared" si="2"/>
        <v>50</v>
      </c>
      <c r="K48" s="18" t="s">
        <v>255</v>
      </c>
      <c r="L48" s="19">
        <v>50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8'!G49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8'!G50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8'!G52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8'!G55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8'!G57</f>
        <v>0</v>
      </c>
      <c r="D57" s="13">
        <v>3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8'!G59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8'!G60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8'!G66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8'!G67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8'!G73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8'!G74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6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8'!G77</f>
        <v>1</v>
      </c>
      <c r="D77" s="13">
        <v>4</v>
      </c>
      <c r="E77" s="14">
        <f t="shared" si="0"/>
        <v>5</v>
      </c>
      <c r="F77" s="13">
        <v>0</v>
      </c>
      <c r="G77" s="12">
        <f t="shared" si="7"/>
        <v>4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8'!G79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8'!G85</f>
        <v>15</v>
      </c>
      <c r="D85" s="13">
        <v>0</v>
      </c>
      <c r="E85" s="14">
        <f t="shared" si="0"/>
        <v>15</v>
      </c>
      <c r="F85" s="13">
        <v>0</v>
      </c>
      <c r="G85" s="12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8'!G86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8'!G87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8'!G88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8'!G102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8'!G103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3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8'!G163</f>
        <v>4</v>
      </c>
      <c r="D163" s="13">
        <v>0</v>
      </c>
      <c r="E163" s="14">
        <f t="shared" si="17"/>
        <v>4</v>
      </c>
      <c r="F163" s="13">
        <v>0</v>
      </c>
      <c r="G163" s="14">
        <f t="shared" si="14"/>
        <v>3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>
      <c r="A164" s="10">
        <v>160</v>
      </c>
      <c r="B164" s="20" t="s">
        <v>176</v>
      </c>
      <c r="C164" s="12">
        <f>+'วันที่ 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8'!G168</f>
        <v>50</v>
      </c>
      <c r="D168" s="13">
        <v>0</v>
      </c>
      <c r="E168" s="14">
        <f t="shared" si="17"/>
        <v>50</v>
      </c>
      <c r="F168" s="13">
        <v>0</v>
      </c>
      <c r="G168" s="14">
        <f t="shared" si="14"/>
        <v>48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181</v>
      </c>
      <c r="C169" s="12">
        <f>+'วันที่ 8'!G169</f>
        <v>1</v>
      </c>
      <c r="D169" s="13">
        <v>0</v>
      </c>
      <c r="E169" s="14">
        <f t="shared" si="17"/>
        <v>1</v>
      </c>
      <c r="F169" s="13">
        <v>1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8'!G177</f>
        <v>2</v>
      </c>
      <c r="D177" s="13">
        <v>0</v>
      </c>
      <c r="E177" s="14">
        <f t="shared" si="17"/>
        <v>2</v>
      </c>
      <c r="F177" s="13">
        <v>2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8'!G178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4015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855</v>
      </c>
      <c r="L209" s="2">
        <v>125</v>
      </c>
      <c r="M209" s="2">
        <v>65</v>
      </c>
      <c r="N209" s="2">
        <v>500</v>
      </c>
      <c r="O209" s="2">
        <v>100</v>
      </c>
      <c r="P209" s="2">
        <v>65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150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2995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2995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3865</v>
      </c>
    </row>
    <row r="219" spans="1:16">
      <c r="G219" s="2"/>
      <c r="I219" s="2"/>
      <c r="J219" s="2" t="s">
        <v>251</v>
      </c>
      <c r="K219" s="24">
        <f>SUM(K208:K211)</f>
        <v>870</v>
      </c>
    </row>
    <row r="220" spans="1:16">
      <c r="G220" s="2"/>
      <c r="I220" s="2"/>
      <c r="J220" s="2" t="s">
        <v>252</v>
      </c>
      <c r="K220" s="24">
        <f>+K214</f>
        <v>2995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theme="5" tint="0.79998168889431442"/>
  </sheetPr>
  <dimension ref="A1:Z291"/>
  <sheetViews>
    <sheetView zoomScale="85" zoomScaleNormal="85" workbookViewId="0">
      <pane xSplit="5" ySplit="4" topLeftCell="F194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9'!G5</f>
        <v>22</v>
      </c>
      <c r="D5" s="13">
        <v>0</v>
      </c>
      <c r="E5" s="14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9'!G6</f>
        <v>35</v>
      </c>
      <c r="D6" s="13">
        <v>0</v>
      </c>
      <c r="E6" s="84">
        <f t="shared" si="0"/>
        <v>35</v>
      </c>
      <c r="F6" s="13">
        <v>0</v>
      </c>
      <c r="G6" s="84">
        <f t="shared" si="1"/>
        <v>30</v>
      </c>
      <c r="H6" s="15">
        <v>5</v>
      </c>
      <c r="I6" s="85">
        <v>100</v>
      </c>
      <c r="J6" s="95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9'!G12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9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9'!G14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0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9'!G17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5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9'!G19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6</v>
      </c>
      <c r="H19" s="15">
        <v>5</v>
      </c>
      <c r="I19" s="16">
        <v>50</v>
      </c>
      <c r="J19" s="89">
        <f t="shared" si="2"/>
        <v>250</v>
      </c>
      <c r="K19" s="18" t="s">
        <v>16</v>
      </c>
      <c r="L19" s="19">
        <v>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9'!G23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9'!G24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9'!G29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11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9'!G37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5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9'!G38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9'!G39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9'!G40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9'!G41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10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9'!G43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9'!G44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9'!G46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9'!G47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9'!G48</f>
        <v>8</v>
      </c>
      <c r="D48" s="13">
        <v>0</v>
      </c>
      <c r="E48" s="14">
        <f t="shared" si="0"/>
        <v>8</v>
      </c>
      <c r="F48" s="13">
        <v>0</v>
      </c>
      <c r="G48" s="14">
        <f t="shared" si="1"/>
        <v>8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9'!G49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9'!G50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9'!G51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9'!G52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9'!G55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9'!G57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9'!G58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9'!G59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9'!G60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9'!G66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9'!G67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9'!G73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9'!G74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9'!G77</f>
        <v>4</v>
      </c>
      <c r="D77" s="13">
        <v>0</v>
      </c>
      <c r="E77" s="14">
        <f t="shared" si="0"/>
        <v>4</v>
      </c>
      <c r="F77" s="13">
        <v>0</v>
      </c>
      <c r="G77" s="12">
        <f t="shared" si="7"/>
        <v>3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9'!G79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0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9'!G85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14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9'!G86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9'!G87</f>
        <v>12</v>
      </c>
      <c r="D87" s="13">
        <v>0</v>
      </c>
      <c r="E87" s="14">
        <f t="shared" si="0"/>
        <v>12</v>
      </c>
      <c r="F87" s="13">
        <v>0</v>
      </c>
      <c r="G87" s="12">
        <f t="shared" si="7"/>
        <v>11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9'!G88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8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9'!G101</f>
        <v>0</v>
      </c>
      <c r="D101" s="13">
        <v>20</v>
      </c>
      <c r="E101" s="14">
        <f t="shared" si="13"/>
        <v>20</v>
      </c>
      <c r="F101" s="13">
        <v>0</v>
      </c>
      <c r="G101" s="14">
        <f t="shared" si="7"/>
        <v>20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9'!G102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9'!G103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9'!G163</f>
        <v>3</v>
      </c>
      <c r="D163" s="13">
        <v>0</v>
      </c>
      <c r="E163" s="14">
        <f t="shared" si="17"/>
        <v>3</v>
      </c>
      <c r="F163" s="13">
        <v>0</v>
      </c>
      <c r="G163" s="14">
        <f t="shared" si="14"/>
        <v>2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>
      <c r="A164" s="10">
        <v>160</v>
      </c>
      <c r="B164" s="20" t="s">
        <v>176</v>
      </c>
      <c r="C164" s="12">
        <f>+'วันที่ 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9'!G168</f>
        <v>48</v>
      </c>
      <c r="D168" s="13">
        <v>0</v>
      </c>
      <c r="E168" s="14">
        <f t="shared" si="17"/>
        <v>48</v>
      </c>
      <c r="F168" s="13">
        <v>0</v>
      </c>
      <c r="G168" s="14">
        <f t="shared" si="14"/>
        <v>47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+'วันที่ 9'!G169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9'!G178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9'!G197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9'!G199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9'!G203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9'!G204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3355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>
      <c r="A209" s="1"/>
      <c r="C209" s="32"/>
      <c r="E209" s="32"/>
      <c r="G209" s="32"/>
      <c r="I209" s="35" t="s">
        <v>209</v>
      </c>
      <c r="J209" s="36"/>
      <c r="K209" s="37">
        <f>SUM(L209:BO209)</f>
        <v>815</v>
      </c>
      <c r="L209" s="2">
        <v>100</v>
      </c>
      <c r="M209" s="2">
        <v>65</v>
      </c>
      <c r="N209" s="2">
        <v>400</v>
      </c>
      <c r="O209" s="2">
        <v>135</v>
      </c>
      <c r="P209" s="2">
        <v>50</v>
      </c>
      <c r="Q209" s="2">
        <v>65</v>
      </c>
    </row>
    <row r="210" spans="1:17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7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7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2525</v>
      </c>
    </row>
    <row r="214" spans="1:17" ht="25.5">
      <c r="A214" s="1"/>
      <c r="C214" s="32"/>
      <c r="E214" s="32"/>
      <c r="G214" s="32"/>
      <c r="I214" s="132" t="s">
        <v>214</v>
      </c>
      <c r="J214" s="133"/>
      <c r="K214" s="38">
        <v>2525</v>
      </c>
    </row>
    <row r="215" spans="1:17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>
      <c r="G216" s="2"/>
      <c r="I216" s="132" t="s">
        <v>216</v>
      </c>
      <c r="J216" s="133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2" t="s">
        <v>250</v>
      </c>
      <c r="K218" s="24">
        <f>+K207-K212+K215</f>
        <v>3355</v>
      </c>
    </row>
    <row r="219" spans="1:17">
      <c r="G219" s="2"/>
      <c r="I219" s="2"/>
      <c r="J219" s="2" t="s">
        <v>251</v>
      </c>
      <c r="K219" s="24">
        <f>SUM(K208:K211)</f>
        <v>830</v>
      </c>
    </row>
    <row r="220" spans="1:17">
      <c r="G220" s="2"/>
      <c r="I220" s="2"/>
      <c r="J220" s="2" t="s">
        <v>252</v>
      </c>
      <c r="K220" s="24">
        <f>+K214</f>
        <v>2525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theme="5" tint="0.79998168889431442"/>
  </sheetPr>
  <dimension ref="A1:AB291"/>
  <sheetViews>
    <sheetView zoomScale="85" zoomScaleNormal="85" workbookViewId="0">
      <pane xSplit="5" ySplit="4" topLeftCell="F204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10'!G5</f>
        <v>22</v>
      </c>
      <c r="D5" s="13">
        <v>0</v>
      </c>
      <c r="E5" s="14">
        <f t="shared" ref="E5:E94" si="0">C5+D5</f>
        <v>22</v>
      </c>
      <c r="F5" s="13">
        <v>0</v>
      </c>
      <c r="G5" s="14">
        <f t="shared" ref="G5:G68" si="1">E5-F5-H5</f>
        <v>13</v>
      </c>
      <c r="H5" s="15">
        <v>9</v>
      </c>
      <c r="I5" s="16">
        <v>50</v>
      </c>
      <c r="J5" s="89">
        <f t="shared" ref="J5:J69" si="2">+I5*H5</f>
        <v>450</v>
      </c>
      <c r="K5" s="18" t="s">
        <v>16</v>
      </c>
      <c r="L5" s="19">
        <v>0</v>
      </c>
      <c r="M5" s="30">
        <f t="shared" ref="M5:M69" si="3">+J5-L5</f>
        <v>450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10'!G6</f>
        <v>30</v>
      </c>
      <c r="D6" s="13">
        <v>0</v>
      </c>
      <c r="E6" s="84">
        <f t="shared" si="0"/>
        <v>30</v>
      </c>
      <c r="F6" s="13">
        <v>0</v>
      </c>
      <c r="G6" s="84">
        <f t="shared" si="1"/>
        <v>24</v>
      </c>
      <c r="H6" s="15">
        <v>6</v>
      </c>
      <c r="I6" s="85">
        <v>100</v>
      </c>
      <c r="J6" s="95">
        <f t="shared" si="2"/>
        <v>600</v>
      </c>
      <c r="K6" s="18" t="s">
        <v>16</v>
      </c>
      <c r="L6" s="19">
        <v>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10'!G12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3</v>
      </c>
      <c r="H12" s="15">
        <v>6</v>
      </c>
      <c r="I12" s="21">
        <v>50</v>
      </c>
      <c r="J12" s="89">
        <f t="shared" si="2"/>
        <v>300</v>
      </c>
      <c r="K12" s="18" t="s">
        <v>16</v>
      </c>
      <c r="L12" s="19">
        <v>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10'!G14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10'!G17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0</v>
      </c>
      <c r="H17" s="15">
        <v>5</v>
      </c>
      <c r="I17" s="16">
        <v>50</v>
      </c>
      <c r="J17" s="89">
        <f t="shared" si="2"/>
        <v>250</v>
      </c>
      <c r="K17" s="18" t="s">
        <v>16</v>
      </c>
      <c r="L17" s="19">
        <v>0</v>
      </c>
      <c r="M17" s="30">
        <f t="shared" si="3"/>
        <v>250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10'!G19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0</v>
      </c>
      <c r="H19" s="15">
        <v>6</v>
      </c>
      <c r="I19" s="16">
        <v>50</v>
      </c>
      <c r="J19" s="89">
        <f t="shared" si="2"/>
        <v>300</v>
      </c>
      <c r="K19" s="18" t="s">
        <v>16</v>
      </c>
      <c r="L19" s="19">
        <v>0</v>
      </c>
      <c r="M19" s="30">
        <f t="shared" si="3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10'!G22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10'!G23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1</v>
      </c>
      <c r="H23" s="15">
        <v>7</v>
      </c>
      <c r="I23" s="85">
        <v>100</v>
      </c>
      <c r="J23" s="89">
        <f t="shared" si="2"/>
        <v>700</v>
      </c>
      <c r="K23" s="18" t="s">
        <v>16</v>
      </c>
      <c r="L23" s="19">
        <v>0</v>
      </c>
      <c r="M23" s="30">
        <f t="shared" si="3"/>
        <v>700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7</v>
      </c>
      <c r="H29" s="15">
        <v>4</v>
      </c>
      <c r="I29" s="16">
        <v>100</v>
      </c>
      <c r="J29" s="89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10'!G34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89">
        <f t="shared" si="2"/>
        <v>520</v>
      </c>
      <c r="K34" s="18" t="s">
        <v>16</v>
      </c>
      <c r="L34" s="19">
        <v>0</v>
      </c>
      <c r="M34" s="30">
        <f t="shared" si="3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10'!G37</f>
        <v>5</v>
      </c>
      <c r="D37" s="13">
        <v>0</v>
      </c>
      <c r="E37" s="14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10'!G38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10'!G39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0</v>
      </c>
      <c r="H39" s="15">
        <v>4</v>
      </c>
      <c r="I39" s="16">
        <v>50</v>
      </c>
      <c r="J39" s="89">
        <f t="shared" si="2"/>
        <v>200</v>
      </c>
      <c r="K39" s="18" t="s">
        <v>16</v>
      </c>
      <c r="L39" s="19">
        <v>0</v>
      </c>
      <c r="M39" s="30">
        <f t="shared" si="3"/>
        <v>200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10'!G40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0</v>
      </c>
      <c r="H40" s="15">
        <v>4</v>
      </c>
      <c r="I40" s="16">
        <v>50</v>
      </c>
      <c r="J40" s="89">
        <f t="shared" si="2"/>
        <v>200</v>
      </c>
      <c r="K40" s="18" t="s">
        <v>16</v>
      </c>
      <c r="L40" s="19">
        <v>0</v>
      </c>
      <c r="M40" s="30">
        <f t="shared" si="3"/>
        <v>200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10'!G41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3</v>
      </c>
      <c r="H41" s="15">
        <v>7</v>
      </c>
      <c r="I41" s="16">
        <v>50</v>
      </c>
      <c r="J41" s="89">
        <f t="shared" si="2"/>
        <v>350</v>
      </c>
      <c r="K41" s="18" t="s">
        <v>262</v>
      </c>
      <c r="L41" s="19">
        <v>50</v>
      </c>
      <c r="M41" s="30">
        <f t="shared" si="3"/>
        <v>300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10'!G42</f>
        <v>6</v>
      </c>
      <c r="D42" s="13">
        <v>0</v>
      </c>
      <c r="E42" s="14">
        <f t="shared" si="0"/>
        <v>6</v>
      </c>
      <c r="F42" s="13">
        <v>1</v>
      </c>
      <c r="G42" s="12">
        <f t="shared" si="1"/>
        <v>1</v>
      </c>
      <c r="H42" s="15">
        <v>4</v>
      </c>
      <c r="I42" s="16">
        <v>50</v>
      </c>
      <c r="J42" s="89">
        <f t="shared" si="2"/>
        <v>200</v>
      </c>
      <c r="K42" s="18" t="s">
        <v>16</v>
      </c>
      <c r="L42" s="19">
        <v>0</v>
      </c>
      <c r="M42" s="30">
        <f t="shared" si="3"/>
        <v>200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10'!G43</f>
        <v>4</v>
      </c>
      <c r="D43" s="13">
        <v>0</v>
      </c>
      <c r="E43" s="14">
        <f t="shared" si="0"/>
        <v>4</v>
      </c>
      <c r="F43" s="13">
        <v>0</v>
      </c>
      <c r="G43" s="14">
        <f t="shared" si="1"/>
        <v>1</v>
      </c>
      <c r="H43" s="15">
        <v>3</v>
      </c>
      <c r="I43" s="16">
        <v>50</v>
      </c>
      <c r="J43" s="89">
        <f t="shared" si="2"/>
        <v>150</v>
      </c>
      <c r="K43" s="18" t="s">
        <v>262</v>
      </c>
      <c r="L43" s="19">
        <v>50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10'!G44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5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10'!G46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3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3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10'!G47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0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3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10'!G48</f>
        <v>8</v>
      </c>
      <c r="D48" s="13">
        <v>0</v>
      </c>
      <c r="E48" s="14">
        <f t="shared" si="0"/>
        <v>8</v>
      </c>
      <c r="F48" s="13">
        <v>0</v>
      </c>
      <c r="G48" s="14">
        <f t="shared" si="1"/>
        <v>7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10'!G49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10'!G50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0</v>
      </c>
      <c r="H50" s="15">
        <v>3</v>
      </c>
      <c r="I50" s="16">
        <v>120</v>
      </c>
      <c r="J50" s="89">
        <f t="shared" si="2"/>
        <v>360</v>
      </c>
      <c r="K50" s="18" t="s">
        <v>260</v>
      </c>
      <c r="L50" s="19">
        <v>105</v>
      </c>
      <c r="M50" s="30">
        <f t="shared" si="3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10'!G51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10'!G52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10'!G55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-3</v>
      </c>
      <c r="H55" s="15">
        <v>3</v>
      </c>
      <c r="I55" s="22">
        <v>120</v>
      </c>
      <c r="J55" s="89">
        <f t="shared" si="2"/>
        <v>360</v>
      </c>
      <c r="K55" s="18" t="s">
        <v>260</v>
      </c>
      <c r="L55" s="19">
        <v>105</v>
      </c>
      <c r="M55" s="30">
        <f t="shared" si="3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10'!G57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1</v>
      </c>
      <c r="H57" s="15">
        <v>2</v>
      </c>
      <c r="I57" s="22">
        <v>120</v>
      </c>
      <c r="J57" s="89">
        <f t="shared" si="2"/>
        <v>240</v>
      </c>
      <c r="K57" s="18" t="s">
        <v>260</v>
      </c>
      <c r="L57" s="19">
        <v>70</v>
      </c>
      <c r="M57" s="30">
        <f t="shared" si="3"/>
        <v>170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10'!G58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10'!G59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0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10'!G60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10'!G66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10'!G67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0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10'!G73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2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10'!G74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0</v>
      </c>
      <c r="H74" s="15">
        <v>5</v>
      </c>
      <c r="I74" s="23">
        <v>120</v>
      </c>
      <c r="J74" s="89">
        <f t="shared" si="10"/>
        <v>600</v>
      </c>
      <c r="K74" s="18" t="s">
        <v>16</v>
      </c>
      <c r="L74" s="19">
        <v>0</v>
      </c>
      <c r="M74" s="30">
        <f t="shared" si="11"/>
        <v>600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10'!G79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10'!G85</f>
        <v>14</v>
      </c>
      <c r="D85" s="13">
        <v>0</v>
      </c>
      <c r="E85" s="14">
        <f t="shared" si="0"/>
        <v>14</v>
      </c>
      <c r="F85" s="13">
        <v>0</v>
      </c>
      <c r="G85" s="12">
        <f t="shared" si="7"/>
        <v>11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10'!G86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12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10'!G87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6</v>
      </c>
      <c r="H87" s="15">
        <v>5</v>
      </c>
      <c r="I87" s="21">
        <v>60</v>
      </c>
      <c r="J87" s="89">
        <f t="shared" si="10"/>
        <v>300</v>
      </c>
      <c r="K87" s="18" t="s">
        <v>16</v>
      </c>
      <c r="L87" s="19">
        <v>0</v>
      </c>
      <c r="M87" s="30">
        <f t="shared" si="11"/>
        <v>300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10'!G88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5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10'!G101</f>
        <v>20</v>
      </c>
      <c r="D101" s="13">
        <v>0</v>
      </c>
      <c r="E101" s="14">
        <f t="shared" si="13"/>
        <v>20</v>
      </c>
      <c r="F101" s="13">
        <v>0</v>
      </c>
      <c r="G101" s="12">
        <f t="shared" si="7"/>
        <v>17</v>
      </c>
      <c r="H101" s="15">
        <v>3</v>
      </c>
      <c r="I101" s="21">
        <v>55</v>
      </c>
      <c r="J101" s="89">
        <f t="shared" si="10"/>
        <v>165</v>
      </c>
      <c r="K101" s="18" t="s">
        <v>16</v>
      </c>
      <c r="L101" s="19">
        <v>0</v>
      </c>
      <c r="M101" s="30">
        <f t="shared" si="11"/>
        <v>165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10'!G102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7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10'!G103</f>
        <v>3</v>
      </c>
      <c r="D103" s="13">
        <v>0</v>
      </c>
      <c r="E103" s="14">
        <f t="shared" si="13"/>
        <v>3</v>
      </c>
      <c r="F103" s="13">
        <v>0</v>
      </c>
      <c r="G103" s="12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10'!G163</f>
        <v>2</v>
      </c>
      <c r="D163" s="13">
        <v>0</v>
      </c>
      <c r="E163" s="14">
        <f t="shared" si="17"/>
        <v>2</v>
      </c>
      <c r="F163" s="13">
        <v>0</v>
      </c>
      <c r="G163" s="14">
        <f t="shared" si="14"/>
        <v>2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10'!G168</f>
        <v>47</v>
      </c>
      <c r="D168" s="13">
        <v>0</v>
      </c>
      <c r="E168" s="14">
        <f t="shared" si="17"/>
        <v>47</v>
      </c>
      <c r="F168" s="13">
        <v>0</v>
      </c>
      <c r="G168" s="14">
        <f t="shared" si="14"/>
        <v>46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2">
        <f>+'วันที่ 10'!G169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10'!G178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-2</v>
      </c>
      <c r="H178" s="15">
        <v>2</v>
      </c>
      <c r="I178" s="21">
        <v>120</v>
      </c>
      <c r="J178" s="89">
        <f t="shared" si="15"/>
        <v>240</v>
      </c>
      <c r="K178" s="18" t="s">
        <v>16</v>
      </c>
      <c r="L178" s="19">
        <v>0</v>
      </c>
      <c r="M178" s="30">
        <f t="shared" si="16"/>
        <v>240</v>
      </c>
    </row>
    <row r="179" spans="1:13" ht="25.5">
      <c r="A179" s="10">
        <v>175</v>
      </c>
      <c r="B179" s="20" t="s">
        <v>191</v>
      </c>
      <c r="C179" s="12">
        <f>+'วันที่ 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10'!G197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10'!G199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10'!G203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10'!G204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9535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8" ht="25.5">
      <c r="A209" s="1"/>
      <c r="C209" s="32"/>
      <c r="E209" s="32"/>
      <c r="G209" s="32"/>
      <c r="I209" s="35" t="s">
        <v>209</v>
      </c>
      <c r="J209" s="36"/>
      <c r="K209" s="37">
        <f>SUM(L209:BO209)</f>
        <v>2670</v>
      </c>
      <c r="L209" s="2">
        <v>200</v>
      </c>
      <c r="M209" s="2">
        <v>60</v>
      </c>
      <c r="N209" s="2">
        <v>160</v>
      </c>
      <c r="O209" s="2">
        <v>150</v>
      </c>
      <c r="P209" s="2">
        <v>150</v>
      </c>
      <c r="Q209" s="2">
        <v>100</v>
      </c>
      <c r="R209" s="2">
        <v>150</v>
      </c>
      <c r="S209" s="2">
        <v>150</v>
      </c>
      <c r="T209" s="2">
        <v>500</v>
      </c>
      <c r="U209" s="2">
        <v>50</v>
      </c>
      <c r="V209" s="2">
        <v>50</v>
      </c>
      <c r="W209" s="2">
        <v>100</v>
      </c>
      <c r="X209" s="2">
        <v>100</v>
      </c>
      <c r="Y209" s="2">
        <v>100</v>
      </c>
      <c r="Z209" s="2">
        <v>210</v>
      </c>
      <c r="AA209" s="2">
        <v>100</v>
      </c>
      <c r="AB209" s="2">
        <v>340</v>
      </c>
    </row>
    <row r="210" spans="1:28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8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28" ht="25.5">
      <c r="A212" s="1"/>
      <c r="C212" s="32"/>
      <c r="E212" s="32"/>
      <c r="G212" s="32"/>
      <c r="I212" s="132" t="s">
        <v>212</v>
      </c>
      <c r="J212" s="133"/>
      <c r="K212" s="38">
        <f>SUM(L5:L205)</f>
        <v>380</v>
      </c>
    </row>
    <row r="213" spans="1:28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6470</v>
      </c>
    </row>
    <row r="214" spans="1:28" ht="25.5">
      <c r="A214" s="1"/>
      <c r="C214" s="32"/>
      <c r="E214" s="32"/>
      <c r="G214" s="32"/>
      <c r="I214" s="132" t="s">
        <v>214</v>
      </c>
      <c r="J214" s="133"/>
      <c r="K214" s="38">
        <v>6470</v>
      </c>
    </row>
    <row r="215" spans="1:28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8" ht="25.5">
      <c r="G216" s="2"/>
      <c r="I216" s="132" t="s">
        <v>216</v>
      </c>
      <c r="J216" s="133"/>
      <c r="K216" s="34">
        <f>+K214-K213</f>
        <v>0</v>
      </c>
    </row>
    <row r="217" spans="1:28">
      <c r="G217" s="2"/>
      <c r="I217" s="2"/>
    </row>
    <row r="218" spans="1:28">
      <c r="G218" s="2"/>
      <c r="I218" s="2"/>
      <c r="J218" s="92" t="s">
        <v>250</v>
      </c>
      <c r="K218" s="24">
        <f>+K207-K212+K215</f>
        <v>9155</v>
      </c>
    </row>
    <row r="219" spans="1:28">
      <c r="G219" s="2"/>
      <c r="I219" s="2"/>
      <c r="J219" s="2" t="s">
        <v>251</v>
      </c>
      <c r="K219" s="24">
        <f>SUM(K208:K211)</f>
        <v>2685</v>
      </c>
    </row>
    <row r="220" spans="1:28">
      <c r="G220" s="2"/>
      <c r="I220" s="2"/>
      <c r="J220" s="2" t="s">
        <v>252</v>
      </c>
      <c r="K220" s="24">
        <f>+K214</f>
        <v>6470</v>
      </c>
    </row>
    <row r="221" spans="1:28">
      <c r="G221" s="2"/>
      <c r="I221" s="2"/>
    </row>
    <row r="222" spans="1:28">
      <c r="G222" s="2"/>
      <c r="I222" s="2"/>
    </row>
    <row r="223" spans="1:28">
      <c r="G223" s="2"/>
      <c r="I223" s="2"/>
    </row>
    <row r="224" spans="1:2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theme="5" tint="0.79998168889431442"/>
  </sheetPr>
  <dimension ref="A1:Z291"/>
  <sheetViews>
    <sheetView zoomScale="90" zoomScaleNormal="90" workbookViewId="0">
      <pane xSplit="5" ySplit="4" topLeftCell="F160" activePane="bottomRight" state="frozen"/>
      <selection activeCell="G6" sqref="G6"/>
      <selection pane="topRight" activeCell="G6" sqref="G6"/>
      <selection pane="bottomLeft" activeCell="G6" sqref="G6"/>
      <selection pane="bottomRight" activeCell="B195" sqref="B19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0.42578125" style="2" customWidth="1"/>
    <col min="12" max="12" width="10.42578125" style="2" bestFit="1" customWidth="1"/>
    <col min="13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11'!G5</f>
        <v>13</v>
      </c>
      <c r="D5" s="13">
        <v>0</v>
      </c>
      <c r="E5" s="14">
        <f t="shared" ref="E5:E94" si="0">C5+D5</f>
        <v>13</v>
      </c>
      <c r="F5" s="13">
        <v>0</v>
      </c>
      <c r="G5" s="14">
        <f t="shared" ref="G5:G68" si="1">E5-F5-H5</f>
        <v>8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11'!G6</f>
        <v>24</v>
      </c>
      <c r="D6" s="13">
        <v>0</v>
      </c>
      <c r="E6" s="84">
        <f t="shared" si="0"/>
        <v>24</v>
      </c>
      <c r="F6" s="13">
        <v>0</v>
      </c>
      <c r="G6" s="84">
        <f t="shared" si="1"/>
        <v>20</v>
      </c>
      <c r="H6" s="15">
        <v>4</v>
      </c>
      <c r="I6" s="85">
        <v>100</v>
      </c>
      <c r="J6" s="95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11'!G12</f>
        <v>3</v>
      </c>
      <c r="D12" s="13">
        <v>0</v>
      </c>
      <c r="E12" s="14">
        <f t="shared" si="0"/>
        <v>3</v>
      </c>
      <c r="F12" s="13">
        <v>0</v>
      </c>
      <c r="G12" s="12">
        <f t="shared" si="1"/>
        <v>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11'!G14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0</v>
      </c>
      <c r="H14" s="15">
        <v>5</v>
      </c>
      <c r="I14" s="21">
        <v>65</v>
      </c>
      <c r="J14" s="89">
        <f t="shared" si="2"/>
        <v>325</v>
      </c>
      <c r="K14" s="18" t="s">
        <v>16</v>
      </c>
      <c r="L14" s="19">
        <v>0</v>
      </c>
      <c r="M14" s="30">
        <f t="shared" si="3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11'!G17</f>
        <v>0</v>
      </c>
      <c r="D17" s="13">
        <v>5</v>
      </c>
      <c r="E17" s="14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11'!G19</f>
        <v>0</v>
      </c>
      <c r="D19" s="13">
        <v>5</v>
      </c>
      <c r="E19" s="14">
        <f t="shared" si="0"/>
        <v>5</v>
      </c>
      <c r="F19" s="13">
        <v>0</v>
      </c>
      <c r="G19" s="12">
        <f t="shared" si="1"/>
        <v>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11'!G22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11'!G23</f>
        <v>1</v>
      </c>
      <c r="D23" s="13">
        <v>10</v>
      </c>
      <c r="E23" s="12">
        <f t="shared" si="0"/>
        <v>11</v>
      </c>
      <c r="F23" s="13">
        <v>0</v>
      </c>
      <c r="G23" s="12">
        <f t="shared" si="1"/>
        <v>9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11'!G24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7</v>
      </c>
      <c r="H24" s="15">
        <v>4</v>
      </c>
      <c r="I24" s="22">
        <v>100</v>
      </c>
      <c r="J24" s="89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11'!G34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11'!G35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11'!G37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11'!G38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11'!G39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11'!G40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11'!G41</f>
        <v>3</v>
      </c>
      <c r="D41" s="13">
        <v>0</v>
      </c>
      <c r="E41" s="14">
        <f t="shared" si="0"/>
        <v>3</v>
      </c>
      <c r="F41" s="13">
        <v>0</v>
      </c>
      <c r="G41" s="14">
        <f t="shared" si="1"/>
        <v>1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11'!G42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0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11'!G43</f>
        <v>1</v>
      </c>
      <c r="D43" s="13">
        <v>10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11'!G44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11'!G46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11'!G47</f>
        <v>0</v>
      </c>
      <c r="D47" s="13">
        <v>5</v>
      </c>
      <c r="E47" s="14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11'!G48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11'!G49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11'!G50</f>
        <v>0</v>
      </c>
      <c r="D50" s="13">
        <v>3</v>
      </c>
      <c r="E50" s="14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260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11'!G52</f>
        <v>0</v>
      </c>
      <c r="D52" s="13">
        <v>3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11'!G55</f>
        <v>-3</v>
      </c>
      <c r="D55" s="13">
        <v>0</v>
      </c>
      <c r="E55" s="14">
        <f t="shared" si="0"/>
        <v>-3</v>
      </c>
      <c r="F55" s="13">
        <v>0</v>
      </c>
      <c r="G55" s="14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11'!G57</f>
        <v>1</v>
      </c>
      <c r="D57" s="13">
        <v>0</v>
      </c>
      <c r="E57" s="14">
        <f t="shared" si="0"/>
        <v>1</v>
      </c>
      <c r="F57" s="13">
        <v>0</v>
      </c>
      <c r="G57" s="14">
        <f t="shared" si="1"/>
        <v>0</v>
      </c>
      <c r="H57" s="15">
        <v>1</v>
      </c>
      <c r="I57" s="22">
        <v>120</v>
      </c>
      <c r="J57" s="89">
        <f t="shared" si="2"/>
        <v>120</v>
      </c>
      <c r="K57" s="18" t="s">
        <v>260</v>
      </c>
      <c r="L57" s="19">
        <v>35</v>
      </c>
      <c r="M57" s="30">
        <f t="shared" si="3"/>
        <v>85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11'!G59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11'!G60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11'!G66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11'!G67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11'!G73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1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11'!G74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11'!G79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1</v>
      </c>
      <c r="H79" s="15">
        <v>4</v>
      </c>
      <c r="I79" s="23">
        <v>50</v>
      </c>
      <c r="J79" s="89">
        <f t="shared" si="10"/>
        <v>200</v>
      </c>
      <c r="K79" s="18" t="s">
        <v>262</v>
      </c>
      <c r="L79" s="19">
        <v>50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11'!G85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11'!G86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11'!G87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4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11'!G88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11'!G101</f>
        <v>17</v>
      </c>
      <c r="D101" s="13">
        <v>0</v>
      </c>
      <c r="E101" s="14">
        <f t="shared" si="13"/>
        <v>17</v>
      </c>
      <c r="F101" s="13">
        <v>0</v>
      </c>
      <c r="G101" s="14">
        <f t="shared" si="7"/>
        <v>14</v>
      </c>
      <c r="H101" s="15">
        <v>3</v>
      </c>
      <c r="I101" s="21">
        <v>55</v>
      </c>
      <c r="J101" s="89">
        <f t="shared" si="10"/>
        <v>165</v>
      </c>
      <c r="K101" s="18" t="s">
        <v>16</v>
      </c>
      <c r="L101" s="19">
        <v>0</v>
      </c>
      <c r="M101" s="30">
        <f t="shared" si="11"/>
        <v>165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11'!G102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4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11'!G103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11'!G163</f>
        <v>2</v>
      </c>
      <c r="D163" s="13">
        <v>0</v>
      </c>
      <c r="E163" s="14">
        <f t="shared" si="17"/>
        <v>2</v>
      </c>
      <c r="F163" s="13">
        <v>0</v>
      </c>
      <c r="G163" s="14">
        <f t="shared" si="14"/>
        <v>1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>
      <c r="A164" s="10">
        <v>160</v>
      </c>
      <c r="B164" s="20" t="s">
        <v>176</v>
      </c>
      <c r="C164" s="12">
        <f>+'วันที่ 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11'!G168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11'!G178</f>
        <v>-2</v>
      </c>
      <c r="D178" s="13">
        <v>0</v>
      </c>
      <c r="E178" s="14">
        <f t="shared" si="17"/>
        <v>-2</v>
      </c>
      <c r="F178" s="13">
        <v>0</v>
      </c>
      <c r="G178" s="14">
        <f t="shared" si="14"/>
        <v>-2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263</v>
      </c>
      <c r="C195" s="12">
        <f>+'วันที่ 11'!G195</f>
        <v>0</v>
      </c>
      <c r="D195" s="13">
        <v>10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3615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>
      <c r="A209" s="1"/>
      <c r="C209" s="32"/>
      <c r="E209" s="32"/>
      <c r="G209" s="32"/>
      <c r="I209" s="35" t="s">
        <v>209</v>
      </c>
      <c r="J209" s="36"/>
      <c r="K209" s="37">
        <f>SUM(L209:BO209)</f>
        <v>1215</v>
      </c>
      <c r="L209" s="2">
        <v>170</v>
      </c>
      <c r="M209" s="2">
        <v>220</v>
      </c>
      <c r="N209" s="2">
        <v>65</v>
      </c>
      <c r="O209" s="2">
        <v>50</v>
      </c>
      <c r="P209" s="2">
        <v>200</v>
      </c>
      <c r="Q209" s="2">
        <v>510</v>
      </c>
    </row>
    <row r="210" spans="1:17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7" ht="25.5">
      <c r="A212" s="1"/>
      <c r="C212" s="32"/>
      <c r="E212" s="32"/>
      <c r="G212" s="32"/>
      <c r="I212" s="132" t="s">
        <v>212</v>
      </c>
      <c r="J212" s="133"/>
      <c r="K212" s="38">
        <f>SUM(L5:L205)</f>
        <v>120</v>
      </c>
    </row>
    <row r="213" spans="1:17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2265</v>
      </c>
    </row>
    <row r="214" spans="1:17" ht="25.5">
      <c r="A214" s="1"/>
      <c r="C214" s="32"/>
      <c r="E214" s="32"/>
      <c r="G214" s="32"/>
      <c r="I214" s="132" t="s">
        <v>214</v>
      </c>
      <c r="J214" s="133"/>
      <c r="K214" s="38">
        <v>2265</v>
      </c>
    </row>
    <row r="215" spans="1:17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>
      <c r="G216" s="2"/>
      <c r="I216" s="132" t="s">
        <v>216</v>
      </c>
      <c r="J216" s="133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2" t="s">
        <v>250</v>
      </c>
      <c r="K218" s="24">
        <f>+K207-K212+K215</f>
        <v>3495</v>
      </c>
      <c r="L218" s="24"/>
    </row>
    <row r="219" spans="1:17">
      <c r="G219" s="2"/>
      <c r="I219" s="2"/>
      <c r="J219" s="2" t="s">
        <v>251</v>
      </c>
      <c r="K219" s="24">
        <f>SUM(K208:K211)</f>
        <v>1230</v>
      </c>
    </row>
    <row r="220" spans="1:17">
      <c r="G220" s="2"/>
      <c r="I220" s="2"/>
      <c r="J220" s="2" t="s">
        <v>252</v>
      </c>
      <c r="K220" s="24">
        <f>+K214</f>
        <v>2265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theme="5" tint="0.79998168889431442"/>
  </sheetPr>
  <dimension ref="A1:Z291"/>
  <sheetViews>
    <sheetView zoomScale="85" zoomScaleNormal="85" workbookViewId="0">
      <pane xSplit="5" ySplit="4" topLeftCell="F183" activePane="bottomRight" state="frozen"/>
      <selection activeCell="G6" sqref="G6"/>
      <selection pane="topRight" activeCell="G6" sqref="G6"/>
      <selection pane="bottomLeft" activeCell="G6" sqref="G6"/>
      <selection pane="bottomRight" activeCell="B195" sqref="B19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12'!G5</f>
        <v>8</v>
      </c>
      <c r="D5" s="13">
        <v>0</v>
      </c>
      <c r="E5" s="14">
        <f t="shared" ref="E5:E94" si="0">C5+D5</f>
        <v>8</v>
      </c>
      <c r="F5" s="13">
        <v>0</v>
      </c>
      <c r="G5" s="12">
        <f t="shared" ref="G5:G68" si="1">E5-F5-H5</f>
        <v>7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12'!G6</f>
        <v>20</v>
      </c>
      <c r="D6" s="13">
        <v>0</v>
      </c>
      <c r="E6" s="84">
        <f t="shared" si="0"/>
        <v>20</v>
      </c>
      <c r="F6" s="13">
        <v>0</v>
      </c>
      <c r="G6" s="84">
        <f t="shared" si="1"/>
        <v>19</v>
      </c>
      <c r="H6" s="15">
        <v>1</v>
      </c>
      <c r="I6" s="85">
        <v>100</v>
      </c>
      <c r="J6" s="95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12'!G12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12'!G14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12'!G17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3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12'!G19</f>
        <v>3</v>
      </c>
      <c r="D19" s="13">
        <v>0</v>
      </c>
      <c r="E19" s="14">
        <f t="shared" si="0"/>
        <v>3</v>
      </c>
      <c r="F19" s="13">
        <v>0</v>
      </c>
      <c r="G19" s="12">
        <f t="shared" si="1"/>
        <v>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12'!G22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12'!G23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7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6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12'!G34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12'!G37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12'!G38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12'!G39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12'!G40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12'!G41</f>
        <v>1</v>
      </c>
      <c r="D41" s="13">
        <v>0</v>
      </c>
      <c r="E41" s="14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12'!G42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12'!G43</f>
        <v>11</v>
      </c>
      <c r="D43" s="13">
        <v>0</v>
      </c>
      <c r="E43" s="14">
        <f t="shared" si="0"/>
        <v>11</v>
      </c>
      <c r="F43" s="13">
        <v>1</v>
      </c>
      <c r="G43" s="14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12'!G44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3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12'!G46</f>
        <v>8</v>
      </c>
      <c r="D46" s="13">
        <v>0</v>
      </c>
      <c r="E46" s="14">
        <f t="shared" si="0"/>
        <v>8</v>
      </c>
      <c r="F46" s="13">
        <v>1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12'!G47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12'!G48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12'!G49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12'!G50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12'!G52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12'!G55</f>
        <v>-3</v>
      </c>
      <c r="D55" s="13">
        <v>0</v>
      </c>
      <c r="E55" s="14">
        <f t="shared" si="0"/>
        <v>-3</v>
      </c>
      <c r="F55" s="13">
        <v>0</v>
      </c>
      <c r="G55" s="14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12'!G59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12'!G60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12'!G66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12'!G67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0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12'!G73</f>
        <v>1</v>
      </c>
      <c r="D73" s="13">
        <v>0</v>
      </c>
      <c r="E73" s="14">
        <f t="shared" si="0"/>
        <v>1</v>
      </c>
      <c r="F73" s="13">
        <v>0</v>
      </c>
      <c r="G73" s="14">
        <f t="shared" si="7"/>
        <v>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12'!G74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12'!G77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12'!G79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255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12'!G85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12'!G86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11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12'!G87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12'!G88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12'!G101</f>
        <v>14</v>
      </c>
      <c r="D101" s="13">
        <v>0</v>
      </c>
      <c r="E101" s="14">
        <f t="shared" si="13"/>
        <v>14</v>
      </c>
      <c r="F101" s="13">
        <v>0</v>
      </c>
      <c r="G101" s="14">
        <f t="shared" si="7"/>
        <v>13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12'!G102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12'!G103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2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12'!G163</f>
        <v>1</v>
      </c>
      <c r="D163" s="13">
        <v>0</v>
      </c>
      <c r="E163" s="14">
        <f t="shared" si="17"/>
        <v>1</v>
      </c>
      <c r="F163" s="13">
        <v>0</v>
      </c>
      <c r="G163" s="14">
        <f t="shared" si="14"/>
        <v>0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>
      <c r="A164" s="10">
        <v>160</v>
      </c>
      <c r="B164" s="20" t="s">
        <v>176</v>
      </c>
      <c r="C164" s="12">
        <f>+'วันที่ 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12'!G168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12'!G178</f>
        <v>-2</v>
      </c>
      <c r="D178" s="13">
        <v>0</v>
      </c>
      <c r="E178" s="14">
        <f t="shared" si="17"/>
        <v>-2</v>
      </c>
      <c r="F178" s="13">
        <v>0</v>
      </c>
      <c r="G178" s="14">
        <f t="shared" si="14"/>
        <v>-2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263</v>
      </c>
      <c r="C195" s="12">
        <f>+'วันที่ 12'!G195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2105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865</v>
      </c>
      <c r="L209" s="2">
        <v>50</v>
      </c>
      <c r="M209" s="2">
        <v>155</v>
      </c>
      <c r="N209" s="2">
        <v>130</v>
      </c>
      <c r="O209" s="2">
        <v>530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1175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1175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2055</v>
      </c>
    </row>
    <row r="219" spans="1:16">
      <c r="G219" s="2"/>
      <c r="I219" s="2"/>
      <c r="J219" s="2" t="s">
        <v>251</v>
      </c>
      <c r="K219" s="24">
        <f>SUM(K208:K211)</f>
        <v>880</v>
      </c>
    </row>
    <row r="220" spans="1:16">
      <c r="G220" s="2"/>
      <c r="I220" s="2"/>
      <c r="J220" s="2" t="s">
        <v>252</v>
      </c>
      <c r="K220" s="24">
        <f>+K214</f>
        <v>1175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theme="5" tint="0.79998168889431442"/>
  </sheetPr>
  <dimension ref="A1:Z291"/>
  <sheetViews>
    <sheetView zoomScale="90" zoomScaleNormal="90" workbookViewId="0">
      <pane xSplit="5" ySplit="4" topLeftCell="F175" activePane="bottomRight" state="frozen"/>
      <selection activeCell="G6" sqref="G6"/>
      <selection pane="topRight" activeCell="G6" sqref="G6"/>
      <selection pane="bottomLeft" activeCell="G6" sqref="G6"/>
      <selection pane="bottomRight" activeCell="G177" sqref="G17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13'!G5</f>
        <v>7</v>
      </c>
      <c r="D5" s="13">
        <v>20</v>
      </c>
      <c r="E5" s="14">
        <f t="shared" ref="E5:E94" si="0">C5+D5</f>
        <v>27</v>
      </c>
      <c r="F5" s="13">
        <v>0</v>
      </c>
      <c r="G5" s="12">
        <f t="shared" ref="G5:G68" si="1">E5-F5-H5</f>
        <v>26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13'!G6</f>
        <v>19</v>
      </c>
      <c r="D6" s="13">
        <v>20</v>
      </c>
      <c r="E6" s="84">
        <f t="shared" si="0"/>
        <v>39</v>
      </c>
      <c r="F6" s="13">
        <v>0</v>
      </c>
      <c r="G6" s="84">
        <f t="shared" si="1"/>
        <v>36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13'!G12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13'!G14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13'!G17</f>
        <v>3</v>
      </c>
      <c r="D17" s="13">
        <v>10</v>
      </c>
      <c r="E17" s="14">
        <f t="shared" si="0"/>
        <v>13</v>
      </c>
      <c r="F17" s="13">
        <v>0</v>
      </c>
      <c r="G17" s="14">
        <f t="shared" si="1"/>
        <v>13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13'!G19</f>
        <v>2</v>
      </c>
      <c r="D19" s="13">
        <v>10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13'!G22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13'!G23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7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6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13'!G29</f>
        <v>6</v>
      </c>
      <c r="D29" s="13">
        <v>5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13'!G34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13'!G35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13'!G37</f>
        <v>9</v>
      </c>
      <c r="D37" s="13">
        <v>1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13'!G38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13'!G39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13'!G40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13'!G41</f>
        <v>0</v>
      </c>
      <c r="D41" s="13">
        <v>10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13'!G42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13'!G43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13'!G44</f>
        <v>3</v>
      </c>
      <c r="D44" s="13">
        <v>5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13'!G46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13'!G47</f>
        <v>4</v>
      </c>
      <c r="D47" s="13">
        <v>10</v>
      </c>
      <c r="E47" s="14">
        <f t="shared" si="0"/>
        <v>14</v>
      </c>
      <c r="F47" s="13">
        <v>0</v>
      </c>
      <c r="G47" s="14">
        <f t="shared" si="1"/>
        <v>14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13'!G48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13'!G49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13'!G50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260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13'!G52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2</v>
      </c>
      <c r="H52" s="15">
        <v>1</v>
      </c>
      <c r="I52" s="22">
        <v>120</v>
      </c>
      <c r="J52" s="89">
        <f t="shared" si="2"/>
        <v>120</v>
      </c>
      <c r="K52" s="18" t="s">
        <v>260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13'!G55</f>
        <v>-3</v>
      </c>
      <c r="D55" s="13">
        <v>3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13'!G59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13'!G60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13'!G66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13'!G67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13'!G73</f>
        <v>1</v>
      </c>
      <c r="D73" s="13">
        <v>10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13'!G74</f>
        <v>0</v>
      </c>
      <c r="D74" s="13">
        <v>10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13'!G77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13'!G79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13'!G85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13'!G86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13'!G87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13'!G88</f>
        <v>5</v>
      </c>
      <c r="D88" s="13">
        <v>10</v>
      </c>
      <c r="E88" s="14">
        <f t="shared" si="0"/>
        <v>15</v>
      </c>
      <c r="F88" s="13">
        <v>0</v>
      </c>
      <c r="G88" s="14">
        <f t="shared" si="7"/>
        <v>14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13'!G101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13'!G102</f>
        <v>4</v>
      </c>
      <c r="D102" s="13">
        <v>5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13'!G103</f>
        <v>2</v>
      </c>
      <c r="D103" s="13">
        <v>5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13'!G168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13'!G178</f>
        <v>-2</v>
      </c>
      <c r="D178" s="13">
        <v>3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191</v>
      </c>
      <c r="C179" s="12">
        <f>+'วันที่ 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263</v>
      </c>
      <c r="C195" s="12">
        <f>+'วันที่ 13'!G195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1520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670</v>
      </c>
      <c r="L209" s="2">
        <v>50</v>
      </c>
      <c r="M209" s="2">
        <v>100</v>
      </c>
      <c r="N209" s="2">
        <v>520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70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765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765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1450</v>
      </c>
    </row>
    <row r="219" spans="1:16">
      <c r="G219" s="2"/>
      <c r="I219" s="2"/>
      <c r="J219" s="2" t="s">
        <v>251</v>
      </c>
      <c r="K219" s="24">
        <f>SUM(K208:K211)</f>
        <v>685</v>
      </c>
    </row>
    <row r="220" spans="1:16">
      <c r="G220" s="2"/>
      <c r="I220" s="2"/>
      <c r="J220" s="2" t="s">
        <v>252</v>
      </c>
      <c r="K220" s="24">
        <f>+K214</f>
        <v>765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theme="5" tint="0.79998168889431442"/>
  </sheetPr>
  <dimension ref="A1:Z291"/>
  <sheetViews>
    <sheetView zoomScale="85" zoomScaleNormal="85" workbookViewId="0">
      <pane xSplit="5" ySplit="4" topLeftCell="F205" activePane="bottomRight" state="frozen"/>
      <selection activeCell="G6" sqref="G6"/>
      <selection pane="topRight" activeCell="G6" sqref="G6"/>
      <selection pane="bottomLeft" activeCell="G6" sqref="G6"/>
      <selection pane="bottomRight" activeCell="H13" sqref="H1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14'!G5</f>
        <v>26</v>
      </c>
      <c r="D5" s="13">
        <v>0</v>
      </c>
      <c r="E5" s="14">
        <f t="shared" ref="E5:E94" si="0">C5+D5</f>
        <v>26</v>
      </c>
      <c r="F5" s="13">
        <v>0</v>
      </c>
      <c r="G5" s="12">
        <f t="shared" ref="G5:G68" si="1">E5-F5-H5</f>
        <v>18</v>
      </c>
      <c r="H5" s="15">
        <v>8</v>
      </c>
      <c r="I5" s="16">
        <v>50</v>
      </c>
      <c r="J5" s="89">
        <f t="shared" ref="J5:J69" si="2">+I5*H5</f>
        <v>400</v>
      </c>
      <c r="K5" s="18" t="s">
        <v>16</v>
      </c>
      <c r="L5" s="19">
        <v>0</v>
      </c>
      <c r="M5" s="30">
        <f t="shared" ref="M5:M69" si="3">+J5-L5</f>
        <v>400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14'!G6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14'!G12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8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14'!G14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14'!G17</f>
        <v>13</v>
      </c>
      <c r="D17" s="13">
        <v>0</v>
      </c>
      <c r="E17" s="14">
        <f t="shared" si="0"/>
        <v>13</v>
      </c>
      <c r="F17" s="13">
        <v>0</v>
      </c>
      <c r="G17" s="14">
        <f t="shared" si="1"/>
        <v>8</v>
      </c>
      <c r="H17" s="15">
        <v>5</v>
      </c>
      <c r="I17" s="16">
        <v>50</v>
      </c>
      <c r="J17" s="89">
        <f t="shared" si="2"/>
        <v>250</v>
      </c>
      <c r="K17" s="18" t="s">
        <v>16</v>
      </c>
      <c r="L17" s="19">
        <v>0</v>
      </c>
      <c r="M17" s="30">
        <f t="shared" si="3"/>
        <v>250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14'!G19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14'!G22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14'!G23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5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14'!G24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14'!G29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14'!G34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14'!G35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14'!G37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14'!G38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14'!G39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14'!G40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14'!G41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9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14'!G42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14'!G43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14'!G44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14'!G46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14'!G47</f>
        <v>14</v>
      </c>
      <c r="D47" s="13">
        <v>0</v>
      </c>
      <c r="E47" s="14">
        <f t="shared" si="0"/>
        <v>14</v>
      </c>
      <c r="F47" s="13">
        <v>0</v>
      </c>
      <c r="G47" s="14">
        <f t="shared" si="1"/>
        <v>13</v>
      </c>
      <c r="H47" s="15">
        <v>1</v>
      </c>
      <c r="I47" s="16">
        <v>50</v>
      </c>
      <c r="J47" s="89">
        <f t="shared" si="2"/>
        <v>50</v>
      </c>
      <c r="K47" s="18" t="s">
        <v>262</v>
      </c>
      <c r="L47" s="19">
        <v>50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14'!G48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14'!G49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14'!G50</f>
        <v>1</v>
      </c>
      <c r="D50" s="13">
        <v>0</v>
      </c>
      <c r="E50" s="14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89">
        <f t="shared" si="2"/>
        <v>120</v>
      </c>
      <c r="K50" s="18" t="s">
        <v>260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14'!G52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260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00">
        <f>+'วันที่ 14'!G55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14'!G59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14'!G60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14'!G66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14'!G67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14'!G73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14'!G74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14'!G77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14'!G79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14'!G85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9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14'!G86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14'!G87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2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14'!G88</f>
        <v>14</v>
      </c>
      <c r="D88" s="13">
        <v>0</v>
      </c>
      <c r="E88" s="14">
        <f t="shared" si="0"/>
        <v>14</v>
      </c>
      <c r="F88" s="13">
        <v>0</v>
      </c>
      <c r="G88" s="14">
        <f t="shared" si="7"/>
        <v>11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14'!G101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14'!G102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14'!G103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14'!G168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45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181</v>
      </c>
      <c r="C169" s="100">
        <f>+'วันที่ 14'!G169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00">
        <f>+'วันที่ 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 t="s">
        <v>263</v>
      </c>
      <c r="C195" s="12">
        <f>+'วันที่ 14'!G195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8</v>
      </c>
      <c r="H195" s="15">
        <v>2</v>
      </c>
      <c r="I195" s="16">
        <v>50</v>
      </c>
      <c r="J195" s="89">
        <f t="shared" si="15"/>
        <v>100</v>
      </c>
      <c r="K195" s="18" t="s">
        <v>16</v>
      </c>
      <c r="L195" s="19">
        <v>0</v>
      </c>
      <c r="M195" s="30">
        <f t="shared" si="16"/>
        <v>100</v>
      </c>
    </row>
    <row r="196" spans="1:26" ht="25.5">
      <c r="A196" s="10">
        <v>192</v>
      </c>
      <c r="B196" s="20"/>
      <c r="C196" s="12">
        <f>+'วันที่ 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2215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210</v>
      </c>
      <c r="L209" s="2">
        <v>150</v>
      </c>
      <c r="M209" s="2">
        <v>60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120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1870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1870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2095</v>
      </c>
    </row>
    <row r="219" spans="1:16">
      <c r="G219" s="2"/>
      <c r="I219" s="2"/>
      <c r="J219" s="2" t="s">
        <v>251</v>
      </c>
      <c r="K219" s="24">
        <f>SUM(K208:K211)</f>
        <v>225</v>
      </c>
    </row>
    <row r="220" spans="1:16">
      <c r="G220" s="2"/>
      <c r="I220" s="2"/>
      <c r="J220" s="2" t="s">
        <v>252</v>
      </c>
      <c r="K220" s="24">
        <f>+K214</f>
        <v>1870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dimension ref="A1:Z291"/>
  <sheetViews>
    <sheetView zoomScale="85" zoomScaleNormal="85" workbookViewId="0">
      <pane xSplit="5" ySplit="4" topLeftCell="F203" activePane="bottomRight" state="frozen"/>
      <selection activeCell="G6" sqref="G6"/>
      <selection pane="topRight" activeCell="G6" sqref="G6"/>
      <selection pane="bottomLeft" activeCell="G6" sqref="G6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15'!G5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15'!G6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15'!G12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15'!G14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15'!G17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15'!G19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15'!G22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15'!G23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15'!G24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15'!G29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15'!G34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15'!G35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15'!G37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15'!G38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15'!G39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15'!G40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15'!G41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15'!G42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15'!G43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15'!G44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15'!G46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15'!G47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15'!G48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15'!G49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15'!G50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15'!G52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15'!G59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15'!G60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15'!G66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15'!G67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15'!G73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15'!G74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15'!G79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15'!G85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15'!G86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15'!G87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15'!G88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15'!G101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15'!G102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15'!G103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15'!G168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15'!G195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dimension ref="A1:Z291"/>
  <sheetViews>
    <sheetView zoomScale="85" zoomScaleNormal="85" workbookViewId="0">
      <pane xSplit="5" ySplit="4" topLeftCell="F209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16'!G5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16'!G6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16'!G12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16'!G14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16'!G17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16'!G19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16'!G22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16'!G23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16'!G24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16'!G29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16'!G34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16'!G35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16'!G37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16'!G38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16'!G39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16'!G40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16'!G41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16'!G42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16'!G43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16'!G44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16'!G46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16'!G47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16'!G48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16'!G49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16'!G50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16'!G52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16'!G59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16'!G60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16'!G66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16'!G67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16'!G73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16'!G74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16'!G77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16'!G79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16'!G85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16'!G86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16'!G87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16'!G88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16'!G101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16'!G102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16'!G103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16'!G168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16'!G195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dimension ref="A1:Z291"/>
  <sheetViews>
    <sheetView zoomScale="85" zoomScaleNormal="85" workbookViewId="0">
      <pane xSplit="5" ySplit="4" topLeftCell="F21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17'!G5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17'!G6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17'!G12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17'!G14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17'!G17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17'!G19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17'!G22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17'!G23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17'!G24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17'!G29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17'!G34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17'!G35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17'!G37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17'!G38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17'!G39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17'!G40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17'!G41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17'!G42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17'!G43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17'!G44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17'!G46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17'!G47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17'!G48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17'!G49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17'!G50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17'!G52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17'!G59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17'!G60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17'!G66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17'!G67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17'!G73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17'!G74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17'!G77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17'!G79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17'!G85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17'!G86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17'!G87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17'!G88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17'!G101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17'!G102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17'!G103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17'!G168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17'!G195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dimension ref="A1:Z291"/>
  <sheetViews>
    <sheetView zoomScaleNormal="100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18'!G5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18'!G6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18'!G12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18'!G14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18'!G17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18'!G19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18'!G22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18'!G23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18'!G24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18'!G29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18'!G34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18'!G35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18'!G37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18'!G38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18'!G39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18'!G40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18'!G41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18'!G42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18'!G43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18'!G44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18'!G46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18'!G47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18'!G48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18'!G49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18'!G50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18'!G52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18'!G55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18'!G59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18'!G60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18'!G66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18'!G67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18'!G73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18'!G74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18'!G77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18'!G79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18'!G85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18'!G86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18'!G87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18'!G88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18'!G101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18'!G102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18'!G103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18'!G168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18'!G178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18'!G195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dimension ref="A1:Z291"/>
  <sheetViews>
    <sheetView zoomScale="85" zoomScaleNormal="85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19'!G5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19'!G6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19'!G12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19'!G17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19'!G19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19'!G23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19'!G24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19'!G29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19'!G34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19'!G35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19'!G37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19'!G39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19'!G40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19'!G41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19'!G42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19'!G43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19'!G44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19'!G46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19'!G47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19'!G48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19'!G49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19'!G50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19'!G51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19'!G52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19'!G55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19'!G57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19'!G58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19'!G59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19'!G60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19'!G66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19'!G67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19'!G70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19'!G73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19'!G74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19'!G77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19'!G79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19'!G85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19'!G86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19'!G87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19'!G88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19'!G101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19'!G102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19'!G103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19'!G114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19'!G141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19'!G150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19'!G159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19'!G168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19'!G169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19'!G178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19'!G195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20'!G5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20'!G6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20'!G12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20'!G14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20'!G17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20'!G19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20'!G23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20'!G34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20'!G35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20'!G38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20'!G39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20'!G40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20'!G41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20'!G42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20'!G44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20'!G46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20'!G47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20'!G48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20'!G49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20'!G52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20'!G59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20'!G60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20'!G66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20'!G67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20'!G73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20'!G74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20'!G79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20'!G85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20'!G86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20'!G87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20'!G88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20'!G101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20'!G102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20'!G103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20'!G168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20'!G195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dimension ref="A1:Z291"/>
  <sheetViews>
    <sheetView zoomScale="85" zoomScaleNormal="85" workbookViewId="0">
      <pane xSplit="5" ySplit="4" topLeftCell="F20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21'!G5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21'!G6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21'!G12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21'!G14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21'!G15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21'!G17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21'!G19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21'!G22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21'!G23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21'!G24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21'!G29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21'!G34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21'!G35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21'!G37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21'!G38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21'!G39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21'!G40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21'!G41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21'!G42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21'!G43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21'!G44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21'!G46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21'!G47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21'!G48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21'!G49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21'!G50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21'!G51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21'!G52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21'!G55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21'!G57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21'!G58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21'!G59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21'!G60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21'!G66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21'!G67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21'!G70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21'!G73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21'!G74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21'!G77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21'!G79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21'!G85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21'!G86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21'!G87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21'!G88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21'!G101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21'!G102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21'!G103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21'!G114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21'!G141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21'!G150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21'!G168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21'!G169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21'!G176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21'!G178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21'!G195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21'!G196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21'!G197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21'!G198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21'!G199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21'!G201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21'!G204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22'!G5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22'!G6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22'!G12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22'!G14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22'!G17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22'!G19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22'!G22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22'!G23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22'!G24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22'!G29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22'!G34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22'!G35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22'!G37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22'!G38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22'!G39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22'!G40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22'!G41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22'!G42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22'!G43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22'!G44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22'!G46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22'!G47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22'!G48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22'!G49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22'!G50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22'!G51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22'!G52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22'!G55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22'!G57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22'!G58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22'!G59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22'!G60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22'!G66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22'!G67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22'!G70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22'!G73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22'!G74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22'!G77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22'!G79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22'!G85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22'!G86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22'!G87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22'!G88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22'!G101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22'!G102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22'!G103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22'!G114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22'!G141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22'!G150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22'!G168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22'!G169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22'!G176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22'!G178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22'!G195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22'!G196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22'!G197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22'!G198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22'!G201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22'!G204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23'!G5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23'!G6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23'!G12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23'!G14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23'!G17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23'!G19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23'!G22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23'!G23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23'!G24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23'!G29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23'!G34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23'!G35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23'!G37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23'!G38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23'!G39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23'!G40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23'!G41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23'!G42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23'!G43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23'!G44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23'!G46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23'!G47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23'!G48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23'!G49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23'!G50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23'!G51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23'!G52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23'!G55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23'!G57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23'!G58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23'!G59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23'!G60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23'!G66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23'!G67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23'!G70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23'!G73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23'!G74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23'!G77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23'!G79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23'!G85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23'!G86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23'!G87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23'!G88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23'!G101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23'!G102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23'!G103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23'!G114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23'!G127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23'!G141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23'!G150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23'!G168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23'!G169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23'!G176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23'!G177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23'!G178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23'!G195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23'!G196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23'!G197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23'!G198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23'!G199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23'!G204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24'!G5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24'!G6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24'!G12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24'!G14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24'!G17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24'!G19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24'!G22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24'!G23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24'!G24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24'!G29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24'!G34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24'!G35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24'!G37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24'!G38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24'!G39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24'!G40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24'!G41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24'!G42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24'!G43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24'!G44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24'!G46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24'!G47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24'!G48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24'!G49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24'!G50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24'!G51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24'!G52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24'!G55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24'!G57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24'!G58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24'!G59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24'!G60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24'!G66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24'!G67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24'!G73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24'!G74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24'!G77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24'!G79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24'!G85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24'!G86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24'!G87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24'!G88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24'!G101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24'!G102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24'!G103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24'!G114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24'!G127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24'!G141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24'!G150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24'!G168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24'!G169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24'!G176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24'!G177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24'!G178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24'!G195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24'!G196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24'!G197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24'!G198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24'!G199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24'!G204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25'!G5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25'!G6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25'!G12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25'!G14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25'!G17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25'!G19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25'!G22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25'!G23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25'!G24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25'!G29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25'!G34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25'!G35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25'!G37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25'!G38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25'!G39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25'!G40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25'!G41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25'!G42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25'!G43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25'!G44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25'!G46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25'!G47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25'!G48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25'!G49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25'!G50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25'!G51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25'!G52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25'!G55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25'!G57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25'!G58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25'!G59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25'!G60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25'!G66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25'!G67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25'!G70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25'!G73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25'!G74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25'!G79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25'!G85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25'!G86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25'!G87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25'!G88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25'!G101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25'!G102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25'!G103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25'!G114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25'!G127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25'!G141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25'!G150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25'!G168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25'!G169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25'!G177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25'!G178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25'!G195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25'!G196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25'!G198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25'!G199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25'!G204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dimension ref="A1:Z291"/>
  <sheetViews>
    <sheetView zoomScale="85" zoomScaleNormal="85" workbookViewId="0">
      <pane xSplit="5" ySplit="4" topLeftCell="F209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26'!G5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26'!G6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26'!G12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26'!G14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26'!G17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26'!G19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26'!G22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26'!G23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26'!G24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26'!G29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26'!G34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26'!G35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26'!G37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26'!G38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26'!G39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26'!G40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26'!G41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26'!G42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26'!G43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26'!G44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26'!G46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26'!G47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26'!G48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26'!G49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26'!G50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26'!G51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26'!G52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26'!G55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26'!G57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26'!G58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26'!G59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26'!G60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26'!G66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26'!G67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26'!G70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26'!G73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26'!G74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26'!G77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26'!G79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26'!G85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26'!G86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26'!G87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26'!G88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26'!G101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26'!G102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26'!G103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26'!G127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26'!G141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26'!G150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26'!G168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26'!G169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26'!G177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26'!G178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26'!G195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26'!G196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26'!G198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26'!G199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26'!G204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dimension ref="A1:Z291"/>
  <sheetViews>
    <sheetView zoomScale="85" zoomScaleNormal="85" workbookViewId="0">
      <pane xSplit="5" ySplit="4" topLeftCell="F20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27'!G5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27'!G6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27'!G12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27'!G14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27'!G17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27'!G19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27'!G22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27'!G23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27'!G24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27'!G29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27'!G37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27'!G38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27'!G39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27'!G40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27'!G41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27'!G42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27'!G43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27'!G44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27'!G46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27'!G47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27'!G48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27'!G49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27'!G50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27'!G51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27'!G52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27'!G55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27'!G58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27'!G59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27'!G60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27'!G66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27'!G67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27'!G70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27'!G73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27'!G74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27'!G77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27'!G79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27'!G85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27'!G86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27'!G87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27'!G88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27'!G101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27'!G102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27'!G103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27'!G127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27'!G141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27'!G150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27'!G168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27'!G169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27'!G177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27'!G178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27'!G195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27'!G196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27'!G198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27'!G199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27'!G204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28'!G5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28'!G6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28'!G12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28'!G14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28'!G17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28'!G19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28'!G22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28'!G23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28'!G24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28'!G29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28'!G34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28'!G35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28'!G37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28'!G38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28'!G39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28'!G40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28'!G41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28'!G42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28'!G43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28'!G44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28'!G46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28'!G47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28'!G48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28'!G49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28'!G50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28'!G51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28'!G52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28'!G55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28'!G58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28'!G59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28'!G60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28'!G66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28'!G67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28'!G70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28'!G73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28'!G74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28'!G77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28'!G79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28'!G85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28'!G86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28'!G87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28'!G88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28'!G101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28'!G102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28'!G103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28'!G127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28'!G141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28'!G150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28'!G168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28'!G169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28'!G176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28'!G177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28'!G178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28'!G195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28'!G196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28'!G198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28'!G199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28'!G204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dimension ref="A1:Z291"/>
  <sheetViews>
    <sheetView zoomScale="85" zoomScaleNormal="85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29'!G5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29'!G6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29'!G12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29'!G17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29'!G19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29'!G23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29'!G24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29'!G29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29'!G34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29'!G35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29'!G37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29'!G39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29'!G40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29'!G41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29'!G42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29'!G43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29'!G44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29'!G46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29'!G47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29'!G48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29'!G49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29'!G50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29'!G51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29'!G52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29'!G55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29'!G58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29'!G59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29'!G60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29'!G66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29'!G67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29'!G73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29'!G74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29'!G77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29'!G79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29'!G85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29'!G86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29'!G87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29'!G88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29'!G101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29'!G102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29'!G103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29'!G141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29'!G168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29'!G178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29'!G195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dimension ref="A1:Z291"/>
  <sheetViews>
    <sheetView zoomScale="85" zoomScaleNormal="85" workbookViewId="0">
      <pane xSplit="5" ySplit="4" topLeftCell="F21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4" t="s">
        <v>249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>
      <c r="A5" s="10">
        <v>1</v>
      </c>
      <c r="B5" s="11" t="s">
        <v>15</v>
      </c>
      <c r="C5" s="12">
        <f>+'วันที่ 30'!G5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>
      <c r="A6" s="81">
        <v>2</v>
      </c>
      <c r="B6" s="82" t="s">
        <v>17</v>
      </c>
      <c r="C6" s="12">
        <f>+'วันที่ 30'!G6</f>
        <v>36</v>
      </c>
      <c r="D6" s="13">
        <v>0</v>
      </c>
      <c r="E6" s="84">
        <f t="shared" si="0"/>
        <v>36</v>
      </c>
      <c r="F6" s="13">
        <v>0</v>
      </c>
      <c r="G6" s="12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>
      <c r="A7" s="10">
        <v>3</v>
      </c>
      <c r="B7" s="11" t="s">
        <v>18</v>
      </c>
      <c r="C7" s="12">
        <f>+'วันที่ 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30'!G12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30'!G14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30'!G17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30'!G19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30'!G22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30'!G23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30'!G24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30'!G29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30'!G34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30'!G35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30'!G37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8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30'!G38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30'!G39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30'!G40</f>
        <v>0</v>
      </c>
      <c r="D40" s="13">
        <v>0</v>
      </c>
      <c r="E40" s="14">
        <f t="shared" si="0"/>
        <v>0</v>
      </c>
      <c r="F40" s="13">
        <v>0</v>
      </c>
      <c r="G40" s="12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30'!G41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30'!G42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30'!G43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30'!G44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57</v>
      </c>
      <c r="C46" s="12">
        <f>+'วันที่ 30'!G46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30'!G47</f>
        <v>13</v>
      </c>
      <c r="D47" s="13">
        <v>0</v>
      </c>
      <c r="E47" s="14">
        <f t="shared" si="0"/>
        <v>13</v>
      </c>
      <c r="F47" s="13">
        <v>0</v>
      </c>
      <c r="G47" s="12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30'!G48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30'!G49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30'!G52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30'!G55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30'!G59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30'!G60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+'วันที่ 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+'วันที่ 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30'!G66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30'!G67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+'วันที่ 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+'วันที่ 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+'วันที่ 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+'วันที่ 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+'วันที่ 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+'วันที่ 30'!G73</f>
        <v>11</v>
      </c>
      <c r="D73" s="13">
        <v>0</v>
      </c>
      <c r="E73" s="14">
        <f t="shared" si="0"/>
        <v>11</v>
      </c>
      <c r="F73" s="13">
        <v>0</v>
      </c>
      <c r="G73" s="12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+'วันที่ 30'!G74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+'วันที่ 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+'วันที่ 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+'วันที่ 30'!G77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+'วันที่ 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+'วันที่ 30'!G79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+'วันที่ 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+'วันที่ 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+'วันที่ 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+'วันที่ 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+'วันที่ 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+'วันที่ 30'!G85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+'วันที่ 30'!G86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+'วันที่ 30'!G87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+'วันที่ 30'!G88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+'วันที่ 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+'วันที่ 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+'วันที่ 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+'วันที่ 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+'วันที่ 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+'วันที่ 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+'วันที่ 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+'วันที่ 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+'วันที่ 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+'วันที่ 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+'วันที่ 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+'วันที่ 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+'วันที่ 30'!G101</f>
        <v>13</v>
      </c>
      <c r="D101" s="13">
        <v>0</v>
      </c>
      <c r="E101" s="14">
        <f t="shared" si="13"/>
        <v>13</v>
      </c>
      <c r="F101" s="13">
        <v>0</v>
      </c>
      <c r="G101" s="12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+'วันที่ 30'!G102</f>
        <v>9</v>
      </c>
      <c r="D102" s="13">
        <v>0</v>
      </c>
      <c r="E102" s="14">
        <f t="shared" si="13"/>
        <v>9</v>
      </c>
      <c r="F102" s="13">
        <v>0</v>
      </c>
      <c r="G102" s="12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+'วันที่ 30'!G103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+'วันที่ 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+'วันที่ 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+'วันที่ 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118</v>
      </c>
      <c r="C107" s="12">
        <f>+'วันที่ 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+'วันที่ 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121</v>
      </c>
      <c r="C109" s="12">
        <f>+'วันที่ 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122</v>
      </c>
      <c r="C110" s="12">
        <f>+'วันที่ 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123</v>
      </c>
      <c r="C111" s="12">
        <f>+'วันที่ 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124</v>
      </c>
      <c r="C112" s="12">
        <f>+'วันที่ 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125</v>
      </c>
      <c r="C113" s="12">
        <f>+'วันที่ 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126</v>
      </c>
      <c r="C114" s="12">
        <f>+'วันที่ 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127</v>
      </c>
      <c r="C115" s="12">
        <f>+'วันที่ 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128</v>
      </c>
      <c r="C116" s="12">
        <f>+'วันที่ 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129</v>
      </c>
      <c r="C117" s="12">
        <f>+'วันที่ 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130</v>
      </c>
      <c r="C118" s="12">
        <f>+'วันที่ 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131</v>
      </c>
      <c r="C119" s="12">
        <f>+'วันที่ 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132</v>
      </c>
      <c r="C120" s="12">
        <f>+'วันที่ 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133</v>
      </c>
      <c r="C121" s="12">
        <f>+'วันที่ 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134</v>
      </c>
      <c r="C122" s="12">
        <f>+'วันที่ 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135</v>
      </c>
      <c r="C123" s="12">
        <f>+'วันที่ 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136</v>
      </c>
      <c r="C124" s="12">
        <f>+'วันที่ 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137</v>
      </c>
      <c r="C125" s="12">
        <f>+'วันที่ 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138</v>
      </c>
      <c r="C126" s="12">
        <f>+'วันที่ 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139</v>
      </c>
      <c r="C127" s="12">
        <f>+'วันที่ 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140</v>
      </c>
      <c r="C128" s="12">
        <f>+'วันที่ 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141</v>
      </c>
      <c r="C129" s="12">
        <f>+'วันที่ 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142</v>
      </c>
      <c r="C130" s="12">
        <f>+'วันที่ 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143</v>
      </c>
      <c r="C131" s="12">
        <f>+'วันที่ 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144</v>
      </c>
      <c r="C132" s="12">
        <f>+'วันที่ 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145</v>
      </c>
      <c r="C133" s="12">
        <f>+'วันที่ 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146</v>
      </c>
      <c r="C134" s="12">
        <f>+'วันที่ 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147</v>
      </c>
      <c r="C135" s="12">
        <f>+'วันที่ 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148</v>
      </c>
      <c r="C136" s="12">
        <f>+'วันที่ 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149</v>
      </c>
      <c r="C137" s="12">
        <f>+'วันที่ 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150</v>
      </c>
      <c r="C138" s="12">
        <f>+'วันที่ 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151</v>
      </c>
      <c r="C139" s="12">
        <f>+'วันที่ 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152</v>
      </c>
      <c r="C140" s="12">
        <f>+'วันที่ 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153</v>
      </c>
      <c r="C141" s="12">
        <f>+'วันที่ 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154</v>
      </c>
      <c r="C142" s="12">
        <f>+'วันที่ 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155</v>
      </c>
      <c r="C143" s="12">
        <f>+'วันที่ 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156</v>
      </c>
      <c r="C144" s="12">
        <f>+'วันที่ 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157</v>
      </c>
      <c r="C145" s="12">
        <f>+'วันที่ 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158</v>
      </c>
      <c r="C146" s="12">
        <f>+'วันที่ 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159</v>
      </c>
      <c r="C147" s="12">
        <f>+'วันที่ 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160</v>
      </c>
      <c r="C148" s="12">
        <f>+'วันที่ 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161</v>
      </c>
      <c r="C149" s="12">
        <f>+'วันที่ 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162</v>
      </c>
      <c r="C150" s="12">
        <f>+'วันที่ 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163</v>
      </c>
      <c r="C151" s="12">
        <f>+'วันที่ 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164</v>
      </c>
      <c r="C152" s="12">
        <f>+'วันที่ 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165</v>
      </c>
      <c r="C153" s="12">
        <f>+'วันที่ 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166</v>
      </c>
      <c r="C154" s="12">
        <f>+'วันที่ 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167</v>
      </c>
      <c r="C155" s="12">
        <f>+'วันที่ 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168</v>
      </c>
      <c r="C156" s="12">
        <f>+'วันที่ 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169</v>
      </c>
      <c r="C157" s="12">
        <f>+'วันที่ 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170</v>
      </c>
      <c r="C158" s="12">
        <f>+'วันที่ 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171</v>
      </c>
      <c r="C159" s="12">
        <f>+'วันที่ 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172</v>
      </c>
      <c r="C160" s="12">
        <f>+'วันที่ 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173</v>
      </c>
      <c r="C161" s="12">
        <f>+'วันที่ 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174</v>
      </c>
      <c r="C162" s="12">
        <f>+'วันที่ 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175</v>
      </c>
      <c r="C163" s="12">
        <f>+'วันที่ 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176</v>
      </c>
      <c r="C164" s="12">
        <f>+'วันที่ 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177</v>
      </c>
      <c r="C165" s="12">
        <f>+'วันที่ 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178</v>
      </c>
      <c r="C166" s="12">
        <f>+'วันที่ 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179</v>
      </c>
      <c r="C167" s="12">
        <f>+'วันที่ 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180</v>
      </c>
      <c r="C168" s="12">
        <f>+'วันที่ 30'!G168</f>
        <v>45</v>
      </c>
      <c r="D168" s="13">
        <v>0</v>
      </c>
      <c r="E168" s="14">
        <f t="shared" si="17"/>
        <v>45</v>
      </c>
      <c r="F168" s="13">
        <v>0</v>
      </c>
      <c r="G168" s="12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181</v>
      </c>
      <c r="C169" s="12">
        <f>+'วันที่ 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182</v>
      </c>
      <c r="C170" s="12">
        <f>+'วันที่ 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183</v>
      </c>
      <c r="C171" s="12">
        <f>+'วันที่ 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184</v>
      </c>
      <c r="C172" s="12">
        <f>+'วันที่ 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185</v>
      </c>
      <c r="C173" s="12">
        <f>+'วันที่ 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186</v>
      </c>
      <c r="C174" s="12">
        <f>+'วันที่ 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187</v>
      </c>
      <c r="C175" s="12">
        <f>+'วันที่ 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188</v>
      </c>
      <c r="C176" s="12">
        <f>+'วันที่ 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189</v>
      </c>
      <c r="C177" s="12">
        <f>+'วันที่ 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190</v>
      </c>
      <c r="C178" s="12">
        <f>+'วันที่ 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191</v>
      </c>
      <c r="C179" s="12">
        <f>+'วันที่ 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192</v>
      </c>
      <c r="C180" s="12">
        <f>+'วันที่ 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193</v>
      </c>
      <c r="C181" s="12">
        <f>+'วันที่ 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194</v>
      </c>
      <c r="C182" s="12">
        <f>+'วันที่ 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195</v>
      </c>
      <c r="C183" s="12">
        <f>+'วันที่ 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196</v>
      </c>
      <c r="C184" s="12">
        <f>+'วันที่ 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197</v>
      </c>
      <c r="C185" s="12">
        <f>+'วันที่ 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198</v>
      </c>
      <c r="C186" s="12">
        <f>+'วันที่ 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199</v>
      </c>
      <c r="C187" s="12">
        <f>+'วันที่ 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200</v>
      </c>
      <c r="C188" s="12">
        <f>+'วันที่ 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201</v>
      </c>
      <c r="C189" s="12">
        <f>+'วันที่ 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202</v>
      </c>
      <c r="C190" s="12">
        <f>+'วันที่ 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203</v>
      </c>
      <c r="C191" s="12">
        <f>+'วันที่ 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204</v>
      </c>
      <c r="C192" s="12">
        <f>+'วันที่ 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205</v>
      </c>
      <c r="C193" s="12">
        <f>+'วันที่ 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206</v>
      </c>
      <c r="C194" s="12">
        <f>+'วันที่ 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30'!G195</f>
        <v>8</v>
      </c>
      <c r="D195" s="13">
        <v>0</v>
      </c>
      <c r="E195" s="14">
        <f t="shared" si="17"/>
        <v>8</v>
      </c>
      <c r="F195" s="13">
        <v>0</v>
      </c>
      <c r="G195" s="12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253</v>
      </c>
    </row>
    <row r="213" spans="1:16" ht="25.5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>
      <c r="A214" s="1"/>
      <c r="C214" s="32"/>
      <c r="E214" s="32"/>
      <c r="G214" s="32"/>
      <c r="I214" s="132" t="s">
        <v>214</v>
      </c>
      <c r="J214" s="133"/>
      <c r="K214" s="38"/>
    </row>
    <row r="215" spans="1:16" ht="25.5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>
      <c r="G216" s="2"/>
      <c r="I216" s="132" t="s">
        <v>216</v>
      </c>
      <c r="J216" s="13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2" t="s">
        <v>250</v>
      </c>
      <c r="K218" s="24">
        <f>+K207-K212+K215</f>
        <v>0</v>
      </c>
    </row>
    <row r="219" spans="1:16">
      <c r="G219" s="2"/>
      <c r="I219" s="2"/>
      <c r="J219" s="2" t="s">
        <v>251</v>
      </c>
      <c r="K219" s="24">
        <f>SUM(K208:K211)</f>
        <v>0</v>
      </c>
    </row>
    <row r="220" spans="1:16">
      <c r="G220" s="2"/>
      <c r="I220" s="2"/>
      <c r="J220" s="2" t="s">
        <v>252</v>
      </c>
      <c r="K220" s="24">
        <f>+K214</f>
        <v>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2024-02-18T09:03:22Z</cp:lastPrinted>
  <dcterms:created xsi:type="dcterms:W3CDTF">2023-12-01T06:45:17Z</dcterms:created>
  <dcterms:modified xsi:type="dcterms:W3CDTF">2024-02-21T06:25:40Z</dcterms:modified>
</cp:coreProperties>
</file>