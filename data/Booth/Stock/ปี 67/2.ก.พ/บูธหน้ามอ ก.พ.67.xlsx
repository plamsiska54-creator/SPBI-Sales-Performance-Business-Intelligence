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015696CC-633E-46DA-AD1C-B6904B94F115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'1'!$A$1:$Y$222</definedName>
    <definedName name="_xlnm._FilterDatabase" localSheetId="11" hidden="1">'10'!$A$1:$Y$227</definedName>
    <definedName name="_xlnm._FilterDatabase" localSheetId="12" hidden="1">'11'!$A$1:$Y$227</definedName>
    <definedName name="_xlnm._FilterDatabase" localSheetId="13" hidden="1">'12'!$A$1:$Y$230</definedName>
    <definedName name="_xlnm._FilterDatabase" localSheetId="14" hidden="1">'13'!$A$1:$Y$230</definedName>
    <definedName name="_xlnm._FilterDatabase" localSheetId="15" hidden="1">'14'!$A$1:$Y$231</definedName>
    <definedName name="_xlnm._FilterDatabase" localSheetId="16" hidden="1">'15'!$A$1:$Y$231</definedName>
    <definedName name="_xlnm._FilterDatabase" localSheetId="17" hidden="1">'16'!$A$1:$Y$231</definedName>
    <definedName name="_xlnm._FilterDatabase" localSheetId="3" hidden="1">'2'!$A$1:$Y$222</definedName>
    <definedName name="_xlnm._FilterDatabase" localSheetId="4" hidden="1">'3'!$A$1:$Y$226</definedName>
    <definedName name="_xlnm._FilterDatabase" localSheetId="5" hidden="1">'4'!$A$1:$Y$226</definedName>
    <definedName name="_xlnm._FilterDatabase" localSheetId="6" hidden="1">'5'!$A$1:$Y$226</definedName>
    <definedName name="_xlnm._FilterDatabase" localSheetId="7" hidden="1">'6'!$A$1:$Y$227</definedName>
    <definedName name="_xlnm._FilterDatabase" localSheetId="8" hidden="1">'7'!$A$1:$Y$227</definedName>
    <definedName name="_xlnm._FilterDatabase" localSheetId="9" hidden="1">'8'!$A$1:$Y$227</definedName>
    <definedName name="_xlnm._FilterDatabase" localSheetId="10" hidden="1">'9'!$A$1:$Y$227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1" i="50" l="1"/>
  <c r="M211" i="50" s="1"/>
  <c r="J212" i="50"/>
  <c r="M212" i="50" s="1"/>
  <c r="J213" i="50"/>
  <c r="M213" i="50" s="1"/>
  <c r="J214" i="50"/>
  <c r="M214" i="50" s="1"/>
  <c r="J215" i="50"/>
  <c r="M215" i="50" s="1"/>
  <c r="J216" i="50"/>
  <c r="M216" i="50"/>
  <c r="J217" i="50"/>
  <c r="M217" i="50"/>
  <c r="J218" i="50"/>
  <c r="M218" i="50"/>
  <c r="J219" i="50"/>
  <c r="M219" i="50" s="1"/>
  <c r="J211" i="49"/>
  <c r="M211" i="49"/>
  <c r="J212" i="49"/>
  <c r="M212" i="49" s="1"/>
  <c r="J213" i="49"/>
  <c r="M213" i="49"/>
  <c r="J214" i="49"/>
  <c r="M214" i="49" s="1"/>
  <c r="J215" i="49"/>
  <c r="M215" i="49" s="1"/>
  <c r="J216" i="49"/>
  <c r="M216" i="49" s="1"/>
  <c r="J217" i="49"/>
  <c r="M217" i="49"/>
  <c r="J218" i="49"/>
  <c r="M218" i="49" s="1"/>
  <c r="J219" i="49"/>
  <c r="M219" i="49"/>
  <c r="J210" i="49"/>
  <c r="M210" i="49" s="1"/>
  <c r="C219" i="48"/>
  <c r="E219" i="48" s="1"/>
  <c r="G219" i="48" s="1"/>
  <c r="C219" i="49" s="1"/>
  <c r="E219" i="49" s="1"/>
  <c r="G219" i="49" s="1"/>
  <c r="C219" i="50" s="1"/>
  <c r="E219" i="50" s="1"/>
  <c r="G219" i="50" s="1"/>
  <c r="J219" i="48"/>
  <c r="M219" i="48" s="1"/>
  <c r="J218" i="48"/>
  <c r="M218" i="48"/>
  <c r="J211" i="48"/>
  <c r="M211" i="48" s="1"/>
  <c r="J212" i="48"/>
  <c r="M212" i="48" s="1"/>
  <c r="J213" i="48"/>
  <c r="M213" i="48" s="1"/>
  <c r="J214" i="48"/>
  <c r="M214" i="48" s="1"/>
  <c r="J215" i="48"/>
  <c r="M215" i="48" s="1"/>
  <c r="J216" i="48"/>
  <c r="M216" i="48" s="1"/>
  <c r="J217" i="48"/>
  <c r="M217" i="48" s="1"/>
  <c r="J210" i="48"/>
  <c r="M210" i="48" s="1"/>
  <c r="K225" i="47"/>
  <c r="J211" i="47"/>
  <c r="M211" i="47" s="1"/>
  <c r="J212" i="47"/>
  <c r="M212" i="47" s="1"/>
  <c r="J213" i="47"/>
  <c r="M213" i="47" s="1"/>
  <c r="J214" i="47"/>
  <c r="M214" i="47"/>
  <c r="J215" i="47"/>
  <c r="M215" i="47" s="1"/>
  <c r="J216" i="47"/>
  <c r="M216" i="47" s="1"/>
  <c r="J217" i="47"/>
  <c r="M217" i="47" s="1"/>
  <c r="J218" i="47"/>
  <c r="M218" i="47" s="1"/>
  <c r="C216" i="47"/>
  <c r="E216" i="47" s="1"/>
  <c r="G216" i="47" s="1"/>
  <c r="C216" i="48" s="1"/>
  <c r="E216" i="48" s="1"/>
  <c r="G216" i="48" s="1"/>
  <c r="C216" i="49" s="1"/>
  <c r="E216" i="49" s="1"/>
  <c r="G216" i="49" s="1"/>
  <c r="C216" i="50" s="1"/>
  <c r="E216" i="50" s="1"/>
  <c r="G216" i="50" s="1"/>
  <c r="K225" i="46"/>
  <c r="C217" i="46"/>
  <c r="E217" i="46" s="1"/>
  <c r="G217" i="46" s="1"/>
  <c r="C217" i="47" s="1"/>
  <c r="E217" i="47" s="1"/>
  <c r="G217" i="47" s="1"/>
  <c r="C217" i="48" s="1"/>
  <c r="E217" i="48" s="1"/>
  <c r="G217" i="48" s="1"/>
  <c r="C217" i="49" s="1"/>
  <c r="E217" i="49" s="1"/>
  <c r="G217" i="49" s="1"/>
  <c r="C217" i="50" s="1"/>
  <c r="E217" i="50" s="1"/>
  <c r="G217" i="50" s="1"/>
  <c r="J217" i="46"/>
  <c r="M217" i="46" s="1"/>
  <c r="C218" i="46"/>
  <c r="E218" i="46" s="1"/>
  <c r="G218" i="46" s="1"/>
  <c r="C218" i="47" s="1"/>
  <c r="E218" i="47" s="1"/>
  <c r="G218" i="47" s="1"/>
  <c r="C218" i="48" s="1"/>
  <c r="E218" i="48" s="1"/>
  <c r="G218" i="48" s="1"/>
  <c r="C218" i="49" s="1"/>
  <c r="E218" i="49" s="1"/>
  <c r="G218" i="49" s="1"/>
  <c r="C218" i="50" s="1"/>
  <c r="E218" i="50" s="1"/>
  <c r="G218" i="50" s="1"/>
  <c r="J218" i="46"/>
  <c r="M218" i="46" s="1"/>
  <c r="C216" i="46"/>
  <c r="E216" i="46" s="1"/>
  <c r="G216" i="46" s="1"/>
  <c r="J216" i="46"/>
  <c r="M216" i="46" s="1"/>
  <c r="J211" i="46"/>
  <c r="M211" i="46" s="1"/>
  <c r="J212" i="46"/>
  <c r="M212" i="46" s="1"/>
  <c r="J213" i="46"/>
  <c r="M213" i="46" s="1"/>
  <c r="J214" i="46"/>
  <c r="M214" i="46" s="1"/>
  <c r="J215" i="46"/>
  <c r="M215" i="46" s="1"/>
  <c r="M211" i="45"/>
  <c r="J211" i="45"/>
  <c r="J212" i="45"/>
  <c r="M212" i="45" s="1"/>
  <c r="J213" i="45"/>
  <c r="M213" i="45" s="1"/>
  <c r="J214" i="45"/>
  <c r="M214" i="45" s="1"/>
  <c r="J215" i="45"/>
  <c r="M215" i="45" s="1"/>
  <c r="J190" i="44" l="1"/>
  <c r="M214" i="44"/>
  <c r="M215" i="44"/>
  <c r="J211" i="44"/>
  <c r="M211" i="44" s="1"/>
  <c r="J212" i="44"/>
  <c r="M212" i="44" s="1"/>
  <c r="J213" i="44"/>
  <c r="M213" i="44" s="1"/>
  <c r="J214" i="44"/>
  <c r="J215" i="44"/>
  <c r="M215" i="43" l="1"/>
  <c r="J212" i="43"/>
  <c r="M212" i="43" s="1"/>
  <c r="J213" i="43"/>
  <c r="M213" i="43" s="1"/>
  <c r="J214" i="43"/>
  <c r="M214" i="43" s="1"/>
  <c r="J215" i="43"/>
  <c r="J211" i="43"/>
  <c r="M211" i="43" s="1"/>
  <c r="J211" i="42"/>
  <c r="M211" i="42" s="1"/>
  <c r="J212" i="42"/>
  <c r="M212" i="42" s="1"/>
  <c r="J213" i="42"/>
  <c r="M213" i="42" s="1"/>
  <c r="J214" i="42"/>
  <c r="M214" i="42" s="1"/>
  <c r="J215" i="42"/>
  <c r="M215" i="42" s="1"/>
  <c r="K220" i="41"/>
  <c r="M215" i="41"/>
  <c r="J211" i="41"/>
  <c r="M211" i="41" s="1"/>
  <c r="J212" i="41"/>
  <c r="M212" i="41" s="1"/>
  <c r="J213" i="41"/>
  <c r="M213" i="41" s="1"/>
  <c r="J214" i="41"/>
  <c r="M214" i="41" s="1"/>
  <c r="J215" i="41"/>
  <c r="C215" i="41"/>
  <c r="E215" i="41" s="1"/>
  <c r="G215" i="41" s="1"/>
  <c r="C215" i="42" s="1"/>
  <c r="E215" i="42" s="1"/>
  <c r="G215" i="42" s="1"/>
  <c r="C215" i="43" s="1"/>
  <c r="E215" i="43" s="1"/>
  <c r="G215" i="43" s="1"/>
  <c r="C215" i="44" s="1"/>
  <c r="E215" i="44" s="1"/>
  <c r="G215" i="44" s="1"/>
  <c r="C215" i="45" s="1"/>
  <c r="E215" i="45" s="1"/>
  <c r="G215" i="45" s="1"/>
  <c r="C215" i="46" s="1"/>
  <c r="E215" i="46" s="1"/>
  <c r="G215" i="46" s="1"/>
  <c r="C215" i="47" s="1"/>
  <c r="E215" i="47" s="1"/>
  <c r="G215" i="47" s="1"/>
  <c r="C215" i="48" s="1"/>
  <c r="E215" i="48" s="1"/>
  <c r="G215" i="48" s="1"/>
  <c r="C215" i="49" s="1"/>
  <c r="E215" i="49" s="1"/>
  <c r="G215" i="49" s="1"/>
  <c r="C215" i="50" s="1"/>
  <c r="E215" i="50" s="1"/>
  <c r="G215" i="50" s="1"/>
  <c r="E215" i="40"/>
  <c r="G215" i="40" s="1"/>
  <c r="J215" i="40"/>
  <c r="M215" i="40" s="1"/>
  <c r="J211" i="40"/>
  <c r="M211" i="40" s="1"/>
  <c r="J212" i="40"/>
  <c r="M212" i="40" s="1"/>
  <c r="J213" i="40"/>
  <c r="M213" i="40" s="1"/>
  <c r="J214" i="40"/>
  <c r="M214" i="40" s="1"/>
  <c r="K230" i="39"/>
  <c r="J211" i="39"/>
  <c r="M211" i="39" s="1"/>
  <c r="J212" i="39"/>
  <c r="M212" i="39" s="1"/>
  <c r="J213" i="39"/>
  <c r="M213" i="39" s="1"/>
  <c r="J214" i="39"/>
  <c r="M214" i="39" s="1"/>
  <c r="K230" i="38"/>
  <c r="J214" i="38"/>
  <c r="M214" i="38" s="1"/>
  <c r="J213" i="38"/>
  <c r="M213" i="38" s="1"/>
  <c r="J212" i="38"/>
  <c r="M212" i="38" s="1"/>
  <c r="J211" i="38"/>
  <c r="M211" i="38" s="1"/>
  <c r="K230" i="37" l="1"/>
  <c r="E211" i="37"/>
  <c r="E214" i="37"/>
  <c r="C211" i="37"/>
  <c r="J211" i="37"/>
  <c r="M211" i="37" s="1"/>
  <c r="C212" i="37"/>
  <c r="E212" i="37" s="1"/>
  <c r="G212" i="37" s="1"/>
  <c r="C212" i="38" s="1"/>
  <c r="E212" i="38" s="1"/>
  <c r="G212" i="38" s="1"/>
  <c r="C212" i="39" s="1"/>
  <c r="E212" i="39" s="1"/>
  <c r="G212" i="39" s="1"/>
  <c r="C212" i="40" s="1"/>
  <c r="E212" i="40" s="1"/>
  <c r="G212" i="40" s="1"/>
  <c r="C212" i="41" s="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2" i="45" s="1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J212" i="37"/>
  <c r="M212" i="37" s="1"/>
  <c r="C213" i="37"/>
  <c r="E213" i="37" s="1"/>
  <c r="G213" i="37" s="1"/>
  <c r="C213" i="38" s="1"/>
  <c r="E213" i="38" s="1"/>
  <c r="G213" i="38" s="1"/>
  <c r="C213" i="39" s="1"/>
  <c r="E213" i="39" s="1"/>
  <c r="G213" i="39" s="1"/>
  <c r="C213" i="40" s="1"/>
  <c r="E213" i="40" s="1"/>
  <c r="G213" i="40" s="1"/>
  <c r="C213" i="41" s="1"/>
  <c r="E213" i="41" s="1"/>
  <c r="G213" i="41" s="1"/>
  <c r="C213" i="42" s="1"/>
  <c r="E213" i="42" s="1"/>
  <c r="G213" i="42" s="1"/>
  <c r="C213" i="43" s="1"/>
  <c r="E213" i="43" s="1"/>
  <c r="G213" i="43" s="1"/>
  <c r="C213" i="44" s="1"/>
  <c r="E213" i="44" s="1"/>
  <c r="G213" i="44" s="1"/>
  <c r="C213" i="45" s="1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J213" i="37"/>
  <c r="M213" i="37" s="1"/>
  <c r="C214" i="37"/>
  <c r="J214" i="37"/>
  <c r="M214" i="37" s="1"/>
  <c r="K217" i="36"/>
  <c r="G214" i="37" l="1"/>
  <c r="C214" i="38" s="1"/>
  <c r="E214" i="38" s="1"/>
  <c r="G214" i="38" s="1"/>
  <c r="C214" i="39" s="1"/>
  <c r="E214" i="39" s="1"/>
  <c r="G214" i="39" s="1"/>
  <c r="C214" i="40" s="1"/>
  <c r="E214" i="40" s="1"/>
  <c r="G214" i="40" s="1"/>
  <c r="C214" i="41" s="1"/>
  <c r="E214" i="41" s="1"/>
  <c r="G214" i="41" s="1"/>
  <c r="C214" i="42" s="1"/>
  <c r="E214" i="42" s="1"/>
  <c r="G214" i="42" s="1"/>
  <c r="C214" i="43" s="1"/>
  <c r="E214" i="43" s="1"/>
  <c r="G214" i="43" s="1"/>
  <c r="C214" i="44" s="1"/>
  <c r="E214" i="44" s="1"/>
  <c r="G214" i="44" s="1"/>
  <c r="C214" i="45" s="1"/>
  <c r="E214" i="45" s="1"/>
  <c r="G214" i="45" s="1"/>
  <c r="C214" i="46" s="1"/>
  <c r="E214" i="46" s="1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G211" i="37"/>
  <c r="C211" i="38" s="1"/>
  <c r="E211" i="38" s="1"/>
  <c r="G211" i="38" s="1"/>
  <c r="C211" i="39" s="1"/>
  <c r="E211" i="39" s="1"/>
  <c r="G211" i="39" s="1"/>
  <c r="C211" i="40" s="1"/>
  <c r="E211" i="40" s="1"/>
  <c r="G211" i="40" s="1"/>
  <c r="C211" i="41" s="1"/>
  <c r="E211" i="41" s="1"/>
  <c r="G211" i="41" s="1"/>
  <c r="C211" i="42" s="1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J226" i="35"/>
  <c r="O225" i="35" l="1"/>
  <c r="O226" i="35" s="1"/>
  <c r="O227" i="35" s="1"/>
  <c r="N225" i="35"/>
  <c r="M225" i="35"/>
  <c r="K218" i="35"/>
  <c r="K217" i="35"/>
  <c r="K215" i="35"/>
  <c r="J225" i="35" s="1"/>
  <c r="J212" i="35"/>
  <c r="J210" i="35"/>
  <c r="M210" i="35" s="1"/>
  <c r="E210" i="35"/>
  <c r="G210" i="35" s="1"/>
  <c r="M209" i="35"/>
  <c r="J209" i="35"/>
  <c r="E209" i="35"/>
  <c r="G209" i="35" s="1"/>
  <c r="J208" i="35"/>
  <c r="M208" i="35" s="1"/>
  <c r="J207" i="35"/>
  <c r="M207" i="35" s="1"/>
  <c r="J206" i="35"/>
  <c r="M206" i="35" s="1"/>
  <c r="M205" i="35"/>
  <c r="J205" i="35"/>
  <c r="J204" i="35"/>
  <c r="M204" i="35" s="1"/>
  <c r="J203" i="35"/>
  <c r="M203" i="35" s="1"/>
  <c r="M202" i="35"/>
  <c r="J202" i="35"/>
  <c r="J201" i="35"/>
  <c r="M201" i="35" s="1"/>
  <c r="J200" i="35"/>
  <c r="M200" i="35" s="1"/>
  <c r="J199" i="35"/>
  <c r="M199" i="35" s="1"/>
  <c r="E199" i="35"/>
  <c r="G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M192" i="35"/>
  <c r="J192" i="35"/>
  <c r="J191" i="35"/>
  <c r="M191" i="35" s="1"/>
  <c r="J190" i="35"/>
  <c r="M190" i="35" s="1"/>
  <c r="M189" i="35"/>
  <c r="J188" i="35"/>
  <c r="M188" i="35" s="1"/>
  <c r="M187" i="35"/>
  <c r="J187" i="35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M168" i="35"/>
  <c r="J168" i="35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M153" i="35"/>
  <c r="J153" i="35"/>
  <c r="J152" i="35"/>
  <c r="M152" i="35" s="1"/>
  <c r="E152" i="35"/>
  <c r="G152" i="35" s="1"/>
  <c r="J151" i="35"/>
  <c r="M151" i="35" s="1"/>
  <c r="J150" i="35"/>
  <c r="M150" i="35" s="1"/>
  <c r="M149" i="35"/>
  <c r="J149" i="35"/>
  <c r="J148" i="35"/>
  <c r="M148" i="35" s="1"/>
  <c r="J147" i="35"/>
  <c r="M147" i="35" s="1"/>
  <c r="J146" i="35"/>
  <c r="M146" i="35" s="1"/>
  <c r="J145" i="35"/>
  <c r="M145" i="35" s="1"/>
  <c r="M144" i="35"/>
  <c r="J144" i="35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M134" i="35"/>
  <c r="J134" i="35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M123" i="35"/>
  <c r="J123" i="35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M115" i="35"/>
  <c r="J115" i="35"/>
  <c r="J114" i="35"/>
  <c r="M114" i="35" s="1"/>
  <c r="J113" i="35"/>
  <c r="M113" i="35" s="1"/>
  <c r="J112" i="35"/>
  <c r="M112" i="35" s="1"/>
  <c r="J111" i="35"/>
  <c r="M111" i="35" s="1"/>
  <c r="J110" i="35"/>
  <c r="M110" i="35" s="1"/>
  <c r="M109" i="35"/>
  <c r="J109" i="35"/>
  <c r="J108" i="35"/>
  <c r="M108" i="35" s="1"/>
  <c r="X107" i="35"/>
  <c r="J107" i="35"/>
  <c r="M107" i="35" s="1"/>
  <c r="J106" i="35"/>
  <c r="M106" i="35" s="1"/>
  <c r="Z105" i="35"/>
  <c r="J105" i="35"/>
  <c r="M105" i="35" s="1"/>
  <c r="Q104" i="35"/>
  <c r="S104" i="35" s="1"/>
  <c r="U104" i="35" s="1"/>
  <c r="J104" i="35"/>
  <c r="M104" i="35" s="1"/>
  <c r="Q103" i="35"/>
  <c r="S103" i="35" s="1"/>
  <c r="U103" i="35" s="1"/>
  <c r="J103" i="35"/>
  <c r="M103" i="35" s="1"/>
  <c r="Q102" i="35"/>
  <c r="S102" i="35" s="1"/>
  <c r="U102" i="35" s="1"/>
  <c r="J102" i="35"/>
  <c r="M102" i="35" s="1"/>
  <c r="Q101" i="35"/>
  <c r="S101" i="35" s="1"/>
  <c r="U101" i="35" s="1"/>
  <c r="J101" i="35"/>
  <c r="M101" i="35" s="1"/>
  <c r="Q100" i="35"/>
  <c r="S100" i="35" s="1"/>
  <c r="U100" i="35" s="1"/>
  <c r="J100" i="35"/>
  <c r="M100" i="35" s="1"/>
  <c r="Q99" i="35"/>
  <c r="S99" i="35" s="1"/>
  <c r="U99" i="35" s="1"/>
  <c r="J99" i="35"/>
  <c r="M99" i="35" s="1"/>
  <c r="Q98" i="35"/>
  <c r="S98" i="35" s="1"/>
  <c r="U98" i="35" s="1"/>
  <c r="J98" i="35"/>
  <c r="M98" i="35" s="1"/>
  <c r="Q97" i="35"/>
  <c r="S97" i="35" s="1"/>
  <c r="U97" i="35" s="1"/>
  <c r="J97" i="35"/>
  <c r="M97" i="35" s="1"/>
  <c r="Q96" i="35"/>
  <c r="S96" i="35" s="1"/>
  <c r="U96" i="35" s="1"/>
  <c r="J96" i="35"/>
  <c r="M96" i="35" s="1"/>
  <c r="Q95" i="35"/>
  <c r="S95" i="35" s="1"/>
  <c r="U95" i="35" s="1"/>
  <c r="J95" i="35"/>
  <c r="M95" i="35" s="1"/>
  <c r="Q94" i="35"/>
  <c r="S94" i="35" s="1"/>
  <c r="U94" i="35" s="1"/>
  <c r="J94" i="35"/>
  <c r="M94" i="35" s="1"/>
  <c r="Q93" i="35"/>
  <c r="S93" i="35" s="1"/>
  <c r="U93" i="35" s="1"/>
  <c r="J93" i="35"/>
  <c r="M93" i="35" s="1"/>
  <c r="Q92" i="35"/>
  <c r="S92" i="35" s="1"/>
  <c r="U92" i="35" s="1"/>
  <c r="J92" i="35"/>
  <c r="M92" i="35" s="1"/>
  <c r="Q91" i="35"/>
  <c r="S91" i="35" s="1"/>
  <c r="U91" i="35" s="1"/>
  <c r="J91" i="35"/>
  <c r="M91" i="35" s="1"/>
  <c r="Q90" i="35"/>
  <c r="S90" i="35" s="1"/>
  <c r="U90" i="35" s="1"/>
  <c r="J90" i="35"/>
  <c r="M90" i="35" s="1"/>
  <c r="Q89" i="35"/>
  <c r="S89" i="35" s="1"/>
  <c r="U89" i="35" s="1"/>
  <c r="J89" i="35"/>
  <c r="M89" i="35" s="1"/>
  <c r="Q88" i="35"/>
  <c r="S88" i="35" s="1"/>
  <c r="U88" i="35" s="1"/>
  <c r="J88" i="35"/>
  <c r="M88" i="35" s="1"/>
  <c r="Q87" i="35"/>
  <c r="S87" i="35" s="1"/>
  <c r="U87" i="35" s="1"/>
  <c r="J87" i="35"/>
  <c r="M87" i="35" s="1"/>
  <c r="Q86" i="35"/>
  <c r="S86" i="35" s="1"/>
  <c r="U86" i="35" s="1"/>
  <c r="J86" i="35"/>
  <c r="M86" i="35" s="1"/>
  <c r="Q85" i="35"/>
  <c r="S85" i="35" s="1"/>
  <c r="U85" i="35" s="1"/>
  <c r="J85" i="35"/>
  <c r="M85" i="35" s="1"/>
  <c r="Q84" i="35"/>
  <c r="S84" i="35" s="1"/>
  <c r="U84" i="35" s="1"/>
  <c r="J84" i="35"/>
  <c r="M84" i="35" s="1"/>
  <c r="Q83" i="35"/>
  <c r="S83" i="35" s="1"/>
  <c r="U83" i="35" s="1"/>
  <c r="J83" i="35"/>
  <c r="M83" i="35" s="1"/>
  <c r="U82" i="35"/>
  <c r="Q82" i="35"/>
  <c r="S82" i="35" s="1"/>
  <c r="J82" i="35"/>
  <c r="M82" i="35" s="1"/>
  <c r="Q81" i="35"/>
  <c r="S81" i="35" s="1"/>
  <c r="U81" i="35" s="1"/>
  <c r="J81" i="35"/>
  <c r="M81" i="35" s="1"/>
  <c r="Q80" i="35"/>
  <c r="S80" i="35" s="1"/>
  <c r="U80" i="35" s="1"/>
  <c r="J80" i="35"/>
  <c r="M80" i="35" s="1"/>
  <c r="Q79" i="35"/>
  <c r="S79" i="35" s="1"/>
  <c r="U79" i="35" s="1"/>
  <c r="J79" i="35"/>
  <c r="M79" i="35" s="1"/>
  <c r="U78" i="35"/>
  <c r="Q78" i="35"/>
  <c r="S78" i="35" s="1"/>
  <c r="J78" i="35"/>
  <c r="M78" i="35" s="1"/>
  <c r="Q77" i="35"/>
  <c r="S77" i="35" s="1"/>
  <c r="U77" i="35" s="1"/>
  <c r="J77" i="35"/>
  <c r="M77" i="35" s="1"/>
  <c r="Q76" i="35"/>
  <c r="S76" i="35" s="1"/>
  <c r="U76" i="35" s="1"/>
  <c r="J76" i="35"/>
  <c r="M76" i="35" s="1"/>
  <c r="Q75" i="35"/>
  <c r="S75" i="35" s="1"/>
  <c r="U75" i="35" s="1"/>
  <c r="J75" i="35"/>
  <c r="M75" i="35" s="1"/>
  <c r="Q74" i="35"/>
  <c r="S74" i="35" s="1"/>
  <c r="U74" i="35" s="1"/>
  <c r="J74" i="35"/>
  <c r="M74" i="35" s="1"/>
  <c r="Q73" i="35"/>
  <c r="S73" i="35" s="1"/>
  <c r="U73" i="35" s="1"/>
  <c r="J73" i="35"/>
  <c r="M73" i="35" s="1"/>
  <c r="Q72" i="35"/>
  <c r="S72" i="35" s="1"/>
  <c r="U72" i="35" s="1"/>
  <c r="M72" i="35"/>
  <c r="J72" i="35"/>
  <c r="Q71" i="35"/>
  <c r="S71" i="35" s="1"/>
  <c r="U71" i="35" s="1"/>
  <c r="M71" i="35"/>
  <c r="J71" i="35"/>
  <c r="Q70" i="35"/>
  <c r="S70" i="35" s="1"/>
  <c r="U70" i="35" s="1"/>
  <c r="J70" i="35"/>
  <c r="M70" i="35" s="1"/>
  <c r="Q69" i="35"/>
  <c r="S69" i="35" s="1"/>
  <c r="U69" i="35" s="1"/>
  <c r="M69" i="35"/>
  <c r="J69" i="35"/>
  <c r="Q68" i="35"/>
  <c r="S68" i="35" s="1"/>
  <c r="U68" i="35" s="1"/>
  <c r="J68" i="35"/>
  <c r="M68" i="35" s="1"/>
  <c r="Q67" i="35"/>
  <c r="S67" i="35" s="1"/>
  <c r="U67" i="35" s="1"/>
  <c r="J67" i="35"/>
  <c r="M67" i="35" s="1"/>
  <c r="Q66" i="35"/>
  <c r="S66" i="35" s="1"/>
  <c r="U66" i="35" s="1"/>
  <c r="J66" i="35"/>
  <c r="M66" i="35" s="1"/>
  <c r="Q65" i="35"/>
  <c r="S65" i="35" s="1"/>
  <c r="U65" i="35" s="1"/>
  <c r="J65" i="35"/>
  <c r="M65" i="35" s="1"/>
  <c r="Q64" i="35"/>
  <c r="S64" i="35" s="1"/>
  <c r="U64" i="35" s="1"/>
  <c r="M64" i="35"/>
  <c r="J64" i="35"/>
  <c r="Q63" i="35"/>
  <c r="S63" i="35" s="1"/>
  <c r="U63" i="35" s="1"/>
  <c r="M63" i="35"/>
  <c r="J63" i="35"/>
  <c r="Q62" i="35"/>
  <c r="S62" i="35" s="1"/>
  <c r="U62" i="35" s="1"/>
  <c r="J62" i="35"/>
  <c r="M62" i="35" s="1"/>
  <c r="Q61" i="35"/>
  <c r="S61" i="35" s="1"/>
  <c r="U61" i="35" s="1"/>
  <c r="M61" i="35"/>
  <c r="J61" i="35"/>
  <c r="Q60" i="35"/>
  <c r="S60" i="35" s="1"/>
  <c r="U60" i="35" s="1"/>
  <c r="J60" i="35"/>
  <c r="M60" i="35" s="1"/>
  <c r="Q59" i="35"/>
  <c r="S59" i="35" s="1"/>
  <c r="U59" i="35" s="1"/>
  <c r="J59" i="35"/>
  <c r="M59" i="35" s="1"/>
  <c r="Q58" i="35"/>
  <c r="S58" i="35" s="1"/>
  <c r="U58" i="35" s="1"/>
  <c r="J58" i="35"/>
  <c r="M58" i="35" s="1"/>
  <c r="S57" i="35"/>
  <c r="U57" i="35" s="1"/>
  <c r="Q57" i="35"/>
  <c r="J57" i="35"/>
  <c r="M57" i="35" s="1"/>
  <c r="Q56" i="35"/>
  <c r="S56" i="35" s="1"/>
  <c r="U56" i="35" s="1"/>
  <c r="J56" i="35"/>
  <c r="M56" i="35" s="1"/>
  <c r="S55" i="35"/>
  <c r="U55" i="35" s="1"/>
  <c r="Q55" i="35"/>
  <c r="J55" i="35"/>
  <c r="M55" i="35" s="1"/>
  <c r="Q54" i="35"/>
  <c r="S54" i="35" s="1"/>
  <c r="U54" i="35" s="1"/>
  <c r="J54" i="35"/>
  <c r="M54" i="35" s="1"/>
  <c r="Q53" i="35"/>
  <c r="S53" i="35" s="1"/>
  <c r="U53" i="35" s="1"/>
  <c r="J53" i="35"/>
  <c r="M53" i="35" s="1"/>
  <c r="Q52" i="35"/>
  <c r="S52" i="35" s="1"/>
  <c r="U52" i="35" s="1"/>
  <c r="M52" i="35"/>
  <c r="J52" i="35"/>
  <c r="Q51" i="35"/>
  <c r="S51" i="35" s="1"/>
  <c r="U51" i="35" s="1"/>
  <c r="J51" i="35"/>
  <c r="M51" i="35" s="1"/>
  <c r="Q50" i="35"/>
  <c r="S50" i="35" s="1"/>
  <c r="U50" i="35" s="1"/>
  <c r="J50" i="35"/>
  <c r="M50" i="35" s="1"/>
  <c r="Q49" i="35"/>
  <c r="S49" i="35" s="1"/>
  <c r="U49" i="35" s="1"/>
  <c r="J49" i="35"/>
  <c r="M49" i="35" s="1"/>
  <c r="Q48" i="35"/>
  <c r="S48" i="35" s="1"/>
  <c r="U48" i="35" s="1"/>
  <c r="J48" i="35"/>
  <c r="M48" i="35" s="1"/>
  <c r="Q47" i="35"/>
  <c r="S47" i="35" s="1"/>
  <c r="U47" i="35" s="1"/>
  <c r="J47" i="35"/>
  <c r="M47" i="35" s="1"/>
  <c r="Q46" i="35"/>
  <c r="S46" i="35" s="1"/>
  <c r="U46" i="35" s="1"/>
  <c r="J46" i="35"/>
  <c r="M46" i="35" s="1"/>
  <c r="Q45" i="35"/>
  <c r="S45" i="35" s="1"/>
  <c r="U45" i="35" s="1"/>
  <c r="J45" i="35"/>
  <c r="M45" i="35" s="1"/>
  <c r="Q44" i="35"/>
  <c r="S44" i="35" s="1"/>
  <c r="U44" i="35" s="1"/>
  <c r="J44" i="35"/>
  <c r="M44" i="35" s="1"/>
  <c r="Q43" i="35"/>
  <c r="S43" i="35" s="1"/>
  <c r="U43" i="35" s="1"/>
  <c r="J43" i="35"/>
  <c r="M43" i="35" s="1"/>
  <c r="Q42" i="35"/>
  <c r="S42" i="35" s="1"/>
  <c r="U42" i="35" s="1"/>
  <c r="J42" i="35"/>
  <c r="M42" i="35" s="1"/>
  <c r="Q41" i="35"/>
  <c r="S41" i="35" s="1"/>
  <c r="U41" i="35" s="1"/>
  <c r="J41" i="35"/>
  <c r="M41" i="35" s="1"/>
  <c r="Q40" i="35"/>
  <c r="S40" i="35" s="1"/>
  <c r="U40" i="35" s="1"/>
  <c r="J40" i="35"/>
  <c r="M40" i="35" s="1"/>
  <c r="Q39" i="35"/>
  <c r="S39" i="35" s="1"/>
  <c r="U39" i="35" s="1"/>
  <c r="J39" i="35"/>
  <c r="M39" i="35" s="1"/>
  <c r="Q38" i="35"/>
  <c r="S38" i="35" s="1"/>
  <c r="U38" i="35" s="1"/>
  <c r="J38" i="35"/>
  <c r="M38" i="35" s="1"/>
  <c r="Q37" i="35"/>
  <c r="S37" i="35" s="1"/>
  <c r="U37" i="35" s="1"/>
  <c r="J37" i="35"/>
  <c r="M37" i="35" s="1"/>
  <c r="Q36" i="35"/>
  <c r="S36" i="35" s="1"/>
  <c r="U36" i="35" s="1"/>
  <c r="M36" i="35"/>
  <c r="J36" i="35"/>
  <c r="Q35" i="35"/>
  <c r="S35" i="35" s="1"/>
  <c r="U35" i="35" s="1"/>
  <c r="J35" i="35"/>
  <c r="M35" i="35" s="1"/>
  <c r="Q34" i="35"/>
  <c r="S34" i="35" s="1"/>
  <c r="U34" i="35" s="1"/>
  <c r="J34" i="35"/>
  <c r="M34" i="35" s="1"/>
  <c r="Q33" i="35"/>
  <c r="S33" i="35" s="1"/>
  <c r="U33" i="35" s="1"/>
  <c r="J33" i="35"/>
  <c r="M33" i="35" s="1"/>
  <c r="Q32" i="35"/>
  <c r="S32" i="35" s="1"/>
  <c r="U32" i="35" s="1"/>
  <c r="J32" i="35"/>
  <c r="M32" i="35" s="1"/>
  <c r="Q31" i="35"/>
  <c r="S31" i="35" s="1"/>
  <c r="U31" i="35" s="1"/>
  <c r="J31" i="35"/>
  <c r="M31" i="35" s="1"/>
  <c r="Q30" i="35"/>
  <c r="S30" i="35" s="1"/>
  <c r="U30" i="35" s="1"/>
  <c r="J30" i="35"/>
  <c r="M30" i="35" s="1"/>
  <c r="Q29" i="35"/>
  <c r="S29" i="35" s="1"/>
  <c r="U29" i="35" s="1"/>
  <c r="J29" i="35"/>
  <c r="M29" i="35" s="1"/>
  <c r="Q28" i="35"/>
  <c r="S28" i="35" s="1"/>
  <c r="U28" i="35" s="1"/>
  <c r="J28" i="35"/>
  <c r="M28" i="35" s="1"/>
  <c r="Q27" i="35"/>
  <c r="S27" i="35" s="1"/>
  <c r="U27" i="35" s="1"/>
  <c r="J27" i="35"/>
  <c r="M27" i="35" s="1"/>
  <c r="Q26" i="35"/>
  <c r="S26" i="35" s="1"/>
  <c r="U26" i="35" s="1"/>
  <c r="J26" i="35"/>
  <c r="M26" i="35" s="1"/>
  <c r="Q25" i="35"/>
  <c r="S25" i="35" s="1"/>
  <c r="U25" i="35" s="1"/>
  <c r="J25" i="35"/>
  <c r="M25" i="35" s="1"/>
  <c r="Q24" i="35"/>
  <c r="S24" i="35" s="1"/>
  <c r="U24" i="35" s="1"/>
  <c r="J24" i="35"/>
  <c r="M24" i="35" s="1"/>
  <c r="Q23" i="35"/>
  <c r="S23" i="35" s="1"/>
  <c r="U23" i="35" s="1"/>
  <c r="J23" i="35"/>
  <c r="M23" i="35" s="1"/>
  <c r="Q22" i="35"/>
  <c r="S22" i="35" s="1"/>
  <c r="U22" i="35" s="1"/>
  <c r="J22" i="35"/>
  <c r="M22" i="35" s="1"/>
  <c r="Q21" i="35"/>
  <c r="S21" i="35" s="1"/>
  <c r="U21" i="35" s="1"/>
  <c r="J21" i="35"/>
  <c r="M21" i="35" s="1"/>
  <c r="Q20" i="35"/>
  <c r="S20" i="35" s="1"/>
  <c r="U20" i="35" s="1"/>
  <c r="M20" i="35"/>
  <c r="J20" i="35"/>
  <c r="Q19" i="35"/>
  <c r="S19" i="35" s="1"/>
  <c r="U19" i="35" s="1"/>
  <c r="J19" i="35"/>
  <c r="M19" i="35" s="1"/>
  <c r="Q18" i="35"/>
  <c r="S18" i="35" s="1"/>
  <c r="U18" i="35" s="1"/>
  <c r="J18" i="35"/>
  <c r="M18" i="35" s="1"/>
  <c r="Q17" i="35"/>
  <c r="S17" i="35" s="1"/>
  <c r="U17" i="35" s="1"/>
  <c r="J17" i="35"/>
  <c r="M17" i="35" s="1"/>
  <c r="Q16" i="35"/>
  <c r="S16" i="35" s="1"/>
  <c r="U16" i="35" s="1"/>
  <c r="J16" i="35"/>
  <c r="M16" i="35" s="1"/>
  <c r="Q15" i="35"/>
  <c r="S15" i="35" s="1"/>
  <c r="U15" i="35" s="1"/>
  <c r="J15" i="35"/>
  <c r="M15" i="35" s="1"/>
  <c r="Q14" i="35"/>
  <c r="S14" i="35" s="1"/>
  <c r="U14" i="35" s="1"/>
  <c r="J14" i="35"/>
  <c r="M14" i="35" s="1"/>
  <c r="Q13" i="35"/>
  <c r="S13" i="35" s="1"/>
  <c r="U13" i="35" s="1"/>
  <c r="J13" i="35"/>
  <c r="M13" i="35" s="1"/>
  <c r="Q12" i="35"/>
  <c r="S12" i="35" s="1"/>
  <c r="U12" i="35" s="1"/>
  <c r="J12" i="35"/>
  <c r="M12" i="35" s="1"/>
  <c r="Q11" i="35"/>
  <c r="S11" i="35" s="1"/>
  <c r="U11" i="35" s="1"/>
  <c r="J11" i="35"/>
  <c r="M11" i="35" s="1"/>
  <c r="S10" i="35"/>
  <c r="U10" i="35" s="1"/>
  <c r="Q10" i="35"/>
  <c r="J10" i="35"/>
  <c r="M10" i="35" s="1"/>
  <c r="Q9" i="35"/>
  <c r="S9" i="35" s="1"/>
  <c r="U9" i="35" s="1"/>
  <c r="J9" i="35"/>
  <c r="M9" i="35" s="1"/>
  <c r="S8" i="35"/>
  <c r="U8" i="35" s="1"/>
  <c r="J8" i="35"/>
  <c r="M8" i="35" s="1"/>
  <c r="U7" i="35"/>
  <c r="S7" i="35"/>
  <c r="J7" i="35"/>
  <c r="M7" i="35" s="1"/>
  <c r="S6" i="35"/>
  <c r="U6" i="35" s="1"/>
  <c r="J6" i="35"/>
  <c r="M6" i="35" s="1"/>
  <c r="S5" i="35"/>
  <c r="U5" i="35" s="1"/>
  <c r="J5" i="35"/>
  <c r="K213" i="35" s="1"/>
  <c r="K221" i="38"/>
  <c r="J228" i="33"/>
  <c r="O227" i="33"/>
  <c r="N227" i="33"/>
  <c r="N228" i="33" s="1"/>
  <c r="M227" i="33"/>
  <c r="K220" i="33"/>
  <c r="K217" i="33"/>
  <c r="J227" i="33" s="1"/>
  <c r="J214" i="33"/>
  <c r="J212" i="33"/>
  <c r="M212" i="33" s="1"/>
  <c r="C212" i="33"/>
  <c r="E212" i="33" s="1"/>
  <c r="G212" i="33" s="1"/>
  <c r="J211" i="33"/>
  <c r="M211" i="33" s="1"/>
  <c r="C211" i="33"/>
  <c r="E211" i="33" s="1"/>
  <c r="G211" i="33" s="1"/>
  <c r="J210" i="33"/>
  <c r="M210" i="33" s="1"/>
  <c r="C210" i="33"/>
  <c r="E210" i="33" s="1"/>
  <c r="G210" i="33" s="1"/>
  <c r="M209" i="33"/>
  <c r="J209" i="33"/>
  <c r="C209" i="33"/>
  <c r="E209" i="33" s="1"/>
  <c r="G209" i="33" s="1"/>
  <c r="M208" i="33"/>
  <c r="J208" i="33"/>
  <c r="C208" i="33"/>
  <c r="E208" i="33" s="1"/>
  <c r="G208" i="33" s="1"/>
  <c r="C208" i="35" s="1"/>
  <c r="J207" i="33"/>
  <c r="M207" i="33" s="1"/>
  <c r="C207" i="33"/>
  <c r="E207" i="33" s="1"/>
  <c r="G207" i="33" s="1"/>
  <c r="C207" i="35" s="1"/>
  <c r="J206" i="33"/>
  <c r="M206" i="33" s="1"/>
  <c r="C206" i="33"/>
  <c r="E206" i="33" s="1"/>
  <c r="G206" i="33" s="1"/>
  <c r="C206" i="35" s="1"/>
  <c r="J205" i="33"/>
  <c r="M205" i="33" s="1"/>
  <c r="C205" i="33"/>
  <c r="E205" i="33" s="1"/>
  <c r="G205" i="33" s="1"/>
  <c r="C205" i="35" s="1"/>
  <c r="J204" i="33"/>
  <c r="M204" i="33" s="1"/>
  <c r="C204" i="33"/>
  <c r="E204" i="33" s="1"/>
  <c r="G204" i="33" s="1"/>
  <c r="C204" i="35" s="1"/>
  <c r="J203" i="33"/>
  <c r="M203" i="33" s="1"/>
  <c r="C203" i="33"/>
  <c r="E203" i="33" s="1"/>
  <c r="G203" i="33" s="1"/>
  <c r="C203" i="35" s="1"/>
  <c r="J202" i="33"/>
  <c r="M202" i="33" s="1"/>
  <c r="C202" i="33"/>
  <c r="E202" i="33" s="1"/>
  <c r="G202" i="33" s="1"/>
  <c r="C202" i="35" s="1"/>
  <c r="J201" i="33"/>
  <c r="M201" i="33" s="1"/>
  <c r="C201" i="33"/>
  <c r="E201" i="33" s="1"/>
  <c r="G201" i="33" s="1"/>
  <c r="C201" i="35" s="1"/>
  <c r="J200" i="33"/>
  <c r="M200" i="33" s="1"/>
  <c r="C200" i="33"/>
  <c r="E200" i="33" s="1"/>
  <c r="G200" i="33" s="1"/>
  <c r="C200" i="35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C198" i="35" s="1"/>
  <c r="J197" i="33"/>
  <c r="M197" i="33" s="1"/>
  <c r="C197" i="33"/>
  <c r="E197" i="33" s="1"/>
  <c r="G197" i="33" s="1"/>
  <c r="C197" i="35" s="1"/>
  <c r="J196" i="33"/>
  <c r="M196" i="33" s="1"/>
  <c r="C196" i="33"/>
  <c r="E196" i="33" s="1"/>
  <c r="G196" i="33" s="1"/>
  <c r="C196" i="35" s="1"/>
  <c r="J195" i="33"/>
  <c r="M195" i="33" s="1"/>
  <c r="C195" i="33"/>
  <c r="E195" i="33" s="1"/>
  <c r="G195" i="33" s="1"/>
  <c r="C195" i="35" s="1"/>
  <c r="J194" i="33"/>
  <c r="M194" i="33" s="1"/>
  <c r="C194" i="33"/>
  <c r="E194" i="33" s="1"/>
  <c r="G194" i="33" s="1"/>
  <c r="C194" i="35" s="1"/>
  <c r="M193" i="33"/>
  <c r="J193" i="33"/>
  <c r="C193" i="33"/>
  <c r="E193" i="33" s="1"/>
  <c r="G193" i="33" s="1"/>
  <c r="C193" i="35" s="1"/>
  <c r="M192" i="33"/>
  <c r="J192" i="33"/>
  <c r="C192" i="33"/>
  <c r="E192" i="33" s="1"/>
  <c r="G192" i="33" s="1"/>
  <c r="C192" i="35" s="1"/>
  <c r="J191" i="33"/>
  <c r="M191" i="33" s="1"/>
  <c r="E191" i="33"/>
  <c r="G191" i="33" s="1"/>
  <c r="C191" i="35" s="1"/>
  <c r="C191" i="33"/>
  <c r="J190" i="33"/>
  <c r="M190" i="33" s="1"/>
  <c r="C190" i="33"/>
  <c r="E190" i="33" s="1"/>
  <c r="G190" i="33" s="1"/>
  <c r="C190" i="35" s="1"/>
  <c r="M189" i="33"/>
  <c r="C189" i="33"/>
  <c r="E189" i="33" s="1"/>
  <c r="G189" i="33" s="1"/>
  <c r="C189" i="35" s="1"/>
  <c r="J188" i="33"/>
  <c r="M188" i="33" s="1"/>
  <c r="C188" i="33"/>
  <c r="E188" i="33" s="1"/>
  <c r="G188" i="33" s="1"/>
  <c r="C188" i="35" s="1"/>
  <c r="J187" i="33"/>
  <c r="M187" i="33" s="1"/>
  <c r="C187" i="33"/>
  <c r="E187" i="33" s="1"/>
  <c r="G187" i="33" s="1"/>
  <c r="C187" i="35" s="1"/>
  <c r="J186" i="33"/>
  <c r="M186" i="33" s="1"/>
  <c r="C186" i="33"/>
  <c r="E186" i="33" s="1"/>
  <c r="G186" i="33" s="1"/>
  <c r="C186" i="35" s="1"/>
  <c r="M185" i="33"/>
  <c r="J185" i="33"/>
  <c r="C185" i="33"/>
  <c r="E185" i="33" s="1"/>
  <c r="G185" i="33" s="1"/>
  <c r="C185" i="35" s="1"/>
  <c r="J184" i="33"/>
  <c r="M184" i="33" s="1"/>
  <c r="C184" i="33"/>
  <c r="E184" i="33" s="1"/>
  <c r="G184" i="33" s="1"/>
  <c r="C184" i="35" s="1"/>
  <c r="J183" i="33"/>
  <c r="M183" i="33" s="1"/>
  <c r="C183" i="33"/>
  <c r="E183" i="33" s="1"/>
  <c r="G183" i="33" s="1"/>
  <c r="C183" i="35" s="1"/>
  <c r="J182" i="33"/>
  <c r="M182" i="33" s="1"/>
  <c r="C182" i="33"/>
  <c r="E182" i="33" s="1"/>
  <c r="G182" i="33" s="1"/>
  <c r="C182" i="35" s="1"/>
  <c r="J181" i="33"/>
  <c r="M181" i="33" s="1"/>
  <c r="C181" i="33"/>
  <c r="E181" i="33" s="1"/>
  <c r="G181" i="33" s="1"/>
  <c r="C181" i="35" s="1"/>
  <c r="J180" i="33"/>
  <c r="M180" i="33" s="1"/>
  <c r="C180" i="33"/>
  <c r="E180" i="33" s="1"/>
  <c r="G180" i="33" s="1"/>
  <c r="C180" i="35" s="1"/>
  <c r="J179" i="33"/>
  <c r="M179" i="33" s="1"/>
  <c r="C179" i="33"/>
  <c r="E179" i="33" s="1"/>
  <c r="G179" i="33" s="1"/>
  <c r="C179" i="35" s="1"/>
  <c r="J178" i="33"/>
  <c r="M178" i="33" s="1"/>
  <c r="C178" i="33"/>
  <c r="E178" i="33" s="1"/>
  <c r="G178" i="33" s="1"/>
  <c r="C178" i="35" s="1"/>
  <c r="J177" i="33"/>
  <c r="M177" i="33" s="1"/>
  <c r="C177" i="33"/>
  <c r="E177" i="33" s="1"/>
  <c r="G177" i="33" s="1"/>
  <c r="C177" i="35" s="1"/>
  <c r="J176" i="33"/>
  <c r="M176" i="33" s="1"/>
  <c r="E176" i="33"/>
  <c r="G176" i="33" s="1"/>
  <c r="C176" i="35" s="1"/>
  <c r="C176" i="33"/>
  <c r="J175" i="33"/>
  <c r="M175" i="33" s="1"/>
  <c r="C175" i="33"/>
  <c r="E175" i="33" s="1"/>
  <c r="G175" i="33" s="1"/>
  <c r="C175" i="35" s="1"/>
  <c r="J174" i="33"/>
  <c r="M174" i="33" s="1"/>
  <c r="C174" i="33"/>
  <c r="E174" i="33" s="1"/>
  <c r="G174" i="33" s="1"/>
  <c r="C174" i="35" s="1"/>
  <c r="J173" i="33"/>
  <c r="M173" i="33" s="1"/>
  <c r="C173" i="33"/>
  <c r="E173" i="33" s="1"/>
  <c r="G173" i="33" s="1"/>
  <c r="C173" i="35" s="1"/>
  <c r="M172" i="33"/>
  <c r="J172" i="33"/>
  <c r="C172" i="33"/>
  <c r="E172" i="33" s="1"/>
  <c r="G172" i="33" s="1"/>
  <c r="C172" i="35" s="1"/>
  <c r="M171" i="33"/>
  <c r="J171" i="33"/>
  <c r="C171" i="33"/>
  <c r="E171" i="33" s="1"/>
  <c r="G171" i="33" s="1"/>
  <c r="C171" i="35" s="1"/>
  <c r="J170" i="33"/>
  <c r="M170" i="33" s="1"/>
  <c r="E170" i="33"/>
  <c r="G170" i="33" s="1"/>
  <c r="C170" i="35" s="1"/>
  <c r="C170" i="33"/>
  <c r="J169" i="33"/>
  <c r="M169" i="33" s="1"/>
  <c r="C169" i="33"/>
  <c r="E169" i="33" s="1"/>
  <c r="G169" i="33" s="1"/>
  <c r="C169" i="35" s="1"/>
  <c r="J168" i="33"/>
  <c r="M168" i="33" s="1"/>
  <c r="C168" i="33"/>
  <c r="E168" i="33" s="1"/>
  <c r="G168" i="33" s="1"/>
  <c r="C168" i="35" s="1"/>
  <c r="J167" i="33"/>
  <c r="M167" i="33" s="1"/>
  <c r="C167" i="33"/>
  <c r="E167" i="33" s="1"/>
  <c r="G167" i="33" s="1"/>
  <c r="C167" i="35" s="1"/>
  <c r="J166" i="33"/>
  <c r="M166" i="33" s="1"/>
  <c r="C166" i="33"/>
  <c r="E166" i="33" s="1"/>
  <c r="G166" i="33" s="1"/>
  <c r="C166" i="35" s="1"/>
  <c r="J165" i="33"/>
  <c r="M165" i="33" s="1"/>
  <c r="C165" i="33"/>
  <c r="E165" i="33" s="1"/>
  <c r="G165" i="33" s="1"/>
  <c r="C165" i="35" s="1"/>
  <c r="J164" i="33"/>
  <c r="M164" i="33" s="1"/>
  <c r="C164" i="33"/>
  <c r="E164" i="33" s="1"/>
  <c r="G164" i="33" s="1"/>
  <c r="C164" i="35" s="1"/>
  <c r="M163" i="33"/>
  <c r="J163" i="33"/>
  <c r="C163" i="33"/>
  <c r="E163" i="33" s="1"/>
  <c r="G163" i="33" s="1"/>
  <c r="C163" i="35" s="1"/>
  <c r="J162" i="33"/>
  <c r="M162" i="33" s="1"/>
  <c r="C162" i="33"/>
  <c r="E162" i="33" s="1"/>
  <c r="G162" i="33" s="1"/>
  <c r="C162" i="35" s="1"/>
  <c r="J161" i="33"/>
  <c r="M161" i="33" s="1"/>
  <c r="C161" i="33"/>
  <c r="E161" i="33" s="1"/>
  <c r="G161" i="33" s="1"/>
  <c r="C161" i="35" s="1"/>
  <c r="J160" i="33"/>
  <c r="M160" i="33" s="1"/>
  <c r="C160" i="33"/>
  <c r="E160" i="33" s="1"/>
  <c r="G160" i="33" s="1"/>
  <c r="C160" i="35" s="1"/>
  <c r="M159" i="33"/>
  <c r="J159" i="33"/>
  <c r="C159" i="33"/>
  <c r="E159" i="33" s="1"/>
  <c r="G159" i="33" s="1"/>
  <c r="C159" i="35" s="1"/>
  <c r="J158" i="33"/>
  <c r="M158" i="33" s="1"/>
  <c r="C158" i="33"/>
  <c r="E158" i="33" s="1"/>
  <c r="G158" i="33" s="1"/>
  <c r="C158" i="35" s="1"/>
  <c r="J157" i="33"/>
  <c r="M157" i="33" s="1"/>
  <c r="C157" i="33"/>
  <c r="E157" i="33" s="1"/>
  <c r="G157" i="33" s="1"/>
  <c r="C157" i="35" s="1"/>
  <c r="J156" i="33"/>
  <c r="M156" i="33" s="1"/>
  <c r="C156" i="33"/>
  <c r="E156" i="33" s="1"/>
  <c r="G156" i="33" s="1"/>
  <c r="C156" i="35" s="1"/>
  <c r="J155" i="33"/>
  <c r="M155" i="33" s="1"/>
  <c r="C155" i="33"/>
  <c r="E155" i="33" s="1"/>
  <c r="G155" i="33" s="1"/>
  <c r="C155" i="35" s="1"/>
  <c r="J154" i="33"/>
  <c r="M154" i="33" s="1"/>
  <c r="C154" i="33"/>
  <c r="E154" i="33" s="1"/>
  <c r="G154" i="33" s="1"/>
  <c r="C154" i="35" s="1"/>
  <c r="J153" i="33"/>
  <c r="M153" i="33" s="1"/>
  <c r="C153" i="33"/>
  <c r="E153" i="33" s="1"/>
  <c r="G153" i="33" s="1"/>
  <c r="C153" i="35" s="1"/>
  <c r="J152" i="33"/>
  <c r="M152" i="33" s="1"/>
  <c r="C152" i="33"/>
  <c r="E152" i="33" s="1"/>
  <c r="G152" i="33" s="1"/>
  <c r="J151" i="33"/>
  <c r="M151" i="33" s="1"/>
  <c r="C151" i="33"/>
  <c r="E151" i="33" s="1"/>
  <c r="G151" i="33" s="1"/>
  <c r="C151" i="35" s="1"/>
  <c r="J150" i="33"/>
  <c r="M150" i="33" s="1"/>
  <c r="C150" i="33"/>
  <c r="E150" i="33" s="1"/>
  <c r="G150" i="33" s="1"/>
  <c r="C150" i="35" s="1"/>
  <c r="J149" i="33"/>
  <c r="M149" i="33" s="1"/>
  <c r="C149" i="33"/>
  <c r="E149" i="33" s="1"/>
  <c r="G149" i="33" s="1"/>
  <c r="C149" i="35" s="1"/>
  <c r="J148" i="33"/>
  <c r="M148" i="33" s="1"/>
  <c r="C148" i="33"/>
  <c r="E148" i="33" s="1"/>
  <c r="G148" i="33" s="1"/>
  <c r="C148" i="35" s="1"/>
  <c r="M147" i="33"/>
  <c r="J147" i="33"/>
  <c r="C147" i="33"/>
  <c r="E147" i="33" s="1"/>
  <c r="G147" i="33" s="1"/>
  <c r="C147" i="35" s="1"/>
  <c r="J146" i="33"/>
  <c r="M146" i="33" s="1"/>
  <c r="C146" i="33"/>
  <c r="E146" i="33" s="1"/>
  <c r="G146" i="33" s="1"/>
  <c r="C146" i="35" s="1"/>
  <c r="J145" i="33"/>
  <c r="M145" i="33" s="1"/>
  <c r="C145" i="33"/>
  <c r="E145" i="33" s="1"/>
  <c r="G145" i="33" s="1"/>
  <c r="C145" i="35" s="1"/>
  <c r="J144" i="33"/>
  <c r="M144" i="33" s="1"/>
  <c r="C144" i="33"/>
  <c r="E144" i="33" s="1"/>
  <c r="G144" i="33" s="1"/>
  <c r="C144" i="35" s="1"/>
  <c r="J143" i="33"/>
  <c r="M143" i="33" s="1"/>
  <c r="C143" i="33"/>
  <c r="E143" i="33" s="1"/>
  <c r="G143" i="33" s="1"/>
  <c r="C143" i="35" s="1"/>
  <c r="J142" i="33"/>
  <c r="M142" i="33" s="1"/>
  <c r="C142" i="33"/>
  <c r="E142" i="33" s="1"/>
  <c r="G142" i="33" s="1"/>
  <c r="C142" i="35" s="1"/>
  <c r="J141" i="33"/>
  <c r="M141" i="33" s="1"/>
  <c r="C141" i="33"/>
  <c r="E141" i="33" s="1"/>
  <c r="G141" i="33" s="1"/>
  <c r="C141" i="35" s="1"/>
  <c r="M140" i="33"/>
  <c r="J140" i="33"/>
  <c r="C140" i="33"/>
  <c r="E140" i="33" s="1"/>
  <c r="G140" i="33" s="1"/>
  <c r="C140" i="35" s="1"/>
  <c r="J139" i="33"/>
  <c r="M139" i="33" s="1"/>
  <c r="C139" i="33"/>
  <c r="E139" i="33" s="1"/>
  <c r="G139" i="33" s="1"/>
  <c r="C139" i="35" s="1"/>
  <c r="M138" i="33"/>
  <c r="J138" i="33"/>
  <c r="C138" i="33"/>
  <c r="E138" i="33" s="1"/>
  <c r="G138" i="33" s="1"/>
  <c r="C138" i="35" s="1"/>
  <c r="J137" i="33"/>
  <c r="M137" i="33" s="1"/>
  <c r="C137" i="33"/>
  <c r="E137" i="33" s="1"/>
  <c r="G137" i="33" s="1"/>
  <c r="C137" i="35" s="1"/>
  <c r="J136" i="33"/>
  <c r="M136" i="33" s="1"/>
  <c r="C136" i="33"/>
  <c r="E136" i="33" s="1"/>
  <c r="G136" i="33" s="1"/>
  <c r="C136" i="35" s="1"/>
  <c r="M135" i="33"/>
  <c r="J135" i="33"/>
  <c r="C135" i="33"/>
  <c r="E135" i="33" s="1"/>
  <c r="G135" i="33" s="1"/>
  <c r="C135" i="35" s="1"/>
  <c r="J134" i="33"/>
  <c r="M134" i="33" s="1"/>
  <c r="C134" i="33"/>
  <c r="E134" i="33" s="1"/>
  <c r="G134" i="33" s="1"/>
  <c r="C134" i="35" s="1"/>
  <c r="J133" i="33"/>
  <c r="M133" i="33" s="1"/>
  <c r="C133" i="33"/>
  <c r="E133" i="33" s="1"/>
  <c r="G133" i="33" s="1"/>
  <c r="C133" i="35" s="1"/>
  <c r="J132" i="33"/>
  <c r="M132" i="33" s="1"/>
  <c r="C132" i="33"/>
  <c r="E132" i="33" s="1"/>
  <c r="G132" i="33" s="1"/>
  <c r="C132" i="35" s="1"/>
  <c r="M131" i="33"/>
  <c r="J131" i="33"/>
  <c r="C131" i="33"/>
  <c r="E131" i="33" s="1"/>
  <c r="G131" i="33" s="1"/>
  <c r="C131" i="35" s="1"/>
  <c r="J130" i="33"/>
  <c r="M130" i="33" s="1"/>
  <c r="C130" i="33"/>
  <c r="E130" i="33" s="1"/>
  <c r="G130" i="33" s="1"/>
  <c r="C130" i="35" s="1"/>
  <c r="J129" i="33"/>
  <c r="M129" i="33" s="1"/>
  <c r="C129" i="33"/>
  <c r="E129" i="33" s="1"/>
  <c r="G129" i="33" s="1"/>
  <c r="C129" i="35" s="1"/>
  <c r="J128" i="33"/>
  <c r="M128" i="33" s="1"/>
  <c r="C128" i="33"/>
  <c r="E128" i="33" s="1"/>
  <c r="G128" i="33" s="1"/>
  <c r="C128" i="35" s="1"/>
  <c r="J127" i="33"/>
  <c r="M127" i="33" s="1"/>
  <c r="C127" i="33"/>
  <c r="E127" i="33" s="1"/>
  <c r="G127" i="33" s="1"/>
  <c r="C127" i="35" s="1"/>
  <c r="J126" i="33"/>
  <c r="M126" i="33" s="1"/>
  <c r="C126" i="33"/>
  <c r="E126" i="33" s="1"/>
  <c r="G126" i="33" s="1"/>
  <c r="C126" i="35" s="1"/>
  <c r="J125" i="33"/>
  <c r="M125" i="33" s="1"/>
  <c r="C125" i="33"/>
  <c r="E125" i="33" s="1"/>
  <c r="G125" i="33" s="1"/>
  <c r="C125" i="35" s="1"/>
  <c r="J124" i="33"/>
  <c r="M124" i="33" s="1"/>
  <c r="C124" i="33"/>
  <c r="E124" i="33" s="1"/>
  <c r="G124" i="33" s="1"/>
  <c r="C124" i="35" s="1"/>
  <c r="M123" i="33"/>
  <c r="J123" i="33"/>
  <c r="C123" i="33"/>
  <c r="E123" i="33" s="1"/>
  <c r="G123" i="33" s="1"/>
  <c r="C123" i="35" s="1"/>
  <c r="J122" i="33"/>
  <c r="M122" i="33" s="1"/>
  <c r="C122" i="33"/>
  <c r="E122" i="33" s="1"/>
  <c r="G122" i="33" s="1"/>
  <c r="C122" i="35" s="1"/>
  <c r="J121" i="33"/>
  <c r="M121" i="33" s="1"/>
  <c r="C121" i="33"/>
  <c r="E121" i="33" s="1"/>
  <c r="G121" i="33" s="1"/>
  <c r="C121" i="35" s="1"/>
  <c r="J120" i="33"/>
  <c r="M120" i="33" s="1"/>
  <c r="C120" i="33"/>
  <c r="E120" i="33" s="1"/>
  <c r="G120" i="33" s="1"/>
  <c r="C120" i="35" s="1"/>
  <c r="J119" i="33"/>
  <c r="M119" i="33" s="1"/>
  <c r="C119" i="33"/>
  <c r="E119" i="33" s="1"/>
  <c r="G119" i="33" s="1"/>
  <c r="C119" i="35" s="1"/>
  <c r="J118" i="33"/>
  <c r="M118" i="33" s="1"/>
  <c r="C118" i="33"/>
  <c r="E118" i="33" s="1"/>
  <c r="G118" i="33" s="1"/>
  <c r="C118" i="35" s="1"/>
  <c r="J117" i="33"/>
  <c r="M117" i="33" s="1"/>
  <c r="C117" i="33"/>
  <c r="E117" i="33" s="1"/>
  <c r="G117" i="33" s="1"/>
  <c r="C117" i="35" s="1"/>
  <c r="M116" i="33"/>
  <c r="J116" i="33"/>
  <c r="C116" i="33"/>
  <c r="E116" i="33" s="1"/>
  <c r="G116" i="33" s="1"/>
  <c r="C116" i="35" s="1"/>
  <c r="M115" i="33"/>
  <c r="J115" i="33"/>
  <c r="C115" i="33"/>
  <c r="E115" i="33" s="1"/>
  <c r="G115" i="33" s="1"/>
  <c r="C115" i="35" s="1"/>
  <c r="M114" i="33"/>
  <c r="J114" i="33"/>
  <c r="C114" i="33"/>
  <c r="E114" i="33" s="1"/>
  <c r="G114" i="33" s="1"/>
  <c r="C114" i="35" s="1"/>
  <c r="J113" i="33"/>
  <c r="M113" i="33" s="1"/>
  <c r="C113" i="33"/>
  <c r="E113" i="33" s="1"/>
  <c r="G113" i="33" s="1"/>
  <c r="C113" i="35" s="1"/>
  <c r="J112" i="33"/>
  <c r="M112" i="33" s="1"/>
  <c r="C112" i="33"/>
  <c r="E112" i="33" s="1"/>
  <c r="G112" i="33" s="1"/>
  <c r="C112" i="35" s="1"/>
  <c r="M111" i="33"/>
  <c r="J111" i="33"/>
  <c r="C111" i="33"/>
  <c r="E111" i="33" s="1"/>
  <c r="G111" i="33" s="1"/>
  <c r="C111" i="35" s="1"/>
  <c r="J110" i="33"/>
  <c r="M110" i="33" s="1"/>
  <c r="C110" i="33"/>
  <c r="E110" i="33" s="1"/>
  <c r="G110" i="33" s="1"/>
  <c r="C110" i="35" s="1"/>
  <c r="J109" i="33"/>
  <c r="M109" i="33" s="1"/>
  <c r="C109" i="33"/>
  <c r="E109" i="33" s="1"/>
  <c r="G109" i="33" s="1"/>
  <c r="C109" i="35" s="1"/>
  <c r="J108" i="33"/>
  <c r="M108" i="33" s="1"/>
  <c r="C108" i="33"/>
  <c r="E108" i="33" s="1"/>
  <c r="G108" i="33" s="1"/>
  <c r="C108" i="35" s="1"/>
  <c r="X107" i="33"/>
  <c r="J107" i="33"/>
  <c r="M107" i="33" s="1"/>
  <c r="C107" i="33"/>
  <c r="E107" i="33" s="1"/>
  <c r="G107" i="33" s="1"/>
  <c r="C107" i="35" s="1"/>
  <c r="J106" i="33"/>
  <c r="M106" i="33" s="1"/>
  <c r="C106" i="33"/>
  <c r="E106" i="33" s="1"/>
  <c r="G106" i="33" s="1"/>
  <c r="C106" i="35" s="1"/>
  <c r="Z105" i="33"/>
  <c r="M105" i="33"/>
  <c r="J105" i="33"/>
  <c r="C105" i="33"/>
  <c r="E105" i="33" s="1"/>
  <c r="G105" i="33" s="1"/>
  <c r="C105" i="35" s="1"/>
  <c r="Q104" i="33"/>
  <c r="S104" i="33" s="1"/>
  <c r="U104" i="33" s="1"/>
  <c r="J104" i="33"/>
  <c r="M104" i="33" s="1"/>
  <c r="C104" i="33"/>
  <c r="E104" i="33" s="1"/>
  <c r="G104" i="33" s="1"/>
  <c r="C104" i="35" s="1"/>
  <c r="Q103" i="33"/>
  <c r="S103" i="33" s="1"/>
  <c r="U103" i="33" s="1"/>
  <c r="M103" i="33"/>
  <c r="J103" i="33"/>
  <c r="C103" i="33"/>
  <c r="E103" i="33" s="1"/>
  <c r="G103" i="33" s="1"/>
  <c r="C103" i="35" s="1"/>
  <c r="Q102" i="33"/>
  <c r="S102" i="33" s="1"/>
  <c r="U102" i="33" s="1"/>
  <c r="J102" i="33"/>
  <c r="M102" i="33" s="1"/>
  <c r="C102" i="33"/>
  <c r="E102" i="33" s="1"/>
  <c r="G102" i="33" s="1"/>
  <c r="C102" i="35" s="1"/>
  <c r="Q101" i="33"/>
  <c r="S101" i="33" s="1"/>
  <c r="U101" i="33" s="1"/>
  <c r="M101" i="33"/>
  <c r="J101" i="33"/>
  <c r="C101" i="33"/>
  <c r="E101" i="33" s="1"/>
  <c r="G101" i="33" s="1"/>
  <c r="C101" i="35" s="1"/>
  <c r="Q100" i="33"/>
  <c r="S100" i="33" s="1"/>
  <c r="U100" i="33" s="1"/>
  <c r="J100" i="33"/>
  <c r="M100" i="33" s="1"/>
  <c r="C100" i="33"/>
  <c r="E100" i="33" s="1"/>
  <c r="G100" i="33" s="1"/>
  <c r="C100" i="35" s="1"/>
  <c r="Q99" i="33"/>
  <c r="S99" i="33" s="1"/>
  <c r="U99" i="33" s="1"/>
  <c r="M99" i="33"/>
  <c r="J99" i="33"/>
  <c r="C99" i="33"/>
  <c r="E99" i="33" s="1"/>
  <c r="G99" i="33" s="1"/>
  <c r="C99" i="35" s="1"/>
  <c r="Q98" i="33"/>
  <c r="S98" i="33" s="1"/>
  <c r="U98" i="33" s="1"/>
  <c r="J98" i="33"/>
  <c r="M98" i="33" s="1"/>
  <c r="C98" i="33"/>
  <c r="E98" i="33" s="1"/>
  <c r="G98" i="33" s="1"/>
  <c r="C98" i="35" s="1"/>
  <c r="Q97" i="33"/>
  <c r="S97" i="33" s="1"/>
  <c r="U97" i="33" s="1"/>
  <c r="M97" i="33"/>
  <c r="J97" i="33"/>
  <c r="C97" i="33"/>
  <c r="E97" i="33" s="1"/>
  <c r="G97" i="33" s="1"/>
  <c r="C97" i="35" s="1"/>
  <c r="Q96" i="33"/>
  <c r="S96" i="33" s="1"/>
  <c r="U96" i="33" s="1"/>
  <c r="J96" i="33"/>
  <c r="M96" i="33" s="1"/>
  <c r="C96" i="33"/>
  <c r="E96" i="33" s="1"/>
  <c r="G96" i="33" s="1"/>
  <c r="C96" i="35" s="1"/>
  <c r="Q95" i="33"/>
  <c r="S95" i="33" s="1"/>
  <c r="U95" i="33" s="1"/>
  <c r="M95" i="33"/>
  <c r="J95" i="33"/>
  <c r="C95" i="33"/>
  <c r="E95" i="33" s="1"/>
  <c r="G95" i="33" s="1"/>
  <c r="C95" i="35" s="1"/>
  <c r="Q94" i="33"/>
  <c r="S94" i="33" s="1"/>
  <c r="U94" i="33" s="1"/>
  <c r="J94" i="33"/>
  <c r="M94" i="33" s="1"/>
  <c r="C94" i="33"/>
  <c r="E94" i="33" s="1"/>
  <c r="G94" i="33" s="1"/>
  <c r="C94" i="35" s="1"/>
  <c r="Q93" i="33"/>
  <c r="S93" i="33" s="1"/>
  <c r="U93" i="33" s="1"/>
  <c r="M93" i="33"/>
  <c r="J93" i="33"/>
  <c r="C93" i="33"/>
  <c r="E93" i="33" s="1"/>
  <c r="G93" i="33" s="1"/>
  <c r="C93" i="35" s="1"/>
  <c r="Q92" i="33"/>
  <c r="S92" i="33" s="1"/>
  <c r="U92" i="33" s="1"/>
  <c r="J92" i="33"/>
  <c r="M92" i="33" s="1"/>
  <c r="C92" i="33"/>
  <c r="E92" i="33" s="1"/>
  <c r="G92" i="33" s="1"/>
  <c r="C92" i="35" s="1"/>
  <c r="Q91" i="33"/>
  <c r="S91" i="33" s="1"/>
  <c r="U91" i="33" s="1"/>
  <c r="M91" i="33"/>
  <c r="J91" i="33"/>
  <c r="C91" i="33"/>
  <c r="E91" i="33" s="1"/>
  <c r="G91" i="33" s="1"/>
  <c r="C91" i="35" s="1"/>
  <c r="Q90" i="33"/>
  <c r="S90" i="33" s="1"/>
  <c r="U90" i="33" s="1"/>
  <c r="J90" i="33"/>
  <c r="M90" i="33" s="1"/>
  <c r="C90" i="33"/>
  <c r="E90" i="33" s="1"/>
  <c r="G90" i="33" s="1"/>
  <c r="C90" i="35" s="1"/>
  <c r="Q89" i="33"/>
  <c r="S89" i="33" s="1"/>
  <c r="U89" i="33" s="1"/>
  <c r="M89" i="33"/>
  <c r="J89" i="33"/>
  <c r="C89" i="33"/>
  <c r="E89" i="33" s="1"/>
  <c r="G89" i="33" s="1"/>
  <c r="C89" i="35" s="1"/>
  <c r="Q88" i="33"/>
  <c r="S88" i="33" s="1"/>
  <c r="U88" i="33" s="1"/>
  <c r="J88" i="33"/>
  <c r="M88" i="33" s="1"/>
  <c r="C88" i="33"/>
  <c r="E88" i="33" s="1"/>
  <c r="G88" i="33" s="1"/>
  <c r="C88" i="35" s="1"/>
  <c r="Q87" i="33"/>
  <c r="S87" i="33" s="1"/>
  <c r="U87" i="33" s="1"/>
  <c r="M87" i="33"/>
  <c r="J87" i="33"/>
  <c r="C87" i="33"/>
  <c r="E87" i="33" s="1"/>
  <c r="G87" i="33" s="1"/>
  <c r="C87" i="35" s="1"/>
  <c r="Q86" i="33"/>
  <c r="S86" i="33" s="1"/>
  <c r="U86" i="33" s="1"/>
  <c r="J86" i="33"/>
  <c r="M86" i="33" s="1"/>
  <c r="C86" i="33"/>
  <c r="E86" i="33" s="1"/>
  <c r="G86" i="33" s="1"/>
  <c r="C86" i="35" s="1"/>
  <c r="Q85" i="33"/>
  <c r="S85" i="33" s="1"/>
  <c r="U85" i="33" s="1"/>
  <c r="M85" i="33"/>
  <c r="J85" i="33"/>
  <c r="C85" i="33"/>
  <c r="E85" i="33" s="1"/>
  <c r="G85" i="33" s="1"/>
  <c r="C85" i="35" s="1"/>
  <c r="Q84" i="33"/>
  <c r="S84" i="33" s="1"/>
  <c r="U84" i="33" s="1"/>
  <c r="J84" i="33"/>
  <c r="M84" i="33" s="1"/>
  <c r="C84" i="33"/>
  <c r="E84" i="33" s="1"/>
  <c r="G84" i="33" s="1"/>
  <c r="C84" i="35" s="1"/>
  <c r="Q83" i="33"/>
  <c r="S83" i="33" s="1"/>
  <c r="U83" i="33" s="1"/>
  <c r="M83" i="33"/>
  <c r="J83" i="33"/>
  <c r="C83" i="33"/>
  <c r="E83" i="33" s="1"/>
  <c r="G83" i="33" s="1"/>
  <c r="C83" i="35" s="1"/>
  <c r="Q82" i="33"/>
  <c r="S82" i="33" s="1"/>
  <c r="U82" i="33" s="1"/>
  <c r="J82" i="33"/>
  <c r="M82" i="33" s="1"/>
  <c r="C82" i="33"/>
  <c r="E82" i="33" s="1"/>
  <c r="G82" i="33" s="1"/>
  <c r="C82" i="35" s="1"/>
  <c r="Q81" i="33"/>
  <c r="S81" i="33" s="1"/>
  <c r="U81" i="33" s="1"/>
  <c r="M81" i="33"/>
  <c r="J81" i="33"/>
  <c r="C81" i="33"/>
  <c r="E81" i="33" s="1"/>
  <c r="G81" i="33" s="1"/>
  <c r="C81" i="35" s="1"/>
  <c r="Q80" i="33"/>
  <c r="S80" i="33" s="1"/>
  <c r="U80" i="33" s="1"/>
  <c r="J80" i="33"/>
  <c r="M80" i="33" s="1"/>
  <c r="C80" i="33"/>
  <c r="E80" i="33" s="1"/>
  <c r="G80" i="33" s="1"/>
  <c r="C80" i="35" s="1"/>
  <c r="Q79" i="33"/>
  <c r="S79" i="33" s="1"/>
  <c r="U79" i="33" s="1"/>
  <c r="M79" i="33"/>
  <c r="J79" i="33"/>
  <c r="C79" i="33"/>
  <c r="E79" i="33" s="1"/>
  <c r="G79" i="33" s="1"/>
  <c r="C79" i="35" s="1"/>
  <c r="Q78" i="33"/>
  <c r="S78" i="33" s="1"/>
  <c r="U78" i="33" s="1"/>
  <c r="J78" i="33"/>
  <c r="M78" i="33" s="1"/>
  <c r="C78" i="33"/>
  <c r="E78" i="33" s="1"/>
  <c r="G78" i="33" s="1"/>
  <c r="C78" i="35" s="1"/>
  <c r="Q77" i="33"/>
  <c r="S77" i="33" s="1"/>
  <c r="U77" i="33" s="1"/>
  <c r="M77" i="33"/>
  <c r="J77" i="33"/>
  <c r="C77" i="33"/>
  <c r="E77" i="33" s="1"/>
  <c r="G77" i="33" s="1"/>
  <c r="C77" i="35" s="1"/>
  <c r="Q76" i="33"/>
  <c r="S76" i="33" s="1"/>
  <c r="U76" i="33" s="1"/>
  <c r="J76" i="33"/>
  <c r="M76" i="33" s="1"/>
  <c r="C76" i="33"/>
  <c r="E76" i="33" s="1"/>
  <c r="G76" i="33" s="1"/>
  <c r="C76" i="35" s="1"/>
  <c r="Q75" i="33"/>
  <c r="S75" i="33" s="1"/>
  <c r="U75" i="33" s="1"/>
  <c r="M75" i="33"/>
  <c r="J75" i="33"/>
  <c r="C75" i="33"/>
  <c r="E75" i="33" s="1"/>
  <c r="G75" i="33" s="1"/>
  <c r="C75" i="35" s="1"/>
  <c r="Q74" i="33"/>
  <c r="S74" i="33" s="1"/>
  <c r="U74" i="33" s="1"/>
  <c r="J74" i="33"/>
  <c r="M74" i="33" s="1"/>
  <c r="C74" i="33"/>
  <c r="E74" i="33" s="1"/>
  <c r="G74" i="33" s="1"/>
  <c r="C74" i="35" s="1"/>
  <c r="Q73" i="33"/>
  <c r="S73" i="33" s="1"/>
  <c r="U73" i="33" s="1"/>
  <c r="M73" i="33"/>
  <c r="J73" i="33"/>
  <c r="C73" i="33"/>
  <c r="E73" i="33" s="1"/>
  <c r="G73" i="33" s="1"/>
  <c r="C73" i="35" s="1"/>
  <c r="Q72" i="33"/>
  <c r="S72" i="33" s="1"/>
  <c r="U72" i="33" s="1"/>
  <c r="J72" i="33"/>
  <c r="M72" i="33" s="1"/>
  <c r="C72" i="33"/>
  <c r="E72" i="33" s="1"/>
  <c r="G72" i="33" s="1"/>
  <c r="C72" i="35" s="1"/>
  <c r="Q71" i="33"/>
  <c r="S71" i="33" s="1"/>
  <c r="U71" i="33" s="1"/>
  <c r="J71" i="33"/>
  <c r="M71" i="33" s="1"/>
  <c r="C71" i="33"/>
  <c r="E71" i="33" s="1"/>
  <c r="G71" i="33" s="1"/>
  <c r="C71" i="35" s="1"/>
  <c r="Q70" i="33"/>
  <c r="S70" i="33" s="1"/>
  <c r="U70" i="33" s="1"/>
  <c r="J70" i="33"/>
  <c r="M70" i="33" s="1"/>
  <c r="C70" i="33"/>
  <c r="E70" i="33" s="1"/>
  <c r="G70" i="33" s="1"/>
  <c r="C70" i="35" s="1"/>
  <c r="Q69" i="33"/>
  <c r="S69" i="33" s="1"/>
  <c r="U69" i="33" s="1"/>
  <c r="J69" i="33"/>
  <c r="M69" i="33" s="1"/>
  <c r="C69" i="33"/>
  <c r="E69" i="33" s="1"/>
  <c r="G69" i="33" s="1"/>
  <c r="C69" i="35" s="1"/>
  <c r="Q68" i="33"/>
  <c r="S68" i="33" s="1"/>
  <c r="U68" i="33" s="1"/>
  <c r="J68" i="33"/>
  <c r="M68" i="33" s="1"/>
  <c r="C68" i="33"/>
  <c r="E68" i="33" s="1"/>
  <c r="G68" i="33" s="1"/>
  <c r="C68" i="35" s="1"/>
  <c r="Q67" i="33"/>
  <c r="S67" i="33" s="1"/>
  <c r="U67" i="33" s="1"/>
  <c r="J67" i="33"/>
  <c r="M67" i="33" s="1"/>
  <c r="C67" i="33"/>
  <c r="E67" i="33" s="1"/>
  <c r="G67" i="33" s="1"/>
  <c r="C67" i="35" s="1"/>
  <c r="Q66" i="33"/>
  <c r="S66" i="33" s="1"/>
  <c r="U66" i="33" s="1"/>
  <c r="J66" i="33"/>
  <c r="M66" i="33" s="1"/>
  <c r="C66" i="33"/>
  <c r="E66" i="33" s="1"/>
  <c r="G66" i="33" s="1"/>
  <c r="C66" i="35" s="1"/>
  <c r="Q65" i="33"/>
  <c r="S65" i="33" s="1"/>
  <c r="U65" i="33" s="1"/>
  <c r="M65" i="33"/>
  <c r="J65" i="33"/>
  <c r="C65" i="33"/>
  <c r="E65" i="33" s="1"/>
  <c r="G65" i="33" s="1"/>
  <c r="C65" i="35" s="1"/>
  <c r="Q64" i="33"/>
  <c r="S64" i="33" s="1"/>
  <c r="U64" i="33" s="1"/>
  <c r="J64" i="33"/>
  <c r="M64" i="33" s="1"/>
  <c r="C64" i="33"/>
  <c r="E64" i="33" s="1"/>
  <c r="G64" i="33" s="1"/>
  <c r="C64" i="35" s="1"/>
  <c r="Q63" i="33"/>
  <c r="S63" i="33" s="1"/>
  <c r="U63" i="33" s="1"/>
  <c r="J63" i="33"/>
  <c r="M63" i="33" s="1"/>
  <c r="C63" i="33"/>
  <c r="E63" i="33" s="1"/>
  <c r="G63" i="33" s="1"/>
  <c r="C63" i="35" s="1"/>
  <c r="Q62" i="33"/>
  <c r="S62" i="33" s="1"/>
  <c r="U62" i="33" s="1"/>
  <c r="M62" i="33"/>
  <c r="J62" i="33"/>
  <c r="C62" i="33"/>
  <c r="E62" i="33" s="1"/>
  <c r="G62" i="33" s="1"/>
  <c r="C62" i="35" s="1"/>
  <c r="Q61" i="33"/>
  <c r="S61" i="33" s="1"/>
  <c r="U61" i="33" s="1"/>
  <c r="J61" i="33"/>
  <c r="M61" i="33" s="1"/>
  <c r="C61" i="33"/>
  <c r="E61" i="33" s="1"/>
  <c r="G61" i="33" s="1"/>
  <c r="C61" i="35" s="1"/>
  <c r="Q60" i="33"/>
  <c r="S60" i="33" s="1"/>
  <c r="U60" i="33" s="1"/>
  <c r="M60" i="33"/>
  <c r="J60" i="33"/>
  <c r="C60" i="33"/>
  <c r="E60" i="33" s="1"/>
  <c r="G60" i="33" s="1"/>
  <c r="C60" i="35" s="1"/>
  <c r="Q59" i="33"/>
  <c r="S59" i="33" s="1"/>
  <c r="U59" i="33" s="1"/>
  <c r="J59" i="33"/>
  <c r="M59" i="33" s="1"/>
  <c r="C59" i="33"/>
  <c r="E59" i="33" s="1"/>
  <c r="G59" i="33" s="1"/>
  <c r="C59" i="35" s="1"/>
  <c r="Q58" i="33"/>
  <c r="S58" i="33" s="1"/>
  <c r="U58" i="33" s="1"/>
  <c r="M58" i="33"/>
  <c r="J58" i="33"/>
  <c r="C58" i="33"/>
  <c r="E58" i="33" s="1"/>
  <c r="G58" i="33" s="1"/>
  <c r="C58" i="35" s="1"/>
  <c r="Q57" i="33"/>
  <c r="S57" i="33" s="1"/>
  <c r="U57" i="33" s="1"/>
  <c r="M57" i="33"/>
  <c r="J57" i="33"/>
  <c r="C57" i="33"/>
  <c r="E57" i="33" s="1"/>
  <c r="G57" i="33" s="1"/>
  <c r="C57" i="35" s="1"/>
  <c r="Q56" i="33"/>
  <c r="S56" i="33" s="1"/>
  <c r="U56" i="33" s="1"/>
  <c r="J56" i="33"/>
  <c r="M56" i="33" s="1"/>
  <c r="C56" i="33"/>
  <c r="E56" i="33" s="1"/>
  <c r="G56" i="33" s="1"/>
  <c r="C56" i="35" s="1"/>
  <c r="Q55" i="33"/>
  <c r="S55" i="33" s="1"/>
  <c r="U55" i="33" s="1"/>
  <c r="M55" i="33"/>
  <c r="J55" i="33"/>
  <c r="C55" i="33"/>
  <c r="E55" i="33" s="1"/>
  <c r="G55" i="33" s="1"/>
  <c r="C55" i="35" s="1"/>
  <c r="Q54" i="33"/>
  <c r="S54" i="33" s="1"/>
  <c r="U54" i="33" s="1"/>
  <c r="J54" i="33"/>
  <c r="M54" i="33" s="1"/>
  <c r="C54" i="33"/>
  <c r="E54" i="33" s="1"/>
  <c r="G54" i="33" s="1"/>
  <c r="C54" i="35" s="1"/>
  <c r="Q53" i="33"/>
  <c r="S53" i="33" s="1"/>
  <c r="U53" i="33" s="1"/>
  <c r="J53" i="33"/>
  <c r="M53" i="33" s="1"/>
  <c r="C53" i="33"/>
  <c r="E53" i="33" s="1"/>
  <c r="G53" i="33" s="1"/>
  <c r="C53" i="35" s="1"/>
  <c r="Q52" i="33"/>
  <c r="S52" i="33" s="1"/>
  <c r="U52" i="33" s="1"/>
  <c r="J52" i="33"/>
  <c r="M52" i="33" s="1"/>
  <c r="C52" i="33"/>
  <c r="E52" i="33" s="1"/>
  <c r="G52" i="33" s="1"/>
  <c r="C52" i="35" s="1"/>
  <c r="Q51" i="33"/>
  <c r="S51" i="33" s="1"/>
  <c r="U51" i="33" s="1"/>
  <c r="J51" i="33"/>
  <c r="M51" i="33" s="1"/>
  <c r="C51" i="33"/>
  <c r="E51" i="33" s="1"/>
  <c r="G51" i="33" s="1"/>
  <c r="C51" i="35" s="1"/>
  <c r="Q50" i="33"/>
  <c r="S50" i="33" s="1"/>
  <c r="U50" i="33" s="1"/>
  <c r="J50" i="33"/>
  <c r="M50" i="33" s="1"/>
  <c r="C50" i="33"/>
  <c r="E50" i="33" s="1"/>
  <c r="G50" i="33" s="1"/>
  <c r="C50" i="35" s="1"/>
  <c r="S49" i="33"/>
  <c r="U49" i="33" s="1"/>
  <c r="Q49" i="33"/>
  <c r="J49" i="33"/>
  <c r="M49" i="33" s="1"/>
  <c r="C49" i="33"/>
  <c r="E49" i="33" s="1"/>
  <c r="G49" i="33" s="1"/>
  <c r="C49" i="35" s="1"/>
  <c r="Q48" i="33"/>
  <c r="S48" i="33" s="1"/>
  <c r="U48" i="33" s="1"/>
  <c r="M48" i="33"/>
  <c r="J48" i="33"/>
  <c r="C48" i="33"/>
  <c r="E48" i="33" s="1"/>
  <c r="G48" i="33" s="1"/>
  <c r="C48" i="35" s="1"/>
  <c r="Q47" i="33"/>
  <c r="S47" i="33" s="1"/>
  <c r="U47" i="33" s="1"/>
  <c r="J47" i="33"/>
  <c r="M47" i="33" s="1"/>
  <c r="C47" i="33"/>
  <c r="E47" i="33" s="1"/>
  <c r="G47" i="33" s="1"/>
  <c r="C47" i="35" s="1"/>
  <c r="S46" i="33"/>
  <c r="U46" i="33" s="1"/>
  <c r="Q46" i="33"/>
  <c r="M46" i="33"/>
  <c r="J46" i="33"/>
  <c r="C46" i="33"/>
  <c r="E46" i="33" s="1"/>
  <c r="G46" i="33" s="1"/>
  <c r="C46" i="35" s="1"/>
  <c r="Q45" i="33"/>
  <c r="S45" i="33" s="1"/>
  <c r="U45" i="33" s="1"/>
  <c r="J45" i="33"/>
  <c r="M45" i="33" s="1"/>
  <c r="C45" i="33"/>
  <c r="E45" i="33" s="1"/>
  <c r="G45" i="33" s="1"/>
  <c r="C45" i="35" s="1"/>
  <c r="U44" i="33"/>
  <c r="S44" i="33"/>
  <c r="Q44" i="33"/>
  <c r="J44" i="33"/>
  <c r="M44" i="33" s="1"/>
  <c r="C44" i="33"/>
  <c r="E44" i="33" s="1"/>
  <c r="G44" i="33" s="1"/>
  <c r="C44" i="35" s="1"/>
  <c r="Q43" i="33"/>
  <c r="S43" i="33" s="1"/>
  <c r="U43" i="33" s="1"/>
  <c r="J43" i="33"/>
  <c r="M43" i="33" s="1"/>
  <c r="C43" i="33"/>
  <c r="E43" i="33" s="1"/>
  <c r="G43" i="33" s="1"/>
  <c r="C43" i="35" s="1"/>
  <c r="Q42" i="33"/>
  <c r="S42" i="33" s="1"/>
  <c r="U42" i="33" s="1"/>
  <c r="J42" i="33"/>
  <c r="M42" i="33" s="1"/>
  <c r="C42" i="33"/>
  <c r="E42" i="33" s="1"/>
  <c r="G42" i="33" s="1"/>
  <c r="C42" i="35" s="1"/>
  <c r="S41" i="33"/>
  <c r="U41" i="33" s="1"/>
  <c r="Q41" i="33"/>
  <c r="J41" i="33"/>
  <c r="M41" i="33" s="1"/>
  <c r="C41" i="33"/>
  <c r="E41" i="33" s="1"/>
  <c r="G41" i="33" s="1"/>
  <c r="C41" i="35" s="1"/>
  <c r="S40" i="33"/>
  <c r="U40" i="33" s="1"/>
  <c r="Q40" i="33"/>
  <c r="M40" i="33"/>
  <c r="J40" i="33"/>
  <c r="C40" i="33"/>
  <c r="E40" i="33" s="1"/>
  <c r="G40" i="33" s="1"/>
  <c r="C40" i="35" s="1"/>
  <c r="Q39" i="33"/>
  <c r="S39" i="33" s="1"/>
  <c r="U39" i="33" s="1"/>
  <c r="J39" i="33"/>
  <c r="M39" i="33" s="1"/>
  <c r="C39" i="33"/>
  <c r="E39" i="33" s="1"/>
  <c r="G39" i="33" s="1"/>
  <c r="C39" i="35" s="1"/>
  <c r="S38" i="33"/>
  <c r="U38" i="33" s="1"/>
  <c r="Q38" i="33"/>
  <c r="J38" i="33"/>
  <c r="M38" i="33" s="1"/>
  <c r="C38" i="33"/>
  <c r="E38" i="33" s="1"/>
  <c r="G38" i="33" s="1"/>
  <c r="C38" i="35" s="1"/>
  <c r="Q37" i="33"/>
  <c r="S37" i="33" s="1"/>
  <c r="U37" i="33" s="1"/>
  <c r="J37" i="33"/>
  <c r="M37" i="33" s="1"/>
  <c r="C37" i="33"/>
  <c r="E37" i="33" s="1"/>
  <c r="G37" i="33" s="1"/>
  <c r="C37" i="35" s="1"/>
  <c r="Q36" i="33"/>
  <c r="S36" i="33" s="1"/>
  <c r="U36" i="33" s="1"/>
  <c r="J36" i="33"/>
  <c r="M36" i="33" s="1"/>
  <c r="C36" i="33"/>
  <c r="E36" i="33" s="1"/>
  <c r="G36" i="33" s="1"/>
  <c r="C36" i="35" s="1"/>
  <c r="Q35" i="33"/>
  <c r="S35" i="33" s="1"/>
  <c r="U35" i="33" s="1"/>
  <c r="M35" i="33"/>
  <c r="J35" i="33"/>
  <c r="C35" i="33"/>
  <c r="E35" i="33" s="1"/>
  <c r="G35" i="33" s="1"/>
  <c r="C35" i="35" s="1"/>
  <c r="Q34" i="33"/>
  <c r="S34" i="33" s="1"/>
  <c r="U34" i="33" s="1"/>
  <c r="J34" i="33"/>
  <c r="M34" i="33" s="1"/>
  <c r="C34" i="33"/>
  <c r="E34" i="33" s="1"/>
  <c r="G34" i="33" s="1"/>
  <c r="C34" i="35" s="1"/>
  <c r="Q33" i="33"/>
  <c r="S33" i="33" s="1"/>
  <c r="U33" i="33" s="1"/>
  <c r="J33" i="33"/>
  <c r="M33" i="33" s="1"/>
  <c r="C33" i="33"/>
  <c r="E33" i="33" s="1"/>
  <c r="G33" i="33" s="1"/>
  <c r="C33" i="35" s="1"/>
  <c r="S32" i="33"/>
  <c r="U32" i="33" s="1"/>
  <c r="Q32" i="33"/>
  <c r="J32" i="33"/>
  <c r="M32" i="33" s="1"/>
  <c r="C32" i="33"/>
  <c r="E32" i="33" s="1"/>
  <c r="G32" i="33" s="1"/>
  <c r="C32" i="35" s="1"/>
  <c r="Q31" i="33"/>
  <c r="S31" i="33" s="1"/>
  <c r="U31" i="33" s="1"/>
  <c r="M31" i="33"/>
  <c r="J31" i="33"/>
  <c r="C31" i="33"/>
  <c r="E31" i="33" s="1"/>
  <c r="G31" i="33" s="1"/>
  <c r="C31" i="35" s="1"/>
  <c r="Q30" i="33"/>
  <c r="S30" i="33" s="1"/>
  <c r="U30" i="33" s="1"/>
  <c r="J30" i="33"/>
  <c r="M30" i="33" s="1"/>
  <c r="C30" i="33"/>
  <c r="E30" i="33" s="1"/>
  <c r="G30" i="33" s="1"/>
  <c r="C30" i="35" s="1"/>
  <c r="Q29" i="33"/>
  <c r="S29" i="33" s="1"/>
  <c r="U29" i="33" s="1"/>
  <c r="M29" i="33"/>
  <c r="J29" i="33"/>
  <c r="C29" i="33"/>
  <c r="E29" i="33" s="1"/>
  <c r="G29" i="33" s="1"/>
  <c r="C29" i="35" s="1"/>
  <c r="Q28" i="33"/>
  <c r="S28" i="33" s="1"/>
  <c r="U28" i="33" s="1"/>
  <c r="J28" i="33"/>
  <c r="M28" i="33" s="1"/>
  <c r="C28" i="33"/>
  <c r="E28" i="33" s="1"/>
  <c r="G28" i="33" s="1"/>
  <c r="C28" i="35" s="1"/>
  <c r="Q27" i="33"/>
  <c r="S27" i="33" s="1"/>
  <c r="U27" i="33" s="1"/>
  <c r="J27" i="33"/>
  <c r="M27" i="33" s="1"/>
  <c r="C27" i="33"/>
  <c r="E27" i="33" s="1"/>
  <c r="G27" i="33" s="1"/>
  <c r="C27" i="35" s="1"/>
  <c r="Q26" i="33"/>
  <c r="S26" i="33" s="1"/>
  <c r="U26" i="33" s="1"/>
  <c r="M26" i="33"/>
  <c r="J26" i="33"/>
  <c r="C26" i="33"/>
  <c r="E26" i="33" s="1"/>
  <c r="G26" i="33" s="1"/>
  <c r="C26" i="35" s="1"/>
  <c r="Q25" i="33"/>
  <c r="S25" i="33" s="1"/>
  <c r="U25" i="33" s="1"/>
  <c r="M25" i="33"/>
  <c r="J25" i="33"/>
  <c r="C25" i="33"/>
  <c r="E25" i="33" s="1"/>
  <c r="G25" i="33" s="1"/>
  <c r="C25" i="35" s="1"/>
  <c r="Q24" i="33"/>
  <c r="S24" i="33" s="1"/>
  <c r="U24" i="33" s="1"/>
  <c r="J24" i="33"/>
  <c r="M24" i="33" s="1"/>
  <c r="C24" i="33"/>
  <c r="E24" i="33" s="1"/>
  <c r="G24" i="33" s="1"/>
  <c r="C24" i="35" s="1"/>
  <c r="Q23" i="33"/>
  <c r="S23" i="33" s="1"/>
  <c r="U23" i="33" s="1"/>
  <c r="M23" i="33"/>
  <c r="J23" i="33"/>
  <c r="C23" i="33"/>
  <c r="E23" i="33" s="1"/>
  <c r="G23" i="33" s="1"/>
  <c r="C23" i="35" s="1"/>
  <c r="Q22" i="33"/>
  <c r="S22" i="33" s="1"/>
  <c r="U22" i="33" s="1"/>
  <c r="M22" i="33"/>
  <c r="J22" i="33"/>
  <c r="C22" i="33"/>
  <c r="E22" i="33" s="1"/>
  <c r="G22" i="33" s="1"/>
  <c r="C22" i="35" s="1"/>
  <c r="S21" i="33"/>
  <c r="U21" i="33" s="1"/>
  <c r="Q21" i="33"/>
  <c r="J21" i="33"/>
  <c r="M21" i="33" s="1"/>
  <c r="C21" i="33"/>
  <c r="E21" i="33" s="1"/>
  <c r="G21" i="33" s="1"/>
  <c r="C21" i="35" s="1"/>
  <c r="Q20" i="33"/>
  <c r="S20" i="33" s="1"/>
  <c r="U20" i="33" s="1"/>
  <c r="M20" i="33"/>
  <c r="J20" i="33"/>
  <c r="C20" i="33"/>
  <c r="E20" i="33" s="1"/>
  <c r="G20" i="33" s="1"/>
  <c r="C20" i="35" s="1"/>
  <c r="Q19" i="33"/>
  <c r="S19" i="33" s="1"/>
  <c r="U19" i="33" s="1"/>
  <c r="J19" i="33"/>
  <c r="M19" i="33" s="1"/>
  <c r="C19" i="33"/>
  <c r="E19" i="33" s="1"/>
  <c r="G19" i="33" s="1"/>
  <c r="C19" i="35" s="1"/>
  <c r="U18" i="33"/>
  <c r="S18" i="33"/>
  <c r="Q18" i="33"/>
  <c r="J18" i="33"/>
  <c r="M18" i="33" s="1"/>
  <c r="C18" i="33"/>
  <c r="E18" i="33" s="1"/>
  <c r="G18" i="33" s="1"/>
  <c r="C18" i="35" s="1"/>
  <c r="S17" i="33"/>
  <c r="U17" i="33" s="1"/>
  <c r="Q17" i="33"/>
  <c r="M17" i="33"/>
  <c r="J17" i="33"/>
  <c r="C17" i="33"/>
  <c r="E17" i="33" s="1"/>
  <c r="G17" i="33" s="1"/>
  <c r="C17" i="35" s="1"/>
  <c r="Q16" i="33"/>
  <c r="S16" i="33" s="1"/>
  <c r="U16" i="33" s="1"/>
  <c r="M16" i="33"/>
  <c r="J16" i="33"/>
  <c r="C16" i="33"/>
  <c r="E16" i="33" s="1"/>
  <c r="G16" i="33" s="1"/>
  <c r="C16" i="35" s="1"/>
  <c r="Q15" i="33"/>
  <c r="S15" i="33" s="1"/>
  <c r="U15" i="33" s="1"/>
  <c r="J15" i="33"/>
  <c r="M15" i="33" s="1"/>
  <c r="C15" i="33"/>
  <c r="E15" i="33" s="1"/>
  <c r="G15" i="33" s="1"/>
  <c r="C15" i="35" s="1"/>
  <c r="S14" i="33"/>
  <c r="U14" i="33" s="1"/>
  <c r="Q14" i="33"/>
  <c r="M14" i="33"/>
  <c r="J14" i="33"/>
  <c r="C14" i="33"/>
  <c r="E14" i="33" s="1"/>
  <c r="G14" i="33" s="1"/>
  <c r="C14" i="35" s="1"/>
  <c r="Q13" i="33"/>
  <c r="S13" i="33" s="1"/>
  <c r="U13" i="33" s="1"/>
  <c r="J13" i="33"/>
  <c r="M13" i="33" s="1"/>
  <c r="C13" i="33"/>
  <c r="E13" i="33" s="1"/>
  <c r="G13" i="33" s="1"/>
  <c r="C13" i="35" s="1"/>
  <c r="U12" i="33"/>
  <c r="S12" i="33"/>
  <c r="Q12" i="33"/>
  <c r="J12" i="33"/>
  <c r="M12" i="33" s="1"/>
  <c r="C12" i="33"/>
  <c r="E12" i="33" s="1"/>
  <c r="G12" i="33" s="1"/>
  <c r="C12" i="35" s="1"/>
  <c r="Q11" i="33"/>
  <c r="S11" i="33" s="1"/>
  <c r="U11" i="33" s="1"/>
  <c r="J11" i="33"/>
  <c r="M11" i="33" s="1"/>
  <c r="C11" i="33"/>
  <c r="E11" i="33" s="1"/>
  <c r="G11" i="33" s="1"/>
  <c r="C11" i="35" s="1"/>
  <c r="Q10" i="33"/>
  <c r="S10" i="33" s="1"/>
  <c r="U10" i="33" s="1"/>
  <c r="J10" i="33"/>
  <c r="M10" i="33" s="1"/>
  <c r="C10" i="33"/>
  <c r="E10" i="33" s="1"/>
  <c r="G10" i="33" s="1"/>
  <c r="C10" i="35" s="1"/>
  <c r="S9" i="33"/>
  <c r="U9" i="33" s="1"/>
  <c r="Q9" i="33"/>
  <c r="J9" i="33"/>
  <c r="M9" i="33" s="1"/>
  <c r="C9" i="33"/>
  <c r="E9" i="33" s="1"/>
  <c r="G9" i="33" s="1"/>
  <c r="C9" i="35" s="1"/>
  <c r="S8" i="33"/>
  <c r="U8" i="33" s="1"/>
  <c r="J8" i="33"/>
  <c r="M8" i="33" s="1"/>
  <c r="E8" i="33"/>
  <c r="G8" i="33" s="1"/>
  <c r="C8" i="35" s="1"/>
  <c r="C8" i="33"/>
  <c r="S7" i="33"/>
  <c r="U7" i="33" s="1"/>
  <c r="J7" i="33"/>
  <c r="M7" i="33" s="1"/>
  <c r="C7" i="33"/>
  <c r="E7" i="33" s="1"/>
  <c r="G7" i="33" s="1"/>
  <c r="C7" i="35" s="1"/>
  <c r="S6" i="33"/>
  <c r="U6" i="33" s="1"/>
  <c r="J6" i="33"/>
  <c r="M6" i="33" s="1"/>
  <c r="E6" i="33"/>
  <c r="G6" i="33" s="1"/>
  <c r="C6" i="35" s="1"/>
  <c r="C6" i="33"/>
  <c r="S5" i="33"/>
  <c r="U5" i="33" s="1"/>
  <c r="J5" i="33"/>
  <c r="C5" i="33"/>
  <c r="E5" i="33" s="1"/>
  <c r="G5" i="33" s="1"/>
  <c r="C5" i="35" s="1"/>
  <c r="K219" i="35" l="1"/>
  <c r="M5" i="35"/>
  <c r="N226" i="35"/>
  <c r="N227" i="35" s="1"/>
  <c r="O228" i="35"/>
  <c r="K215" i="33"/>
  <c r="N229" i="33"/>
  <c r="N230" i="33" s="1"/>
  <c r="M5" i="33"/>
  <c r="O228" i="33"/>
  <c r="O229" i="33" s="1"/>
  <c r="N228" i="35" l="1"/>
  <c r="K221" i="33"/>
  <c r="O230" i="33"/>
  <c r="K222" i="35" l="1"/>
  <c r="K221" i="35"/>
  <c r="J224" i="35" s="1"/>
  <c r="K224" i="33"/>
  <c r="K223" i="33"/>
  <c r="J226" i="33" s="1"/>
  <c r="J189" i="15" l="1"/>
  <c r="J213" i="15"/>
  <c r="J215" i="15"/>
  <c r="J216" i="15"/>
  <c r="J217" i="15"/>
  <c r="J218" i="15"/>
  <c r="J219" i="15"/>
  <c r="J220" i="15"/>
  <c r="J221" i="15"/>
  <c r="J222" i="15"/>
  <c r="J223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3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F5" i="15"/>
  <c r="K220" i="45" l="1"/>
  <c r="J230" i="45" s="1"/>
  <c r="J228" i="65"/>
  <c r="J228" i="64"/>
  <c r="J228" i="63"/>
  <c r="J228" i="62"/>
  <c r="J228" i="61"/>
  <c r="J228" i="60"/>
  <c r="J228" i="59"/>
  <c r="J226" i="58"/>
  <c r="J226" i="57"/>
  <c r="J226" i="56"/>
  <c r="J226" i="55"/>
  <c r="J226" i="54"/>
  <c r="J226" i="53"/>
  <c r="J226" i="52"/>
  <c r="J226" i="51"/>
  <c r="J235" i="50"/>
  <c r="J235" i="49"/>
  <c r="J235" i="48"/>
  <c r="J234" i="47"/>
  <c r="J234" i="46"/>
  <c r="J231" i="45"/>
  <c r="J231" i="44"/>
  <c r="J231" i="43"/>
  <c r="J231" i="42"/>
  <c r="J231" i="41"/>
  <c r="J231" i="40"/>
  <c r="J226" i="36"/>
  <c r="H5" i="15" l="1"/>
  <c r="D5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T35" i="15"/>
  <c r="Q35" i="15"/>
  <c r="P35" i="15"/>
  <c r="O35" i="15"/>
  <c r="T34" i="15"/>
  <c r="Q34" i="15"/>
  <c r="P34" i="15"/>
  <c r="O34" i="15"/>
  <c r="O227" i="65"/>
  <c r="O228" i="65" s="1"/>
  <c r="N227" i="65"/>
  <c r="M227" i="65"/>
  <c r="K220" i="65"/>
  <c r="N35" i="15" s="1"/>
  <c r="K217" i="65"/>
  <c r="J227" i="65" s="1"/>
  <c r="J214" i="65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M189" i="65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M140" i="65"/>
  <c r="J140" i="65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X107" i="65"/>
  <c r="J107" i="65"/>
  <c r="M107" i="65" s="1"/>
  <c r="J106" i="65"/>
  <c r="M106" i="65" s="1"/>
  <c r="Z105" i="65"/>
  <c r="J105" i="65"/>
  <c r="M105" i="65" s="1"/>
  <c r="Q104" i="65"/>
  <c r="S104" i="65" s="1"/>
  <c r="U104" i="65" s="1"/>
  <c r="J104" i="65"/>
  <c r="M104" i="65" s="1"/>
  <c r="Q103" i="65"/>
  <c r="S103" i="65" s="1"/>
  <c r="U103" i="65" s="1"/>
  <c r="J103" i="65"/>
  <c r="M103" i="65" s="1"/>
  <c r="Q102" i="65"/>
  <c r="S102" i="65" s="1"/>
  <c r="U102" i="65" s="1"/>
  <c r="J102" i="65"/>
  <c r="M102" i="65" s="1"/>
  <c r="Q101" i="65"/>
  <c r="S101" i="65" s="1"/>
  <c r="U101" i="65" s="1"/>
  <c r="J101" i="65"/>
  <c r="M101" i="65" s="1"/>
  <c r="Q100" i="65"/>
  <c r="S100" i="65" s="1"/>
  <c r="U100" i="65" s="1"/>
  <c r="J100" i="65"/>
  <c r="M100" i="65" s="1"/>
  <c r="Q99" i="65"/>
  <c r="S99" i="65" s="1"/>
  <c r="U99" i="65" s="1"/>
  <c r="J99" i="65"/>
  <c r="M99" i="65" s="1"/>
  <c r="Q98" i="65"/>
  <c r="S98" i="65" s="1"/>
  <c r="U98" i="65" s="1"/>
  <c r="J98" i="65"/>
  <c r="M98" i="65" s="1"/>
  <c r="Q97" i="65"/>
  <c r="S97" i="65" s="1"/>
  <c r="U97" i="65" s="1"/>
  <c r="J97" i="65"/>
  <c r="M97" i="65" s="1"/>
  <c r="Q96" i="65"/>
  <c r="S96" i="65" s="1"/>
  <c r="U96" i="65" s="1"/>
  <c r="J96" i="65"/>
  <c r="M96" i="65" s="1"/>
  <c r="Q95" i="65"/>
  <c r="S95" i="65" s="1"/>
  <c r="U95" i="65" s="1"/>
  <c r="J95" i="65"/>
  <c r="M95" i="65" s="1"/>
  <c r="Q94" i="65"/>
  <c r="S94" i="65" s="1"/>
  <c r="U94" i="65" s="1"/>
  <c r="J94" i="65"/>
  <c r="M94" i="65" s="1"/>
  <c r="Q93" i="65"/>
  <c r="S93" i="65" s="1"/>
  <c r="U93" i="65" s="1"/>
  <c r="J93" i="65"/>
  <c r="M93" i="65" s="1"/>
  <c r="Q92" i="65"/>
  <c r="S92" i="65" s="1"/>
  <c r="U92" i="65" s="1"/>
  <c r="J92" i="65"/>
  <c r="M92" i="65" s="1"/>
  <c r="Q91" i="65"/>
  <c r="S91" i="65" s="1"/>
  <c r="U91" i="65" s="1"/>
  <c r="J91" i="65"/>
  <c r="M91" i="65" s="1"/>
  <c r="Q90" i="65"/>
  <c r="S90" i="65" s="1"/>
  <c r="U90" i="65" s="1"/>
  <c r="J90" i="65"/>
  <c r="M90" i="65" s="1"/>
  <c r="Q89" i="65"/>
  <c r="S89" i="65" s="1"/>
  <c r="U89" i="65" s="1"/>
  <c r="J89" i="65"/>
  <c r="M89" i="65" s="1"/>
  <c r="Q88" i="65"/>
  <c r="S88" i="65" s="1"/>
  <c r="U88" i="65" s="1"/>
  <c r="J88" i="65"/>
  <c r="M88" i="65" s="1"/>
  <c r="Q87" i="65"/>
  <c r="S87" i="65" s="1"/>
  <c r="U87" i="65" s="1"/>
  <c r="J87" i="65"/>
  <c r="M87" i="65" s="1"/>
  <c r="Q86" i="65"/>
  <c r="S86" i="65" s="1"/>
  <c r="U86" i="65" s="1"/>
  <c r="J86" i="65"/>
  <c r="M86" i="65" s="1"/>
  <c r="Q85" i="65"/>
  <c r="S85" i="65" s="1"/>
  <c r="U85" i="65" s="1"/>
  <c r="J85" i="65"/>
  <c r="M85" i="65" s="1"/>
  <c r="Q84" i="65"/>
  <c r="S84" i="65" s="1"/>
  <c r="U84" i="65" s="1"/>
  <c r="J84" i="65"/>
  <c r="M84" i="65" s="1"/>
  <c r="Q83" i="65"/>
  <c r="S83" i="65" s="1"/>
  <c r="U83" i="65" s="1"/>
  <c r="J83" i="65"/>
  <c r="M83" i="65" s="1"/>
  <c r="Q82" i="65"/>
  <c r="S82" i="65" s="1"/>
  <c r="U82" i="65" s="1"/>
  <c r="J82" i="65"/>
  <c r="M82" i="65" s="1"/>
  <c r="Q81" i="65"/>
  <c r="S81" i="65" s="1"/>
  <c r="U81" i="65" s="1"/>
  <c r="J81" i="65"/>
  <c r="M81" i="65" s="1"/>
  <c r="Q80" i="65"/>
  <c r="S80" i="65" s="1"/>
  <c r="U80" i="65" s="1"/>
  <c r="J80" i="65"/>
  <c r="M80" i="65" s="1"/>
  <c r="Q79" i="65"/>
  <c r="S79" i="65" s="1"/>
  <c r="U79" i="65" s="1"/>
  <c r="J79" i="65"/>
  <c r="M79" i="65" s="1"/>
  <c r="Q78" i="65"/>
  <c r="S78" i="65" s="1"/>
  <c r="U78" i="65" s="1"/>
  <c r="J78" i="65"/>
  <c r="M78" i="65" s="1"/>
  <c r="Q77" i="65"/>
  <c r="S77" i="65" s="1"/>
  <c r="U77" i="65" s="1"/>
  <c r="J77" i="65"/>
  <c r="M77" i="65" s="1"/>
  <c r="Q76" i="65"/>
  <c r="S76" i="65" s="1"/>
  <c r="U76" i="65" s="1"/>
  <c r="J76" i="65"/>
  <c r="M76" i="65" s="1"/>
  <c r="Q75" i="65"/>
  <c r="S75" i="65" s="1"/>
  <c r="U75" i="65" s="1"/>
  <c r="J75" i="65"/>
  <c r="M75" i="65" s="1"/>
  <c r="Q74" i="65"/>
  <c r="S74" i="65" s="1"/>
  <c r="U74" i="65" s="1"/>
  <c r="J74" i="65"/>
  <c r="M74" i="65" s="1"/>
  <c r="Q73" i="65"/>
  <c r="S73" i="65" s="1"/>
  <c r="U73" i="65" s="1"/>
  <c r="J73" i="65"/>
  <c r="M73" i="65" s="1"/>
  <c r="Q72" i="65"/>
  <c r="S72" i="65" s="1"/>
  <c r="U72" i="65" s="1"/>
  <c r="J72" i="65"/>
  <c r="M72" i="65" s="1"/>
  <c r="Q71" i="65"/>
  <c r="S71" i="65" s="1"/>
  <c r="U71" i="65" s="1"/>
  <c r="J71" i="65"/>
  <c r="M71" i="65" s="1"/>
  <c r="Q70" i="65"/>
  <c r="S70" i="65" s="1"/>
  <c r="U70" i="65" s="1"/>
  <c r="J70" i="65"/>
  <c r="M70" i="65" s="1"/>
  <c r="Q69" i="65"/>
  <c r="S69" i="65" s="1"/>
  <c r="U69" i="65" s="1"/>
  <c r="J69" i="65"/>
  <c r="M69" i="65" s="1"/>
  <c r="Q68" i="65"/>
  <c r="S68" i="65" s="1"/>
  <c r="U68" i="65" s="1"/>
  <c r="J68" i="65"/>
  <c r="M68" i="65" s="1"/>
  <c r="Q67" i="65"/>
  <c r="S67" i="65" s="1"/>
  <c r="U67" i="65" s="1"/>
  <c r="J67" i="65"/>
  <c r="M67" i="65" s="1"/>
  <c r="Q66" i="65"/>
  <c r="S66" i="65" s="1"/>
  <c r="U66" i="65" s="1"/>
  <c r="J66" i="65"/>
  <c r="M66" i="65" s="1"/>
  <c r="Q65" i="65"/>
  <c r="S65" i="65" s="1"/>
  <c r="U65" i="65" s="1"/>
  <c r="J65" i="65"/>
  <c r="M65" i="65" s="1"/>
  <c r="Q64" i="65"/>
  <c r="S64" i="65" s="1"/>
  <c r="U64" i="65" s="1"/>
  <c r="J64" i="65"/>
  <c r="M64" i="65" s="1"/>
  <c r="Q63" i="65"/>
  <c r="S63" i="65" s="1"/>
  <c r="U63" i="65" s="1"/>
  <c r="J63" i="65"/>
  <c r="M63" i="65" s="1"/>
  <c r="Q62" i="65"/>
  <c r="S62" i="65" s="1"/>
  <c r="U62" i="65" s="1"/>
  <c r="J62" i="65"/>
  <c r="M62" i="65" s="1"/>
  <c r="Q61" i="65"/>
  <c r="S61" i="65" s="1"/>
  <c r="U61" i="65" s="1"/>
  <c r="J61" i="65"/>
  <c r="M61" i="65" s="1"/>
  <c r="Q60" i="65"/>
  <c r="S60" i="65" s="1"/>
  <c r="U60" i="65" s="1"/>
  <c r="J60" i="65"/>
  <c r="M60" i="65" s="1"/>
  <c r="S59" i="65"/>
  <c r="U59" i="65" s="1"/>
  <c r="Q59" i="65"/>
  <c r="J59" i="65"/>
  <c r="M59" i="65" s="1"/>
  <c r="Q58" i="65"/>
  <c r="S58" i="65" s="1"/>
  <c r="U58" i="65" s="1"/>
  <c r="J58" i="65"/>
  <c r="M58" i="65" s="1"/>
  <c r="Q57" i="65"/>
  <c r="S57" i="65" s="1"/>
  <c r="U57" i="65" s="1"/>
  <c r="J57" i="65"/>
  <c r="M57" i="65" s="1"/>
  <c r="Q56" i="65"/>
  <c r="S56" i="65" s="1"/>
  <c r="U56" i="65" s="1"/>
  <c r="J56" i="65"/>
  <c r="M56" i="65" s="1"/>
  <c r="Q55" i="65"/>
  <c r="S55" i="65" s="1"/>
  <c r="U55" i="65" s="1"/>
  <c r="J55" i="65"/>
  <c r="M55" i="65" s="1"/>
  <c r="Q54" i="65"/>
  <c r="S54" i="65" s="1"/>
  <c r="U54" i="65" s="1"/>
  <c r="J54" i="65"/>
  <c r="M54" i="65" s="1"/>
  <c r="Q53" i="65"/>
  <c r="S53" i="65" s="1"/>
  <c r="U53" i="65" s="1"/>
  <c r="J53" i="65"/>
  <c r="M53" i="65" s="1"/>
  <c r="Q52" i="65"/>
  <c r="S52" i="65" s="1"/>
  <c r="U52" i="65" s="1"/>
  <c r="J52" i="65"/>
  <c r="M52" i="65" s="1"/>
  <c r="Q51" i="65"/>
  <c r="S51" i="65" s="1"/>
  <c r="U51" i="65" s="1"/>
  <c r="J51" i="65"/>
  <c r="M51" i="65" s="1"/>
  <c r="Q50" i="65"/>
  <c r="S50" i="65" s="1"/>
  <c r="U50" i="65" s="1"/>
  <c r="J50" i="65"/>
  <c r="M50" i="65" s="1"/>
  <c r="Q49" i="65"/>
  <c r="S49" i="65" s="1"/>
  <c r="U49" i="65" s="1"/>
  <c r="J49" i="65"/>
  <c r="M49" i="65" s="1"/>
  <c r="Q48" i="65"/>
  <c r="S48" i="65" s="1"/>
  <c r="U48" i="65" s="1"/>
  <c r="J48" i="65"/>
  <c r="M48" i="65" s="1"/>
  <c r="Q47" i="65"/>
  <c r="S47" i="65" s="1"/>
  <c r="U47" i="65" s="1"/>
  <c r="J47" i="65"/>
  <c r="M47" i="65" s="1"/>
  <c r="Q46" i="65"/>
  <c r="S46" i="65" s="1"/>
  <c r="U46" i="65" s="1"/>
  <c r="J46" i="65"/>
  <c r="M46" i="65" s="1"/>
  <c r="Q45" i="65"/>
  <c r="S45" i="65" s="1"/>
  <c r="U45" i="65" s="1"/>
  <c r="J45" i="65"/>
  <c r="M45" i="65" s="1"/>
  <c r="Q44" i="65"/>
  <c r="S44" i="65" s="1"/>
  <c r="U44" i="65" s="1"/>
  <c r="J44" i="65"/>
  <c r="M44" i="65" s="1"/>
  <c r="Q43" i="65"/>
  <c r="S43" i="65" s="1"/>
  <c r="U43" i="65" s="1"/>
  <c r="J43" i="65"/>
  <c r="M43" i="65" s="1"/>
  <c r="Q42" i="65"/>
  <c r="S42" i="65" s="1"/>
  <c r="U42" i="65" s="1"/>
  <c r="J42" i="65"/>
  <c r="M42" i="65" s="1"/>
  <c r="Q41" i="65"/>
  <c r="S41" i="65" s="1"/>
  <c r="U41" i="65" s="1"/>
  <c r="J41" i="65"/>
  <c r="M41" i="65" s="1"/>
  <c r="Q40" i="65"/>
  <c r="S40" i="65" s="1"/>
  <c r="U40" i="65" s="1"/>
  <c r="J40" i="65"/>
  <c r="M40" i="65" s="1"/>
  <c r="Q39" i="65"/>
  <c r="S39" i="65" s="1"/>
  <c r="U39" i="65" s="1"/>
  <c r="J39" i="65"/>
  <c r="M39" i="65" s="1"/>
  <c r="Q38" i="65"/>
  <c r="S38" i="65" s="1"/>
  <c r="U38" i="65" s="1"/>
  <c r="J38" i="65"/>
  <c r="M38" i="65" s="1"/>
  <c r="Q37" i="65"/>
  <c r="S37" i="65" s="1"/>
  <c r="U37" i="65" s="1"/>
  <c r="J37" i="65"/>
  <c r="M37" i="65" s="1"/>
  <c r="Q36" i="65"/>
  <c r="S36" i="65" s="1"/>
  <c r="U36" i="65" s="1"/>
  <c r="J36" i="65"/>
  <c r="M36" i="65" s="1"/>
  <c r="Q35" i="65"/>
  <c r="S35" i="65" s="1"/>
  <c r="U35" i="65" s="1"/>
  <c r="J35" i="65"/>
  <c r="M35" i="65" s="1"/>
  <c r="Q34" i="65"/>
  <c r="S34" i="65" s="1"/>
  <c r="U34" i="65" s="1"/>
  <c r="J34" i="65"/>
  <c r="M34" i="65" s="1"/>
  <c r="Q33" i="65"/>
  <c r="S33" i="65" s="1"/>
  <c r="U33" i="65" s="1"/>
  <c r="J33" i="65"/>
  <c r="M33" i="65" s="1"/>
  <c r="Q32" i="65"/>
  <c r="S32" i="65" s="1"/>
  <c r="U32" i="65" s="1"/>
  <c r="J32" i="65"/>
  <c r="M32" i="65" s="1"/>
  <c r="Q31" i="65"/>
  <c r="S31" i="65" s="1"/>
  <c r="U31" i="65" s="1"/>
  <c r="J31" i="65"/>
  <c r="M31" i="65" s="1"/>
  <c r="Q30" i="65"/>
  <c r="S30" i="65" s="1"/>
  <c r="U30" i="65" s="1"/>
  <c r="J30" i="65"/>
  <c r="M30" i="65" s="1"/>
  <c r="Q29" i="65"/>
  <c r="S29" i="65" s="1"/>
  <c r="U29" i="65" s="1"/>
  <c r="J29" i="65"/>
  <c r="M29" i="65" s="1"/>
  <c r="Q28" i="65"/>
  <c r="S28" i="65" s="1"/>
  <c r="U28" i="65" s="1"/>
  <c r="J28" i="65"/>
  <c r="M28" i="65" s="1"/>
  <c r="Q27" i="65"/>
  <c r="S27" i="65" s="1"/>
  <c r="U27" i="65" s="1"/>
  <c r="J27" i="65"/>
  <c r="M27" i="65" s="1"/>
  <c r="Q26" i="65"/>
  <c r="S26" i="65" s="1"/>
  <c r="U26" i="65" s="1"/>
  <c r="J26" i="65"/>
  <c r="M26" i="65" s="1"/>
  <c r="Q25" i="65"/>
  <c r="S25" i="65" s="1"/>
  <c r="U25" i="65" s="1"/>
  <c r="J25" i="65"/>
  <c r="M25" i="65" s="1"/>
  <c r="Q24" i="65"/>
  <c r="S24" i="65" s="1"/>
  <c r="U24" i="65" s="1"/>
  <c r="J24" i="65"/>
  <c r="M24" i="65" s="1"/>
  <c r="Q23" i="65"/>
  <c r="S23" i="65" s="1"/>
  <c r="U23" i="65" s="1"/>
  <c r="J23" i="65"/>
  <c r="M23" i="65" s="1"/>
  <c r="Q22" i="65"/>
  <c r="S22" i="65" s="1"/>
  <c r="U22" i="65" s="1"/>
  <c r="J22" i="65"/>
  <c r="M22" i="65" s="1"/>
  <c r="Q21" i="65"/>
  <c r="S21" i="65" s="1"/>
  <c r="U21" i="65" s="1"/>
  <c r="J21" i="65"/>
  <c r="M21" i="65" s="1"/>
  <c r="Q20" i="65"/>
  <c r="S20" i="65" s="1"/>
  <c r="U20" i="65" s="1"/>
  <c r="J20" i="65"/>
  <c r="M20" i="65" s="1"/>
  <c r="Q19" i="65"/>
  <c r="S19" i="65" s="1"/>
  <c r="U19" i="65" s="1"/>
  <c r="J19" i="65"/>
  <c r="M19" i="65" s="1"/>
  <c r="Q18" i="65"/>
  <c r="S18" i="65" s="1"/>
  <c r="U18" i="65" s="1"/>
  <c r="J18" i="65"/>
  <c r="M18" i="65" s="1"/>
  <c r="Q17" i="65"/>
  <c r="S17" i="65" s="1"/>
  <c r="U17" i="65" s="1"/>
  <c r="J17" i="65"/>
  <c r="M17" i="65" s="1"/>
  <c r="Q16" i="65"/>
  <c r="S16" i="65" s="1"/>
  <c r="U16" i="65" s="1"/>
  <c r="J16" i="65"/>
  <c r="M16" i="65" s="1"/>
  <c r="Q15" i="65"/>
  <c r="S15" i="65" s="1"/>
  <c r="U15" i="65" s="1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Q12" i="65"/>
  <c r="S12" i="65" s="1"/>
  <c r="U12" i="65" s="1"/>
  <c r="J12" i="65"/>
  <c r="M12" i="65" s="1"/>
  <c r="Q11" i="65"/>
  <c r="S11" i="65" s="1"/>
  <c r="U11" i="65" s="1"/>
  <c r="J11" i="65"/>
  <c r="M11" i="65" s="1"/>
  <c r="Q10" i="65"/>
  <c r="S10" i="65" s="1"/>
  <c r="U10" i="65" s="1"/>
  <c r="J10" i="65"/>
  <c r="M10" i="65" s="1"/>
  <c r="Q9" i="65"/>
  <c r="S9" i="65" s="1"/>
  <c r="U9" i="65" s="1"/>
  <c r="J9" i="65"/>
  <c r="M9" i="65" s="1"/>
  <c r="S8" i="65"/>
  <c r="U8" i="65" s="1"/>
  <c r="J8" i="65"/>
  <c r="M8" i="65" s="1"/>
  <c r="U7" i="65"/>
  <c r="S7" i="65"/>
  <c r="J7" i="65"/>
  <c r="M7" i="65" s="1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T6" i="15"/>
  <c r="Q6" i="15"/>
  <c r="P6" i="15"/>
  <c r="O6" i="15"/>
  <c r="T5" i="15"/>
  <c r="P5" i="15"/>
  <c r="O5" i="15"/>
  <c r="R35" i="15" l="1"/>
  <c r="N228" i="65"/>
  <c r="N229" i="65" s="1"/>
  <c r="K215" i="65"/>
  <c r="O229" i="65"/>
  <c r="O230" i="65" s="1"/>
  <c r="O227" i="64"/>
  <c r="N227" i="64"/>
  <c r="M227" i="64"/>
  <c r="K220" i="64"/>
  <c r="N34" i="15" s="1"/>
  <c r="K217" i="64"/>
  <c r="J214" i="64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M139" i="64"/>
  <c r="J139" i="64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X107" i="64"/>
  <c r="J107" i="64"/>
  <c r="M107" i="64" s="1"/>
  <c r="J106" i="64"/>
  <c r="M106" i="64" s="1"/>
  <c r="Z105" i="64"/>
  <c r="J105" i="64"/>
  <c r="M105" i="64" s="1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J102" i="64"/>
  <c r="M102" i="64" s="1"/>
  <c r="Q101" i="64"/>
  <c r="S101" i="64" s="1"/>
  <c r="U101" i="64" s="1"/>
  <c r="J101" i="64"/>
  <c r="M101" i="64" s="1"/>
  <c r="Q100" i="64"/>
  <c r="S100" i="64" s="1"/>
  <c r="U100" i="64" s="1"/>
  <c r="J100" i="64"/>
  <c r="M100" i="64" s="1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J96" i="64"/>
  <c r="M96" i="64" s="1"/>
  <c r="Q95" i="64"/>
  <c r="S95" i="64" s="1"/>
  <c r="U95" i="64" s="1"/>
  <c r="J95" i="64"/>
  <c r="M95" i="64" s="1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J89" i="64"/>
  <c r="M89" i="64" s="1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J83" i="64"/>
  <c r="M83" i="64" s="1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J80" i="64"/>
  <c r="M80" i="64" s="1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J76" i="64"/>
  <c r="M76" i="64" s="1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Q69" i="64"/>
  <c r="S69" i="64" s="1"/>
  <c r="U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J66" i="64"/>
  <c r="M66" i="64" s="1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S7" i="64"/>
  <c r="U7" i="64" s="1"/>
  <c r="J7" i="64"/>
  <c r="M7" i="64" s="1"/>
  <c r="U6" i="64"/>
  <c r="S6" i="64"/>
  <c r="J6" i="64"/>
  <c r="M6" i="64" s="1"/>
  <c r="S5" i="64"/>
  <c r="U5" i="64" s="1"/>
  <c r="M5" i="64"/>
  <c r="J5" i="64"/>
  <c r="O227" i="63"/>
  <c r="O228" i="63" s="1"/>
  <c r="N227" i="63"/>
  <c r="M227" i="63"/>
  <c r="K220" i="63"/>
  <c r="N33" i="15" s="1"/>
  <c r="K217" i="63"/>
  <c r="J214" i="63"/>
  <c r="J212" i="63"/>
  <c r="M212" i="63" s="1"/>
  <c r="J211" i="63"/>
  <c r="M211" i="63" s="1"/>
  <c r="J210" i="63"/>
  <c r="M210" i="63" s="1"/>
  <c r="J209" i="63"/>
  <c r="M209" i="63" s="1"/>
  <c r="J208" i="63"/>
  <c r="M208" i="63" s="1"/>
  <c r="M207" i="63"/>
  <c r="J207" i="63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M144" i="63"/>
  <c r="J144" i="63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M130" i="63"/>
  <c r="J130" i="63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M122" i="63"/>
  <c r="J122" i="63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J101" i="63"/>
  <c r="M101" i="63" s="1"/>
  <c r="Q100" i="63"/>
  <c r="S100" i="63" s="1"/>
  <c r="U100" i="63" s="1"/>
  <c r="J100" i="63"/>
  <c r="M100" i="63" s="1"/>
  <c r="U99" i="63"/>
  <c r="Q99" i="63"/>
  <c r="S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J90" i="63"/>
  <c r="M90" i="63" s="1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J85" i="63"/>
  <c r="M85" i="63" s="1"/>
  <c r="Q84" i="63"/>
  <c r="S84" i="63" s="1"/>
  <c r="U84" i="63" s="1"/>
  <c r="J84" i="63"/>
  <c r="M84" i="63" s="1"/>
  <c r="Q83" i="63"/>
  <c r="S83" i="63" s="1"/>
  <c r="U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Q78" i="63"/>
  <c r="S78" i="63" s="1"/>
  <c r="U78" i="63" s="1"/>
  <c r="J78" i="63"/>
  <c r="M78" i="63" s="1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J75" i="63"/>
  <c r="M75" i="63" s="1"/>
  <c r="Q74" i="63"/>
  <c r="S74" i="63" s="1"/>
  <c r="U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M69" i="63"/>
  <c r="J69" i="63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J57" i="63"/>
  <c r="M57" i="63" s="1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J49" i="63"/>
  <c r="M49" i="63" s="1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J45" i="63"/>
  <c r="M45" i="63" s="1"/>
  <c r="Q44" i="63"/>
  <c r="S44" i="63" s="1"/>
  <c r="U44" i="63" s="1"/>
  <c r="J44" i="63"/>
  <c r="M44" i="63" s="1"/>
  <c r="Q43" i="63"/>
  <c r="S43" i="63" s="1"/>
  <c r="U43" i="63" s="1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Q36" i="63"/>
  <c r="S36" i="63" s="1"/>
  <c r="U36" i="63" s="1"/>
  <c r="J36" i="63"/>
  <c r="M36" i="63" s="1"/>
  <c r="Q35" i="63"/>
  <c r="S35" i="63" s="1"/>
  <c r="U35" i="63" s="1"/>
  <c r="J35" i="63"/>
  <c r="M35" i="63" s="1"/>
  <c r="Q34" i="63"/>
  <c r="S34" i="63" s="1"/>
  <c r="U34" i="63" s="1"/>
  <c r="J34" i="63"/>
  <c r="M34" i="63" s="1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J25" i="63"/>
  <c r="M25" i="63" s="1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J20" i="63"/>
  <c r="M20" i="63" s="1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J16" i="63"/>
  <c r="M16" i="63" s="1"/>
  <c r="Q15" i="63"/>
  <c r="S15" i="63" s="1"/>
  <c r="U15" i="63" s="1"/>
  <c r="J15" i="63"/>
  <c r="M15" i="63" s="1"/>
  <c r="Q14" i="63"/>
  <c r="S14" i="63" s="1"/>
  <c r="U14" i="63" s="1"/>
  <c r="J14" i="63"/>
  <c r="M14" i="63" s="1"/>
  <c r="Q13" i="63"/>
  <c r="S13" i="63" s="1"/>
  <c r="U13" i="63" s="1"/>
  <c r="J13" i="63"/>
  <c r="M13" i="63" s="1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U8" i="63"/>
  <c r="S8" i="63"/>
  <c r="J8" i="63"/>
  <c r="M8" i="63" s="1"/>
  <c r="U7" i="63"/>
  <c r="S7" i="63"/>
  <c r="J7" i="63"/>
  <c r="M7" i="63" s="1"/>
  <c r="S6" i="63"/>
  <c r="U6" i="63" s="1"/>
  <c r="J6" i="63"/>
  <c r="M6" i="63" s="1"/>
  <c r="S5" i="63"/>
  <c r="U5" i="63" s="1"/>
  <c r="J5" i="63"/>
  <c r="M5" i="63" s="1"/>
  <c r="O227" i="62"/>
  <c r="N227" i="62"/>
  <c r="M227" i="62"/>
  <c r="K220" i="62"/>
  <c r="N32" i="15" s="1"/>
  <c r="K217" i="62"/>
  <c r="J214" i="62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M124" i="62"/>
  <c r="J124" i="62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X107" i="62"/>
  <c r="J107" i="62"/>
  <c r="M107" i="62" s="1"/>
  <c r="J106" i="62"/>
  <c r="M106" i="62" s="1"/>
  <c r="Z105" i="62"/>
  <c r="J105" i="62"/>
  <c r="M105" i="62" s="1"/>
  <c r="Q104" i="62"/>
  <c r="S104" i="62" s="1"/>
  <c r="U104" i="62" s="1"/>
  <c r="J104" i="62"/>
  <c r="M104" i="62" s="1"/>
  <c r="Q103" i="62"/>
  <c r="S103" i="62" s="1"/>
  <c r="U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Q93" i="62"/>
  <c r="S93" i="62" s="1"/>
  <c r="U93" i="62" s="1"/>
  <c r="J93" i="62"/>
  <c r="M93" i="62" s="1"/>
  <c r="Q92" i="62"/>
  <c r="S92" i="62" s="1"/>
  <c r="U92" i="62" s="1"/>
  <c r="J92" i="62"/>
  <c r="M92" i="62" s="1"/>
  <c r="Q91" i="62"/>
  <c r="S91" i="62" s="1"/>
  <c r="U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Q81" i="62"/>
  <c r="S81" i="62" s="1"/>
  <c r="U81" i="62" s="1"/>
  <c r="J81" i="62"/>
  <c r="M81" i="62" s="1"/>
  <c r="Q80" i="62"/>
  <c r="S80" i="62" s="1"/>
  <c r="U80" i="62" s="1"/>
  <c r="J80" i="62"/>
  <c r="M80" i="62" s="1"/>
  <c r="Q79" i="62"/>
  <c r="S79" i="62" s="1"/>
  <c r="U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Q69" i="62"/>
  <c r="S69" i="62" s="1"/>
  <c r="U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Q61" i="62"/>
  <c r="S61" i="62" s="1"/>
  <c r="U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J58" i="62"/>
  <c r="M58" i="62" s="1"/>
  <c r="Q57" i="62"/>
  <c r="S57" i="62" s="1"/>
  <c r="U57" i="62" s="1"/>
  <c r="J57" i="62"/>
  <c r="M57" i="62" s="1"/>
  <c r="Q56" i="62"/>
  <c r="S56" i="62" s="1"/>
  <c r="U56" i="62" s="1"/>
  <c r="J56" i="62"/>
  <c r="M56" i="62" s="1"/>
  <c r="Q55" i="62"/>
  <c r="S55" i="62" s="1"/>
  <c r="U55" i="62" s="1"/>
  <c r="M55" i="62"/>
  <c r="J55" i="62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J51" i="62"/>
  <c r="M51" i="62" s="1"/>
  <c r="Q50" i="62"/>
  <c r="S50" i="62" s="1"/>
  <c r="U50" i="62" s="1"/>
  <c r="J50" i="62"/>
  <c r="M50" i="62" s="1"/>
  <c r="Q49" i="62"/>
  <c r="S49" i="62" s="1"/>
  <c r="U49" i="62" s="1"/>
  <c r="J49" i="62"/>
  <c r="M49" i="62" s="1"/>
  <c r="Q48" i="62"/>
  <c r="S48" i="62" s="1"/>
  <c r="U48" i="62" s="1"/>
  <c r="J48" i="62"/>
  <c r="M48" i="62" s="1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J40" i="62"/>
  <c r="M40" i="62" s="1"/>
  <c r="Q39" i="62"/>
  <c r="S39" i="62" s="1"/>
  <c r="U39" i="62" s="1"/>
  <c r="J39" i="62"/>
  <c r="M39" i="62" s="1"/>
  <c r="Q38" i="62"/>
  <c r="S38" i="62" s="1"/>
  <c r="U38" i="62" s="1"/>
  <c r="J38" i="62"/>
  <c r="M38" i="62" s="1"/>
  <c r="Q37" i="62"/>
  <c r="S37" i="62" s="1"/>
  <c r="U37" i="62" s="1"/>
  <c r="J37" i="62"/>
  <c r="M37" i="62" s="1"/>
  <c r="Q36" i="62"/>
  <c r="S36" i="62" s="1"/>
  <c r="U36" i="62" s="1"/>
  <c r="J36" i="62"/>
  <c r="M36" i="62" s="1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J33" i="62"/>
  <c r="M33" i="62" s="1"/>
  <c r="Q32" i="62"/>
  <c r="S32" i="62" s="1"/>
  <c r="U32" i="62" s="1"/>
  <c r="J32" i="62"/>
  <c r="M32" i="62" s="1"/>
  <c r="Q31" i="62"/>
  <c r="S31" i="62" s="1"/>
  <c r="U31" i="62" s="1"/>
  <c r="J31" i="62"/>
  <c r="M31" i="62" s="1"/>
  <c r="Q30" i="62"/>
  <c r="S30" i="62" s="1"/>
  <c r="U30" i="62" s="1"/>
  <c r="J30" i="62"/>
  <c r="M30" i="62" s="1"/>
  <c r="Q29" i="62"/>
  <c r="S29" i="62" s="1"/>
  <c r="U29" i="62" s="1"/>
  <c r="M29" i="62"/>
  <c r="J29" i="62"/>
  <c r="Q28" i="62"/>
  <c r="S28" i="62" s="1"/>
  <c r="U28" i="62" s="1"/>
  <c r="J28" i="62"/>
  <c r="M28" i="62" s="1"/>
  <c r="Q27" i="62"/>
  <c r="S27" i="62" s="1"/>
  <c r="U27" i="62" s="1"/>
  <c r="J27" i="62"/>
  <c r="M27" i="62" s="1"/>
  <c r="Q26" i="62"/>
  <c r="S26" i="62" s="1"/>
  <c r="U26" i="62" s="1"/>
  <c r="J26" i="62"/>
  <c r="M26" i="62" s="1"/>
  <c r="Q25" i="62"/>
  <c r="S25" i="62" s="1"/>
  <c r="U25" i="62" s="1"/>
  <c r="J25" i="62"/>
  <c r="M25" i="62" s="1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J22" i="62"/>
  <c r="M22" i="62" s="1"/>
  <c r="Q21" i="62"/>
  <c r="S21" i="62" s="1"/>
  <c r="U21" i="62" s="1"/>
  <c r="J21" i="62"/>
  <c r="M21" i="62" s="1"/>
  <c r="Q20" i="62"/>
  <c r="S20" i="62" s="1"/>
  <c r="U20" i="62" s="1"/>
  <c r="M20" i="62"/>
  <c r="J20" i="62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J17" i="62"/>
  <c r="M17" i="62" s="1"/>
  <c r="Q16" i="62"/>
  <c r="S16" i="62" s="1"/>
  <c r="U16" i="62" s="1"/>
  <c r="J16" i="62"/>
  <c r="M16" i="62" s="1"/>
  <c r="Q15" i="62"/>
  <c r="S15" i="62" s="1"/>
  <c r="U15" i="62" s="1"/>
  <c r="J15" i="62"/>
  <c r="M15" i="62" s="1"/>
  <c r="Q14" i="62"/>
  <c r="S14" i="62" s="1"/>
  <c r="U14" i="62" s="1"/>
  <c r="J14" i="62"/>
  <c r="M14" i="62" s="1"/>
  <c r="Q13" i="62"/>
  <c r="S13" i="62" s="1"/>
  <c r="U13" i="62" s="1"/>
  <c r="J13" i="62"/>
  <c r="M13" i="62" s="1"/>
  <c r="Q12" i="62"/>
  <c r="S12" i="62" s="1"/>
  <c r="U12" i="62" s="1"/>
  <c r="J12" i="62"/>
  <c r="M12" i="62" s="1"/>
  <c r="Q11" i="62"/>
  <c r="S11" i="62" s="1"/>
  <c r="U11" i="62" s="1"/>
  <c r="J11" i="62"/>
  <c r="M11" i="62" s="1"/>
  <c r="Q10" i="62"/>
  <c r="S10" i="62" s="1"/>
  <c r="U10" i="62" s="1"/>
  <c r="J10" i="62"/>
  <c r="M10" i="62" s="1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27" i="61"/>
  <c r="N227" i="61"/>
  <c r="M227" i="61"/>
  <c r="K220" i="61"/>
  <c r="N31" i="15" s="1"/>
  <c r="K217" i="61"/>
  <c r="J214" i="6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M174" i="61"/>
  <c r="J174" i="6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M167" i="61"/>
  <c r="J167" i="6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M136" i="61"/>
  <c r="J136" i="6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Q103" i="61"/>
  <c r="S103" i="61" s="1"/>
  <c r="U103" i="61" s="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Q97" i="61"/>
  <c r="S97" i="61" s="1"/>
  <c r="U97" i="61" s="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Q79" i="61"/>
  <c r="S79" i="61" s="1"/>
  <c r="U79" i="61" s="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Q71" i="61"/>
  <c r="S71" i="61" s="1"/>
  <c r="U71" i="61" s="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Q65" i="61"/>
  <c r="S65" i="61" s="1"/>
  <c r="U65" i="61" s="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J57" i="61"/>
  <c r="M57" i="61" s="1"/>
  <c r="Q56" i="61"/>
  <c r="S56" i="61" s="1"/>
  <c r="U56" i="61" s="1"/>
  <c r="J56" i="61"/>
  <c r="M56" i="61" s="1"/>
  <c r="Q55" i="61"/>
  <c r="S55" i="61" s="1"/>
  <c r="U55" i="61" s="1"/>
  <c r="J55" i="61"/>
  <c r="M55" i="61" s="1"/>
  <c r="Q54" i="61"/>
  <c r="S54" i="61" s="1"/>
  <c r="U54" i="61" s="1"/>
  <c r="J54" i="61"/>
  <c r="M54" i="61" s="1"/>
  <c r="Q53" i="61"/>
  <c r="S53" i="61" s="1"/>
  <c r="U53" i="61" s="1"/>
  <c r="J53" i="61"/>
  <c r="M53" i="61" s="1"/>
  <c r="Q52" i="61"/>
  <c r="S52" i="61" s="1"/>
  <c r="U52" i="61" s="1"/>
  <c r="M52" i="61"/>
  <c r="J52" i="61"/>
  <c r="Q51" i="61"/>
  <c r="S51" i="61" s="1"/>
  <c r="U51" i="61" s="1"/>
  <c r="J51" i="61"/>
  <c r="M51" i="61" s="1"/>
  <c r="Q50" i="61"/>
  <c r="S50" i="61" s="1"/>
  <c r="U50" i="61" s="1"/>
  <c r="J50" i="61"/>
  <c r="M50" i="61" s="1"/>
  <c r="Q49" i="61"/>
  <c r="S49" i="61" s="1"/>
  <c r="U49" i="61" s="1"/>
  <c r="J49" i="61"/>
  <c r="M49" i="61" s="1"/>
  <c r="Q48" i="61"/>
  <c r="S48" i="61" s="1"/>
  <c r="U48" i="61" s="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Q45" i="61"/>
  <c r="S45" i="61" s="1"/>
  <c r="U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Q40" i="61"/>
  <c r="S40" i="61" s="1"/>
  <c r="U40" i="61" s="1"/>
  <c r="J40" i="61"/>
  <c r="M40" i="61" s="1"/>
  <c r="Q39" i="61"/>
  <c r="S39" i="61" s="1"/>
  <c r="U39" i="61" s="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J36" i="61"/>
  <c r="M36" i="61" s="1"/>
  <c r="Q35" i="61"/>
  <c r="S35" i="61" s="1"/>
  <c r="U35" i="61" s="1"/>
  <c r="J35" i="61"/>
  <c r="M35" i="61" s="1"/>
  <c r="Q34" i="61"/>
  <c r="S34" i="61" s="1"/>
  <c r="U34" i="61" s="1"/>
  <c r="M34" i="61"/>
  <c r="J34" i="61"/>
  <c r="Q33" i="61"/>
  <c r="S33" i="61" s="1"/>
  <c r="U33" i="61" s="1"/>
  <c r="J33" i="61"/>
  <c r="M33" i="61" s="1"/>
  <c r="Q32" i="61"/>
  <c r="S32" i="61" s="1"/>
  <c r="U32" i="61" s="1"/>
  <c r="J32" i="61"/>
  <c r="M32" i="61" s="1"/>
  <c r="Q31" i="61"/>
  <c r="S31" i="61" s="1"/>
  <c r="U31" i="61" s="1"/>
  <c r="J31" i="61"/>
  <c r="M31" i="61" s="1"/>
  <c r="Q30" i="61"/>
  <c r="S30" i="61" s="1"/>
  <c r="U30" i="61" s="1"/>
  <c r="J30" i="61"/>
  <c r="M30" i="61" s="1"/>
  <c r="Q29" i="61"/>
  <c r="S29" i="61" s="1"/>
  <c r="U29" i="61" s="1"/>
  <c r="M29" i="61"/>
  <c r="J29" i="61"/>
  <c r="Q28" i="61"/>
  <c r="S28" i="61" s="1"/>
  <c r="U28" i="61" s="1"/>
  <c r="J28" i="61"/>
  <c r="M28" i="61" s="1"/>
  <c r="Q27" i="61"/>
  <c r="S27" i="61" s="1"/>
  <c r="U27" i="61" s="1"/>
  <c r="J27" i="61"/>
  <c r="M27" i="61" s="1"/>
  <c r="Q26" i="61"/>
  <c r="S26" i="61" s="1"/>
  <c r="U26" i="61" s="1"/>
  <c r="M26" i="61"/>
  <c r="J26" i="61"/>
  <c r="Q25" i="61"/>
  <c r="S25" i="61" s="1"/>
  <c r="U25" i="61" s="1"/>
  <c r="J25" i="61"/>
  <c r="M25" i="61" s="1"/>
  <c r="Q24" i="61"/>
  <c r="S24" i="61" s="1"/>
  <c r="U24" i="61" s="1"/>
  <c r="J24" i="61"/>
  <c r="M24" i="61" s="1"/>
  <c r="Q23" i="61"/>
  <c r="S23" i="61" s="1"/>
  <c r="U23" i="61" s="1"/>
  <c r="J23" i="61"/>
  <c r="M23" i="61" s="1"/>
  <c r="S22" i="61"/>
  <c r="U22" i="61" s="1"/>
  <c r="Q22" i="6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Q13" i="61"/>
  <c r="S13" i="61" s="1"/>
  <c r="U13" i="61" s="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U8" i="61"/>
  <c r="S8" i="61"/>
  <c r="J8" i="61"/>
  <c r="M8" i="61" s="1"/>
  <c r="S7" i="61"/>
  <c r="U7" i="61" s="1"/>
  <c r="J7" i="61"/>
  <c r="M7" i="61" s="1"/>
  <c r="S6" i="61"/>
  <c r="U6" i="61" s="1"/>
  <c r="J6" i="61"/>
  <c r="M6" i="61" s="1"/>
  <c r="U5" i="61"/>
  <c r="S5" i="61"/>
  <c r="J5" i="61"/>
  <c r="M5" i="61" s="1"/>
  <c r="J211" i="60"/>
  <c r="M211" i="60" s="1"/>
  <c r="J212" i="60"/>
  <c r="M212" i="60" s="1"/>
  <c r="C212" i="59"/>
  <c r="E212" i="59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J212" i="59"/>
  <c r="C211" i="59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J211" i="59"/>
  <c r="M189" i="52"/>
  <c r="M189" i="51"/>
  <c r="O227" i="60"/>
  <c r="O228" i="60" s="1"/>
  <c r="N227" i="60"/>
  <c r="N228" i="60" s="1"/>
  <c r="N229" i="60" s="1"/>
  <c r="N230" i="60" s="1"/>
  <c r="M227" i="60"/>
  <c r="K220" i="60"/>
  <c r="N30" i="15" s="1"/>
  <c r="K217" i="60"/>
  <c r="J214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M156" i="60"/>
  <c r="J156" i="60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S76" i="60"/>
  <c r="U76" i="60" s="1"/>
  <c r="Q76" i="60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Q10" i="60"/>
  <c r="S10" i="60" s="1"/>
  <c r="U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27" i="59"/>
  <c r="N227" i="59"/>
  <c r="M227" i="59"/>
  <c r="K220" i="59"/>
  <c r="N29" i="15" s="1"/>
  <c r="K217" i="59"/>
  <c r="J214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25" i="58"/>
  <c r="N225" i="58"/>
  <c r="M225" i="58"/>
  <c r="K218" i="58"/>
  <c r="N28" i="15" s="1"/>
  <c r="K215" i="58"/>
  <c r="J212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M171" i="58"/>
  <c r="J171" i="58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Q98" i="58"/>
  <c r="S98" i="58" s="1"/>
  <c r="U98" i="58" s="1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Q94" i="58"/>
  <c r="S94" i="58" s="1"/>
  <c r="U94" i="58" s="1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M60" i="58"/>
  <c r="J60" i="58"/>
  <c r="Q59" i="58"/>
  <c r="S59" i="58" s="1"/>
  <c r="U59" i="58" s="1"/>
  <c r="J59" i="58"/>
  <c r="M59" i="58" s="1"/>
  <c r="Q58" i="58"/>
  <c r="S58" i="58" s="1"/>
  <c r="U58" i="58" s="1"/>
  <c r="J58" i="58"/>
  <c r="M58" i="58" s="1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Q54" i="58"/>
  <c r="S54" i="58" s="1"/>
  <c r="U54" i="58" s="1"/>
  <c r="J54" i="58"/>
  <c r="M54" i="58" s="1"/>
  <c r="Q53" i="58"/>
  <c r="S53" i="58" s="1"/>
  <c r="U53" i="58" s="1"/>
  <c r="J53" i="58"/>
  <c r="M53" i="58" s="1"/>
  <c r="Q52" i="58"/>
  <c r="S52" i="58" s="1"/>
  <c r="U52" i="58" s="1"/>
  <c r="J52" i="58"/>
  <c r="M52" i="58" s="1"/>
  <c r="Q51" i="58"/>
  <c r="S51" i="58" s="1"/>
  <c r="U51" i="58" s="1"/>
  <c r="J51" i="58"/>
  <c r="M51" i="58" s="1"/>
  <c r="Q50" i="58"/>
  <c r="S50" i="58" s="1"/>
  <c r="U50" i="58" s="1"/>
  <c r="J50" i="58"/>
  <c r="M50" i="58" s="1"/>
  <c r="Q49" i="58"/>
  <c r="S49" i="58" s="1"/>
  <c r="U49" i="58" s="1"/>
  <c r="J49" i="58"/>
  <c r="M49" i="58" s="1"/>
  <c r="Q48" i="58"/>
  <c r="S48" i="58" s="1"/>
  <c r="U48" i="58" s="1"/>
  <c r="J48" i="58"/>
  <c r="M48" i="58" s="1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Q44" i="58"/>
  <c r="S44" i="58" s="1"/>
  <c r="U44" i="58" s="1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Q41" i="58"/>
  <c r="S41" i="58" s="1"/>
  <c r="U41" i="58" s="1"/>
  <c r="J41" i="58"/>
  <c r="M41" i="58" s="1"/>
  <c r="Q40" i="58"/>
  <c r="S40" i="58" s="1"/>
  <c r="U40" i="58" s="1"/>
  <c r="J40" i="58"/>
  <c r="M40" i="58" s="1"/>
  <c r="Q39" i="58"/>
  <c r="S39" i="58" s="1"/>
  <c r="U39" i="58" s="1"/>
  <c r="J39" i="58"/>
  <c r="M39" i="58" s="1"/>
  <c r="Q38" i="58"/>
  <c r="S38" i="58" s="1"/>
  <c r="U38" i="58" s="1"/>
  <c r="J38" i="58"/>
  <c r="M38" i="58" s="1"/>
  <c r="Q37" i="58"/>
  <c r="S37" i="58" s="1"/>
  <c r="U37" i="58" s="1"/>
  <c r="J37" i="58"/>
  <c r="M37" i="58" s="1"/>
  <c r="Q36" i="58"/>
  <c r="S36" i="58" s="1"/>
  <c r="U36" i="58" s="1"/>
  <c r="J36" i="58"/>
  <c r="M36" i="58" s="1"/>
  <c r="Q35" i="58"/>
  <c r="S35" i="58" s="1"/>
  <c r="U35" i="58" s="1"/>
  <c r="J35" i="58"/>
  <c r="M35" i="58" s="1"/>
  <c r="Q34" i="58"/>
  <c r="S34" i="58" s="1"/>
  <c r="U34" i="58" s="1"/>
  <c r="J34" i="58"/>
  <c r="M34" i="58" s="1"/>
  <c r="Q33" i="58"/>
  <c r="S33" i="58" s="1"/>
  <c r="U33" i="58" s="1"/>
  <c r="J33" i="58"/>
  <c r="M33" i="58" s="1"/>
  <c r="Q32" i="58"/>
  <c r="S32" i="58" s="1"/>
  <c r="U32" i="58" s="1"/>
  <c r="J32" i="58"/>
  <c r="M32" i="58" s="1"/>
  <c r="Q31" i="58"/>
  <c r="S31" i="58" s="1"/>
  <c r="U31" i="58" s="1"/>
  <c r="J31" i="58"/>
  <c r="M31" i="58" s="1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J28" i="58"/>
  <c r="M28" i="58" s="1"/>
  <c r="Q27" i="58"/>
  <c r="S27" i="58" s="1"/>
  <c r="U27" i="58" s="1"/>
  <c r="J27" i="58"/>
  <c r="M27" i="58" s="1"/>
  <c r="Q26" i="58"/>
  <c r="S26" i="58" s="1"/>
  <c r="U26" i="58" s="1"/>
  <c r="J26" i="58"/>
  <c r="M26" i="58" s="1"/>
  <c r="Q25" i="58"/>
  <c r="S25" i="58" s="1"/>
  <c r="U25" i="58" s="1"/>
  <c r="J25" i="58"/>
  <c r="M25" i="58" s="1"/>
  <c r="Q24" i="58"/>
  <c r="S24" i="58" s="1"/>
  <c r="U24" i="58" s="1"/>
  <c r="M24" i="58"/>
  <c r="J24" i="58"/>
  <c r="Q23" i="58"/>
  <c r="S23" i="58" s="1"/>
  <c r="U23" i="58" s="1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Q20" i="58"/>
  <c r="S20" i="58" s="1"/>
  <c r="U20" i="58" s="1"/>
  <c r="J20" i="58"/>
  <c r="M20" i="58" s="1"/>
  <c r="Q19" i="58"/>
  <c r="S19" i="58" s="1"/>
  <c r="U19" i="58" s="1"/>
  <c r="J19" i="58"/>
  <c r="M19" i="58" s="1"/>
  <c r="Q18" i="58"/>
  <c r="S18" i="58" s="1"/>
  <c r="U18" i="58" s="1"/>
  <c r="J18" i="58"/>
  <c r="M18" i="58" s="1"/>
  <c r="Q17" i="58"/>
  <c r="S17" i="58" s="1"/>
  <c r="U17" i="58" s="1"/>
  <c r="J17" i="58"/>
  <c r="M17" i="58" s="1"/>
  <c r="Q16" i="58"/>
  <c r="S16" i="58" s="1"/>
  <c r="U16" i="58" s="1"/>
  <c r="J16" i="58"/>
  <c r="M16" i="58" s="1"/>
  <c r="Q15" i="58"/>
  <c r="S15" i="58" s="1"/>
  <c r="U15" i="58" s="1"/>
  <c r="J15" i="58"/>
  <c r="M15" i="58" s="1"/>
  <c r="Q14" i="58"/>
  <c r="S14" i="58" s="1"/>
  <c r="U14" i="58" s="1"/>
  <c r="J14" i="58"/>
  <c r="M14" i="58" s="1"/>
  <c r="Q13" i="58"/>
  <c r="S13" i="58" s="1"/>
  <c r="U13" i="58" s="1"/>
  <c r="J13" i="58"/>
  <c r="M13" i="58" s="1"/>
  <c r="Q12" i="58"/>
  <c r="S12" i="58" s="1"/>
  <c r="U12" i="58" s="1"/>
  <c r="J12" i="58"/>
  <c r="M12" i="58" s="1"/>
  <c r="Q11" i="58"/>
  <c r="S11" i="58" s="1"/>
  <c r="U11" i="58" s="1"/>
  <c r="J11" i="58"/>
  <c r="M11" i="58" s="1"/>
  <c r="Q10" i="58"/>
  <c r="S10" i="58" s="1"/>
  <c r="U10" i="58" s="1"/>
  <c r="J10" i="58"/>
  <c r="M10" i="58" s="1"/>
  <c r="Q9" i="58"/>
  <c r="S9" i="58" s="1"/>
  <c r="U9" i="58" s="1"/>
  <c r="J9" i="58"/>
  <c r="M9" i="58" s="1"/>
  <c r="S8" i="58"/>
  <c r="U8" i="58" s="1"/>
  <c r="J8" i="58"/>
  <c r="M8" i="58" s="1"/>
  <c r="U7" i="58"/>
  <c r="S7" i="58"/>
  <c r="J7" i="58"/>
  <c r="M7" i="58" s="1"/>
  <c r="S6" i="58"/>
  <c r="U6" i="58" s="1"/>
  <c r="J6" i="58"/>
  <c r="M6" i="58" s="1"/>
  <c r="S5" i="58"/>
  <c r="U5" i="58" s="1"/>
  <c r="J5" i="58"/>
  <c r="M5" i="58" s="1"/>
  <c r="O225" i="57"/>
  <c r="N225" i="57"/>
  <c r="M225" i="57"/>
  <c r="K218" i="57"/>
  <c r="N27" i="15" s="1"/>
  <c r="K215" i="57"/>
  <c r="J212" i="57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M197" i="57"/>
  <c r="J197" i="57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M132" i="57"/>
  <c r="J132" i="57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J92" i="57"/>
  <c r="M92" i="57" s="1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Q63" i="57"/>
  <c r="S63" i="57" s="1"/>
  <c r="U63" i="57" s="1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Q59" i="57"/>
  <c r="S59" i="57" s="1"/>
  <c r="U59" i="57" s="1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Q51" i="57"/>
  <c r="S51" i="57" s="1"/>
  <c r="U51" i="57" s="1"/>
  <c r="J51" i="57"/>
  <c r="M51" i="57" s="1"/>
  <c r="Q50" i="57"/>
  <c r="S50" i="57" s="1"/>
  <c r="U50" i="57" s="1"/>
  <c r="J50" i="57"/>
  <c r="M50" i="57" s="1"/>
  <c r="Q49" i="57"/>
  <c r="S49" i="57" s="1"/>
  <c r="U49" i="57" s="1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Q43" i="57"/>
  <c r="S43" i="57" s="1"/>
  <c r="U43" i="57" s="1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Q37" i="57"/>
  <c r="S37" i="57" s="1"/>
  <c r="U37" i="57" s="1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Q32" i="57"/>
  <c r="S32" i="57" s="1"/>
  <c r="U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M23" i="57" s="1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Q16" i="57"/>
  <c r="S16" i="57" s="1"/>
  <c r="U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25" i="56"/>
  <c r="N225" i="56"/>
  <c r="M225" i="56"/>
  <c r="K218" i="56"/>
  <c r="N26" i="15" s="1"/>
  <c r="K215" i="56"/>
  <c r="J212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M136" i="56"/>
  <c r="J136" i="56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M120" i="56"/>
  <c r="J120" i="56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J82" i="56"/>
  <c r="M82" i="56" s="1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J59" i="56"/>
  <c r="M59" i="56" s="1"/>
  <c r="Q58" i="56"/>
  <c r="S58" i="56" s="1"/>
  <c r="U58" i="56" s="1"/>
  <c r="M58" i="56"/>
  <c r="J58" i="56"/>
  <c r="Q57" i="56"/>
  <c r="S57" i="56" s="1"/>
  <c r="U57" i="56" s="1"/>
  <c r="J57" i="56"/>
  <c r="M57" i="56" s="1"/>
  <c r="Q56" i="56"/>
  <c r="S56" i="56" s="1"/>
  <c r="U56" i="56" s="1"/>
  <c r="J56" i="56"/>
  <c r="M56" i="56" s="1"/>
  <c r="Q55" i="56"/>
  <c r="S55" i="56" s="1"/>
  <c r="U55" i="56" s="1"/>
  <c r="J55" i="56"/>
  <c r="M55" i="56" s="1"/>
  <c r="Q54" i="56"/>
  <c r="S54" i="56" s="1"/>
  <c r="U54" i="56" s="1"/>
  <c r="J54" i="56"/>
  <c r="M54" i="56" s="1"/>
  <c r="Q53" i="56"/>
  <c r="S53" i="56" s="1"/>
  <c r="U53" i="56" s="1"/>
  <c r="M53" i="56"/>
  <c r="J53" i="56"/>
  <c r="Q52" i="56"/>
  <c r="S52" i="56" s="1"/>
  <c r="U52" i="56" s="1"/>
  <c r="M52" i="56"/>
  <c r="J52" i="56"/>
  <c r="Q51" i="56"/>
  <c r="S51" i="56" s="1"/>
  <c r="U51" i="56" s="1"/>
  <c r="J51" i="56"/>
  <c r="M51" i="56" s="1"/>
  <c r="Q50" i="56"/>
  <c r="S50" i="56" s="1"/>
  <c r="U50" i="56" s="1"/>
  <c r="J50" i="56"/>
  <c r="M50" i="56" s="1"/>
  <c r="Q49" i="56"/>
  <c r="S49" i="56" s="1"/>
  <c r="U49" i="56" s="1"/>
  <c r="J49" i="56"/>
  <c r="M49" i="56" s="1"/>
  <c r="Q48" i="56"/>
  <c r="S48" i="56" s="1"/>
  <c r="U48" i="56" s="1"/>
  <c r="J48" i="56"/>
  <c r="M48" i="56" s="1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M44" i="56" s="1"/>
  <c r="Q43" i="56"/>
  <c r="S43" i="56" s="1"/>
  <c r="U43" i="56" s="1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J34" i="56"/>
  <c r="M34" i="56" s="1"/>
  <c r="Q33" i="56"/>
  <c r="S33" i="56" s="1"/>
  <c r="U33" i="56" s="1"/>
  <c r="J33" i="56"/>
  <c r="M33" i="56" s="1"/>
  <c r="Q32" i="56"/>
  <c r="S32" i="56" s="1"/>
  <c r="U32" i="56" s="1"/>
  <c r="M32" i="56"/>
  <c r="J32" i="56"/>
  <c r="Q31" i="56"/>
  <c r="S31" i="56" s="1"/>
  <c r="U31" i="56" s="1"/>
  <c r="J31" i="56"/>
  <c r="M31" i="56" s="1"/>
  <c r="Q30" i="56"/>
  <c r="S30" i="56" s="1"/>
  <c r="U30" i="56" s="1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J25" i="56"/>
  <c r="M25" i="56" s="1"/>
  <c r="Q24" i="56"/>
  <c r="S24" i="56" s="1"/>
  <c r="U24" i="56" s="1"/>
  <c r="J24" i="56"/>
  <c r="M24" i="56" s="1"/>
  <c r="Q23" i="56"/>
  <c r="S23" i="56" s="1"/>
  <c r="U23" i="56" s="1"/>
  <c r="J23" i="56"/>
  <c r="M23" i="56" s="1"/>
  <c r="Q22" i="56"/>
  <c r="S22" i="56" s="1"/>
  <c r="U22" i="56" s="1"/>
  <c r="J22" i="56"/>
  <c r="M22" i="56" s="1"/>
  <c r="Q21" i="56"/>
  <c r="S21" i="56" s="1"/>
  <c r="U21" i="56" s="1"/>
  <c r="J21" i="56"/>
  <c r="M21" i="56" s="1"/>
  <c r="Q20" i="56"/>
  <c r="S20" i="56" s="1"/>
  <c r="U20" i="56" s="1"/>
  <c r="J20" i="56"/>
  <c r="M20" i="56" s="1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M17" i="56"/>
  <c r="J17" i="56"/>
  <c r="Q16" i="56"/>
  <c r="S16" i="56" s="1"/>
  <c r="U16" i="56" s="1"/>
  <c r="J16" i="56"/>
  <c r="M16" i="56" s="1"/>
  <c r="Q15" i="56"/>
  <c r="S15" i="56" s="1"/>
  <c r="U15" i="56" s="1"/>
  <c r="J15" i="56"/>
  <c r="M15" i="56" s="1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Q10" i="56"/>
  <c r="S10" i="56" s="1"/>
  <c r="U10" i="56" s="1"/>
  <c r="M10" i="56"/>
  <c r="J10" i="56"/>
  <c r="Q9" i="56"/>
  <c r="S9" i="56" s="1"/>
  <c r="U9" i="56" s="1"/>
  <c r="J9" i="56"/>
  <c r="M9" i="56" s="1"/>
  <c r="S8" i="56"/>
  <c r="U8" i="56" s="1"/>
  <c r="J8" i="56"/>
  <c r="M8" i="56" s="1"/>
  <c r="S7" i="56"/>
  <c r="U7" i="56" s="1"/>
  <c r="M7" i="56"/>
  <c r="J7" i="56"/>
  <c r="S6" i="56"/>
  <c r="U6" i="56" s="1"/>
  <c r="J6" i="56"/>
  <c r="M6" i="56" s="1"/>
  <c r="S5" i="56"/>
  <c r="U5" i="56" s="1"/>
  <c r="J5" i="56"/>
  <c r="M5" i="56" s="1"/>
  <c r="O225" i="55"/>
  <c r="N225" i="55"/>
  <c r="M225" i="55"/>
  <c r="K218" i="55"/>
  <c r="N25" i="15" s="1"/>
  <c r="K215" i="55"/>
  <c r="J212" i="55"/>
  <c r="J210" i="55"/>
  <c r="M210" i="55" s="1"/>
  <c r="J209" i="55"/>
  <c r="M209" i="55" s="1"/>
  <c r="J208" i="55"/>
  <c r="M208" i="55" s="1"/>
  <c r="J207" i="55"/>
  <c r="M207" i="55" s="1"/>
  <c r="M206" i="55"/>
  <c r="J206" i="55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M199" i="55"/>
  <c r="J199" i="55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M185" i="55"/>
  <c r="J185" i="55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M178" i="55"/>
  <c r="J178" i="55"/>
  <c r="J177" i="55"/>
  <c r="M177" i="55" s="1"/>
  <c r="M176" i="55"/>
  <c r="J176" i="55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M136" i="55"/>
  <c r="J136" i="55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M129" i="55"/>
  <c r="J129" i="55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25" i="54"/>
  <c r="N225" i="54"/>
  <c r="M225" i="54"/>
  <c r="K218" i="54"/>
  <c r="N24" i="15" s="1"/>
  <c r="K215" i="54"/>
  <c r="J212" i="54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M195" i="54"/>
  <c r="J195" i="54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M132" i="54"/>
  <c r="J132" i="54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M114" i="54"/>
  <c r="J114" i="54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X107" i="54"/>
  <c r="J107" i="54"/>
  <c r="M107" i="54" s="1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S79" i="54"/>
  <c r="U79" i="54" s="1"/>
  <c r="Q79" i="54"/>
  <c r="J79" i="54"/>
  <c r="M79" i="54" s="1"/>
  <c r="Q78" i="54"/>
  <c r="S78" i="54" s="1"/>
  <c r="U78" i="54" s="1"/>
  <c r="J78" i="54"/>
  <c r="M78" i="54" s="1"/>
  <c r="Q77" i="54"/>
  <c r="S77" i="54" s="1"/>
  <c r="U77" i="54" s="1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Q68" i="54"/>
  <c r="S68" i="54" s="1"/>
  <c r="U68" i="54" s="1"/>
  <c r="J68" i="54"/>
  <c r="M68" i="54" s="1"/>
  <c r="Q67" i="54"/>
  <c r="S67" i="54" s="1"/>
  <c r="U67" i="54" s="1"/>
  <c r="J67" i="54"/>
  <c r="M67" i="54" s="1"/>
  <c r="Q66" i="54"/>
  <c r="S66" i="54" s="1"/>
  <c r="U66" i="54" s="1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J8" i="54"/>
  <c r="M8" i="54" s="1"/>
  <c r="S7" i="54"/>
  <c r="U7" i="54" s="1"/>
  <c r="J7" i="54"/>
  <c r="M7" i="54" s="1"/>
  <c r="S6" i="54"/>
  <c r="U6" i="54" s="1"/>
  <c r="J6" i="54"/>
  <c r="M6" i="54" s="1"/>
  <c r="S5" i="54"/>
  <c r="U5" i="54" s="1"/>
  <c r="J5" i="54"/>
  <c r="O225" i="53"/>
  <c r="O226" i="53" s="1"/>
  <c r="N225" i="53"/>
  <c r="M225" i="53"/>
  <c r="K218" i="53"/>
  <c r="N23" i="15" s="1"/>
  <c r="K215" i="53"/>
  <c r="J212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Q101" i="53"/>
  <c r="S101" i="53" s="1"/>
  <c r="U101" i="53" s="1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S8" i="53"/>
  <c r="U8" i="53" s="1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25" i="52"/>
  <c r="N225" i="52"/>
  <c r="M225" i="52"/>
  <c r="K218" i="52"/>
  <c r="N22" i="15" s="1"/>
  <c r="K215" i="52"/>
  <c r="J212" i="52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M199" i="52"/>
  <c r="J199" i="52"/>
  <c r="M198" i="52"/>
  <c r="J198" i="52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M163" i="52"/>
  <c r="J163" i="52"/>
  <c r="M162" i="52"/>
  <c r="J162" i="52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M147" i="52"/>
  <c r="J147" i="52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M137" i="52"/>
  <c r="J137" i="52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M123" i="52"/>
  <c r="J123" i="52"/>
  <c r="J122" i="52"/>
  <c r="M122" i="52" s="1"/>
  <c r="J121" i="52"/>
  <c r="M121" i="52" s="1"/>
  <c r="J120" i="52"/>
  <c r="M120" i="52" s="1"/>
  <c r="J119" i="52"/>
  <c r="M119" i="52" s="1"/>
  <c r="J118" i="52"/>
  <c r="M118" i="52" s="1"/>
  <c r="M117" i="52"/>
  <c r="J117" i="52"/>
  <c r="J116" i="52"/>
  <c r="M116" i="52" s="1"/>
  <c r="M115" i="52"/>
  <c r="J115" i="52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Q61" i="52"/>
  <c r="S61" i="52" s="1"/>
  <c r="U61" i="52" s="1"/>
  <c r="J61" i="52"/>
  <c r="M61" i="52" s="1"/>
  <c r="Q60" i="52"/>
  <c r="S60" i="52" s="1"/>
  <c r="U60" i="52" s="1"/>
  <c r="M60" i="52"/>
  <c r="J60" i="52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U5" i="52"/>
  <c r="S5" i="52"/>
  <c r="J5" i="52"/>
  <c r="O225" i="51"/>
  <c r="O226" i="51" s="1"/>
  <c r="O227" i="51" s="1"/>
  <c r="O228" i="51" s="1"/>
  <c r="N225" i="51"/>
  <c r="N226" i="51" s="1"/>
  <c r="N227" i="51" s="1"/>
  <c r="N228" i="51" s="1"/>
  <c r="M225" i="51"/>
  <c r="K218" i="51"/>
  <c r="N21" i="15" s="1"/>
  <c r="K215" i="51"/>
  <c r="J212" i="5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J105" i="51"/>
  <c r="M105" i="51" s="1"/>
  <c r="Q104" i="51"/>
  <c r="S104" i="51" s="1"/>
  <c r="U104" i="51" s="1"/>
  <c r="M104" i="51"/>
  <c r="J104" i="5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J101" i="51"/>
  <c r="M101" i="51" s="1"/>
  <c r="Q100" i="51"/>
  <c r="S100" i="51" s="1"/>
  <c r="U100" i="51" s="1"/>
  <c r="M100" i="51"/>
  <c r="J100" i="51"/>
  <c r="Q99" i="51"/>
  <c r="S99" i="51" s="1"/>
  <c r="U99" i="51" s="1"/>
  <c r="J99" i="51"/>
  <c r="M99" i="51" s="1"/>
  <c r="Q98" i="51"/>
  <c r="S98" i="51" s="1"/>
  <c r="U98" i="51" s="1"/>
  <c r="J98" i="51"/>
  <c r="M98" i="51" s="1"/>
  <c r="Q97" i="51"/>
  <c r="S97" i="51" s="1"/>
  <c r="U97" i="51" s="1"/>
  <c r="J97" i="51"/>
  <c r="M97" i="51" s="1"/>
  <c r="Q96" i="51"/>
  <c r="S96" i="51" s="1"/>
  <c r="U96" i="51" s="1"/>
  <c r="J96" i="51"/>
  <c r="M96" i="51" s="1"/>
  <c r="Q95" i="51"/>
  <c r="S95" i="51" s="1"/>
  <c r="U95" i="51" s="1"/>
  <c r="J95" i="51"/>
  <c r="M95" i="51" s="1"/>
  <c r="Q94" i="51"/>
  <c r="S94" i="51" s="1"/>
  <c r="U94" i="51" s="1"/>
  <c r="J94" i="51"/>
  <c r="M94" i="51" s="1"/>
  <c r="Q93" i="51"/>
  <c r="S93" i="51" s="1"/>
  <c r="U93" i="51" s="1"/>
  <c r="J93" i="51"/>
  <c r="M93" i="51" s="1"/>
  <c r="Q92" i="51"/>
  <c r="S92" i="51" s="1"/>
  <c r="U92" i="51" s="1"/>
  <c r="J92" i="51"/>
  <c r="M92" i="51" s="1"/>
  <c r="Q91" i="51"/>
  <c r="S91" i="51" s="1"/>
  <c r="U91" i="51" s="1"/>
  <c r="J91" i="51"/>
  <c r="M91" i="51" s="1"/>
  <c r="Q90" i="51"/>
  <c r="S90" i="51" s="1"/>
  <c r="U90" i="51" s="1"/>
  <c r="J90" i="51"/>
  <c r="M90" i="51" s="1"/>
  <c r="Q89" i="51"/>
  <c r="S89" i="51" s="1"/>
  <c r="U89" i="51" s="1"/>
  <c r="J89" i="51"/>
  <c r="M89" i="51" s="1"/>
  <c r="Q88" i="51"/>
  <c r="S88" i="51" s="1"/>
  <c r="U88" i="51" s="1"/>
  <c r="J88" i="51"/>
  <c r="M88" i="51" s="1"/>
  <c r="Q87" i="51"/>
  <c r="S87" i="51" s="1"/>
  <c r="U87" i="51" s="1"/>
  <c r="J87" i="51"/>
  <c r="M87" i="51" s="1"/>
  <c r="Q86" i="51"/>
  <c r="S86" i="51" s="1"/>
  <c r="U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Q83" i="51"/>
  <c r="S83" i="51" s="1"/>
  <c r="U83" i="51" s="1"/>
  <c r="J83" i="51"/>
  <c r="M83" i="51" s="1"/>
  <c r="Q82" i="51"/>
  <c r="S82" i="51" s="1"/>
  <c r="U82" i="51" s="1"/>
  <c r="J82" i="51"/>
  <c r="M82" i="51" s="1"/>
  <c r="Q81" i="51"/>
  <c r="S81" i="51" s="1"/>
  <c r="U81" i="51" s="1"/>
  <c r="J81" i="51"/>
  <c r="M81" i="51" s="1"/>
  <c r="Q80" i="51"/>
  <c r="S80" i="51" s="1"/>
  <c r="U80" i="51" s="1"/>
  <c r="J80" i="51"/>
  <c r="M80" i="51" s="1"/>
  <c r="Q79" i="51"/>
  <c r="S79" i="51" s="1"/>
  <c r="U79" i="51" s="1"/>
  <c r="J79" i="51"/>
  <c r="M79" i="51" s="1"/>
  <c r="Q78" i="51"/>
  <c r="S78" i="51" s="1"/>
  <c r="U78" i="51" s="1"/>
  <c r="J78" i="51"/>
  <c r="M78" i="51" s="1"/>
  <c r="Q77" i="51"/>
  <c r="S77" i="51" s="1"/>
  <c r="U77" i="51" s="1"/>
  <c r="J77" i="51"/>
  <c r="M77" i="51" s="1"/>
  <c r="Q76" i="51"/>
  <c r="S76" i="51" s="1"/>
  <c r="U76" i="51" s="1"/>
  <c r="J76" i="51"/>
  <c r="M76" i="51" s="1"/>
  <c r="Q75" i="51"/>
  <c r="S75" i="51" s="1"/>
  <c r="U75" i="51" s="1"/>
  <c r="J75" i="51"/>
  <c r="M75" i="51" s="1"/>
  <c r="Q74" i="51"/>
  <c r="S74" i="51" s="1"/>
  <c r="U74" i="51" s="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Q71" i="51"/>
  <c r="S71" i="51" s="1"/>
  <c r="U71" i="51" s="1"/>
  <c r="J71" i="51"/>
  <c r="M71" i="51" s="1"/>
  <c r="Q70" i="51"/>
  <c r="S70" i="51" s="1"/>
  <c r="U70" i="51" s="1"/>
  <c r="J70" i="51"/>
  <c r="M70" i="51" s="1"/>
  <c r="Q69" i="51"/>
  <c r="S69" i="51" s="1"/>
  <c r="U69" i="51" s="1"/>
  <c r="J69" i="51"/>
  <c r="M69" i="51" s="1"/>
  <c r="Q68" i="51"/>
  <c r="S68" i="51" s="1"/>
  <c r="U68" i="51" s="1"/>
  <c r="J68" i="51"/>
  <c r="M68" i="51" s="1"/>
  <c r="Q67" i="51"/>
  <c r="S67" i="51" s="1"/>
  <c r="U67" i="51" s="1"/>
  <c r="J67" i="51"/>
  <c r="M67" i="51" s="1"/>
  <c r="Q66" i="51"/>
  <c r="S66" i="51" s="1"/>
  <c r="U66" i="51" s="1"/>
  <c r="M66" i="51"/>
  <c r="J66" i="51"/>
  <c r="Q65" i="51"/>
  <c r="S65" i="51" s="1"/>
  <c r="U65" i="51" s="1"/>
  <c r="J65" i="51"/>
  <c r="M65" i="51" s="1"/>
  <c r="Q64" i="51"/>
  <c r="S64" i="51" s="1"/>
  <c r="U64" i="51" s="1"/>
  <c r="J64" i="51"/>
  <c r="M64" i="51" s="1"/>
  <c r="Q63" i="51"/>
  <c r="S63" i="51" s="1"/>
  <c r="U63" i="51" s="1"/>
  <c r="J63" i="51"/>
  <c r="M63" i="51" s="1"/>
  <c r="Q62" i="51"/>
  <c r="S62" i="51" s="1"/>
  <c r="U62" i="51" s="1"/>
  <c r="J62" i="51"/>
  <c r="M62" i="51" s="1"/>
  <c r="Q61" i="51"/>
  <c r="S61" i="51" s="1"/>
  <c r="U61" i="51" s="1"/>
  <c r="J61" i="51"/>
  <c r="M61" i="51" s="1"/>
  <c r="Q60" i="51"/>
  <c r="S60" i="51" s="1"/>
  <c r="U60" i="51" s="1"/>
  <c r="J60" i="51"/>
  <c r="M60" i="51" s="1"/>
  <c r="Q59" i="51"/>
  <c r="S59" i="51" s="1"/>
  <c r="U59" i="51" s="1"/>
  <c r="J59" i="51"/>
  <c r="M59" i="51" s="1"/>
  <c r="Q58" i="51"/>
  <c r="S58" i="51" s="1"/>
  <c r="U58" i="51" s="1"/>
  <c r="J58" i="51"/>
  <c r="M58" i="51" s="1"/>
  <c r="Q57" i="51"/>
  <c r="S57" i="51" s="1"/>
  <c r="U57" i="51" s="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S53" i="51"/>
  <c r="U53" i="51" s="1"/>
  <c r="Q53" i="5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Q48" i="51"/>
  <c r="S48" i="51" s="1"/>
  <c r="U48" i="51" s="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Q41" i="51"/>
  <c r="S41" i="51" s="1"/>
  <c r="U41" i="51" s="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Q38" i="51"/>
  <c r="S38" i="51" s="1"/>
  <c r="U38" i="51" s="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Q35" i="51"/>
  <c r="S35" i="51" s="1"/>
  <c r="U35" i="51" s="1"/>
  <c r="J35" i="51"/>
  <c r="M35" i="51" s="1"/>
  <c r="Q34" i="51"/>
  <c r="S34" i="51" s="1"/>
  <c r="U34" i="51" s="1"/>
  <c r="J34" i="51"/>
  <c r="M34" i="51" s="1"/>
  <c r="Q33" i="51"/>
  <c r="S33" i="51" s="1"/>
  <c r="U33" i="51" s="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Q30" i="51"/>
  <c r="S30" i="51" s="1"/>
  <c r="U30" i="51" s="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Q24" i="51"/>
  <c r="S24" i="51" s="1"/>
  <c r="U24" i="51" s="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Q19" i="51"/>
  <c r="S19" i="51" s="1"/>
  <c r="U19" i="51" s="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Q15" i="51"/>
  <c r="S15" i="51" s="1"/>
  <c r="U15" i="51" s="1"/>
  <c r="J15" i="51"/>
  <c r="M15" i="51" s="1"/>
  <c r="Q14" i="51"/>
  <c r="S14" i="51" s="1"/>
  <c r="U14" i="51" s="1"/>
  <c r="J14" i="51"/>
  <c r="M14" i="51" s="1"/>
  <c r="Q13" i="51"/>
  <c r="S13" i="51" s="1"/>
  <c r="U13" i="51" s="1"/>
  <c r="J13" i="51"/>
  <c r="M13" i="51" s="1"/>
  <c r="Q12" i="51"/>
  <c r="S12" i="51" s="1"/>
  <c r="U12" i="51" s="1"/>
  <c r="J12" i="51"/>
  <c r="M12" i="51" s="1"/>
  <c r="Q11" i="51"/>
  <c r="S11" i="51" s="1"/>
  <c r="U11" i="51" s="1"/>
  <c r="J11" i="51"/>
  <c r="M11" i="51" s="1"/>
  <c r="Q10" i="51"/>
  <c r="S10" i="51" s="1"/>
  <c r="U10" i="51" s="1"/>
  <c r="J10" i="51"/>
  <c r="M10" i="51" s="1"/>
  <c r="Q9" i="51"/>
  <c r="S9" i="51" s="1"/>
  <c r="U9" i="51" s="1"/>
  <c r="J9" i="51"/>
  <c r="M9" i="51" s="1"/>
  <c r="S8" i="51"/>
  <c r="U8" i="51" s="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34" i="50"/>
  <c r="O235" i="50" s="1"/>
  <c r="N234" i="50"/>
  <c r="M234" i="50"/>
  <c r="K227" i="50"/>
  <c r="N20" i="15" s="1"/>
  <c r="K224" i="50"/>
  <c r="J221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Q93" i="50"/>
  <c r="S93" i="50" s="1"/>
  <c r="U93" i="50" s="1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M87" i="50" s="1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Q82" i="50"/>
  <c r="S82" i="50" s="1"/>
  <c r="U82" i="50" s="1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Q75" i="50"/>
  <c r="S75" i="50" s="1"/>
  <c r="U75" i="50" s="1"/>
  <c r="J75" i="50"/>
  <c r="M75" i="50" s="1"/>
  <c r="Q74" i="50"/>
  <c r="S74" i="50" s="1"/>
  <c r="U74" i="50" s="1"/>
  <c r="J74" i="50"/>
  <c r="M74" i="50" s="1"/>
  <c r="Q73" i="50"/>
  <c r="S73" i="50" s="1"/>
  <c r="U73" i="50" s="1"/>
  <c r="J73" i="50"/>
  <c r="M73" i="50" s="1"/>
  <c r="Q72" i="50"/>
  <c r="S72" i="50" s="1"/>
  <c r="U72" i="50" s="1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Q61" i="50"/>
  <c r="S61" i="50" s="1"/>
  <c r="U61" i="50" s="1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J57" i="50"/>
  <c r="M57" i="50" s="1"/>
  <c r="Q56" i="50"/>
  <c r="S56" i="50" s="1"/>
  <c r="U56" i="50" s="1"/>
  <c r="J56" i="50"/>
  <c r="M56" i="50" s="1"/>
  <c r="Q55" i="50"/>
  <c r="S55" i="50" s="1"/>
  <c r="U55" i="50" s="1"/>
  <c r="J55" i="50"/>
  <c r="M55" i="50" s="1"/>
  <c r="Q54" i="50"/>
  <c r="S54" i="50" s="1"/>
  <c r="U54" i="50" s="1"/>
  <c r="J54" i="50"/>
  <c r="M54" i="50" s="1"/>
  <c r="Q53" i="50"/>
  <c r="S53" i="50" s="1"/>
  <c r="U53" i="50" s="1"/>
  <c r="J53" i="50"/>
  <c r="M53" i="50" s="1"/>
  <c r="Q52" i="50"/>
  <c r="S52" i="50" s="1"/>
  <c r="U52" i="50" s="1"/>
  <c r="J52" i="50"/>
  <c r="M52" i="50" s="1"/>
  <c r="Q51" i="50"/>
  <c r="S51" i="50" s="1"/>
  <c r="U51" i="50" s="1"/>
  <c r="J51" i="50"/>
  <c r="M51" i="50" s="1"/>
  <c r="Q50" i="50"/>
  <c r="S50" i="50" s="1"/>
  <c r="U50" i="50" s="1"/>
  <c r="J50" i="50"/>
  <c r="M50" i="50" s="1"/>
  <c r="Q49" i="50"/>
  <c r="S49" i="50" s="1"/>
  <c r="U49" i="50" s="1"/>
  <c r="J49" i="50"/>
  <c r="M49" i="50" s="1"/>
  <c r="Q48" i="50"/>
  <c r="S48" i="50" s="1"/>
  <c r="U48" i="50" s="1"/>
  <c r="J48" i="50"/>
  <c r="M48" i="50" s="1"/>
  <c r="Q47" i="50"/>
  <c r="S47" i="50" s="1"/>
  <c r="U47" i="50" s="1"/>
  <c r="J47" i="50"/>
  <c r="M47" i="50" s="1"/>
  <c r="Q46" i="50"/>
  <c r="S46" i="50" s="1"/>
  <c r="U46" i="50" s="1"/>
  <c r="J46" i="50"/>
  <c r="M46" i="50" s="1"/>
  <c r="Q45" i="50"/>
  <c r="S45" i="50" s="1"/>
  <c r="U45" i="50" s="1"/>
  <c r="J45" i="50"/>
  <c r="M45" i="50" s="1"/>
  <c r="Q44" i="50"/>
  <c r="S44" i="50" s="1"/>
  <c r="U44" i="50" s="1"/>
  <c r="J44" i="50"/>
  <c r="M44" i="50" s="1"/>
  <c r="Q43" i="50"/>
  <c r="S43" i="50" s="1"/>
  <c r="U43" i="50" s="1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Q40" i="50"/>
  <c r="S40" i="50" s="1"/>
  <c r="U40" i="50" s="1"/>
  <c r="J40" i="50"/>
  <c r="M40" i="50" s="1"/>
  <c r="Q39" i="50"/>
  <c r="S39" i="50" s="1"/>
  <c r="U39" i="50" s="1"/>
  <c r="J39" i="50"/>
  <c r="M39" i="50" s="1"/>
  <c r="Q38" i="50"/>
  <c r="S38" i="50" s="1"/>
  <c r="U38" i="50" s="1"/>
  <c r="J38" i="50"/>
  <c r="M38" i="50" s="1"/>
  <c r="Q37" i="50"/>
  <c r="S37" i="50" s="1"/>
  <c r="U37" i="50" s="1"/>
  <c r="J37" i="50"/>
  <c r="M37" i="50" s="1"/>
  <c r="Q36" i="50"/>
  <c r="S36" i="50" s="1"/>
  <c r="U36" i="50" s="1"/>
  <c r="J36" i="50"/>
  <c r="M36" i="50" s="1"/>
  <c r="Q35" i="50"/>
  <c r="S35" i="50" s="1"/>
  <c r="U35" i="50" s="1"/>
  <c r="J35" i="50"/>
  <c r="M35" i="50" s="1"/>
  <c r="Q34" i="50"/>
  <c r="S34" i="50" s="1"/>
  <c r="U34" i="50" s="1"/>
  <c r="J34" i="50"/>
  <c r="M34" i="50" s="1"/>
  <c r="Q33" i="50"/>
  <c r="S33" i="50" s="1"/>
  <c r="U33" i="50" s="1"/>
  <c r="J33" i="50"/>
  <c r="M33" i="50" s="1"/>
  <c r="Q32" i="50"/>
  <c r="S32" i="50" s="1"/>
  <c r="U32" i="50" s="1"/>
  <c r="J32" i="50"/>
  <c r="M32" i="50" s="1"/>
  <c r="Q31" i="50"/>
  <c r="S31" i="50" s="1"/>
  <c r="U31" i="50" s="1"/>
  <c r="J31" i="50"/>
  <c r="M31" i="50" s="1"/>
  <c r="Q30" i="50"/>
  <c r="S30" i="50" s="1"/>
  <c r="U30" i="50" s="1"/>
  <c r="J30" i="50"/>
  <c r="M30" i="50" s="1"/>
  <c r="Q29" i="50"/>
  <c r="S29" i="50" s="1"/>
  <c r="U29" i="50" s="1"/>
  <c r="J29" i="50"/>
  <c r="M29" i="50" s="1"/>
  <c r="Q28" i="50"/>
  <c r="S28" i="50" s="1"/>
  <c r="U28" i="50" s="1"/>
  <c r="J28" i="50"/>
  <c r="M28" i="50" s="1"/>
  <c r="Q27" i="50"/>
  <c r="S27" i="50" s="1"/>
  <c r="U27" i="50" s="1"/>
  <c r="J27" i="50"/>
  <c r="M27" i="50" s="1"/>
  <c r="Q26" i="50"/>
  <c r="S26" i="50" s="1"/>
  <c r="U26" i="50" s="1"/>
  <c r="J26" i="50"/>
  <c r="M26" i="50" s="1"/>
  <c r="Q25" i="50"/>
  <c r="S25" i="50" s="1"/>
  <c r="U25" i="50" s="1"/>
  <c r="J25" i="50"/>
  <c r="M25" i="50" s="1"/>
  <c r="Q24" i="50"/>
  <c r="S24" i="50" s="1"/>
  <c r="U24" i="50" s="1"/>
  <c r="J24" i="50"/>
  <c r="M24" i="50" s="1"/>
  <c r="Q23" i="50"/>
  <c r="S23" i="50" s="1"/>
  <c r="U23" i="50" s="1"/>
  <c r="J23" i="50"/>
  <c r="M23" i="50" s="1"/>
  <c r="Q22" i="50"/>
  <c r="S22" i="50" s="1"/>
  <c r="U22" i="50" s="1"/>
  <c r="J22" i="50"/>
  <c r="M22" i="50" s="1"/>
  <c r="Q21" i="50"/>
  <c r="S21" i="50" s="1"/>
  <c r="U21" i="50" s="1"/>
  <c r="J21" i="50"/>
  <c r="M21" i="50" s="1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J16" i="50"/>
  <c r="M16" i="50" s="1"/>
  <c r="Q15" i="50"/>
  <c r="S15" i="50" s="1"/>
  <c r="U15" i="50" s="1"/>
  <c r="J15" i="50"/>
  <c r="M15" i="50" s="1"/>
  <c r="Q14" i="50"/>
  <c r="S14" i="50" s="1"/>
  <c r="U14" i="50" s="1"/>
  <c r="J14" i="50"/>
  <c r="M14" i="50" s="1"/>
  <c r="Q13" i="50"/>
  <c r="S13" i="50" s="1"/>
  <c r="U13" i="50" s="1"/>
  <c r="J13" i="50"/>
  <c r="M13" i="50" s="1"/>
  <c r="Q12" i="50"/>
  <c r="S12" i="50" s="1"/>
  <c r="U12" i="50" s="1"/>
  <c r="J12" i="50"/>
  <c r="M12" i="50" s="1"/>
  <c r="Q11" i="50"/>
  <c r="S11" i="50" s="1"/>
  <c r="U11" i="50" s="1"/>
  <c r="J11" i="50"/>
  <c r="M11" i="50" s="1"/>
  <c r="Q10" i="50"/>
  <c r="S10" i="50" s="1"/>
  <c r="U10" i="50" s="1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S7" i="50"/>
  <c r="U7" i="50" s="1"/>
  <c r="J7" i="50"/>
  <c r="M7" i="50" s="1"/>
  <c r="S6" i="50"/>
  <c r="U6" i="50" s="1"/>
  <c r="J6" i="50"/>
  <c r="M6" i="50" s="1"/>
  <c r="S5" i="50"/>
  <c r="U5" i="50" s="1"/>
  <c r="J5" i="50"/>
  <c r="M5" i="50" s="1"/>
  <c r="O234" i="49"/>
  <c r="N234" i="49"/>
  <c r="M234" i="49"/>
  <c r="K227" i="49"/>
  <c r="N19" i="15" s="1"/>
  <c r="K224" i="49"/>
  <c r="J221" i="49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Q61" i="49"/>
  <c r="S61" i="49" s="1"/>
  <c r="U61" i="49" s="1"/>
  <c r="J61" i="49"/>
  <c r="M61" i="49" s="1"/>
  <c r="Q60" i="49"/>
  <c r="S60" i="49" s="1"/>
  <c r="U60" i="49" s="1"/>
  <c r="J60" i="49"/>
  <c r="M60" i="49" s="1"/>
  <c r="Q59" i="49"/>
  <c r="S59" i="49" s="1"/>
  <c r="U59" i="49" s="1"/>
  <c r="J59" i="49"/>
  <c r="M59" i="49" s="1"/>
  <c r="Q58" i="49"/>
  <c r="S58" i="49" s="1"/>
  <c r="U58" i="49" s="1"/>
  <c r="J58" i="49"/>
  <c r="M58" i="49" s="1"/>
  <c r="Q57" i="49"/>
  <c r="S57" i="49" s="1"/>
  <c r="U57" i="49" s="1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Q53" i="49"/>
  <c r="S53" i="49" s="1"/>
  <c r="U53" i="49" s="1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Q50" i="49"/>
  <c r="S50" i="49" s="1"/>
  <c r="U50" i="49" s="1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Q46" i="49"/>
  <c r="S46" i="49" s="1"/>
  <c r="U46" i="49" s="1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Q43" i="49"/>
  <c r="S43" i="49" s="1"/>
  <c r="U43" i="49" s="1"/>
  <c r="J43" i="49"/>
  <c r="M43" i="49" s="1"/>
  <c r="Q42" i="49"/>
  <c r="S42" i="49" s="1"/>
  <c r="U42" i="49" s="1"/>
  <c r="J42" i="49"/>
  <c r="M42" i="49" s="1"/>
  <c r="Q41" i="49"/>
  <c r="S41" i="49" s="1"/>
  <c r="U41" i="49" s="1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Q37" i="49"/>
  <c r="S37" i="49" s="1"/>
  <c r="U37" i="49" s="1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Q34" i="49"/>
  <c r="S34" i="49" s="1"/>
  <c r="U34" i="49" s="1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Q30" i="49"/>
  <c r="S30" i="49" s="1"/>
  <c r="U30" i="49" s="1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Q26" i="49"/>
  <c r="S26" i="49" s="1"/>
  <c r="U26" i="49" s="1"/>
  <c r="J26" i="49"/>
  <c r="M26" i="49" s="1"/>
  <c r="Q25" i="49"/>
  <c r="S25" i="49" s="1"/>
  <c r="U25" i="49" s="1"/>
  <c r="J25" i="49"/>
  <c r="M25" i="49" s="1"/>
  <c r="Q24" i="49"/>
  <c r="S24" i="49" s="1"/>
  <c r="U24" i="49" s="1"/>
  <c r="J24" i="49"/>
  <c r="M24" i="49" s="1"/>
  <c r="Q23" i="49"/>
  <c r="S23" i="49" s="1"/>
  <c r="U23" i="49" s="1"/>
  <c r="J23" i="49"/>
  <c r="M23" i="49" s="1"/>
  <c r="Q22" i="49"/>
  <c r="S22" i="49" s="1"/>
  <c r="U22" i="49" s="1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Q17" i="49"/>
  <c r="S17" i="49" s="1"/>
  <c r="U17" i="49" s="1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Q13" i="49"/>
  <c r="S13" i="49" s="1"/>
  <c r="U13" i="49" s="1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Q10" i="49"/>
  <c r="S10" i="49" s="1"/>
  <c r="U10" i="49" s="1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S5" i="49"/>
  <c r="U5" i="49" s="1"/>
  <c r="J5" i="49"/>
  <c r="O234" i="48"/>
  <c r="O235" i="48" s="1"/>
  <c r="O236" i="48" s="1"/>
  <c r="N234" i="48"/>
  <c r="N235" i="48" s="1"/>
  <c r="M234" i="48"/>
  <c r="K227" i="48"/>
  <c r="N18" i="15" s="1"/>
  <c r="K224" i="48"/>
  <c r="J221" i="48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Q104" i="48"/>
  <c r="S104" i="48" s="1"/>
  <c r="U104" i="48" s="1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Q100" i="48"/>
  <c r="S100" i="48" s="1"/>
  <c r="U100" i="48" s="1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Q96" i="48"/>
  <c r="S96" i="48" s="1"/>
  <c r="U96" i="48" s="1"/>
  <c r="J96" i="48"/>
  <c r="M96" i="48" s="1"/>
  <c r="Q95" i="48"/>
  <c r="S95" i="48" s="1"/>
  <c r="U95" i="48" s="1"/>
  <c r="J95" i="48"/>
  <c r="M95" i="48" s="1"/>
  <c r="Q94" i="48"/>
  <c r="S94" i="48" s="1"/>
  <c r="U94" i="48" s="1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Q88" i="48"/>
  <c r="S88" i="48" s="1"/>
  <c r="U88" i="48" s="1"/>
  <c r="J88" i="48"/>
  <c r="M88" i="48" s="1"/>
  <c r="Q87" i="48"/>
  <c r="S87" i="48" s="1"/>
  <c r="U87" i="48" s="1"/>
  <c r="J87" i="48"/>
  <c r="M87" i="48" s="1"/>
  <c r="Q86" i="48"/>
  <c r="S86" i="48" s="1"/>
  <c r="U86" i="48" s="1"/>
  <c r="J86" i="48"/>
  <c r="M86" i="48" s="1"/>
  <c r="Q85" i="48"/>
  <c r="S85" i="48" s="1"/>
  <c r="U85" i="48" s="1"/>
  <c r="J85" i="48"/>
  <c r="M85" i="48" s="1"/>
  <c r="Q84" i="48"/>
  <c r="S84" i="48" s="1"/>
  <c r="U84" i="48" s="1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Q79" i="48"/>
  <c r="S79" i="48" s="1"/>
  <c r="U79" i="48" s="1"/>
  <c r="J79" i="48"/>
  <c r="M79" i="48" s="1"/>
  <c r="Q78" i="48"/>
  <c r="S78" i="48" s="1"/>
  <c r="U78" i="48" s="1"/>
  <c r="J78" i="48"/>
  <c r="M78" i="48" s="1"/>
  <c r="Q77" i="48"/>
  <c r="S77" i="48" s="1"/>
  <c r="U77" i="48" s="1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Q72" i="48"/>
  <c r="S72" i="48" s="1"/>
  <c r="U72" i="48" s="1"/>
  <c r="J72" i="48"/>
  <c r="M72" i="48" s="1"/>
  <c r="Q71" i="48"/>
  <c r="S71" i="48" s="1"/>
  <c r="U71" i="48" s="1"/>
  <c r="J71" i="48"/>
  <c r="M71" i="48" s="1"/>
  <c r="Q70" i="48"/>
  <c r="S70" i="48" s="1"/>
  <c r="U70" i="48" s="1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Q63" i="48"/>
  <c r="S63" i="48" s="1"/>
  <c r="U63" i="48" s="1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J59" i="48"/>
  <c r="M59" i="48" s="1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J47" i="48"/>
  <c r="M47" i="48" s="1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J43" i="48"/>
  <c r="M43" i="48" s="1"/>
  <c r="Q42" i="48"/>
  <c r="S42" i="48" s="1"/>
  <c r="U42" i="48" s="1"/>
  <c r="J42" i="48"/>
  <c r="M42" i="48" s="1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J38" i="48"/>
  <c r="M38" i="48" s="1"/>
  <c r="Q37" i="48"/>
  <c r="S37" i="48" s="1"/>
  <c r="U37" i="48" s="1"/>
  <c r="J37" i="48"/>
  <c r="M37" i="48" s="1"/>
  <c r="Q36" i="48"/>
  <c r="S36" i="48" s="1"/>
  <c r="U36" i="48" s="1"/>
  <c r="J36" i="48"/>
  <c r="M36" i="48" s="1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J33" i="48"/>
  <c r="M33" i="48" s="1"/>
  <c r="Q32" i="48"/>
  <c r="S32" i="48" s="1"/>
  <c r="U32" i="48" s="1"/>
  <c r="J32" i="48"/>
  <c r="M32" i="48" s="1"/>
  <c r="Q31" i="48"/>
  <c r="S31" i="48" s="1"/>
  <c r="U31" i="48" s="1"/>
  <c r="J31" i="48"/>
  <c r="M31" i="48" s="1"/>
  <c r="Q30" i="48"/>
  <c r="S30" i="48" s="1"/>
  <c r="U30" i="48" s="1"/>
  <c r="J30" i="48"/>
  <c r="M30" i="48" s="1"/>
  <c r="Q29" i="48"/>
  <c r="S29" i="48" s="1"/>
  <c r="U29" i="48" s="1"/>
  <c r="J29" i="48"/>
  <c r="M29" i="48" s="1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J16" i="48"/>
  <c r="M16" i="48" s="1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J9" i="48"/>
  <c r="M9" i="48" s="1"/>
  <c r="S8" i="48"/>
  <c r="U8" i="48" s="1"/>
  <c r="J8" i="48"/>
  <c r="M8" i="48" s="1"/>
  <c r="S7" i="48"/>
  <c r="U7" i="48" s="1"/>
  <c r="J7" i="48"/>
  <c r="M7" i="48" s="1"/>
  <c r="S6" i="48"/>
  <c r="U6" i="48" s="1"/>
  <c r="J6" i="48"/>
  <c r="M6" i="48" s="1"/>
  <c r="S5" i="48"/>
  <c r="U5" i="48" s="1"/>
  <c r="J5" i="48"/>
  <c r="M5" i="48" s="1"/>
  <c r="O233" i="47"/>
  <c r="N233" i="47"/>
  <c r="M233" i="47"/>
  <c r="K226" i="47"/>
  <c r="N17" i="15" s="1"/>
  <c r="K223" i="47"/>
  <c r="J220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Q104" i="47"/>
  <c r="S104" i="47" s="1"/>
  <c r="U104" i="47" s="1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Q99" i="47"/>
  <c r="S99" i="47" s="1"/>
  <c r="U99" i="47" s="1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Q65" i="47"/>
  <c r="S65" i="47" s="1"/>
  <c r="U65" i="47" s="1"/>
  <c r="J65" i="47"/>
  <c r="M65" i="47" s="1"/>
  <c r="Q64" i="47"/>
  <c r="S64" i="47" s="1"/>
  <c r="U64" i="47" s="1"/>
  <c r="J64" i="47"/>
  <c r="M64" i="47" s="1"/>
  <c r="Q63" i="47"/>
  <c r="S63" i="47" s="1"/>
  <c r="U63" i="47" s="1"/>
  <c r="J63" i="47"/>
  <c r="M63" i="47" s="1"/>
  <c r="Q62" i="47"/>
  <c r="S62" i="47" s="1"/>
  <c r="U62" i="47" s="1"/>
  <c r="J62" i="47"/>
  <c r="M62" i="47" s="1"/>
  <c r="Q61" i="47"/>
  <c r="S61" i="47" s="1"/>
  <c r="U61" i="47" s="1"/>
  <c r="J61" i="47"/>
  <c r="M61" i="47" s="1"/>
  <c r="Q60" i="47"/>
  <c r="S60" i="47" s="1"/>
  <c r="U60" i="47" s="1"/>
  <c r="J60" i="47"/>
  <c r="M60" i="47" s="1"/>
  <c r="Q59" i="47"/>
  <c r="S59" i="47" s="1"/>
  <c r="U59" i="47" s="1"/>
  <c r="J59" i="47"/>
  <c r="M59" i="47" s="1"/>
  <c r="Q58" i="47"/>
  <c r="S58" i="47" s="1"/>
  <c r="U58" i="47" s="1"/>
  <c r="J58" i="47"/>
  <c r="M58" i="47" s="1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Q53" i="47"/>
  <c r="S53" i="47" s="1"/>
  <c r="U53" i="47" s="1"/>
  <c r="J53" i="47"/>
  <c r="M53" i="47" s="1"/>
  <c r="Q52" i="47"/>
  <c r="S52" i="47" s="1"/>
  <c r="U52" i="47" s="1"/>
  <c r="J52" i="47"/>
  <c r="M52" i="47" s="1"/>
  <c r="Q51" i="47"/>
  <c r="S51" i="47" s="1"/>
  <c r="U51" i="47" s="1"/>
  <c r="J51" i="47"/>
  <c r="M51" i="47" s="1"/>
  <c r="Q50" i="47"/>
  <c r="S50" i="47" s="1"/>
  <c r="U50" i="47" s="1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Q47" i="47"/>
  <c r="S47" i="47" s="1"/>
  <c r="U47" i="47" s="1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Q43" i="47"/>
  <c r="S43" i="47" s="1"/>
  <c r="U43" i="47" s="1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J40" i="47"/>
  <c r="M40" i="47" s="1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J36" i="47"/>
  <c r="M36" i="47" s="1"/>
  <c r="Q35" i="47"/>
  <c r="S35" i="47" s="1"/>
  <c r="U35" i="47" s="1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Q31" i="47"/>
  <c r="S31" i="47" s="1"/>
  <c r="U31" i="47" s="1"/>
  <c r="J31" i="47"/>
  <c r="M31" i="47" s="1"/>
  <c r="Q30" i="47"/>
  <c r="S30" i="47" s="1"/>
  <c r="U30" i="47" s="1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Q26" i="47"/>
  <c r="S26" i="47" s="1"/>
  <c r="U26" i="47" s="1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Q23" i="47"/>
  <c r="S23" i="47" s="1"/>
  <c r="U23" i="47" s="1"/>
  <c r="J23" i="47"/>
  <c r="M23" i="47" s="1"/>
  <c r="Q22" i="47"/>
  <c r="S22" i="47" s="1"/>
  <c r="U22" i="47" s="1"/>
  <c r="J22" i="47"/>
  <c r="M22" i="47" s="1"/>
  <c r="Q21" i="47"/>
  <c r="S21" i="47" s="1"/>
  <c r="U21" i="47" s="1"/>
  <c r="J21" i="47"/>
  <c r="M21" i="47" s="1"/>
  <c r="Q20" i="47"/>
  <c r="S20" i="47" s="1"/>
  <c r="U20" i="47" s="1"/>
  <c r="J20" i="47"/>
  <c r="M20" i="47" s="1"/>
  <c r="Q19" i="47"/>
  <c r="S19" i="47" s="1"/>
  <c r="U19" i="47" s="1"/>
  <c r="J19" i="47"/>
  <c r="M19" i="47" s="1"/>
  <c r="Q18" i="47"/>
  <c r="S18" i="47" s="1"/>
  <c r="U18" i="47" s="1"/>
  <c r="J18" i="47"/>
  <c r="M18" i="47" s="1"/>
  <c r="Q17" i="47"/>
  <c r="S17" i="47" s="1"/>
  <c r="U17" i="47" s="1"/>
  <c r="J17" i="47"/>
  <c r="M17" i="47" s="1"/>
  <c r="Q16" i="47"/>
  <c r="S16" i="47" s="1"/>
  <c r="U16" i="47" s="1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Q13" i="47"/>
  <c r="S13" i="47" s="1"/>
  <c r="U13" i="47" s="1"/>
  <c r="J13" i="47"/>
  <c r="M13" i="47" s="1"/>
  <c r="Q12" i="47"/>
  <c r="S12" i="47" s="1"/>
  <c r="U12" i="47" s="1"/>
  <c r="J12" i="47"/>
  <c r="M12" i="47" s="1"/>
  <c r="Q11" i="47"/>
  <c r="S11" i="47" s="1"/>
  <c r="U11" i="47" s="1"/>
  <c r="J11" i="47"/>
  <c r="M11" i="47" s="1"/>
  <c r="Q10" i="47"/>
  <c r="S10" i="47" s="1"/>
  <c r="U10" i="47" s="1"/>
  <c r="J10" i="47"/>
  <c r="M10" i="47" s="1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S5" i="47"/>
  <c r="U5" i="47" s="1"/>
  <c r="J5" i="47"/>
  <c r="M5" i="47" s="1"/>
  <c r="O233" i="46"/>
  <c r="N233" i="46"/>
  <c r="N234" i="46" s="1"/>
  <c r="N235" i="46" s="1"/>
  <c r="M233" i="46"/>
  <c r="K226" i="46"/>
  <c r="N16" i="15" s="1"/>
  <c r="K223" i="46"/>
  <c r="J220" i="46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J100" i="46"/>
  <c r="M100" i="46" s="1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J97" i="46"/>
  <c r="M97" i="46" s="1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J93" i="46"/>
  <c r="M93" i="46" s="1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J90" i="46"/>
  <c r="M90" i="46" s="1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J85" i="46"/>
  <c r="M85" i="46" s="1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J79" i="46"/>
  <c r="M79" i="46" s="1"/>
  <c r="Q78" i="46"/>
  <c r="S78" i="46" s="1"/>
  <c r="U78" i="46" s="1"/>
  <c r="J78" i="46"/>
  <c r="M78" i="46" s="1"/>
  <c r="Q77" i="46"/>
  <c r="S77" i="46" s="1"/>
  <c r="U77" i="46" s="1"/>
  <c r="J77" i="46"/>
  <c r="M77" i="46" s="1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J62" i="46"/>
  <c r="M62" i="46" s="1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J8" i="46"/>
  <c r="M8" i="46" s="1"/>
  <c r="S7" i="46"/>
  <c r="U7" i="46" s="1"/>
  <c r="J7" i="46"/>
  <c r="M7" i="46" s="1"/>
  <c r="S6" i="46"/>
  <c r="U6" i="46" s="1"/>
  <c r="J6" i="46"/>
  <c r="M6" i="46" s="1"/>
  <c r="S5" i="46"/>
  <c r="U5" i="46" s="1"/>
  <c r="J5" i="46"/>
  <c r="M5" i="46" s="1"/>
  <c r="O230" i="45"/>
  <c r="N230" i="45"/>
  <c r="N231" i="45" s="1"/>
  <c r="N232" i="45" s="1"/>
  <c r="M230" i="45"/>
  <c r="K223" i="45"/>
  <c r="N15" i="15" s="1"/>
  <c r="J217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Q62" i="45"/>
  <c r="S62" i="45" s="1"/>
  <c r="U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J57" i="45"/>
  <c r="M57" i="45" s="1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Q45" i="45"/>
  <c r="S45" i="45" s="1"/>
  <c r="U45" i="45" s="1"/>
  <c r="J45" i="45"/>
  <c r="M45" i="45" s="1"/>
  <c r="Q44" i="45"/>
  <c r="S44" i="45" s="1"/>
  <c r="U44" i="45" s="1"/>
  <c r="J44" i="45"/>
  <c r="M44" i="45" s="1"/>
  <c r="Q43" i="45"/>
  <c r="S43" i="45" s="1"/>
  <c r="U43" i="45" s="1"/>
  <c r="J43" i="45"/>
  <c r="M43" i="45" s="1"/>
  <c r="Q42" i="45"/>
  <c r="S42" i="45" s="1"/>
  <c r="U42" i="45" s="1"/>
  <c r="J42" i="45"/>
  <c r="M42" i="45" s="1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J39" i="45"/>
  <c r="M39" i="45" s="1"/>
  <c r="Q38" i="45"/>
  <c r="S38" i="45" s="1"/>
  <c r="U38" i="45" s="1"/>
  <c r="J38" i="45"/>
  <c r="M38" i="45" s="1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J30" i="45"/>
  <c r="M30" i="45" s="1"/>
  <c r="Q29" i="45"/>
  <c r="S29" i="45" s="1"/>
  <c r="U29" i="45" s="1"/>
  <c r="J29" i="45"/>
  <c r="M29" i="45" s="1"/>
  <c r="Q28" i="45"/>
  <c r="S28" i="45" s="1"/>
  <c r="U28" i="45" s="1"/>
  <c r="J28" i="45"/>
  <c r="M28" i="45" s="1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J23" i="45"/>
  <c r="M23" i="45" s="1"/>
  <c r="Q22" i="45"/>
  <c r="S22" i="45" s="1"/>
  <c r="U22" i="45" s="1"/>
  <c r="J22" i="45"/>
  <c r="M22" i="45" s="1"/>
  <c r="Q21" i="45"/>
  <c r="S21" i="45" s="1"/>
  <c r="U21" i="45" s="1"/>
  <c r="J21" i="45"/>
  <c r="M21" i="45" s="1"/>
  <c r="Q20" i="45"/>
  <c r="S20" i="45" s="1"/>
  <c r="U20" i="45" s="1"/>
  <c r="J20" i="45"/>
  <c r="M20" i="45" s="1"/>
  <c r="Q19" i="45"/>
  <c r="S19" i="45" s="1"/>
  <c r="U19" i="45" s="1"/>
  <c r="J19" i="45"/>
  <c r="M19" i="45" s="1"/>
  <c r="Q18" i="45"/>
  <c r="S18" i="45" s="1"/>
  <c r="U18" i="45" s="1"/>
  <c r="J18" i="45"/>
  <c r="M18" i="45" s="1"/>
  <c r="Q17" i="45"/>
  <c r="S17" i="45" s="1"/>
  <c r="U17" i="45" s="1"/>
  <c r="J17" i="45"/>
  <c r="M17" i="45" s="1"/>
  <c r="Q16" i="45"/>
  <c r="S16" i="45" s="1"/>
  <c r="U16" i="45" s="1"/>
  <c r="J16" i="45"/>
  <c r="M16" i="45" s="1"/>
  <c r="Q15" i="45"/>
  <c r="S15" i="45" s="1"/>
  <c r="U15" i="45" s="1"/>
  <c r="J15" i="45"/>
  <c r="M15" i="45" s="1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J12" i="45"/>
  <c r="M12" i="45" s="1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30" i="44"/>
  <c r="N230" i="44"/>
  <c r="N231" i="44" s="1"/>
  <c r="M230" i="44"/>
  <c r="K223" i="44"/>
  <c r="N14" i="15" s="1"/>
  <c r="K220" i="44"/>
  <c r="J217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M190" i="44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Q104" i="44"/>
  <c r="S104" i="44" s="1"/>
  <c r="U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Q98" i="44"/>
  <c r="S98" i="44" s="1"/>
  <c r="U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U89" i="44"/>
  <c r="Q89" i="44"/>
  <c r="S89" i="44" s="1"/>
  <c r="J89" i="44"/>
  <c r="M89" i="44" s="1"/>
  <c r="Q88" i="44"/>
  <c r="S88" i="44" s="1"/>
  <c r="U88" i="44" s="1"/>
  <c r="J88" i="44"/>
  <c r="M88" i="44" s="1"/>
  <c r="Q87" i="44"/>
  <c r="S87" i="44" s="1"/>
  <c r="U87" i="44" s="1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Q84" i="44"/>
  <c r="S84" i="44" s="1"/>
  <c r="U84" i="44" s="1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Q81" i="44"/>
  <c r="S81" i="44" s="1"/>
  <c r="U81" i="44" s="1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Q68" i="44"/>
  <c r="S68" i="44" s="1"/>
  <c r="U68" i="44" s="1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Q60" i="44"/>
  <c r="S60" i="44" s="1"/>
  <c r="U60" i="44" s="1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U5" i="44"/>
  <c r="S5" i="44"/>
  <c r="J5" i="44"/>
  <c r="M5" i="44" s="1"/>
  <c r="O230" i="43"/>
  <c r="O231" i="43" s="1"/>
  <c r="N230" i="43"/>
  <c r="M230" i="43"/>
  <c r="K223" i="43"/>
  <c r="N13" i="15" s="1"/>
  <c r="K220" i="43"/>
  <c r="J217" i="43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Q92" i="43"/>
  <c r="S92" i="43" s="1"/>
  <c r="U92" i="43" s="1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Q85" i="43"/>
  <c r="S85" i="43" s="1"/>
  <c r="U85" i="43" s="1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Q80" i="43"/>
  <c r="S80" i="43" s="1"/>
  <c r="U80" i="43" s="1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Q73" i="43"/>
  <c r="S73" i="43" s="1"/>
  <c r="U73" i="43" s="1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Q65" i="43"/>
  <c r="S65" i="43" s="1"/>
  <c r="U65" i="43" s="1"/>
  <c r="J65" i="43"/>
  <c r="M65" i="43" s="1"/>
  <c r="Q64" i="43"/>
  <c r="S64" i="43" s="1"/>
  <c r="U64" i="43" s="1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Q61" i="43"/>
  <c r="S61" i="43" s="1"/>
  <c r="U61" i="43" s="1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Q52" i="43"/>
  <c r="S52" i="43" s="1"/>
  <c r="U52" i="43" s="1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Q44" i="43"/>
  <c r="S44" i="43" s="1"/>
  <c r="U44" i="43" s="1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Q36" i="43"/>
  <c r="S36" i="43" s="1"/>
  <c r="U36" i="43" s="1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Q28" i="43"/>
  <c r="S28" i="43" s="1"/>
  <c r="U28" i="43" s="1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Q22" i="43"/>
  <c r="S22" i="43" s="1"/>
  <c r="U22" i="43" s="1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Q18" i="43"/>
  <c r="S18" i="43" s="1"/>
  <c r="U18" i="43" s="1"/>
  <c r="J18" i="43"/>
  <c r="M18" i="43" s="1"/>
  <c r="Q17" i="43"/>
  <c r="S17" i="43" s="1"/>
  <c r="U17" i="43" s="1"/>
  <c r="J17" i="43"/>
  <c r="M17" i="43" s="1"/>
  <c r="Q16" i="43"/>
  <c r="S16" i="43" s="1"/>
  <c r="U16" i="43" s="1"/>
  <c r="J16" i="43"/>
  <c r="M16" i="43" s="1"/>
  <c r="Q15" i="43"/>
  <c r="S15" i="43" s="1"/>
  <c r="U15" i="43" s="1"/>
  <c r="J15" i="43"/>
  <c r="M15" i="43" s="1"/>
  <c r="Q14" i="43"/>
  <c r="S14" i="43" s="1"/>
  <c r="U14" i="43" s="1"/>
  <c r="J14" i="43"/>
  <c r="M14" i="43" s="1"/>
  <c r="Q13" i="43"/>
  <c r="S13" i="43" s="1"/>
  <c r="U13" i="43" s="1"/>
  <c r="J13" i="43"/>
  <c r="M13" i="43" s="1"/>
  <c r="Q12" i="43"/>
  <c r="S12" i="43" s="1"/>
  <c r="U12" i="43" s="1"/>
  <c r="J12" i="43"/>
  <c r="M12" i="43" s="1"/>
  <c r="Q11" i="43"/>
  <c r="S11" i="43" s="1"/>
  <c r="U11" i="43" s="1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U6" i="43"/>
  <c r="S6" i="43"/>
  <c r="J6" i="43"/>
  <c r="M6" i="43" s="1"/>
  <c r="S5" i="43"/>
  <c r="U5" i="43" s="1"/>
  <c r="J5" i="43"/>
  <c r="M5" i="43" s="1"/>
  <c r="O230" i="42"/>
  <c r="N230" i="42"/>
  <c r="N231" i="42" s="1"/>
  <c r="N232" i="42" s="1"/>
  <c r="M230" i="42"/>
  <c r="K223" i="42"/>
  <c r="N12" i="15" s="1"/>
  <c r="K220" i="42"/>
  <c r="J217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J100" i="42"/>
  <c r="M100" i="42" s="1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J94" i="42"/>
  <c r="M94" i="42" s="1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J44" i="42"/>
  <c r="M44" i="42" s="1"/>
  <c r="Q43" i="42"/>
  <c r="S43" i="42" s="1"/>
  <c r="U43" i="42" s="1"/>
  <c r="J43" i="42"/>
  <c r="M43" i="42" s="1"/>
  <c r="Q42" i="42"/>
  <c r="S42" i="42" s="1"/>
  <c r="U42" i="42" s="1"/>
  <c r="J42" i="42"/>
  <c r="M42" i="42" s="1"/>
  <c r="Q41" i="42"/>
  <c r="S41" i="42" s="1"/>
  <c r="U41" i="42" s="1"/>
  <c r="J41" i="42"/>
  <c r="M41" i="42" s="1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J36" i="42"/>
  <c r="M36" i="42" s="1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J11" i="42"/>
  <c r="M11" i="42" s="1"/>
  <c r="Q10" i="42"/>
  <c r="S10" i="42" s="1"/>
  <c r="U10" i="42" s="1"/>
  <c r="J10" i="42"/>
  <c r="M10" i="42" s="1"/>
  <c r="Q9" i="42"/>
  <c r="S9" i="42" s="1"/>
  <c r="U9" i="42" s="1"/>
  <c r="J9" i="42"/>
  <c r="M9" i="42" s="1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30" i="41"/>
  <c r="O231" i="41" s="1"/>
  <c r="N230" i="41"/>
  <c r="M230" i="41"/>
  <c r="K223" i="41"/>
  <c r="N11" i="15" s="1"/>
  <c r="J217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Q99" i="41"/>
  <c r="S99" i="41" s="1"/>
  <c r="U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Q91" i="41"/>
  <c r="S91" i="41" s="1"/>
  <c r="U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Q83" i="41"/>
  <c r="S83" i="41" s="1"/>
  <c r="U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Q72" i="41"/>
  <c r="S72" i="41" s="1"/>
  <c r="U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Q69" i="41"/>
  <c r="S69" i="41" s="1"/>
  <c r="U69" i="41" s="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Q65" i="41"/>
  <c r="S65" i="41" s="1"/>
  <c r="U65" i="41" s="1"/>
  <c r="J65" i="41"/>
  <c r="M65" i="41" s="1"/>
  <c r="Q64" i="41"/>
  <c r="S64" i="41" s="1"/>
  <c r="U64" i="41" s="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J53" i="41"/>
  <c r="M53" i="41" s="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J45" i="41"/>
  <c r="M45" i="41" s="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J27" i="41"/>
  <c r="M27" i="41" s="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S8" i="41"/>
  <c r="U8" i="41" s="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30" i="40"/>
  <c r="N230" i="40"/>
  <c r="N231" i="40" s="1"/>
  <c r="N232" i="40" s="1"/>
  <c r="M230" i="40"/>
  <c r="K223" i="40"/>
  <c r="N10" i="15" s="1"/>
  <c r="K220" i="40"/>
  <c r="J217" i="40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Q101" i="40"/>
  <c r="S101" i="40" s="1"/>
  <c r="U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Q97" i="40"/>
  <c r="S97" i="40" s="1"/>
  <c r="U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Q93" i="40"/>
  <c r="S93" i="40" s="1"/>
  <c r="U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Q89" i="40"/>
  <c r="S89" i="40" s="1"/>
  <c r="U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Q65" i="40"/>
  <c r="S65" i="40" s="1"/>
  <c r="U65" i="40" s="1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Q62" i="40"/>
  <c r="S62" i="40" s="1"/>
  <c r="U62" i="40" s="1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Q58" i="40"/>
  <c r="S58" i="40" s="1"/>
  <c r="U58" i="40" s="1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Q54" i="40"/>
  <c r="S54" i="40" s="1"/>
  <c r="U54" i="40" s="1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Q51" i="40"/>
  <c r="S51" i="40" s="1"/>
  <c r="U51" i="40" s="1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Q47" i="40"/>
  <c r="S47" i="40" s="1"/>
  <c r="U47" i="40" s="1"/>
  <c r="J47" i="40"/>
  <c r="M47" i="40" s="1"/>
  <c r="Q46" i="40"/>
  <c r="S46" i="40" s="1"/>
  <c r="U46" i="40" s="1"/>
  <c r="J46" i="40"/>
  <c r="M46" i="40" s="1"/>
  <c r="Q45" i="40"/>
  <c r="S45" i="40" s="1"/>
  <c r="U45" i="40" s="1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Q36" i="40"/>
  <c r="S36" i="40" s="1"/>
  <c r="U36" i="40" s="1"/>
  <c r="J36" i="40"/>
  <c r="M36" i="40" s="1"/>
  <c r="Q35" i="40"/>
  <c r="S35" i="40" s="1"/>
  <c r="U35" i="40" s="1"/>
  <c r="J35" i="40"/>
  <c r="M35" i="40" s="1"/>
  <c r="Q34" i="40"/>
  <c r="S34" i="40" s="1"/>
  <c r="U34" i="40" s="1"/>
  <c r="J34" i="40"/>
  <c r="M34" i="40" s="1"/>
  <c r="Q33" i="40"/>
  <c r="S33" i="40" s="1"/>
  <c r="U33" i="40" s="1"/>
  <c r="J33" i="40"/>
  <c r="M33" i="40" s="1"/>
  <c r="Q32" i="40"/>
  <c r="S32" i="40" s="1"/>
  <c r="U32" i="40" s="1"/>
  <c r="J32" i="40"/>
  <c r="M32" i="40" s="1"/>
  <c r="Q31" i="40"/>
  <c r="S31" i="40" s="1"/>
  <c r="U31" i="40" s="1"/>
  <c r="J31" i="40"/>
  <c r="M31" i="40" s="1"/>
  <c r="Q30" i="40"/>
  <c r="S30" i="40" s="1"/>
  <c r="U30" i="40" s="1"/>
  <c r="J30" i="40"/>
  <c r="M30" i="40" s="1"/>
  <c r="Q29" i="40"/>
  <c r="S29" i="40" s="1"/>
  <c r="U29" i="40" s="1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Q25" i="40"/>
  <c r="S25" i="40" s="1"/>
  <c r="U25" i="40" s="1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Q21" i="40"/>
  <c r="S21" i="40" s="1"/>
  <c r="U21" i="40" s="1"/>
  <c r="J21" i="40"/>
  <c r="M21" i="40" s="1"/>
  <c r="Q20" i="40"/>
  <c r="S20" i="40" s="1"/>
  <c r="U20" i="40" s="1"/>
  <c r="J20" i="40"/>
  <c r="M20" i="40" s="1"/>
  <c r="Q19" i="40"/>
  <c r="S19" i="40" s="1"/>
  <c r="U19" i="40" s="1"/>
  <c r="J19" i="40"/>
  <c r="M19" i="40" s="1"/>
  <c r="Q18" i="40"/>
  <c r="S18" i="40" s="1"/>
  <c r="U18" i="40" s="1"/>
  <c r="J18" i="40"/>
  <c r="M18" i="40" s="1"/>
  <c r="Q17" i="40"/>
  <c r="S17" i="40" s="1"/>
  <c r="U17" i="40" s="1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Q14" i="40"/>
  <c r="S14" i="40" s="1"/>
  <c r="U14" i="40" s="1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S7" i="40"/>
  <c r="U7" i="40" s="1"/>
  <c r="J7" i="40"/>
  <c r="M7" i="40" s="1"/>
  <c r="S6" i="40"/>
  <c r="U6" i="40" s="1"/>
  <c r="J6" i="40"/>
  <c r="M6" i="40" s="1"/>
  <c r="S5" i="40"/>
  <c r="U5" i="40" s="1"/>
  <c r="J5" i="40"/>
  <c r="M5" i="40" s="1"/>
  <c r="O229" i="39"/>
  <c r="N229" i="39"/>
  <c r="M229" i="39"/>
  <c r="K222" i="39"/>
  <c r="N9" i="15" s="1"/>
  <c r="K219" i="39"/>
  <c r="K229" i="39" s="1"/>
  <c r="J216" i="39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J102" i="39"/>
  <c r="M102" i="39" s="1"/>
  <c r="Q101" i="39"/>
  <c r="S101" i="39" s="1"/>
  <c r="U101" i="39" s="1"/>
  <c r="J101" i="39"/>
  <c r="M101" i="39" s="1"/>
  <c r="Q100" i="39"/>
  <c r="S100" i="39" s="1"/>
  <c r="U100" i="39" s="1"/>
  <c r="J100" i="39"/>
  <c r="M100" i="39" s="1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J97" i="39"/>
  <c r="M97" i="39" s="1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J86" i="39"/>
  <c r="M86" i="39" s="1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J77" i="39"/>
  <c r="M77" i="39" s="1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J62" i="39"/>
  <c r="M62" i="39" s="1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J59" i="39"/>
  <c r="M59" i="39" s="1"/>
  <c r="Q58" i="39"/>
  <c r="S58" i="39" s="1"/>
  <c r="U58" i="39" s="1"/>
  <c r="J58" i="39"/>
  <c r="M58" i="39" s="1"/>
  <c r="Q57" i="39"/>
  <c r="S57" i="39" s="1"/>
  <c r="U57" i="39" s="1"/>
  <c r="J57" i="39"/>
  <c r="M57" i="39" s="1"/>
  <c r="Q56" i="39"/>
  <c r="S56" i="39" s="1"/>
  <c r="U56" i="39" s="1"/>
  <c r="J56" i="39"/>
  <c r="M56" i="39" s="1"/>
  <c r="Q55" i="39"/>
  <c r="S55" i="39" s="1"/>
  <c r="U55" i="39" s="1"/>
  <c r="J55" i="39"/>
  <c r="M55" i="39" s="1"/>
  <c r="Q54" i="39"/>
  <c r="S54" i="39" s="1"/>
  <c r="U54" i="39" s="1"/>
  <c r="J54" i="39"/>
  <c r="M54" i="39" s="1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J51" i="39"/>
  <c r="M51" i="39" s="1"/>
  <c r="Q50" i="39"/>
  <c r="S50" i="39" s="1"/>
  <c r="U50" i="39" s="1"/>
  <c r="J50" i="39"/>
  <c r="M50" i="39" s="1"/>
  <c r="Q49" i="39"/>
  <c r="S49" i="39" s="1"/>
  <c r="U49" i="39" s="1"/>
  <c r="J49" i="39"/>
  <c r="M49" i="39" s="1"/>
  <c r="Q48" i="39"/>
  <c r="S48" i="39" s="1"/>
  <c r="U48" i="39" s="1"/>
  <c r="J48" i="39"/>
  <c r="M48" i="39" s="1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J41" i="39"/>
  <c r="M41" i="39" s="1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J37" i="39"/>
  <c r="M37" i="39" s="1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J33" i="39"/>
  <c r="M33" i="39" s="1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S5" i="39"/>
  <c r="U5" i="39" s="1"/>
  <c r="J5" i="39"/>
  <c r="M5" i="39" s="1"/>
  <c r="O229" i="38"/>
  <c r="O230" i="38" s="1"/>
  <c r="O231" i="38" s="1"/>
  <c r="N229" i="38"/>
  <c r="M229" i="38"/>
  <c r="K222" i="38"/>
  <c r="N8" i="15" s="1"/>
  <c r="K219" i="38"/>
  <c r="K229" i="38" s="1"/>
  <c r="J216" i="38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X107" i="38"/>
  <c r="J107" i="38"/>
  <c r="M107" i="38" s="1"/>
  <c r="J106" i="38"/>
  <c r="M106" i="38" s="1"/>
  <c r="Z105" i="38"/>
  <c r="J105" i="38"/>
  <c r="M105" i="38" s="1"/>
  <c r="Q104" i="38"/>
  <c r="S104" i="38" s="1"/>
  <c r="U104" i="38" s="1"/>
  <c r="J104" i="38"/>
  <c r="M104" i="38" s="1"/>
  <c r="Q103" i="38"/>
  <c r="S103" i="38" s="1"/>
  <c r="U103" i="38" s="1"/>
  <c r="J103" i="38"/>
  <c r="M103" i="38" s="1"/>
  <c r="Q102" i="38"/>
  <c r="S102" i="38" s="1"/>
  <c r="U102" i="38" s="1"/>
  <c r="J102" i="38"/>
  <c r="M102" i="38" s="1"/>
  <c r="Q101" i="38"/>
  <c r="S101" i="38" s="1"/>
  <c r="U101" i="38" s="1"/>
  <c r="J101" i="38"/>
  <c r="M101" i="38" s="1"/>
  <c r="Q100" i="38"/>
  <c r="S100" i="38" s="1"/>
  <c r="U100" i="38" s="1"/>
  <c r="J100" i="38"/>
  <c r="M100" i="38" s="1"/>
  <c r="Q99" i="38"/>
  <c r="S99" i="38" s="1"/>
  <c r="U99" i="38" s="1"/>
  <c r="J99" i="38"/>
  <c r="M99" i="38" s="1"/>
  <c r="Q98" i="38"/>
  <c r="S98" i="38" s="1"/>
  <c r="U98" i="38" s="1"/>
  <c r="J98" i="38"/>
  <c r="M98" i="38" s="1"/>
  <c r="Q97" i="38"/>
  <c r="S97" i="38" s="1"/>
  <c r="U97" i="38" s="1"/>
  <c r="J97" i="38"/>
  <c r="M97" i="38" s="1"/>
  <c r="Q96" i="38"/>
  <c r="S96" i="38" s="1"/>
  <c r="U96" i="38" s="1"/>
  <c r="J96" i="38"/>
  <c r="M96" i="38" s="1"/>
  <c r="Q95" i="38"/>
  <c r="S95" i="38" s="1"/>
  <c r="U95" i="38" s="1"/>
  <c r="J95" i="38"/>
  <c r="M95" i="38" s="1"/>
  <c r="Q94" i="38"/>
  <c r="S94" i="38" s="1"/>
  <c r="U94" i="38" s="1"/>
  <c r="J94" i="38"/>
  <c r="M94" i="38" s="1"/>
  <c r="Q93" i="38"/>
  <c r="S93" i="38" s="1"/>
  <c r="U93" i="38" s="1"/>
  <c r="J93" i="38"/>
  <c r="M93" i="38" s="1"/>
  <c r="Q92" i="38"/>
  <c r="S92" i="38" s="1"/>
  <c r="U92" i="38" s="1"/>
  <c r="J92" i="38"/>
  <c r="M92" i="38" s="1"/>
  <c r="Q91" i="38"/>
  <c r="S91" i="38" s="1"/>
  <c r="U91" i="38" s="1"/>
  <c r="J91" i="38"/>
  <c r="M91" i="38" s="1"/>
  <c r="Q90" i="38"/>
  <c r="S90" i="38" s="1"/>
  <c r="U90" i="38" s="1"/>
  <c r="J90" i="38"/>
  <c r="M90" i="38" s="1"/>
  <c r="Q89" i="38"/>
  <c r="S89" i="38" s="1"/>
  <c r="U89" i="38" s="1"/>
  <c r="J89" i="38"/>
  <c r="M89" i="38" s="1"/>
  <c r="Q88" i="38"/>
  <c r="S88" i="38" s="1"/>
  <c r="U88" i="38" s="1"/>
  <c r="J88" i="38"/>
  <c r="M88" i="38" s="1"/>
  <c r="Q87" i="38"/>
  <c r="S87" i="38" s="1"/>
  <c r="U87" i="38" s="1"/>
  <c r="J87" i="38"/>
  <c r="M87" i="38" s="1"/>
  <c r="Q86" i="38"/>
  <c r="S86" i="38" s="1"/>
  <c r="U86" i="38" s="1"/>
  <c r="J86" i="38"/>
  <c r="M86" i="38" s="1"/>
  <c r="Q85" i="38"/>
  <c r="S85" i="38" s="1"/>
  <c r="U85" i="38" s="1"/>
  <c r="J85" i="38"/>
  <c r="M85" i="38" s="1"/>
  <c r="Q84" i="38"/>
  <c r="S84" i="38" s="1"/>
  <c r="U84" i="38" s="1"/>
  <c r="J84" i="38"/>
  <c r="M84" i="38" s="1"/>
  <c r="Q83" i="38"/>
  <c r="S83" i="38" s="1"/>
  <c r="U83" i="38" s="1"/>
  <c r="J83" i="38"/>
  <c r="M83" i="38" s="1"/>
  <c r="Q82" i="38"/>
  <c r="S82" i="38" s="1"/>
  <c r="U82" i="38" s="1"/>
  <c r="J82" i="38"/>
  <c r="M82" i="38" s="1"/>
  <c r="Q81" i="38"/>
  <c r="S81" i="38" s="1"/>
  <c r="U81" i="38" s="1"/>
  <c r="J81" i="38"/>
  <c r="M81" i="38" s="1"/>
  <c r="Q80" i="38"/>
  <c r="S80" i="38" s="1"/>
  <c r="U80" i="38" s="1"/>
  <c r="J80" i="38"/>
  <c r="M80" i="38" s="1"/>
  <c r="Q79" i="38"/>
  <c r="S79" i="38" s="1"/>
  <c r="U79" i="38" s="1"/>
  <c r="J79" i="38"/>
  <c r="M79" i="38" s="1"/>
  <c r="Q78" i="38"/>
  <c r="S78" i="38" s="1"/>
  <c r="U78" i="38" s="1"/>
  <c r="J78" i="38"/>
  <c r="M78" i="38" s="1"/>
  <c r="Q77" i="38"/>
  <c r="S77" i="38" s="1"/>
  <c r="U77" i="38" s="1"/>
  <c r="J77" i="38"/>
  <c r="M77" i="38" s="1"/>
  <c r="Q76" i="38"/>
  <c r="S76" i="38" s="1"/>
  <c r="U76" i="38" s="1"/>
  <c r="J76" i="38"/>
  <c r="M76" i="38" s="1"/>
  <c r="Q75" i="38"/>
  <c r="S75" i="38" s="1"/>
  <c r="U75" i="38" s="1"/>
  <c r="J75" i="38"/>
  <c r="M75" i="38" s="1"/>
  <c r="Q74" i="38"/>
  <c r="S74" i="38" s="1"/>
  <c r="U74" i="38" s="1"/>
  <c r="J74" i="38"/>
  <c r="M74" i="38" s="1"/>
  <c r="Q73" i="38"/>
  <c r="S73" i="38" s="1"/>
  <c r="U73" i="38" s="1"/>
  <c r="J73" i="38"/>
  <c r="M73" i="38" s="1"/>
  <c r="Q72" i="38"/>
  <c r="S72" i="38" s="1"/>
  <c r="U72" i="38" s="1"/>
  <c r="J72" i="38"/>
  <c r="M72" i="38" s="1"/>
  <c r="Q71" i="38"/>
  <c r="S71" i="38" s="1"/>
  <c r="U71" i="38" s="1"/>
  <c r="J71" i="38"/>
  <c r="M71" i="38" s="1"/>
  <c r="Q70" i="38"/>
  <c r="S70" i="38" s="1"/>
  <c r="U70" i="38" s="1"/>
  <c r="J70" i="38"/>
  <c r="M70" i="38" s="1"/>
  <c r="Q69" i="38"/>
  <c r="S69" i="38" s="1"/>
  <c r="U69" i="38" s="1"/>
  <c r="J69" i="38"/>
  <c r="M69" i="38" s="1"/>
  <c r="Q68" i="38"/>
  <c r="S68" i="38" s="1"/>
  <c r="U68" i="38" s="1"/>
  <c r="J68" i="38"/>
  <c r="M68" i="38" s="1"/>
  <c r="Q67" i="38"/>
  <c r="S67" i="38" s="1"/>
  <c r="U67" i="38" s="1"/>
  <c r="J67" i="38"/>
  <c r="M67" i="38" s="1"/>
  <c r="Q66" i="38"/>
  <c r="S66" i="38" s="1"/>
  <c r="U66" i="38" s="1"/>
  <c r="J66" i="38"/>
  <c r="M66" i="38" s="1"/>
  <c r="Q65" i="38"/>
  <c r="S65" i="38" s="1"/>
  <c r="U65" i="38" s="1"/>
  <c r="J65" i="38"/>
  <c r="M65" i="38" s="1"/>
  <c r="Q64" i="38"/>
  <c r="S64" i="38" s="1"/>
  <c r="U64" i="38" s="1"/>
  <c r="J64" i="38"/>
  <c r="M64" i="38" s="1"/>
  <c r="Q63" i="38"/>
  <c r="S63" i="38" s="1"/>
  <c r="U63" i="38" s="1"/>
  <c r="J63" i="38"/>
  <c r="M63" i="38" s="1"/>
  <c r="Q62" i="38"/>
  <c r="S62" i="38" s="1"/>
  <c r="U62" i="38" s="1"/>
  <c r="J62" i="38"/>
  <c r="M62" i="38" s="1"/>
  <c r="Q61" i="38"/>
  <c r="S61" i="38" s="1"/>
  <c r="U61" i="38" s="1"/>
  <c r="J61" i="38"/>
  <c r="M61" i="38" s="1"/>
  <c r="Q60" i="38"/>
  <c r="S60" i="38" s="1"/>
  <c r="U60" i="38" s="1"/>
  <c r="J60" i="38"/>
  <c r="M60" i="38" s="1"/>
  <c r="Q59" i="38"/>
  <c r="S59" i="38" s="1"/>
  <c r="U59" i="38" s="1"/>
  <c r="J59" i="38"/>
  <c r="M59" i="38" s="1"/>
  <c r="Q58" i="38"/>
  <c r="S58" i="38" s="1"/>
  <c r="U58" i="38" s="1"/>
  <c r="J58" i="38"/>
  <c r="M58" i="38" s="1"/>
  <c r="Q57" i="38"/>
  <c r="S57" i="38" s="1"/>
  <c r="U57" i="38" s="1"/>
  <c r="J57" i="38"/>
  <c r="M57" i="38" s="1"/>
  <c r="Q56" i="38"/>
  <c r="S56" i="38" s="1"/>
  <c r="U56" i="38" s="1"/>
  <c r="J56" i="38"/>
  <c r="M56" i="38" s="1"/>
  <c r="Q55" i="38"/>
  <c r="S55" i="38" s="1"/>
  <c r="U55" i="38" s="1"/>
  <c r="J55" i="38"/>
  <c r="M55" i="38" s="1"/>
  <c r="Q54" i="38"/>
  <c r="S54" i="38" s="1"/>
  <c r="U54" i="38" s="1"/>
  <c r="J54" i="38"/>
  <c r="M54" i="38" s="1"/>
  <c r="Q53" i="38"/>
  <c r="S53" i="38" s="1"/>
  <c r="U53" i="38" s="1"/>
  <c r="J53" i="38"/>
  <c r="M53" i="38" s="1"/>
  <c r="Q52" i="38"/>
  <c r="S52" i="38" s="1"/>
  <c r="U52" i="38" s="1"/>
  <c r="J52" i="38"/>
  <c r="M52" i="38" s="1"/>
  <c r="Q51" i="38"/>
  <c r="S51" i="38" s="1"/>
  <c r="U51" i="38" s="1"/>
  <c r="J51" i="38"/>
  <c r="M51" i="38" s="1"/>
  <c r="Q50" i="38"/>
  <c r="S50" i="38" s="1"/>
  <c r="U50" i="38" s="1"/>
  <c r="J50" i="38"/>
  <c r="M50" i="38" s="1"/>
  <c r="Q49" i="38"/>
  <c r="S49" i="38" s="1"/>
  <c r="U49" i="38" s="1"/>
  <c r="J49" i="38"/>
  <c r="M49" i="38" s="1"/>
  <c r="Q48" i="38"/>
  <c r="S48" i="38" s="1"/>
  <c r="U48" i="38" s="1"/>
  <c r="J48" i="38"/>
  <c r="M48" i="38" s="1"/>
  <c r="Q47" i="38"/>
  <c r="S47" i="38" s="1"/>
  <c r="U47" i="38" s="1"/>
  <c r="J47" i="38"/>
  <c r="M47" i="38" s="1"/>
  <c r="Q46" i="38"/>
  <c r="S46" i="38" s="1"/>
  <c r="U46" i="38" s="1"/>
  <c r="J46" i="38"/>
  <c r="M46" i="38" s="1"/>
  <c r="Q45" i="38"/>
  <c r="S45" i="38" s="1"/>
  <c r="U45" i="38" s="1"/>
  <c r="J45" i="38"/>
  <c r="M45" i="38" s="1"/>
  <c r="Q44" i="38"/>
  <c r="S44" i="38" s="1"/>
  <c r="U44" i="38" s="1"/>
  <c r="J44" i="38"/>
  <c r="M44" i="38" s="1"/>
  <c r="Q43" i="38"/>
  <c r="S43" i="38" s="1"/>
  <c r="U43" i="38" s="1"/>
  <c r="J43" i="38"/>
  <c r="M43" i="38" s="1"/>
  <c r="Q42" i="38"/>
  <c r="S42" i="38" s="1"/>
  <c r="U42" i="38" s="1"/>
  <c r="J42" i="38"/>
  <c r="M42" i="38" s="1"/>
  <c r="Q41" i="38"/>
  <c r="S41" i="38" s="1"/>
  <c r="U41" i="38" s="1"/>
  <c r="J41" i="38"/>
  <c r="M41" i="38" s="1"/>
  <c r="Q40" i="38"/>
  <c r="S40" i="38" s="1"/>
  <c r="U40" i="38" s="1"/>
  <c r="J40" i="38"/>
  <c r="M40" i="38" s="1"/>
  <c r="Q39" i="38"/>
  <c r="S39" i="38" s="1"/>
  <c r="U39" i="38" s="1"/>
  <c r="J39" i="38"/>
  <c r="M39" i="38" s="1"/>
  <c r="Q38" i="38"/>
  <c r="S38" i="38" s="1"/>
  <c r="U38" i="38" s="1"/>
  <c r="J38" i="38"/>
  <c r="M38" i="38" s="1"/>
  <c r="Q37" i="38"/>
  <c r="S37" i="38" s="1"/>
  <c r="U37" i="38" s="1"/>
  <c r="J37" i="38"/>
  <c r="M37" i="38" s="1"/>
  <c r="Q36" i="38"/>
  <c r="S36" i="38" s="1"/>
  <c r="U36" i="38" s="1"/>
  <c r="J36" i="38"/>
  <c r="M36" i="38" s="1"/>
  <c r="Q35" i="38"/>
  <c r="S35" i="38" s="1"/>
  <c r="U35" i="38" s="1"/>
  <c r="J35" i="38"/>
  <c r="M35" i="38" s="1"/>
  <c r="Q34" i="38"/>
  <c r="S34" i="38" s="1"/>
  <c r="U34" i="38" s="1"/>
  <c r="J34" i="38"/>
  <c r="M34" i="38" s="1"/>
  <c r="Q33" i="38"/>
  <c r="S33" i="38" s="1"/>
  <c r="U33" i="38" s="1"/>
  <c r="J33" i="38"/>
  <c r="M33" i="38" s="1"/>
  <c r="Q32" i="38"/>
  <c r="S32" i="38" s="1"/>
  <c r="U32" i="38" s="1"/>
  <c r="J32" i="38"/>
  <c r="M32" i="38" s="1"/>
  <c r="Q31" i="38"/>
  <c r="S31" i="38" s="1"/>
  <c r="U31" i="38" s="1"/>
  <c r="J31" i="38"/>
  <c r="M31" i="38" s="1"/>
  <c r="Q30" i="38"/>
  <c r="S30" i="38" s="1"/>
  <c r="U30" i="38" s="1"/>
  <c r="J30" i="38"/>
  <c r="M30" i="38" s="1"/>
  <c r="Q29" i="38"/>
  <c r="S29" i="38" s="1"/>
  <c r="U29" i="38" s="1"/>
  <c r="J29" i="38"/>
  <c r="M29" i="38" s="1"/>
  <c r="Q28" i="38"/>
  <c r="S28" i="38" s="1"/>
  <c r="U28" i="38" s="1"/>
  <c r="J28" i="38"/>
  <c r="M28" i="38" s="1"/>
  <c r="Q27" i="38"/>
  <c r="S27" i="38" s="1"/>
  <c r="U27" i="38" s="1"/>
  <c r="J27" i="38"/>
  <c r="M27" i="38" s="1"/>
  <c r="Q26" i="38"/>
  <c r="S26" i="38" s="1"/>
  <c r="U26" i="38" s="1"/>
  <c r="J26" i="38"/>
  <c r="M26" i="38" s="1"/>
  <c r="Q25" i="38"/>
  <c r="S25" i="38" s="1"/>
  <c r="U25" i="38" s="1"/>
  <c r="J25" i="38"/>
  <c r="M25" i="38" s="1"/>
  <c r="Q24" i="38"/>
  <c r="S24" i="38" s="1"/>
  <c r="U24" i="38" s="1"/>
  <c r="J24" i="38"/>
  <c r="M24" i="38" s="1"/>
  <c r="Q23" i="38"/>
  <c r="S23" i="38" s="1"/>
  <c r="U23" i="38" s="1"/>
  <c r="J23" i="38"/>
  <c r="M23" i="38" s="1"/>
  <c r="Q22" i="38"/>
  <c r="S22" i="38" s="1"/>
  <c r="U22" i="38" s="1"/>
  <c r="J22" i="38"/>
  <c r="M22" i="38" s="1"/>
  <c r="Q21" i="38"/>
  <c r="S21" i="38" s="1"/>
  <c r="U21" i="38" s="1"/>
  <c r="J21" i="38"/>
  <c r="M21" i="38" s="1"/>
  <c r="Q20" i="38"/>
  <c r="S20" i="38" s="1"/>
  <c r="U20" i="38" s="1"/>
  <c r="J20" i="38"/>
  <c r="M20" i="38" s="1"/>
  <c r="Q19" i="38"/>
  <c r="S19" i="38" s="1"/>
  <c r="U19" i="38" s="1"/>
  <c r="J19" i="38"/>
  <c r="M19" i="38" s="1"/>
  <c r="Q18" i="38"/>
  <c r="S18" i="38" s="1"/>
  <c r="U18" i="38" s="1"/>
  <c r="J18" i="38"/>
  <c r="M18" i="38" s="1"/>
  <c r="Q17" i="38"/>
  <c r="S17" i="38" s="1"/>
  <c r="U17" i="38" s="1"/>
  <c r="J17" i="38"/>
  <c r="M17" i="38" s="1"/>
  <c r="Q16" i="38"/>
  <c r="S16" i="38" s="1"/>
  <c r="U16" i="38" s="1"/>
  <c r="J16" i="38"/>
  <c r="M16" i="38" s="1"/>
  <c r="Q15" i="38"/>
  <c r="S15" i="38" s="1"/>
  <c r="U15" i="38" s="1"/>
  <c r="J15" i="38"/>
  <c r="M15" i="38" s="1"/>
  <c r="Q14" i="38"/>
  <c r="S14" i="38" s="1"/>
  <c r="U14" i="38" s="1"/>
  <c r="J14" i="38"/>
  <c r="M14" i="38" s="1"/>
  <c r="Q13" i="38"/>
  <c r="S13" i="38" s="1"/>
  <c r="U13" i="38" s="1"/>
  <c r="J13" i="38"/>
  <c r="M13" i="38" s="1"/>
  <c r="Q12" i="38"/>
  <c r="S12" i="38" s="1"/>
  <c r="U12" i="38" s="1"/>
  <c r="J12" i="38"/>
  <c r="M12" i="38" s="1"/>
  <c r="Q11" i="38"/>
  <c r="S11" i="38" s="1"/>
  <c r="U11" i="38" s="1"/>
  <c r="J11" i="38"/>
  <c r="M11" i="38" s="1"/>
  <c r="Q10" i="38"/>
  <c r="S10" i="38" s="1"/>
  <c r="U10" i="38" s="1"/>
  <c r="J10" i="38"/>
  <c r="M10" i="38" s="1"/>
  <c r="Q9" i="38"/>
  <c r="S9" i="38" s="1"/>
  <c r="U9" i="38" s="1"/>
  <c r="J9" i="38"/>
  <c r="M9" i="38" s="1"/>
  <c r="S8" i="38"/>
  <c r="U8" i="38" s="1"/>
  <c r="J8" i="38"/>
  <c r="M8" i="38" s="1"/>
  <c r="S7" i="38"/>
  <c r="U7" i="38" s="1"/>
  <c r="J7" i="38"/>
  <c r="M7" i="38" s="1"/>
  <c r="S6" i="38"/>
  <c r="U6" i="38" s="1"/>
  <c r="J6" i="38"/>
  <c r="M6" i="38" s="1"/>
  <c r="S5" i="38"/>
  <c r="U5" i="38" s="1"/>
  <c r="J5" i="38"/>
  <c r="M5" i="38" s="1"/>
  <c r="O229" i="37"/>
  <c r="O230" i="37" s="1"/>
  <c r="O231" i="37" s="1"/>
  <c r="O232" i="37" s="1"/>
  <c r="N229" i="37"/>
  <c r="N230" i="37" s="1"/>
  <c r="M229" i="37"/>
  <c r="K222" i="37"/>
  <c r="N7" i="15" s="1"/>
  <c r="K219" i="37"/>
  <c r="K229" i="37" s="1"/>
  <c r="J216" i="37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J98" i="37"/>
  <c r="M98" i="37" s="1"/>
  <c r="Q97" i="37"/>
  <c r="S97" i="37" s="1"/>
  <c r="U97" i="37" s="1"/>
  <c r="J97" i="37"/>
  <c r="M97" i="37" s="1"/>
  <c r="Q96" i="37"/>
  <c r="S96" i="37" s="1"/>
  <c r="U96" i="37" s="1"/>
  <c r="J96" i="37"/>
  <c r="M96" i="37" s="1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J76" i="37"/>
  <c r="M76" i="37" s="1"/>
  <c r="Q75" i="37"/>
  <c r="S75" i="37" s="1"/>
  <c r="U75" i="37" s="1"/>
  <c r="J75" i="37"/>
  <c r="M75" i="37" s="1"/>
  <c r="Q74" i="37"/>
  <c r="S74" i="37" s="1"/>
  <c r="U74" i="37" s="1"/>
  <c r="J74" i="37"/>
  <c r="M74" i="37" s="1"/>
  <c r="Q73" i="37"/>
  <c r="S73" i="37" s="1"/>
  <c r="U73" i="37" s="1"/>
  <c r="J73" i="37"/>
  <c r="M73" i="37" s="1"/>
  <c r="Q72" i="37"/>
  <c r="S72" i="37" s="1"/>
  <c r="U72" i="37" s="1"/>
  <c r="J72" i="37"/>
  <c r="M72" i="37" s="1"/>
  <c r="Q71" i="37"/>
  <c r="S71" i="37" s="1"/>
  <c r="U71" i="37" s="1"/>
  <c r="J71" i="37"/>
  <c r="M71" i="37" s="1"/>
  <c r="Q70" i="37"/>
  <c r="S70" i="37" s="1"/>
  <c r="U70" i="37" s="1"/>
  <c r="J70" i="37"/>
  <c r="M70" i="37" s="1"/>
  <c r="Q69" i="37"/>
  <c r="S69" i="37" s="1"/>
  <c r="U69" i="37" s="1"/>
  <c r="J69" i="37"/>
  <c r="M69" i="37" s="1"/>
  <c r="Q68" i="37"/>
  <c r="S68" i="37" s="1"/>
  <c r="U68" i="37" s="1"/>
  <c r="J68" i="37"/>
  <c r="M68" i="37" s="1"/>
  <c r="Q67" i="37"/>
  <c r="S67" i="37" s="1"/>
  <c r="U67" i="37" s="1"/>
  <c r="J67" i="37"/>
  <c r="M67" i="37" s="1"/>
  <c r="Q66" i="37"/>
  <c r="S66" i="37" s="1"/>
  <c r="U66" i="37" s="1"/>
  <c r="J66" i="37"/>
  <c r="M66" i="37" s="1"/>
  <c r="Q65" i="37"/>
  <c r="S65" i="37" s="1"/>
  <c r="U65" i="37" s="1"/>
  <c r="J65" i="37"/>
  <c r="M65" i="37" s="1"/>
  <c r="Q64" i="37"/>
  <c r="S64" i="37" s="1"/>
  <c r="U64" i="37" s="1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Q61" i="37"/>
  <c r="S61" i="37" s="1"/>
  <c r="U61" i="37" s="1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Q58" i="37"/>
  <c r="S58" i="37" s="1"/>
  <c r="U58" i="37" s="1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Q49" i="37"/>
  <c r="S49" i="37" s="1"/>
  <c r="U49" i="37" s="1"/>
  <c r="J49" i="37"/>
  <c r="M49" i="37" s="1"/>
  <c r="Q48" i="37"/>
  <c r="S48" i="37" s="1"/>
  <c r="U48" i="37" s="1"/>
  <c r="J48" i="37"/>
  <c r="M48" i="37" s="1"/>
  <c r="Q47" i="37"/>
  <c r="S47" i="37" s="1"/>
  <c r="U47" i="37" s="1"/>
  <c r="J47" i="37"/>
  <c r="M47" i="37" s="1"/>
  <c r="Q46" i="37"/>
  <c r="S46" i="37" s="1"/>
  <c r="U46" i="37" s="1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Q42" i="37"/>
  <c r="S42" i="37" s="1"/>
  <c r="U42" i="37" s="1"/>
  <c r="J42" i="37"/>
  <c r="M42" i="37" s="1"/>
  <c r="Q41" i="37"/>
  <c r="S41" i="37" s="1"/>
  <c r="U41" i="37" s="1"/>
  <c r="J41" i="37"/>
  <c r="M41" i="37" s="1"/>
  <c r="Q40" i="37"/>
  <c r="S40" i="37" s="1"/>
  <c r="U40" i="37" s="1"/>
  <c r="J40" i="37"/>
  <c r="M40" i="37" s="1"/>
  <c r="Q39" i="37"/>
  <c r="S39" i="37" s="1"/>
  <c r="U39" i="37" s="1"/>
  <c r="J39" i="37"/>
  <c r="M39" i="37" s="1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Q35" i="37"/>
  <c r="S35" i="37" s="1"/>
  <c r="U35" i="37" s="1"/>
  <c r="J35" i="37"/>
  <c r="M35" i="37" s="1"/>
  <c r="Q34" i="37"/>
  <c r="S34" i="37" s="1"/>
  <c r="U34" i="37" s="1"/>
  <c r="J34" i="37"/>
  <c r="M34" i="37" s="1"/>
  <c r="Q33" i="37"/>
  <c r="S33" i="37" s="1"/>
  <c r="U33" i="37" s="1"/>
  <c r="J33" i="37"/>
  <c r="M33" i="37" s="1"/>
  <c r="Q32" i="37"/>
  <c r="S32" i="37" s="1"/>
  <c r="U32" i="37" s="1"/>
  <c r="J32" i="37"/>
  <c r="M32" i="37" s="1"/>
  <c r="Q31" i="37"/>
  <c r="S31" i="37" s="1"/>
  <c r="U31" i="37" s="1"/>
  <c r="J31" i="37"/>
  <c r="M31" i="37" s="1"/>
  <c r="Q30" i="37"/>
  <c r="S30" i="37" s="1"/>
  <c r="U30" i="37" s="1"/>
  <c r="J30" i="37"/>
  <c r="M30" i="37" s="1"/>
  <c r="Q29" i="37"/>
  <c r="S29" i="37" s="1"/>
  <c r="U29" i="37" s="1"/>
  <c r="J29" i="37"/>
  <c r="M29" i="37" s="1"/>
  <c r="Q28" i="37"/>
  <c r="S28" i="37" s="1"/>
  <c r="U28" i="37" s="1"/>
  <c r="J28" i="37"/>
  <c r="M28" i="37" s="1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J24" i="37"/>
  <c r="M24" i="37" s="1"/>
  <c r="Q23" i="37"/>
  <c r="S23" i="37" s="1"/>
  <c r="U23" i="37" s="1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Q15" i="37"/>
  <c r="S15" i="37" s="1"/>
  <c r="U15" i="37" s="1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J10" i="37"/>
  <c r="M10" i="37" s="1"/>
  <c r="Q9" i="37"/>
  <c r="S9" i="37" s="1"/>
  <c r="U9" i="37" s="1"/>
  <c r="J9" i="37"/>
  <c r="M9" i="37" s="1"/>
  <c r="S8" i="37"/>
  <c r="U8" i="37" s="1"/>
  <c r="J8" i="37"/>
  <c r="M8" i="37" s="1"/>
  <c r="S7" i="37"/>
  <c r="U7" i="37" s="1"/>
  <c r="J7" i="37"/>
  <c r="M7" i="37" s="1"/>
  <c r="S6" i="37"/>
  <c r="U6" i="37" s="1"/>
  <c r="J6" i="37"/>
  <c r="M6" i="37" s="1"/>
  <c r="S5" i="37"/>
  <c r="U5" i="37" s="1"/>
  <c r="J5" i="37"/>
  <c r="M5" i="37" s="1"/>
  <c r="O225" i="36"/>
  <c r="N225" i="36"/>
  <c r="M225" i="36"/>
  <c r="K218" i="36"/>
  <c r="N6" i="15" s="1"/>
  <c r="K215" i="36"/>
  <c r="J212" i="36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M133" i="36"/>
  <c r="J133" i="36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Q103" i="36"/>
  <c r="S103" i="36" s="1"/>
  <c r="U103" i="36" s="1"/>
  <c r="J103" i="36"/>
  <c r="M103" i="36" s="1"/>
  <c r="Q102" i="36"/>
  <c r="S102" i="36" s="1"/>
  <c r="U102" i="36" s="1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J99" i="36"/>
  <c r="M99" i="36" s="1"/>
  <c r="Q98" i="36"/>
  <c r="S98" i="36" s="1"/>
  <c r="U98" i="36" s="1"/>
  <c r="J98" i="36"/>
  <c r="M98" i="36" s="1"/>
  <c r="Q97" i="36"/>
  <c r="S97" i="36" s="1"/>
  <c r="U97" i="36" s="1"/>
  <c r="J97" i="36"/>
  <c r="M97" i="36" s="1"/>
  <c r="Q96" i="36"/>
  <c r="S96" i="36" s="1"/>
  <c r="U96" i="36" s="1"/>
  <c r="J96" i="36"/>
  <c r="M96" i="36" s="1"/>
  <c r="Q95" i="36"/>
  <c r="S95" i="36" s="1"/>
  <c r="U95" i="36" s="1"/>
  <c r="J95" i="36"/>
  <c r="M95" i="36" s="1"/>
  <c r="Q94" i="36"/>
  <c r="S94" i="36" s="1"/>
  <c r="U94" i="36" s="1"/>
  <c r="J94" i="36"/>
  <c r="M94" i="36" s="1"/>
  <c r="Q93" i="36"/>
  <c r="S93" i="36" s="1"/>
  <c r="U93" i="36" s="1"/>
  <c r="J93" i="36"/>
  <c r="M93" i="36" s="1"/>
  <c r="Q92" i="36"/>
  <c r="S92" i="36" s="1"/>
  <c r="U92" i="36" s="1"/>
  <c r="J92" i="36"/>
  <c r="M92" i="36" s="1"/>
  <c r="Q91" i="36"/>
  <c r="S91" i="36" s="1"/>
  <c r="U91" i="36" s="1"/>
  <c r="J91" i="36"/>
  <c r="M91" i="36" s="1"/>
  <c r="Q90" i="36"/>
  <c r="S90" i="36" s="1"/>
  <c r="U90" i="36" s="1"/>
  <c r="J90" i="36"/>
  <c r="M90" i="36" s="1"/>
  <c r="Q89" i="36"/>
  <c r="S89" i="36" s="1"/>
  <c r="U89" i="36" s="1"/>
  <c r="J89" i="36"/>
  <c r="M89" i="36" s="1"/>
  <c r="Q88" i="36"/>
  <c r="S88" i="36" s="1"/>
  <c r="U88" i="36" s="1"/>
  <c r="J88" i="36"/>
  <c r="M88" i="36" s="1"/>
  <c r="Q87" i="36"/>
  <c r="S87" i="36" s="1"/>
  <c r="U87" i="36" s="1"/>
  <c r="J87" i="36"/>
  <c r="M87" i="36" s="1"/>
  <c r="Q86" i="36"/>
  <c r="S86" i="36" s="1"/>
  <c r="U86" i="36" s="1"/>
  <c r="J86" i="36"/>
  <c r="M86" i="36" s="1"/>
  <c r="Q85" i="36"/>
  <c r="S85" i="36" s="1"/>
  <c r="U85" i="36" s="1"/>
  <c r="J85" i="36"/>
  <c r="M85" i="36" s="1"/>
  <c r="Q84" i="36"/>
  <c r="S84" i="36" s="1"/>
  <c r="U84" i="36" s="1"/>
  <c r="J84" i="36"/>
  <c r="M84" i="36" s="1"/>
  <c r="Q83" i="36"/>
  <c r="S83" i="36" s="1"/>
  <c r="U83" i="36" s="1"/>
  <c r="J83" i="36"/>
  <c r="M83" i="36" s="1"/>
  <c r="Q82" i="36"/>
  <c r="S82" i="36" s="1"/>
  <c r="U82" i="36" s="1"/>
  <c r="J82" i="36"/>
  <c r="M82" i="36" s="1"/>
  <c r="Q81" i="36"/>
  <c r="S81" i="36" s="1"/>
  <c r="U81" i="36" s="1"/>
  <c r="J81" i="36"/>
  <c r="M81" i="36" s="1"/>
  <c r="Q80" i="36"/>
  <c r="S80" i="36" s="1"/>
  <c r="U80" i="36" s="1"/>
  <c r="J80" i="36"/>
  <c r="M80" i="36" s="1"/>
  <c r="Q79" i="36"/>
  <c r="S79" i="36" s="1"/>
  <c r="U79" i="36" s="1"/>
  <c r="J79" i="36"/>
  <c r="M79" i="36" s="1"/>
  <c r="Q78" i="36"/>
  <c r="S78" i="36" s="1"/>
  <c r="U78" i="36" s="1"/>
  <c r="J78" i="36"/>
  <c r="M78" i="36" s="1"/>
  <c r="Q77" i="36"/>
  <c r="S77" i="36" s="1"/>
  <c r="U77" i="36" s="1"/>
  <c r="J77" i="36"/>
  <c r="M77" i="36" s="1"/>
  <c r="Q76" i="36"/>
  <c r="S76" i="36" s="1"/>
  <c r="U76" i="36" s="1"/>
  <c r="J76" i="36"/>
  <c r="M76" i="36" s="1"/>
  <c r="Q75" i="36"/>
  <c r="S75" i="36" s="1"/>
  <c r="U75" i="36" s="1"/>
  <c r="J75" i="36"/>
  <c r="M75" i="36" s="1"/>
  <c r="Q74" i="36"/>
  <c r="S74" i="36" s="1"/>
  <c r="U74" i="36" s="1"/>
  <c r="J74" i="36"/>
  <c r="M74" i="36" s="1"/>
  <c r="Q73" i="36"/>
  <c r="S73" i="36" s="1"/>
  <c r="U73" i="36" s="1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M71" i="36" s="1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J68" i="36"/>
  <c r="M68" i="36" s="1"/>
  <c r="Q67" i="36"/>
  <c r="S67" i="36" s="1"/>
  <c r="U67" i="36" s="1"/>
  <c r="J67" i="36"/>
  <c r="M67" i="36" s="1"/>
  <c r="Q66" i="36"/>
  <c r="S66" i="36" s="1"/>
  <c r="U66" i="36" s="1"/>
  <c r="J66" i="36"/>
  <c r="M66" i="36" s="1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Q62" i="36"/>
  <c r="S62" i="36" s="1"/>
  <c r="U62" i="36" s="1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J58" i="36"/>
  <c r="M58" i="36" s="1"/>
  <c r="Q57" i="36"/>
  <c r="S57" i="36" s="1"/>
  <c r="U57" i="36" s="1"/>
  <c r="J57" i="36"/>
  <c r="M57" i="36" s="1"/>
  <c r="Q56" i="36"/>
  <c r="S56" i="36" s="1"/>
  <c r="U56" i="36" s="1"/>
  <c r="J56" i="36"/>
  <c r="M56" i="36" s="1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Q49" i="36"/>
  <c r="S49" i="36" s="1"/>
  <c r="U49" i="36" s="1"/>
  <c r="J49" i="36"/>
  <c r="M49" i="36" s="1"/>
  <c r="Q48" i="36"/>
  <c r="S48" i="36" s="1"/>
  <c r="U48" i="36" s="1"/>
  <c r="J48" i="36"/>
  <c r="M48" i="36" s="1"/>
  <c r="Q47" i="36"/>
  <c r="S47" i="36" s="1"/>
  <c r="U47" i="36" s="1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Q44" i="36"/>
  <c r="S44" i="36" s="1"/>
  <c r="U44" i="36" s="1"/>
  <c r="J44" i="36"/>
  <c r="M44" i="36" s="1"/>
  <c r="Q43" i="36"/>
  <c r="S43" i="36" s="1"/>
  <c r="U43" i="36" s="1"/>
  <c r="J43" i="36"/>
  <c r="M43" i="36" s="1"/>
  <c r="Q42" i="36"/>
  <c r="S42" i="36" s="1"/>
  <c r="U42" i="36" s="1"/>
  <c r="J42" i="36"/>
  <c r="M42" i="36" s="1"/>
  <c r="Q41" i="36"/>
  <c r="S41" i="36" s="1"/>
  <c r="U41" i="36" s="1"/>
  <c r="J41" i="36"/>
  <c r="M41" i="36" s="1"/>
  <c r="Q40" i="36"/>
  <c r="S40" i="36" s="1"/>
  <c r="U40" i="36" s="1"/>
  <c r="J40" i="36"/>
  <c r="M40" i="36" s="1"/>
  <c r="Q39" i="36"/>
  <c r="S39" i="36" s="1"/>
  <c r="U39" i="36" s="1"/>
  <c r="J39" i="36"/>
  <c r="M39" i="36" s="1"/>
  <c r="Q38" i="36"/>
  <c r="S38" i="36" s="1"/>
  <c r="U38" i="36" s="1"/>
  <c r="J38" i="36"/>
  <c r="M38" i="36" s="1"/>
  <c r="Q37" i="36"/>
  <c r="S37" i="36" s="1"/>
  <c r="U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J34" i="36"/>
  <c r="M34" i="36" s="1"/>
  <c r="Q33" i="36"/>
  <c r="S33" i="36" s="1"/>
  <c r="U33" i="36" s="1"/>
  <c r="J33" i="36"/>
  <c r="M33" i="36" s="1"/>
  <c r="Q32" i="36"/>
  <c r="S32" i="36" s="1"/>
  <c r="U32" i="36" s="1"/>
  <c r="J32" i="36"/>
  <c r="M32" i="36" s="1"/>
  <c r="Q31" i="36"/>
  <c r="S31" i="36" s="1"/>
  <c r="U31" i="36" s="1"/>
  <c r="J31" i="36"/>
  <c r="M31" i="36" s="1"/>
  <c r="Q30" i="36"/>
  <c r="S30" i="36" s="1"/>
  <c r="U30" i="36" s="1"/>
  <c r="J30" i="36"/>
  <c r="M30" i="36" s="1"/>
  <c r="Q29" i="36"/>
  <c r="S29" i="36" s="1"/>
  <c r="U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Q22" i="36"/>
  <c r="S22" i="36" s="1"/>
  <c r="U22" i="36" s="1"/>
  <c r="J22" i="36"/>
  <c r="M22" i="36" s="1"/>
  <c r="Q21" i="36"/>
  <c r="S21" i="36" s="1"/>
  <c r="U21" i="36" s="1"/>
  <c r="J21" i="36"/>
  <c r="M21" i="36" s="1"/>
  <c r="Q20" i="36"/>
  <c r="S20" i="36" s="1"/>
  <c r="U20" i="36" s="1"/>
  <c r="J20" i="36"/>
  <c r="M20" i="36" s="1"/>
  <c r="Q19" i="36"/>
  <c r="S19" i="36" s="1"/>
  <c r="U19" i="36" s="1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J16" i="36"/>
  <c r="M16" i="36" s="1"/>
  <c r="Q15" i="36"/>
  <c r="S15" i="36" s="1"/>
  <c r="U15" i="36" s="1"/>
  <c r="J15" i="36"/>
  <c r="M15" i="36" s="1"/>
  <c r="Q14" i="36"/>
  <c r="S14" i="36" s="1"/>
  <c r="U14" i="36" s="1"/>
  <c r="J14" i="36"/>
  <c r="M14" i="36" s="1"/>
  <c r="Q13" i="36"/>
  <c r="S13" i="36" s="1"/>
  <c r="U13" i="36" s="1"/>
  <c r="J13" i="36"/>
  <c r="M13" i="36" s="1"/>
  <c r="Q12" i="36"/>
  <c r="S12" i="36" s="1"/>
  <c r="U12" i="36" s="1"/>
  <c r="J12" i="36"/>
  <c r="M12" i="36" s="1"/>
  <c r="Q11" i="36"/>
  <c r="S11" i="36" s="1"/>
  <c r="U11" i="36" s="1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Q8" i="36"/>
  <c r="S8" i="36" s="1"/>
  <c r="U8" i="36" s="1"/>
  <c r="J8" i="36"/>
  <c r="M8" i="36" s="1"/>
  <c r="Q7" i="36"/>
  <c r="S7" i="36" s="1"/>
  <c r="U7" i="36" s="1"/>
  <c r="J7" i="36"/>
  <c r="M7" i="36" s="1"/>
  <c r="Q6" i="36"/>
  <c r="S6" i="36" s="1"/>
  <c r="U6" i="36" s="1"/>
  <c r="J6" i="36"/>
  <c r="M6" i="36" s="1"/>
  <c r="Q5" i="36"/>
  <c r="S5" i="36" s="1"/>
  <c r="U5" i="36" s="1"/>
  <c r="J5" i="36"/>
  <c r="M5" i="36" s="1"/>
  <c r="Q5" i="15"/>
  <c r="N5" i="15"/>
  <c r="J214" i="15" l="1"/>
  <c r="J85" i="15"/>
  <c r="M211" i="59"/>
  <c r="J211" i="15"/>
  <c r="M212" i="59"/>
  <c r="J212" i="15"/>
  <c r="J92" i="15"/>
  <c r="J206" i="15"/>
  <c r="J5" i="15"/>
  <c r="J198" i="15"/>
  <c r="J190" i="15"/>
  <c r="J90" i="15"/>
  <c r="J113" i="15"/>
  <c r="J64" i="15"/>
  <c r="J209" i="15"/>
  <c r="J193" i="15"/>
  <c r="J185" i="15"/>
  <c r="J175" i="15"/>
  <c r="J7" i="15"/>
  <c r="J18" i="15"/>
  <c r="J36" i="15"/>
  <c r="J46" i="15"/>
  <c r="J53" i="15"/>
  <c r="J183" i="15"/>
  <c r="J127" i="15"/>
  <c r="J167" i="15"/>
  <c r="J199" i="15"/>
  <c r="J10" i="15"/>
  <c r="J14" i="15"/>
  <c r="J22" i="15"/>
  <c r="J39" i="15"/>
  <c r="J108" i="15"/>
  <c r="J120" i="15"/>
  <c r="J128" i="15"/>
  <c r="J136" i="15"/>
  <c r="J144" i="15"/>
  <c r="J152" i="15"/>
  <c r="J160" i="15"/>
  <c r="J168" i="15"/>
  <c r="J26" i="15"/>
  <c r="J30" i="15"/>
  <c r="J33" i="15"/>
  <c r="J57" i="15"/>
  <c r="J61" i="15"/>
  <c r="J67" i="15"/>
  <c r="J77" i="15"/>
  <c r="J84" i="15"/>
  <c r="J94" i="15"/>
  <c r="J101" i="15"/>
  <c r="J104" i="15"/>
  <c r="J109" i="15"/>
  <c r="J114" i="15"/>
  <c r="J121" i="15"/>
  <c r="J129" i="15"/>
  <c r="J137" i="15"/>
  <c r="J145" i="15"/>
  <c r="J153" i="15"/>
  <c r="J161" i="15"/>
  <c r="J169" i="15"/>
  <c r="J176" i="15"/>
  <c r="J205" i="15"/>
  <c r="J197" i="15"/>
  <c r="J70" i="15"/>
  <c r="J73" i="15"/>
  <c r="J80" i="15"/>
  <c r="J87" i="15"/>
  <c r="J97" i="15"/>
  <c r="J11" i="15"/>
  <c r="J15" i="15"/>
  <c r="J19" i="15"/>
  <c r="J23" i="15"/>
  <c r="J37" i="15"/>
  <c r="J40" i="15"/>
  <c r="J43" i="15"/>
  <c r="J47" i="15"/>
  <c r="J50" i="15"/>
  <c r="J71" i="15"/>
  <c r="J81" i="15"/>
  <c r="J88" i="15"/>
  <c r="J91" i="15"/>
  <c r="J98" i="15"/>
  <c r="J110" i="15"/>
  <c r="J115" i="15"/>
  <c r="J122" i="15"/>
  <c r="J130" i="15"/>
  <c r="J138" i="15"/>
  <c r="J146" i="15"/>
  <c r="J154" i="15"/>
  <c r="J162" i="15"/>
  <c r="J170" i="15"/>
  <c r="J177" i="15"/>
  <c r="J204" i="15"/>
  <c r="J196" i="15"/>
  <c r="J188" i="15"/>
  <c r="J151" i="15"/>
  <c r="J207" i="15"/>
  <c r="J27" i="15"/>
  <c r="J54" i="15"/>
  <c r="J58" i="15"/>
  <c r="J62" i="15"/>
  <c r="J68" i="15"/>
  <c r="J74" i="15"/>
  <c r="J78" i="15"/>
  <c r="J95" i="15"/>
  <c r="J105" i="15"/>
  <c r="J116" i="15"/>
  <c r="J123" i="15"/>
  <c r="J131" i="15"/>
  <c r="J139" i="15"/>
  <c r="J147" i="15"/>
  <c r="J155" i="15"/>
  <c r="J163" i="15"/>
  <c r="J171" i="15"/>
  <c r="J178" i="15"/>
  <c r="J203" i="15"/>
  <c r="J195" i="15"/>
  <c r="J187" i="15"/>
  <c r="J49" i="15"/>
  <c r="J56" i="15"/>
  <c r="J76" i="15"/>
  <c r="J93" i="15"/>
  <c r="J143" i="15"/>
  <c r="J182" i="15"/>
  <c r="J34" i="15"/>
  <c r="J51" i="15"/>
  <c r="J65" i="15"/>
  <c r="J89" i="15"/>
  <c r="J102" i="15"/>
  <c r="J111" i="15"/>
  <c r="J117" i="15"/>
  <c r="J124" i="15"/>
  <c r="J132" i="15"/>
  <c r="J140" i="15"/>
  <c r="J148" i="15"/>
  <c r="J156" i="15"/>
  <c r="J164" i="15"/>
  <c r="J172" i="15"/>
  <c r="J179" i="15"/>
  <c r="J210" i="15"/>
  <c r="J202" i="15"/>
  <c r="J194" i="15"/>
  <c r="J186" i="15"/>
  <c r="J25" i="15"/>
  <c r="J29" i="15"/>
  <c r="J32" i="15"/>
  <c r="J42" i="15"/>
  <c r="J60" i="15"/>
  <c r="J83" i="15"/>
  <c r="J100" i="15"/>
  <c r="J135" i="15"/>
  <c r="J8" i="15"/>
  <c r="J16" i="15"/>
  <c r="J24" i="15"/>
  <c r="J44" i="15"/>
  <c r="J28" i="15"/>
  <c r="J118" i="15"/>
  <c r="J125" i="15"/>
  <c r="J133" i="15"/>
  <c r="J141" i="15"/>
  <c r="J149" i="15"/>
  <c r="J157" i="15"/>
  <c r="J165" i="15"/>
  <c r="J173" i="15"/>
  <c r="J180" i="15"/>
  <c r="J201" i="15"/>
  <c r="J159" i="15"/>
  <c r="J191" i="15"/>
  <c r="J12" i="15"/>
  <c r="J20" i="15"/>
  <c r="J31" i="15"/>
  <c r="J38" i="15"/>
  <c r="J41" i="15"/>
  <c r="J48" i="15"/>
  <c r="J55" i="15"/>
  <c r="J59" i="15"/>
  <c r="J69" i="15"/>
  <c r="J72" i="15"/>
  <c r="J75" i="15"/>
  <c r="J79" i="15"/>
  <c r="J82" i="15"/>
  <c r="J99" i="15"/>
  <c r="J106" i="15"/>
  <c r="J9" i="15"/>
  <c r="J13" i="15"/>
  <c r="J17" i="15"/>
  <c r="J21" i="15"/>
  <c r="J35" i="15"/>
  <c r="J45" i="15"/>
  <c r="J52" i="15"/>
  <c r="J63" i="15"/>
  <c r="J66" i="15"/>
  <c r="J86" i="15"/>
  <c r="J96" i="15"/>
  <c r="J103" i="15"/>
  <c r="J107" i="15"/>
  <c r="J112" i="15"/>
  <c r="J119" i="15"/>
  <c r="J126" i="15"/>
  <c r="J134" i="15"/>
  <c r="J142" i="15"/>
  <c r="J150" i="15"/>
  <c r="J158" i="15"/>
  <c r="J166" i="15"/>
  <c r="J174" i="15"/>
  <c r="J181" i="15"/>
  <c r="J208" i="15"/>
  <c r="J200" i="15"/>
  <c r="J192" i="15"/>
  <c r="J184" i="15"/>
  <c r="C209" i="36"/>
  <c r="E209" i="36" s="1"/>
  <c r="G209" i="36" s="1"/>
  <c r="C209" i="37" s="1"/>
  <c r="E209" i="37" s="1"/>
  <c r="G209" i="37" s="1"/>
  <c r="C209" i="15"/>
  <c r="R7" i="15"/>
  <c r="J225" i="36"/>
  <c r="R6" i="15"/>
  <c r="J230" i="40"/>
  <c r="R10" i="15"/>
  <c r="J230" i="42"/>
  <c r="R12" i="15"/>
  <c r="N231" i="41"/>
  <c r="N232" i="41" s="1"/>
  <c r="R5" i="15"/>
  <c r="R8" i="15"/>
  <c r="C152" i="36"/>
  <c r="E152" i="36" s="1"/>
  <c r="G152" i="36" s="1"/>
  <c r="C152" i="37" s="1"/>
  <c r="E152" i="37" s="1"/>
  <c r="G152" i="37" s="1"/>
  <c r="C152" i="15"/>
  <c r="R9" i="15"/>
  <c r="J230" i="44"/>
  <c r="R14" i="15"/>
  <c r="J230" i="41"/>
  <c r="R11" i="15"/>
  <c r="J233" i="46"/>
  <c r="R16" i="15"/>
  <c r="J230" i="43"/>
  <c r="R13" i="15"/>
  <c r="J233" i="47"/>
  <c r="R17" i="15"/>
  <c r="J234" i="48"/>
  <c r="R18" i="15"/>
  <c r="J234" i="49"/>
  <c r="R19" i="15"/>
  <c r="N226" i="54"/>
  <c r="N227" i="54" s="1"/>
  <c r="J225" i="51"/>
  <c r="R21" i="15"/>
  <c r="J234" i="50"/>
  <c r="R20" i="15"/>
  <c r="J225" i="54"/>
  <c r="R24" i="15"/>
  <c r="J225" i="55"/>
  <c r="R25" i="15"/>
  <c r="J225" i="58"/>
  <c r="R28" i="15"/>
  <c r="J225" i="52"/>
  <c r="R22" i="15"/>
  <c r="J225" i="56"/>
  <c r="R26" i="15"/>
  <c r="J225" i="53"/>
  <c r="R23" i="15"/>
  <c r="J227" i="60"/>
  <c r="R30" i="15"/>
  <c r="J225" i="57"/>
  <c r="R27" i="15"/>
  <c r="J227" i="59"/>
  <c r="R29" i="15"/>
  <c r="J227" i="61"/>
  <c r="R31" i="15"/>
  <c r="J227" i="62"/>
  <c r="R32" i="15"/>
  <c r="J227" i="63"/>
  <c r="R33" i="15"/>
  <c r="R34" i="15"/>
  <c r="J227" i="64"/>
  <c r="K221" i="65"/>
  <c r="K224" i="65" s="1"/>
  <c r="M35" i="15"/>
  <c r="S35" i="15" s="1"/>
  <c r="U35" i="15" s="1"/>
  <c r="N230" i="65"/>
  <c r="K215" i="60"/>
  <c r="K215" i="64"/>
  <c r="N228" i="64"/>
  <c r="N229" i="64" s="1"/>
  <c r="O228" i="64"/>
  <c r="O229" i="64" s="1"/>
  <c r="K215" i="63"/>
  <c r="O229" i="63"/>
  <c r="O230" i="63" s="1"/>
  <c r="N228" i="63"/>
  <c r="N229" i="63" s="1"/>
  <c r="K215" i="62"/>
  <c r="M5" i="62"/>
  <c r="N228" i="62"/>
  <c r="N229" i="62" s="1"/>
  <c r="O228" i="62"/>
  <c r="O229" i="62" s="1"/>
  <c r="K215" i="61"/>
  <c r="N228" i="61"/>
  <c r="N229" i="61" s="1"/>
  <c r="O230" i="61"/>
  <c r="O228" i="61"/>
  <c r="O229" i="61" s="1"/>
  <c r="K215" i="59"/>
  <c r="K213" i="52"/>
  <c r="M5" i="60"/>
  <c r="O229" i="60"/>
  <c r="O230" i="60" s="1"/>
  <c r="N228" i="59"/>
  <c r="N229" i="59" s="1"/>
  <c r="O228" i="59"/>
  <c r="O229" i="59" s="1"/>
  <c r="K213" i="58"/>
  <c r="N226" i="58"/>
  <c r="N227" i="58" s="1"/>
  <c r="O226" i="58"/>
  <c r="O227" i="58" s="1"/>
  <c r="K213" i="57"/>
  <c r="N226" i="57"/>
  <c r="N227" i="57" s="1"/>
  <c r="M5" i="57"/>
  <c r="O226" i="57"/>
  <c r="O227" i="57" s="1"/>
  <c r="K213" i="56"/>
  <c r="N226" i="56"/>
  <c r="N227" i="56" s="1"/>
  <c r="O226" i="56"/>
  <c r="O227" i="56" s="1"/>
  <c r="N226" i="55"/>
  <c r="N227" i="55" s="1"/>
  <c r="K213" i="55"/>
  <c r="O226" i="55"/>
  <c r="O227" i="55" s="1"/>
  <c r="K213" i="54"/>
  <c r="M5" i="54"/>
  <c r="O226" i="54"/>
  <c r="O227" i="54" s="1"/>
  <c r="K213" i="53"/>
  <c r="M5" i="53"/>
  <c r="N226" i="53"/>
  <c r="N227" i="53" s="1"/>
  <c r="O227" i="53"/>
  <c r="O228" i="53" s="1"/>
  <c r="M5" i="52"/>
  <c r="N226" i="52"/>
  <c r="N227" i="52" s="1"/>
  <c r="O226" i="52"/>
  <c r="O227" i="52" s="1"/>
  <c r="K213" i="51"/>
  <c r="M5" i="51"/>
  <c r="K222" i="50"/>
  <c r="N235" i="50"/>
  <c r="N236" i="50" s="1"/>
  <c r="O236" i="50"/>
  <c r="O237" i="50" s="1"/>
  <c r="K222" i="49"/>
  <c r="M5" i="49"/>
  <c r="N235" i="49"/>
  <c r="N236" i="49" s="1"/>
  <c r="O235" i="49"/>
  <c r="O236" i="49" s="1"/>
  <c r="K222" i="48"/>
  <c r="N236" i="48"/>
  <c r="N237" i="48" s="1"/>
  <c r="O237" i="48"/>
  <c r="O234" i="47"/>
  <c r="O235" i="47" s="1"/>
  <c r="K221" i="47"/>
  <c r="N234" i="47"/>
  <c r="N235" i="47" s="1"/>
  <c r="K221" i="46"/>
  <c r="N236" i="46"/>
  <c r="O234" i="46"/>
  <c r="O235" i="46" s="1"/>
  <c r="K218" i="45"/>
  <c r="N233" i="45"/>
  <c r="O231" i="45"/>
  <c r="O232" i="45" s="1"/>
  <c r="K218" i="44"/>
  <c r="N232" i="44"/>
  <c r="N233" i="44" s="1"/>
  <c r="O231" i="44"/>
  <c r="O232" i="44" s="1"/>
  <c r="K218" i="43"/>
  <c r="N231" i="43"/>
  <c r="N232" i="43" s="1"/>
  <c r="O232" i="43"/>
  <c r="O233" i="43" s="1"/>
  <c r="K218" i="42"/>
  <c r="M5" i="42"/>
  <c r="N233" i="42"/>
  <c r="O231" i="42"/>
  <c r="O232" i="42" s="1"/>
  <c r="K218" i="41"/>
  <c r="M5" i="41"/>
  <c r="O232" i="41"/>
  <c r="O233" i="41" s="1"/>
  <c r="N233" i="40"/>
  <c r="K218" i="40"/>
  <c r="O231" i="40"/>
  <c r="O232" i="40" s="1"/>
  <c r="K217" i="39"/>
  <c r="N230" i="39"/>
  <c r="N231" i="39" s="1"/>
  <c r="O230" i="39"/>
  <c r="O231" i="39" s="1"/>
  <c r="O232" i="38"/>
  <c r="K217" i="38"/>
  <c r="N230" i="38"/>
  <c r="N231" i="38" s="1"/>
  <c r="K217" i="37"/>
  <c r="N231" i="37"/>
  <c r="N232" i="37" s="1"/>
  <c r="K213" i="36"/>
  <c r="K219" i="36" s="1"/>
  <c r="N226" i="36"/>
  <c r="N227" i="36" s="1"/>
  <c r="O226" i="36"/>
  <c r="O227" i="36" s="1"/>
  <c r="E218" i="15"/>
  <c r="G218" i="15" s="1"/>
  <c r="O36" i="15"/>
  <c r="J229" i="15" s="1"/>
  <c r="T36" i="15"/>
  <c r="P36" i="15"/>
  <c r="E223" i="15"/>
  <c r="G223" i="15" s="1"/>
  <c r="E222" i="15"/>
  <c r="G222" i="15" s="1"/>
  <c r="E221" i="15"/>
  <c r="G221" i="15" s="1"/>
  <c r="E220" i="15"/>
  <c r="G220" i="15" s="1"/>
  <c r="E214" i="15"/>
  <c r="G214" i="15" s="1"/>
  <c r="E213" i="15"/>
  <c r="G213" i="15" s="1"/>
  <c r="E212" i="15"/>
  <c r="G212" i="15" s="1"/>
  <c r="E215" i="15"/>
  <c r="G215" i="15" s="1"/>
  <c r="N36" i="15"/>
  <c r="K230" i="15" s="1"/>
  <c r="Q36" i="15"/>
  <c r="N237" i="50" l="1"/>
  <c r="C152" i="38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209" i="38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R36" i="15"/>
  <c r="K228" i="15" s="1"/>
  <c r="J6" i="15"/>
  <c r="J227" i="15" s="1"/>
  <c r="J230" i="15" s="1"/>
  <c r="K224" i="41"/>
  <c r="K227" i="41" s="1"/>
  <c r="M11" i="15"/>
  <c r="K219" i="55"/>
  <c r="M25" i="15"/>
  <c r="S25" i="15" s="1"/>
  <c r="U25" i="15" s="1"/>
  <c r="K224" i="43"/>
  <c r="K226" i="43" s="1"/>
  <c r="J229" i="43" s="1"/>
  <c r="M13" i="15"/>
  <c r="K228" i="50"/>
  <c r="K231" i="50" s="1"/>
  <c r="M20" i="15"/>
  <c r="K219" i="52"/>
  <c r="K222" i="52" s="1"/>
  <c r="J224" i="52"/>
  <c r="M22" i="15"/>
  <c r="S22" i="15" s="1"/>
  <c r="U22" i="15" s="1"/>
  <c r="K223" i="39"/>
  <c r="K226" i="39" s="1"/>
  <c r="M9" i="15"/>
  <c r="K221" i="59"/>
  <c r="K223" i="59" s="1"/>
  <c r="J226" i="59" s="1"/>
  <c r="M29" i="15"/>
  <c r="S29" i="15" s="1"/>
  <c r="U29" i="15" s="1"/>
  <c r="K221" i="62"/>
  <c r="K224" i="62" s="1"/>
  <c r="M32" i="15"/>
  <c r="S32" i="15" s="1"/>
  <c r="U32" i="15" s="1"/>
  <c r="K221" i="60"/>
  <c r="K224" i="60" s="1"/>
  <c r="M30" i="15"/>
  <c r="S30" i="15" s="1"/>
  <c r="U30" i="15" s="1"/>
  <c r="N233" i="41"/>
  <c r="K227" i="46"/>
  <c r="K229" i="46" s="1"/>
  <c r="J232" i="46" s="1"/>
  <c r="M16" i="15"/>
  <c r="K219" i="57"/>
  <c r="M27" i="15"/>
  <c r="S27" i="15" s="1"/>
  <c r="U27" i="15" s="1"/>
  <c r="K221" i="36"/>
  <c r="J224" i="36" s="1"/>
  <c r="M6" i="15"/>
  <c r="K224" i="44"/>
  <c r="K226" i="44" s="1"/>
  <c r="J229" i="44" s="1"/>
  <c r="M14" i="15"/>
  <c r="K227" i="47"/>
  <c r="K229" i="47" s="1"/>
  <c r="J232" i="47" s="1"/>
  <c r="M17" i="15"/>
  <c r="N237" i="49"/>
  <c r="K219" i="51"/>
  <c r="K222" i="51" s="1"/>
  <c r="M21" i="15"/>
  <c r="K228" i="48"/>
  <c r="K230" i="48" s="1"/>
  <c r="J233" i="48" s="1"/>
  <c r="M18" i="15"/>
  <c r="K223" i="37"/>
  <c r="K226" i="37" s="1"/>
  <c r="M7" i="15"/>
  <c r="K219" i="58"/>
  <c r="K222" i="58" s="1"/>
  <c r="M28" i="15"/>
  <c r="S28" i="15" s="1"/>
  <c r="U28" i="15" s="1"/>
  <c r="C199" i="36"/>
  <c r="E199" i="36" s="1"/>
  <c r="G199" i="36" s="1"/>
  <c r="C199" i="37" s="1"/>
  <c r="E199" i="37" s="1"/>
  <c r="G199" i="37" s="1"/>
  <c r="C199" i="15"/>
  <c r="E199" i="15" s="1"/>
  <c r="G199" i="15" s="1"/>
  <c r="K224" i="40"/>
  <c r="K226" i="40" s="1"/>
  <c r="J229" i="40" s="1"/>
  <c r="M10" i="15"/>
  <c r="K219" i="53"/>
  <c r="K222" i="53" s="1"/>
  <c r="M23" i="15"/>
  <c r="S23" i="15" s="1"/>
  <c r="U23" i="15" s="1"/>
  <c r="K224" i="42"/>
  <c r="K227" i="42" s="1"/>
  <c r="M12" i="15"/>
  <c r="K228" i="49"/>
  <c r="K231" i="49" s="1"/>
  <c r="M19" i="15"/>
  <c r="O228" i="52"/>
  <c r="K219" i="56"/>
  <c r="K221" i="56" s="1"/>
  <c r="J224" i="56" s="1"/>
  <c r="M26" i="15"/>
  <c r="S26" i="15" s="1"/>
  <c r="U26" i="15" s="1"/>
  <c r="K221" i="63"/>
  <c r="K224" i="63" s="1"/>
  <c r="M33" i="15"/>
  <c r="S33" i="15" s="1"/>
  <c r="U33" i="15" s="1"/>
  <c r="N228" i="54"/>
  <c r="K223" i="38"/>
  <c r="K226" i="38" s="1"/>
  <c r="M8" i="15"/>
  <c r="K224" i="45"/>
  <c r="K226" i="45" s="1"/>
  <c r="J229" i="45" s="1"/>
  <c r="M15" i="15"/>
  <c r="K221" i="61"/>
  <c r="K224" i="61" s="1"/>
  <c r="J226" i="61"/>
  <c r="M31" i="15"/>
  <c r="S31" i="15" s="1"/>
  <c r="U31" i="15" s="1"/>
  <c r="C210" i="36"/>
  <c r="E210" i="36" s="1"/>
  <c r="G210" i="36" s="1"/>
  <c r="C210" i="37" s="1"/>
  <c r="C210" i="15"/>
  <c r="E210" i="15" s="1"/>
  <c r="G210" i="15" s="1"/>
  <c r="N228" i="52"/>
  <c r="K219" i="54"/>
  <c r="K222" i="54" s="1"/>
  <c r="J224" i="54"/>
  <c r="M24" i="15"/>
  <c r="S24" i="15" s="1"/>
  <c r="U24" i="15" s="1"/>
  <c r="O230" i="64"/>
  <c r="K223" i="65"/>
  <c r="J226" i="65" s="1"/>
  <c r="K221" i="64"/>
  <c r="K224" i="64" s="1"/>
  <c r="M34" i="15"/>
  <c r="S34" i="15" s="1"/>
  <c r="U34" i="15" s="1"/>
  <c r="N230" i="64"/>
  <c r="N230" i="63"/>
  <c r="O230" i="62"/>
  <c r="N230" i="62"/>
  <c r="N230" i="61"/>
  <c r="K223" i="60"/>
  <c r="J226" i="60" s="1"/>
  <c r="O230" i="59"/>
  <c r="N230" i="59"/>
  <c r="O228" i="58"/>
  <c r="N228" i="58"/>
  <c r="K221" i="58"/>
  <c r="J224" i="58" s="1"/>
  <c r="K222" i="57"/>
  <c r="K221" i="57"/>
  <c r="J224" i="57" s="1"/>
  <c r="O228" i="57"/>
  <c r="N228" i="57"/>
  <c r="O228" i="56"/>
  <c r="N228" i="56"/>
  <c r="K222" i="56"/>
  <c r="O228" i="55"/>
  <c r="K222" i="55"/>
  <c r="K221" i="55"/>
  <c r="J224" i="55" s="1"/>
  <c r="N228" i="55"/>
  <c r="O228" i="54"/>
  <c r="N228" i="53"/>
  <c r="K221" i="51"/>
  <c r="J224" i="51" s="1"/>
  <c r="O237" i="49"/>
  <c r="O236" i="47"/>
  <c r="N236" i="47"/>
  <c r="O236" i="46"/>
  <c r="O233" i="45"/>
  <c r="O233" i="44"/>
  <c r="N233" i="43"/>
  <c r="O233" i="42"/>
  <c r="O233" i="40"/>
  <c r="O232" i="39"/>
  <c r="N232" i="39"/>
  <c r="N232" i="38"/>
  <c r="O228" i="36"/>
  <c r="N228" i="36"/>
  <c r="E152" i="15"/>
  <c r="G152" i="15" s="1"/>
  <c r="F228" i="15"/>
  <c r="E209" i="15"/>
  <c r="G209" i="15" s="1"/>
  <c r="E217" i="15"/>
  <c r="G217" i="15" s="1"/>
  <c r="E219" i="15"/>
  <c r="G219" i="15" s="1"/>
  <c r="E211" i="15"/>
  <c r="G211" i="15" s="1"/>
  <c r="F230" i="15"/>
  <c r="E216" i="15"/>
  <c r="G216" i="15" s="1"/>
  <c r="E224" i="15"/>
  <c r="G224" i="15" s="1"/>
  <c r="D229" i="15"/>
  <c r="B230" i="15" s="1"/>
  <c r="J233" i="15"/>
  <c r="E210" i="37" l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K223" i="62"/>
  <c r="J226" i="62" s="1"/>
  <c r="K224" i="59"/>
  <c r="K223" i="63"/>
  <c r="J226" i="63" s="1"/>
  <c r="K227" i="43"/>
  <c r="K225" i="37"/>
  <c r="K228" i="37" s="1"/>
  <c r="K222" i="36"/>
  <c r="C199" i="38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K225" i="38"/>
  <c r="K228" i="38" s="1"/>
  <c r="K230" i="50"/>
  <c r="J233" i="50" s="1"/>
  <c r="K231" i="48"/>
  <c r="K230" i="47"/>
  <c r="K230" i="46"/>
  <c r="K227" i="45"/>
  <c r="K227" i="44"/>
  <c r="K226" i="42"/>
  <c r="J229" i="42" s="1"/>
  <c r="K226" i="41"/>
  <c r="J229" i="41" s="1"/>
  <c r="K227" i="40"/>
  <c r="B228" i="15"/>
  <c r="K225" i="39"/>
  <c r="K228" i="39" s="1"/>
  <c r="M5" i="15"/>
  <c r="M36" i="15" s="1"/>
  <c r="K230" i="49"/>
  <c r="J233" i="49" s="1"/>
  <c r="K221" i="53"/>
  <c r="J224" i="53" s="1"/>
  <c r="K223" i="64"/>
  <c r="J226" i="64" s="1"/>
  <c r="F231" i="15"/>
  <c r="J231" i="15" s="1"/>
  <c r="J232" i="15" s="1"/>
  <c r="J235" i="15" s="1"/>
  <c r="S19" i="15"/>
  <c r="U19" i="15" s="1"/>
  <c r="S10" i="15"/>
  <c r="U10" i="15" s="1"/>
  <c r="S18" i="15"/>
  <c r="U18" i="15" s="1"/>
  <c r="S21" i="15"/>
  <c r="U21" i="15" s="1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S7" i="15"/>
  <c r="U7" i="15" s="1"/>
  <c r="S15" i="15"/>
  <c r="U15" i="15" s="1"/>
  <c r="S20" i="15"/>
  <c r="U20" i="15" s="1"/>
  <c r="D228" i="15"/>
  <c r="D231" i="15" s="1"/>
  <c r="D233" i="15" s="1"/>
  <c r="E210" i="48" l="1"/>
  <c r="G210" i="48" s="1"/>
  <c r="C210" i="49" s="1"/>
  <c r="S5" i="15"/>
  <c r="S36" i="15" s="1"/>
  <c r="B231" i="15"/>
  <c r="E210" i="49" l="1"/>
  <c r="G210" i="49" s="1"/>
  <c r="C210" i="50" s="1"/>
  <c r="E210" i="50" s="1"/>
  <c r="G210" i="50" s="1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U5" i="15"/>
  <c r="U36" i="15" s="1"/>
  <c r="E142" i="59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5" i="15"/>
  <c r="E5" i="15" s="1"/>
  <c r="G5" i="15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188" i="15"/>
  <c r="E188" i="15" s="1"/>
  <c r="G188" i="15" s="1"/>
  <c r="C154" i="15"/>
  <c r="E154" i="15" s="1"/>
  <c r="G154" i="15" s="1"/>
  <c r="C205" i="15"/>
  <c r="E205" i="15" s="1"/>
  <c r="G205" i="15" s="1"/>
  <c r="C180" i="15"/>
  <c r="E180" i="15" s="1"/>
  <c r="G180" i="15" s="1"/>
  <c r="E180" i="35"/>
  <c r="G180" i="35"/>
  <c r="C180" i="36" s="1"/>
  <c r="E180" i="36" s="1"/>
  <c r="G180" i="36" s="1"/>
  <c r="C180" i="37" s="1"/>
  <c r="E180" i="37" s="1"/>
  <c r="G180" i="37" s="1"/>
  <c r="C138" i="15"/>
  <c r="E138" i="15" s="1"/>
  <c r="G138" i="15" s="1"/>
  <c r="C191" i="15"/>
  <c r="E191" i="15" s="1"/>
  <c r="G191" i="15" s="1"/>
  <c r="C141" i="15"/>
  <c r="E141" i="15" s="1"/>
  <c r="G141" i="15" s="1"/>
  <c r="C133" i="15"/>
  <c r="E133" i="15" s="1"/>
  <c r="G133" i="15" s="1"/>
  <c r="E154" i="35"/>
  <c r="G154" i="35" s="1"/>
  <c r="C154" i="36" s="1"/>
  <c r="E154" i="36" s="1"/>
  <c r="G154" i="36" s="1"/>
  <c r="C154" i="37" s="1"/>
  <c r="E154" i="37" s="1"/>
  <c r="G154" i="37" s="1"/>
  <c r="C106" i="15"/>
  <c r="E106" i="15" s="1"/>
  <c r="G106" i="15" s="1"/>
  <c r="C172" i="15"/>
  <c r="E172" i="15" s="1"/>
  <c r="G172" i="15" s="1"/>
  <c r="C125" i="15"/>
  <c r="E125" i="15" s="1"/>
  <c r="G125" i="15" s="1"/>
  <c r="E144" i="35"/>
  <c r="G144" i="35" s="1"/>
  <c r="C144" i="36" s="1"/>
  <c r="E144" i="36" s="1"/>
  <c r="G144" i="36" s="1"/>
  <c r="C144" i="37" s="1"/>
  <c r="E144" i="37" s="1"/>
  <c r="G144" i="37" s="1"/>
  <c r="C144" i="15"/>
  <c r="E144" i="15" s="1"/>
  <c r="G144" i="15" s="1"/>
  <c r="E133" i="35"/>
  <c r="G133" i="35" s="1"/>
  <c r="C133" i="36" s="1"/>
  <c r="E133" i="36" s="1"/>
  <c r="G133" i="36" s="1"/>
  <c r="C133" i="37" s="1"/>
  <c r="E133" i="37" s="1"/>
  <c r="G133" i="37" s="1"/>
  <c r="E155" i="35"/>
  <c r="G155" i="35" s="1"/>
  <c r="C155" i="36" s="1"/>
  <c r="E155" i="36" s="1"/>
  <c r="G155" i="36" s="1"/>
  <c r="C155" i="37" s="1"/>
  <c r="E155" i="37" s="1"/>
  <c r="G155" i="37" s="1"/>
  <c r="C155" i="15"/>
  <c r="E155" i="15" s="1"/>
  <c r="G155" i="15" s="1"/>
  <c r="C166" i="15"/>
  <c r="E166" i="15" s="1"/>
  <c r="G166" i="15" s="1"/>
  <c r="E207" i="35"/>
  <c r="G207" i="35" s="1"/>
  <c r="C207" i="36" s="1"/>
  <c r="E207" i="36" s="1"/>
  <c r="G207" i="36" s="1"/>
  <c r="C207" i="37" s="1"/>
  <c r="E207" i="37" s="1"/>
  <c r="G207" i="37" s="1"/>
  <c r="C207" i="15"/>
  <c r="E207" i="15" s="1"/>
  <c r="G207" i="15" s="1"/>
  <c r="C194" i="15"/>
  <c r="E194" i="15" s="1"/>
  <c r="G194" i="15" s="1"/>
  <c r="E127" i="35"/>
  <c r="G127" i="35" s="1"/>
  <c r="C127" i="36" s="1"/>
  <c r="E127" i="36" s="1"/>
  <c r="G127" i="36" s="1"/>
  <c r="C127" i="37" s="1"/>
  <c r="E127" i="37" s="1"/>
  <c r="G127" i="37" s="1"/>
  <c r="C127" i="15"/>
  <c r="E127" i="15" s="1"/>
  <c r="G127" i="15" s="1"/>
  <c r="E201" i="35"/>
  <c r="G201" i="35" s="1"/>
  <c r="C201" i="36" s="1"/>
  <c r="E201" i="36" s="1"/>
  <c r="G201" i="36" s="1"/>
  <c r="C201" i="37" s="1"/>
  <c r="E201" i="37" s="1"/>
  <c r="G201" i="37" s="1"/>
  <c r="C201" i="15"/>
  <c r="E201" i="15" s="1"/>
  <c r="G201" i="15" s="1"/>
  <c r="C204" i="15"/>
  <c r="E204" i="15" s="1"/>
  <c r="G204" i="15" s="1"/>
  <c r="E106" i="35"/>
  <c r="G106" i="35" s="1"/>
  <c r="C106" i="36" s="1"/>
  <c r="E106" i="36" s="1"/>
  <c r="G106" i="36" s="1"/>
  <c r="C106" i="37" s="1"/>
  <c r="E106" i="37" s="1"/>
  <c r="G106" i="37" s="1"/>
  <c r="E194" i="35"/>
  <c r="G194" i="35" s="1"/>
  <c r="C194" i="36" s="1"/>
  <c r="E194" i="36" s="1"/>
  <c r="G194" i="36" s="1"/>
  <c r="C194" i="37" s="1"/>
  <c r="E194" i="37" s="1"/>
  <c r="G194" i="37" s="1"/>
  <c r="E204" i="35"/>
  <c r="G204" i="35" s="1"/>
  <c r="C204" i="36" s="1"/>
  <c r="E204" i="36" s="1"/>
  <c r="G204" i="36" s="1"/>
  <c r="C204" i="37" s="1"/>
  <c r="E204" i="37" s="1"/>
  <c r="G204" i="37" s="1"/>
  <c r="E191" i="35"/>
  <c r="G191" i="35" s="1"/>
  <c r="C191" i="36" s="1"/>
  <c r="E191" i="36" s="1"/>
  <c r="G191" i="36" s="1"/>
  <c r="C191" i="37" s="1"/>
  <c r="E191" i="37" s="1"/>
  <c r="G191" i="37" s="1"/>
  <c r="E205" i="35"/>
  <c r="G205" i="35" s="1"/>
  <c r="C205" i="36" s="1"/>
  <c r="E205" i="36" s="1"/>
  <c r="G205" i="36" s="1"/>
  <c r="C205" i="37" s="1"/>
  <c r="E205" i="37" s="1"/>
  <c r="G205" i="37" s="1"/>
  <c r="E206" i="35"/>
  <c r="G206" i="35" s="1"/>
  <c r="C206" i="36" s="1"/>
  <c r="E206" i="36" s="1"/>
  <c r="G206" i="36" s="1"/>
  <c r="C206" i="37" s="1"/>
  <c r="E206" i="37" s="1"/>
  <c r="G206" i="37" s="1"/>
  <c r="C206" i="15"/>
  <c r="E206" i="15" s="1"/>
  <c r="G206" i="15" s="1"/>
  <c r="E188" i="35"/>
  <c r="G188" i="35" s="1"/>
  <c r="C188" i="36" s="1"/>
  <c r="E188" i="36" s="1"/>
  <c r="G188" i="36" s="1"/>
  <c r="C188" i="37" s="1"/>
  <c r="E188" i="37" s="1"/>
  <c r="G188" i="37" s="1"/>
  <c r="E172" i="35"/>
  <c r="G172" i="35" s="1"/>
  <c r="C172" i="36" s="1"/>
  <c r="E172" i="36" s="1"/>
  <c r="G172" i="36" s="1"/>
  <c r="C172" i="37" s="1"/>
  <c r="E172" i="37" s="1"/>
  <c r="G172" i="37" s="1"/>
  <c r="E186" i="35"/>
  <c r="G186" i="35" s="1"/>
  <c r="C186" i="36" s="1"/>
  <c r="E186" i="36" s="1"/>
  <c r="G186" i="36" s="1"/>
  <c r="C186" i="37" s="1"/>
  <c r="E186" i="37" s="1"/>
  <c r="G186" i="37" s="1"/>
  <c r="C186" i="15"/>
  <c r="E186" i="15" s="1"/>
  <c r="G186" i="15" s="1"/>
  <c r="E138" i="35"/>
  <c r="G138" i="35" s="1"/>
  <c r="C138" i="36" s="1"/>
  <c r="E138" i="36" s="1"/>
  <c r="G138" i="36" s="1"/>
  <c r="C138" i="37" s="1"/>
  <c r="E138" i="37" s="1"/>
  <c r="G138" i="37" s="1"/>
  <c r="E181" i="35"/>
  <c r="G181" i="35" s="1"/>
  <c r="C181" i="36" s="1"/>
  <c r="E181" i="36" s="1"/>
  <c r="G181" i="36" s="1"/>
  <c r="C181" i="37" s="1"/>
  <c r="E181" i="37" s="1"/>
  <c r="G181" i="37" s="1"/>
  <c r="C181" i="15"/>
  <c r="E181" i="15" s="1"/>
  <c r="G181" i="15" s="1"/>
  <c r="E159" i="35"/>
  <c r="G159" i="35" s="1"/>
  <c r="C159" i="36" s="1"/>
  <c r="E159" i="36" s="1"/>
  <c r="G159" i="36" s="1"/>
  <c r="C159" i="37" s="1"/>
  <c r="E159" i="37" s="1"/>
  <c r="G159" i="37" s="1"/>
  <c r="C159" i="15"/>
  <c r="E159" i="15" s="1"/>
  <c r="G159" i="15" s="1"/>
  <c r="C122" i="15"/>
  <c r="E122" i="15" s="1"/>
  <c r="G122" i="15" s="1"/>
  <c r="E178" i="35"/>
  <c r="G178" i="35" s="1"/>
  <c r="C178" i="36" s="1"/>
  <c r="E178" i="36" s="1"/>
  <c r="G178" i="36" s="1"/>
  <c r="C178" i="37" s="1"/>
  <c r="E178" i="37" s="1"/>
  <c r="G178" i="37" s="1"/>
  <c r="C178" i="15"/>
  <c r="E178" i="15" s="1"/>
  <c r="G178" i="15" s="1"/>
  <c r="E122" i="35"/>
  <c r="G122" i="35" s="1"/>
  <c r="C122" i="36" s="1"/>
  <c r="E122" i="36" s="1"/>
  <c r="G122" i="36" s="1"/>
  <c r="C122" i="37" s="1"/>
  <c r="E122" i="37" s="1"/>
  <c r="G122" i="37" s="1"/>
  <c r="E141" i="35"/>
  <c r="G141" i="35" s="1"/>
  <c r="C141" i="36" s="1"/>
  <c r="E141" i="36" s="1"/>
  <c r="G141" i="36" s="1"/>
  <c r="C141" i="37" s="1"/>
  <c r="E141" i="37" s="1"/>
  <c r="G141" i="37" s="1"/>
  <c r="E125" i="35"/>
  <c r="G125" i="35" s="1"/>
  <c r="C125" i="36" s="1"/>
  <c r="E125" i="36" s="1"/>
  <c r="G125" i="36" s="1"/>
  <c r="C125" i="37" s="1"/>
  <c r="E125" i="37" s="1"/>
  <c r="G125" i="37" s="1"/>
  <c r="C79" i="15"/>
  <c r="E79" i="15" s="1"/>
  <c r="G79" i="15" s="1"/>
  <c r="C85" i="15"/>
  <c r="E85" i="15" s="1"/>
  <c r="G85" i="15" s="1"/>
  <c r="C60" i="15"/>
  <c r="E60" i="15" s="1"/>
  <c r="G60" i="15" s="1"/>
  <c r="E132" i="35"/>
  <c r="G132" i="35" s="1"/>
  <c r="C132" i="36" s="1"/>
  <c r="E132" i="36" s="1"/>
  <c r="G132" i="36" s="1"/>
  <c r="C132" i="37" s="1"/>
  <c r="E132" i="37" s="1"/>
  <c r="G132" i="37" s="1"/>
  <c r="C132" i="15"/>
  <c r="E132" i="15" s="1"/>
  <c r="G132" i="15" s="1"/>
  <c r="E60" i="35"/>
  <c r="G60" i="35" s="1"/>
  <c r="C60" i="36" s="1"/>
  <c r="E60" i="36" s="1"/>
  <c r="G60" i="36" s="1"/>
  <c r="C60" i="37" s="1"/>
  <c r="E60" i="37" s="1"/>
  <c r="G60" i="37" s="1"/>
  <c r="C87" i="15"/>
  <c r="E87" i="15" s="1"/>
  <c r="G87" i="15" s="1"/>
  <c r="C101" i="15"/>
  <c r="E101" i="15" s="1"/>
  <c r="G101" i="15" s="1"/>
  <c r="E69" i="35"/>
  <c r="G69" i="35" s="1"/>
  <c r="C69" i="36" s="1"/>
  <c r="E69" i="36" s="1"/>
  <c r="G69" i="36" s="1"/>
  <c r="C69" i="37" s="1"/>
  <c r="E69" i="37" s="1"/>
  <c r="G69" i="37" s="1"/>
  <c r="C69" i="15"/>
  <c r="E69" i="15" s="1"/>
  <c r="G69" i="15" s="1"/>
  <c r="E57" i="35"/>
  <c r="G57" i="35" s="1"/>
  <c r="C57" i="36" s="1"/>
  <c r="E57" i="36" s="1"/>
  <c r="G57" i="36" s="1"/>
  <c r="C57" i="37" s="1"/>
  <c r="E57" i="37" s="1"/>
  <c r="G57" i="37" s="1"/>
  <c r="C57" i="15"/>
  <c r="E57" i="15" s="1"/>
  <c r="G57" i="15" s="1"/>
  <c r="E101" i="35"/>
  <c r="G101" i="35" s="1"/>
  <c r="C101" i="36" s="1"/>
  <c r="E101" i="36" s="1"/>
  <c r="G101" i="36" s="1"/>
  <c r="C101" i="37" s="1"/>
  <c r="E101" i="37" s="1"/>
  <c r="G101" i="37" s="1"/>
  <c r="E85" i="35"/>
  <c r="G85" i="35" s="1"/>
  <c r="C85" i="36" s="1"/>
  <c r="E85" i="36" s="1"/>
  <c r="G85" i="36" s="1"/>
  <c r="C85" i="37" s="1"/>
  <c r="E85" i="37" s="1"/>
  <c r="G85" i="37" s="1"/>
  <c r="E116" i="35"/>
  <c r="G116" i="35" s="1"/>
  <c r="C116" i="36" s="1"/>
  <c r="E116" i="36" s="1"/>
  <c r="G116" i="36" s="1"/>
  <c r="C116" i="37" s="1"/>
  <c r="E116" i="37" s="1"/>
  <c r="G116" i="37" s="1"/>
  <c r="C116" i="15"/>
  <c r="E116" i="15" s="1"/>
  <c r="G116" i="15" s="1"/>
  <c r="E59" i="35"/>
  <c r="G59" i="35" s="1"/>
  <c r="C59" i="36" s="1"/>
  <c r="E59" i="36" s="1"/>
  <c r="G59" i="36" s="1"/>
  <c r="C59" i="37" s="1"/>
  <c r="E59" i="37" s="1"/>
  <c r="G59" i="37" s="1"/>
  <c r="C59" i="15"/>
  <c r="E59" i="15" s="1"/>
  <c r="G59" i="15" s="1"/>
  <c r="E166" i="35"/>
  <c r="G166" i="35" s="1"/>
  <c r="C166" i="36" s="1"/>
  <c r="E166" i="36" s="1"/>
  <c r="G166" i="36" s="1"/>
  <c r="C166" i="37" s="1"/>
  <c r="E166" i="37" s="1"/>
  <c r="G166" i="37" s="1"/>
  <c r="C82" i="15"/>
  <c r="E82" i="15" s="1"/>
  <c r="G82" i="15" s="1"/>
  <c r="E37" i="35"/>
  <c r="G37" i="35" s="1"/>
  <c r="C37" i="36" s="1"/>
  <c r="E37" i="36" s="1"/>
  <c r="G37" i="36" s="1"/>
  <c r="C37" i="37" s="1"/>
  <c r="E37" i="37" s="1"/>
  <c r="G37" i="37" s="1"/>
  <c r="C37" i="15"/>
  <c r="E37" i="15" s="1"/>
  <c r="G37" i="15" s="1"/>
  <c r="E30" i="35"/>
  <c r="G30" i="35" s="1"/>
  <c r="C30" i="36" s="1"/>
  <c r="E30" i="36" s="1"/>
  <c r="G30" i="36" s="1"/>
  <c r="C30" i="37" s="1"/>
  <c r="E30" i="37" s="1"/>
  <c r="G30" i="37" s="1"/>
  <c r="C30" i="15"/>
  <c r="E30" i="15" s="1"/>
  <c r="G30" i="15" s="1"/>
  <c r="C74" i="15"/>
  <c r="E74" i="15" s="1"/>
  <c r="G74" i="15" s="1"/>
  <c r="E87" i="35"/>
  <c r="G87" i="35" s="1"/>
  <c r="C87" i="36" s="1"/>
  <c r="E87" i="36" s="1"/>
  <c r="G87" i="36" s="1"/>
  <c r="C87" i="37" s="1"/>
  <c r="E87" i="37" s="1"/>
  <c r="G87" i="37" s="1"/>
  <c r="E31" i="35"/>
  <c r="G31" i="35" s="1"/>
  <c r="C31" i="36" s="1"/>
  <c r="E31" i="36" s="1"/>
  <c r="G31" i="36" s="1"/>
  <c r="C31" i="37" s="1"/>
  <c r="E31" i="37" s="1"/>
  <c r="G31" i="37" s="1"/>
  <c r="C31" i="15"/>
  <c r="E31" i="15" s="1"/>
  <c r="G31" i="15" s="1"/>
  <c r="E79" i="35"/>
  <c r="G79" i="35" s="1"/>
  <c r="C79" i="36" s="1"/>
  <c r="E79" i="36" s="1"/>
  <c r="G79" i="36" s="1"/>
  <c r="C79" i="37" s="1"/>
  <c r="E79" i="37" s="1"/>
  <c r="G79" i="37" s="1"/>
  <c r="C6" i="15"/>
  <c r="E6" i="15" s="1"/>
  <c r="G6" i="15" s="1"/>
  <c r="E148" i="35"/>
  <c r="G148" i="35" s="1"/>
  <c r="C148" i="36" s="1"/>
  <c r="E148" i="36" s="1"/>
  <c r="G148" i="36" s="1"/>
  <c r="C148" i="37" s="1"/>
  <c r="E148" i="37" s="1"/>
  <c r="G148" i="37" s="1"/>
  <c r="C148" i="15"/>
  <c r="E148" i="15" s="1"/>
  <c r="G148" i="15" s="1"/>
  <c r="E162" i="35"/>
  <c r="G162" i="35" s="1"/>
  <c r="C162" i="36" s="1"/>
  <c r="E162" i="36" s="1"/>
  <c r="G162" i="36" s="1"/>
  <c r="C162" i="37" s="1"/>
  <c r="E162" i="37" s="1"/>
  <c r="G162" i="37" s="1"/>
  <c r="C162" i="15"/>
  <c r="E162" i="15" s="1"/>
  <c r="G162" i="15" s="1"/>
  <c r="E90" i="35"/>
  <c r="G90" i="35" s="1"/>
  <c r="C90" i="36" s="1"/>
  <c r="E90" i="36" s="1"/>
  <c r="G90" i="36" s="1"/>
  <c r="C90" i="37" s="1"/>
  <c r="E90" i="37" s="1"/>
  <c r="G90" i="37" s="1"/>
  <c r="C90" i="15"/>
  <c r="E90" i="15" s="1"/>
  <c r="G90" i="15" s="1"/>
  <c r="E7" i="35"/>
  <c r="G7" i="35" s="1"/>
  <c r="C7" i="36" s="1"/>
  <c r="E7" i="36" s="1"/>
  <c r="G7" i="36" s="1"/>
  <c r="C7" i="37" s="1"/>
  <c r="E7" i="37" s="1"/>
  <c r="G7" i="37" s="1"/>
  <c r="C7" i="15"/>
  <c r="E7" i="15" s="1"/>
  <c r="G7" i="15" s="1"/>
  <c r="E164" i="35"/>
  <c r="G164" i="35" s="1"/>
  <c r="C164" i="36" s="1"/>
  <c r="E164" i="36" s="1"/>
  <c r="G164" i="36" s="1"/>
  <c r="C164" i="37" s="1"/>
  <c r="E164" i="37" s="1"/>
  <c r="G164" i="37" s="1"/>
  <c r="C164" i="15"/>
  <c r="E164" i="15" s="1"/>
  <c r="G164" i="15" s="1"/>
  <c r="E202" i="35"/>
  <c r="G202" i="35" s="1"/>
  <c r="C202" i="36" s="1"/>
  <c r="E202" i="36" s="1"/>
  <c r="G202" i="36" s="1"/>
  <c r="C202" i="37" s="1"/>
  <c r="E202" i="37" s="1"/>
  <c r="G202" i="37" s="1"/>
  <c r="C202" i="15"/>
  <c r="E202" i="15" s="1"/>
  <c r="G202" i="15" s="1"/>
  <c r="E29" i="35"/>
  <c r="G29" i="35" s="1"/>
  <c r="C29" i="36" s="1"/>
  <c r="E29" i="36" s="1"/>
  <c r="G29" i="36" s="1"/>
  <c r="C29" i="37" s="1"/>
  <c r="E29" i="37" s="1"/>
  <c r="G29" i="37" s="1"/>
  <c r="C29" i="15"/>
  <c r="E29" i="15" s="1"/>
  <c r="G29" i="15" s="1"/>
  <c r="E11" i="35"/>
  <c r="G11" i="35" s="1"/>
  <c r="C11" i="36" s="1"/>
  <c r="E11" i="36" s="1"/>
  <c r="G11" i="36" s="1"/>
  <c r="C11" i="37" s="1"/>
  <c r="E11" i="37" s="1"/>
  <c r="G11" i="37" s="1"/>
  <c r="C11" i="15"/>
  <c r="E11" i="15" s="1"/>
  <c r="G11" i="15" s="1"/>
  <c r="E158" i="35"/>
  <c r="G158" i="35" s="1"/>
  <c r="C158" i="36" s="1"/>
  <c r="E158" i="36" s="1"/>
  <c r="G158" i="36" s="1"/>
  <c r="C158" i="37" s="1"/>
  <c r="E158" i="37" s="1"/>
  <c r="G158" i="37" s="1"/>
  <c r="C158" i="15"/>
  <c r="E158" i="15" s="1"/>
  <c r="G158" i="15" s="1"/>
  <c r="E35" i="35"/>
  <c r="G35" i="35" s="1"/>
  <c r="C35" i="36" s="1"/>
  <c r="E35" i="36" s="1"/>
  <c r="G35" i="36" s="1"/>
  <c r="C35" i="37" s="1"/>
  <c r="E35" i="37" s="1"/>
  <c r="G35" i="37" s="1"/>
  <c r="C35" i="15"/>
  <c r="E35" i="15" s="1"/>
  <c r="G35" i="15" s="1"/>
  <c r="E89" i="35"/>
  <c r="G89" i="35" s="1"/>
  <c r="C89" i="36" s="1"/>
  <c r="E89" i="36" s="1"/>
  <c r="G89" i="36" s="1"/>
  <c r="C89" i="37" s="1"/>
  <c r="E89" i="37" s="1"/>
  <c r="G89" i="37" s="1"/>
  <c r="C89" i="15"/>
  <c r="E89" i="15" s="1"/>
  <c r="G89" i="15" s="1"/>
  <c r="E119" i="35"/>
  <c r="G119" i="35" s="1"/>
  <c r="C119" i="36" s="1"/>
  <c r="E119" i="36" s="1"/>
  <c r="G119" i="36" s="1"/>
  <c r="C119" i="37" s="1"/>
  <c r="E119" i="37" s="1"/>
  <c r="G119" i="37" s="1"/>
  <c r="C119" i="15"/>
  <c r="E119" i="15" s="1"/>
  <c r="G119" i="15" s="1"/>
  <c r="E45" i="35"/>
  <c r="G45" i="35" s="1"/>
  <c r="C45" i="36" s="1"/>
  <c r="E45" i="36" s="1"/>
  <c r="G45" i="36" s="1"/>
  <c r="C45" i="37" s="1"/>
  <c r="E45" i="37" s="1"/>
  <c r="G45" i="37" s="1"/>
  <c r="C45" i="15"/>
  <c r="E45" i="15" s="1"/>
  <c r="G45" i="15" s="1"/>
  <c r="E92" i="35"/>
  <c r="G92" i="35" s="1"/>
  <c r="C92" i="36" s="1"/>
  <c r="E92" i="36" s="1"/>
  <c r="G92" i="36" s="1"/>
  <c r="C92" i="37" s="1"/>
  <c r="E92" i="37" s="1"/>
  <c r="G92" i="37" s="1"/>
  <c r="C92" i="15"/>
  <c r="E92" i="15" s="1"/>
  <c r="G92" i="15" s="1"/>
  <c r="E82" i="35"/>
  <c r="G82" i="35" s="1"/>
  <c r="C82" i="36" s="1"/>
  <c r="E82" i="36" s="1"/>
  <c r="G82" i="36" s="1"/>
  <c r="C82" i="37" s="1"/>
  <c r="E82" i="37" s="1"/>
  <c r="G82" i="37" s="1"/>
  <c r="E150" i="35"/>
  <c r="G150" i="35" s="1"/>
  <c r="C150" i="36" s="1"/>
  <c r="E150" i="36" s="1"/>
  <c r="G150" i="36" s="1"/>
  <c r="C150" i="37" s="1"/>
  <c r="E150" i="37" s="1"/>
  <c r="G150" i="37" s="1"/>
  <c r="C150" i="15"/>
  <c r="E150" i="15" s="1"/>
  <c r="G150" i="15" s="1"/>
  <c r="E23" i="35"/>
  <c r="G23" i="35" s="1"/>
  <c r="C23" i="36" s="1"/>
  <c r="E23" i="36" s="1"/>
  <c r="G23" i="36" s="1"/>
  <c r="C23" i="37" s="1"/>
  <c r="E23" i="37" s="1"/>
  <c r="G23" i="37" s="1"/>
  <c r="C23" i="15"/>
  <c r="E23" i="15" s="1"/>
  <c r="G23" i="15" s="1"/>
  <c r="E109" i="35"/>
  <c r="G109" i="35" s="1"/>
  <c r="C109" i="36" s="1"/>
  <c r="E109" i="36" s="1"/>
  <c r="G109" i="36" s="1"/>
  <c r="C109" i="37" s="1"/>
  <c r="E109" i="37" s="1"/>
  <c r="G109" i="37" s="1"/>
  <c r="C109" i="15"/>
  <c r="E109" i="15" s="1"/>
  <c r="G109" i="15" s="1"/>
  <c r="E13" i="35"/>
  <c r="G13" i="35"/>
  <c r="C13" i="36" s="1"/>
  <c r="E13" i="36" s="1"/>
  <c r="G13" i="36" s="1"/>
  <c r="C13" i="37" s="1"/>
  <c r="E13" i="37" s="1"/>
  <c r="G13" i="37" s="1"/>
  <c r="C13" i="15"/>
  <c r="E13" i="15" s="1"/>
  <c r="G13" i="15" s="1"/>
  <c r="E93" i="35"/>
  <c r="G93" i="35" s="1"/>
  <c r="C93" i="36" s="1"/>
  <c r="E93" i="36" s="1"/>
  <c r="G93" i="36" s="1"/>
  <c r="C93" i="37" s="1"/>
  <c r="E93" i="37" s="1"/>
  <c r="G93" i="37" s="1"/>
  <c r="C93" i="15"/>
  <c r="E93" i="15" s="1"/>
  <c r="G93" i="15" s="1"/>
  <c r="E52" i="35"/>
  <c r="G52" i="35" s="1"/>
  <c r="C52" i="36" s="1"/>
  <c r="E52" i="36" s="1"/>
  <c r="G52" i="36" s="1"/>
  <c r="C52" i="37" s="1"/>
  <c r="E52" i="37" s="1"/>
  <c r="G52" i="37" s="1"/>
  <c r="C52" i="15"/>
  <c r="E52" i="15" s="1"/>
  <c r="G52" i="15" s="1"/>
  <c r="E40" i="35"/>
  <c r="G40" i="35" s="1"/>
  <c r="C40" i="36" s="1"/>
  <c r="E40" i="36" s="1"/>
  <c r="G40" i="36" s="1"/>
  <c r="C40" i="37" s="1"/>
  <c r="E40" i="37" s="1"/>
  <c r="G40" i="37" s="1"/>
  <c r="C40" i="15"/>
  <c r="E40" i="15" s="1"/>
  <c r="G40" i="15" s="1"/>
  <c r="E47" i="35"/>
  <c r="G47" i="35" s="1"/>
  <c r="C47" i="36" s="1"/>
  <c r="E47" i="36" s="1"/>
  <c r="G47" i="36" s="1"/>
  <c r="C47" i="37" s="1"/>
  <c r="E47" i="37" s="1"/>
  <c r="G47" i="37" s="1"/>
  <c r="C47" i="15"/>
  <c r="E47" i="15" s="1"/>
  <c r="G47" i="15" s="1"/>
  <c r="E74" i="35"/>
  <c r="G74" i="35" s="1"/>
  <c r="C74" i="36" s="1"/>
  <c r="E74" i="36" s="1"/>
  <c r="G74" i="36" s="1"/>
  <c r="C74" i="37" s="1"/>
  <c r="E74" i="37" s="1"/>
  <c r="G74" i="37" s="1"/>
  <c r="E139" i="35"/>
  <c r="G139" i="35" s="1"/>
  <c r="C139" i="36" s="1"/>
  <c r="E139" i="36" s="1"/>
  <c r="G139" i="36" s="1"/>
  <c r="C139" i="37" s="1"/>
  <c r="E139" i="37" s="1"/>
  <c r="G139" i="37" s="1"/>
  <c r="C139" i="15"/>
  <c r="E139" i="15" s="1"/>
  <c r="G139" i="15" s="1"/>
  <c r="E156" i="35"/>
  <c r="G156" i="35" s="1"/>
  <c r="C156" i="36" s="1"/>
  <c r="E156" i="36" s="1"/>
  <c r="G156" i="36" s="1"/>
  <c r="C156" i="37" s="1"/>
  <c r="E156" i="37" s="1"/>
  <c r="G156" i="37" s="1"/>
  <c r="C156" i="15"/>
  <c r="E156" i="15" s="1"/>
  <c r="G156" i="15" s="1"/>
  <c r="E6" i="35"/>
  <c r="G6" i="35" s="1"/>
  <c r="C6" i="36" s="1"/>
  <c r="E6" i="36" s="1"/>
  <c r="G6" i="36" s="1"/>
  <c r="C6" i="37" s="1"/>
  <c r="E6" i="37" s="1"/>
  <c r="G6" i="37" s="1"/>
  <c r="E83" i="35"/>
  <c r="G83" i="35" s="1"/>
  <c r="C83" i="36" s="1"/>
  <c r="E83" i="36" s="1"/>
  <c r="G83" i="36" s="1"/>
  <c r="C83" i="37" s="1"/>
  <c r="E83" i="37" s="1"/>
  <c r="G83" i="37" s="1"/>
  <c r="C83" i="15"/>
  <c r="E83" i="15" s="1"/>
  <c r="G83" i="15" s="1"/>
  <c r="E39" i="35"/>
  <c r="G39" i="35" s="1"/>
  <c r="C39" i="36" s="1"/>
  <c r="E39" i="36" s="1"/>
  <c r="G39" i="36" s="1"/>
  <c r="C39" i="37" s="1"/>
  <c r="E39" i="37" s="1"/>
  <c r="G39" i="37" s="1"/>
  <c r="C39" i="15"/>
  <c r="E39" i="15" s="1"/>
  <c r="G39" i="15" s="1"/>
  <c r="E27" i="35"/>
  <c r="G27" i="35" s="1"/>
  <c r="C27" i="36" s="1"/>
  <c r="E27" i="36" s="1"/>
  <c r="G27" i="36" s="1"/>
  <c r="C27" i="37" s="1"/>
  <c r="E27" i="37" s="1"/>
  <c r="G27" i="37" s="1"/>
  <c r="C27" i="15"/>
  <c r="E27" i="15" s="1"/>
  <c r="G27" i="15" s="1"/>
  <c r="E140" i="35"/>
  <c r="G140" i="35" s="1"/>
  <c r="C140" i="36" s="1"/>
  <c r="E140" i="36" s="1"/>
  <c r="G140" i="36" s="1"/>
  <c r="C140" i="37" s="1"/>
  <c r="E140" i="37" s="1"/>
  <c r="G140" i="37" s="1"/>
  <c r="C140" i="15"/>
  <c r="E140" i="15" s="1"/>
  <c r="G140" i="15" s="1"/>
  <c r="E97" i="35"/>
  <c r="G97" i="35" s="1"/>
  <c r="C97" i="36" s="1"/>
  <c r="E97" i="36" s="1"/>
  <c r="G97" i="36" s="1"/>
  <c r="C97" i="37" s="1"/>
  <c r="E97" i="37" s="1"/>
  <c r="G97" i="37" s="1"/>
  <c r="C97" i="15"/>
  <c r="E97" i="15" s="1"/>
  <c r="G97" i="15" s="1"/>
  <c r="E76" i="35"/>
  <c r="G76" i="35" s="1"/>
  <c r="C76" i="36" s="1"/>
  <c r="E76" i="36" s="1"/>
  <c r="G76" i="36" s="1"/>
  <c r="C76" i="37" s="1"/>
  <c r="E76" i="37" s="1"/>
  <c r="G76" i="37" s="1"/>
  <c r="C76" i="15"/>
  <c r="E76" i="15" s="1"/>
  <c r="G76" i="15" s="1"/>
  <c r="E151" i="35"/>
  <c r="G151" i="35" s="1"/>
  <c r="C151" i="36" s="1"/>
  <c r="E151" i="36" s="1"/>
  <c r="G151" i="36" s="1"/>
  <c r="C151" i="37" s="1"/>
  <c r="E151" i="37" s="1"/>
  <c r="G151" i="37" s="1"/>
  <c r="C151" i="15"/>
  <c r="E151" i="15" s="1"/>
  <c r="G151" i="15" s="1"/>
  <c r="E208" i="35"/>
  <c r="G208" i="35" s="1"/>
  <c r="C208" i="36" s="1"/>
  <c r="E208" i="36" s="1"/>
  <c r="G208" i="36" s="1"/>
  <c r="C208" i="37" s="1"/>
  <c r="E208" i="37" s="1"/>
  <c r="G208" i="37" s="1"/>
  <c r="C208" i="15"/>
  <c r="E208" i="15" s="1"/>
  <c r="G208" i="15" s="1"/>
  <c r="E193" i="35"/>
  <c r="G193" i="35" s="1"/>
  <c r="C193" i="36" s="1"/>
  <c r="E193" i="36" s="1"/>
  <c r="G193" i="36" s="1"/>
  <c r="C193" i="37" s="1"/>
  <c r="E193" i="37" s="1"/>
  <c r="G193" i="37" s="1"/>
  <c r="C193" i="15"/>
  <c r="E193" i="15" s="1"/>
  <c r="G193" i="15" s="1"/>
  <c r="E107" i="35"/>
  <c r="G107" i="35" s="1"/>
  <c r="C107" i="36" s="1"/>
  <c r="E107" i="36" s="1"/>
  <c r="G107" i="36" s="1"/>
  <c r="C107" i="37" s="1"/>
  <c r="E107" i="37" s="1"/>
  <c r="G107" i="37" s="1"/>
  <c r="C107" i="15"/>
  <c r="E107" i="15" s="1"/>
  <c r="G107" i="15" s="1"/>
  <c r="E17" i="35"/>
  <c r="G17" i="35" s="1"/>
  <c r="C17" i="36" s="1"/>
  <c r="E17" i="36" s="1"/>
  <c r="G17" i="36" s="1"/>
  <c r="C17" i="37" s="1"/>
  <c r="E17" i="37" s="1"/>
  <c r="G17" i="37" s="1"/>
  <c r="C17" i="15"/>
  <c r="E17" i="15" s="1"/>
  <c r="G17" i="15" s="1"/>
  <c r="E131" i="35"/>
  <c r="G131" i="35" s="1"/>
  <c r="C131" i="36" s="1"/>
  <c r="E131" i="36" s="1"/>
  <c r="G131" i="36" s="1"/>
  <c r="C131" i="37" s="1"/>
  <c r="E131" i="37" s="1"/>
  <c r="G131" i="37" s="1"/>
  <c r="C131" i="15"/>
  <c r="E131" i="15"/>
  <c r="G131" i="15" s="1"/>
  <c r="E25" i="35"/>
  <c r="G25" i="35" s="1"/>
  <c r="C25" i="36" s="1"/>
  <c r="E25" i="36" s="1"/>
  <c r="G25" i="36" s="1"/>
  <c r="C25" i="37" s="1"/>
  <c r="E25" i="37" s="1"/>
  <c r="G25" i="37" s="1"/>
  <c r="C25" i="15"/>
  <c r="E25" i="15" s="1"/>
  <c r="G25" i="15" s="1"/>
  <c r="E103" i="35"/>
  <c r="G103" i="35" s="1"/>
  <c r="C103" i="36" s="1"/>
  <c r="E103" i="36" s="1"/>
  <c r="G103" i="36" s="1"/>
  <c r="C103" i="37" s="1"/>
  <c r="E103" i="37" s="1"/>
  <c r="G103" i="37" s="1"/>
  <c r="C103" i="15"/>
  <c r="E103" i="15" s="1"/>
  <c r="G103" i="15" s="1"/>
  <c r="E9" i="35"/>
  <c r="G9" i="35" s="1"/>
  <c r="C9" i="36" s="1"/>
  <c r="E9" i="36" s="1"/>
  <c r="G9" i="36" s="1"/>
  <c r="C9" i="37" s="1"/>
  <c r="E9" i="37" s="1"/>
  <c r="G9" i="37" s="1"/>
  <c r="C9" i="15"/>
  <c r="E9" i="15" s="1"/>
  <c r="G9" i="15" s="1"/>
  <c r="E168" i="35"/>
  <c r="G168" i="35" s="1"/>
  <c r="C168" i="36" s="1"/>
  <c r="E168" i="36" s="1"/>
  <c r="G168" i="36" s="1"/>
  <c r="C168" i="37" s="1"/>
  <c r="E168" i="37" s="1"/>
  <c r="G168" i="37" s="1"/>
  <c r="C168" i="15"/>
  <c r="E168" i="15" s="1"/>
  <c r="G168" i="15" s="1"/>
  <c r="E16" i="35"/>
  <c r="G16" i="35" s="1"/>
  <c r="C16" i="36" s="1"/>
  <c r="E16" i="36" s="1"/>
  <c r="G16" i="36" s="1"/>
  <c r="C16" i="37" s="1"/>
  <c r="E16" i="37" s="1"/>
  <c r="G16" i="37" s="1"/>
  <c r="C16" i="15"/>
  <c r="E16" i="15" s="1"/>
  <c r="G16" i="15" s="1"/>
  <c r="E175" i="35"/>
  <c r="G175" i="35" s="1"/>
  <c r="C175" i="36" s="1"/>
  <c r="E175" i="36" s="1"/>
  <c r="G175" i="36" s="1"/>
  <c r="C175" i="37" s="1"/>
  <c r="E175" i="37" s="1"/>
  <c r="G175" i="37" s="1"/>
  <c r="C175" i="15"/>
  <c r="E175" i="15" s="1"/>
  <c r="G175" i="15" s="1"/>
  <c r="E110" i="35"/>
  <c r="G110" i="35" s="1"/>
  <c r="C110" i="36" s="1"/>
  <c r="E110" i="36" s="1"/>
  <c r="G110" i="36" s="1"/>
  <c r="C110" i="37" s="1"/>
  <c r="E110" i="37" s="1"/>
  <c r="G110" i="37" s="1"/>
  <c r="C110" i="15"/>
  <c r="E110" i="15" s="1"/>
  <c r="G110" i="15" s="1"/>
  <c r="E115" i="35"/>
  <c r="G115" i="35" s="1"/>
  <c r="C115" i="36" s="1"/>
  <c r="E115" i="36" s="1"/>
  <c r="G115" i="36" s="1"/>
  <c r="C115" i="37" s="1"/>
  <c r="E115" i="37" s="1"/>
  <c r="G115" i="37" s="1"/>
  <c r="C115" i="15"/>
  <c r="E115" i="15" s="1"/>
  <c r="G115" i="15" s="1"/>
  <c r="E149" i="35"/>
  <c r="G149" i="35" s="1"/>
  <c r="C149" i="36" s="1"/>
  <c r="E149" i="36" s="1"/>
  <c r="G149" i="36" s="1"/>
  <c r="C149" i="37" s="1"/>
  <c r="E149" i="37" s="1"/>
  <c r="G149" i="37" s="1"/>
  <c r="C149" i="15"/>
  <c r="E149" i="15" s="1"/>
  <c r="G149" i="15" s="1"/>
  <c r="E142" i="35"/>
  <c r="G142" i="35" s="1"/>
  <c r="C142" i="36" s="1"/>
  <c r="E142" i="36" s="1"/>
  <c r="G142" i="36" s="1"/>
  <c r="C142" i="37" s="1"/>
  <c r="E142" i="37" s="1"/>
  <c r="G142" i="37" s="1"/>
  <c r="C142" i="15"/>
  <c r="E142" i="15" s="1"/>
  <c r="G142" i="15" s="1"/>
  <c r="E10" i="35"/>
  <c r="G10" i="35" s="1"/>
  <c r="C10" i="36" s="1"/>
  <c r="E10" i="36" s="1"/>
  <c r="G10" i="36" s="1"/>
  <c r="C10" i="37" s="1"/>
  <c r="E10" i="37" s="1"/>
  <c r="G10" i="37" s="1"/>
  <c r="C10" i="15"/>
  <c r="E10" i="15" s="1"/>
  <c r="G10" i="15" s="1"/>
  <c r="E53" i="35"/>
  <c r="G53" i="35" s="1"/>
  <c r="C53" i="36" s="1"/>
  <c r="E53" i="36" s="1"/>
  <c r="G53" i="36" s="1"/>
  <c r="C53" i="37" s="1"/>
  <c r="E53" i="37" s="1"/>
  <c r="G53" i="37" s="1"/>
  <c r="C53" i="15"/>
  <c r="E53" i="15" s="1"/>
  <c r="G53" i="15" s="1"/>
  <c r="E99" i="35"/>
  <c r="G99" i="35" s="1"/>
  <c r="C99" i="36" s="1"/>
  <c r="E99" i="36" s="1"/>
  <c r="G99" i="36" s="1"/>
  <c r="C99" i="37" s="1"/>
  <c r="E99" i="37" s="1"/>
  <c r="G99" i="37" s="1"/>
  <c r="C99" i="15"/>
  <c r="E99" i="15" s="1"/>
  <c r="G99" i="15" s="1"/>
  <c r="E146" i="35"/>
  <c r="G146" i="35" s="1"/>
  <c r="C146" i="36" s="1"/>
  <c r="E146" i="36" s="1"/>
  <c r="G146" i="36" s="1"/>
  <c r="C146" i="37" s="1"/>
  <c r="E146" i="37" s="1"/>
  <c r="G146" i="37" s="1"/>
  <c r="C146" i="15"/>
  <c r="E146" i="15" s="1"/>
  <c r="G146" i="15" s="1"/>
  <c r="E112" i="35"/>
  <c r="G112" i="35" s="1"/>
  <c r="C112" i="36" s="1"/>
  <c r="E112" i="36" s="1"/>
  <c r="G112" i="36" s="1"/>
  <c r="C112" i="37" s="1"/>
  <c r="E112" i="37" s="1"/>
  <c r="G112" i="37" s="1"/>
  <c r="C112" i="15"/>
  <c r="E112" i="15" s="1"/>
  <c r="G112" i="15" s="1"/>
  <c r="E167" i="35"/>
  <c r="G167" i="35" s="1"/>
  <c r="C167" i="36" s="1"/>
  <c r="E167" i="36" s="1"/>
  <c r="G167" i="36" s="1"/>
  <c r="C167" i="37" s="1"/>
  <c r="E167" i="37" s="1"/>
  <c r="G167" i="37" s="1"/>
  <c r="C167" i="15"/>
  <c r="E167" i="15" s="1"/>
  <c r="G167" i="15" s="1"/>
  <c r="E64" i="35"/>
  <c r="G64" i="35" s="1"/>
  <c r="C64" i="36" s="1"/>
  <c r="E64" i="36" s="1"/>
  <c r="G64" i="36" s="1"/>
  <c r="C64" i="37" s="1"/>
  <c r="E64" i="37" s="1"/>
  <c r="G64" i="37" s="1"/>
  <c r="C64" i="15"/>
  <c r="E64" i="15" s="1"/>
  <c r="G64" i="15" s="1"/>
  <c r="E95" i="35"/>
  <c r="G95" i="35" s="1"/>
  <c r="C95" i="36" s="1"/>
  <c r="E95" i="36" s="1"/>
  <c r="G95" i="36" s="1"/>
  <c r="C95" i="37" s="1"/>
  <c r="E95" i="37" s="1"/>
  <c r="G95" i="37" s="1"/>
  <c r="C95" i="15"/>
  <c r="E95" i="15" s="1"/>
  <c r="G95" i="15" s="1"/>
  <c r="E72" i="35"/>
  <c r="G72" i="35" s="1"/>
  <c r="C72" i="36" s="1"/>
  <c r="E72" i="36" s="1"/>
  <c r="G72" i="36" s="1"/>
  <c r="C72" i="37" s="1"/>
  <c r="E72" i="37" s="1"/>
  <c r="G72" i="37" s="1"/>
  <c r="C72" i="15"/>
  <c r="E72" i="15" s="1"/>
  <c r="G72" i="15" s="1"/>
  <c r="E118" i="35"/>
  <c r="G118" i="35" s="1"/>
  <c r="C118" i="36" s="1"/>
  <c r="E118" i="36" s="1"/>
  <c r="G118" i="36" s="1"/>
  <c r="C118" i="37" s="1"/>
  <c r="E118" i="37" s="1"/>
  <c r="G118" i="37" s="1"/>
  <c r="C118" i="15"/>
  <c r="E118" i="15" s="1"/>
  <c r="G118" i="15" s="1"/>
  <c r="E43" i="35"/>
  <c r="G43" i="35" s="1"/>
  <c r="C43" i="36" s="1"/>
  <c r="E43" i="36" s="1"/>
  <c r="G43" i="36" s="1"/>
  <c r="C43" i="37" s="1"/>
  <c r="E43" i="37" s="1"/>
  <c r="G43" i="37" s="1"/>
  <c r="C43" i="15"/>
  <c r="E43" i="15" s="1"/>
  <c r="G43" i="15" s="1"/>
  <c r="E14" i="35"/>
  <c r="G14" i="35" s="1"/>
  <c r="C14" i="36" s="1"/>
  <c r="E14" i="36" s="1"/>
  <c r="G14" i="36" s="1"/>
  <c r="C14" i="37" s="1"/>
  <c r="E14" i="37" s="1"/>
  <c r="G14" i="37" s="1"/>
  <c r="C14" i="15"/>
  <c r="E14" i="15" s="1"/>
  <c r="G14" i="15" s="1"/>
  <c r="E88" i="35"/>
  <c r="G88" i="35" s="1"/>
  <c r="C88" i="36" s="1"/>
  <c r="E88" i="36" s="1"/>
  <c r="G88" i="36" s="1"/>
  <c r="C88" i="37" s="1"/>
  <c r="E88" i="37" s="1"/>
  <c r="G88" i="37" s="1"/>
  <c r="C88" i="15"/>
  <c r="E88" i="15" s="1"/>
  <c r="G88" i="15" s="1"/>
  <c r="E169" i="35"/>
  <c r="G169" i="35" s="1"/>
  <c r="C169" i="36" s="1"/>
  <c r="E169" i="36" s="1"/>
  <c r="G169" i="36" s="1"/>
  <c r="C169" i="37" s="1"/>
  <c r="E169" i="37" s="1"/>
  <c r="G169" i="37" s="1"/>
  <c r="C169" i="15"/>
  <c r="E169" i="15" s="1"/>
  <c r="G169" i="15" s="1"/>
  <c r="E104" i="35"/>
  <c r="G104" i="35" s="1"/>
  <c r="C104" i="36" s="1"/>
  <c r="E104" i="36" s="1"/>
  <c r="G104" i="36" s="1"/>
  <c r="C104" i="37" s="1"/>
  <c r="E104" i="37" s="1"/>
  <c r="G104" i="37" s="1"/>
  <c r="C104" i="15"/>
  <c r="E104" i="15" s="1"/>
  <c r="G104" i="15" s="1"/>
  <c r="E176" i="35"/>
  <c r="G176" i="35" s="1"/>
  <c r="C176" i="36" s="1"/>
  <c r="E176" i="36" s="1"/>
  <c r="G176" i="36" s="1"/>
  <c r="C176" i="37" s="1"/>
  <c r="E176" i="37" s="1"/>
  <c r="G176" i="37" s="1"/>
  <c r="C176" i="15"/>
  <c r="E176" i="15" s="1"/>
  <c r="G176" i="15" s="1"/>
  <c r="E177" i="35"/>
  <c r="G177" i="35" s="1"/>
  <c r="C177" i="36" s="1"/>
  <c r="E177" i="36" s="1"/>
  <c r="G177" i="36" s="1"/>
  <c r="C177" i="37" s="1"/>
  <c r="E177" i="37" s="1"/>
  <c r="G177" i="37" s="1"/>
  <c r="C177" i="15"/>
  <c r="E177" i="15"/>
  <c r="G177" i="15" s="1"/>
  <c r="E102" i="35"/>
  <c r="G102" i="35" s="1"/>
  <c r="C102" i="36" s="1"/>
  <c r="E102" i="36" s="1"/>
  <c r="G102" i="36" s="1"/>
  <c r="C102" i="37" s="1"/>
  <c r="E102" i="37" s="1"/>
  <c r="G102" i="37" s="1"/>
  <c r="C102" i="15"/>
  <c r="E102" i="15" s="1"/>
  <c r="G102" i="15" s="1"/>
  <c r="E73" i="35"/>
  <c r="G73" i="35" s="1"/>
  <c r="C73" i="36" s="1"/>
  <c r="E73" i="36" s="1"/>
  <c r="G73" i="36" s="1"/>
  <c r="C73" i="37" s="1"/>
  <c r="E73" i="37" s="1"/>
  <c r="G73" i="37" s="1"/>
  <c r="C73" i="15"/>
  <c r="E73" i="15" s="1"/>
  <c r="G73" i="15" s="1"/>
  <c r="E108" i="35"/>
  <c r="G108" i="35" s="1"/>
  <c r="C108" i="36" s="1"/>
  <c r="E108" i="36" s="1"/>
  <c r="G108" i="36" s="1"/>
  <c r="C108" i="37" s="1"/>
  <c r="E108" i="37" s="1"/>
  <c r="G108" i="37" s="1"/>
  <c r="C108" i="15"/>
  <c r="E108" i="15" s="1"/>
  <c r="G108" i="15" s="1"/>
  <c r="E15" i="35"/>
  <c r="G15" i="35"/>
  <c r="C15" i="36" s="1"/>
  <c r="E15" i="36" s="1"/>
  <c r="G15" i="36" s="1"/>
  <c r="C15" i="37" s="1"/>
  <c r="E15" i="37" s="1"/>
  <c r="G15" i="37" s="1"/>
  <c r="C15" i="15"/>
  <c r="E15" i="15" s="1"/>
  <c r="G15" i="15" s="1"/>
  <c r="E173" i="35"/>
  <c r="G173" i="35" s="1"/>
  <c r="C173" i="36" s="1"/>
  <c r="E173" i="36" s="1"/>
  <c r="G173" i="36" s="1"/>
  <c r="C173" i="37" s="1"/>
  <c r="E173" i="37" s="1"/>
  <c r="G173" i="37" s="1"/>
  <c r="C173" i="15"/>
  <c r="E173" i="15" s="1"/>
  <c r="G173" i="15" s="1"/>
  <c r="E58" i="35"/>
  <c r="G58" i="35" s="1"/>
  <c r="C58" i="36" s="1"/>
  <c r="E58" i="36" s="1"/>
  <c r="G58" i="36" s="1"/>
  <c r="C58" i="37" s="1"/>
  <c r="E58" i="37" s="1"/>
  <c r="G58" i="37" s="1"/>
  <c r="C58" i="15"/>
  <c r="E58" i="15" s="1"/>
  <c r="G58" i="15" s="1"/>
  <c r="E200" i="35"/>
  <c r="G200" i="35" s="1"/>
  <c r="C200" i="36" s="1"/>
  <c r="E200" i="36" s="1"/>
  <c r="G200" i="36" s="1"/>
  <c r="C200" i="37" s="1"/>
  <c r="E200" i="37" s="1"/>
  <c r="G200" i="37" s="1"/>
  <c r="C200" i="15"/>
  <c r="E200" i="15" s="1"/>
  <c r="G200" i="15" s="1"/>
  <c r="E187" i="35"/>
  <c r="G187" i="35" s="1"/>
  <c r="C187" i="36" s="1"/>
  <c r="E187" i="36" s="1"/>
  <c r="G187" i="36" s="1"/>
  <c r="C187" i="37" s="1"/>
  <c r="E187" i="37" s="1"/>
  <c r="G187" i="37" s="1"/>
  <c r="C187" i="15"/>
  <c r="E187" i="15" s="1"/>
  <c r="G187" i="15" s="1"/>
  <c r="E179" i="35"/>
  <c r="G179" i="35" s="1"/>
  <c r="C179" i="36" s="1"/>
  <c r="E179" i="36" s="1"/>
  <c r="G179" i="36" s="1"/>
  <c r="C179" i="37" s="1"/>
  <c r="E179" i="37" s="1"/>
  <c r="G179" i="37" s="1"/>
  <c r="C179" i="15"/>
  <c r="E179" i="15" s="1"/>
  <c r="G179" i="15" s="1"/>
  <c r="E55" i="35"/>
  <c r="G55" i="35" s="1"/>
  <c r="C55" i="36" s="1"/>
  <c r="E55" i="36" s="1"/>
  <c r="G55" i="36" s="1"/>
  <c r="C55" i="37" s="1"/>
  <c r="E55" i="37" s="1"/>
  <c r="G55" i="37" s="1"/>
  <c r="C55" i="15"/>
  <c r="E55" i="15" s="1"/>
  <c r="G55" i="15" s="1"/>
  <c r="E137" i="35"/>
  <c r="G137" i="35" s="1"/>
  <c r="C137" i="36" s="1"/>
  <c r="E137" i="36" s="1"/>
  <c r="G137" i="36" s="1"/>
  <c r="C137" i="37" s="1"/>
  <c r="E137" i="37" s="1"/>
  <c r="G137" i="37" s="1"/>
  <c r="C137" i="15"/>
  <c r="E137" i="15" s="1"/>
  <c r="G137" i="15" s="1"/>
  <c r="E123" i="35"/>
  <c r="G123" i="35" s="1"/>
  <c r="C123" i="36" s="1"/>
  <c r="E123" i="36" s="1"/>
  <c r="G123" i="36" s="1"/>
  <c r="C123" i="37" s="1"/>
  <c r="E123" i="37" s="1"/>
  <c r="G123" i="37" s="1"/>
  <c r="C123" i="15"/>
  <c r="E123" i="15" s="1"/>
  <c r="G123" i="15" s="1"/>
  <c r="E161" i="35"/>
  <c r="G161" i="35" s="1"/>
  <c r="C161" i="36" s="1"/>
  <c r="E161" i="36" s="1"/>
  <c r="G161" i="36" s="1"/>
  <c r="C161" i="37" s="1"/>
  <c r="E161" i="37" s="1"/>
  <c r="G161" i="37" s="1"/>
  <c r="C161" i="15"/>
  <c r="E161" i="15" s="1"/>
  <c r="G161" i="15" s="1"/>
  <c r="E12" i="35"/>
  <c r="G12" i="35" s="1"/>
  <c r="C12" i="36" s="1"/>
  <c r="E12" i="36" s="1"/>
  <c r="G12" i="36" s="1"/>
  <c r="C12" i="37" s="1"/>
  <c r="E12" i="37" s="1"/>
  <c r="G12" i="37" s="1"/>
  <c r="C12" i="15"/>
  <c r="E12" i="15" s="1"/>
  <c r="G12" i="15" s="1"/>
  <c r="E71" i="35"/>
  <c r="G71" i="35" s="1"/>
  <c r="C71" i="36" s="1"/>
  <c r="E71" i="36" s="1"/>
  <c r="G71" i="36" s="1"/>
  <c r="C71" i="37" s="1"/>
  <c r="E71" i="37" s="1"/>
  <c r="G71" i="37" s="1"/>
  <c r="C71" i="15"/>
  <c r="E71" i="15" s="1"/>
  <c r="G71" i="15" s="1"/>
  <c r="E24" i="35"/>
  <c r="G24" i="35" s="1"/>
  <c r="C24" i="36" s="1"/>
  <c r="E24" i="36" s="1"/>
  <c r="G24" i="36" s="1"/>
  <c r="C24" i="37" s="1"/>
  <c r="E24" i="37" s="1"/>
  <c r="G24" i="37" s="1"/>
  <c r="C24" i="15"/>
  <c r="E24" i="15" s="1"/>
  <c r="G24" i="15" s="1"/>
  <c r="E100" i="35"/>
  <c r="G100" i="35" s="1"/>
  <c r="C100" i="36" s="1"/>
  <c r="E100" i="36" s="1"/>
  <c r="G100" i="36" s="1"/>
  <c r="C100" i="37" s="1"/>
  <c r="E100" i="37" s="1"/>
  <c r="G100" i="37" s="1"/>
  <c r="C100" i="15"/>
  <c r="E100" i="15" s="1"/>
  <c r="G100" i="15" s="1"/>
  <c r="E20" i="35"/>
  <c r="G20" i="35" s="1"/>
  <c r="C20" i="36" s="1"/>
  <c r="E20" i="36" s="1"/>
  <c r="G20" i="36" s="1"/>
  <c r="C20" i="37" s="1"/>
  <c r="E20" i="37" s="1"/>
  <c r="G20" i="37" s="1"/>
  <c r="C20" i="15"/>
  <c r="E20" i="15" s="1"/>
  <c r="G20" i="15" s="1"/>
  <c r="E94" i="35"/>
  <c r="G94" i="35" s="1"/>
  <c r="C94" i="36" s="1"/>
  <c r="E94" i="36" s="1"/>
  <c r="G94" i="36" s="1"/>
  <c r="C94" i="37" s="1"/>
  <c r="E94" i="37" s="1"/>
  <c r="G94" i="37" s="1"/>
  <c r="C94" i="15"/>
  <c r="E94" i="15" s="1"/>
  <c r="G94" i="15" s="1"/>
  <c r="E56" i="35"/>
  <c r="G56" i="35" s="1"/>
  <c r="C56" i="36" s="1"/>
  <c r="E56" i="36" s="1"/>
  <c r="G56" i="36" s="1"/>
  <c r="C56" i="37" s="1"/>
  <c r="E56" i="37" s="1"/>
  <c r="G56" i="37" s="1"/>
  <c r="C56" i="15"/>
  <c r="E56" i="15" s="1"/>
  <c r="G56" i="15" s="1"/>
  <c r="E182" i="35"/>
  <c r="G182" i="35" s="1"/>
  <c r="C182" i="36" s="1"/>
  <c r="E182" i="36" s="1"/>
  <c r="G182" i="36" s="1"/>
  <c r="C182" i="37" s="1"/>
  <c r="E182" i="37" s="1"/>
  <c r="G182" i="37" s="1"/>
  <c r="C182" i="15"/>
  <c r="E182" i="15" s="1"/>
  <c r="G182" i="15" s="1"/>
  <c r="E49" i="35"/>
  <c r="G49" i="35" s="1"/>
  <c r="C49" i="36" s="1"/>
  <c r="E49" i="36" s="1"/>
  <c r="G49" i="36" s="1"/>
  <c r="C49" i="37" s="1"/>
  <c r="E49" i="37" s="1"/>
  <c r="G49" i="37" s="1"/>
  <c r="C49" i="15"/>
  <c r="E49" i="15" s="1"/>
  <c r="G49" i="15" s="1"/>
  <c r="E117" i="35"/>
  <c r="G117" i="35" s="1"/>
  <c r="C117" i="36" s="1"/>
  <c r="E117" i="36" s="1"/>
  <c r="G117" i="36" s="1"/>
  <c r="C117" i="37" s="1"/>
  <c r="E117" i="37" s="1"/>
  <c r="G117" i="37" s="1"/>
  <c r="C117" i="15"/>
  <c r="E117" i="15" s="1"/>
  <c r="G117" i="15" s="1"/>
  <c r="E78" i="35"/>
  <c r="G78" i="35" s="1"/>
  <c r="C78" i="36" s="1"/>
  <c r="E78" i="36" s="1"/>
  <c r="G78" i="36" s="1"/>
  <c r="C78" i="37" s="1"/>
  <c r="E78" i="37" s="1"/>
  <c r="G78" i="37" s="1"/>
  <c r="C78" i="15"/>
  <c r="E78" i="15" s="1"/>
  <c r="G78" i="15" s="1"/>
  <c r="E41" i="35"/>
  <c r="G41" i="35" s="1"/>
  <c r="C41" i="36" s="1"/>
  <c r="E41" i="36" s="1"/>
  <c r="G41" i="36" s="1"/>
  <c r="C41" i="37" s="1"/>
  <c r="E41" i="37" s="1"/>
  <c r="G41" i="37" s="1"/>
  <c r="C41" i="15"/>
  <c r="E41" i="15" s="1"/>
  <c r="G41" i="15" s="1"/>
  <c r="E63" i="35"/>
  <c r="G63" i="35" s="1"/>
  <c r="C63" i="36" s="1"/>
  <c r="E63" i="36" s="1"/>
  <c r="G63" i="36" s="1"/>
  <c r="C63" i="37" s="1"/>
  <c r="E63" i="37" s="1"/>
  <c r="G63" i="37" s="1"/>
  <c r="C63" i="15"/>
  <c r="E63" i="15" s="1"/>
  <c r="G63" i="15" s="1"/>
  <c r="E111" i="35"/>
  <c r="G111" i="35" s="1"/>
  <c r="C111" i="36" s="1"/>
  <c r="E111" i="36" s="1"/>
  <c r="G111" i="36" s="1"/>
  <c r="C111" i="37" s="1"/>
  <c r="E111" i="37" s="1"/>
  <c r="G111" i="37" s="1"/>
  <c r="C111" i="15"/>
  <c r="E111" i="15" s="1"/>
  <c r="G111" i="15" s="1"/>
  <c r="E163" i="35"/>
  <c r="G163" i="35" s="1"/>
  <c r="C163" i="36" s="1"/>
  <c r="E163" i="36" s="1"/>
  <c r="G163" i="36" s="1"/>
  <c r="C163" i="37" s="1"/>
  <c r="E163" i="37" s="1"/>
  <c r="G163" i="37" s="1"/>
  <c r="C163" i="15"/>
  <c r="E163" i="15" s="1"/>
  <c r="G163" i="15" s="1"/>
  <c r="E80" i="35"/>
  <c r="G80" i="35" s="1"/>
  <c r="C80" i="36" s="1"/>
  <c r="E80" i="36" s="1"/>
  <c r="G80" i="36" s="1"/>
  <c r="C80" i="37" s="1"/>
  <c r="E80" i="37" s="1"/>
  <c r="G80" i="37" s="1"/>
  <c r="C80" i="15"/>
  <c r="E80" i="15" s="1"/>
  <c r="G80" i="15" s="1"/>
  <c r="E160" i="35"/>
  <c r="G160" i="35" s="1"/>
  <c r="C160" i="36" s="1"/>
  <c r="E160" i="36" s="1"/>
  <c r="G160" i="36" s="1"/>
  <c r="C160" i="37" s="1"/>
  <c r="E160" i="37" s="1"/>
  <c r="G160" i="37" s="1"/>
  <c r="C160" i="15"/>
  <c r="E160" i="15" s="1"/>
  <c r="G160" i="15" s="1"/>
  <c r="E184" i="35"/>
  <c r="G184" i="35" s="1"/>
  <c r="C184" i="36" s="1"/>
  <c r="E184" i="36" s="1"/>
  <c r="G184" i="36" s="1"/>
  <c r="C184" i="37" s="1"/>
  <c r="E184" i="37" s="1"/>
  <c r="G184" i="37" s="1"/>
  <c r="C184" i="15"/>
  <c r="E184" i="15" s="1"/>
  <c r="G184" i="15" s="1"/>
  <c r="E21" i="35"/>
  <c r="G21" i="35" s="1"/>
  <c r="C21" i="36" s="1"/>
  <c r="E21" i="36" s="1"/>
  <c r="G21" i="36" s="1"/>
  <c r="C21" i="37" s="1"/>
  <c r="E21" i="37" s="1"/>
  <c r="G21" i="37" s="1"/>
  <c r="C21" i="15"/>
  <c r="E21" i="15" s="1"/>
  <c r="G21" i="15" s="1"/>
  <c r="E81" i="35"/>
  <c r="G81" i="35" s="1"/>
  <c r="C81" i="36" s="1"/>
  <c r="E81" i="36" s="1"/>
  <c r="G81" i="36" s="1"/>
  <c r="C81" i="37" s="1"/>
  <c r="E81" i="37" s="1"/>
  <c r="G81" i="37" s="1"/>
  <c r="C81" i="15"/>
  <c r="E81" i="15" s="1"/>
  <c r="G81" i="15" s="1"/>
  <c r="E34" i="35"/>
  <c r="G34" i="35" s="1"/>
  <c r="C34" i="36" s="1"/>
  <c r="E34" i="36" s="1"/>
  <c r="G34" i="36" s="1"/>
  <c r="C34" i="37" s="1"/>
  <c r="E34" i="37" s="1"/>
  <c r="G34" i="37" s="1"/>
  <c r="C34" i="15"/>
  <c r="E34" i="15" s="1"/>
  <c r="G34" i="15" s="1"/>
  <c r="E121" i="35"/>
  <c r="G121" i="35" s="1"/>
  <c r="C121" i="36" s="1"/>
  <c r="E121" i="36" s="1"/>
  <c r="G121" i="36" s="1"/>
  <c r="C121" i="37" s="1"/>
  <c r="E121" i="37" s="1"/>
  <c r="G121" i="37" s="1"/>
  <c r="C121" i="15"/>
  <c r="E121" i="15" s="1"/>
  <c r="G121" i="15" s="1"/>
  <c r="E51" i="35"/>
  <c r="G51" i="35" s="1"/>
  <c r="C51" i="36" s="1"/>
  <c r="E51" i="36" s="1"/>
  <c r="G51" i="36" s="1"/>
  <c r="C51" i="37" s="1"/>
  <c r="E51" i="37" s="1"/>
  <c r="G51" i="37" s="1"/>
  <c r="C51" i="15"/>
  <c r="E51" i="15" s="1"/>
  <c r="G51" i="15" s="1"/>
  <c r="E157" i="35"/>
  <c r="G157" i="35" s="1"/>
  <c r="C157" i="36" s="1"/>
  <c r="E157" i="36" s="1"/>
  <c r="G157" i="36" s="1"/>
  <c r="C157" i="37" s="1"/>
  <c r="E157" i="37" s="1"/>
  <c r="G157" i="37" s="1"/>
  <c r="C157" i="15"/>
  <c r="E157" i="15" s="1"/>
  <c r="G157" i="15" s="1"/>
  <c r="E19" i="35"/>
  <c r="G19" i="35" s="1"/>
  <c r="C19" i="36" s="1"/>
  <c r="E19" i="36" s="1"/>
  <c r="G19" i="36" s="1"/>
  <c r="C19" i="37" s="1"/>
  <c r="E19" i="37" s="1"/>
  <c r="G19" i="37" s="1"/>
  <c r="C19" i="15"/>
  <c r="E19" i="15" s="1"/>
  <c r="G19" i="15" s="1"/>
  <c r="E26" i="35"/>
  <c r="G26" i="35" s="1"/>
  <c r="C26" i="36" s="1"/>
  <c r="E26" i="36" s="1"/>
  <c r="G26" i="36" s="1"/>
  <c r="C26" i="37" s="1"/>
  <c r="E26" i="37" s="1"/>
  <c r="G26" i="37" s="1"/>
  <c r="C26" i="15"/>
  <c r="E26" i="15" s="1"/>
  <c r="G26" i="15" s="1"/>
  <c r="E124" i="35"/>
  <c r="G124" i="35" s="1"/>
  <c r="C124" i="36" s="1"/>
  <c r="E124" i="36" s="1"/>
  <c r="G124" i="36" s="1"/>
  <c r="C124" i="37" s="1"/>
  <c r="E124" i="37" s="1"/>
  <c r="G124" i="37" s="1"/>
  <c r="C124" i="15"/>
  <c r="E124" i="15" s="1"/>
  <c r="G124" i="15" s="1"/>
  <c r="E183" i="35"/>
  <c r="G183" i="35" s="1"/>
  <c r="C183" i="36" s="1"/>
  <c r="E183" i="36" s="1"/>
  <c r="G183" i="36" s="1"/>
  <c r="C183" i="37" s="1"/>
  <c r="E183" i="37" s="1"/>
  <c r="G183" i="37" s="1"/>
  <c r="C183" i="15"/>
  <c r="E183" i="15" s="1"/>
  <c r="G183" i="15" s="1"/>
  <c r="E189" i="35"/>
  <c r="G189" i="35" s="1"/>
  <c r="C189" i="36" s="1"/>
  <c r="E189" i="36" s="1"/>
  <c r="G189" i="36" s="1"/>
  <c r="C189" i="37" s="1"/>
  <c r="E189" i="37" s="1"/>
  <c r="G189" i="37" s="1"/>
  <c r="C189" i="15"/>
  <c r="E189" i="15" s="1"/>
  <c r="G189" i="15" s="1"/>
  <c r="E75" i="35"/>
  <c r="G75" i="35" s="1"/>
  <c r="C75" i="36" s="1"/>
  <c r="E75" i="36" s="1"/>
  <c r="G75" i="36" s="1"/>
  <c r="C75" i="37" s="1"/>
  <c r="E75" i="37" s="1"/>
  <c r="G75" i="37" s="1"/>
  <c r="C75" i="15"/>
  <c r="E75" i="15" s="1"/>
  <c r="G75" i="15" s="1"/>
  <c r="E129" i="35"/>
  <c r="G129" i="35" s="1"/>
  <c r="C129" i="36" s="1"/>
  <c r="E129" i="36" s="1"/>
  <c r="G129" i="36" s="1"/>
  <c r="C129" i="37" s="1"/>
  <c r="E129" i="37" s="1"/>
  <c r="G129" i="37" s="1"/>
  <c r="C129" i="15"/>
  <c r="E129" i="15" s="1"/>
  <c r="G129" i="15" s="1"/>
  <c r="E153" i="35"/>
  <c r="G153" i="35" s="1"/>
  <c r="C153" i="36" s="1"/>
  <c r="E153" i="36" s="1"/>
  <c r="G153" i="36" s="1"/>
  <c r="C153" i="37" s="1"/>
  <c r="E153" i="37" s="1"/>
  <c r="G153" i="37" s="1"/>
  <c r="C153" i="15"/>
  <c r="E153" i="15" s="1"/>
  <c r="G153" i="15" s="1"/>
  <c r="E185" i="35"/>
  <c r="G185" i="35" s="1"/>
  <c r="C185" i="36" s="1"/>
  <c r="E185" i="36" s="1"/>
  <c r="G185" i="36" s="1"/>
  <c r="C185" i="37" s="1"/>
  <c r="E185" i="37" s="1"/>
  <c r="G185" i="37" s="1"/>
  <c r="C185" i="15"/>
  <c r="E185" i="15" s="1"/>
  <c r="G185" i="15" s="1"/>
  <c r="E86" i="35"/>
  <c r="G86" i="35" s="1"/>
  <c r="C86" i="36" s="1"/>
  <c r="E86" i="36" s="1"/>
  <c r="G86" i="36" s="1"/>
  <c r="C86" i="37" s="1"/>
  <c r="E86" i="37" s="1"/>
  <c r="G86" i="37" s="1"/>
  <c r="C86" i="15"/>
  <c r="E86" i="15" s="1"/>
  <c r="G86" i="15" s="1"/>
  <c r="E22" i="35"/>
  <c r="G22" i="35" s="1"/>
  <c r="C22" i="36" s="1"/>
  <c r="E22" i="36" s="1"/>
  <c r="G22" i="36" s="1"/>
  <c r="C22" i="37" s="1"/>
  <c r="E22" i="37" s="1"/>
  <c r="G22" i="37" s="1"/>
  <c r="C22" i="15"/>
  <c r="E22" i="15" s="1"/>
  <c r="G22" i="15" s="1"/>
  <c r="E120" i="35"/>
  <c r="G120" i="35" s="1"/>
  <c r="C120" i="36" s="1"/>
  <c r="E120" i="36" s="1"/>
  <c r="G120" i="36" s="1"/>
  <c r="C120" i="37" s="1"/>
  <c r="E120" i="37" s="1"/>
  <c r="G120" i="37" s="1"/>
  <c r="C120" i="15"/>
  <c r="E120" i="15" s="1"/>
  <c r="G120" i="15" s="1"/>
  <c r="E18" i="35"/>
  <c r="G18" i="35" s="1"/>
  <c r="C18" i="36" s="1"/>
  <c r="E18" i="36" s="1"/>
  <c r="G18" i="36" s="1"/>
  <c r="C18" i="37" s="1"/>
  <c r="E18" i="37" s="1"/>
  <c r="G18" i="37" s="1"/>
  <c r="C18" i="15"/>
  <c r="E18" i="15" s="1"/>
  <c r="G18" i="15" s="1"/>
  <c r="E165" i="35"/>
  <c r="G165" i="35" s="1"/>
  <c r="C165" i="36" s="1"/>
  <c r="E165" i="36" s="1"/>
  <c r="G165" i="36" s="1"/>
  <c r="C165" i="37" s="1"/>
  <c r="E165" i="37" s="1"/>
  <c r="G165" i="37" s="1"/>
  <c r="C165" i="15"/>
  <c r="E165" i="15" s="1"/>
  <c r="G165" i="15" s="1"/>
  <c r="E33" i="35"/>
  <c r="G33" i="35" s="1"/>
  <c r="C33" i="36" s="1"/>
  <c r="E33" i="36" s="1"/>
  <c r="G33" i="36" s="1"/>
  <c r="C33" i="37" s="1"/>
  <c r="E33" i="37" s="1"/>
  <c r="G33" i="37" s="1"/>
  <c r="C33" i="15"/>
  <c r="E33" i="15" s="1"/>
  <c r="G33" i="15" s="1"/>
  <c r="E68" i="35"/>
  <c r="G68" i="35" s="1"/>
  <c r="C68" i="36" s="1"/>
  <c r="E68" i="36" s="1"/>
  <c r="G68" i="36" s="1"/>
  <c r="C68" i="37" s="1"/>
  <c r="E68" i="37" s="1"/>
  <c r="G68" i="37" s="1"/>
  <c r="C68" i="15"/>
  <c r="E68" i="15" s="1"/>
  <c r="G68" i="15" s="1"/>
  <c r="E114" i="35"/>
  <c r="G114" i="35" s="1"/>
  <c r="C114" i="36" s="1"/>
  <c r="E114" i="36" s="1"/>
  <c r="G114" i="36" s="1"/>
  <c r="C114" i="37" s="1"/>
  <c r="E114" i="37" s="1"/>
  <c r="G114" i="37" s="1"/>
  <c r="C114" i="15"/>
  <c r="E114" i="15" s="1"/>
  <c r="G114" i="15" s="1"/>
  <c r="E54" i="35"/>
  <c r="G54" i="35" s="1"/>
  <c r="C54" i="36" s="1"/>
  <c r="E54" i="36" s="1"/>
  <c r="G54" i="36" s="1"/>
  <c r="C54" i="37" s="1"/>
  <c r="E54" i="37" s="1"/>
  <c r="G54" i="37" s="1"/>
  <c r="C54" i="15"/>
  <c r="E54" i="15" s="1"/>
  <c r="G54" i="15" s="1"/>
  <c r="E134" i="35"/>
  <c r="G134" i="35" s="1"/>
  <c r="C134" i="36" s="1"/>
  <c r="E134" i="36" s="1"/>
  <c r="G134" i="36" s="1"/>
  <c r="C134" i="37" s="1"/>
  <c r="E134" i="37" s="1"/>
  <c r="G134" i="37" s="1"/>
  <c r="C134" i="15"/>
  <c r="E134" i="15" s="1"/>
  <c r="G134" i="15" s="1"/>
  <c r="E46" i="35"/>
  <c r="G46" i="35" s="1"/>
  <c r="C46" i="36" s="1"/>
  <c r="E46" i="36" s="1"/>
  <c r="G46" i="36" s="1"/>
  <c r="C46" i="37" s="1"/>
  <c r="E46" i="37" s="1"/>
  <c r="G46" i="37" s="1"/>
  <c r="C46" i="15"/>
  <c r="E46" i="15" s="1"/>
  <c r="G46" i="15" s="1"/>
  <c r="E28" i="35"/>
  <c r="G28" i="35" s="1"/>
  <c r="C28" i="36" s="1"/>
  <c r="E28" i="36" s="1"/>
  <c r="G28" i="36" s="1"/>
  <c r="C28" i="37" s="1"/>
  <c r="E28" i="37" s="1"/>
  <c r="G28" i="37" s="1"/>
  <c r="C28" i="15"/>
  <c r="E28" i="15" s="1"/>
  <c r="G28" i="15" s="1"/>
  <c r="E44" i="35"/>
  <c r="G44" i="35" s="1"/>
  <c r="C44" i="36" s="1"/>
  <c r="E44" i="36" s="1"/>
  <c r="G44" i="36" s="1"/>
  <c r="C44" i="37" s="1"/>
  <c r="E44" i="37" s="1"/>
  <c r="G44" i="37" s="1"/>
  <c r="C44" i="15"/>
  <c r="E44" i="15" s="1"/>
  <c r="G44" i="15" s="1"/>
  <c r="E136" i="35"/>
  <c r="G136" i="35" s="1"/>
  <c r="C136" i="36" s="1"/>
  <c r="E136" i="36" s="1"/>
  <c r="G136" i="36" s="1"/>
  <c r="C136" i="37" s="1"/>
  <c r="E136" i="37" s="1"/>
  <c r="G136" i="37" s="1"/>
  <c r="C136" i="15"/>
  <c r="E136" i="15" s="1"/>
  <c r="G136" i="15" s="1"/>
  <c r="E50" i="35"/>
  <c r="G50" i="35" s="1"/>
  <c r="C50" i="36" s="1"/>
  <c r="E50" i="36" s="1"/>
  <c r="G50" i="36" s="1"/>
  <c r="C50" i="37" s="1"/>
  <c r="E50" i="37" s="1"/>
  <c r="G50" i="37" s="1"/>
  <c r="C50" i="15"/>
  <c r="E50" i="15" s="1"/>
  <c r="G50" i="15" s="1"/>
  <c r="E195" i="35"/>
  <c r="G195" i="35" s="1"/>
  <c r="C195" i="36" s="1"/>
  <c r="E195" i="36" s="1"/>
  <c r="G195" i="36" s="1"/>
  <c r="C195" i="37" s="1"/>
  <c r="E195" i="37" s="1"/>
  <c r="G195" i="37" s="1"/>
  <c r="C195" i="15"/>
  <c r="E195" i="15" s="1"/>
  <c r="G195" i="15" s="1"/>
  <c r="E197" i="35"/>
  <c r="G197" i="35" s="1"/>
  <c r="C197" i="36" s="1"/>
  <c r="E197" i="36" s="1"/>
  <c r="G197" i="36" s="1"/>
  <c r="C197" i="37" s="1"/>
  <c r="E197" i="37" s="1"/>
  <c r="G197" i="37" s="1"/>
  <c r="C197" i="15"/>
  <c r="E197" i="15" s="1"/>
  <c r="G197" i="15" s="1"/>
  <c r="E105" i="35"/>
  <c r="G105" i="35" s="1"/>
  <c r="C105" i="36" s="1"/>
  <c r="E105" i="36" s="1"/>
  <c r="G105" i="36" s="1"/>
  <c r="C105" i="37" s="1"/>
  <c r="E105" i="37" s="1"/>
  <c r="G105" i="37" s="1"/>
  <c r="C105" i="15"/>
  <c r="E105" i="15" s="1"/>
  <c r="G105" i="15" s="1"/>
  <c r="E190" i="35"/>
  <c r="G190" i="35" s="1"/>
  <c r="C190" i="36" s="1"/>
  <c r="E190" i="36" s="1"/>
  <c r="G190" i="36" s="1"/>
  <c r="C190" i="37" s="1"/>
  <c r="E190" i="37" s="1"/>
  <c r="G190" i="37" s="1"/>
  <c r="C190" i="15"/>
  <c r="E190" i="15" s="1"/>
  <c r="G190" i="15" s="1"/>
  <c r="E143" i="35"/>
  <c r="G143" i="35" s="1"/>
  <c r="C143" i="36" s="1"/>
  <c r="E143" i="36" s="1"/>
  <c r="G143" i="36" s="1"/>
  <c r="C143" i="37" s="1"/>
  <c r="E143" i="37" s="1"/>
  <c r="G143" i="37" s="1"/>
  <c r="C143" i="15"/>
  <c r="E143" i="15" s="1"/>
  <c r="G143" i="15" s="1"/>
  <c r="E170" i="35"/>
  <c r="G170" i="35" s="1"/>
  <c r="C170" i="36" s="1"/>
  <c r="E170" i="36" s="1"/>
  <c r="G170" i="36" s="1"/>
  <c r="C170" i="37" s="1"/>
  <c r="E170" i="37" s="1"/>
  <c r="G170" i="37" s="1"/>
  <c r="C170" i="15"/>
  <c r="E170" i="15" s="1"/>
  <c r="G170" i="15" s="1"/>
  <c r="E128" i="35"/>
  <c r="G128" i="35" s="1"/>
  <c r="C128" i="36" s="1"/>
  <c r="E128" i="36" s="1"/>
  <c r="G128" i="36" s="1"/>
  <c r="C128" i="37" s="1"/>
  <c r="E128" i="37" s="1"/>
  <c r="G128" i="37" s="1"/>
  <c r="C128" i="15"/>
  <c r="E128" i="15" s="1"/>
  <c r="G128" i="15" s="1"/>
  <c r="E70" i="35"/>
  <c r="G70" i="35" s="1"/>
  <c r="C70" i="36" s="1"/>
  <c r="E70" i="36" s="1"/>
  <c r="G70" i="36" s="1"/>
  <c r="C70" i="37" s="1"/>
  <c r="E70" i="37" s="1"/>
  <c r="G70" i="37" s="1"/>
  <c r="C70" i="15"/>
  <c r="E70" i="15" s="1"/>
  <c r="G70" i="15" s="1"/>
  <c r="E130" i="35"/>
  <c r="G130" i="35" s="1"/>
  <c r="C130" i="36" s="1"/>
  <c r="E130" i="36" s="1"/>
  <c r="G130" i="36" s="1"/>
  <c r="C130" i="37" s="1"/>
  <c r="E130" i="37" s="1"/>
  <c r="G130" i="37" s="1"/>
  <c r="C130" i="15"/>
  <c r="E130" i="15" s="1"/>
  <c r="G130" i="15" s="1"/>
  <c r="E91" i="35"/>
  <c r="G91" i="35" s="1"/>
  <c r="C91" i="36" s="1"/>
  <c r="E91" i="36" s="1"/>
  <c r="G91" i="36" s="1"/>
  <c r="C91" i="37" s="1"/>
  <c r="E91" i="37" s="1"/>
  <c r="G91" i="37" s="1"/>
  <c r="C91" i="15"/>
  <c r="E91" i="15" s="1"/>
  <c r="G91" i="15" s="1"/>
  <c r="E196" i="35"/>
  <c r="G196" i="35" s="1"/>
  <c r="C196" i="36" s="1"/>
  <c r="E196" i="36" s="1"/>
  <c r="G196" i="36" s="1"/>
  <c r="C196" i="37" s="1"/>
  <c r="E196" i="37" s="1"/>
  <c r="G196" i="37" s="1"/>
  <c r="C196" i="15"/>
  <c r="E196" i="15" s="1"/>
  <c r="G196" i="15" s="1"/>
  <c r="E145" i="35"/>
  <c r="G145" i="35" s="1"/>
  <c r="C145" i="36" s="1"/>
  <c r="E145" i="36" s="1"/>
  <c r="G145" i="36" s="1"/>
  <c r="C145" i="37" s="1"/>
  <c r="E145" i="37" s="1"/>
  <c r="G145" i="37" s="1"/>
  <c r="C145" i="15"/>
  <c r="E145" i="15" s="1"/>
  <c r="G145" i="15" s="1"/>
  <c r="E174" i="35"/>
  <c r="G174" i="35" s="1"/>
  <c r="C174" i="36" s="1"/>
  <c r="E174" i="36" s="1"/>
  <c r="G174" i="36" s="1"/>
  <c r="C174" i="37" s="1"/>
  <c r="E174" i="37" s="1"/>
  <c r="G174" i="37" s="1"/>
  <c r="C174" i="15"/>
  <c r="E174" i="15" s="1"/>
  <c r="G174" i="15" s="1"/>
  <c r="E98" i="35"/>
  <c r="G98" i="35" s="1"/>
  <c r="C98" i="36" s="1"/>
  <c r="E98" i="36" s="1"/>
  <c r="G98" i="36" s="1"/>
  <c r="C98" i="37" s="1"/>
  <c r="E98" i="37" s="1"/>
  <c r="G98" i="37" s="1"/>
  <c r="C98" i="15"/>
  <c r="E98" i="15" s="1"/>
  <c r="G98" i="15" s="1"/>
  <c r="E32" i="35"/>
  <c r="G32" i="35" s="1"/>
  <c r="C32" i="36" s="1"/>
  <c r="E32" i="36" s="1"/>
  <c r="G32" i="36" s="1"/>
  <c r="C32" i="37" s="1"/>
  <c r="E32" i="37" s="1"/>
  <c r="G32" i="37" s="1"/>
  <c r="C32" i="15"/>
  <c r="E32" i="15" s="1"/>
  <c r="G32" i="15" s="1"/>
  <c r="E67" i="35"/>
  <c r="G67" i="35" s="1"/>
  <c r="C67" i="36" s="1"/>
  <c r="E67" i="36" s="1"/>
  <c r="G67" i="36" s="1"/>
  <c r="C67" i="37" s="1"/>
  <c r="E67" i="37" s="1"/>
  <c r="G67" i="37" s="1"/>
  <c r="C67" i="15"/>
  <c r="E67" i="15" s="1"/>
  <c r="G67" i="15" s="1"/>
  <c r="E65" i="35"/>
  <c r="G65" i="35" s="1"/>
  <c r="C65" i="36" s="1"/>
  <c r="E65" i="36" s="1"/>
  <c r="G65" i="36" s="1"/>
  <c r="C65" i="37" s="1"/>
  <c r="E65" i="37" s="1"/>
  <c r="G65" i="37" s="1"/>
  <c r="C65" i="15"/>
  <c r="E65" i="15" s="1"/>
  <c r="G65" i="15" s="1"/>
  <c r="E61" i="35"/>
  <c r="G61" i="35" s="1"/>
  <c r="C61" i="36" s="1"/>
  <c r="E61" i="36" s="1"/>
  <c r="G61" i="36" s="1"/>
  <c r="C61" i="37" s="1"/>
  <c r="E61" i="37" s="1"/>
  <c r="G61" i="37" s="1"/>
  <c r="C61" i="15"/>
  <c r="E61" i="15" s="1"/>
  <c r="G61" i="15" s="1"/>
  <c r="E198" i="35"/>
  <c r="G198" i="35" s="1"/>
  <c r="C198" i="36" s="1"/>
  <c r="E198" i="36" s="1"/>
  <c r="G198" i="36" s="1"/>
  <c r="C198" i="37" s="1"/>
  <c r="E198" i="37" s="1"/>
  <c r="G198" i="37" s="1"/>
  <c r="C198" i="15"/>
  <c r="E198" i="15" s="1"/>
  <c r="G198" i="15" s="1"/>
  <c r="E66" i="35"/>
  <c r="G66" i="35" s="1"/>
  <c r="C66" i="36" s="1"/>
  <c r="E66" i="36" s="1"/>
  <c r="G66" i="36" s="1"/>
  <c r="C66" i="37" s="1"/>
  <c r="E66" i="37" s="1"/>
  <c r="G66" i="37" s="1"/>
  <c r="C66" i="15"/>
  <c r="E66" i="15" s="1"/>
  <c r="G66" i="15" s="1"/>
  <c r="E203" i="35"/>
  <c r="G203" i="35" s="1"/>
  <c r="C203" i="36" s="1"/>
  <c r="E203" i="36" s="1"/>
  <c r="G203" i="36" s="1"/>
  <c r="C203" i="37" s="1"/>
  <c r="E203" i="37" s="1"/>
  <c r="G203" i="37" s="1"/>
  <c r="C203" i="15"/>
  <c r="E203" i="15" s="1"/>
  <c r="G203" i="15" s="1"/>
  <c r="E192" i="35"/>
  <c r="G192" i="35" s="1"/>
  <c r="C192" i="36" s="1"/>
  <c r="E192" i="36" s="1"/>
  <c r="G192" i="36" s="1"/>
  <c r="C192" i="37" s="1"/>
  <c r="E192" i="37" s="1"/>
  <c r="G192" i="37" s="1"/>
  <c r="C192" i="15"/>
  <c r="E192" i="15" s="1"/>
  <c r="G192" i="15" s="1"/>
  <c r="E42" i="35"/>
  <c r="G42" i="35" s="1"/>
  <c r="C42" i="36" s="1"/>
  <c r="E42" i="36" s="1"/>
  <c r="G42" i="36" s="1"/>
  <c r="C42" i="37" s="1"/>
  <c r="E42" i="37" s="1"/>
  <c r="G42" i="37" s="1"/>
  <c r="C42" i="15"/>
  <c r="E42" i="15" s="1"/>
  <c r="G42" i="15" s="1"/>
  <c r="E126" i="35"/>
  <c r="G126" i="35" s="1"/>
  <c r="C126" i="36" s="1"/>
  <c r="E126" i="36" s="1"/>
  <c r="G126" i="36" s="1"/>
  <c r="C126" i="37" s="1"/>
  <c r="E126" i="37" s="1"/>
  <c r="G126" i="37" s="1"/>
  <c r="C126" i="15"/>
  <c r="E126" i="15" s="1"/>
  <c r="G126" i="15" s="1"/>
  <c r="E84" i="35"/>
  <c r="G84" i="35" s="1"/>
  <c r="C84" i="36" s="1"/>
  <c r="E84" i="36" s="1"/>
  <c r="G84" i="36" s="1"/>
  <c r="C84" i="37" s="1"/>
  <c r="E84" i="37" s="1"/>
  <c r="G84" i="37" s="1"/>
  <c r="C84" i="15"/>
  <c r="E84" i="15" s="1"/>
  <c r="G84" i="15" s="1"/>
  <c r="E171" i="35"/>
  <c r="G171" i="35" s="1"/>
  <c r="C171" i="36" s="1"/>
  <c r="E171" i="36" s="1"/>
  <c r="G171" i="36" s="1"/>
  <c r="C171" i="37" s="1"/>
  <c r="E171" i="37" s="1"/>
  <c r="G171" i="37" s="1"/>
  <c r="C171" i="15"/>
  <c r="E171" i="15" s="1"/>
  <c r="G171" i="15" s="1"/>
  <c r="E8" i="35"/>
  <c r="G8" i="35" s="1"/>
  <c r="C8" i="36" s="1"/>
  <c r="E8" i="36" s="1"/>
  <c r="G8" i="36" s="1"/>
  <c r="C8" i="37" s="1"/>
  <c r="E8" i="37" s="1"/>
  <c r="G8" i="37" s="1"/>
  <c r="C8" i="15"/>
  <c r="E8" i="15" s="1"/>
  <c r="G8" i="15" s="1"/>
  <c r="E96" i="35"/>
  <c r="G96" i="35" s="1"/>
  <c r="C96" i="36" s="1"/>
  <c r="E96" i="36" s="1"/>
  <c r="G96" i="36" s="1"/>
  <c r="C96" i="37" s="1"/>
  <c r="E96" i="37" s="1"/>
  <c r="G96" i="37" s="1"/>
  <c r="C96" i="15"/>
  <c r="E96" i="15" s="1"/>
  <c r="G96" i="15" s="1"/>
  <c r="E135" i="35"/>
  <c r="G135" i="35" s="1"/>
  <c r="C135" i="36" s="1"/>
  <c r="E135" i="36" s="1"/>
  <c r="G135" i="36" s="1"/>
  <c r="C135" i="37" s="1"/>
  <c r="E135" i="37" s="1"/>
  <c r="G135" i="37" s="1"/>
  <c r="C135" i="15"/>
  <c r="E135" i="15" s="1"/>
  <c r="G135" i="15" s="1"/>
  <c r="E38" i="35"/>
  <c r="G38" i="35" s="1"/>
  <c r="C38" i="36" s="1"/>
  <c r="E38" i="36" s="1"/>
  <c r="G38" i="36" s="1"/>
  <c r="C38" i="37" s="1"/>
  <c r="E38" i="37" s="1"/>
  <c r="G38" i="37" s="1"/>
  <c r="C38" i="15"/>
  <c r="E38" i="15" s="1"/>
  <c r="G38" i="15" s="1"/>
  <c r="E77" i="35"/>
  <c r="G77" i="35" s="1"/>
  <c r="C77" i="36" s="1"/>
  <c r="E77" i="36" s="1"/>
  <c r="G77" i="36" s="1"/>
  <c r="C77" i="37" s="1"/>
  <c r="E77" i="37" s="1"/>
  <c r="G77" i="37" s="1"/>
  <c r="C77" i="15"/>
  <c r="E77" i="15" s="1"/>
  <c r="G77" i="15" s="1"/>
  <c r="E36" i="35"/>
  <c r="G36" i="35" s="1"/>
  <c r="C36" i="36" s="1"/>
  <c r="E36" i="36" s="1"/>
  <c r="G36" i="36" s="1"/>
  <c r="C36" i="37" s="1"/>
  <c r="E36" i="37" s="1"/>
  <c r="G36" i="37" s="1"/>
  <c r="C36" i="15"/>
  <c r="E36" i="15" s="1"/>
  <c r="G36" i="15" s="1"/>
  <c r="E48" i="35"/>
  <c r="G48" i="35" s="1"/>
  <c r="C48" i="36" s="1"/>
  <c r="E48" i="36" s="1"/>
  <c r="G48" i="36" s="1"/>
  <c r="C48" i="37" s="1"/>
  <c r="E48" i="37" s="1"/>
  <c r="G48" i="37" s="1"/>
  <c r="C48" i="15"/>
  <c r="E48" i="15" s="1"/>
  <c r="G48" i="15" s="1"/>
  <c r="E113" i="35"/>
  <c r="G113" i="35" s="1"/>
  <c r="C113" i="36" s="1"/>
  <c r="E113" i="36" s="1"/>
  <c r="G113" i="36" s="1"/>
  <c r="C113" i="37" s="1"/>
  <c r="E113" i="37" s="1"/>
  <c r="G113" i="37" s="1"/>
  <c r="C113" i="15"/>
  <c r="E113" i="15" s="1"/>
  <c r="G113" i="15" s="1"/>
  <c r="E62" i="35"/>
  <c r="G62" i="35" s="1"/>
  <c r="C62" i="36" s="1"/>
  <c r="E62" i="36" s="1"/>
  <c r="G62" i="36" s="1"/>
  <c r="C62" i="37" s="1"/>
  <c r="E62" i="37" s="1"/>
  <c r="G62" i="37" s="1"/>
  <c r="C62" i="15"/>
  <c r="E62" i="15" s="1"/>
  <c r="G62" i="15" s="1"/>
  <c r="E147" i="35"/>
  <c r="G147" i="35" s="1"/>
  <c r="C147" i="36" s="1"/>
  <c r="E147" i="36" s="1"/>
  <c r="G147" i="36" s="1"/>
  <c r="C147" i="37" s="1"/>
  <c r="E147" i="37" s="1"/>
  <c r="G147" i="37" s="1"/>
  <c r="C147" i="15"/>
  <c r="E147" i="15" s="1"/>
  <c r="G147" i="15" s="1"/>
  <c r="C10" i="38" l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33" i="38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17" i="38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51" i="38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27" i="38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150" i="38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86" i="38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44" i="38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29" i="38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59" i="38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36" i="38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48" i="38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84" i="38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124" i="38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74" i="38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172" i="38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10" i="38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21" i="38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109" i="38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9" i="38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78" i="38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97" i="38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194" i="38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12" i="38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77" i="38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24" i="38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6" i="38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79" i="38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42" i="38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72" i="38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203" i="38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12" i="38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07" i="38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78" i="38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91" i="38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45" i="38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70" i="38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46" i="38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165" i="38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21" i="38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56" i="38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5" i="38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200" i="38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169" i="38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43" i="38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5" i="38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201" i="38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133" i="38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54" i="38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30" i="38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83" i="38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69" i="38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96" i="38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197" i="38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68" i="38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86" i="38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183" i="38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9" i="38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63" i="38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161" i="38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77" i="38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95" i="38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53" i="38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149" i="38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75" i="38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31" i="38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93" i="38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76" i="38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47" i="38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93" i="38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7" i="38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31" i="38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101" i="38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88" i="38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204" i="38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7" i="38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32" i="38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100" i="38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99" i="38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180" i="38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13" i="38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65" i="38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70" i="38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143" i="38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34" i="38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8" i="38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34" i="38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80" i="38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117" i="38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94" i="38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179" i="38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58" i="38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108" i="38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58" i="38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48" i="38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87" i="38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166" i="38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25" i="38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61" i="38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26" i="38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167" i="38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2" i="38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66" i="38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196" i="38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5" i="38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85" i="38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75" i="38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157" i="38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84" i="38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41" i="38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88" i="38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118" i="38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64" i="38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115" i="38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6" i="38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03" i="38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208" i="38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156" i="38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40" i="38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82" i="38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119" i="38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202" i="38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90" i="38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57" i="38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60" i="38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141" i="38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206" i="38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135" i="38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5" i="38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40" i="38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37" i="38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85" i="38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" i="38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98" i="38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67" i="38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190" i="38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44" i="38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54" i="38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49" i="38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123" i="38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73" i="38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73" i="38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176" i="38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59" i="38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122" i="38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06" i="38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27" i="38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55" i="38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62" i="38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22" i="38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142" i="38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35" i="38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147" i="38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71" i="38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92" i="38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28" i="38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50" i="38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120" i="38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53" i="38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89" i="38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81" i="38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163" i="38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20" i="38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71" i="38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187" i="38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46" i="38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68" i="38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25" i="38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39" i="38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139" i="38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" i="38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23" i="38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92" i="38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89" i="38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11" i="38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30" i="38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132" i="38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205" i="38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36" i="38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105" i="38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11" i="38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29" i="38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138" i="38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38" i="38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126" i="38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98" i="38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91" i="38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174" i="38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28" i="38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114" i="38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51" i="38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160" i="38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82" i="38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37" i="38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02" i="38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4" i="38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4" i="38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52" i="38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164" i="38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16" i="38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81" i="38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81" authorId="0" shapeId="0" xr:uid="{E861892A-1096-4177-A087-2ABE6F86F95A}">
      <text>
        <r>
          <rPr>
            <b/>
            <sz val="9"/>
            <color indexed="81"/>
            <rFont val="Tahoma"/>
            <family val="2"/>
          </rPr>
          <t xml:space="preserve">สุ่มชิม </t>
        </r>
      </text>
    </comment>
    <comment ref="F199" authorId="0" shapeId="0" xr:uid="{E55F9C2A-038A-440C-AC13-A7BE3165D026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7" authorId="0" shapeId="0" xr:uid="{D710100C-892A-4242-98CB-46B1AC440149}">
      <text>
        <r>
          <rPr>
            <b/>
            <sz val="9"/>
            <color indexed="81"/>
            <rFont val="Tahoma"/>
            <charset val="222"/>
          </rPr>
          <t>เบิกถ่ายรูป</t>
        </r>
      </text>
    </comment>
    <comment ref="F150" authorId="0" shapeId="0" xr:uid="{47B9DABB-432A-47D6-8664-B745EDCD85D1}">
      <text>
        <r>
          <rPr>
            <b/>
            <sz val="9"/>
            <color indexed="81"/>
            <rFont val="Tahoma"/>
            <charset val="222"/>
          </rPr>
          <t>เบิกถ่ายรูป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314F72A9-80EA-44A8-A060-0B24185B9E33}">
      <text>
        <r>
          <rPr>
            <b/>
            <sz val="9"/>
            <color indexed="81"/>
            <rFont val="Tahoma"/>
            <charset val="222"/>
          </rPr>
          <t>โยกไปคุณาวรรณ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9" authorId="0" shapeId="0" xr:uid="{0603AC28-668C-4E23-8A67-E07580D91E67}">
      <text>
        <r>
          <rPr>
            <b/>
            <sz val="9"/>
            <color indexed="81"/>
            <rFont val="Tahoma"/>
            <charset val="222"/>
          </rPr>
          <t>สุ่มชิม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A4F46AD9-1356-4EFA-A03D-3AA9F377599A}">
      <text>
        <r>
          <rPr>
            <b/>
            <sz val="9"/>
            <color indexed="81"/>
            <rFont val="Tahoma"/>
            <charset val="222"/>
          </rPr>
          <t>ออนไลน์เบิกถ่ายคลิป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17" authorId="0" shapeId="0" xr:uid="{6F0825D8-D993-4DDB-B424-7B527D50F640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sharedStrings.xml><?xml version="1.0" encoding="utf-8"?>
<sst xmlns="http://schemas.openxmlformats.org/spreadsheetml/2006/main" count="18616" uniqueCount="355">
  <si>
    <t>บูธ หน้ามอ วันที่ 1-30/11/2566</t>
  </si>
  <si>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</si>
  <si>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</si>
  <si>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</si>
  <si>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</si>
  <si>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</si>
  <si>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</si>
  <si>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</si>
  <si>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</si>
  <si>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</si>
  <si>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</si>
  <si>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</si>
  <si>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</si>
  <si>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</si>
  <si>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</si>
  <si>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</si>
  <si>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</si>
  <si>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</si>
  <si>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</si>
  <si>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</si>
  <si>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</si>
  <si>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</si>
  <si>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</si>
  <si>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</si>
  <si>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</si>
  <si>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</si>
  <si>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</si>
  <si>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</si>
  <si>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</si>
  <si>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</si>
  <si>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</si>
  <si>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</si>
  <si>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</si>
  <si>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</si>
  <si>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</si>
  <si>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</si>
  <si>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</si>
  <si>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</si>
  <si>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</si>
  <si>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</si>
  <si>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</si>
  <si>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</si>
  <si>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</si>
  <si>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</si>
  <si>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</si>
  <si>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</si>
  <si>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</si>
  <si>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</si>
  <si>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</si>
  <si>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</si>
  <si>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</si>
  <si>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</si>
  <si>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</si>
  <si>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</si>
  <si>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</si>
  <si>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</si>
  <si>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</si>
  <si>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</si>
  <si>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</si>
  <si>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</si>
  <si>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</si>
  <si>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</si>
  <si>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</si>
  <si>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</si>
  <si>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</si>
  <si>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</si>
  <si>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</si>
  <si>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</si>
  <si>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</si>
  <si>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</si>
  <si>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</si>
  <si>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</si>
  <si>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</si>
  <si>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</si>
  <si>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</si>
  <si>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</si>
  <si>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</si>
  <si>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</si>
  <si>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</si>
  <si>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</si>
  <si>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</si>
  <si>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</si>
  <si>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</si>
  <si>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</si>
  <si>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</si>
  <si>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</si>
  <si>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</si>
  <si>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</si>
  <si>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</si>
  <si>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</si>
  <si>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</si>
  <si>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</si>
  <si>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</si>
  <si>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</si>
  <si>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</si>
  <si>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</si>
  <si>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</si>
  <si>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</si>
  <si>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</si>
  <si>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</si>
  <si>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</si>
  <si>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</si>
  <si>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</si>
  <si>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</si>
  <si>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</si>
  <si>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</si>
  <si>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</si>
  <si>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</si>
  <si>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</si>
  <si>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</si>
  <si>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</si>
  <si>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</si>
  <si>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</si>
  <si>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</si>
  <si>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</si>
  <si>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</si>
  <si>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</si>
  <si>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</si>
  <si>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</si>
  <si>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</si>
  <si>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</si>
  <si>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</si>
  <si>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</si>
  <si>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</si>
  <si>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</si>
  <si>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</si>
  <si>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</si>
  <si>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</si>
  <si>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</si>
  <si>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</si>
  <si>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</si>
  <si>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</si>
  <si>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</si>
  <si>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</si>
  <si>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</si>
  <si>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</si>
  <si>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</si>
  <si>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</si>
  <si>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</si>
  <si>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</si>
  <si>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</si>
  <si>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</si>
  <si>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</si>
  <si>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</si>
  <si>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</si>
  <si>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</si>
  <si>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</si>
  <si>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</si>
  <si>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</si>
  <si>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</si>
  <si>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</si>
  <si>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</si>
  <si>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</si>
  <si>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</si>
  <si>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</si>
  <si>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</si>
  <si>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</si>
  <si>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</si>
  <si>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</si>
  <si>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</si>
  <si>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</si>
  <si>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</si>
  <si>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</si>
  <si>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</si>
  <si>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</si>
  <si>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</si>
  <si>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</si>
  <si>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</si>
  <si>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</si>
  <si>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</si>
  <si>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</si>
  <si>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</si>
  <si>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</si>
  <si>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</si>
  <si>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</si>
  <si>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</si>
  <si>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</si>
  <si>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</si>
  <si>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</si>
  <si>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</si>
  <si>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</si>
  <si>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</si>
  <si>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</si>
  <si>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</si>
  <si>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</si>
  <si>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</si>
  <si>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</si>
  <si>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</si>
  <si>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</si>
  <si>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</si>
  <si>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</si>
  <si>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</si>
  <si>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</si>
  <si>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</si>
  <si>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</si>
  <si>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</si>
  <si>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</si>
  <si>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</si>
  <si>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</si>
  <si>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</si>
  <si>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</si>
  <si>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</si>
  <si>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</si>
  <si>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</si>
  <si>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</si>
  <si>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</si>
  <si>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</si>
  <si>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</si>
  <si>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</si>
  <si>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</si>
  <si>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</si>
  <si>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</si>
  <si>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</si>
  <si>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</si>
  <si>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</si>
  <si>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</si>
  <si>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</si>
  <si>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</si>
  <si>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</si>
  <si>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</si>
  <si>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</si>
  <si>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</si>
  <si>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</si>
  <si>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</si>
  <si>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</si>
  <si>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</si>
  <si>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</si>
  <si>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</si>
  <si>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</si>
  <si>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</si>
  <si>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</si>
  <si>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</si>
  <si>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</si>
  <si>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</si>
  <si>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</si>
  <si>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</si>
  <si>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</si>
  <si>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</si>
  <si>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</si>
  <si>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</si>
  <si>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</si>
  <si>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</si>
  <si>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</si>
  <si>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</si>
  <si>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</si>
  <si>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</si>
  <si>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</si>
  <si>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</si>
  <si>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</si>
  <si>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</si>
  <si>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</si>
  <si>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</si>
  <si>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</si>
  <si>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</si>
  <si>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</si>
  <si>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</si>
  <si>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</si>
  <si>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</si>
  <si>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</si>
  <si>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</si>
  <si>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</si>
  <si>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</si>
  <si>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</si>
  <si>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</si>
  <si>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</si>
  <si>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</si>
  <si>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</si>
  <si>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</si>
  <si>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>เค้กมะพร้าว 1/2 ปอนด์</t>
  </si>
  <si>
    <t>เค้กมะพร้าว 1 ปอนด์</t>
  </si>
  <si>
    <t>หมดอายุ</t>
  </si>
  <si>
    <t>ลด 50%</t>
  </si>
  <si>
    <t>โบราณ 4 ชิ้น กล่องแดง (แผ่น)</t>
  </si>
  <si>
    <t>เปี๊ยะถั่ว 6 ลูก ใบเตย</t>
  </si>
  <si>
    <t>วุ้นลูกส้ม</t>
  </si>
  <si>
    <t>แกรป1</t>
  </si>
  <si>
    <t>ยอดขายหักส่วนลด</t>
  </si>
  <si>
    <t>ยอดเงินสด</t>
  </si>
  <si>
    <t>ยอดโอน</t>
  </si>
  <si>
    <t>โอนมาจาก ปตท.คุณาวรรณ</t>
  </si>
  <si>
    <t>ลด 50%=2</t>
  </si>
  <si>
    <t>โปร</t>
  </si>
  <si>
    <t>เบิกผสมน้ำชงกาแฟขาย</t>
  </si>
  <si>
    <t>มีเก็บสด + เพิ่ม 1,250 = 7,620 บาท</t>
  </si>
  <si>
    <t>มีเก็บสด + เพิ่ม 800 = 3,335 บาท (ค่าขนมออนไลน์)</t>
  </si>
  <si>
    <t>มีเก็บสด + เพิ่ม 100 = 2,685 บาท</t>
  </si>
  <si>
    <t xml:space="preserve">ยอดเก็บสดทั้งหมด </t>
  </si>
  <si>
    <t>เบิกชิม 1</t>
  </si>
  <si>
    <t>สรุป บูธ หน้ามอ วันที่ 1-31/01/2567</t>
  </si>
  <si>
    <t>ไลน์แมน 1</t>
  </si>
  <si>
    <t>แถม 1</t>
  </si>
  <si>
    <t>โปรคู่</t>
  </si>
  <si>
    <t>เพื่อนเจ๊ 1</t>
  </si>
  <si>
    <t>แกรป 1</t>
  </si>
  <si>
    <t>ใกล้หมดอายุ</t>
  </si>
  <si>
    <t>ค่าขยะ 30 , ค่าน้ำ 180 , ค่าวุ้น 60</t>
  </si>
  <si>
    <t>ไลน์แมน</t>
  </si>
  <si>
    <t>ไลน์แมน 1/โปรคู่ 1</t>
  </si>
  <si>
    <t>ไลน์แมน 2</t>
  </si>
  <si>
    <t>ไลน์แมน 4 / ลด 50% 1</t>
  </si>
  <si>
    <t>ลด 50% 1</t>
  </si>
  <si>
    <t>แอมเบิก</t>
  </si>
  <si>
    <t>ค่าน้ำ 10</t>
  </si>
  <si>
    <t>น้ำแข็ง 50</t>
  </si>
  <si>
    <t>ไลน์แมน2 / พี่อ้วนเพื่อนเจ๊ 1</t>
  </si>
  <si>
    <t>พี่อ้วนเพื่อนเจ๊ 1</t>
  </si>
  <si>
    <t>แถม 1 / ลด 50%=2</t>
  </si>
  <si>
    <t>แถม 2</t>
  </si>
  <si>
    <t>โอนไปวัดเขาทำเทียม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</si>
  <si>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</si>
  <si>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</si>
  <si>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</si>
  <si>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</si>
  <si>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แถม</t>
  </si>
  <si>
    <t>พี่อ้วนเพื่อนเจ๊ 4</t>
  </si>
  <si>
    <t>ไลน์แมน6</t>
  </si>
  <si>
    <t>โปรคู่2</t>
  </si>
  <si>
    <t>ไลน์แมน1</t>
  </si>
  <si>
    <t>ขายเบาหวิว (ล) ฝอยทอง เป็น (ญ) ราคาลด 50% = 2 กล่อง</t>
  </si>
  <si>
    <t>ลด 20%</t>
  </si>
  <si>
    <t>ลด 5%</t>
  </si>
  <si>
    <t>นศ ลด 5%=1</t>
  </si>
  <si>
    <t>นศ ลด 10%=1</t>
  </si>
  <si>
    <t>นศ ลด 10%=2 / โปร</t>
  </si>
  <si>
    <t>นศ ลด 10%</t>
  </si>
  <si>
    <t>ไลน์แมน9</t>
  </si>
  <si>
    <t>ไลน์แมน11</t>
  </si>
  <si>
    <t>นศ ลด 5%=1 / ไลน์แมน1</t>
  </si>
  <si>
    <t>หน่องออดิท</t>
  </si>
  <si>
    <t>พนง ลด 20%</t>
  </si>
  <si>
    <t>แถม1</t>
  </si>
  <si>
    <t>นศ ลด5%=1</t>
  </si>
  <si>
    <t>ลด50%</t>
  </si>
  <si>
    <t>ไลน์แมน=6</t>
  </si>
  <si>
    <t>นศ ลด10%</t>
  </si>
  <si>
    <t>ลด10%</t>
  </si>
  <si>
    <t>นศ ลด5%=3</t>
  </si>
  <si>
    <t>นศ ลด5%</t>
  </si>
  <si>
    <t>ไลน์แมน2</t>
  </si>
  <si>
    <t>พี่อ้วนเพื่อนเจ๊4</t>
  </si>
  <si>
    <t>ลด30%</t>
  </si>
  <si>
    <t>ลด 10%</t>
  </si>
  <si>
    <t>นศ ลด5%=2</t>
  </si>
  <si>
    <t>ลด20%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</si>
  <si>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</si>
  <si>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</si>
  <si>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</si>
  <si>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ค่าวุ้น 630</t>
  </si>
  <si>
    <t>ลด10%=1 / จัดซื้อ1</t>
  </si>
  <si>
    <t>พี่อ้วนเพื่อนเจ๊</t>
  </si>
  <si>
    <t>พี่อ้วนเพื่อนเจ๊3</t>
  </si>
  <si>
    <t>ค่าพัสดุของเจ๊ 106</t>
  </si>
  <si>
    <t>โปร2</t>
  </si>
  <si>
    <t>เรดเวลเว็ทวูปปี้พาย</t>
  </si>
  <si>
    <t>ค่าน้ำ 5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</si>
</sst>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64" fontId="12" fillId="0" borderId="16" xfId="1" applyNumberFormat="1" applyFont="1" applyBorder="1" applyAlignment="1"/>
    <xf numFmtId="164" fontId="12" fillId="0" borderId="1" xfId="1" applyNumberFormat="1" applyFont="1" applyBorder="1"/>
    <xf numFmtId="164" fontId="11" fillId="0" borderId="1" xfId="1" applyNumberFormat="1" applyFont="1" applyBorder="1"/>
    <xf numFmtId="0" fontId="12" fillId="0" borderId="0" xfId="0" applyFont="1"/>
    <xf numFmtId="164" fontId="12" fillId="0" borderId="0" xfId="1" applyNumberFormat="1" applyFont="1" applyBorder="1"/>
    <xf numFmtId="164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2" fillId="16" borderId="21" xfId="0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1" borderId="0" xfId="0" applyNumberFormat="1" applyFont="1" applyFill="1"/>
    <xf numFmtId="0" fontId="9" fillId="0" borderId="1" xfId="0" applyFont="1" applyBorder="1" applyAlignment="1">
      <alignment horizontal="center"/>
    </xf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3" fontId="2" fillId="20" borderId="0" xfId="0" applyNumberFormat="1" applyFont="1" applyFill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9" borderId="0" xfId="0" applyNumberFormat="1" applyFont="1" applyFill="1"/>
    <xf numFmtId="43" fontId="2" fillId="21" borderId="0" xfId="0" applyNumberFormat="1" applyFont="1" applyFill="1"/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8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1.&#3617;&#3585;&#3619;&#3634;&#3588;&#3617;\&#3610;&#3641;&#3608;&#3627;&#3609;&#3657;&#3634;&#3617;&#3629;%20&#3617;.&#3588;.67.xlsx" TargetMode="External"/><Relationship Id="rId1" Type="http://schemas.openxmlformats.org/officeDocument/2006/relationships/externalLinkPath" Target="file:///D:\Users\PC29\Desktop\&#3613;&#3609;\&#3626;&#3605;&#3658;&#3629;&#3585;&#3610;&#3641;&#3608;\2567\1.&#3617;&#3585;&#3619;&#3634;&#3588;&#3617;\&#3610;&#3641;&#3608;&#3627;&#3609;&#3657;&#3634;&#3617;&#3629;%20&#361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11</v>
          </cell>
        </row>
        <row r="6">
          <cell r="G6">
            <v>26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5</v>
          </cell>
        </row>
        <row r="13">
          <cell r="G13">
            <v>0</v>
          </cell>
        </row>
        <row r="14">
          <cell r="G14">
            <v>3</v>
          </cell>
        </row>
        <row r="15">
          <cell r="G15">
            <v>2</v>
          </cell>
        </row>
        <row r="16">
          <cell r="G16">
            <v>0</v>
          </cell>
        </row>
        <row r="17">
          <cell r="G17">
            <v>1</v>
          </cell>
        </row>
        <row r="18">
          <cell r="G18">
            <v>0</v>
          </cell>
        </row>
        <row r="19">
          <cell r="G19">
            <v>7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6</v>
          </cell>
        </row>
        <row r="23">
          <cell r="G23">
            <v>5</v>
          </cell>
        </row>
        <row r="24">
          <cell r="G24">
            <v>5</v>
          </cell>
        </row>
        <row r="25">
          <cell r="G25">
            <v>0</v>
          </cell>
        </row>
        <row r="26">
          <cell r="G26">
            <v>1</v>
          </cell>
        </row>
        <row r="27">
          <cell r="G27">
            <v>3</v>
          </cell>
        </row>
        <row r="28">
          <cell r="G28">
            <v>0</v>
          </cell>
        </row>
        <row r="29">
          <cell r="G29">
            <v>4</v>
          </cell>
        </row>
        <row r="30">
          <cell r="G30">
            <v>0</v>
          </cell>
        </row>
        <row r="31">
          <cell r="G31">
            <v>6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3</v>
          </cell>
        </row>
        <row r="35">
          <cell r="G35">
            <v>6</v>
          </cell>
        </row>
        <row r="36">
          <cell r="G36">
            <v>3</v>
          </cell>
        </row>
        <row r="37">
          <cell r="G37">
            <v>12</v>
          </cell>
        </row>
        <row r="38">
          <cell r="G38">
            <v>10</v>
          </cell>
        </row>
        <row r="39">
          <cell r="G39">
            <v>6</v>
          </cell>
        </row>
        <row r="40">
          <cell r="G40">
            <v>3</v>
          </cell>
        </row>
        <row r="41">
          <cell r="G41">
            <v>9</v>
          </cell>
        </row>
        <row r="42">
          <cell r="G42">
            <v>7</v>
          </cell>
        </row>
        <row r="43">
          <cell r="G43">
            <v>3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6</v>
          </cell>
        </row>
        <row r="47">
          <cell r="G47">
            <v>9</v>
          </cell>
        </row>
        <row r="48">
          <cell r="G48">
            <v>4</v>
          </cell>
        </row>
        <row r="49">
          <cell r="G49">
            <v>5</v>
          </cell>
        </row>
        <row r="50">
          <cell r="G50">
            <v>5</v>
          </cell>
        </row>
        <row r="51">
          <cell r="G51">
            <v>6</v>
          </cell>
        </row>
        <row r="52">
          <cell r="G52">
            <v>2</v>
          </cell>
        </row>
        <row r="53">
          <cell r="G53">
            <v>0</v>
          </cell>
        </row>
        <row r="54">
          <cell r="G54">
            <v>3</v>
          </cell>
        </row>
        <row r="55">
          <cell r="G55">
            <v>7</v>
          </cell>
        </row>
        <row r="56">
          <cell r="G56">
            <v>0</v>
          </cell>
        </row>
        <row r="57">
          <cell r="G57">
            <v>2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5</v>
          </cell>
        </row>
        <row r="63">
          <cell r="G63">
            <v>2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12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5</v>
          </cell>
        </row>
        <row r="71">
          <cell r="G71">
            <v>5</v>
          </cell>
        </row>
        <row r="72">
          <cell r="G72">
            <v>0</v>
          </cell>
        </row>
        <row r="73">
          <cell r="G73">
            <v>10</v>
          </cell>
        </row>
        <row r="74">
          <cell r="G74">
            <v>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6</v>
          </cell>
        </row>
        <row r="78">
          <cell r="G78">
            <v>3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2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2</v>
          </cell>
        </row>
        <row r="86">
          <cell r="G86">
            <v>1</v>
          </cell>
        </row>
        <row r="87">
          <cell r="G87">
            <v>11</v>
          </cell>
        </row>
        <row r="88">
          <cell r="G88">
            <v>12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14</v>
          </cell>
        </row>
        <row r="93">
          <cell r="G93">
            <v>11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5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4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14</v>
          </cell>
        </row>
        <row r="107">
          <cell r="G107">
            <v>5</v>
          </cell>
        </row>
        <row r="108">
          <cell r="G108">
            <v>7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4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6</v>
          </cell>
        </row>
        <row r="151">
          <cell r="G151">
            <v>2</v>
          </cell>
        </row>
        <row r="152">
          <cell r="G152">
            <v>3</v>
          </cell>
        </row>
        <row r="153">
          <cell r="G153">
            <v>5</v>
          </cell>
        </row>
        <row r="154">
          <cell r="G154">
            <v>5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1</v>
          </cell>
        </row>
        <row r="162">
          <cell r="G162">
            <v>3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63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8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2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241</v>
          </cell>
        </row>
        <row r="199">
          <cell r="G199">
            <v>257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2</v>
          </cell>
        </row>
        <row r="210">
          <cell r="G210">
            <v>26</v>
          </cell>
        </row>
        <row r="211">
          <cell r="G211">
            <v>0</v>
          </cell>
        </row>
        <row r="212">
          <cell r="G212">
            <v>5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6">
          <cell r="U6">
            <v>2</v>
          </cell>
        </row>
        <row r="7">
          <cell r="U7">
            <v>1</v>
          </cell>
        </row>
        <row r="8">
          <cell r="U8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V237"/>
  <sheetViews>
    <sheetView tabSelected="1" zoomScaleNormal="100" workbookViewId="0">
      <pane xSplit="4" ySplit="4" topLeftCell="H9" activePane="bottomRight" state="frozen"/>
      <selection pane="topRight" activeCell="E1" sqref="E1"/>
      <selection pane="bottomLeft" activeCell="A5" sqref="A5"/>
      <selection pane="bottomRight" activeCell="Q14" sqref="Q14:U23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22.285156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42578125" style="2" bestFit="1" customWidth="1"/>
    <col min="9" max="9" width="8.5703125" style="5" customWidth="1"/>
    <col min="10" max="11" width="12.710937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7" width="11.85546875" style="1" customWidth="1"/>
    <col min="18" max="19" width="12.7109375" style="1" bestFit="1" customWidth="1"/>
    <col min="20" max="20" width="14.7109375" style="1" customWidth="1"/>
    <col min="21" max="21" width="13.42578125" style="2" customWidth="1"/>
    <col min="22" max="22" width="16.28515625" style="2" customWidth="1"/>
    <col min="23" max="16384" width="9" style="2"/>
  </cols>
  <sheetData>
    <row r="1" spans="1:22">
      <c r="A1" s="1"/>
    </row>
    <row r="2" spans="1:22" s="3" customFormat="1" ht="29.25">
      <c r="A2" s="131" t="s">
        <v>288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53"/>
      <c r="O2" s="53"/>
      <c r="P2" s="53"/>
      <c r="Q2" s="53"/>
      <c r="R2" s="53"/>
      <c r="S2" s="53"/>
      <c r="T2" s="53"/>
    </row>
    <row r="3" spans="1:22" s="5" customFormat="1">
      <c r="A3" s="132" t="s">
        <v>2</v>
      </c>
      <c r="B3" s="132" t="s">
        <v>3</v>
      </c>
      <c r="C3" s="134" t="s">
        <v>4</v>
      </c>
      <c r="D3" s="134" t="s">
        <v>5</v>
      </c>
      <c r="E3" s="134" t="s">
        <v>6</v>
      </c>
      <c r="F3" s="54" t="s">
        <v>7</v>
      </c>
      <c r="G3" s="134" t="s">
        <v>8</v>
      </c>
      <c r="H3" s="135" t="s">
        <v>9</v>
      </c>
      <c r="I3" s="135"/>
      <c r="J3" s="135"/>
      <c r="K3" s="134" t="s">
        <v>10</v>
      </c>
      <c r="L3" s="118" t="s">
        <v>231</v>
      </c>
      <c r="M3" s="118" t="s">
        <v>232</v>
      </c>
      <c r="N3" s="118" t="s">
        <v>11</v>
      </c>
      <c r="O3" s="118" t="s">
        <v>233</v>
      </c>
      <c r="P3" s="118" t="s">
        <v>234</v>
      </c>
      <c r="Q3" s="116" t="s">
        <v>235</v>
      </c>
      <c r="R3" s="116" t="s">
        <v>236</v>
      </c>
      <c r="S3" s="116" t="s">
        <v>237</v>
      </c>
      <c r="T3" s="118" t="s">
        <v>238</v>
      </c>
      <c r="U3" s="119" t="s">
        <v>239</v>
      </c>
    </row>
    <row r="4" spans="1:22" s="5" customFormat="1">
      <c r="A4" s="133"/>
      <c r="B4" s="133"/>
      <c r="C4" s="134"/>
      <c r="D4" s="134"/>
      <c r="E4" s="134"/>
      <c r="F4" s="54" t="s">
        <v>12</v>
      </c>
      <c r="G4" s="134"/>
      <c r="H4" s="54" t="s">
        <v>13</v>
      </c>
      <c r="I4" s="55" t="s">
        <v>14</v>
      </c>
      <c r="J4" s="54" t="s">
        <v>15</v>
      </c>
      <c r="K4" s="134"/>
      <c r="L4" s="118"/>
      <c r="M4" s="118"/>
      <c r="N4" s="118"/>
      <c r="O4" s="118"/>
      <c r="P4" s="118"/>
      <c r="Q4" s="117"/>
      <c r="R4" s="117"/>
      <c r="S4" s="117"/>
      <c r="T4" s="118"/>
      <c r="U4" s="120"/>
    </row>
    <row r="5" spans="1:22">
      <c r="A5" s="10">
        <v>1</v>
      </c>
      <c r="B5" s="11" t="s">
        <v>16</v>
      </c>
      <c r="C5" s="56">
        <f>+'1'!C5</f>
        <v>17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50</v>
      </c>
      <c r="E5" s="56">
        <f>+C5+D5</f>
        <v>67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1</v>
      </c>
      <c r="G5" s="56">
        <f>E5-F5-H5</f>
        <v>6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60</v>
      </c>
      <c r="I5" s="16">
        <v>50</v>
      </c>
      <c r="J5" s="57">
        <f>+'1'!J5+'2'!J5+'3'!J5+'4'!J5+'5'!J5+'6'!J5+'7'!J5+'8'!J5+'9'!J5+'10'!J5+'11'!J5+'12'!J5+'13'!J5+'14'!J5+'15'!J5+'16'!J5+'17'!J5+'18'!J5+'19'!J5+'20'!J5+'21'!J5+'22'!J5+'23'!J5+'24'!J5+'25'!J5+'26'!J5+'27'!J5+'28'!J5+'29'!J5+'30'!J5+'31'!J5</f>
        <v>3000</v>
      </c>
      <c r="K5" s="16"/>
      <c r="L5" s="59">
        <v>1</v>
      </c>
      <c r="M5" s="60">
        <f>+'1'!K213</f>
        <v>4510</v>
      </c>
      <c r="N5" s="60">
        <f>+'1'!K218</f>
        <v>1020</v>
      </c>
      <c r="O5" s="60">
        <f>+'1'!K216</f>
        <v>0</v>
      </c>
      <c r="P5" s="60">
        <f>+'1'!K214</f>
        <v>0</v>
      </c>
      <c r="Q5" s="60">
        <f>+'1'!K217</f>
        <v>270</v>
      </c>
      <c r="R5" s="60">
        <f>+'1'!K215</f>
        <v>2280</v>
      </c>
      <c r="S5" s="60">
        <f t="shared" ref="S5:S35" si="0">+M5-N5-P5-R5-Q5</f>
        <v>940</v>
      </c>
      <c r="T5" s="98">
        <f>+'1'!K220</f>
        <v>940</v>
      </c>
      <c r="U5" s="61">
        <f>+T5-S5</f>
        <v>0</v>
      </c>
      <c r="V5" s="5"/>
    </row>
    <row r="6" spans="1:22">
      <c r="A6" s="10">
        <v>2</v>
      </c>
      <c r="B6" s="11" t="s">
        <v>18</v>
      </c>
      <c r="C6" s="56">
        <f>+'1'!C6</f>
        <v>33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110</v>
      </c>
      <c r="E6" s="56">
        <f t="shared" ref="E6:E69" si="1">+C6+D6</f>
        <v>143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56">
        <f t="shared" ref="G6:G69" si="2">E6-F6-H6</f>
        <v>65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78</v>
      </c>
      <c r="I6" s="16">
        <v>100</v>
      </c>
      <c r="J6" s="57">
        <f>+'1'!J6+'2'!J6+'3'!J6+'4'!J6+'5'!J6+'6'!J6+'7'!J6+'8'!J6+'9'!J6+'10'!J6+'11'!J6+'12'!J6+'13'!J6+'14'!J6+'15'!J6+'16'!J6+'17'!J6+'18'!J6+'19'!J6+'20'!J6+'21'!J6+'22'!J6+'23'!J6+'24'!J6+'25'!J6+'26'!J6+'27'!J6+'28'!J6+'29'!J6+'30'!J6+'31'!J6</f>
        <v>7800</v>
      </c>
      <c r="K6" s="16"/>
      <c r="L6" s="59">
        <v>2</v>
      </c>
      <c r="M6" s="60">
        <f>+'2'!K213</f>
        <v>5560</v>
      </c>
      <c r="N6" s="60">
        <f>+'2'!K218</f>
        <v>945</v>
      </c>
      <c r="O6" s="60">
        <f>+'2'!K216</f>
        <v>0</v>
      </c>
      <c r="P6" s="60">
        <f>+'2'!K214</f>
        <v>0</v>
      </c>
      <c r="Q6" s="60">
        <f>+'2'!K217</f>
        <v>60</v>
      </c>
      <c r="R6" s="60">
        <f>+'2'!K215</f>
        <v>3285</v>
      </c>
      <c r="S6" s="60">
        <f t="shared" si="0"/>
        <v>1270</v>
      </c>
      <c r="T6" s="98">
        <f>+'2'!K220</f>
        <v>1270</v>
      </c>
      <c r="U6" s="61">
        <f t="shared" ref="U6:U35" si="3">+T6-S6</f>
        <v>0</v>
      </c>
      <c r="V6" s="5"/>
    </row>
    <row r="7" spans="1:22">
      <c r="A7" s="10">
        <v>3</v>
      </c>
      <c r="B7" s="11" t="s">
        <v>19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9">
        <v>3</v>
      </c>
      <c r="M7" s="60">
        <f>+'3'!K217</f>
        <v>9535</v>
      </c>
      <c r="N7" s="60">
        <f>+'3'!K222</f>
        <v>950</v>
      </c>
      <c r="O7" s="60">
        <f>+'3'!K220</f>
        <v>0</v>
      </c>
      <c r="P7" s="60">
        <f>+'3'!K218</f>
        <v>0</v>
      </c>
      <c r="Q7" s="60">
        <f>+'3'!K221</f>
        <v>0</v>
      </c>
      <c r="R7" s="60">
        <f>+'3'!K219</f>
        <v>3085</v>
      </c>
      <c r="S7" s="60">
        <f t="shared" si="0"/>
        <v>5500</v>
      </c>
      <c r="T7" s="60">
        <f>+'3'!K224</f>
        <v>5505</v>
      </c>
      <c r="U7" s="61">
        <f t="shared" si="3"/>
        <v>5</v>
      </c>
      <c r="V7" s="99" t="s">
        <v>283</v>
      </c>
    </row>
    <row r="8" spans="1:22">
      <c r="A8" s="10">
        <v>4</v>
      </c>
      <c r="B8" s="11" t="s">
        <v>20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9">
        <v>4</v>
      </c>
      <c r="M8" s="60">
        <f>+'4'!K217</f>
        <v>6390</v>
      </c>
      <c r="N8" s="60">
        <f>+'4'!K222</f>
        <v>935</v>
      </c>
      <c r="O8" s="60">
        <f>+'4'!K220</f>
        <v>0</v>
      </c>
      <c r="P8" s="60">
        <f>+'4'!K218</f>
        <v>0</v>
      </c>
      <c r="Q8" s="60">
        <f>+'4'!K221</f>
        <v>0</v>
      </c>
      <c r="R8" s="60">
        <f>+'4'!K219</f>
        <v>1395</v>
      </c>
      <c r="S8" s="60">
        <f t="shared" si="0"/>
        <v>4060</v>
      </c>
      <c r="T8" s="98">
        <f>+'4'!K224</f>
        <v>4060</v>
      </c>
      <c r="U8" s="61">
        <f t="shared" si="3"/>
        <v>0</v>
      </c>
      <c r="V8" s="5"/>
    </row>
    <row r="9" spans="1:22">
      <c r="A9" s="10">
        <v>5</v>
      </c>
      <c r="B9" s="11" t="s">
        <v>21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9">
        <v>5</v>
      </c>
      <c r="M9" s="60">
        <f>+'5'!K217</f>
        <v>3305</v>
      </c>
      <c r="N9" s="60">
        <f>+'5'!K222</f>
        <v>50</v>
      </c>
      <c r="O9" s="60">
        <f>+'5'!K220</f>
        <v>0</v>
      </c>
      <c r="P9" s="60">
        <f>+'5'!K218</f>
        <v>0</v>
      </c>
      <c r="Q9" s="60">
        <f>+'5'!K221</f>
        <v>0</v>
      </c>
      <c r="R9" s="60">
        <f>+'5'!K219</f>
        <v>1515</v>
      </c>
      <c r="S9" s="60">
        <f t="shared" si="0"/>
        <v>1740</v>
      </c>
      <c r="T9" s="98">
        <f>+'5'!K224</f>
        <v>1770</v>
      </c>
      <c r="U9" s="61">
        <f t="shared" si="3"/>
        <v>30</v>
      </c>
      <c r="V9" s="5"/>
    </row>
    <row r="10" spans="1:22">
      <c r="A10" s="10">
        <v>6</v>
      </c>
      <c r="B10" s="11" t="s">
        <v>22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9">
        <v>6</v>
      </c>
      <c r="M10" s="60">
        <f>+'6'!K218</f>
        <v>5380</v>
      </c>
      <c r="N10" s="60">
        <f>+'6'!K223</f>
        <v>370</v>
      </c>
      <c r="O10" s="60">
        <f>+'6'!K221</f>
        <v>0</v>
      </c>
      <c r="P10" s="60">
        <f>+'6'!K219</f>
        <v>0</v>
      </c>
      <c r="Q10" s="60">
        <f>+'6'!K222</f>
        <v>0</v>
      </c>
      <c r="R10" s="60">
        <f>+'6'!K220</f>
        <v>3443</v>
      </c>
      <c r="S10" s="60">
        <f t="shared" si="0"/>
        <v>1567</v>
      </c>
      <c r="T10" s="98">
        <f>+'6'!K225</f>
        <v>1567</v>
      </c>
      <c r="U10" s="61">
        <f t="shared" si="3"/>
        <v>0</v>
      </c>
      <c r="V10" s="5"/>
    </row>
    <row r="11" spans="1:22">
      <c r="A11" s="10">
        <v>7</v>
      </c>
      <c r="B11" s="20" t="s">
        <v>23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9">
        <v>7</v>
      </c>
      <c r="M11" s="60">
        <f>+'7'!K218</f>
        <v>6935</v>
      </c>
      <c r="N11" s="60">
        <f>+'7'!K223</f>
        <v>715</v>
      </c>
      <c r="O11" s="60">
        <f>+'7'!K221</f>
        <v>0</v>
      </c>
      <c r="P11" s="60">
        <f>+'7'!K219</f>
        <v>0</v>
      </c>
      <c r="Q11" s="60">
        <f>+'7'!K222</f>
        <v>0</v>
      </c>
      <c r="R11" s="60">
        <f>+'7'!K220</f>
        <v>4708</v>
      </c>
      <c r="S11" s="60">
        <f t="shared" si="0"/>
        <v>1512</v>
      </c>
      <c r="T11" s="98">
        <f>+'7'!K225</f>
        <v>1512</v>
      </c>
      <c r="U11" s="61">
        <f t="shared" si="3"/>
        <v>0</v>
      </c>
      <c r="V11" s="5"/>
    </row>
    <row r="12" spans="1:22">
      <c r="A12" s="10">
        <v>8</v>
      </c>
      <c r="B12" s="20" t="s">
        <v>24</v>
      </c>
      <c r="C12" s="56">
        <f>+'1'!C12</f>
        <v>5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56">
        <f t="shared" si="1"/>
        <v>15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56">
        <f t="shared" si="2"/>
        <v>0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15</v>
      </c>
      <c r="I12" s="22">
        <v>50</v>
      </c>
      <c r="J12" s="5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750</v>
      </c>
      <c r="K12" s="16"/>
      <c r="L12" s="59">
        <v>8</v>
      </c>
      <c r="M12" s="60">
        <f>+'8'!K218</f>
        <v>5380</v>
      </c>
      <c r="N12" s="60">
        <f>+'8'!K223</f>
        <v>535</v>
      </c>
      <c r="O12" s="60">
        <f>+'8'!K221</f>
        <v>0</v>
      </c>
      <c r="P12" s="60">
        <f>+'8'!K219</f>
        <v>0</v>
      </c>
      <c r="Q12" s="60">
        <f>+'8'!K222</f>
        <v>0</v>
      </c>
      <c r="R12" s="60">
        <f>+'8'!K220</f>
        <v>2875</v>
      </c>
      <c r="S12" s="60">
        <f t="shared" si="0"/>
        <v>1970</v>
      </c>
      <c r="T12" s="98">
        <f>+'8'!K225</f>
        <v>1970</v>
      </c>
      <c r="U12" s="61">
        <f t="shared" si="3"/>
        <v>0</v>
      </c>
      <c r="V12" s="5"/>
    </row>
    <row r="13" spans="1:22">
      <c r="A13" s="10">
        <v>9</v>
      </c>
      <c r="B13" s="20" t="s">
        <v>265</v>
      </c>
      <c r="C13" s="56">
        <f>+'1'!C13</f>
        <v>0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0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9">
        <v>9</v>
      </c>
      <c r="M13" s="60">
        <f>+'9'!K218</f>
        <v>4145</v>
      </c>
      <c r="N13" s="60">
        <f>+'9'!K223</f>
        <v>605</v>
      </c>
      <c r="O13" s="60">
        <f>+'9'!K221</f>
        <v>0</v>
      </c>
      <c r="P13" s="60">
        <f>+'9'!K219</f>
        <v>0</v>
      </c>
      <c r="Q13" s="60">
        <f>+'9'!K222</f>
        <v>0</v>
      </c>
      <c r="R13" s="60">
        <f>+'9'!K220</f>
        <v>690</v>
      </c>
      <c r="S13" s="60">
        <f t="shared" si="0"/>
        <v>2850</v>
      </c>
      <c r="T13" s="98">
        <f>+'9'!K225</f>
        <v>2850</v>
      </c>
      <c r="U13" s="61">
        <f t="shared" si="3"/>
        <v>0</v>
      </c>
      <c r="V13" s="5"/>
    </row>
    <row r="14" spans="1:22">
      <c r="A14" s="10">
        <v>10</v>
      </c>
      <c r="B14" s="20" t="s">
        <v>25</v>
      </c>
      <c r="C14" s="56">
        <f>+'1'!C14</f>
        <v>3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6</v>
      </c>
      <c r="E14" s="56">
        <f t="shared" si="1"/>
        <v>9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1</v>
      </c>
      <c r="G14" s="56">
        <f t="shared" si="2"/>
        <v>2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6</v>
      </c>
      <c r="I14" s="22">
        <v>65</v>
      </c>
      <c r="J14" s="5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390</v>
      </c>
      <c r="K14" s="16"/>
      <c r="L14" s="59">
        <v>10</v>
      </c>
      <c r="M14" s="60">
        <f>+'10'!K218</f>
        <v>2950</v>
      </c>
      <c r="N14" s="60">
        <f>+'10'!K223</f>
        <v>562</v>
      </c>
      <c r="O14" s="60">
        <f>+'10'!K221</f>
        <v>0</v>
      </c>
      <c r="P14" s="60">
        <f>+'10'!K219</f>
        <v>0</v>
      </c>
      <c r="Q14" s="60">
        <f>+'10'!K222</f>
        <v>0</v>
      </c>
      <c r="R14" s="60">
        <f>+'10'!K220</f>
        <v>1580</v>
      </c>
      <c r="S14" s="60">
        <f t="shared" si="0"/>
        <v>808</v>
      </c>
      <c r="T14" s="98">
        <f>+'10'!K225</f>
        <v>808</v>
      </c>
      <c r="U14" s="61">
        <f t="shared" si="3"/>
        <v>0</v>
      </c>
      <c r="V14" s="5"/>
    </row>
    <row r="15" spans="1:22">
      <c r="A15" s="10">
        <v>11</v>
      </c>
      <c r="B15" s="11" t="s">
        <v>26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6">
        <f t="shared" si="1"/>
        <v>0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56">
        <f t="shared" si="2"/>
        <v>0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5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9">
        <v>11</v>
      </c>
      <c r="M15" s="60">
        <f>+'11'!K218</f>
        <v>4877</v>
      </c>
      <c r="N15" s="60">
        <f>+'11'!K223</f>
        <v>653</v>
      </c>
      <c r="O15" s="60">
        <f>+'11'!K221</f>
        <v>0</v>
      </c>
      <c r="P15" s="60">
        <f>+'11'!K219</f>
        <v>0</v>
      </c>
      <c r="Q15" s="60">
        <f>+'11'!K222</f>
        <v>0</v>
      </c>
      <c r="R15" s="60">
        <f>+'11'!K220</f>
        <v>981</v>
      </c>
      <c r="S15" s="60">
        <f t="shared" si="0"/>
        <v>3243</v>
      </c>
      <c r="T15" s="60">
        <f>+'11'!K225</f>
        <v>3243</v>
      </c>
      <c r="U15" s="61">
        <f t="shared" si="3"/>
        <v>0</v>
      </c>
      <c r="V15" s="99" t="s">
        <v>284</v>
      </c>
    </row>
    <row r="16" spans="1:22">
      <c r="A16" s="10">
        <v>12</v>
      </c>
      <c r="B16" s="11" t="s">
        <v>27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9">
        <v>12</v>
      </c>
      <c r="M16" s="60">
        <f>+'12'!K221</f>
        <v>3295</v>
      </c>
      <c r="N16" s="60">
        <f>+'12'!K226</f>
        <v>441</v>
      </c>
      <c r="O16" s="60">
        <f>+'12'!K224</f>
        <v>0</v>
      </c>
      <c r="P16" s="60">
        <f>+'12'!K222</f>
        <v>0</v>
      </c>
      <c r="Q16" s="60">
        <f>+'12'!K225</f>
        <v>630</v>
      </c>
      <c r="R16" s="60">
        <f>+'12'!K223</f>
        <v>1631</v>
      </c>
      <c r="S16" s="60">
        <f t="shared" si="0"/>
        <v>593</v>
      </c>
      <c r="T16" s="98">
        <f>+'12'!K228</f>
        <v>593</v>
      </c>
      <c r="U16" s="61">
        <f t="shared" si="3"/>
        <v>0</v>
      </c>
      <c r="V16" s="5"/>
    </row>
    <row r="17" spans="1:22">
      <c r="A17" s="10">
        <v>13</v>
      </c>
      <c r="B17" s="11" t="s">
        <v>28</v>
      </c>
      <c r="C17" s="56">
        <f>+'1'!C17</f>
        <v>1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8</v>
      </c>
      <c r="E17" s="56">
        <f t="shared" si="1"/>
        <v>9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56">
        <f t="shared" si="2"/>
        <v>4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4</v>
      </c>
      <c r="I17" s="16">
        <v>50</v>
      </c>
      <c r="J17" s="5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200</v>
      </c>
      <c r="K17" s="16"/>
      <c r="L17" s="59">
        <v>13</v>
      </c>
      <c r="M17" s="60">
        <f>+'13'!K221</f>
        <v>3770</v>
      </c>
      <c r="N17" s="60">
        <f>+'13'!K226</f>
        <v>895</v>
      </c>
      <c r="O17" s="60">
        <f>+'13'!K224</f>
        <v>0</v>
      </c>
      <c r="P17" s="60">
        <f>+'13'!K222</f>
        <v>0</v>
      </c>
      <c r="Q17" s="60">
        <f>+'13'!K225</f>
        <v>106</v>
      </c>
      <c r="R17" s="60">
        <f>+'13'!K223</f>
        <v>658</v>
      </c>
      <c r="S17" s="60">
        <f t="shared" si="0"/>
        <v>2111</v>
      </c>
      <c r="T17" s="98">
        <f>+'13'!K228</f>
        <v>2111</v>
      </c>
      <c r="U17" s="61">
        <f t="shared" si="3"/>
        <v>0</v>
      </c>
      <c r="V17" s="5"/>
    </row>
    <row r="18" spans="1:22">
      <c r="A18" s="10">
        <v>14</v>
      </c>
      <c r="B18" s="20" t="s">
        <v>29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9">
        <v>14</v>
      </c>
      <c r="M18" s="60">
        <f>+'14'!K222</f>
        <v>3080</v>
      </c>
      <c r="N18" s="60">
        <f>+'14'!K227</f>
        <v>349</v>
      </c>
      <c r="O18" s="60">
        <f>+'14'!K225</f>
        <v>0</v>
      </c>
      <c r="P18" s="60">
        <f>+'14'!K223</f>
        <v>0</v>
      </c>
      <c r="Q18" s="60">
        <f>+'14'!K226</f>
        <v>5</v>
      </c>
      <c r="R18" s="60">
        <f>+'14'!K224</f>
        <v>1586</v>
      </c>
      <c r="S18" s="60">
        <f t="shared" si="0"/>
        <v>1140</v>
      </c>
      <c r="T18" s="98">
        <f>+'14'!K229</f>
        <v>1140</v>
      </c>
      <c r="U18" s="61">
        <f t="shared" si="3"/>
        <v>0</v>
      </c>
      <c r="V18" s="5"/>
    </row>
    <row r="19" spans="1:22">
      <c r="A19" s="10">
        <v>15</v>
      </c>
      <c r="B19" s="11" t="s">
        <v>30</v>
      </c>
      <c r="C19" s="56">
        <f>+'1'!C19</f>
        <v>3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</v>
      </c>
      <c r="E19" s="56">
        <f t="shared" si="1"/>
        <v>6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3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</v>
      </c>
      <c r="I19" s="16">
        <v>50</v>
      </c>
      <c r="J19" s="5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150</v>
      </c>
      <c r="K19" s="16"/>
      <c r="L19" s="59">
        <v>15</v>
      </c>
      <c r="M19" s="60">
        <f>+'15'!K222</f>
        <v>2985</v>
      </c>
      <c r="N19" s="60">
        <f>+'15'!K227</f>
        <v>471</v>
      </c>
      <c r="O19" s="60">
        <f>+'15'!K225</f>
        <v>0</v>
      </c>
      <c r="P19" s="60">
        <f>+'15'!K223</f>
        <v>0</v>
      </c>
      <c r="Q19" s="60">
        <f>+'15'!K226</f>
        <v>0</v>
      </c>
      <c r="R19" s="60">
        <f>+'15'!K224</f>
        <v>1693</v>
      </c>
      <c r="S19" s="60">
        <f t="shared" si="0"/>
        <v>821</v>
      </c>
      <c r="T19" s="98">
        <f>+'15'!K229</f>
        <v>821</v>
      </c>
      <c r="U19" s="61">
        <f t="shared" si="3"/>
        <v>0</v>
      </c>
      <c r="V19" s="5"/>
    </row>
    <row r="20" spans="1:22">
      <c r="A20" s="10">
        <v>16</v>
      </c>
      <c r="B20" s="11" t="s">
        <v>31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9">
        <v>16</v>
      </c>
      <c r="M20" s="60">
        <f>+'16'!K222</f>
        <v>0</v>
      </c>
      <c r="N20" s="60">
        <f>+'16'!K227</f>
        <v>0</v>
      </c>
      <c r="O20" s="60">
        <f>+'16'!K225</f>
        <v>0</v>
      </c>
      <c r="P20" s="60">
        <f>+'16'!K223</f>
        <v>0</v>
      </c>
      <c r="Q20" s="60">
        <f>+'16'!K226</f>
        <v>0</v>
      </c>
      <c r="R20" s="60">
        <f>+'16'!K224</f>
        <v>0</v>
      </c>
      <c r="S20" s="60">
        <f t="shared" si="0"/>
        <v>0</v>
      </c>
      <c r="T20" s="98">
        <f>+'16'!K229</f>
        <v>0</v>
      </c>
      <c r="U20" s="61">
        <f t="shared" si="3"/>
        <v>0</v>
      </c>
      <c r="V20" s="5"/>
    </row>
    <row r="21" spans="1:22">
      <c r="A21" s="10">
        <v>17</v>
      </c>
      <c r="B21" s="11" t="s">
        <v>32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9">
        <v>17</v>
      </c>
      <c r="M21" s="60">
        <f>+'17'!K213</f>
        <v>0</v>
      </c>
      <c r="N21" s="60">
        <f>+'17'!K218</f>
        <v>0</v>
      </c>
      <c r="O21" s="60">
        <f>+'17'!K216</f>
        <v>0</v>
      </c>
      <c r="P21" s="60">
        <f>+'17'!K214</f>
        <v>0</v>
      </c>
      <c r="Q21" s="60">
        <f>+'17'!K217</f>
        <v>0</v>
      </c>
      <c r="R21" s="60">
        <f>+'17'!K215</f>
        <v>0</v>
      </c>
      <c r="S21" s="60">
        <f t="shared" si="0"/>
        <v>0</v>
      </c>
      <c r="T21" s="98">
        <f>+'17'!K220</f>
        <v>0</v>
      </c>
      <c r="U21" s="61">
        <f t="shared" si="3"/>
        <v>0</v>
      </c>
      <c r="V21" s="5"/>
    </row>
    <row r="22" spans="1:22">
      <c r="A22" s="10">
        <v>18</v>
      </c>
      <c r="B22" s="11" t="s">
        <v>33</v>
      </c>
      <c r="C22" s="56">
        <f>+'1'!C22</f>
        <v>3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3</v>
      </c>
      <c r="E22" s="56">
        <f t="shared" si="1"/>
        <v>6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1</v>
      </c>
      <c r="G22" s="56">
        <f t="shared" si="2"/>
        <v>0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5</v>
      </c>
      <c r="I22" s="16">
        <v>85</v>
      </c>
      <c r="J22" s="5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425</v>
      </c>
      <c r="K22" s="16"/>
      <c r="L22" s="59">
        <v>18</v>
      </c>
      <c r="M22" s="60">
        <f>+'18'!K213</f>
        <v>0</v>
      </c>
      <c r="N22" s="60">
        <f>+'18'!K218</f>
        <v>0</v>
      </c>
      <c r="O22" s="60">
        <f>+'18'!K216</f>
        <v>0</v>
      </c>
      <c r="P22" s="60">
        <f>+'18'!K214</f>
        <v>0</v>
      </c>
      <c r="Q22" s="60">
        <f>+'18'!K217</f>
        <v>0</v>
      </c>
      <c r="R22" s="60">
        <f>+'18'!K215</f>
        <v>0</v>
      </c>
      <c r="S22" s="60">
        <f t="shared" si="0"/>
        <v>0</v>
      </c>
      <c r="T22" s="98">
        <f>+'18'!K220</f>
        <v>0</v>
      </c>
      <c r="U22" s="61">
        <f t="shared" si="3"/>
        <v>0</v>
      </c>
      <c r="V22" s="5"/>
    </row>
    <row r="23" spans="1:22">
      <c r="A23" s="10">
        <v>19</v>
      </c>
      <c r="B23" s="11" t="s">
        <v>34</v>
      </c>
      <c r="C23" s="56">
        <f>+'1'!C23</f>
        <v>2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80</v>
      </c>
      <c r="E23" s="56">
        <f t="shared" si="1"/>
        <v>82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56">
        <f t="shared" si="2"/>
        <v>27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55</v>
      </c>
      <c r="I23" s="16">
        <v>100</v>
      </c>
      <c r="J23" s="5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5500</v>
      </c>
      <c r="K23" s="16"/>
      <c r="L23" s="59">
        <v>19</v>
      </c>
      <c r="M23" s="60">
        <f>+'19'!K213</f>
        <v>0</v>
      </c>
      <c r="N23" s="60">
        <f>+'19'!K218</f>
        <v>0</v>
      </c>
      <c r="O23" s="60">
        <f>+'19'!K216</f>
        <v>0</v>
      </c>
      <c r="P23" s="60">
        <f>+'19'!K214</f>
        <v>0</v>
      </c>
      <c r="Q23" s="60">
        <f>+'19'!K217</f>
        <v>0</v>
      </c>
      <c r="R23" s="60">
        <f>+'19'!K215</f>
        <v>0</v>
      </c>
      <c r="S23" s="60">
        <f t="shared" si="0"/>
        <v>0</v>
      </c>
      <c r="T23" s="60">
        <f>+'19'!K220</f>
        <v>0</v>
      </c>
      <c r="U23" s="61">
        <f t="shared" si="3"/>
        <v>0</v>
      </c>
      <c r="V23" s="99" t="s">
        <v>285</v>
      </c>
    </row>
    <row r="24" spans="1:22">
      <c r="A24" s="10">
        <v>20</v>
      </c>
      <c r="B24" s="11" t="s">
        <v>35</v>
      </c>
      <c r="C24" s="56">
        <f>+'1'!C24</f>
        <v>3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15</v>
      </c>
      <c r="E24" s="56">
        <f t="shared" si="1"/>
        <v>18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56">
        <f t="shared" si="2"/>
        <v>6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12</v>
      </c>
      <c r="I24" s="23">
        <v>100</v>
      </c>
      <c r="J24" s="5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1200</v>
      </c>
      <c r="K24" s="16"/>
      <c r="L24" s="59">
        <v>20</v>
      </c>
      <c r="M24" s="60">
        <f>+'20'!K213</f>
        <v>0</v>
      </c>
      <c r="N24" s="60">
        <f>+'20'!K218</f>
        <v>0</v>
      </c>
      <c r="O24" s="60">
        <f>+'20'!K216</f>
        <v>0</v>
      </c>
      <c r="P24" s="60">
        <f>+'20'!K214</f>
        <v>0</v>
      </c>
      <c r="Q24" s="60">
        <f>+'20'!K217</f>
        <v>0</v>
      </c>
      <c r="R24" s="60">
        <f>+'20'!K215</f>
        <v>0</v>
      </c>
      <c r="S24" s="60">
        <f t="shared" si="0"/>
        <v>0</v>
      </c>
      <c r="T24" s="98">
        <f>+'20'!K220</f>
        <v>0</v>
      </c>
      <c r="U24" s="61">
        <f t="shared" si="3"/>
        <v>0</v>
      </c>
      <c r="V24" s="5"/>
    </row>
    <row r="25" spans="1:22">
      <c r="A25" s="10">
        <v>21</v>
      </c>
      <c r="B25" s="11" t="s">
        <v>36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9">
        <v>21</v>
      </c>
      <c r="M25" s="60">
        <f>+'21'!K213</f>
        <v>0</v>
      </c>
      <c r="N25" s="60">
        <f>+'21'!K218</f>
        <v>0</v>
      </c>
      <c r="O25" s="60">
        <f>+'21'!K216</f>
        <v>0</v>
      </c>
      <c r="P25" s="60">
        <f>+'21'!K214</f>
        <v>0</v>
      </c>
      <c r="Q25" s="60">
        <f>+'21'!K217</f>
        <v>0</v>
      </c>
      <c r="R25" s="60">
        <f>+'21'!K215</f>
        <v>0</v>
      </c>
      <c r="S25" s="60">
        <f t="shared" si="0"/>
        <v>0</v>
      </c>
      <c r="T25" s="98">
        <f>+'21'!K220</f>
        <v>0</v>
      </c>
      <c r="U25" s="61">
        <f t="shared" si="3"/>
        <v>0</v>
      </c>
      <c r="V25" s="5"/>
    </row>
    <row r="26" spans="1:22">
      <c r="A26" s="10">
        <v>22</v>
      </c>
      <c r="B26" s="11" t="s">
        <v>37</v>
      </c>
      <c r="C26" s="56">
        <f>+'1'!C26</f>
        <v>0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10</v>
      </c>
      <c r="E26" s="56">
        <f t="shared" si="1"/>
        <v>10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56">
        <f t="shared" si="2"/>
        <v>4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6</v>
      </c>
      <c r="I26" s="23">
        <v>100</v>
      </c>
      <c r="J26" s="5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600</v>
      </c>
      <c r="K26" s="16"/>
      <c r="L26" s="59">
        <v>22</v>
      </c>
      <c r="M26" s="60">
        <f>+'22'!K213</f>
        <v>0</v>
      </c>
      <c r="N26" s="60">
        <f>+'22'!K218</f>
        <v>0</v>
      </c>
      <c r="O26" s="60">
        <f>+'22'!K216</f>
        <v>0</v>
      </c>
      <c r="P26" s="60">
        <f>+'22'!K214</f>
        <v>0</v>
      </c>
      <c r="Q26" s="60">
        <f>+'22'!K217</f>
        <v>0</v>
      </c>
      <c r="R26" s="60">
        <f>+'22'!K215</f>
        <v>0</v>
      </c>
      <c r="S26" s="60">
        <f t="shared" si="0"/>
        <v>0</v>
      </c>
      <c r="T26" s="98">
        <f>+'22'!K220</f>
        <v>0</v>
      </c>
      <c r="U26" s="61">
        <f t="shared" si="3"/>
        <v>0</v>
      </c>
      <c r="V26" s="5"/>
    </row>
    <row r="27" spans="1:22">
      <c r="A27" s="10">
        <v>23</v>
      </c>
      <c r="B27" s="20" t="s">
        <v>38</v>
      </c>
      <c r="C27" s="56">
        <f>+'1'!C27</f>
        <v>3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2</v>
      </c>
      <c r="E27" s="56">
        <f t="shared" si="1"/>
        <v>5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0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5</v>
      </c>
      <c r="I27" s="22">
        <v>100</v>
      </c>
      <c r="J27" s="5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500</v>
      </c>
      <c r="K27" s="16"/>
      <c r="L27" s="59">
        <v>23</v>
      </c>
      <c r="M27" s="60">
        <f>+'23'!K213</f>
        <v>0</v>
      </c>
      <c r="N27" s="60">
        <f>+'23'!K218</f>
        <v>0</v>
      </c>
      <c r="O27" s="60">
        <f>+'23'!K216</f>
        <v>0</v>
      </c>
      <c r="P27" s="60">
        <f>+'23'!K214</f>
        <v>0</v>
      </c>
      <c r="Q27" s="60">
        <f>+'23'!K217</f>
        <v>0</v>
      </c>
      <c r="R27" s="60">
        <f>+'23'!K215</f>
        <v>0</v>
      </c>
      <c r="S27" s="60">
        <f t="shared" si="0"/>
        <v>0</v>
      </c>
      <c r="T27" s="98">
        <f>+'23'!K220</f>
        <v>0</v>
      </c>
      <c r="U27" s="61">
        <f t="shared" si="3"/>
        <v>0</v>
      </c>
      <c r="V27" s="5"/>
    </row>
    <row r="28" spans="1:22">
      <c r="A28" s="10">
        <v>24</v>
      </c>
      <c r="B28" s="20" t="s">
        <v>39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9">
        <v>24</v>
      </c>
      <c r="M28" s="60">
        <f>+'24'!K213</f>
        <v>0</v>
      </c>
      <c r="N28" s="60">
        <f>+'24'!K218</f>
        <v>0</v>
      </c>
      <c r="O28" s="60">
        <f>+'24'!K216</f>
        <v>0</v>
      </c>
      <c r="P28" s="60">
        <f>+'24'!K214</f>
        <v>0</v>
      </c>
      <c r="Q28" s="60">
        <f>+'24'!K217</f>
        <v>0</v>
      </c>
      <c r="R28" s="60">
        <f>+'24'!K215</f>
        <v>0</v>
      </c>
      <c r="S28" s="60">
        <f t="shared" si="0"/>
        <v>0</v>
      </c>
      <c r="T28" s="98">
        <f>+'24'!K220</f>
        <v>0</v>
      </c>
      <c r="U28" s="61">
        <f t="shared" si="3"/>
        <v>0</v>
      </c>
      <c r="V28" s="5"/>
    </row>
    <row r="29" spans="1:22">
      <c r="A29" s="10">
        <v>25</v>
      </c>
      <c r="B29" s="11" t="s">
        <v>40</v>
      </c>
      <c r="C29" s="56">
        <f>+'1'!C29</f>
        <v>4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10</v>
      </c>
      <c r="E29" s="56">
        <f t="shared" si="1"/>
        <v>14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4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10</v>
      </c>
      <c r="I29" s="16">
        <v>100</v>
      </c>
      <c r="J29" s="5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1000</v>
      </c>
      <c r="K29" s="16"/>
      <c r="L29" s="59">
        <v>25</v>
      </c>
      <c r="M29" s="60">
        <f>+'25'!K215</f>
        <v>0</v>
      </c>
      <c r="N29" s="60">
        <f>+'25'!K220</f>
        <v>0</v>
      </c>
      <c r="O29" s="60">
        <f>+'25'!K218</f>
        <v>0</v>
      </c>
      <c r="P29" s="60">
        <f>+'25'!K216</f>
        <v>0</v>
      </c>
      <c r="Q29" s="60">
        <f>+'25'!K219</f>
        <v>0</v>
      </c>
      <c r="R29" s="60">
        <f>+'25'!K217</f>
        <v>0</v>
      </c>
      <c r="S29" s="60">
        <f t="shared" si="0"/>
        <v>0</v>
      </c>
      <c r="T29" s="98">
        <f>+'25'!K222</f>
        <v>0</v>
      </c>
      <c r="U29" s="61">
        <f t="shared" si="3"/>
        <v>0</v>
      </c>
      <c r="V29" s="5"/>
    </row>
    <row r="30" spans="1:22">
      <c r="A30" s="10">
        <v>26</v>
      </c>
      <c r="B30" s="11" t="s">
        <v>41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56">
        <f t="shared" si="1"/>
        <v>0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5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9">
        <v>26</v>
      </c>
      <c r="M30" s="60">
        <f>+'26'!K215</f>
        <v>0</v>
      </c>
      <c r="N30" s="60">
        <f>+'26'!K220</f>
        <v>0</v>
      </c>
      <c r="O30" s="60">
        <f>+'26'!K218</f>
        <v>0</v>
      </c>
      <c r="P30" s="60">
        <f>+'26'!K216</f>
        <v>0</v>
      </c>
      <c r="Q30" s="60">
        <f>+'26'!K219</f>
        <v>0</v>
      </c>
      <c r="R30" s="60">
        <f>+'26'!K217</f>
        <v>0</v>
      </c>
      <c r="S30" s="60">
        <f t="shared" si="0"/>
        <v>0</v>
      </c>
      <c r="T30" s="98">
        <f>+'26'!K222</f>
        <v>0</v>
      </c>
      <c r="U30" s="61">
        <f t="shared" si="3"/>
        <v>0</v>
      </c>
      <c r="V30" s="5"/>
    </row>
    <row r="31" spans="1:22">
      <c r="A31" s="10">
        <v>27</v>
      </c>
      <c r="B31" s="11" t="s">
        <v>42</v>
      </c>
      <c r="C31" s="56">
        <f>+'1'!C31</f>
        <v>6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3</v>
      </c>
      <c r="E31" s="56">
        <f t="shared" si="1"/>
        <v>9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2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7</v>
      </c>
      <c r="I31" s="16">
        <v>100</v>
      </c>
      <c r="J31" s="5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700</v>
      </c>
      <c r="K31" s="16"/>
      <c r="L31" s="59">
        <v>27</v>
      </c>
      <c r="M31" s="60">
        <f>+'27'!K215</f>
        <v>0</v>
      </c>
      <c r="N31" s="60">
        <f>+'27'!K220</f>
        <v>0</v>
      </c>
      <c r="O31" s="60">
        <f>+'27'!K218</f>
        <v>0</v>
      </c>
      <c r="P31" s="60">
        <f>+'27'!K216</f>
        <v>0</v>
      </c>
      <c r="Q31" s="60">
        <f>+'27'!K219</f>
        <v>0</v>
      </c>
      <c r="R31" s="60">
        <f>+'27'!K217</f>
        <v>0</v>
      </c>
      <c r="S31" s="60">
        <f t="shared" si="0"/>
        <v>0</v>
      </c>
      <c r="T31" s="98">
        <f>+'27'!K222</f>
        <v>0</v>
      </c>
      <c r="U31" s="61">
        <f t="shared" si="3"/>
        <v>0</v>
      </c>
      <c r="V31" s="5"/>
    </row>
    <row r="32" spans="1:22">
      <c r="A32" s="10">
        <v>28</v>
      </c>
      <c r="B32" s="11" t="s">
        <v>43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9">
        <v>28</v>
      </c>
      <c r="M32" s="60">
        <f>+'28'!K215</f>
        <v>0</v>
      </c>
      <c r="N32" s="60">
        <f>+'28'!K220</f>
        <v>0</v>
      </c>
      <c r="O32" s="60">
        <f>+'28'!K218</f>
        <v>0</v>
      </c>
      <c r="P32" s="60">
        <f>+'28'!K216</f>
        <v>0</v>
      </c>
      <c r="Q32" s="60">
        <f>+'28'!K219</f>
        <v>0</v>
      </c>
      <c r="R32" s="60">
        <f>+'28'!K217</f>
        <v>0</v>
      </c>
      <c r="S32" s="60">
        <f t="shared" si="0"/>
        <v>0</v>
      </c>
      <c r="T32" s="98">
        <f>+'28'!K222</f>
        <v>0</v>
      </c>
      <c r="U32" s="61">
        <f t="shared" si="3"/>
        <v>0</v>
      </c>
      <c r="V32" s="5"/>
    </row>
    <row r="33" spans="1:22">
      <c r="A33" s="10">
        <v>29</v>
      </c>
      <c r="B33" s="11" t="s">
        <v>44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56">
        <f t="shared" si="1"/>
        <v>0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0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5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59">
        <v>29</v>
      </c>
      <c r="M33" s="60">
        <f>+'29'!K215</f>
        <v>0</v>
      </c>
      <c r="N33" s="60">
        <f>+'29'!K220</f>
        <v>0</v>
      </c>
      <c r="O33" s="60">
        <f>+'29'!K218</f>
        <v>0</v>
      </c>
      <c r="P33" s="60">
        <f>+'29'!K216</f>
        <v>0</v>
      </c>
      <c r="Q33" s="60">
        <f>+'29'!K219</f>
        <v>0</v>
      </c>
      <c r="R33" s="60">
        <f>+'29'!K217</f>
        <v>0</v>
      </c>
      <c r="S33" s="60">
        <f t="shared" si="0"/>
        <v>0</v>
      </c>
      <c r="T33" s="98">
        <f>+'29'!K222</f>
        <v>0</v>
      </c>
      <c r="U33" s="61">
        <f t="shared" si="3"/>
        <v>0</v>
      </c>
      <c r="V33" s="5"/>
    </row>
    <row r="34" spans="1:22">
      <c r="A34" s="10">
        <v>30</v>
      </c>
      <c r="B34" s="11" t="s">
        <v>45</v>
      </c>
      <c r="C34" s="56">
        <f>+'1'!C34</f>
        <v>0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20</v>
      </c>
      <c r="E34" s="56">
        <f t="shared" si="1"/>
        <v>20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56">
        <f t="shared" si="2"/>
        <v>9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9</v>
      </c>
      <c r="I34" s="16">
        <v>130</v>
      </c>
      <c r="J34" s="5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1170</v>
      </c>
      <c r="K34" s="16"/>
      <c r="L34" s="59">
        <v>30</v>
      </c>
      <c r="M34" s="60">
        <f>+'30'!K215</f>
        <v>0</v>
      </c>
      <c r="N34" s="60">
        <f>+'30'!K220</f>
        <v>0</v>
      </c>
      <c r="O34" s="60">
        <f>+'30'!K218</f>
        <v>0</v>
      </c>
      <c r="P34" s="60">
        <f>+'30'!K216</f>
        <v>0</v>
      </c>
      <c r="Q34" s="60">
        <f>+'30'!K219</f>
        <v>0</v>
      </c>
      <c r="R34" s="60">
        <f>+'30'!K217</f>
        <v>0</v>
      </c>
      <c r="S34" s="60">
        <f t="shared" si="0"/>
        <v>0</v>
      </c>
      <c r="T34" s="98">
        <f>+'30'!K222</f>
        <v>0</v>
      </c>
      <c r="U34" s="61">
        <f t="shared" si="3"/>
        <v>0</v>
      </c>
      <c r="V34" s="5"/>
    </row>
    <row r="35" spans="1:22">
      <c r="A35" s="10">
        <v>31</v>
      </c>
      <c r="B35" s="11" t="s">
        <v>46</v>
      </c>
      <c r="C35" s="56">
        <f>+'1'!C35</f>
        <v>1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20</v>
      </c>
      <c r="E35" s="56">
        <f t="shared" si="1"/>
        <v>21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56">
        <f t="shared" si="2"/>
        <v>8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13</v>
      </c>
      <c r="I35" s="16">
        <v>130</v>
      </c>
      <c r="J35" s="5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1690</v>
      </c>
      <c r="K35" s="16"/>
      <c r="L35" s="59">
        <v>31</v>
      </c>
      <c r="M35" s="60">
        <f>+'31'!K215</f>
        <v>0</v>
      </c>
      <c r="N35" s="60">
        <f>+'31'!K220</f>
        <v>0</v>
      </c>
      <c r="O35" s="60">
        <f>+'31'!K218</f>
        <v>0</v>
      </c>
      <c r="P35" s="60">
        <f>+'31'!K216</f>
        <v>0</v>
      </c>
      <c r="Q35" s="60">
        <f>+'31'!K219</f>
        <v>0</v>
      </c>
      <c r="R35" s="60">
        <f>+'31'!K217</f>
        <v>0</v>
      </c>
      <c r="S35" s="60">
        <f t="shared" si="0"/>
        <v>0</v>
      </c>
      <c r="T35" s="98">
        <f>+'31'!K222</f>
        <v>0</v>
      </c>
      <c r="U35" s="61">
        <f t="shared" si="3"/>
        <v>0</v>
      </c>
      <c r="V35" s="5"/>
    </row>
    <row r="36" spans="1:22">
      <c r="A36" s="10">
        <v>32</v>
      </c>
      <c r="B36" s="11" t="s">
        <v>47</v>
      </c>
      <c r="C36" s="56">
        <f>+'1'!C36</f>
        <v>2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5</v>
      </c>
      <c r="E36" s="56">
        <f t="shared" si="1"/>
        <v>7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56">
        <f t="shared" si="2"/>
        <v>4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3</v>
      </c>
      <c r="I36" s="16">
        <v>100</v>
      </c>
      <c r="J36" s="5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300</v>
      </c>
      <c r="K36" s="16"/>
      <c r="L36" s="62" t="s">
        <v>6</v>
      </c>
      <c r="M36" s="63">
        <f>SUM(M5:M35)</f>
        <v>72097</v>
      </c>
      <c r="N36" s="63">
        <f t="shared" ref="N36:U36" si="4">SUM(N5:N35)</f>
        <v>9496</v>
      </c>
      <c r="O36" s="63">
        <f t="shared" si="4"/>
        <v>0</v>
      </c>
      <c r="P36" s="63">
        <f t="shared" si="4"/>
        <v>0</v>
      </c>
      <c r="Q36" s="63">
        <f t="shared" si="4"/>
        <v>1071</v>
      </c>
      <c r="R36" s="63">
        <f t="shared" si="4"/>
        <v>31405</v>
      </c>
      <c r="S36" s="63">
        <f t="shared" si="4"/>
        <v>30125</v>
      </c>
      <c r="T36" s="63">
        <f t="shared" si="4"/>
        <v>30160</v>
      </c>
      <c r="U36" s="63">
        <f t="shared" si="4"/>
        <v>35</v>
      </c>
      <c r="V36" s="5"/>
    </row>
    <row r="37" spans="1:22">
      <c r="A37" s="10">
        <v>33</v>
      </c>
      <c r="B37" s="11" t="s">
        <v>48</v>
      </c>
      <c r="C37" s="56">
        <f>+'1'!C37</f>
        <v>8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70</v>
      </c>
      <c r="E37" s="56">
        <f t="shared" si="1"/>
        <v>78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56">
        <f t="shared" si="2"/>
        <v>27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51</v>
      </c>
      <c r="I37" s="16">
        <v>100</v>
      </c>
      <c r="J37" s="5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5100</v>
      </c>
      <c r="K37" s="16"/>
      <c r="P37" s="64"/>
      <c r="S37" s="64"/>
      <c r="U37" s="5"/>
    </row>
    <row r="38" spans="1:22">
      <c r="A38" s="10">
        <v>34</v>
      </c>
      <c r="B38" s="11" t="s">
        <v>49</v>
      </c>
      <c r="C38" s="56">
        <f>+'1'!C38</f>
        <v>9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15</v>
      </c>
      <c r="E38" s="56">
        <f t="shared" si="1"/>
        <v>24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56">
        <f t="shared" si="2"/>
        <v>4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20</v>
      </c>
      <c r="I38" s="16">
        <v>50</v>
      </c>
      <c r="J38" s="5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1000</v>
      </c>
      <c r="K38" s="16"/>
      <c r="M38" s="65"/>
      <c r="N38" s="64"/>
      <c r="R38" s="100" t="s">
        <v>286</v>
      </c>
      <c r="S38" s="100"/>
      <c r="T38" s="101">
        <v>90502</v>
      </c>
      <c r="U38" s="5"/>
    </row>
    <row r="39" spans="1:22">
      <c r="A39" s="10">
        <v>35</v>
      </c>
      <c r="B39" s="11" t="s">
        <v>50</v>
      </c>
      <c r="C39" s="56">
        <f>+'1'!C39</f>
        <v>5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10</v>
      </c>
      <c r="E39" s="56">
        <f t="shared" si="1"/>
        <v>15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56">
        <f t="shared" si="2"/>
        <v>3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12</v>
      </c>
      <c r="I39" s="16">
        <v>50</v>
      </c>
      <c r="J39" s="5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600</v>
      </c>
      <c r="K39" s="16"/>
      <c r="M39" s="66"/>
      <c r="O39" s="64"/>
      <c r="U39" s="5"/>
    </row>
    <row r="40" spans="1:22">
      <c r="A40" s="10">
        <v>36</v>
      </c>
      <c r="B40" s="11" t="s">
        <v>51</v>
      </c>
      <c r="C40" s="56">
        <f>+'1'!C40</f>
        <v>3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10</v>
      </c>
      <c r="E40" s="56">
        <f t="shared" si="1"/>
        <v>13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56">
        <f t="shared" si="2"/>
        <v>0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6">
        <v>50</v>
      </c>
      <c r="J40" s="5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6"/>
      <c r="M40" s="66"/>
      <c r="T40" s="64"/>
      <c r="U40" s="5"/>
    </row>
    <row r="41" spans="1:22">
      <c r="A41" s="10">
        <v>37</v>
      </c>
      <c r="B41" s="11" t="s">
        <v>52</v>
      </c>
      <c r="C41" s="56">
        <f>+'1'!C41</f>
        <v>5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5</v>
      </c>
      <c r="E41" s="56">
        <f t="shared" si="1"/>
        <v>10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56">
        <f t="shared" si="2"/>
        <v>6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4</v>
      </c>
      <c r="I41" s="16">
        <v>50</v>
      </c>
      <c r="J41" s="5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200</v>
      </c>
      <c r="K41" s="16"/>
      <c r="M41" s="66"/>
      <c r="U41" s="5"/>
    </row>
    <row r="42" spans="1:22">
      <c r="A42" s="10">
        <v>38</v>
      </c>
      <c r="B42" s="11" t="s">
        <v>53</v>
      </c>
      <c r="C42" s="56">
        <f>+'1'!C42</f>
        <v>6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56">
        <f t="shared" si="1"/>
        <v>21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3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18</v>
      </c>
      <c r="I42" s="16">
        <v>50</v>
      </c>
      <c r="J42" s="5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900</v>
      </c>
      <c r="K42" s="16"/>
      <c r="M42" s="66"/>
      <c r="U42" s="5"/>
    </row>
    <row r="43" spans="1:22">
      <c r="A43" s="10">
        <v>39</v>
      </c>
      <c r="B43" s="11" t="s">
        <v>54</v>
      </c>
      <c r="C43" s="56">
        <f>+'1'!C43</f>
        <v>3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56">
        <f t="shared" si="1"/>
        <v>8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56">
        <f t="shared" si="2"/>
        <v>8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3" s="16">
        <v>50</v>
      </c>
      <c r="J43" s="5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3" s="16"/>
      <c r="M43" s="66"/>
      <c r="U43" s="5"/>
    </row>
    <row r="44" spans="1:22">
      <c r="A44" s="10">
        <v>40</v>
      </c>
      <c r="B44" s="11" t="s">
        <v>55</v>
      </c>
      <c r="C44" s="56">
        <f>+'1'!C44</f>
        <v>4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56">
        <f t="shared" si="1"/>
        <v>14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56">
        <f t="shared" si="2"/>
        <v>4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6">
        <v>50</v>
      </c>
      <c r="J44" s="5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6"/>
      <c r="M44" s="66"/>
      <c r="U44" s="5"/>
    </row>
    <row r="45" spans="1:22">
      <c r="A45" s="10">
        <v>41</v>
      </c>
      <c r="B45" s="11" t="s">
        <v>56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66"/>
      <c r="O45" s="64"/>
      <c r="U45" s="5"/>
    </row>
    <row r="46" spans="1:22">
      <c r="A46" s="10">
        <v>42</v>
      </c>
      <c r="B46" s="11" t="s">
        <v>57</v>
      </c>
      <c r="C46" s="56">
        <f>+'1'!C46</f>
        <v>5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56">
        <f t="shared" si="1"/>
        <v>15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56">
        <f t="shared" si="2"/>
        <v>5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10</v>
      </c>
      <c r="I46" s="16">
        <v>50</v>
      </c>
      <c r="J46" s="5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500</v>
      </c>
      <c r="K46" s="21"/>
      <c r="M46" s="66"/>
      <c r="U46" s="5"/>
    </row>
    <row r="47" spans="1:22">
      <c r="A47" s="10">
        <v>43</v>
      </c>
      <c r="B47" s="11" t="s">
        <v>58</v>
      </c>
      <c r="C47" s="56">
        <f>+'1'!C47</f>
        <v>9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56">
        <f t="shared" si="1"/>
        <v>24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56">
        <f t="shared" si="2"/>
        <v>9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15</v>
      </c>
      <c r="I47" s="16">
        <v>50</v>
      </c>
      <c r="J47" s="5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750</v>
      </c>
      <c r="K47" s="21"/>
      <c r="M47" s="66"/>
      <c r="U47" s="5"/>
    </row>
    <row r="48" spans="1:22">
      <c r="A48" s="10">
        <v>44</v>
      </c>
      <c r="B48" s="11" t="s">
        <v>59</v>
      </c>
      <c r="C48" s="56">
        <f>+'1'!C48</f>
        <v>4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</v>
      </c>
      <c r="E48" s="56">
        <f t="shared" si="1"/>
        <v>7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56">
        <f t="shared" si="2"/>
        <v>3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6">
        <v>50</v>
      </c>
      <c r="J48" s="5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21"/>
      <c r="M48" s="66"/>
      <c r="U48" s="5"/>
    </row>
    <row r="49" spans="1:21">
      <c r="A49" s="10">
        <v>45</v>
      </c>
      <c r="B49" s="11" t="s">
        <v>60</v>
      </c>
      <c r="C49" s="56">
        <f>+'1'!C49</f>
        <v>4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56">
        <f t="shared" si="1"/>
        <v>4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0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4</v>
      </c>
      <c r="I49" s="16">
        <v>50</v>
      </c>
      <c r="J49" s="5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200</v>
      </c>
      <c r="K49" s="21"/>
      <c r="M49" s="66"/>
      <c r="U49" s="5"/>
    </row>
    <row r="50" spans="1:21">
      <c r="A50" s="10">
        <v>46</v>
      </c>
      <c r="B50" s="11" t="s">
        <v>61</v>
      </c>
      <c r="C50" s="56">
        <f>+'1'!C50</f>
        <v>5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3</v>
      </c>
      <c r="E50" s="56">
        <f t="shared" si="1"/>
        <v>8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2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6">
        <v>120</v>
      </c>
      <c r="J50" s="5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1"/>
      <c r="M50" s="66"/>
      <c r="U50" s="5"/>
    </row>
    <row r="51" spans="1:21">
      <c r="A51" s="10">
        <v>47</v>
      </c>
      <c r="B51" s="11" t="s">
        <v>62</v>
      </c>
      <c r="C51" s="56">
        <f>+'1'!C51</f>
        <v>6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56">
        <f t="shared" si="1"/>
        <v>6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56">
        <f t="shared" si="2"/>
        <v>1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5</v>
      </c>
      <c r="I51" s="16">
        <v>120</v>
      </c>
      <c r="J51" s="5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600</v>
      </c>
      <c r="K51" s="21"/>
      <c r="M51" s="66"/>
      <c r="U51" s="5"/>
    </row>
    <row r="52" spans="1:21">
      <c r="A52" s="10">
        <v>48</v>
      </c>
      <c r="B52" s="11" t="s">
        <v>63</v>
      </c>
      <c r="C52" s="56">
        <f>+'1'!C52</f>
        <v>1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</v>
      </c>
      <c r="E52" s="56">
        <f t="shared" si="1"/>
        <v>3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2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</v>
      </c>
      <c r="I52" s="23">
        <v>120</v>
      </c>
      <c r="J52" s="5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120</v>
      </c>
      <c r="K52" s="21"/>
      <c r="M52" s="66"/>
      <c r="U52" s="5"/>
    </row>
    <row r="53" spans="1:21">
      <c r="A53" s="10">
        <v>49</v>
      </c>
      <c r="B53" s="11" t="s">
        <v>64</v>
      </c>
      <c r="C53" s="56">
        <f>+'1'!C53</f>
        <v>0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</v>
      </c>
      <c r="E53" s="56">
        <f t="shared" si="1"/>
        <v>2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2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5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1"/>
      <c r="M53" s="66"/>
      <c r="U53" s="5"/>
    </row>
    <row r="54" spans="1:21">
      <c r="A54" s="10">
        <v>50</v>
      </c>
      <c r="B54" s="11" t="s">
        <v>65</v>
      </c>
      <c r="C54" s="56">
        <f>+'1'!C54</f>
        <v>3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2</v>
      </c>
      <c r="E54" s="56">
        <f t="shared" si="1"/>
        <v>5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3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16">
        <v>120</v>
      </c>
      <c r="J54" s="5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21"/>
      <c r="M54" s="66"/>
      <c r="U54" s="5"/>
    </row>
    <row r="55" spans="1:21">
      <c r="A55" s="10">
        <v>51</v>
      </c>
      <c r="B55" s="11" t="s">
        <v>66</v>
      </c>
      <c r="C55" s="56">
        <f>+'1'!C55</f>
        <v>7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5</v>
      </c>
      <c r="E55" s="56">
        <f t="shared" si="1"/>
        <v>12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2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10</v>
      </c>
      <c r="I55" s="23">
        <v>120</v>
      </c>
      <c r="J55" s="5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1200</v>
      </c>
      <c r="K55" s="22"/>
      <c r="M55" s="66"/>
      <c r="U55" s="5"/>
    </row>
    <row r="56" spans="1:21">
      <c r="A56" s="10">
        <v>52</v>
      </c>
      <c r="B56" s="11" t="s">
        <v>67</v>
      </c>
      <c r="C56" s="56">
        <f>+'1'!C56</f>
        <v>0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56">
        <f t="shared" si="1"/>
        <v>0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56">
        <f t="shared" si="2"/>
        <v>0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3">
        <v>120</v>
      </c>
      <c r="J56" s="5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66"/>
      <c r="U56" s="5"/>
    </row>
    <row r="57" spans="1:21">
      <c r="A57" s="10">
        <v>53</v>
      </c>
      <c r="B57" s="11" t="s">
        <v>68</v>
      </c>
      <c r="C57" s="56">
        <f>+'1'!C57</f>
        <v>2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5</v>
      </c>
      <c r="E57" s="56">
        <f t="shared" si="1"/>
        <v>7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56">
        <f t="shared" si="2"/>
        <v>5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2</v>
      </c>
      <c r="I57" s="23">
        <v>120</v>
      </c>
      <c r="J57" s="5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7" s="22"/>
      <c r="M57" s="66"/>
      <c r="U57" s="5"/>
    </row>
    <row r="58" spans="1:21">
      <c r="A58" s="10">
        <v>54</v>
      </c>
      <c r="B58" s="11" t="s">
        <v>69</v>
      </c>
      <c r="C58" s="56">
        <f>+'1'!C58</f>
        <v>0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56">
        <f t="shared" si="1"/>
        <v>0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56">
        <f t="shared" si="2"/>
        <v>0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3">
        <v>120</v>
      </c>
      <c r="J58" s="5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2"/>
      <c r="M58" s="66"/>
      <c r="U58" s="5"/>
    </row>
    <row r="59" spans="1:21">
      <c r="A59" s="10">
        <v>55</v>
      </c>
      <c r="B59" s="11" t="s">
        <v>70</v>
      </c>
      <c r="C59" s="56">
        <f>+'1'!C59</f>
        <v>0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0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5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66"/>
      <c r="U59" s="5"/>
    </row>
    <row r="60" spans="1:21">
      <c r="A60" s="10">
        <v>56</v>
      </c>
      <c r="B60" s="11" t="s">
        <v>71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66"/>
      <c r="U60" s="5"/>
    </row>
    <row r="61" spans="1:21">
      <c r="A61" s="10">
        <v>57</v>
      </c>
      <c r="B61" s="11" t="s">
        <v>72</v>
      </c>
      <c r="C61" s="56">
        <f>+'1'!C61</f>
        <v>0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15</v>
      </c>
      <c r="E61" s="56">
        <f t="shared" si="1"/>
        <v>15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5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10</v>
      </c>
      <c r="I61" s="16">
        <v>50</v>
      </c>
      <c r="J61" s="5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500</v>
      </c>
      <c r="K61" s="20"/>
      <c r="M61" s="66"/>
      <c r="U61" s="5"/>
    </row>
    <row r="62" spans="1:21">
      <c r="A62" s="10">
        <v>58</v>
      </c>
      <c r="B62" s="20" t="s">
        <v>73</v>
      </c>
      <c r="C62" s="56">
        <f>+'1'!C62</f>
        <v>5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10</v>
      </c>
      <c r="E62" s="56">
        <f t="shared" si="1"/>
        <v>15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6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9</v>
      </c>
      <c r="I62" s="22">
        <v>50</v>
      </c>
      <c r="J62" s="5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450</v>
      </c>
      <c r="K62" s="20"/>
      <c r="M62" s="66"/>
      <c r="U62" s="5"/>
    </row>
    <row r="63" spans="1:21">
      <c r="A63" s="10">
        <v>59</v>
      </c>
      <c r="B63" s="20" t="s">
        <v>74</v>
      </c>
      <c r="C63" s="56">
        <f>+'1'!C63</f>
        <v>2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15</v>
      </c>
      <c r="E63" s="56">
        <f t="shared" si="1"/>
        <v>17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56">
        <f t="shared" si="2"/>
        <v>8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9</v>
      </c>
      <c r="I63" s="22">
        <v>50</v>
      </c>
      <c r="J63" s="5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450</v>
      </c>
      <c r="K63" s="20"/>
      <c r="M63" s="66"/>
      <c r="U63" s="5"/>
    </row>
    <row r="64" spans="1:21">
      <c r="A64" s="10">
        <v>60</v>
      </c>
      <c r="B64" s="11" t="s">
        <v>75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66"/>
      <c r="U64" s="5"/>
    </row>
    <row r="65" spans="1:21">
      <c r="A65" s="10">
        <v>61</v>
      </c>
      <c r="B65" s="11" t="s">
        <v>76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66"/>
      <c r="U65" s="5"/>
    </row>
    <row r="66" spans="1:21">
      <c r="A66" s="10">
        <v>62</v>
      </c>
      <c r="B66" s="11" t="s">
        <v>77</v>
      </c>
      <c r="C66" s="56">
        <f>+'1'!C66</f>
        <v>12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24</v>
      </c>
      <c r="E66" s="56">
        <f t="shared" si="1"/>
        <v>36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56">
        <f t="shared" si="2"/>
        <v>18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18</v>
      </c>
      <c r="I66" s="16">
        <v>50</v>
      </c>
      <c r="J66" s="5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900</v>
      </c>
      <c r="K66" s="20"/>
      <c r="M66" s="66"/>
      <c r="U66" s="5"/>
    </row>
    <row r="67" spans="1:21">
      <c r="A67" s="10">
        <v>63</v>
      </c>
      <c r="B67" s="11" t="s">
        <v>78</v>
      </c>
      <c r="C67" s="56">
        <f>+'1'!C67</f>
        <v>0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15</v>
      </c>
      <c r="E67" s="56">
        <f t="shared" si="1"/>
        <v>15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56">
        <f t="shared" si="2"/>
        <v>5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10</v>
      </c>
      <c r="I67" s="16">
        <v>50</v>
      </c>
      <c r="J67" s="5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500</v>
      </c>
      <c r="K67" s="20"/>
      <c r="M67" s="66"/>
      <c r="U67" s="5"/>
    </row>
    <row r="68" spans="1:21">
      <c r="A68" s="10">
        <v>64</v>
      </c>
      <c r="B68" s="20" t="s">
        <v>79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66"/>
      <c r="U68" s="5"/>
    </row>
    <row r="69" spans="1:21">
      <c r="A69" s="10">
        <v>65</v>
      </c>
      <c r="B69" s="20" t="s">
        <v>80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66"/>
      <c r="U69" s="5"/>
    </row>
    <row r="70" spans="1:21">
      <c r="A70" s="10">
        <v>66</v>
      </c>
      <c r="B70" s="20" t="s">
        <v>81</v>
      </c>
      <c r="C70" s="56">
        <f>+'1'!C70</f>
        <v>4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15</v>
      </c>
      <c r="E70" s="56">
        <f t="shared" ref="E70:E202" si="5">+C70+D70</f>
        <v>19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56">
        <f t="shared" ref="G70:G133" si="6">E70-F70-H70</f>
        <v>5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14</v>
      </c>
      <c r="I70" s="22">
        <v>50</v>
      </c>
      <c r="J70" s="5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700</v>
      </c>
      <c r="K70" s="20"/>
      <c r="M70" s="66"/>
      <c r="U70" s="5"/>
    </row>
    <row r="71" spans="1:21">
      <c r="A71" s="10">
        <v>67</v>
      </c>
      <c r="B71" s="20" t="s">
        <v>82</v>
      </c>
      <c r="C71" s="56">
        <f>+'1'!C71</f>
        <v>3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10</v>
      </c>
      <c r="E71" s="56">
        <f t="shared" si="5"/>
        <v>13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56">
        <f t="shared" si="6"/>
        <v>3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10</v>
      </c>
      <c r="I71" s="22">
        <v>60</v>
      </c>
      <c r="J71" s="5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600</v>
      </c>
      <c r="K71" s="20"/>
      <c r="M71" s="66"/>
      <c r="U71" s="5"/>
    </row>
    <row r="72" spans="1:21">
      <c r="A72" s="10">
        <v>68</v>
      </c>
      <c r="B72" s="20" t="s">
        <v>83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5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6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66"/>
      <c r="U72" s="5"/>
    </row>
    <row r="73" spans="1:21">
      <c r="A73" s="10">
        <v>69</v>
      </c>
      <c r="B73" s="20" t="s">
        <v>84</v>
      </c>
      <c r="C73" s="56">
        <f>+'1'!C73</f>
        <v>10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10</v>
      </c>
      <c r="E73" s="56">
        <f t="shared" si="5"/>
        <v>20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6"/>
        <v>10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10</v>
      </c>
      <c r="I73" s="22">
        <v>60</v>
      </c>
      <c r="J73" s="5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600</v>
      </c>
      <c r="K73" s="20"/>
      <c r="M73" s="66"/>
      <c r="U73" s="5"/>
    </row>
    <row r="74" spans="1:21">
      <c r="A74" s="10">
        <v>70</v>
      </c>
      <c r="B74" s="20" t="s">
        <v>85</v>
      </c>
      <c r="C74" s="56">
        <f>+'1'!C74</f>
        <v>5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</v>
      </c>
      <c r="E74" s="56">
        <f t="shared" si="5"/>
        <v>10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56">
        <f t="shared" si="6"/>
        <v>5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5</v>
      </c>
      <c r="I74" s="21">
        <v>120</v>
      </c>
      <c r="J74" s="5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600</v>
      </c>
      <c r="K74" s="20"/>
      <c r="M74" s="66"/>
      <c r="U74" s="5"/>
    </row>
    <row r="75" spans="1:21">
      <c r="A75" s="10">
        <v>71</v>
      </c>
      <c r="B75" s="20" t="s">
        <v>86</v>
      </c>
      <c r="C75" s="56">
        <f>+'1'!C75</f>
        <v>0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56">
        <f t="shared" si="5"/>
        <v>0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6"/>
        <v>0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1">
        <v>60</v>
      </c>
      <c r="J75" s="5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66"/>
      <c r="U75" s="5"/>
    </row>
    <row r="76" spans="1:21">
      <c r="A76" s="10">
        <v>72</v>
      </c>
      <c r="B76" s="20" t="s">
        <v>87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56">
        <f t="shared" si="5"/>
        <v>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6"/>
        <v>0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1">
        <v>120</v>
      </c>
      <c r="J76" s="5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66"/>
      <c r="U76" s="5"/>
    </row>
    <row r="77" spans="1:21">
      <c r="A77" s="10">
        <v>73</v>
      </c>
      <c r="B77" s="20" t="s">
        <v>88</v>
      </c>
      <c r="C77" s="56">
        <f>+'1'!C77</f>
        <v>5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8</v>
      </c>
      <c r="E77" s="56">
        <f t="shared" si="5"/>
        <v>13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56">
        <f t="shared" si="6"/>
        <v>4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9</v>
      </c>
      <c r="I77" s="22">
        <v>50</v>
      </c>
      <c r="J77" s="5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450</v>
      </c>
      <c r="K77" s="20"/>
      <c r="M77" s="66"/>
      <c r="U77" s="5"/>
    </row>
    <row r="78" spans="1:21">
      <c r="A78" s="10">
        <v>74</v>
      </c>
      <c r="B78" s="20" t="s">
        <v>89</v>
      </c>
      <c r="C78" s="56">
        <f>+'1'!C78</f>
        <v>3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56">
        <f t="shared" si="5"/>
        <v>3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56">
        <f t="shared" si="6"/>
        <v>0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2</v>
      </c>
      <c r="I78" s="21">
        <v>120</v>
      </c>
      <c r="J78" s="5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240</v>
      </c>
      <c r="K78" s="20"/>
      <c r="M78" s="66"/>
      <c r="T78" s="5"/>
    </row>
    <row r="79" spans="1:21">
      <c r="A79" s="10">
        <v>75</v>
      </c>
      <c r="B79" s="20" t="s">
        <v>90</v>
      </c>
      <c r="C79" s="56">
        <f>+'1'!C79</f>
        <v>0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20</v>
      </c>
      <c r="E79" s="56">
        <f t="shared" si="5"/>
        <v>20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56">
        <f t="shared" si="6"/>
        <v>3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16</v>
      </c>
      <c r="I79" s="21">
        <v>50</v>
      </c>
      <c r="J79" s="5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800</v>
      </c>
      <c r="K79" s="20"/>
      <c r="M79" s="66"/>
      <c r="T79" s="5"/>
    </row>
    <row r="80" spans="1:21">
      <c r="A80" s="10">
        <v>76</v>
      </c>
      <c r="B80" s="20" t="s">
        <v>91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5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6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66"/>
      <c r="T80" s="5"/>
    </row>
    <row r="81" spans="1:21">
      <c r="A81" s="10">
        <v>77</v>
      </c>
      <c r="B81" s="20" t="s">
        <v>92</v>
      </c>
      <c r="C81" s="56">
        <f>+'1'!C81</f>
        <v>2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9</v>
      </c>
      <c r="E81" s="56">
        <f t="shared" si="5"/>
        <v>11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6"/>
        <v>2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9</v>
      </c>
      <c r="I81" s="22">
        <v>55</v>
      </c>
      <c r="J81" s="5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495</v>
      </c>
      <c r="K81" s="20"/>
      <c r="M81" s="66"/>
      <c r="T81" s="5"/>
    </row>
    <row r="82" spans="1:21">
      <c r="A82" s="10">
        <v>78</v>
      </c>
      <c r="B82" s="20" t="s">
        <v>93</v>
      </c>
      <c r="C82" s="56">
        <f>+'1'!C82</f>
        <v>0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6</v>
      </c>
      <c r="E82" s="56">
        <f t="shared" si="5"/>
        <v>6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56">
        <f t="shared" si="6"/>
        <v>2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3</v>
      </c>
      <c r="I82" s="21">
        <v>55</v>
      </c>
      <c r="J82" s="5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165</v>
      </c>
      <c r="K82" s="20"/>
      <c r="M82" s="66"/>
      <c r="U82" s="5"/>
    </row>
    <row r="83" spans="1:21">
      <c r="A83" s="10">
        <v>79</v>
      </c>
      <c r="B83" s="20" t="s">
        <v>94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5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6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66"/>
      <c r="U83" s="5"/>
    </row>
    <row r="84" spans="1:21">
      <c r="A84" s="10">
        <v>80</v>
      </c>
      <c r="B84" s="20" t="s">
        <v>95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5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6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66"/>
      <c r="U84" s="5"/>
    </row>
    <row r="85" spans="1:21">
      <c r="A85" s="10">
        <v>81</v>
      </c>
      <c r="B85" s="20" t="s">
        <v>96</v>
      </c>
      <c r="C85" s="56">
        <f>+'1'!C85</f>
        <v>2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7</v>
      </c>
      <c r="E85" s="56">
        <f t="shared" si="5"/>
        <v>9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6"/>
        <v>8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</v>
      </c>
      <c r="I85" s="21">
        <v>100</v>
      </c>
      <c r="J85" s="5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100</v>
      </c>
      <c r="K85" s="20"/>
      <c r="M85" s="66"/>
      <c r="U85" s="5"/>
    </row>
    <row r="86" spans="1:21">
      <c r="A86" s="10">
        <v>82</v>
      </c>
      <c r="B86" s="20" t="s">
        <v>97</v>
      </c>
      <c r="C86" s="56">
        <f>+'1'!C86</f>
        <v>1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56">
        <f t="shared" si="5"/>
        <v>11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6"/>
        <v>3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8</v>
      </c>
      <c r="I86" s="22">
        <v>55</v>
      </c>
      <c r="J86" s="5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440</v>
      </c>
      <c r="K86" s="20"/>
      <c r="M86" s="66"/>
      <c r="U86" s="5"/>
    </row>
    <row r="87" spans="1:21">
      <c r="A87" s="10">
        <v>83</v>
      </c>
      <c r="B87" s="20" t="s">
        <v>98</v>
      </c>
      <c r="C87" s="56">
        <f>+'1'!C87</f>
        <v>11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56">
        <f t="shared" si="5"/>
        <v>21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6"/>
        <v>17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4</v>
      </c>
      <c r="I87" s="22">
        <v>60</v>
      </c>
      <c r="J87" s="5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240</v>
      </c>
      <c r="K87" s="20"/>
      <c r="M87" s="66"/>
      <c r="U87" s="5"/>
    </row>
    <row r="88" spans="1:21">
      <c r="A88" s="10">
        <v>84</v>
      </c>
      <c r="B88" s="20" t="s">
        <v>99</v>
      </c>
      <c r="C88" s="56">
        <f>+'1'!C88</f>
        <v>11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56">
        <f t="shared" si="5"/>
        <v>21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56">
        <f t="shared" si="6"/>
        <v>16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5</v>
      </c>
      <c r="I88" s="22">
        <v>100</v>
      </c>
      <c r="J88" s="5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500</v>
      </c>
      <c r="K88" s="20"/>
      <c r="M88" s="66"/>
      <c r="U88" s="5"/>
    </row>
    <row r="89" spans="1:21">
      <c r="A89" s="10">
        <v>85</v>
      </c>
      <c r="B89" s="20" t="s">
        <v>100</v>
      </c>
      <c r="C89" s="56">
        <f>+'1'!C89</f>
        <v>0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56">
        <f t="shared" si="5"/>
        <v>0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6"/>
        <v>0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2">
        <v>55</v>
      </c>
      <c r="J89" s="5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66"/>
      <c r="U89" s="5"/>
    </row>
    <row r="90" spans="1:21">
      <c r="A90" s="10">
        <v>86</v>
      </c>
      <c r="B90" s="20" t="s">
        <v>101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56">
        <f t="shared" si="5"/>
        <v>0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56">
        <f t="shared" si="6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5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66"/>
      <c r="U90" s="5"/>
    </row>
    <row r="91" spans="1:21">
      <c r="A91" s="10">
        <v>87</v>
      </c>
      <c r="B91" s="20" t="s">
        <v>102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56">
        <f t="shared" si="5"/>
        <v>0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56">
        <f t="shared" si="6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1">
        <v>50</v>
      </c>
      <c r="J91" s="5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66"/>
      <c r="U91" s="5"/>
    </row>
    <row r="92" spans="1:21">
      <c r="A92" s="10">
        <v>88</v>
      </c>
      <c r="B92" s="20" t="s">
        <v>268</v>
      </c>
      <c r="C92" s="56">
        <f>+'1'!C92</f>
        <v>11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25</v>
      </c>
      <c r="E92" s="56">
        <f t="shared" si="5"/>
        <v>36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</v>
      </c>
      <c r="G92" s="56">
        <f t="shared" si="6"/>
        <v>12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23</v>
      </c>
      <c r="I92" s="21">
        <v>120</v>
      </c>
      <c r="J92" s="5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2760</v>
      </c>
      <c r="K92" s="20"/>
      <c r="M92" s="66"/>
      <c r="U92" s="5"/>
    </row>
    <row r="93" spans="1:21">
      <c r="A93" s="10">
        <v>89</v>
      </c>
      <c r="B93" s="20" t="s">
        <v>269</v>
      </c>
      <c r="C93" s="56">
        <f>+'1'!C93</f>
        <v>10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12</v>
      </c>
      <c r="E93" s="56">
        <f t="shared" si="5"/>
        <v>22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3</v>
      </c>
      <c r="G93" s="56">
        <f t="shared" si="6"/>
        <v>3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16</v>
      </c>
      <c r="I93" s="22">
        <v>250</v>
      </c>
      <c r="J93" s="5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4000</v>
      </c>
      <c r="K93" s="20"/>
      <c r="M93" s="66"/>
      <c r="U93" s="5"/>
    </row>
    <row r="94" spans="1:21">
      <c r="A94" s="10">
        <v>90</v>
      </c>
      <c r="B94" s="20" t="s">
        <v>103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56">
        <f t="shared" si="5"/>
        <v>0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56">
        <f t="shared" si="6"/>
        <v>0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5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66"/>
      <c r="U94" s="5"/>
    </row>
    <row r="95" spans="1:21">
      <c r="A95" s="10">
        <v>91</v>
      </c>
      <c r="B95" s="20" t="s">
        <v>104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5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6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66"/>
      <c r="U95" s="5"/>
    </row>
    <row r="96" spans="1:21">
      <c r="A96" s="10">
        <v>92</v>
      </c>
      <c r="B96" s="20" t="s">
        <v>105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5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6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66"/>
      <c r="U96" s="5"/>
    </row>
    <row r="97" spans="1:21">
      <c r="A97" s="10">
        <v>93</v>
      </c>
      <c r="B97" s="20" t="s">
        <v>106</v>
      </c>
      <c r="C97" s="56">
        <f>+'1'!C97</f>
        <v>5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17</v>
      </c>
      <c r="E97" s="56">
        <f t="shared" si="5"/>
        <v>22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6</v>
      </c>
      <c r="G97" s="56">
        <f t="shared" si="6"/>
        <v>7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9</v>
      </c>
      <c r="I97" s="22">
        <v>45</v>
      </c>
      <c r="J97" s="5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405</v>
      </c>
      <c r="K97" s="20"/>
      <c r="M97" s="66"/>
      <c r="U97" s="5"/>
    </row>
    <row r="98" spans="1:21">
      <c r="A98" s="10">
        <v>94</v>
      </c>
      <c r="B98" s="20" t="s">
        <v>107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5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6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66"/>
      <c r="U98" s="5"/>
    </row>
    <row r="99" spans="1:21">
      <c r="A99" s="10">
        <v>95</v>
      </c>
      <c r="B99" s="20" t="s">
        <v>108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5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6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66"/>
      <c r="U99" s="5"/>
    </row>
    <row r="100" spans="1:21">
      <c r="A100" s="10">
        <v>96</v>
      </c>
      <c r="B100" s="20" t="s">
        <v>109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5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6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66"/>
      <c r="U100" s="5"/>
    </row>
    <row r="101" spans="1:21">
      <c r="A101" s="10">
        <v>97</v>
      </c>
      <c r="B101" s="20" t="s">
        <v>230</v>
      </c>
      <c r="C101" s="56">
        <f>+'1'!C101</f>
        <v>0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20</v>
      </c>
      <c r="E101" s="56">
        <f t="shared" si="5"/>
        <v>20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6"/>
        <v>18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</v>
      </c>
      <c r="I101" s="22">
        <v>55</v>
      </c>
      <c r="J101" s="5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110</v>
      </c>
      <c r="K101" s="20"/>
      <c r="M101" s="66"/>
      <c r="U101" s="5"/>
    </row>
    <row r="102" spans="1:21">
      <c r="A102" s="10">
        <v>98</v>
      </c>
      <c r="B102" s="20" t="s">
        <v>110</v>
      </c>
      <c r="C102" s="56">
        <f>+'1'!C102</f>
        <v>3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56">
        <f t="shared" si="5"/>
        <v>23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5</v>
      </c>
      <c r="G102" s="56">
        <f t="shared" si="6"/>
        <v>14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4</v>
      </c>
      <c r="I102" s="22">
        <v>50</v>
      </c>
      <c r="J102" s="5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200</v>
      </c>
      <c r="K102" s="20"/>
      <c r="M102" s="66"/>
      <c r="U102" s="5"/>
    </row>
    <row r="103" spans="1:21">
      <c r="A103" s="10">
        <v>99</v>
      </c>
      <c r="B103" s="20" t="s">
        <v>111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5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6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66"/>
      <c r="U103" s="5"/>
    </row>
    <row r="104" spans="1:21">
      <c r="A104" s="10">
        <v>100</v>
      </c>
      <c r="B104" s="20" t="s">
        <v>112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5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6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66"/>
      <c r="U104" s="5"/>
    </row>
    <row r="105" spans="1:21">
      <c r="A105" s="10">
        <v>101</v>
      </c>
      <c r="B105" s="20" t="s">
        <v>113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5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6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66"/>
      <c r="U105" s="5"/>
    </row>
    <row r="106" spans="1:21">
      <c r="A106" s="10">
        <v>102</v>
      </c>
      <c r="B106" s="20" t="s">
        <v>114</v>
      </c>
      <c r="C106" s="56">
        <f>+'1'!C106</f>
        <v>11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20</v>
      </c>
      <c r="E106" s="56">
        <f t="shared" si="5"/>
        <v>31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6"/>
        <v>8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23</v>
      </c>
      <c r="I106" s="21">
        <v>20</v>
      </c>
      <c r="J106" s="5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460</v>
      </c>
      <c r="K106" s="20"/>
      <c r="M106" s="66"/>
      <c r="U106" s="5"/>
    </row>
    <row r="107" spans="1:21">
      <c r="A107" s="10">
        <v>103</v>
      </c>
      <c r="B107" s="20" t="s">
        <v>115</v>
      </c>
      <c r="C107" s="56">
        <f>+'1'!C107</f>
        <v>5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56">
        <f t="shared" si="5"/>
        <v>5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56">
        <f t="shared" si="6"/>
        <v>3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2</v>
      </c>
      <c r="I107" s="22">
        <v>100</v>
      </c>
      <c r="J107" s="5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200</v>
      </c>
      <c r="K107" s="20"/>
      <c r="M107" s="66"/>
      <c r="U107" s="5"/>
    </row>
    <row r="108" spans="1:21">
      <c r="A108" s="10">
        <v>104</v>
      </c>
      <c r="B108" s="20" t="s">
        <v>117</v>
      </c>
      <c r="C108" s="56">
        <f>+'1'!C108</f>
        <v>7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56">
        <f t="shared" si="5"/>
        <v>7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56">
        <f t="shared" si="6"/>
        <v>7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5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66"/>
      <c r="U108" s="5"/>
    </row>
    <row r="109" spans="1:21">
      <c r="A109" s="10">
        <v>105</v>
      </c>
      <c r="B109" s="20" t="s">
        <v>118</v>
      </c>
      <c r="C109" s="56">
        <f>+'1'!C109</f>
        <v>0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12</v>
      </c>
      <c r="E109" s="56">
        <f t="shared" si="5"/>
        <v>12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56">
        <f t="shared" si="6"/>
        <v>3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9</v>
      </c>
      <c r="I109" s="22">
        <v>50</v>
      </c>
      <c r="J109" s="5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660</v>
      </c>
      <c r="K109" s="20"/>
      <c r="M109" s="66"/>
      <c r="U109" s="5"/>
    </row>
    <row r="110" spans="1:21">
      <c r="A110" s="10">
        <v>106</v>
      </c>
      <c r="B110" s="20" t="s">
        <v>119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5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6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66"/>
      <c r="U110" s="5"/>
    </row>
    <row r="111" spans="1:21">
      <c r="A111" s="10">
        <v>107</v>
      </c>
      <c r="B111" s="20" t="s">
        <v>120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5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6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66"/>
      <c r="U111" s="5"/>
    </row>
    <row r="112" spans="1:21">
      <c r="A112" s="10">
        <v>108</v>
      </c>
      <c r="B112" s="20" t="s">
        <v>121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5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6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66"/>
      <c r="U112" s="5"/>
    </row>
    <row r="113" spans="1:21">
      <c r="A113" s="10">
        <v>109</v>
      </c>
      <c r="B113" s="20" t="s">
        <v>122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5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6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66"/>
      <c r="U113" s="5"/>
    </row>
    <row r="114" spans="1:21">
      <c r="A114" s="10">
        <v>110</v>
      </c>
      <c r="B114" s="20" t="s">
        <v>123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56">
        <f t="shared" si="5"/>
        <v>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6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5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66"/>
      <c r="U114" s="5"/>
    </row>
    <row r="115" spans="1:21">
      <c r="A115" s="10">
        <v>111</v>
      </c>
      <c r="B115" s="20" t="s">
        <v>124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5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6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66"/>
      <c r="U115" s="5"/>
    </row>
    <row r="116" spans="1:21">
      <c r="A116" s="10">
        <v>112</v>
      </c>
      <c r="B116" s="20" t="s">
        <v>125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5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6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66"/>
      <c r="U116" s="5"/>
    </row>
    <row r="117" spans="1:21">
      <c r="A117" s="10">
        <v>113</v>
      </c>
      <c r="B117" s="20" t="s">
        <v>126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5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6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66"/>
      <c r="U117" s="5"/>
    </row>
    <row r="118" spans="1:21">
      <c r="A118" s="10">
        <v>114</v>
      </c>
      <c r="B118" s="20" t="s">
        <v>127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5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6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66"/>
      <c r="U118" s="5"/>
    </row>
    <row r="119" spans="1:21">
      <c r="A119" s="10">
        <v>115</v>
      </c>
      <c r="B119" s="20" t="s">
        <v>128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5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6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66"/>
      <c r="U119" s="5"/>
    </row>
    <row r="120" spans="1:21">
      <c r="A120" s="10">
        <v>116</v>
      </c>
      <c r="B120" s="20" t="s">
        <v>129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5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6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66"/>
      <c r="U120" s="5"/>
    </row>
    <row r="121" spans="1:21">
      <c r="A121" s="10">
        <v>117</v>
      </c>
      <c r="B121" s="20" t="s">
        <v>130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5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6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66"/>
      <c r="U121" s="5"/>
    </row>
    <row r="122" spans="1:21">
      <c r="A122" s="10">
        <v>118</v>
      </c>
      <c r="B122" s="20" t="s">
        <v>131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5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6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66"/>
      <c r="U122" s="5"/>
    </row>
    <row r="123" spans="1:21">
      <c r="A123" s="10">
        <v>119</v>
      </c>
      <c r="B123" s="20" t="s">
        <v>132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5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6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66"/>
      <c r="U123" s="5"/>
    </row>
    <row r="124" spans="1:21">
      <c r="A124" s="10">
        <v>120</v>
      </c>
      <c r="B124" s="20" t="s">
        <v>133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5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6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66"/>
      <c r="U124" s="5"/>
    </row>
    <row r="125" spans="1:21">
      <c r="A125" s="10">
        <v>121</v>
      </c>
      <c r="B125" s="20" t="s">
        <v>134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5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6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66"/>
      <c r="U125" s="5"/>
    </row>
    <row r="126" spans="1:21">
      <c r="A126" s="10">
        <v>122</v>
      </c>
      <c r="B126" s="20" t="s">
        <v>135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5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6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66"/>
      <c r="U126" s="5"/>
    </row>
    <row r="127" spans="1:21">
      <c r="A127" s="10">
        <v>123</v>
      </c>
      <c r="B127" s="20" t="s">
        <v>136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56">
        <f t="shared" si="5"/>
        <v>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56">
        <f t="shared" si="6"/>
        <v>0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5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66"/>
      <c r="U127" s="5"/>
    </row>
    <row r="128" spans="1:21">
      <c r="A128" s="10">
        <v>124</v>
      </c>
      <c r="B128" s="20" t="s">
        <v>137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5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6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66"/>
      <c r="U128" s="5"/>
    </row>
    <row r="129" spans="1:21">
      <c r="A129" s="10">
        <v>125</v>
      </c>
      <c r="B129" s="20" t="s">
        <v>138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5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6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66"/>
      <c r="U129" s="5"/>
    </row>
    <row r="130" spans="1:21">
      <c r="A130" s="10">
        <v>126</v>
      </c>
      <c r="B130" s="20" t="s">
        <v>139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5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6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66"/>
      <c r="U130" s="5"/>
    </row>
    <row r="131" spans="1:21">
      <c r="A131" s="10">
        <v>127</v>
      </c>
      <c r="B131" s="20" t="s">
        <v>140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5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6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66"/>
      <c r="U131" s="5"/>
    </row>
    <row r="132" spans="1:21">
      <c r="A132" s="10">
        <v>128</v>
      </c>
      <c r="B132" s="20" t="s">
        <v>141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5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6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66"/>
      <c r="U132" s="5"/>
    </row>
    <row r="133" spans="1:21">
      <c r="A133" s="10">
        <v>129</v>
      </c>
      <c r="B133" s="20" t="s">
        <v>142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5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6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66"/>
      <c r="U133" s="5"/>
    </row>
    <row r="134" spans="1:21">
      <c r="A134" s="10">
        <v>130</v>
      </c>
      <c r="B134" s="20" t="s">
        <v>143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si="5"/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2" si="7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66"/>
      <c r="U134" s="5"/>
    </row>
    <row r="135" spans="1:21">
      <c r="A135" s="10">
        <v>131</v>
      </c>
      <c r="B135" s="20" t="s">
        <v>144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5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7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66"/>
      <c r="U135" s="5"/>
    </row>
    <row r="136" spans="1:21">
      <c r="A136" s="10">
        <v>132</v>
      </c>
      <c r="B136" s="20" t="s">
        <v>145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5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7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66"/>
      <c r="U136" s="5"/>
    </row>
    <row r="137" spans="1:21">
      <c r="A137" s="10">
        <v>133</v>
      </c>
      <c r="B137" s="20" t="s">
        <v>146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5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7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66"/>
      <c r="U137" s="5"/>
    </row>
    <row r="138" spans="1:21">
      <c r="A138" s="10">
        <v>134</v>
      </c>
      <c r="B138" s="20" t="s">
        <v>147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56">
        <f t="shared" si="5"/>
        <v>0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7"/>
        <v>0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66"/>
      <c r="U138" s="5"/>
    </row>
    <row r="139" spans="1:21">
      <c r="A139" s="10">
        <v>135</v>
      </c>
      <c r="B139" s="20" t="s">
        <v>148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5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7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66"/>
      <c r="U139" s="5"/>
    </row>
    <row r="140" spans="1:21">
      <c r="A140" s="10">
        <v>136</v>
      </c>
      <c r="B140" s="20" t="s">
        <v>149</v>
      </c>
      <c r="C140" s="56">
        <f>+'1'!C140</f>
        <v>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56">
        <f t="shared" si="5"/>
        <v>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7"/>
        <v>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5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66"/>
      <c r="U140" s="5"/>
    </row>
    <row r="141" spans="1:21">
      <c r="A141" s="10">
        <v>137</v>
      </c>
      <c r="B141" s="20" t="s">
        <v>150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56">
        <f t="shared" si="5"/>
        <v>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56">
        <f t="shared" si="7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66"/>
      <c r="U141" s="5"/>
    </row>
    <row r="142" spans="1:21">
      <c r="A142" s="10">
        <v>138</v>
      </c>
      <c r="B142" s="20" t="s">
        <v>151</v>
      </c>
      <c r="C142" s="56">
        <f>+'1'!C142</f>
        <v>4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5"/>
        <v>4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7"/>
        <v>0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4</v>
      </c>
      <c r="I142" s="22">
        <v>120</v>
      </c>
      <c r="J142" s="5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480</v>
      </c>
      <c r="K142" s="20"/>
      <c r="M142" s="66"/>
      <c r="U142" s="5"/>
    </row>
    <row r="143" spans="1:21">
      <c r="A143" s="10">
        <v>139</v>
      </c>
      <c r="B143" s="20" t="s">
        <v>152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5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7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66"/>
      <c r="U143" s="5"/>
    </row>
    <row r="144" spans="1:21">
      <c r="A144" s="10">
        <v>140</v>
      </c>
      <c r="B144" s="20" t="s">
        <v>153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5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7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66"/>
      <c r="U144" s="5"/>
    </row>
    <row r="145" spans="1:21">
      <c r="A145" s="10">
        <v>141</v>
      </c>
      <c r="B145" s="20" t="s">
        <v>154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5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7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66"/>
      <c r="U145" s="5"/>
    </row>
    <row r="146" spans="1:21">
      <c r="A146" s="10">
        <v>142</v>
      </c>
      <c r="B146" s="20" t="s">
        <v>155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3</v>
      </c>
      <c r="E146" s="56">
        <f t="shared" si="5"/>
        <v>3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7"/>
        <v>2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1</v>
      </c>
      <c r="I146" s="22">
        <v>185</v>
      </c>
      <c r="J146" s="5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185</v>
      </c>
      <c r="K146" s="20"/>
      <c r="M146" s="66"/>
      <c r="U146" s="5"/>
    </row>
    <row r="147" spans="1:21">
      <c r="A147" s="10">
        <v>143</v>
      </c>
      <c r="B147" s="20" t="s">
        <v>156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5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7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66"/>
      <c r="U147" s="5"/>
    </row>
    <row r="148" spans="1:21">
      <c r="A148" s="10">
        <v>144</v>
      </c>
      <c r="B148" s="20" t="s">
        <v>157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5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7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66"/>
      <c r="U148" s="5"/>
    </row>
    <row r="149" spans="1:21">
      <c r="A149" s="10">
        <v>145</v>
      </c>
      <c r="B149" s="20" t="s">
        <v>158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5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7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66"/>
      <c r="U149" s="5"/>
    </row>
    <row r="150" spans="1:21">
      <c r="A150" s="10">
        <v>146</v>
      </c>
      <c r="B150" s="20" t="s">
        <v>159</v>
      </c>
      <c r="C150" s="56">
        <f>+'1'!C150</f>
        <v>6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7</v>
      </c>
      <c r="E150" s="56">
        <f t="shared" si="5"/>
        <v>13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1</v>
      </c>
      <c r="G150" s="56">
        <f t="shared" si="7"/>
        <v>0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12</v>
      </c>
      <c r="I150" s="22">
        <v>120</v>
      </c>
      <c r="J150" s="5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1440</v>
      </c>
      <c r="K150" s="20"/>
      <c r="M150" s="66"/>
      <c r="U150" s="5"/>
    </row>
    <row r="151" spans="1:21">
      <c r="A151" s="10">
        <v>147</v>
      </c>
      <c r="B151" s="20" t="s">
        <v>160</v>
      </c>
      <c r="C151" s="56">
        <f>+'1'!C151</f>
        <v>2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5</v>
      </c>
      <c r="E151" s="56">
        <f t="shared" si="5"/>
        <v>7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7"/>
        <v>1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6</v>
      </c>
      <c r="I151" s="22">
        <v>120</v>
      </c>
      <c r="J151" s="5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720</v>
      </c>
      <c r="K151" s="20"/>
      <c r="M151" s="66"/>
      <c r="U151" s="5"/>
    </row>
    <row r="152" spans="1:21">
      <c r="A152" s="10">
        <v>148</v>
      </c>
      <c r="B152" s="20" t="s">
        <v>161</v>
      </c>
      <c r="C152" s="56">
        <f>+'1'!C152</f>
        <v>2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15</v>
      </c>
      <c r="E152" s="56">
        <f t="shared" si="5"/>
        <v>17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56">
        <f t="shared" si="7"/>
        <v>6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11</v>
      </c>
      <c r="I152" s="22">
        <v>120</v>
      </c>
      <c r="J152" s="5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1320</v>
      </c>
      <c r="K152" s="20"/>
      <c r="M152" s="66"/>
      <c r="U152" s="5"/>
    </row>
    <row r="153" spans="1:21">
      <c r="A153" s="10">
        <v>149</v>
      </c>
      <c r="B153" s="20" t="s">
        <v>162</v>
      </c>
      <c r="C153" s="56">
        <f>+'1'!C153</f>
        <v>5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5</v>
      </c>
      <c r="E153" s="56">
        <f t="shared" si="5"/>
        <v>10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56">
        <f t="shared" si="7"/>
        <v>7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3</v>
      </c>
      <c r="I153" s="22">
        <v>120</v>
      </c>
      <c r="J153" s="5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360</v>
      </c>
      <c r="K153" s="20"/>
      <c r="M153" s="66"/>
      <c r="U153" s="5"/>
    </row>
    <row r="154" spans="1:21">
      <c r="A154" s="10">
        <v>150</v>
      </c>
      <c r="B154" s="20" t="s">
        <v>163</v>
      </c>
      <c r="C154" s="56">
        <f>+'1'!C154</f>
        <v>5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15</v>
      </c>
      <c r="E154" s="56">
        <f t="shared" si="5"/>
        <v>20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7"/>
        <v>4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16</v>
      </c>
      <c r="I154" s="22">
        <v>185</v>
      </c>
      <c r="J154" s="5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2960</v>
      </c>
      <c r="K154" s="20"/>
      <c r="M154" s="66"/>
      <c r="U154" s="5"/>
    </row>
    <row r="155" spans="1:21">
      <c r="A155" s="10">
        <v>151</v>
      </c>
      <c r="B155" s="20" t="s">
        <v>164</v>
      </c>
      <c r="C155" s="56">
        <f>+'1'!C155</f>
        <v>0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10</v>
      </c>
      <c r="E155" s="56">
        <f t="shared" si="5"/>
        <v>10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7"/>
        <v>1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9</v>
      </c>
      <c r="I155" s="22">
        <v>185</v>
      </c>
      <c r="J155" s="5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1665</v>
      </c>
      <c r="K155" s="20"/>
      <c r="M155" s="66"/>
      <c r="U155" s="5"/>
    </row>
    <row r="156" spans="1:21">
      <c r="A156" s="10">
        <v>152</v>
      </c>
      <c r="B156" s="20" t="s">
        <v>165</v>
      </c>
      <c r="C156" s="56">
        <f>+'1'!C156</f>
        <v>0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10</v>
      </c>
      <c r="E156" s="56">
        <f t="shared" si="5"/>
        <v>10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56">
        <f t="shared" si="7"/>
        <v>0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10</v>
      </c>
      <c r="I156" s="22">
        <v>185</v>
      </c>
      <c r="J156" s="5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1850</v>
      </c>
      <c r="K156" s="20"/>
      <c r="M156" s="66"/>
      <c r="U156" s="5"/>
    </row>
    <row r="157" spans="1:21">
      <c r="A157" s="10">
        <v>153</v>
      </c>
      <c r="B157" s="20" t="s">
        <v>166</v>
      </c>
      <c r="C157" s="56">
        <f>+'1'!C157</f>
        <v>0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10</v>
      </c>
      <c r="E157" s="56">
        <f t="shared" si="5"/>
        <v>10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7"/>
        <v>6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4</v>
      </c>
      <c r="I157" s="22">
        <v>185</v>
      </c>
      <c r="J157" s="5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740</v>
      </c>
      <c r="K157" s="20"/>
      <c r="M157" s="66"/>
      <c r="U157" s="5"/>
    </row>
    <row r="158" spans="1:21">
      <c r="A158" s="10">
        <v>154</v>
      </c>
      <c r="B158" s="20" t="s">
        <v>267</v>
      </c>
      <c r="C158" s="56">
        <f>+'1'!C158</f>
        <v>0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5"/>
        <v>0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56">
        <f t="shared" si="7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10</v>
      </c>
      <c r="J158" s="5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66"/>
      <c r="U158" s="5"/>
    </row>
    <row r="159" spans="1:21">
      <c r="A159" s="10">
        <v>155</v>
      </c>
      <c r="B159" s="20" t="s">
        <v>167</v>
      </c>
      <c r="C159" s="56">
        <f>+'1'!C159</f>
        <v>0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56">
        <f t="shared" si="5"/>
        <v>0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7"/>
        <v>0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5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66"/>
      <c r="U159" s="5"/>
    </row>
    <row r="160" spans="1:21">
      <c r="A160" s="10">
        <v>156</v>
      </c>
      <c r="B160" s="20" t="s">
        <v>168</v>
      </c>
      <c r="C160" s="56">
        <f>+'1'!C160</f>
        <v>0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56">
        <f t="shared" si="5"/>
        <v>0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7"/>
        <v>0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5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66"/>
      <c r="U160" s="5"/>
    </row>
    <row r="161" spans="1:21">
      <c r="A161" s="10">
        <v>157</v>
      </c>
      <c r="B161" s="20" t="s">
        <v>169</v>
      </c>
      <c r="C161" s="56">
        <f>+'1'!C161</f>
        <v>1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56">
        <f t="shared" si="5"/>
        <v>1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7"/>
        <v>0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1</v>
      </c>
      <c r="I161" s="22">
        <v>90</v>
      </c>
      <c r="J161" s="5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90</v>
      </c>
      <c r="K161" s="20"/>
      <c r="M161" s="66"/>
      <c r="U161" s="5"/>
    </row>
    <row r="162" spans="1:21">
      <c r="A162" s="10">
        <v>158</v>
      </c>
      <c r="B162" s="20" t="s">
        <v>170</v>
      </c>
      <c r="C162" s="56">
        <f>+'1'!C162</f>
        <v>3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56">
        <f t="shared" si="5"/>
        <v>3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7"/>
        <v>2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1</v>
      </c>
      <c r="I162" s="22">
        <v>90</v>
      </c>
      <c r="J162" s="5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90</v>
      </c>
      <c r="K162" s="20"/>
      <c r="M162" s="66"/>
      <c r="U162" s="5"/>
    </row>
    <row r="163" spans="1:21">
      <c r="A163" s="10">
        <v>159</v>
      </c>
      <c r="B163" s="20" t="s">
        <v>263</v>
      </c>
      <c r="C163" s="56">
        <f>+'1'!C163</f>
        <v>0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56">
        <f t="shared" si="5"/>
        <v>0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7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2">
        <v>30</v>
      </c>
      <c r="J163" s="5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66"/>
      <c r="U163" s="5"/>
    </row>
    <row r="164" spans="1:21">
      <c r="A164" s="10">
        <v>160</v>
      </c>
      <c r="B164" s="20" t="s">
        <v>171</v>
      </c>
      <c r="C164" s="56">
        <f>+'1'!C164</f>
        <v>0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15</v>
      </c>
      <c r="E164" s="56">
        <f t="shared" si="5"/>
        <v>15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56">
        <f t="shared" si="7"/>
        <v>7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8</v>
      </c>
      <c r="I164" s="22">
        <v>50</v>
      </c>
      <c r="J164" s="5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400</v>
      </c>
      <c r="K164" s="20"/>
      <c r="M164" s="66"/>
      <c r="U164" s="5"/>
    </row>
    <row r="165" spans="1:21">
      <c r="A165" s="10">
        <v>161</v>
      </c>
      <c r="B165" s="20" t="s">
        <v>172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5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7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66"/>
      <c r="U165" s="5"/>
    </row>
    <row r="166" spans="1:21">
      <c r="A166" s="10">
        <v>162</v>
      </c>
      <c r="B166" s="20" t="s">
        <v>173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5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7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66"/>
      <c r="U166" s="5"/>
    </row>
    <row r="167" spans="1:21">
      <c r="A167" s="10">
        <v>163</v>
      </c>
      <c r="B167" s="20" t="s">
        <v>174</v>
      </c>
      <c r="C167" s="56">
        <f>+'1'!C167</f>
        <v>0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56">
        <f t="shared" si="5"/>
        <v>0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7"/>
        <v>0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5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66"/>
      <c r="U167" s="5"/>
    </row>
    <row r="168" spans="1:21">
      <c r="A168" s="10">
        <v>164</v>
      </c>
      <c r="B168" s="20" t="s">
        <v>175</v>
      </c>
      <c r="C168" s="56">
        <f>+'1'!C168</f>
        <v>5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20</v>
      </c>
      <c r="E168" s="56">
        <f t="shared" si="5"/>
        <v>25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7"/>
        <v>25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2">
        <v>55</v>
      </c>
      <c r="J168" s="5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20"/>
      <c r="M168" s="66"/>
      <c r="U168" s="5"/>
    </row>
    <row r="169" spans="1:21">
      <c r="A169" s="10">
        <v>165</v>
      </c>
      <c r="B169" s="20" t="s">
        <v>176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5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7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66"/>
      <c r="U169" s="5"/>
    </row>
    <row r="170" spans="1:21">
      <c r="A170" s="10">
        <v>166</v>
      </c>
      <c r="B170" s="20" t="s">
        <v>177</v>
      </c>
      <c r="C170" s="56">
        <f>+'1'!C170</f>
        <v>0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56">
        <f t="shared" si="5"/>
        <v>10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7"/>
        <v>9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</v>
      </c>
      <c r="I170" s="22">
        <v>80</v>
      </c>
      <c r="J170" s="5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</v>
      </c>
      <c r="K170" s="20"/>
      <c r="M170" s="66"/>
      <c r="U170" s="5"/>
    </row>
    <row r="171" spans="1:21">
      <c r="A171" s="10">
        <v>167</v>
      </c>
      <c r="B171" s="20" t="s">
        <v>178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5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7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66"/>
      <c r="U171" s="5"/>
    </row>
    <row r="172" spans="1:21">
      <c r="A172" s="10">
        <v>168</v>
      </c>
      <c r="B172" s="20" t="s">
        <v>179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5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7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66"/>
      <c r="U172" s="5"/>
    </row>
    <row r="173" spans="1:21">
      <c r="A173" s="10">
        <v>169</v>
      </c>
      <c r="B173" s="20" t="s">
        <v>180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5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7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66"/>
      <c r="U173" s="5"/>
    </row>
    <row r="174" spans="1:21">
      <c r="A174" s="10">
        <v>170</v>
      </c>
      <c r="B174" s="20" t="s">
        <v>181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5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7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66"/>
      <c r="U174" s="5"/>
    </row>
    <row r="175" spans="1:21">
      <c r="A175" s="10">
        <v>171</v>
      </c>
      <c r="B175" s="20" t="s">
        <v>182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5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7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66"/>
      <c r="U175" s="5"/>
    </row>
    <row r="176" spans="1:21">
      <c r="A176" s="10">
        <v>172</v>
      </c>
      <c r="B176" s="20" t="s">
        <v>183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56">
        <f t="shared" si="5"/>
        <v>0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56">
        <f t="shared" si="7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2">
        <v>50</v>
      </c>
      <c r="J176" s="5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66"/>
      <c r="U176" s="5"/>
    </row>
    <row r="177" spans="1:21">
      <c r="A177" s="10">
        <v>173</v>
      </c>
      <c r="B177" s="20" t="s">
        <v>184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5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7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66"/>
      <c r="U177" s="5"/>
    </row>
    <row r="178" spans="1:21">
      <c r="A178" s="10">
        <v>174</v>
      </c>
      <c r="B178" s="20" t="s">
        <v>185</v>
      </c>
      <c r="C178" s="56">
        <f>+'1'!C178</f>
        <v>0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56">
        <f t="shared" si="5"/>
        <v>0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56">
        <f t="shared" si="7"/>
        <v>0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2">
        <v>120</v>
      </c>
      <c r="J178" s="5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66"/>
      <c r="U178" s="5"/>
    </row>
    <row r="179" spans="1:21">
      <c r="A179" s="10">
        <v>175</v>
      </c>
      <c r="B179" s="20" t="s">
        <v>186</v>
      </c>
      <c r="C179" s="56">
        <f>+'1'!C179</f>
        <v>62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5"/>
        <v>62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56">
        <f t="shared" si="7"/>
        <v>57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5</v>
      </c>
      <c r="I179" s="22">
        <v>10</v>
      </c>
      <c r="J179" s="5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50</v>
      </c>
      <c r="K179" s="20"/>
      <c r="M179" s="66"/>
      <c r="U179" s="5"/>
    </row>
    <row r="180" spans="1:21">
      <c r="A180" s="10">
        <v>176</v>
      </c>
      <c r="B180" s="20" t="s">
        <v>187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5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7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66"/>
      <c r="U180" s="5"/>
    </row>
    <row r="181" spans="1:21">
      <c r="A181" s="10">
        <v>177</v>
      </c>
      <c r="B181" s="20" t="s">
        <v>188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40</v>
      </c>
      <c r="E181" s="56">
        <f t="shared" si="5"/>
        <v>40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1</v>
      </c>
      <c r="G181" s="56">
        <f t="shared" si="7"/>
        <v>10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29</v>
      </c>
      <c r="I181" s="22">
        <v>10</v>
      </c>
      <c r="J181" s="5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290</v>
      </c>
      <c r="K181" s="20"/>
      <c r="M181" s="66"/>
      <c r="U181" s="5"/>
    </row>
    <row r="182" spans="1:21">
      <c r="A182" s="10">
        <v>178</v>
      </c>
      <c r="B182" s="20" t="s">
        <v>189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5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7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66"/>
      <c r="U182" s="5"/>
    </row>
    <row r="183" spans="1:21">
      <c r="A183" s="10">
        <v>179</v>
      </c>
      <c r="B183" s="20" t="s">
        <v>190</v>
      </c>
      <c r="C183" s="56">
        <f>+'1'!C183</f>
        <v>7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40</v>
      </c>
      <c r="E183" s="56">
        <f t="shared" si="5"/>
        <v>47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4</v>
      </c>
      <c r="G183" s="56">
        <f t="shared" si="7"/>
        <v>16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27</v>
      </c>
      <c r="I183" s="22">
        <v>10</v>
      </c>
      <c r="J183" s="5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270</v>
      </c>
      <c r="K183" s="20"/>
      <c r="M183" s="66"/>
      <c r="U183" s="5"/>
    </row>
    <row r="184" spans="1:21">
      <c r="A184" s="10">
        <v>180</v>
      </c>
      <c r="B184" s="20" t="s">
        <v>191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40</v>
      </c>
      <c r="E184" s="56">
        <f t="shared" si="5"/>
        <v>40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1</v>
      </c>
      <c r="G184" s="56">
        <f t="shared" si="7"/>
        <v>5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34</v>
      </c>
      <c r="I184" s="22">
        <v>10</v>
      </c>
      <c r="J184" s="5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340</v>
      </c>
      <c r="K184" s="20"/>
      <c r="M184" s="66"/>
      <c r="U184" s="5"/>
    </row>
    <row r="185" spans="1:21">
      <c r="A185" s="10">
        <v>181</v>
      </c>
      <c r="B185" s="20" t="s">
        <v>192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5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7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66"/>
      <c r="U185" s="5"/>
    </row>
    <row r="186" spans="1:21">
      <c r="A186" s="10">
        <v>182</v>
      </c>
      <c r="B186" s="20" t="s">
        <v>193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5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7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66"/>
      <c r="U186" s="5"/>
    </row>
    <row r="187" spans="1:21">
      <c r="A187" s="10">
        <v>183</v>
      </c>
      <c r="B187" s="20" t="s">
        <v>194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5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7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66"/>
      <c r="U187" s="5"/>
    </row>
    <row r="188" spans="1:21">
      <c r="A188" s="10">
        <v>184</v>
      </c>
      <c r="B188" s="20" t="s">
        <v>195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5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7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66"/>
      <c r="U188" s="5"/>
    </row>
    <row r="189" spans="1:21">
      <c r="A189" s="10">
        <v>185</v>
      </c>
      <c r="B189" s="20" t="s">
        <v>196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5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7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1502</v>
      </c>
      <c r="K189" s="20"/>
      <c r="M189" s="66"/>
      <c r="U189" s="5"/>
    </row>
    <row r="190" spans="1:21">
      <c r="A190" s="10">
        <v>186</v>
      </c>
      <c r="B190" s="20" t="s">
        <v>197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56">
        <f t="shared" si="5"/>
        <v>0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7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55</v>
      </c>
      <c r="J190" s="5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66"/>
      <c r="U190" s="5"/>
    </row>
    <row r="191" spans="1:21">
      <c r="A191" s="10">
        <v>187</v>
      </c>
      <c r="B191" s="20" t="s">
        <v>198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5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7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66"/>
      <c r="U191" s="5"/>
    </row>
    <row r="192" spans="1:21">
      <c r="A192" s="10">
        <v>188</v>
      </c>
      <c r="B192" s="20" t="s">
        <v>199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5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7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66"/>
      <c r="U192" s="5"/>
    </row>
    <row r="193" spans="1:21">
      <c r="A193" s="10">
        <v>189</v>
      </c>
      <c r="B193" s="20" t="s">
        <v>200</v>
      </c>
      <c r="C193" s="56">
        <f>+'1'!C193</f>
        <v>2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5"/>
        <v>2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>E193-F193-H193</f>
        <v>2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30</v>
      </c>
      <c r="J193" s="5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66"/>
      <c r="U193" s="5"/>
    </row>
    <row r="194" spans="1:21">
      <c r="A194" s="10">
        <v>190</v>
      </c>
      <c r="B194" s="20" t="s">
        <v>201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5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ref="G194:G224" si="8">E194-F194-H194</f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66"/>
      <c r="U194" s="5"/>
    </row>
    <row r="195" spans="1:21">
      <c r="A195" s="10">
        <v>191</v>
      </c>
      <c r="B195" s="20" t="s">
        <v>202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5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8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66"/>
      <c r="U195" s="5"/>
    </row>
    <row r="196" spans="1:21">
      <c r="A196" s="10">
        <v>192</v>
      </c>
      <c r="B196" s="20" t="s">
        <v>203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56">
        <f t="shared" si="5"/>
        <v>0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8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5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66"/>
      <c r="U196" s="5"/>
    </row>
    <row r="197" spans="1:21">
      <c r="A197" s="10">
        <v>193</v>
      </c>
      <c r="B197" s="20" t="s">
        <v>204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5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8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66"/>
      <c r="U197" s="5"/>
    </row>
    <row r="198" spans="1:21">
      <c r="A198" s="10">
        <v>194</v>
      </c>
      <c r="B198" s="20" t="s">
        <v>205</v>
      </c>
      <c r="C198" s="56">
        <f>+'1'!C198</f>
        <v>241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56">
        <f t="shared" si="5"/>
        <v>241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56">
        <f t="shared" si="8"/>
        <v>241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66"/>
      <c r="U198" s="5"/>
    </row>
    <row r="199" spans="1:21">
      <c r="A199" s="10">
        <v>195</v>
      </c>
      <c r="B199" s="20" t="s">
        <v>195</v>
      </c>
      <c r="C199" s="56">
        <f>+'1'!C199</f>
        <v>256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56">
        <f t="shared" si="5"/>
        <v>256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3</v>
      </c>
      <c r="G199" s="56">
        <f t="shared" si="8"/>
        <v>253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5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66"/>
      <c r="U199" s="5"/>
    </row>
    <row r="200" spans="1:21">
      <c r="A200" s="10">
        <v>196</v>
      </c>
      <c r="B200" s="20" t="s">
        <v>206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5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8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66"/>
      <c r="U200" s="5"/>
    </row>
    <row r="201" spans="1:21">
      <c r="A201" s="10">
        <v>197</v>
      </c>
      <c r="B201" s="20" t="s">
        <v>207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5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8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66"/>
      <c r="U201" s="5"/>
    </row>
    <row r="202" spans="1:21">
      <c r="A202" s="10">
        <v>198</v>
      </c>
      <c r="B202" s="20" t="s">
        <v>208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5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8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66"/>
      <c r="U202" s="5"/>
    </row>
    <row r="203" spans="1:21">
      <c r="A203" s="10">
        <v>199</v>
      </c>
      <c r="B203" s="20" t="s">
        <v>209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ref="E203:E224" si="9">+C203+D203</f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8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66"/>
      <c r="U203" s="5"/>
    </row>
    <row r="204" spans="1:21">
      <c r="A204" s="10">
        <v>200</v>
      </c>
      <c r="B204" s="20" t="s">
        <v>210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56">
        <f t="shared" si="9"/>
        <v>0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8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150</v>
      </c>
      <c r="J204" s="5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66"/>
      <c r="U204" s="5"/>
    </row>
    <row r="205" spans="1:21">
      <c r="A205" s="10">
        <v>201</v>
      </c>
      <c r="B205" s="20" t="s">
        <v>211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56">
        <f t="shared" si="9"/>
        <v>0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8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150</v>
      </c>
      <c r="J205" s="5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66"/>
      <c r="U205" s="5"/>
    </row>
    <row r="206" spans="1:21">
      <c r="A206" s="10">
        <v>202</v>
      </c>
      <c r="B206" s="20" t="s">
        <v>212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56">
        <f t="shared" si="9"/>
        <v>0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8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150</v>
      </c>
      <c r="J206" s="5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66"/>
      <c r="U206" s="5"/>
    </row>
    <row r="207" spans="1:21">
      <c r="A207" s="10">
        <v>203</v>
      </c>
      <c r="B207" s="20" t="s">
        <v>257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9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8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66"/>
      <c r="U207" s="5"/>
    </row>
    <row r="208" spans="1:21">
      <c r="A208" s="10">
        <v>204</v>
      </c>
      <c r="B208" s="20" t="s">
        <v>258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9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8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66"/>
      <c r="U208" s="5"/>
    </row>
    <row r="209" spans="1:21">
      <c r="A209" s="10">
        <v>205</v>
      </c>
      <c r="B209" s="20" t="s">
        <v>266</v>
      </c>
      <c r="C209" s="56">
        <f>+'1'!C209</f>
        <v>0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9"/>
        <v>0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8"/>
        <v>0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66"/>
      <c r="U209" s="5"/>
    </row>
    <row r="210" spans="1:21">
      <c r="A210" s="10">
        <v>206</v>
      </c>
      <c r="B210" s="20" t="s">
        <v>264</v>
      </c>
      <c r="C210" s="56">
        <f>+'1'!C210</f>
        <v>0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9"/>
        <v>0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8"/>
        <v>0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66"/>
      <c r="U210" s="5"/>
    </row>
    <row r="211" spans="1:21">
      <c r="A211" s="10">
        <v>207</v>
      </c>
      <c r="B211" s="20" t="s">
        <v>273</v>
      </c>
      <c r="C211" s="56">
        <f>+'1'!C211</f>
        <v>0</v>
      </c>
      <c r="D211" s="57">
        <f>+'1'!D211+'2'!D211+'3'!D215+'4'!D215+'5'!D215+'6'!D216+'7'!D216+'8'!D216+'9'!D216+'10'!D216+'11'!D216+'12'!D219+'13'!D219+'14'!D220+'15'!D220+'16'!D220+'17'!D211+'18'!D211+'19'!D211+'20'!D211+'21'!D211+'22'!D211+'23'!D211+'24'!D211+'25'!D211+'26'!D211+'27'!D211+'28'!D211+'29'!D211+'30'!D211+'31'!D211</f>
        <v>0</v>
      </c>
      <c r="E211" s="56">
        <f t="shared" si="9"/>
        <v>0</v>
      </c>
      <c r="F211" s="57">
        <f>+'1'!F211+'2'!F211+'3'!F215+'4'!F215+'5'!F215+'6'!F216+'7'!F216+'8'!F216+'9'!F216+'10'!F216+'11'!F216+'12'!F219+'13'!F219+'14'!F220+'15'!F220+'16'!F220+'17'!F211+'18'!F211+'19'!F211+'20'!F211+'21'!F211+'22'!F211+'23'!F211+'24'!F211+'25'!F211+'26'!F211+'27'!F211+'28'!F211+'29'!F211+'30'!F211+'31'!F211</f>
        <v>0</v>
      </c>
      <c r="G211" s="56">
        <f t="shared" si="8"/>
        <v>0</v>
      </c>
      <c r="H211" s="57">
        <f>+'1'!H211+'2'!H211+'3'!H215+'4'!H215+'5'!H215+'6'!H216+'7'!H216+'8'!H216+'9'!H216+'10'!H216+'11'!H216+'12'!H219+'13'!H219+'14'!H220+'15'!H220+'16'!H220+'17'!H211+'18'!H211+'19'!H211+'20'!H211+'21'!H211+'22'!H211+'23'!H211+'24'!H211+'25'!H211+'26'!H211+'27'!H211+'28'!H211+'29'!H211+'30'!H211+'31'!H211</f>
        <v>0</v>
      </c>
      <c r="I211" s="16">
        <v>60</v>
      </c>
      <c r="J211" s="57">
        <f>+'1'!J211+'2'!J211+'3'!J215+'4'!J215+'5'!J215+'6'!J216+'7'!J216+'8'!J216+'9'!J216+'10'!J216+'11'!J216+'12'!J219+'13'!J219+'14'!J220+'15'!J220+'16'!J220+'17'!J211+'18'!J211+'19'!J211+'20'!J211+'21'!J211+'22'!J211+'23'!J211+'24'!J211+'25'!J211+'26'!J211+'27'!J211+'28'!J211+'29'!J211+'30'!J211+'31'!J211</f>
        <v>0</v>
      </c>
      <c r="K211" s="20"/>
      <c r="M211" s="66"/>
      <c r="U211" s="5"/>
    </row>
    <row r="212" spans="1:21">
      <c r="A212" s="10">
        <v>208</v>
      </c>
      <c r="B212" s="20" t="s">
        <v>274</v>
      </c>
      <c r="C212" s="56">
        <f>+'1'!C212</f>
        <v>0</v>
      </c>
      <c r="D212" s="57">
        <f>+'1'!D212+'2'!D212+'3'!D216+'4'!D216+'5'!D216+'6'!D217+'7'!D217+'8'!D217+'9'!D217+'10'!D217+'11'!D217+'12'!D220+'13'!D220+'14'!D221+'15'!D221+'16'!D221+'17'!D212+'18'!D212+'19'!D212+'20'!D212+'21'!D212+'22'!D212+'23'!D212+'24'!D212+'25'!D212+'26'!D212+'27'!D212+'28'!D212+'29'!D212+'30'!D212+'31'!D212</f>
        <v>0</v>
      </c>
      <c r="E212" s="56">
        <f t="shared" si="9"/>
        <v>0</v>
      </c>
      <c r="F212" s="57">
        <f>+'1'!F212+'2'!F212+'3'!F216+'4'!F216+'5'!F216+'6'!F217+'7'!F217+'8'!F217+'9'!F217+'10'!F217+'11'!F217+'12'!F220+'13'!F220+'14'!F221+'15'!F221+'16'!F221+'17'!F212+'18'!F212+'19'!F212+'20'!F212+'21'!F212+'22'!F212+'23'!F212+'24'!F212+'25'!F212+'26'!F212+'27'!F212+'28'!F212+'29'!F212+'30'!F212+'31'!F212</f>
        <v>0</v>
      </c>
      <c r="G212" s="56">
        <f t="shared" si="8"/>
        <v>-3</v>
      </c>
      <c r="H212" s="57">
        <v>3</v>
      </c>
      <c r="I212" s="16">
        <v>25</v>
      </c>
      <c r="J212" s="57">
        <f>+'1'!J212+'2'!J212+'3'!J216+'4'!J216+'5'!J216+'6'!J217+'7'!J217+'8'!J217+'9'!J217+'10'!J217+'11'!J217+'12'!J220+'13'!J220+'14'!J221+'15'!J221+'16'!J221+'17'!J212+'18'!J212+'19'!J212+'20'!J212+'21'!J212+'22'!J212+'23'!J212+'24'!J212+'25'!J212+'26'!J212+'27'!J212+'28'!J212+'29'!J212+'30'!J212+'31'!J212</f>
        <v>0</v>
      </c>
      <c r="K212" s="20"/>
      <c r="M212" s="66"/>
      <c r="U212" s="5"/>
    </row>
    <row r="213" spans="1:21">
      <c r="A213" s="10">
        <v>209</v>
      </c>
      <c r="B213" s="11"/>
      <c r="C213" s="56">
        <f>+'1'!C213</f>
        <v>0</v>
      </c>
      <c r="D213" s="57">
        <f>+'1'!D213+'2'!D213+'3'!D217+'4'!D217+'5'!D217+'6'!D218+'7'!D218+'8'!D218+'9'!D218+'10'!D218+'11'!D218+'12'!D221+'13'!D221+'14'!D222+'15'!D222+'16'!D222+'17'!D213+'18'!D213+'19'!D213+'20'!D213+'21'!D213+'22'!D213+'23'!D213+'24'!D213+'25'!D213+'26'!D213+'27'!D213+'28'!D213+'29'!D213+'30'!D213+'31'!D213</f>
        <v>0</v>
      </c>
      <c r="E213" s="56">
        <f t="shared" si="9"/>
        <v>0</v>
      </c>
      <c r="F213" s="57">
        <f>+'1'!F213+'2'!F213+'3'!F217+'4'!F217+'5'!F217+'6'!F218+'7'!F218+'8'!F218+'9'!F218+'10'!F218+'11'!F218+'12'!F221+'13'!F221+'14'!F222+'15'!F222+'16'!F222+'17'!F213+'18'!F213+'19'!F213+'20'!F213+'21'!F213+'22'!F213+'23'!F213+'24'!F213+'25'!F213+'26'!F213+'27'!F213+'28'!F213+'29'!F213+'30'!F213+'31'!F213</f>
        <v>0</v>
      </c>
      <c r="G213" s="56">
        <f t="shared" si="8"/>
        <v>0</v>
      </c>
      <c r="H213" s="57">
        <f>+'1'!H213+'2'!H213+'3'!H217+'4'!H217+'5'!H217+'6'!H218+'7'!H218+'8'!H218+'9'!H218+'10'!H218+'11'!H218+'12'!H221+'13'!H221+'14'!H222+'15'!H222+'16'!H222+'17'!H213+'18'!H213+'19'!H213+'20'!H213+'21'!H213+'22'!H213+'23'!H213+'24'!H213+'25'!H213+'26'!H213+'27'!H213+'28'!H213+'29'!H213+'30'!H213+'31'!H213</f>
        <v>0</v>
      </c>
      <c r="I213" s="58">
        <v>0</v>
      </c>
      <c r="J213" s="57">
        <f>+'1'!J213+'2'!J213+'3'!J217+'4'!J217+'5'!J217+'6'!J218+'7'!J218+'8'!J218+'9'!J218+'10'!J218+'11'!J218+'12'!J221+'13'!J221+'14'!J222+'15'!J222+'16'!J222+'17'!J213+'18'!J213+'19'!J213+'20'!J213+'21'!J213+'22'!J213+'23'!J213+'24'!J213+'25'!J213+'26'!J213+'27'!J213+'28'!J213+'29'!J213+'30'!J213+'31'!J213</f>
        <v>0</v>
      </c>
      <c r="K213" s="20"/>
      <c r="M213" s="66"/>
      <c r="U213" s="5"/>
    </row>
    <row r="214" spans="1:21">
      <c r="A214" s="10">
        <v>210</v>
      </c>
      <c r="B214" s="11"/>
      <c r="C214" s="56">
        <f>+'1'!C214</f>
        <v>0</v>
      </c>
      <c r="D214" s="57">
        <f>+'1'!D214+'2'!D214+'3'!D218+'4'!D218+'5'!D218+'6'!D219+'7'!D219+'8'!D219+'9'!D219+'10'!D219+'11'!D219+'12'!D222+'13'!D222+'14'!D223+'15'!D223+'16'!D223+'17'!D214+'18'!D214+'19'!D214+'20'!D214+'21'!D214+'22'!D214+'23'!D214+'24'!D214+'25'!D214+'26'!D214+'27'!D214+'28'!D214+'29'!D214+'30'!D214+'31'!D214</f>
        <v>0</v>
      </c>
      <c r="E214" s="56">
        <f t="shared" si="9"/>
        <v>0</v>
      </c>
      <c r="F214" s="57">
        <f>+'1'!F214+'2'!F214+'3'!F218+'4'!F218+'5'!F218+'6'!F219+'7'!F219+'8'!F219+'9'!F219+'10'!F219+'11'!F219+'12'!F222+'13'!F222+'14'!F223+'15'!F223+'16'!F223+'17'!F214+'18'!F214+'19'!F214+'20'!F214+'21'!F214+'22'!F214+'23'!F214+'24'!F214+'25'!F214+'26'!F214+'27'!F214+'28'!F214+'29'!F214+'30'!F214+'31'!F214</f>
        <v>0</v>
      </c>
      <c r="G214" s="56">
        <f t="shared" si="8"/>
        <v>0</v>
      </c>
      <c r="H214" s="57">
        <v>0</v>
      </c>
      <c r="I214" s="58">
        <v>0</v>
      </c>
      <c r="J214" s="57">
        <f>+'1'!J214+'2'!J214+'3'!J218+'4'!J218+'5'!J218+'6'!J219+'7'!J219+'8'!J219+'9'!J219+'10'!J219+'11'!J219+'12'!J222+'13'!J222+'14'!J223+'15'!J223+'16'!J223+'17'!J214+'18'!J214+'19'!J214+'20'!J214+'21'!J214+'22'!J214+'23'!J214+'24'!J214+'25'!J214+'26'!J214+'27'!J214+'28'!J214+'29'!J214+'30'!J214+'31'!J214</f>
        <v>0</v>
      </c>
      <c r="K214" s="20"/>
      <c r="M214" s="66"/>
      <c r="U214" s="5"/>
    </row>
    <row r="215" spans="1:21">
      <c r="A215" s="10">
        <v>211</v>
      </c>
      <c r="B215" s="11"/>
      <c r="C215" s="56">
        <f>+'1'!C215</f>
        <v>0</v>
      </c>
      <c r="D215" s="57">
        <f>+'1'!D215+'2'!D215+'3'!D219+'4'!D219+'5'!D219+'6'!D220+'7'!D220+'8'!D220+'9'!D220+'10'!D220+'11'!D220+'12'!D223+'13'!D223+'14'!D224+'15'!D224+'16'!D224+'17'!D215+'18'!D215+'19'!D215+'20'!D215+'21'!D215+'22'!D215+'23'!D215+'24'!D215+'25'!D215+'26'!D215+'27'!D215+'28'!D215+'29'!D215+'30'!D215+'31'!D215</f>
        <v>0</v>
      </c>
      <c r="E215" s="56">
        <f t="shared" si="9"/>
        <v>0</v>
      </c>
      <c r="F215" s="57">
        <f>+'1'!F215+'2'!F215+'3'!F219+'4'!F219+'5'!F219+'6'!F220+'7'!F220+'8'!F220+'9'!F220+'10'!F220+'11'!F220+'12'!F223+'13'!F223+'14'!F224+'15'!F224+'16'!F224+'17'!F215+'18'!F215+'19'!F215+'20'!F215+'21'!F215+'22'!F215+'23'!F215+'24'!F215+'25'!F215+'26'!F215+'27'!F215+'28'!F215+'29'!F215+'30'!F215+'31'!F215</f>
        <v>0</v>
      </c>
      <c r="G215" s="56">
        <f t="shared" si="8"/>
        <v>0</v>
      </c>
      <c r="H215" s="57">
        <f>+'1'!H215+'2'!H215+'3'!H219+'4'!H219+'5'!H219+'6'!H220+'7'!H220+'8'!H220+'9'!H220+'10'!H220+'11'!H220+'12'!H223+'13'!H223+'14'!H224+'15'!H224+'16'!H224+'17'!H215+'18'!H215+'19'!H215+'20'!H215+'21'!H215+'22'!H215+'23'!H215+'24'!H215+'25'!H215+'26'!H215+'27'!H215+'28'!H215+'29'!H215+'30'!H215+'31'!H215</f>
        <v>0</v>
      </c>
      <c r="I215" s="58">
        <v>0</v>
      </c>
      <c r="J215" s="57">
        <f>+'1'!J215+'2'!J215+'3'!J219+'4'!J219+'5'!J219+'6'!J220+'7'!J220+'8'!J220+'9'!J220+'10'!J220+'11'!J220+'12'!J223+'13'!J223+'14'!J224+'15'!J224+'16'!J224+'17'!J215+'18'!J215+'19'!J215+'20'!J215+'21'!J215+'22'!J215+'23'!J215+'24'!J215+'25'!J215+'26'!J215+'27'!J215+'28'!J215+'29'!J215+'30'!J215+'31'!J215</f>
        <v>0</v>
      </c>
      <c r="K215" s="20"/>
      <c r="M215" s="66"/>
      <c r="U215" s="5"/>
    </row>
    <row r="216" spans="1:21">
      <c r="A216" s="10">
        <v>212</v>
      </c>
      <c r="B216" s="11"/>
      <c r="C216" s="56">
        <f>+'1'!C216</f>
        <v>0</v>
      </c>
      <c r="D216" s="57">
        <f>+'1'!D216+'2'!D216+'3'!D220+'4'!D220+'5'!D220+'6'!D221+'7'!D221+'8'!D221+'9'!D221+'10'!D221+'11'!D221+'12'!D224+'13'!D224+'14'!D225+'15'!D225+'16'!D225+'17'!D216+'18'!D216+'19'!D216+'20'!D216+'21'!D216+'22'!D216+'23'!D216+'24'!D216+'25'!D216+'26'!D216+'27'!D216+'28'!D216+'29'!D216+'30'!D216+'31'!D216</f>
        <v>0</v>
      </c>
      <c r="E216" s="56">
        <f t="shared" si="9"/>
        <v>0</v>
      </c>
      <c r="F216" s="57">
        <f>+'1'!F216+'2'!F216+'3'!F220+'4'!F220+'5'!F220+'6'!F221+'7'!F221+'8'!F221+'9'!F221+'10'!F221+'11'!F221+'12'!F224+'13'!F224+'14'!F225+'15'!F225+'16'!F225+'17'!F216+'18'!F216+'19'!F216+'20'!F216+'21'!F216+'22'!F216+'23'!F216+'24'!F216+'25'!F216+'26'!F216+'27'!F216+'28'!F216+'29'!F216+'30'!F216+'31'!F216</f>
        <v>0</v>
      </c>
      <c r="G216" s="56">
        <f t="shared" si="8"/>
        <v>0</v>
      </c>
      <c r="H216" s="57">
        <f>+'1'!H216+'2'!H216+'3'!H220+'4'!H220+'5'!H220+'6'!H221+'7'!H221+'8'!H221+'9'!H221+'10'!H221+'11'!H221+'12'!H224+'13'!H224+'14'!H225+'15'!H225+'16'!H225+'17'!H216+'18'!H216+'19'!H216+'20'!H216+'21'!H216+'22'!H216+'23'!H216+'24'!H216+'25'!H216+'26'!H216+'27'!H216+'28'!H216+'29'!H216+'30'!H216+'31'!H216</f>
        <v>0</v>
      </c>
      <c r="I216" s="58">
        <v>0</v>
      </c>
      <c r="J216" s="57">
        <f>+'1'!J216+'2'!J216+'3'!J220+'4'!J220+'5'!J220+'6'!J221+'7'!J221+'8'!J221+'9'!J221+'10'!J221+'11'!J221+'12'!J224+'13'!J224+'14'!J225+'15'!J225+'16'!J225+'17'!J216+'18'!J216+'19'!J216+'20'!J216+'21'!J216+'22'!J216+'23'!J216+'24'!J216+'25'!J216+'26'!J216+'27'!J216+'28'!J216+'29'!J216+'30'!J216+'31'!J216</f>
        <v>0</v>
      </c>
      <c r="K216" s="20"/>
      <c r="M216" s="66"/>
      <c r="U216" s="5"/>
    </row>
    <row r="217" spans="1:21">
      <c r="A217" s="10">
        <v>213</v>
      </c>
      <c r="B217" s="11"/>
      <c r="C217" s="56">
        <f>+'1'!C217</f>
        <v>0</v>
      </c>
      <c r="D217" s="57" t="e">
        <f>+'1'!D217+'2'!D217+'3'!D221+'4'!D221+'5'!D221+'6'!D222+'7'!D222+'8'!D222+'9'!D222+'10'!D222+'11'!D222+'12'!D225+'13'!D225+'14'!D226+'15'!D226+'16'!D226+'17'!D217+'18'!D217+'19'!D217+'20'!D217+'21'!D217+'22'!D217+'23'!D217+'24'!D217+'25'!D217+'26'!D217+'27'!D217+'28'!D217+'29'!D217+'30'!D217+'31'!D217</f>
        <v>#VALUE!</v>
      </c>
      <c r="E217" s="56" t="e">
        <f t="shared" si="9"/>
        <v>#VALUE!</v>
      </c>
      <c r="F217" s="57">
        <f>+'1'!F217+'2'!F217+'3'!F221+'4'!F221+'5'!F221+'6'!F222+'7'!F222+'8'!F222+'9'!F222+'10'!F222+'11'!F222+'12'!F225+'13'!F225+'14'!F226+'15'!F226+'16'!F226+'17'!F217+'18'!F217+'19'!F217+'20'!F217+'21'!F217+'22'!F217+'23'!F217+'24'!F217+'25'!F217+'26'!F217+'27'!F217+'28'!F217+'29'!F217+'30'!F217+'31'!F217</f>
        <v>0</v>
      </c>
      <c r="G217" s="56" t="e">
        <f t="shared" si="8"/>
        <v>#VALUE!</v>
      </c>
      <c r="H217" s="57">
        <f>+'1'!H217+'2'!H217+'3'!H221+'4'!H221+'5'!H221+'6'!H222+'7'!H222+'8'!H222+'9'!H222+'10'!H222+'11'!H222+'12'!H225+'13'!H225+'14'!H226+'15'!H226+'16'!H226+'17'!H217+'18'!H217+'19'!H217+'20'!H217+'21'!H217+'22'!H217+'23'!H217+'24'!H217+'25'!H217+'26'!H217+'27'!H217+'28'!H217+'29'!H217+'30'!H217+'31'!H217</f>
        <v>0</v>
      </c>
      <c r="I217" s="58">
        <v>0</v>
      </c>
      <c r="J217" s="57">
        <f>+'1'!J217+'2'!J217+'3'!J221+'4'!J221+'5'!J221+'6'!J222+'7'!J222+'8'!J222+'9'!J222+'10'!J222+'11'!J222+'12'!J225+'13'!J225+'14'!J226+'15'!J226+'16'!J226+'17'!J217+'18'!J217+'19'!J217+'20'!J217+'21'!J217+'22'!J217+'23'!J217+'24'!J217+'25'!J217+'26'!J217+'27'!J217+'28'!J217+'29'!J217+'30'!J217+'31'!J217</f>
        <v>0</v>
      </c>
      <c r="K217" s="20"/>
      <c r="M217" s="66"/>
      <c r="U217" s="5"/>
    </row>
    <row r="218" spans="1:21">
      <c r="A218" s="10">
        <v>214</v>
      </c>
      <c r="B218" s="11"/>
      <c r="C218" s="56">
        <f>+'1'!C218</f>
        <v>0</v>
      </c>
      <c r="D218" s="57">
        <f>+'1'!D218+'2'!D218+'3'!D222+'4'!D222+'5'!D222+'6'!D223+'7'!D223+'8'!D223+'9'!D223+'10'!D223+'11'!D223+'12'!D226+'13'!D226+'14'!D227+'15'!D227+'16'!D227+'17'!D218+'18'!D218+'19'!D218+'20'!D218+'21'!D218+'22'!D218+'23'!D218+'24'!D218+'25'!D218+'26'!D218+'27'!D218+'28'!D218+'29'!D218+'30'!D218+'31'!D218</f>
        <v>0</v>
      </c>
      <c r="E218" s="56">
        <f t="shared" si="9"/>
        <v>0</v>
      </c>
      <c r="F218" s="57">
        <f>+'1'!F218+'2'!F218+'3'!F222+'4'!F222+'5'!F222+'6'!F223+'7'!F223+'8'!F223+'9'!F223+'10'!F223+'11'!F223+'12'!F226+'13'!F226+'14'!F227+'15'!F227+'16'!F227+'17'!F218+'18'!F218+'19'!F218+'20'!F218+'21'!F218+'22'!F218+'23'!F218+'24'!F218+'25'!F218+'26'!F218+'27'!F218+'28'!F218+'29'!F218+'30'!F218+'31'!F218</f>
        <v>0</v>
      </c>
      <c r="G218" s="56">
        <f t="shared" si="8"/>
        <v>0</v>
      </c>
      <c r="H218" s="57">
        <f>+'1'!H218+'2'!H218+'3'!H222+'4'!H222+'5'!H222+'6'!H223+'7'!H223+'8'!H223+'9'!H223+'10'!H223+'11'!H223+'12'!H226+'13'!H226+'14'!H227+'15'!H227+'16'!H227+'17'!H218+'18'!H218+'19'!H218+'20'!H218+'21'!H218+'22'!H218+'23'!H218+'24'!H218+'25'!H218+'26'!H218+'27'!H218+'28'!H218+'29'!H218+'30'!H218+'31'!H218</f>
        <v>0</v>
      </c>
      <c r="I218" s="58">
        <v>0</v>
      </c>
      <c r="J218" s="57">
        <f>+'1'!J218+'2'!J218+'3'!J222+'4'!J222+'5'!J222+'6'!J223+'7'!J223+'8'!J223+'9'!J223+'10'!J223+'11'!J223+'12'!J226+'13'!J226+'14'!J227+'15'!J227+'16'!J227+'17'!J218+'18'!J218+'19'!J218+'20'!J218+'21'!J218+'22'!J218+'23'!J218+'24'!J218+'25'!J218+'26'!J218+'27'!J218+'28'!J218+'29'!J218+'30'!J218+'31'!J218</f>
        <v>0</v>
      </c>
      <c r="K218" s="20"/>
      <c r="M218" s="66"/>
      <c r="U218" s="5"/>
    </row>
    <row r="219" spans="1:21">
      <c r="A219" s="10">
        <v>215</v>
      </c>
      <c r="B219" s="11"/>
      <c r="C219" s="56">
        <f>+'1'!C219</f>
        <v>0</v>
      </c>
      <c r="D219" s="57">
        <f>+'1'!D219+'2'!D219+'3'!D223+'4'!D223+'5'!D223+'6'!D224+'7'!D224+'8'!D224+'9'!D224+'10'!D224+'11'!D224+'12'!D227+'13'!D227+'14'!D228+'15'!D228+'16'!D228+'17'!D219+'18'!D219+'19'!D219+'20'!D219+'21'!D219+'22'!D219+'23'!D219+'24'!D219+'25'!D219+'26'!D219+'27'!D219+'28'!D219+'29'!D219+'30'!D219+'31'!D219</f>
        <v>0</v>
      </c>
      <c r="E219" s="56">
        <f t="shared" si="9"/>
        <v>0</v>
      </c>
      <c r="F219" s="57">
        <f>+'1'!F219+'2'!F219+'3'!F223+'4'!F223+'5'!F223+'6'!F224+'7'!F224+'8'!F224+'9'!F224+'10'!F224+'11'!F224+'12'!F227+'13'!F227+'14'!F228+'15'!F228+'16'!F228+'17'!F219+'18'!F219+'19'!F219+'20'!F219+'21'!F219+'22'!F219+'23'!F219+'24'!F219+'25'!F219+'26'!F219+'27'!F219+'28'!F219+'29'!F219+'30'!F219+'31'!F219</f>
        <v>0</v>
      </c>
      <c r="G219" s="56">
        <f t="shared" si="8"/>
        <v>0</v>
      </c>
      <c r="H219" s="57">
        <f>+'1'!H219+'2'!H219+'3'!H223+'4'!H223+'5'!H223+'6'!H224+'7'!H224+'8'!H224+'9'!H224+'10'!H224+'11'!H224+'12'!H227+'13'!H227+'14'!H228+'15'!H228+'16'!H228+'17'!H219+'18'!H219+'19'!H219+'20'!H219+'21'!H219+'22'!H219+'23'!H219+'24'!H219+'25'!H219+'26'!H219+'27'!H219+'28'!H219+'29'!H219+'30'!H219+'31'!H219</f>
        <v>0</v>
      </c>
      <c r="I219" s="58">
        <v>0</v>
      </c>
      <c r="J219" s="57">
        <f>+'1'!J219+'2'!J219+'3'!J223+'4'!J223+'5'!J223+'6'!J224+'7'!J224+'8'!J224+'9'!J224+'10'!J224+'11'!J224+'12'!J227+'13'!J227+'14'!J228+'15'!J228+'16'!J228+'17'!J219+'18'!J219+'19'!J219+'20'!J219+'21'!J219+'22'!J219+'23'!J219+'24'!J219+'25'!J219+'26'!J219+'27'!J219+'28'!J219+'29'!J219+'30'!J219+'31'!J219</f>
        <v>0</v>
      </c>
      <c r="K219" s="20"/>
      <c r="M219" s="66"/>
      <c r="U219" s="5"/>
    </row>
    <row r="220" spans="1:21">
      <c r="A220" s="10">
        <v>216</v>
      </c>
      <c r="B220" s="11"/>
      <c r="C220" s="56">
        <f>+'1'!C220</f>
        <v>0</v>
      </c>
      <c r="D220" s="57">
        <f>+'1'!D220+'2'!D220+'3'!D224+'4'!D224+'5'!D224+'6'!D225+'7'!D225+'8'!D225+'9'!D225+'10'!D225+'11'!D225+'12'!D228+'13'!D228+'14'!D229+'15'!D229+'16'!D229+'17'!D220+'18'!D220+'19'!D220+'20'!D220+'21'!D220+'22'!D220+'23'!D220+'24'!D220+'25'!D220+'26'!D220+'27'!D220+'28'!D220+'29'!D220+'30'!D220+'31'!D220</f>
        <v>0</v>
      </c>
      <c r="E220" s="56">
        <f t="shared" si="9"/>
        <v>0</v>
      </c>
      <c r="F220" s="57">
        <f>+'1'!F220+'2'!F220+'3'!F224+'4'!F224+'5'!F224+'6'!F225+'7'!F225+'8'!F225+'9'!F225+'10'!F225+'11'!F225+'12'!F228+'13'!F228+'14'!F229+'15'!F229+'16'!F229+'17'!F220+'18'!F220+'19'!F220+'20'!F220+'21'!F220+'22'!F220+'23'!F220+'24'!F220+'25'!F220+'26'!F220+'27'!F220+'28'!F220+'29'!F220+'30'!F220+'31'!F220</f>
        <v>0</v>
      </c>
      <c r="G220" s="56">
        <f t="shared" si="8"/>
        <v>0</v>
      </c>
      <c r="H220" s="57">
        <f>+'1'!H220+'2'!H220+'3'!H224+'4'!H224+'5'!H224+'6'!H225+'7'!H225+'8'!H225+'9'!H225+'10'!H225+'11'!H225+'12'!H228+'13'!H228+'14'!H229+'15'!H229+'16'!H229+'17'!H220+'18'!H220+'19'!H220+'20'!H220+'21'!H220+'22'!H220+'23'!H220+'24'!H220+'25'!H220+'26'!H220+'27'!H220+'28'!H220+'29'!H220+'30'!H220+'31'!H220</f>
        <v>0</v>
      </c>
      <c r="I220" s="58">
        <v>0</v>
      </c>
      <c r="J220" s="57">
        <f>+'1'!J220+'2'!J220+'3'!J224+'4'!J224+'5'!J224+'6'!J225+'7'!J225+'8'!J225+'9'!J225+'10'!J225+'11'!J225+'12'!J228+'13'!J228+'14'!J229+'15'!J229+'16'!J229+'17'!J220+'18'!J220+'19'!J220+'20'!J220+'21'!J220+'22'!J220+'23'!J220+'24'!J220+'25'!J220+'26'!J220+'27'!J220+'28'!J220+'29'!J220+'30'!J220+'31'!J220</f>
        <v>0</v>
      </c>
      <c r="K220" s="20"/>
      <c r="M220" s="66"/>
      <c r="U220" s="5"/>
    </row>
    <row r="221" spans="1:21">
      <c r="A221" s="10">
        <v>217</v>
      </c>
      <c r="B221" s="11"/>
      <c r="C221" s="56">
        <f>+'1'!C221</f>
        <v>0</v>
      </c>
      <c r="D221" s="57">
        <f>+'1'!D221+'2'!D221+'3'!D225+'4'!D225+'5'!D225+'6'!D226+'7'!D226+'8'!D226+'9'!D226+'10'!D226+'11'!D226+'12'!D229+'13'!D229+'14'!D230+'15'!D230+'16'!D230+'17'!D221+'18'!D221+'19'!D221+'20'!D221+'21'!D221+'22'!D221+'23'!D221+'24'!D221+'25'!D221+'26'!D221+'27'!D221+'28'!D221+'29'!D221+'30'!D221+'31'!D221</f>
        <v>0</v>
      </c>
      <c r="E221" s="56">
        <f t="shared" si="9"/>
        <v>0</v>
      </c>
      <c r="F221" s="57">
        <f>+'1'!F221+'2'!F221+'3'!F225+'4'!F225+'5'!F225+'6'!F226+'7'!F226+'8'!F226+'9'!F226+'10'!F226+'11'!F226+'12'!F229+'13'!F229+'14'!F230+'15'!F230+'16'!F230+'17'!F221+'18'!F221+'19'!F221+'20'!F221+'21'!F221+'22'!F221+'23'!F221+'24'!F221+'25'!F221+'26'!F221+'27'!F221+'28'!F221+'29'!F221+'30'!F221+'31'!F221</f>
        <v>0</v>
      </c>
      <c r="G221" s="56">
        <f t="shared" si="8"/>
        <v>0</v>
      </c>
      <c r="H221" s="57">
        <f>+'1'!H221+'2'!H221+'3'!H225+'4'!H225+'5'!H225+'6'!H226+'7'!H226+'8'!H226+'9'!H226+'10'!H226+'11'!H226+'12'!H229+'13'!H229+'14'!H230+'15'!H230+'16'!H230+'17'!H221+'18'!H221+'19'!H221+'20'!H221+'21'!H221+'22'!H221+'23'!H221+'24'!H221+'25'!H221+'26'!H221+'27'!H221+'28'!H221+'29'!H221+'30'!H221+'31'!H221</f>
        <v>0</v>
      </c>
      <c r="I221" s="58">
        <v>0</v>
      </c>
      <c r="J221" s="57">
        <f>+'1'!J221+'2'!J221+'3'!J225+'4'!J225+'5'!J225+'6'!J226+'7'!J226+'8'!J226+'9'!J226+'10'!J226+'11'!J226+'12'!J229+'13'!J229+'14'!J230+'15'!J230+'16'!J230+'17'!J221+'18'!J221+'19'!J221+'20'!J221+'21'!J221+'22'!J221+'23'!J221+'24'!J221+'25'!J221+'26'!J221+'27'!J221+'28'!J221+'29'!J221+'30'!J221+'31'!J221</f>
        <v>0</v>
      </c>
      <c r="K221" s="20"/>
      <c r="M221" s="66"/>
      <c r="U221" s="5"/>
    </row>
    <row r="222" spans="1:21">
      <c r="A222" s="10">
        <v>218</v>
      </c>
      <c r="B222" s="11"/>
      <c r="C222" s="56">
        <f>+'1'!C222</f>
        <v>0</v>
      </c>
      <c r="D222" s="57">
        <f>+'1'!D222+'2'!D222+'3'!D226+'4'!D226+'5'!D226+'6'!D227+'7'!D227+'8'!D227+'9'!D227+'10'!D227+'11'!D227+'12'!D230+'13'!D230+'14'!D231+'15'!D231+'16'!D231+'17'!D222+'18'!D222+'19'!D222+'20'!D222+'21'!D222+'22'!D222+'23'!D222+'24'!D222+'25'!D222+'26'!D222+'27'!D222+'28'!D222+'29'!D222+'30'!D222+'31'!D222</f>
        <v>0</v>
      </c>
      <c r="E222" s="56">
        <f t="shared" si="9"/>
        <v>0</v>
      </c>
      <c r="F222" s="57">
        <f>+'1'!F222+'2'!F222+'3'!F226+'4'!F226+'5'!F226+'6'!F227+'7'!F227+'8'!F227+'9'!F227+'10'!F227+'11'!F227+'12'!F230+'13'!F230+'14'!F231+'15'!F231+'16'!F231+'17'!F222+'18'!F222+'19'!F222+'20'!F222+'21'!F222+'22'!F222+'23'!F222+'24'!F222+'25'!F222+'26'!F222+'27'!F222+'28'!F222+'29'!F222+'30'!F222+'31'!F222</f>
        <v>0</v>
      </c>
      <c r="G222" s="56">
        <f t="shared" si="8"/>
        <v>0</v>
      </c>
      <c r="H222" s="57">
        <f>+'1'!H222+'2'!H222+'3'!H226+'4'!H226+'5'!H226+'6'!H227+'7'!H227+'8'!H227+'9'!H227+'10'!H227+'11'!H227+'12'!H230+'13'!H230+'14'!H231+'15'!H231+'16'!H231+'17'!H222+'18'!H222+'19'!H222+'20'!H222+'21'!H222+'22'!H222+'23'!H222+'24'!H222+'25'!H222+'26'!H222+'27'!H222+'28'!H222+'29'!H222+'30'!H222+'31'!H222</f>
        <v>0</v>
      </c>
      <c r="I222" s="58">
        <v>0</v>
      </c>
      <c r="J222" s="57">
        <f>+'1'!J222+'2'!J222+'3'!J226+'4'!J226+'5'!J226+'6'!J227+'7'!J227+'8'!J227+'9'!J227+'10'!J227+'11'!J227+'12'!J230+'13'!J230+'14'!J231+'15'!J231+'16'!J231+'17'!J222+'18'!J222+'19'!J222+'20'!J222+'21'!J222+'22'!J222+'23'!J222+'24'!J222+'25'!J222+'26'!J222+'27'!J222+'28'!J222+'29'!J222+'30'!J222+'31'!J222</f>
        <v>0</v>
      </c>
      <c r="K222" s="20"/>
      <c r="M222" s="66"/>
      <c r="U222" s="5"/>
    </row>
    <row r="223" spans="1:21">
      <c r="A223" s="10">
        <v>219</v>
      </c>
      <c r="B223" s="11"/>
      <c r="C223" s="56">
        <f>+'1'!C223</f>
        <v>0</v>
      </c>
      <c r="D223" s="57">
        <f>+'1'!D223+'2'!D223+'3'!D227+'4'!D227+'5'!D227+'6'!D228+'7'!D228+'8'!D228+'9'!D228+'10'!D228+'11'!D228+'12'!D231+'13'!D231+'14'!D232+'15'!D232+'16'!D232+'17'!D223+'18'!D223+'19'!D223+'20'!D223+'21'!D223+'22'!D223+'23'!D223+'24'!D223+'25'!D223+'26'!D223+'27'!D223+'28'!D223+'29'!D223+'30'!D223+'31'!D223</f>
        <v>0</v>
      </c>
      <c r="E223" s="56">
        <f t="shared" si="9"/>
        <v>0</v>
      </c>
      <c r="F223" s="57">
        <f>+'1'!F223+'2'!F223+'3'!F227+'4'!F227+'5'!F227+'6'!F228+'7'!F228+'8'!F228+'9'!F228+'10'!F228+'11'!F228+'12'!F231+'13'!F231+'14'!F232+'15'!F232+'16'!F232+'17'!F223+'18'!F223+'19'!F223+'20'!F223+'21'!F223+'22'!F223+'23'!F223+'24'!F223+'25'!F223+'26'!F223+'27'!F223+'28'!F223+'29'!F223+'30'!F223+'31'!F223</f>
        <v>0</v>
      </c>
      <c r="G223" s="56">
        <f t="shared" si="8"/>
        <v>0</v>
      </c>
      <c r="H223" s="57">
        <f>+'1'!H223+'2'!H223+'3'!H227+'4'!H227+'5'!H227+'6'!H228+'7'!H228+'8'!H228+'9'!H228+'10'!H228+'11'!H228+'12'!H231+'13'!H231+'14'!H232+'15'!H232+'16'!H232+'17'!H223+'18'!H223+'19'!H223+'20'!H223+'21'!H223+'22'!H223+'23'!H223+'24'!H223+'25'!H223+'26'!H223+'27'!H223+'28'!H223+'29'!H223+'30'!H223+'31'!H223</f>
        <v>0</v>
      </c>
      <c r="I223" s="58">
        <v>0</v>
      </c>
      <c r="J223" s="57">
        <f>+'1'!J223+'2'!J223+'3'!J227+'4'!J227+'5'!J227+'6'!J228+'7'!J228+'8'!J228+'9'!J228+'10'!J228+'11'!J228+'12'!J231+'13'!J231+'14'!J232+'15'!J232+'16'!J232+'17'!J223+'18'!J223+'19'!J223+'20'!J223+'21'!J223+'22'!J223+'23'!J223+'24'!J223+'25'!J223+'26'!J223+'27'!J223+'28'!J223+'29'!J223+'30'!J223+'31'!J223</f>
        <v>0</v>
      </c>
      <c r="K223" s="20"/>
      <c r="M223" s="66"/>
      <c r="U223" s="5"/>
    </row>
    <row r="224" spans="1:21">
      <c r="A224" s="10">
        <v>220</v>
      </c>
      <c r="B224" s="11"/>
      <c r="C224" s="56">
        <f>+'1'!C224</f>
        <v>0</v>
      </c>
      <c r="D224" s="57">
        <f>+'1'!D224+'2'!D224+'3'!D228+'4'!D228+'5'!D228+'6'!D229+'7'!D229+'8'!D229+'9'!D229+'10'!D229+'11'!D229+'12'!D232+'13'!D232+'14'!D233+'15'!D233+'16'!D233+'17'!D224+'18'!D224+'19'!D224+'20'!D224+'21'!D224+'22'!D224+'23'!D224+'24'!D224+'25'!D224+'26'!D224+'27'!D224+'28'!D224+'29'!D224+'30'!D224+'31'!D224</f>
        <v>0</v>
      </c>
      <c r="E224" s="56">
        <f t="shared" si="9"/>
        <v>0</v>
      </c>
      <c r="F224" s="57">
        <f>+'1'!F224+'2'!F224+'3'!F228+'4'!F228+'5'!F228+'6'!F229+'7'!F229+'8'!F229+'9'!F229+'10'!F229+'11'!F229+'12'!F232+'13'!F232+'14'!F233+'15'!F233+'16'!F233+'17'!F224+'18'!F224+'19'!F224+'20'!F224+'21'!F224+'22'!F224+'23'!F224+'24'!F224+'25'!F224+'26'!F224+'27'!F224+'28'!F224+'29'!F224+'30'!F224+'31'!F224</f>
        <v>0</v>
      </c>
      <c r="G224" s="56">
        <f t="shared" si="8"/>
        <v>0</v>
      </c>
      <c r="H224" s="57">
        <f>+'1'!H224+'2'!H224+'3'!H228+'4'!H228+'5'!H228+'6'!H229+'7'!H229+'8'!H229+'9'!H229+'10'!H229+'11'!H229+'12'!H232+'13'!H232+'14'!H233+'15'!H233+'16'!H233+'17'!H224+'18'!H224+'19'!H224+'20'!H224+'21'!H224+'22'!H224+'23'!H224+'24'!H224+'25'!H224+'26'!H224+'27'!H224+'28'!H224+'29'!H224+'30'!H224+'31'!H224</f>
        <v>0</v>
      </c>
      <c r="I224" s="58">
        <v>0</v>
      </c>
      <c r="J224" s="57">
        <v>0</v>
      </c>
      <c r="K224" s="20"/>
      <c r="M224" s="66"/>
      <c r="U224" s="5"/>
    </row>
    <row r="225" spans="1:22" ht="29.25">
      <c r="A225" s="10">
        <v>233</v>
      </c>
      <c r="B225" s="20"/>
      <c r="C225" s="56"/>
      <c r="D225" s="57"/>
      <c r="E225" s="56"/>
      <c r="F225" s="57"/>
      <c r="G225" s="56"/>
      <c r="H225" s="57"/>
      <c r="I225" s="16"/>
      <c r="J225" s="57"/>
      <c r="K225" s="20"/>
      <c r="M225" s="66"/>
      <c r="U225" s="5"/>
      <c r="V225" s="67"/>
    </row>
    <row r="226" spans="1:22" s="67" customFormat="1" ht="27.75" customHeight="1">
      <c r="A226" s="121" t="s">
        <v>240</v>
      </c>
      <c r="B226" s="122"/>
      <c r="C226" s="122"/>
      <c r="D226" s="122"/>
      <c r="E226" s="122"/>
      <c r="F226" s="122"/>
      <c r="G226" s="122"/>
      <c r="H226" s="122"/>
      <c r="I226" s="122"/>
      <c r="J226" s="122"/>
      <c r="K226" s="123"/>
      <c r="M226" s="68"/>
      <c r="N226" s="68"/>
      <c r="O226" s="68"/>
      <c r="P226" s="69"/>
      <c r="Q226" s="69"/>
      <c r="R226" s="69"/>
      <c r="S226" s="69"/>
      <c r="T226" s="69"/>
      <c r="U226" s="5"/>
      <c r="V226" s="70"/>
    </row>
    <row r="227" spans="1:22" s="70" customFormat="1" ht="25.5" customHeight="1">
      <c r="A227" s="124" t="s">
        <v>241</v>
      </c>
      <c r="B227" s="125"/>
      <c r="C227" s="126" t="s">
        <v>256</v>
      </c>
      <c r="D227" s="127"/>
      <c r="E227" s="128" t="s">
        <v>242</v>
      </c>
      <c r="F227" s="129"/>
      <c r="G227" s="130" t="s">
        <v>243</v>
      </c>
      <c r="H227" s="130"/>
      <c r="I227" s="130"/>
      <c r="J227" s="71">
        <f>SUM(J5:J225)</f>
        <v>71452</v>
      </c>
      <c r="K227" s="72" t="s">
        <v>236</v>
      </c>
      <c r="M227" s="73"/>
      <c r="N227" s="73"/>
      <c r="O227" s="73"/>
      <c r="P227" s="73"/>
      <c r="Q227" s="73"/>
      <c r="R227" s="73"/>
      <c r="S227" s="73"/>
      <c r="T227" s="73"/>
      <c r="U227" s="5"/>
      <c r="V227" s="74"/>
    </row>
    <row r="228" spans="1:22" s="74" customFormat="1" ht="24.75" customHeight="1">
      <c r="A228" s="75" t="s">
        <v>244</v>
      </c>
      <c r="B228" s="76">
        <f>+J230</f>
        <v>71452</v>
      </c>
      <c r="C228" s="77" t="s">
        <v>245</v>
      </c>
      <c r="D228" s="78">
        <f>+J227</f>
        <v>71452</v>
      </c>
      <c r="E228" s="79" t="s">
        <v>234</v>
      </c>
      <c r="F228" s="80">
        <f>SUM(P36)</f>
        <v>0</v>
      </c>
      <c r="G228" s="112"/>
      <c r="H228" s="112"/>
      <c r="I228" s="112"/>
      <c r="J228" s="82"/>
      <c r="K228" s="82">
        <f>+R36</f>
        <v>31405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74" customFormat="1" ht="24.75" customHeight="1">
      <c r="A229" s="75"/>
      <c r="B229" s="76"/>
      <c r="C229" s="77" t="s">
        <v>246</v>
      </c>
      <c r="D229" s="78">
        <f>K230</f>
        <v>9496</v>
      </c>
      <c r="E229" s="79"/>
      <c r="F229" s="83">
        <v>0</v>
      </c>
      <c r="G229" s="112" t="s">
        <v>247</v>
      </c>
      <c r="H229" s="112"/>
      <c r="I229" s="112"/>
      <c r="J229" s="82">
        <f>-O36</f>
        <v>0</v>
      </c>
      <c r="K229" s="82" t="s">
        <v>246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74" customFormat="1" ht="24.75" customHeight="1">
      <c r="A230" s="84" t="s">
        <v>11</v>
      </c>
      <c r="B230" s="76">
        <f>+D229</f>
        <v>9496</v>
      </c>
      <c r="C230" s="77"/>
      <c r="D230" s="78"/>
      <c r="E230" s="79" t="s">
        <v>248</v>
      </c>
      <c r="F230" s="83">
        <f>+Q36</f>
        <v>1071</v>
      </c>
      <c r="G230" s="113" t="s">
        <v>249</v>
      </c>
      <c r="H230" s="114"/>
      <c r="I230" s="115"/>
      <c r="J230" s="82">
        <f>+J227-J228</f>
        <v>71452</v>
      </c>
      <c r="K230" s="85">
        <f>+N36</f>
        <v>9496</v>
      </c>
      <c r="M230" s="86"/>
      <c r="N230" s="5"/>
      <c r="O230" s="5"/>
      <c r="P230" s="5"/>
      <c r="Q230" s="5"/>
      <c r="R230" s="5"/>
      <c r="S230" s="5"/>
      <c r="T230" s="5"/>
      <c r="U230" s="5"/>
    </row>
    <row r="231" spans="1:22" s="74" customFormat="1" ht="24.75" customHeight="1" thickBot="1">
      <c r="A231" s="87" t="s">
        <v>250</v>
      </c>
      <c r="B231" s="76">
        <f>B228-B230</f>
        <v>61956</v>
      </c>
      <c r="C231" s="77" t="s">
        <v>250</v>
      </c>
      <c r="D231" s="78">
        <f>+D228-D229</f>
        <v>61956</v>
      </c>
      <c r="E231" s="79" t="s">
        <v>251</v>
      </c>
      <c r="F231" s="83">
        <f>SUM(F228:F230)</f>
        <v>1071</v>
      </c>
      <c r="G231" s="112" t="s">
        <v>217</v>
      </c>
      <c r="H231" s="112"/>
      <c r="I231" s="112"/>
      <c r="J231" s="82">
        <f>F231</f>
        <v>1071</v>
      </c>
      <c r="K231" s="8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74" customFormat="1" ht="24.75" customHeight="1" thickTop="1">
      <c r="A232" s="88"/>
      <c r="B232" s="88"/>
      <c r="C232" s="77" t="s">
        <v>252</v>
      </c>
      <c r="D232" s="78">
        <v>100000</v>
      </c>
      <c r="G232" s="105" t="s">
        <v>222</v>
      </c>
      <c r="H232" s="106"/>
      <c r="I232" s="107"/>
      <c r="J232" s="82">
        <f>J230-J231-K228-K230</f>
        <v>29480</v>
      </c>
      <c r="K232" s="81"/>
      <c r="M232" s="86"/>
      <c r="N232" s="86"/>
      <c r="O232" s="5"/>
      <c r="P232" s="5"/>
      <c r="Q232" s="5"/>
      <c r="R232" s="5"/>
      <c r="S232" s="5"/>
      <c r="T232" s="5"/>
    </row>
    <row r="233" spans="1:22" s="74" customFormat="1" ht="24.75" customHeight="1">
      <c r="A233" s="88"/>
      <c r="B233" s="88"/>
      <c r="C233" s="77" t="s">
        <v>253</v>
      </c>
      <c r="D233" s="78">
        <f>D231-D232</f>
        <v>-38044</v>
      </c>
      <c r="G233" s="105" t="s">
        <v>223</v>
      </c>
      <c r="H233" s="106"/>
      <c r="I233" s="107"/>
      <c r="J233" s="82">
        <f>+T36</f>
        <v>30160</v>
      </c>
      <c r="K233" s="81"/>
      <c r="M233" s="86"/>
      <c r="N233" s="5"/>
      <c r="O233" s="5"/>
      <c r="P233" s="5"/>
      <c r="Q233" s="5"/>
      <c r="R233" s="5"/>
      <c r="S233" s="5"/>
      <c r="T233" s="5"/>
    </row>
    <row r="234" spans="1:22" s="74" customFormat="1" ht="24.75" customHeight="1">
      <c r="A234" s="88"/>
      <c r="B234" s="88"/>
      <c r="C234" s="77" t="s">
        <v>254</v>
      </c>
      <c r="D234" s="78">
        <v>0</v>
      </c>
      <c r="G234" s="105" t="s">
        <v>224</v>
      </c>
      <c r="H234" s="106"/>
      <c r="I234" s="107"/>
      <c r="J234" s="82">
        <v>0</v>
      </c>
      <c r="K234" s="81"/>
      <c r="M234" s="8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88"/>
      <c r="B235" s="88"/>
      <c r="G235" s="108" t="s">
        <v>225</v>
      </c>
      <c r="H235" s="108"/>
      <c r="I235" s="108"/>
      <c r="J235" s="89">
        <f>+J233-J232</f>
        <v>680</v>
      </c>
      <c r="K235" s="92"/>
    </row>
    <row r="236" spans="1:22" ht="24.75" customHeight="1" thickBot="1">
      <c r="F236" s="109" t="s">
        <v>255</v>
      </c>
      <c r="G236" s="110"/>
      <c r="H236" s="110"/>
      <c r="I236" s="110"/>
      <c r="J236" s="110"/>
      <c r="K236" s="111"/>
    </row>
    <row r="237" spans="1:22">
      <c r="D23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299"/>
  <sheetViews>
    <sheetView topLeftCell="A91" zoomScaleNormal="100" zoomScalePageLayoutView="110" workbookViewId="0">
      <selection activeCell="K6" sqref="K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22.5703125" style="2" customWidth="1"/>
    <col min="12" max="12" width="6.7109375" style="2" bestFit="1" customWidth="1"/>
    <col min="13" max="13" width="9.140625" style="2" bestFit="1" customWidth="1"/>
    <col min="14" max="14" width="5.570312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+'[1]30'!G5</f>
        <v>11</v>
      </c>
      <c r="D5" s="13">
        <v>10</v>
      </c>
      <c r="E5" s="12">
        <f t="shared" ref="E5:E94" si="0">C5+D5</f>
        <v>21</v>
      </c>
      <c r="F5" s="13">
        <v>0</v>
      </c>
      <c r="G5" s="14">
        <f t="shared" ref="G5:G68" si="1">E5-F5-H5</f>
        <v>17</v>
      </c>
      <c r="H5" s="15">
        <v>4</v>
      </c>
      <c r="I5" s="16">
        <v>50</v>
      </c>
      <c r="J5" s="17">
        <f>+I5*H5</f>
        <v>200</v>
      </c>
      <c r="K5" s="18" t="s">
        <v>279</v>
      </c>
      <c r="L5" s="19">
        <v>0</v>
      </c>
      <c r="M5" s="24">
        <f>SUM(J5-L5)</f>
        <v>200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+'[1]30'!G6</f>
        <v>26</v>
      </c>
      <c r="D6" s="13">
        <v>10</v>
      </c>
      <c r="E6" s="12">
        <f t="shared" si="0"/>
        <v>36</v>
      </c>
      <c r="F6" s="13">
        <v>0</v>
      </c>
      <c r="G6" s="14">
        <f t="shared" si="1"/>
        <v>33</v>
      </c>
      <c r="H6" s="15">
        <v>3</v>
      </c>
      <c r="I6" s="16">
        <v>100</v>
      </c>
      <c r="J6" s="17">
        <f t="shared" ref="J6:J70" si="4">+I6*H6</f>
        <v>300</v>
      </c>
      <c r="K6" s="18" t="s">
        <v>279</v>
      </c>
      <c r="L6" s="19"/>
      <c r="M6" s="96">
        <f t="shared" ref="M6:M69" si="5">SUM(J6-L6)</f>
        <v>300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+'[1]30'!G12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+'[1]30'!G14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+'[1]30'!G15</f>
        <v>2</v>
      </c>
      <c r="D15" s="13">
        <v>0</v>
      </c>
      <c r="E15" s="12">
        <f t="shared" si="0"/>
        <v>2</v>
      </c>
      <c r="F15" s="13">
        <v>2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270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+'[1]30'!G17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+'[1]30'!G19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3</v>
      </c>
      <c r="H19" s="15">
        <v>4</v>
      </c>
      <c r="I19" s="16">
        <v>50</v>
      </c>
      <c r="J19" s="17">
        <f t="shared" si="4"/>
        <v>200</v>
      </c>
      <c r="K19" s="18" t="s">
        <v>17</v>
      </c>
      <c r="L19" s="19"/>
      <c r="M19" s="24">
        <f t="shared" si="5"/>
        <v>200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+'[1]30'!G22</f>
        <v>6</v>
      </c>
      <c r="D22" s="13">
        <v>0</v>
      </c>
      <c r="E22" s="12">
        <f>C22+D22</f>
        <v>6</v>
      </c>
      <c r="F22" s="13">
        <v>3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270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+'[1]30'!G23</f>
        <v>5</v>
      </c>
      <c r="D23" s="13">
        <v>0</v>
      </c>
      <c r="E23" s="14">
        <f>C23+D23</f>
        <v>5</v>
      </c>
      <c r="F23" s="13">
        <v>0</v>
      </c>
      <c r="G23" s="14">
        <f t="shared" si="1"/>
        <v>2</v>
      </c>
      <c r="H23" s="15">
        <v>3</v>
      </c>
      <c r="I23" s="16">
        <v>100</v>
      </c>
      <c r="J23" s="17">
        <f t="shared" si="4"/>
        <v>300</v>
      </c>
      <c r="K23" s="18"/>
      <c r="L23" s="19"/>
      <c r="M23" s="96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+'[1]30'!G24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3">
        <v>100</v>
      </c>
      <c r="J24" s="17">
        <f t="shared" si="4"/>
        <v>200</v>
      </c>
      <c r="K24" s="18" t="s">
        <v>17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+'[1]30'!G26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+'[1]30'!G27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+'[1]30'!G29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+'[1]30'!G31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+'[1]30'!G34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96">
        <f t="shared" si="5"/>
        <v>390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+'[1]30'!G35</f>
        <v>6</v>
      </c>
      <c r="D35" s="13">
        <v>0</v>
      </c>
      <c r="E35" s="14">
        <f t="shared" si="0"/>
        <v>6</v>
      </c>
      <c r="F35" s="13">
        <v>0</v>
      </c>
      <c r="G35" s="14">
        <f t="shared" si="1"/>
        <v>1</v>
      </c>
      <c r="H35" s="15">
        <v>5</v>
      </c>
      <c r="I35" s="16">
        <v>130</v>
      </c>
      <c r="J35" s="17">
        <f t="shared" si="4"/>
        <v>650</v>
      </c>
      <c r="K35" s="18" t="s">
        <v>280</v>
      </c>
      <c r="L35" s="19">
        <v>130</v>
      </c>
      <c r="M35" s="96">
        <f t="shared" si="5"/>
        <v>520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+'[1]30'!G36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+'[1]30'!G37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8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96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+'[1]30'!G38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96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+'[1]30'!G39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17">
        <f t="shared" si="4"/>
        <v>50</v>
      </c>
      <c r="K39" s="18" t="s">
        <v>271</v>
      </c>
      <c r="L39" s="19">
        <v>25</v>
      </c>
      <c r="M39" s="96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+'[1]30'!G40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+'[1]30'!G41</f>
        <v>9</v>
      </c>
      <c r="D41" s="13">
        <v>0</v>
      </c>
      <c r="E41" s="12">
        <f t="shared" si="0"/>
        <v>9</v>
      </c>
      <c r="F41" s="13">
        <v>4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270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+'[1]30'!G42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+'[1]30'!G43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+'[1]30'!G44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+'[1]30'!G46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+'[1]30'!G47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+'[1]30'!G48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+'[1]30'!G49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+'[1]30'!G50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+'[1]30'!G51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+'[1]30'!G52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17</v>
      </c>
      <c r="L52" s="19">
        <v>0</v>
      </c>
      <c r="M52" s="24">
        <f t="shared" si="5"/>
        <v>120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+'[1]30'!G54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+'[1]30'!G55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+'[1]30'!G57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+'[1]30'!G62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+'[1]30'!G63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+'[1]30'!G66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+'[1]30'!G67</f>
        <v>4</v>
      </c>
      <c r="D67" s="13">
        <v>0</v>
      </c>
      <c r="E67" s="12">
        <f>C67+D67</f>
        <v>4</v>
      </c>
      <c r="F67" s="13">
        <v>2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270</v>
      </c>
      <c r="L67" s="19">
        <v>0</v>
      </c>
      <c r="M67" s="96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+'[1]30'!G70</f>
        <v>5</v>
      </c>
      <c r="D70" s="13"/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/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+'[1]30'!G71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3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96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+'[1]30'!G73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+'[1]30'!G74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+'[1]30'!G77</f>
        <v>6</v>
      </c>
      <c r="D77" s="13">
        <v>0</v>
      </c>
      <c r="E77" s="12">
        <f t="shared" si="0"/>
        <v>6</v>
      </c>
      <c r="F77" s="13">
        <v>1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270</v>
      </c>
      <c r="L77" s="19"/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+'[1]30'!G78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+'[1]30'!G79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+'[1]30'!G81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+'[1]30'!G85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2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+'[1]30'!G86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+'[1]30'!G87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+'[1]30'!G88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11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+'[1]30'!G89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+'[1]30'!G92</f>
        <v>14</v>
      </c>
      <c r="D92" s="13"/>
      <c r="E92" s="12">
        <f t="shared" si="0"/>
        <v>14</v>
      </c>
      <c r="F92" s="13">
        <v>0</v>
      </c>
      <c r="G92" s="14">
        <f t="shared" si="6"/>
        <v>11</v>
      </c>
      <c r="H92" s="15">
        <v>3</v>
      </c>
      <c r="I92" s="21">
        <v>120</v>
      </c>
      <c r="J92" s="17">
        <f t="shared" si="10"/>
        <v>360</v>
      </c>
      <c r="K92" s="18" t="s">
        <v>275</v>
      </c>
      <c r="L92" s="19">
        <v>120</v>
      </c>
      <c r="M92" s="96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+'[1]30'!G93</f>
        <v>11</v>
      </c>
      <c r="D93" s="13"/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+'[1]30'!G96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+'[1]30'!G97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+'[1]30'!G98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+'[1]30'!G99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+'[1]30'!G100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+'[1]30'!G101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+'[1]30'!G102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+'[1]30'!G103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+'[1]30'!G104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+'[1]30'!G105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+'[1]30'!G106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11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96">
        <f t="shared" si="9"/>
        <v>60</v>
      </c>
      <c r="Z106" s="30"/>
    </row>
    <row r="107" spans="1:26" ht="26.25" customHeight="1">
      <c r="A107" s="10">
        <v>103</v>
      </c>
      <c r="B107" s="20" t="s">
        <v>115</v>
      </c>
      <c r="C107" s="12">
        <f>+'[1]30'!G107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+'[1]30'!G108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+'[1]30'!G109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+'[1]30'!G110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+'[1]30'!G111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+'[1]30'!G112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+'[1]30'!G113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+'[1]30'!G114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+'[1]30'!G115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+'[1]30'!G116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+'[1]30'!G117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+'[1]30'!G118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+'[1]30'!G119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+'[1]30'!G120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+'[1]30'!G121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+'[1]30'!G122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+'[1]30'!G123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+'[1]30'!G124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+'[1]30'!G125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+'[1]30'!G126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+'[1]30'!G127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+'[1]30'!G128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+'[1]30'!G129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+'[1]30'!G130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+'[1]30'!G131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+'[1]30'!G132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+'[1]30'!G133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+'[1]30'!G134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+'[1]30'!G135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+'[1]30'!G136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+'[1]30'!G137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+'[1]30'!G138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+'[1]30'!G139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+'[1]30'!G140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+'[1]30'!G141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+'[1]30'!G142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+'[1]30'!G143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+'[1]30'!G144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+'[1]30'!G145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+'[1]30'!G146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+'[1]30'!G147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+'[1]30'!G148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+'[1]30'!G149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+'[1]30'!G150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+'[1]30'!G151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+'[1]30'!G152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3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+'[1]30'!G153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+'[1]30'!G154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+'[1]30'!G155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+'[1]30'!G156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+'[1]30'!G157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+'[1]30'!G158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+'[1]30'!G159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+'[1]30'!G160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+'[1]30'!G161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+'[1]30'!G162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+'[1]30'!G163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+'[1]30'!G164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+'[1]30'!G165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+'[1]30'!G166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+'[1]30'!G167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+'[1]30'!G168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+'[1]30'!G169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+'[1]30'!G170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+'[1]30'!G171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+'[1]30'!G172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+'[1]30'!G173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+'[1]30'!G174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+'[1]30'!G175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+'[1]30'!G176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+'[1]30'!G177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+'[1]30'!G178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+'[1]30'!G179</f>
        <v>63</v>
      </c>
      <c r="D179" s="13">
        <v>0</v>
      </c>
      <c r="E179" s="12">
        <f t="shared" si="11"/>
        <v>63</v>
      </c>
      <c r="F179" s="13">
        <v>1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282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+'[1]30'!G180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+'[1]30'!G181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+'[1]30'!G182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+'[1]30'!G183</f>
        <v>8</v>
      </c>
      <c r="D183" s="13">
        <v>0</v>
      </c>
      <c r="E183" s="12">
        <f t="shared" si="11"/>
        <v>8</v>
      </c>
      <c r="F183" s="13">
        <v>1</v>
      </c>
      <c r="G183" s="14">
        <f t="shared" si="14"/>
        <v>7</v>
      </c>
      <c r="H183" s="15">
        <v>0</v>
      </c>
      <c r="I183" s="22">
        <v>10</v>
      </c>
      <c r="J183" s="17">
        <f t="shared" si="13"/>
        <v>0</v>
      </c>
      <c r="K183" s="18" t="s">
        <v>287</v>
      </c>
      <c r="L183" s="19"/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+'[1]30'!G184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+'[1]30'!G185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+'[1]30'!G186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+'[1]30'!G187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+'[1]30'!G188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+'[1]30'!G189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>
      <c r="A190" s="10">
        <v>186</v>
      </c>
      <c r="B190" s="20" t="s">
        <v>197</v>
      </c>
      <c r="C190" s="12">
        <f>+'[1]30'!G190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+'[1]30'!G191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+'[1]30'!G192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+'[1]30'!G193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+'[1]30'!G194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+'[1]30'!G195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+'[1]30'!G196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+'[1]30'!G197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+'[1]30'!G198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+'[1]30'!G199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+'[1]30'!G200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+'[1]30'!G201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+'[1]30'!G202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+'[1]30'!G203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+'[1]30'!G204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+'[1]30'!G205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+'[1]30'!G206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+'[1]30'!G207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4" ht="25.5">
      <c r="A209" s="10">
        <v>205</v>
      </c>
      <c r="B209" s="20" t="s">
        <v>266</v>
      </c>
      <c r="C209" s="12">
        <f>+'[1]30'!G209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4" ht="25.5">
      <c r="A210" s="10">
        <v>206</v>
      </c>
      <c r="B210" s="20" t="s">
        <v>264</v>
      </c>
      <c r="C210" s="12">
        <f>+'[1]30'!G210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4" ht="25.5">
      <c r="A211" s="97">
        <v>207</v>
      </c>
      <c r="B211" s="20" t="s">
        <v>273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4" ht="25.5">
      <c r="A212" s="97">
        <v>208</v>
      </c>
      <c r="B212" s="20" t="s">
        <v>274</v>
      </c>
      <c r="C212" s="12">
        <f>+'[1]30'!G212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3</v>
      </c>
      <c r="H212" s="15">
        <v>2</v>
      </c>
      <c r="I212" s="16">
        <v>25</v>
      </c>
      <c r="J212" s="17">
        <f t="shared" si="16"/>
        <v>50</v>
      </c>
      <c r="K212" s="18" t="s">
        <v>281</v>
      </c>
      <c r="L212" s="19">
        <v>10</v>
      </c>
      <c r="M212" s="24">
        <f t="shared" si="15"/>
        <v>40</v>
      </c>
    </row>
    <row r="213" spans="1:24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24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24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4505</v>
      </c>
    </row>
    <row r="216" spans="1:24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24" ht="25.5">
      <c r="A217" s="1"/>
      <c r="C217" s="32"/>
      <c r="E217" s="32"/>
      <c r="G217" s="32"/>
      <c r="I217" s="35" t="s">
        <v>215</v>
      </c>
      <c r="J217" s="36"/>
      <c r="K217" s="37">
        <f>SUM(L217:BO217)</f>
        <v>2785</v>
      </c>
      <c r="L217" s="38">
        <v>330</v>
      </c>
      <c r="M217" s="2">
        <v>400</v>
      </c>
      <c r="N217" s="2">
        <v>250</v>
      </c>
      <c r="O217" s="2">
        <v>150</v>
      </c>
      <c r="P217" s="2">
        <v>340</v>
      </c>
      <c r="Q217" s="2">
        <v>50</v>
      </c>
      <c r="R217" s="2">
        <v>310</v>
      </c>
      <c r="S217" s="2">
        <v>75</v>
      </c>
      <c r="T217" s="2">
        <v>100</v>
      </c>
      <c r="U217" s="2">
        <v>150</v>
      </c>
      <c r="V217" s="2">
        <v>200</v>
      </c>
      <c r="W217" s="2">
        <v>140</v>
      </c>
      <c r="X217" s="2">
        <v>290</v>
      </c>
    </row>
    <row r="218" spans="1:24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24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24" ht="25.5">
      <c r="A220" s="1"/>
      <c r="C220" s="32"/>
      <c r="E220" s="32"/>
      <c r="G220" s="32"/>
      <c r="I220" s="136" t="s">
        <v>218</v>
      </c>
      <c r="J220" s="137"/>
      <c r="K220" s="93">
        <f>SUM(L5:L213)</f>
        <v>285</v>
      </c>
      <c r="M220" s="94" t="s">
        <v>219</v>
      </c>
      <c r="N220" s="40" t="s">
        <v>220</v>
      </c>
      <c r="O220" s="41" t="s">
        <v>221</v>
      </c>
    </row>
    <row r="221" spans="1:24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1435</v>
      </c>
      <c r="M221" s="42"/>
      <c r="N221" s="42">
        <v>150</v>
      </c>
      <c r="O221" s="42"/>
    </row>
    <row r="222" spans="1:24" ht="25.5">
      <c r="A222" s="1"/>
      <c r="C222" s="32"/>
      <c r="E222" s="32"/>
      <c r="G222" s="32"/>
      <c r="I222" s="136" t="s">
        <v>223</v>
      </c>
      <c r="J222" s="137"/>
      <c r="K222" s="93">
        <v>1435</v>
      </c>
      <c r="M222" s="42"/>
      <c r="N222" s="42"/>
      <c r="O222" s="42"/>
    </row>
    <row r="223" spans="1:24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24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4220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2785</v>
      </c>
      <c r="M227" s="45">
        <f>SUM(M221:M226)</f>
        <v>0</v>
      </c>
      <c r="N227" s="45">
        <f>SUM(N221:N226)</f>
        <v>150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1435</v>
      </c>
      <c r="M228" s="46" t="s">
        <v>226</v>
      </c>
      <c r="N228" s="47">
        <f>N227*30/100</f>
        <v>45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3.15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101.85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2" xr:uid="{A8659A1D-7742-48A0-A8EC-0F2280F9B025}"/>
  <mergeCells count="32">
    <mergeCell ref="I221:J221"/>
    <mergeCell ref="I222:J222"/>
    <mergeCell ref="I216:J216"/>
    <mergeCell ref="I218:J218"/>
    <mergeCell ref="Z3:Z4"/>
    <mergeCell ref="P107:W107"/>
    <mergeCell ref="R3:R4"/>
    <mergeCell ref="S3:S4"/>
    <mergeCell ref="I219:J219"/>
    <mergeCell ref="L3:L4"/>
    <mergeCell ref="O3:O4"/>
    <mergeCell ref="P3:P4"/>
    <mergeCell ref="Q3:Q4"/>
    <mergeCell ref="M213:N213"/>
    <mergeCell ref="H214:I214"/>
    <mergeCell ref="I215:J215"/>
    <mergeCell ref="I223:J223"/>
    <mergeCell ref="I224:J22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0:J2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theme="5" tint="0.79998168889431442"/>
  </sheetPr>
  <dimension ref="A1:Z297"/>
  <sheetViews>
    <sheetView topLeftCell="C207" zoomScale="90" zoomScaleNormal="90" zoomScalePageLayoutView="110" workbookViewId="0">
      <selection activeCell="J226" sqref="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+ยกมา!G5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68" si="1">E5-F5-H5</f>
        <v>16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+ยกมา!G6</f>
        <v>33</v>
      </c>
      <c r="D6" s="13">
        <v>60</v>
      </c>
      <c r="E6" s="12">
        <f t="shared" si="0"/>
        <v>93</v>
      </c>
      <c r="F6" s="13">
        <v>0</v>
      </c>
      <c r="G6" s="14">
        <f t="shared" si="1"/>
        <v>85</v>
      </c>
      <c r="H6" s="15">
        <v>8</v>
      </c>
      <c r="I6" s="16">
        <v>100</v>
      </c>
      <c r="J6" s="17">
        <f t="shared" ref="J6:J70" si="4">+I6*H6</f>
        <v>800</v>
      </c>
      <c r="K6" s="18" t="s">
        <v>17</v>
      </c>
      <c r="L6" s="19">
        <v>0</v>
      </c>
      <c r="M6" s="24">
        <f t="shared" ref="M6:M69" si="5">SUM(J6-L6)</f>
        <v>800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+ยกมา!G12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2</v>
      </c>
      <c r="D23" s="13">
        <v>20</v>
      </c>
      <c r="E23" s="14">
        <f>C23+D23</f>
        <v>22</v>
      </c>
      <c r="F23" s="13">
        <v>0</v>
      </c>
      <c r="G23" s="14">
        <f t="shared" si="1"/>
        <v>18</v>
      </c>
      <c r="H23" s="15">
        <v>4</v>
      </c>
      <c r="I23" s="16">
        <v>100</v>
      </c>
      <c r="J23" s="17">
        <f t="shared" si="4"/>
        <v>400</v>
      </c>
      <c r="K23" s="18" t="s">
        <v>289</v>
      </c>
      <c r="L23" s="19">
        <v>100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1</v>
      </c>
      <c r="D35" s="13">
        <v>5</v>
      </c>
      <c r="E35" s="14">
        <f t="shared" si="0"/>
        <v>6</v>
      </c>
      <c r="F35" s="13">
        <v>0</v>
      </c>
      <c r="G35" s="14">
        <f t="shared" si="1"/>
        <v>5</v>
      </c>
      <c r="H35" s="15">
        <v>1</v>
      </c>
      <c r="I35" s="16">
        <v>130</v>
      </c>
      <c r="J35" s="17">
        <f t="shared" si="4"/>
        <v>130</v>
      </c>
      <c r="K35" s="18" t="s">
        <v>271</v>
      </c>
      <c r="L35" s="19">
        <v>65</v>
      </c>
      <c r="M35" s="24">
        <f t="shared" si="5"/>
        <v>65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3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9</v>
      </c>
      <c r="D38" s="13">
        <v>5</v>
      </c>
      <c r="E38" s="12">
        <f t="shared" si="0"/>
        <v>14</v>
      </c>
      <c r="F38" s="13">
        <v>0</v>
      </c>
      <c r="G38" s="14">
        <f t="shared" si="1"/>
        <v>14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17">
        <f t="shared" si="4"/>
        <v>50</v>
      </c>
      <c r="K39" s="18" t="s">
        <v>271</v>
      </c>
      <c r="L39" s="19">
        <v>25</v>
      </c>
      <c r="M39" s="24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3</v>
      </c>
      <c r="D40" s="13">
        <v>5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5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3</v>
      </c>
      <c r="H44" s="15">
        <v>1</v>
      </c>
      <c r="I44" s="16">
        <v>50</v>
      </c>
      <c r="J44" s="17">
        <f t="shared" si="4"/>
        <v>50</v>
      </c>
      <c r="K44" s="18" t="s">
        <v>290</v>
      </c>
      <c r="L44" s="19">
        <v>50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+ยกมา!G55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3</v>
      </c>
      <c r="H55" s="15">
        <v>4</v>
      </c>
      <c r="I55" s="23">
        <v>120</v>
      </c>
      <c r="J55" s="17">
        <f t="shared" si="4"/>
        <v>480</v>
      </c>
      <c r="K55" s="18" t="s">
        <v>291</v>
      </c>
      <c r="L55" s="19">
        <v>140</v>
      </c>
      <c r="M55" s="24">
        <f t="shared" si="5"/>
        <v>340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0</v>
      </c>
      <c r="H62" s="15">
        <v>5</v>
      </c>
      <c r="I62" s="22">
        <v>50</v>
      </c>
      <c r="J62" s="17">
        <f t="shared" si="4"/>
        <v>250</v>
      </c>
      <c r="K62" s="18" t="s">
        <v>271</v>
      </c>
      <c r="L62" s="19">
        <v>125</v>
      </c>
      <c r="M62" s="24">
        <f t="shared" si="5"/>
        <v>125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2</v>
      </c>
      <c r="D63" s="13">
        <v>5</v>
      </c>
      <c r="E63" s="12">
        <f>C63+D63</f>
        <v>7</v>
      </c>
      <c r="F63" s="13">
        <v>0</v>
      </c>
      <c r="G63" s="14">
        <f t="shared" si="1"/>
        <v>6</v>
      </c>
      <c r="H63" s="15">
        <v>1</v>
      </c>
      <c r="I63" s="22">
        <v>50</v>
      </c>
      <c r="J63" s="17">
        <f t="shared" si="4"/>
        <v>50</v>
      </c>
      <c r="K63" s="18" t="s">
        <v>271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10</v>
      </c>
      <c r="H66" s="15">
        <v>2</v>
      </c>
      <c r="I66" s="16">
        <v>50</v>
      </c>
      <c r="J66" s="17">
        <f t="shared" si="4"/>
        <v>100</v>
      </c>
      <c r="K66" s="18" t="s">
        <v>292</v>
      </c>
      <c r="L66" s="19">
        <v>10</v>
      </c>
      <c r="M66" s="24">
        <f t="shared" si="5"/>
        <v>90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2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271</v>
      </c>
      <c r="L77" s="19">
        <v>50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1</v>
      </c>
      <c r="H78" s="15">
        <v>2</v>
      </c>
      <c r="I78" s="21">
        <v>120</v>
      </c>
      <c r="J78" s="17">
        <f t="shared" si="10"/>
        <v>240</v>
      </c>
      <c r="K78" s="18" t="s">
        <v>271</v>
      </c>
      <c r="L78" s="19">
        <v>120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+ยกมา!G79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2</v>
      </c>
      <c r="D81" s="13">
        <v>3</v>
      </c>
      <c r="E81" s="12">
        <f t="shared" si="0"/>
        <v>5</v>
      </c>
      <c r="F81" s="13">
        <v>0</v>
      </c>
      <c r="G81" s="14">
        <f t="shared" si="6"/>
        <v>3</v>
      </c>
      <c r="H81" s="15">
        <v>2</v>
      </c>
      <c r="I81" s="22">
        <v>55</v>
      </c>
      <c r="J81" s="17">
        <f t="shared" si="10"/>
        <v>110</v>
      </c>
      <c r="K81" s="18" t="s">
        <v>271</v>
      </c>
      <c r="L81" s="19">
        <v>50</v>
      </c>
      <c r="M81" s="24">
        <f t="shared" si="9"/>
        <v>60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2</v>
      </c>
      <c r="D85" s="13">
        <v>7</v>
      </c>
      <c r="E85" s="12">
        <f t="shared" si="0"/>
        <v>9</v>
      </c>
      <c r="F85" s="13">
        <v>0</v>
      </c>
      <c r="G85" s="14">
        <f t="shared" si="6"/>
        <v>9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1</v>
      </c>
      <c r="D86" s="13">
        <v>10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+ยกมา!G92</f>
        <v>11</v>
      </c>
      <c r="D92" s="13">
        <v>0</v>
      </c>
      <c r="E92" s="12">
        <f t="shared" si="0"/>
        <v>11</v>
      </c>
      <c r="F92" s="13">
        <v>0</v>
      </c>
      <c r="G92" s="14">
        <f t="shared" si="6"/>
        <v>11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+ยกมา!G93</f>
        <v>10</v>
      </c>
      <c r="D93" s="13">
        <v>0</v>
      </c>
      <c r="E93" s="12">
        <f t="shared" si="0"/>
        <v>10</v>
      </c>
      <c r="F93" s="13">
        <v>0</v>
      </c>
      <c r="G93" s="14">
        <f t="shared" si="6"/>
        <v>9</v>
      </c>
      <c r="H93" s="15">
        <v>1</v>
      </c>
      <c r="I93" s="22">
        <v>250</v>
      </c>
      <c r="J93" s="17">
        <f t="shared" si="10"/>
        <v>250</v>
      </c>
      <c r="K93" s="18" t="s">
        <v>293</v>
      </c>
      <c r="L93" s="19">
        <v>250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+ยกมา!G96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+ยกมา!G97</f>
        <v>5</v>
      </c>
      <c r="D97" s="13">
        <v>10</v>
      </c>
      <c r="E97" s="12">
        <f t="shared" si="11"/>
        <v>15</v>
      </c>
      <c r="F97" s="13">
        <v>5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270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+ยกมา!G98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+ยกมา!G99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+ยกมา!G100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+ยกมา!G101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+ยกมา!G102</f>
        <v>3</v>
      </c>
      <c r="D102" s="13">
        <v>10</v>
      </c>
      <c r="E102" s="12">
        <f t="shared" si="11"/>
        <v>13</v>
      </c>
      <c r="F102" s="13">
        <v>0</v>
      </c>
      <c r="G102" s="14">
        <f t="shared" si="6"/>
        <v>13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+ยกมา!G103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+ยกมา!G104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+ยกมา!G105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+ยกมา!G106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+ยกมา!G107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+ยกมา!G108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+ยกมา!G109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+ยกมา!G110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+ยกมา!G111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+ยกมา!G112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+ยกมา!G113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+ยกมา!G114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+ยกมา!G115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+ยกมา!G116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+ยกมา!G117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+ยกมา!G118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+ยกมา!G119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+ยกมา!G120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+ยกมา!G121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+ยกมา!G122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+ยกมา!G123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+ยกมา!G124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+ยกมา!G125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+ยกมา!G126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+ยกมา!G127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+ยกมา!G128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+ยกมา!G129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+ยกมา!G130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+ยกมา!G131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+ยกมา!G132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+ยกมา!G133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+ยกมา!G134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+ยกมา!G135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+ยกมา!G136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+ยกมา!G137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+ยกมา!G138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+ยกมา!G139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+ยกมา!G140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+ยกมา!G141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+ยกมา!G142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+ยกมา!G143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+ยกมา!G144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+ยกมา!G145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+ยกมา!G146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+ยกมา!G147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+ยกมา!G148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+ยกมา!G149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+ยกมา!G150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+ยกมา!G151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02"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2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+ยกมา!G153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+ยกมา!G154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+ยกมา!G155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+ยกมา!G156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+ยกมา!G157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+ยกมา!G158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+ยกมา!G159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+ยกมา!G160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+ยกมา!G161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+ยกมา!G162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+ยกมา!G163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+ยกมา!G164</f>
        <v>0</v>
      </c>
      <c r="D164" s="13">
        <v>10</v>
      </c>
      <c r="E164" s="12">
        <f t="shared" si="11"/>
        <v>10</v>
      </c>
      <c r="F164" s="13">
        <v>0</v>
      </c>
      <c r="G164" s="14">
        <f t="shared" si="14"/>
        <v>10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+ยกมา!G165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+ยกมา!G166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+ยกมา!G167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+ยกมา!G168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+ยกมา!G169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+ยกมา!G170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+ยกมา!G171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+ยกมา!G172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+ยกมา!G173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+ยกมา!G174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+ยกมา!G175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+ยกมา!G176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+ยกมา!G177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+ยกมา!G178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+ยกมา!G179</f>
        <v>62</v>
      </c>
      <c r="D179" s="13">
        <v>0</v>
      </c>
      <c r="E179" s="12">
        <f t="shared" si="11"/>
        <v>62</v>
      </c>
      <c r="F179" s="13">
        <v>0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+ยกมา!G180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+ยกมา!G181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+ยกมา!G182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+ยกมา!G183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4</v>
      </c>
      <c r="H183" s="15">
        <v>3</v>
      </c>
      <c r="I183" s="22">
        <v>10</v>
      </c>
      <c r="J183" s="17">
        <f t="shared" si="13"/>
        <v>30</v>
      </c>
      <c r="K183" s="18" t="s">
        <v>294</v>
      </c>
      <c r="L183" s="19">
        <v>10</v>
      </c>
      <c r="M183" s="24">
        <f t="shared" si="12"/>
        <v>20</v>
      </c>
    </row>
    <row r="184" spans="1:13" ht="25.5">
      <c r="A184" s="10">
        <v>180</v>
      </c>
      <c r="B184" s="20" t="s">
        <v>191</v>
      </c>
      <c r="C184" s="12">
        <f>+ยกมา!G184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192</v>
      </c>
      <c r="C185" s="12">
        <f>+ยกมา!G185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+ยกมา!G186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+ยกมา!G187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+ยกมา!G188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+ยกมา!G189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>
      <c r="A190" s="10">
        <v>186</v>
      </c>
      <c r="B190" s="20" t="s">
        <v>197</v>
      </c>
      <c r="C190" s="12">
        <f>+ยกมา!G190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+ยกมา!G191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+ยกมา!G192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+ยกมา!G193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+ยกมา!G194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+ยกมา!G195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+ยกมา!G196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+ยกมา!G197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+ยกมา!G198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02">
        <v>256</v>
      </c>
      <c r="D199" s="13">
        <v>0</v>
      </c>
      <c r="E199" s="12">
        <f t="shared" si="11"/>
        <v>256</v>
      </c>
      <c r="F199" s="13">
        <v>0</v>
      </c>
      <c r="G199" s="14">
        <f t="shared" si="14"/>
        <v>256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+ยกมา!G200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+ยกมา!G201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+ยกมา!G202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+ยกมา!G203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+ยกมา!G204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+ยกมา!G205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+ยกมา!G206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+ยกมา!G207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266</v>
      </c>
      <c r="C209" s="102"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264</v>
      </c>
      <c r="C210" s="102"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21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21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4510</v>
      </c>
    </row>
    <row r="214" spans="1:21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21" ht="25.5">
      <c r="A215" s="1"/>
      <c r="C215" s="32"/>
      <c r="E215" s="32"/>
      <c r="G215" s="32"/>
      <c r="I215" s="35" t="s">
        <v>215</v>
      </c>
      <c r="J215" s="36"/>
      <c r="K215" s="37">
        <f>SUM(L215:BO215)</f>
        <v>2280</v>
      </c>
      <c r="L215" s="38">
        <v>200</v>
      </c>
      <c r="M215" s="2">
        <v>30</v>
      </c>
      <c r="N215" s="2">
        <v>50</v>
      </c>
      <c r="O215" s="2">
        <v>50</v>
      </c>
      <c r="P215" s="2">
        <v>100</v>
      </c>
      <c r="Q215" s="2">
        <v>100</v>
      </c>
      <c r="R215" s="2">
        <v>100</v>
      </c>
      <c r="S215" s="2">
        <v>25</v>
      </c>
      <c r="T215" s="2">
        <v>985</v>
      </c>
      <c r="U215" s="2">
        <v>640</v>
      </c>
    </row>
    <row r="216" spans="1:21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21" ht="25.5">
      <c r="A217" s="1"/>
      <c r="B217" s="2" t="s">
        <v>295</v>
      </c>
      <c r="C217" s="90"/>
      <c r="E217" s="32"/>
      <c r="G217" s="32"/>
      <c r="I217" s="136" t="s">
        <v>217</v>
      </c>
      <c r="J217" s="137"/>
      <c r="K217" s="37">
        <f>SUM(L217:P217)</f>
        <v>270</v>
      </c>
      <c r="L217" s="2">
        <v>30</v>
      </c>
      <c r="M217" s="2">
        <v>180</v>
      </c>
      <c r="N217" s="2">
        <v>60</v>
      </c>
    </row>
    <row r="218" spans="1:21" ht="25.5">
      <c r="A218" s="1"/>
      <c r="C218" s="32"/>
      <c r="E218" s="32"/>
      <c r="G218" s="32"/>
      <c r="I218" s="136" t="s">
        <v>218</v>
      </c>
      <c r="J218" s="137"/>
      <c r="K218" s="93">
        <f>SUM(L5:L211)</f>
        <v>1020</v>
      </c>
      <c r="M218" s="94" t="s">
        <v>219</v>
      </c>
      <c r="N218" s="40" t="s">
        <v>220</v>
      </c>
      <c r="O218" s="41" t="s">
        <v>221</v>
      </c>
    </row>
    <row r="219" spans="1:21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940</v>
      </c>
      <c r="M219" s="42"/>
      <c r="N219" s="42">
        <v>250</v>
      </c>
      <c r="O219" s="42">
        <v>100</v>
      </c>
    </row>
    <row r="220" spans="1:21" ht="25.5">
      <c r="A220" s="1"/>
      <c r="C220" s="32"/>
      <c r="E220" s="32"/>
      <c r="G220" s="32"/>
      <c r="I220" s="136" t="s">
        <v>223</v>
      </c>
      <c r="J220" s="137"/>
      <c r="K220" s="93">
        <v>940</v>
      </c>
      <c r="M220" s="42"/>
      <c r="N220" s="42"/>
      <c r="O220" s="42"/>
    </row>
    <row r="221" spans="1:21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21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21">
      <c r="G223" s="2"/>
      <c r="I223" s="28"/>
      <c r="M223" s="43"/>
      <c r="N223" s="43"/>
      <c r="O223" s="43"/>
    </row>
    <row r="224" spans="1:21">
      <c r="G224" s="2"/>
      <c r="I224" s="2" t="s">
        <v>276</v>
      </c>
      <c r="J224" s="24">
        <f>+K213-K218+K221</f>
        <v>3490</v>
      </c>
      <c r="M224" s="44"/>
      <c r="N224" s="44"/>
      <c r="O224" s="44"/>
    </row>
    <row r="225" spans="7:15">
      <c r="G225" s="2"/>
      <c r="I225" s="2" t="s">
        <v>277</v>
      </c>
      <c r="J225" s="30">
        <f>SUM(K214:K217)</f>
        <v>2550</v>
      </c>
      <c r="M225" s="45">
        <f>SUM(M219:M224)</f>
        <v>0</v>
      </c>
      <c r="N225" s="45">
        <f>SUM(N219:N224)</f>
        <v>250</v>
      </c>
      <c r="O225" s="45">
        <f>SUM(O219:O224)</f>
        <v>100</v>
      </c>
    </row>
    <row r="226" spans="7:15">
      <c r="G226" s="2"/>
      <c r="I226" s="2" t="s">
        <v>278</v>
      </c>
      <c r="J226" s="24">
        <f>+K220</f>
        <v>940</v>
      </c>
      <c r="M226" s="46" t="s">
        <v>226</v>
      </c>
      <c r="N226" s="47">
        <f>N225*30/100</f>
        <v>75</v>
      </c>
      <c r="O226" s="47">
        <f>O225*30/100</f>
        <v>30</v>
      </c>
    </row>
    <row r="227" spans="7:15">
      <c r="G227" s="2"/>
      <c r="I227" s="2"/>
      <c r="M227" s="46" t="s">
        <v>227</v>
      </c>
      <c r="N227" s="47">
        <f>N226*7/100</f>
        <v>5.25</v>
      </c>
      <c r="O227" s="47">
        <f>O226*7/100</f>
        <v>2.1</v>
      </c>
    </row>
    <row r="228" spans="7:15">
      <c r="G228" s="2"/>
      <c r="I228" s="2"/>
      <c r="M228" s="95" t="s">
        <v>6</v>
      </c>
      <c r="N228" s="48">
        <f>N225-N226-N227</f>
        <v>169.75</v>
      </c>
      <c r="O228" s="48">
        <f>O225-O226-O227</f>
        <v>67.900000000000006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theme="5" tint="0.79998168889431442"/>
  </sheetPr>
  <dimension ref="A1:Z297"/>
  <sheetViews>
    <sheetView topLeftCell="B1" zoomScale="90" zoomScaleNormal="90" zoomScalePageLayoutView="110" workbookViewId="0">
      <pane ySplit="4" topLeftCell="A212" activePane="bottomLeft" state="frozen"/>
      <selection pane="bottomLeft"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+'1'!G5</f>
        <v>16</v>
      </c>
      <c r="D5" s="13">
        <v>0</v>
      </c>
      <c r="E5" s="12">
        <f t="shared" ref="E5:E94" si="0">C5+D5</f>
        <v>16</v>
      </c>
      <c r="F5" s="13">
        <v>0</v>
      </c>
      <c r="G5" s="14">
        <f t="shared" ref="G5:G68" si="1">E5-F5-H5</f>
        <v>8</v>
      </c>
      <c r="H5" s="15">
        <v>8</v>
      </c>
      <c r="I5" s="16">
        <v>50</v>
      </c>
      <c r="J5" s="17">
        <f>+I5*H5</f>
        <v>400</v>
      </c>
      <c r="K5" s="18" t="s">
        <v>290</v>
      </c>
      <c r="L5" s="19">
        <v>50</v>
      </c>
      <c r="M5" s="24">
        <f>SUM(J5-L5)</f>
        <v>350</v>
      </c>
      <c r="O5" s="10">
        <v>1</v>
      </c>
      <c r="P5" s="20" t="s">
        <v>259</v>
      </c>
      <c r="Q5" s="12">
        <f>+'[2]วันที่ 22'!U5</f>
        <v>3</v>
      </c>
      <c r="R5" s="13">
        <v>0</v>
      </c>
      <c r="S5" s="12">
        <f t="shared" ref="S5:S68" si="2">Q5+R5</f>
        <v>3</v>
      </c>
      <c r="T5" s="13">
        <v>0</v>
      </c>
      <c r="U5" s="12">
        <f t="shared" ref="U5:U68" si="3">S5-T5-V5</f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+'1'!G6</f>
        <v>85</v>
      </c>
      <c r="D6" s="13">
        <v>0</v>
      </c>
      <c r="E6" s="12">
        <f t="shared" si="0"/>
        <v>85</v>
      </c>
      <c r="F6" s="13">
        <v>0</v>
      </c>
      <c r="G6" s="14">
        <f t="shared" si="1"/>
        <v>75</v>
      </c>
      <c r="H6" s="15">
        <v>10</v>
      </c>
      <c r="I6" s="16">
        <v>100</v>
      </c>
      <c r="J6" s="17">
        <f t="shared" ref="J6:J70" si="4">+I6*H6</f>
        <v>1000</v>
      </c>
      <c r="K6" s="18" t="s">
        <v>17</v>
      </c>
      <c r="L6" s="19">
        <v>0</v>
      </c>
      <c r="M6" s="24">
        <f t="shared" ref="M6:M69" si="5">SUM(J6-L6)</f>
        <v>1000</v>
      </c>
      <c r="O6" s="10">
        <v>2</v>
      </c>
      <c r="P6" s="20" t="s">
        <v>260</v>
      </c>
      <c r="Q6" s="12">
        <f>+'[2]วันที่ 22'!U6</f>
        <v>2</v>
      </c>
      <c r="R6" s="13">
        <v>0</v>
      </c>
      <c r="S6" s="12">
        <f t="shared" si="2"/>
        <v>2</v>
      </c>
      <c r="T6" s="13">
        <v>0</v>
      </c>
      <c r="U6" s="12">
        <f t="shared" si="3"/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f>+'[2]วันที่ 22'!U7</f>
        <v>1</v>
      </c>
      <c r="R7" s="13">
        <v>0</v>
      </c>
      <c r="S7" s="12">
        <f>Q7+R7</f>
        <v>1</v>
      </c>
      <c r="T7" s="13">
        <v>0</v>
      </c>
      <c r="U7" s="12">
        <f>S7-T7-V7</f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f>+'[2]วันที่ 22'!U8</f>
        <v>3</v>
      </c>
      <c r="R8" s="13">
        <v>0</v>
      </c>
      <c r="S8" s="12">
        <f t="shared" si="2"/>
        <v>3</v>
      </c>
      <c r="T8" s="13">
        <v>0</v>
      </c>
      <c r="U8" s="12">
        <f t="shared" si="3"/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4</v>
      </c>
      <c r="H12" s="15">
        <v>1</v>
      </c>
      <c r="I12" s="22">
        <v>50</v>
      </c>
      <c r="J12" s="17">
        <f t="shared" si="4"/>
        <v>50</v>
      </c>
      <c r="K12" s="18" t="s">
        <v>290</v>
      </c>
      <c r="L12" s="19">
        <v>50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18</v>
      </c>
      <c r="D23" s="13">
        <v>0</v>
      </c>
      <c r="E23" s="14">
        <f>C23+D23</f>
        <v>18</v>
      </c>
      <c r="F23" s="13">
        <v>0</v>
      </c>
      <c r="G23" s="14">
        <f t="shared" si="1"/>
        <v>15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5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1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3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14</v>
      </c>
      <c r="D38" s="13">
        <v>0</v>
      </c>
      <c r="E38" s="12">
        <f t="shared" si="0"/>
        <v>14</v>
      </c>
      <c r="F38" s="13">
        <v>0</v>
      </c>
      <c r="G38" s="14">
        <f t="shared" si="1"/>
        <v>10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24">
        <f t="shared" si="5"/>
        <v>200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8</v>
      </c>
      <c r="H39" s="15">
        <v>1</v>
      </c>
      <c r="I39" s="16">
        <v>50</v>
      </c>
      <c r="J39" s="17">
        <f t="shared" si="4"/>
        <v>50</v>
      </c>
      <c r="K39" s="18" t="s">
        <v>271</v>
      </c>
      <c r="L39" s="19">
        <v>25</v>
      </c>
      <c r="M39" s="24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7</v>
      </c>
      <c r="H40" s="15">
        <v>1</v>
      </c>
      <c r="I40" s="16">
        <v>50</v>
      </c>
      <c r="J40" s="17">
        <f t="shared" si="4"/>
        <v>50</v>
      </c>
      <c r="K40" s="18" t="s">
        <v>271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4</v>
      </c>
      <c r="H41" s="15">
        <v>1</v>
      </c>
      <c r="I41" s="16">
        <v>50</v>
      </c>
      <c r="J41" s="17">
        <f t="shared" si="4"/>
        <v>50</v>
      </c>
      <c r="K41" s="18" t="s">
        <v>17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2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17">
        <f t="shared" si="4"/>
        <v>50</v>
      </c>
      <c r="K47" s="18" t="s">
        <v>296</v>
      </c>
      <c r="L47" s="19">
        <v>50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4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2</v>
      </c>
      <c r="H54" s="15">
        <v>1</v>
      </c>
      <c r="I54" s="16">
        <v>120</v>
      </c>
      <c r="J54" s="17">
        <f t="shared" si="4"/>
        <v>120</v>
      </c>
      <c r="K54" s="18" t="s">
        <v>296</v>
      </c>
      <c r="L54" s="19">
        <v>120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0</v>
      </c>
      <c r="H55" s="15">
        <v>3</v>
      </c>
      <c r="I55" s="23">
        <v>120</v>
      </c>
      <c r="J55" s="17">
        <f t="shared" si="4"/>
        <v>360</v>
      </c>
      <c r="K55" s="18" t="s">
        <v>297</v>
      </c>
      <c r="L55" s="19">
        <v>190</v>
      </c>
      <c r="M55" s="24">
        <f t="shared" si="5"/>
        <v>170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0</v>
      </c>
      <c r="H61" s="15">
        <v>4</v>
      </c>
      <c r="I61" s="16">
        <v>50</v>
      </c>
      <c r="J61" s="17">
        <f t="shared" si="4"/>
        <v>200</v>
      </c>
      <c r="K61" s="18" t="s">
        <v>298</v>
      </c>
      <c r="L61" s="19">
        <v>100</v>
      </c>
      <c r="M61" s="24">
        <f t="shared" si="5"/>
        <v>100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1</v>
      </c>
      <c r="H63" s="15">
        <v>5</v>
      </c>
      <c r="I63" s="22">
        <v>50</v>
      </c>
      <c r="J63" s="17">
        <f t="shared" si="4"/>
        <v>250</v>
      </c>
      <c r="K63" s="18" t="s">
        <v>299</v>
      </c>
      <c r="L63" s="19">
        <v>225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6</v>
      </c>
      <c r="H66" s="15">
        <v>4</v>
      </c>
      <c r="I66" s="16">
        <v>50</v>
      </c>
      <c r="J66" s="17">
        <f t="shared" si="4"/>
        <v>200</v>
      </c>
      <c r="K66" s="18" t="s">
        <v>17</v>
      </c>
      <c r="L66" s="19">
        <v>0</v>
      </c>
      <c r="M66" s="24">
        <f t="shared" si="5"/>
        <v>200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1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9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271</v>
      </c>
      <c r="L77" s="19">
        <v>50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+'1'!G78</f>
        <v>1</v>
      </c>
      <c r="D78" s="13">
        <v>0</v>
      </c>
      <c r="E78" s="12">
        <f t="shared" si="0"/>
        <v>1</v>
      </c>
      <c r="F78" s="13">
        <v>1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+'1'!G85</f>
        <v>9</v>
      </c>
      <c r="D85" s="13">
        <v>0</v>
      </c>
      <c r="E85" s="12">
        <f t="shared" si="0"/>
        <v>9</v>
      </c>
      <c r="F85" s="13">
        <v>0</v>
      </c>
      <c r="G85" s="14">
        <f t="shared" si="6"/>
        <v>9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10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+'1'!G92</f>
        <v>11</v>
      </c>
      <c r="D92" s="13">
        <v>0</v>
      </c>
      <c r="E92" s="12">
        <f t="shared" si="0"/>
        <v>11</v>
      </c>
      <c r="F92" s="13">
        <v>0</v>
      </c>
      <c r="G92" s="14">
        <f t="shared" si="6"/>
        <v>11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0</v>
      </c>
      <c r="M93" s="24">
        <f t="shared" si="9"/>
        <v>500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9</v>
      </c>
      <c r="H97" s="15">
        <v>1</v>
      </c>
      <c r="I97" s="22">
        <v>45</v>
      </c>
      <c r="J97" s="17">
        <f t="shared" si="10"/>
        <v>45</v>
      </c>
      <c r="K97" s="18" t="s">
        <v>17</v>
      </c>
      <c r="L97" s="19">
        <v>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+'1'!G102</f>
        <v>13</v>
      </c>
      <c r="D102" s="13">
        <v>0</v>
      </c>
      <c r="E102" s="12">
        <f t="shared" si="11"/>
        <v>13</v>
      </c>
      <c r="F102" s="13">
        <v>0</v>
      </c>
      <c r="G102" s="14">
        <f t="shared" si="6"/>
        <v>11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8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115</v>
      </c>
      <c r="C107" s="12">
        <f>+'1'!G107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4</v>
      </c>
      <c r="H150" s="15">
        <v>2</v>
      </c>
      <c r="I150" s="22">
        <v>120</v>
      </c>
      <c r="J150" s="17">
        <f t="shared" si="13"/>
        <v>240</v>
      </c>
      <c r="K150" s="18" t="s">
        <v>300</v>
      </c>
      <c r="L150" s="19">
        <v>60</v>
      </c>
      <c r="M150" s="24">
        <f t="shared" si="12"/>
        <v>180</v>
      </c>
    </row>
    <row r="151" spans="1:13" ht="25.5">
      <c r="A151" s="10">
        <v>147</v>
      </c>
      <c r="B151" s="20" t="s">
        <v>160</v>
      </c>
      <c r="C151" s="12">
        <f>+'1'!G151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+'1'!G152</f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2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+'1'!G164</f>
        <v>10</v>
      </c>
      <c r="D164" s="13">
        <v>0</v>
      </c>
      <c r="E164" s="12">
        <f t="shared" si="11"/>
        <v>10</v>
      </c>
      <c r="F164" s="13">
        <v>0</v>
      </c>
      <c r="G164" s="14">
        <f t="shared" si="14"/>
        <v>8</v>
      </c>
      <c r="H164" s="15">
        <v>2</v>
      </c>
      <c r="I164" s="22">
        <v>50</v>
      </c>
      <c r="J164" s="17">
        <f t="shared" si="13"/>
        <v>100</v>
      </c>
      <c r="K164" s="18" t="s">
        <v>17</v>
      </c>
      <c r="L164" s="19">
        <v>0</v>
      </c>
      <c r="M164" s="24">
        <f t="shared" si="12"/>
        <v>100</v>
      </c>
    </row>
    <row r="165" spans="1:13" ht="25.5">
      <c r="A165" s="10">
        <v>161</v>
      </c>
      <c r="B165" s="20" t="s">
        <v>172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+'1'!G179</f>
        <v>62</v>
      </c>
      <c r="D179" s="13">
        <v>0</v>
      </c>
      <c r="E179" s="12">
        <f t="shared" si="11"/>
        <v>62</v>
      </c>
      <c r="F179" s="13">
        <v>0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+'1'!G183</f>
        <v>4</v>
      </c>
      <c r="D183" s="13">
        <v>0</v>
      </c>
      <c r="E183" s="12">
        <f t="shared" si="11"/>
        <v>4</v>
      </c>
      <c r="F183" s="13">
        <v>4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301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192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155</v>
      </c>
      <c r="K189" s="18" t="s">
        <v>17</v>
      </c>
      <c r="L189" s="19">
        <v>0</v>
      </c>
      <c r="M189" s="24">
        <f t="shared" si="12"/>
        <v>155</v>
      </c>
    </row>
    <row r="190" spans="1:13" ht="25.5">
      <c r="A190" s="10">
        <v>186</v>
      </c>
      <c r="B190" s="20" t="s">
        <v>197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+'1'!G199</f>
        <v>256</v>
      </c>
      <c r="D199" s="13">
        <v>0</v>
      </c>
      <c r="E199" s="12">
        <f t="shared" si="11"/>
        <v>256</v>
      </c>
      <c r="F199" s="13">
        <v>1</v>
      </c>
      <c r="G199" s="14">
        <f t="shared" si="14"/>
        <v>255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301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3" ht="25.5">
      <c r="A209" s="10">
        <v>205</v>
      </c>
      <c r="B209" s="20" t="s">
        <v>266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3" ht="25.5">
      <c r="A210" s="10">
        <v>205</v>
      </c>
      <c r="B210" s="20" t="s">
        <v>264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3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23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23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5560</v>
      </c>
    </row>
    <row r="214" spans="1:23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23" ht="25.5">
      <c r="A215" s="1"/>
      <c r="C215" s="32"/>
      <c r="E215" s="32"/>
      <c r="G215" s="32"/>
      <c r="I215" s="35" t="s">
        <v>215</v>
      </c>
      <c r="J215" s="36"/>
      <c r="K215" s="37">
        <f>SUM(L215:BO215)</f>
        <v>3285</v>
      </c>
      <c r="L215" s="38">
        <v>270</v>
      </c>
      <c r="M215" s="2">
        <v>670</v>
      </c>
      <c r="N215" s="2">
        <v>270</v>
      </c>
      <c r="O215" s="2">
        <v>60</v>
      </c>
      <c r="P215" s="2">
        <v>50</v>
      </c>
      <c r="Q215" s="2">
        <v>310</v>
      </c>
      <c r="R215" s="2">
        <v>125</v>
      </c>
      <c r="S215" s="2">
        <v>300</v>
      </c>
      <c r="T215" s="2">
        <v>500</v>
      </c>
      <c r="U215" s="2">
        <v>170</v>
      </c>
      <c r="V215" s="2">
        <v>270</v>
      </c>
      <c r="W215" s="2">
        <v>290</v>
      </c>
    </row>
    <row r="216" spans="1:23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23" ht="25.5">
      <c r="A217" s="1"/>
      <c r="C217" s="90" t="s">
        <v>302</v>
      </c>
      <c r="D217" s="2" t="s">
        <v>303</v>
      </c>
      <c r="E217" s="32"/>
      <c r="G217" s="32"/>
      <c r="I217" s="136" t="s">
        <v>217</v>
      </c>
      <c r="J217" s="137"/>
      <c r="K217" s="37">
        <f>SUM(L217:O217)</f>
        <v>60</v>
      </c>
      <c r="L217" s="2">
        <v>10</v>
      </c>
      <c r="M217" s="2">
        <v>50</v>
      </c>
    </row>
    <row r="218" spans="1:23" ht="25.5">
      <c r="A218" s="1"/>
      <c r="C218" s="32"/>
      <c r="E218" s="32"/>
      <c r="G218" s="32"/>
      <c r="I218" s="136" t="s">
        <v>218</v>
      </c>
      <c r="J218" s="137"/>
      <c r="K218" s="93">
        <f>SUM(L5:L211)</f>
        <v>945</v>
      </c>
      <c r="M218" s="94" t="s">
        <v>219</v>
      </c>
      <c r="N218" s="40" t="s">
        <v>220</v>
      </c>
      <c r="O218" s="41" t="s">
        <v>221</v>
      </c>
    </row>
    <row r="219" spans="1:23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1270</v>
      </c>
      <c r="M219" s="42"/>
      <c r="N219" s="42"/>
      <c r="O219" s="42">
        <v>300</v>
      </c>
    </row>
    <row r="220" spans="1:23" ht="25.5">
      <c r="A220" s="1"/>
      <c r="C220" s="32"/>
      <c r="E220" s="32"/>
      <c r="G220" s="32"/>
      <c r="I220" s="136" t="s">
        <v>223</v>
      </c>
      <c r="J220" s="137"/>
      <c r="K220" s="93">
        <v>1270</v>
      </c>
      <c r="M220" s="42"/>
      <c r="N220" s="42"/>
      <c r="O220" s="42"/>
    </row>
    <row r="221" spans="1:23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23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23">
      <c r="G223" s="2"/>
      <c r="I223" s="28"/>
      <c r="M223" s="43"/>
      <c r="N223" s="43"/>
      <c r="O223" s="43"/>
    </row>
    <row r="224" spans="1:23">
      <c r="G224" s="2"/>
      <c r="I224" s="2" t="s">
        <v>276</v>
      </c>
      <c r="J224" s="2">
        <f>+K213-K218+K221</f>
        <v>4615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3345</v>
      </c>
      <c r="M225" s="45">
        <f>SUM(M219:M224)</f>
        <v>0</v>
      </c>
      <c r="N225" s="45">
        <f>SUM(N219:N224)</f>
        <v>0</v>
      </c>
      <c r="O225" s="45">
        <f>SUM(O219:O224)</f>
        <v>300</v>
      </c>
    </row>
    <row r="226" spans="7:15">
      <c r="G226" s="2"/>
      <c r="I226" s="2" t="s">
        <v>278</v>
      </c>
      <c r="J226" s="2">
        <f>+K220</f>
        <v>1270</v>
      </c>
      <c r="M226" s="46" t="s">
        <v>226</v>
      </c>
      <c r="N226" s="47">
        <f>N225*30/100</f>
        <v>0</v>
      </c>
      <c r="O226" s="47">
        <f>O225*30/100</f>
        <v>90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6.3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203.7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theme="5" tint="0.79998168889431442"/>
  </sheetPr>
  <dimension ref="A1:Z301"/>
  <sheetViews>
    <sheetView topLeftCell="D213" zoomScale="90" zoomScaleNormal="90" zoomScalePageLayoutView="110" workbookViewId="0">
      <selection activeCell="C47" sqref="C4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22.1406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+'2'!G5</f>
        <v>8</v>
      </c>
      <c r="D5" s="13">
        <v>20</v>
      </c>
      <c r="E5" s="12">
        <f t="shared" ref="E5:E94" si="0">C5+D5</f>
        <v>28</v>
      </c>
      <c r="F5" s="13">
        <v>0</v>
      </c>
      <c r="G5" s="14">
        <f t="shared" ref="G5:G68" si="1">E5-F5-H5</f>
        <v>19</v>
      </c>
      <c r="H5" s="15">
        <v>9</v>
      </c>
      <c r="I5" s="16">
        <v>50</v>
      </c>
      <c r="J5" s="17">
        <f>+I5*H5</f>
        <v>450</v>
      </c>
      <c r="K5" s="18" t="s">
        <v>290</v>
      </c>
      <c r="L5" s="19">
        <v>50</v>
      </c>
      <c r="M5" s="24">
        <f>SUM(J5-L5)</f>
        <v>400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+'2'!G6</f>
        <v>75</v>
      </c>
      <c r="D6" s="13">
        <v>0</v>
      </c>
      <c r="E6" s="12">
        <f t="shared" si="0"/>
        <v>75</v>
      </c>
      <c r="F6" s="13">
        <v>0</v>
      </c>
      <c r="G6" s="14">
        <f t="shared" si="1"/>
        <v>63</v>
      </c>
      <c r="H6" s="15">
        <v>12</v>
      </c>
      <c r="I6" s="16">
        <v>100</v>
      </c>
      <c r="J6" s="17">
        <f t="shared" ref="J6:J70" si="4">+I6*H6</f>
        <v>1200</v>
      </c>
      <c r="K6" s="18" t="s">
        <v>17</v>
      </c>
      <c r="L6" s="19">
        <v>0</v>
      </c>
      <c r="M6" s="24">
        <f t="shared" ref="M6:M69" si="5">SUM(J6-L6)</f>
        <v>1200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3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1</v>
      </c>
      <c r="D17" s="13">
        <v>5</v>
      </c>
      <c r="E17" s="12">
        <f t="shared" si="0"/>
        <v>6</v>
      </c>
      <c r="F17" s="13">
        <v>0</v>
      </c>
      <c r="G17" s="14">
        <f t="shared" si="1"/>
        <v>6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15</v>
      </c>
      <c r="D23" s="13">
        <v>10</v>
      </c>
      <c r="E23" s="14">
        <f>C23+D23</f>
        <v>25</v>
      </c>
      <c r="F23" s="13">
        <v>0</v>
      </c>
      <c r="G23" s="14">
        <f t="shared" si="1"/>
        <v>15</v>
      </c>
      <c r="H23" s="15">
        <v>10</v>
      </c>
      <c r="I23" s="16">
        <v>100</v>
      </c>
      <c r="J23" s="17">
        <f t="shared" si="4"/>
        <v>1000</v>
      </c>
      <c r="K23" s="18" t="s">
        <v>304</v>
      </c>
      <c r="L23" s="19">
        <v>220</v>
      </c>
      <c r="M23" s="24">
        <f t="shared" si="5"/>
        <v>780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3</v>
      </c>
      <c r="D24" s="13">
        <v>5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3">
        <v>100</v>
      </c>
      <c r="J24" s="17">
        <f t="shared" si="4"/>
        <v>100</v>
      </c>
      <c r="K24" s="18" t="s">
        <v>305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2</v>
      </c>
      <c r="H26" s="15">
        <v>2</v>
      </c>
      <c r="I26" s="23">
        <v>100</v>
      </c>
      <c r="J26" s="17">
        <f t="shared" si="4"/>
        <v>200</v>
      </c>
      <c r="K26" s="18" t="s">
        <v>17</v>
      </c>
      <c r="L26" s="19">
        <v>0</v>
      </c>
      <c r="M26" s="24">
        <f t="shared" si="5"/>
        <v>200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0</v>
      </c>
      <c r="H27" s="15">
        <v>2</v>
      </c>
      <c r="I27" s="22">
        <v>100</v>
      </c>
      <c r="J27" s="17">
        <f t="shared" si="4"/>
        <v>200</v>
      </c>
      <c r="K27" s="18" t="s">
        <v>305</v>
      </c>
      <c r="L27" s="19">
        <v>20</v>
      </c>
      <c r="M27" s="24">
        <f t="shared" si="5"/>
        <v>180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0</v>
      </c>
      <c r="H29" s="15">
        <v>3</v>
      </c>
      <c r="I29" s="16">
        <v>100</v>
      </c>
      <c r="J29" s="17">
        <f t="shared" si="4"/>
        <v>300</v>
      </c>
      <c r="K29" s="18" t="s">
        <v>17</v>
      </c>
      <c r="L29" s="19">
        <v>0</v>
      </c>
      <c r="M29" s="24">
        <f t="shared" si="5"/>
        <v>300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4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5</v>
      </c>
      <c r="H39" s="15">
        <v>3</v>
      </c>
      <c r="I39" s="16">
        <v>50</v>
      </c>
      <c r="J39" s="17">
        <f t="shared" si="4"/>
        <v>150</v>
      </c>
      <c r="K39" s="18" t="s">
        <v>306</v>
      </c>
      <c r="L39" s="19">
        <v>100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5</v>
      </c>
      <c r="H40" s="15">
        <v>2</v>
      </c>
      <c r="I40" s="16">
        <v>50</v>
      </c>
      <c r="J40" s="17">
        <f t="shared" si="4"/>
        <v>100</v>
      </c>
      <c r="K40" s="18" t="s">
        <v>307</v>
      </c>
      <c r="L40" s="19">
        <v>100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5</v>
      </c>
      <c r="D42" s="13">
        <v>5</v>
      </c>
      <c r="E42" s="12">
        <f t="shared" si="0"/>
        <v>10</v>
      </c>
      <c r="F42" s="13">
        <v>0</v>
      </c>
      <c r="G42" s="14">
        <f t="shared" si="1"/>
        <v>9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103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3</v>
      </c>
      <c r="D43" s="13">
        <v>5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2</v>
      </c>
      <c r="D44" s="13">
        <v>5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3</v>
      </c>
      <c r="D46" s="13">
        <v>5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8</v>
      </c>
      <c r="D47" s="13">
        <v>5</v>
      </c>
      <c r="E47" s="12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6</v>
      </c>
      <c r="D66" s="13">
        <v>4</v>
      </c>
      <c r="E66" s="12">
        <f t="shared" si="0"/>
        <v>10</v>
      </c>
      <c r="F66" s="13">
        <v>0</v>
      </c>
      <c r="G66" s="14">
        <f t="shared" si="1"/>
        <v>8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+'2'!G73</f>
        <v>9</v>
      </c>
      <c r="D73" s="13">
        <v>0</v>
      </c>
      <c r="E73" s="12">
        <f t="shared" si="0"/>
        <v>9</v>
      </c>
      <c r="F73" s="13">
        <v>0</v>
      </c>
      <c r="G73" s="14">
        <f t="shared" si="6"/>
        <v>7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+'2'!G74</f>
        <v>4</v>
      </c>
      <c r="D74" s="13">
        <v>5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281</v>
      </c>
      <c r="L77" s="19">
        <v>30</v>
      </c>
      <c r="M77" s="24">
        <f t="shared" si="9"/>
        <v>20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103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+'2'!G85</f>
        <v>9</v>
      </c>
      <c r="D85" s="13">
        <v>0</v>
      </c>
      <c r="E85" s="12">
        <f t="shared" si="0"/>
        <v>9</v>
      </c>
      <c r="F85" s="13">
        <v>0</v>
      </c>
      <c r="G85" s="14">
        <f t="shared" si="6"/>
        <v>8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8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8</v>
      </c>
      <c r="H87" s="15">
        <v>3</v>
      </c>
      <c r="I87" s="22">
        <v>60</v>
      </c>
      <c r="J87" s="17">
        <f t="shared" si="10"/>
        <v>180</v>
      </c>
      <c r="K87" s="18" t="s">
        <v>17</v>
      </c>
      <c r="L87" s="19">
        <v>0</v>
      </c>
      <c r="M87" s="24">
        <f t="shared" si="9"/>
        <v>180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10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+'2'!G92</f>
        <v>11</v>
      </c>
      <c r="D92" s="13">
        <v>0</v>
      </c>
      <c r="E92" s="12">
        <f t="shared" si="0"/>
        <v>11</v>
      </c>
      <c r="F92" s="13">
        <v>0</v>
      </c>
      <c r="G92" s="14">
        <f t="shared" si="6"/>
        <v>10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6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9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+'2'!G102</f>
        <v>11</v>
      </c>
      <c r="D102" s="13">
        <v>0</v>
      </c>
      <c r="E102" s="12">
        <f t="shared" si="11"/>
        <v>11</v>
      </c>
      <c r="F102" s="13">
        <v>5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308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+'2'!G107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1</v>
      </c>
      <c r="H142" s="15">
        <v>3</v>
      </c>
      <c r="I142" s="22">
        <v>120</v>
      </c>
      <c r="J142" s="17">
        <f t="shared" si="13"/>
        <v>360</v>
      </c>
      <c r="K142" s="18" t="s">
        <v>281</v>
      </c>
      <c r="L142" s="19">
        <v>60</v>
      </c>
      <c r="M142" s="24">
        <f t="shared" si="12"/>
        <v>300</v>
      </c>
    </row>
    <row r="143" spans="1:13" ht="25.5">
      <c r="A143" s="10">
        <v>139</v>
      </c>
      <c r="B143" s="20" t="s">
        <v>152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+'2'!G150</f>
        <v>4</v>
      </c>
      <c r="D150" s="13">
        <v>5</v>
      </c>
      <c r="E150" s="12">
        <f t="shared" si="11"/>
        <v>9</v>
      </c>
      <c r="F150" s="13">
        <v>0</v>
      </c>
      <c r="G150" s="14">
        <f t="shared" si="6"/>
        <v>3</v>
      </c>
      <c r="H150" s="15">
        <v>6</v>
      </c>
      <c r="I150" s="22">
        <v>120</v>
      </c>
      <c r="J150" s="17">
        <f t="shared" si="13"/>
        <v>720</v>
      </c>
      <c r="K150" s="18" t="s">
        <v>291</v>
      </c>
      <c r="L150" s="19">
        <v>120</v>
      </c>
      <c r="M150" s="24">
        <f t="shared" si="12"/>
        <v>600</v>
      </c>
    </row>
    <row r="151" spans="1:13" ht="25.5">
      <c r="A151" s="10">
        <v>147</v>
      </c>
      <c r="B151" s="20" t="s">
        <v>160</v>
      </c>
      <c r="C151" s="12">
        <f>+'2'!G151</f>
        <v>2</v>
      </c>
      <c r="D151" s="13">
        <v>5</v>
      </c>
      <c r="E151" s="12">
        <f t="shared" si="11"/>
        <v>7</v>
      </c>
      <c r="F151" s="13">
        <v>0</v>
      </c>
      <c r="G151" s="14">
        <f t="shared" si="6"/>
        <v>7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+'2'!G152</f>
        <v>2</v>
      </c>
      <c r="D152" s="13">
        <v>5</v>
      </c>
      <c r="E152" s="12">
        <f t="shared" si="11"/>
        <v>7</v>
      </c>
      <c r="F152" s="13">
        <v>0</v>
      </c>
      <c r="G152" s="14">
        <f t="shared" si="6"/>
        <v>2</v>
      </c>
      <c r="H152" s="15">
        <v>5</v>
      </c>
      <c r="I152" s="22">
        <v>120</v>
      </c>
      <c r="J152" s="17">
        <f t="shared" si="13"/>
        <v>600</v>
      </c>
      <c r="K152" s="18" t="s">
        <v>291</v>
      </c>
      <c r="L152" s="19">
        <v>80</v>
      </c>
      <c r="M152" s="24">
        <f t="shared" si="12"/>
        <v>520</v>
      </c>
    </row>
    <row r="153" spans="1:13" ht="25.5">
      <c r="A153" s="10">
        <v>149</v>
      </c>
      <c r="B153" s="20" t="s">
        <v>162</v>
      </c>
      <c r="C153" s="12">
        <f>+'2'!G153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+'2'!G154</f>
        <v>5</v>
      </c>
      <c r="D154" s="13">
        <v>5</v>
      </c>
      <c r="E154" s="12">
        <f t="shared" si="11"/>
        <v>10</v>
      </c>
      <c r="F154" s="13">
        <v>0</v>
      </c>
      <c r="G154" s="14">
        <f t="shared" si="14"/>
        <v>3</v>
      </c>
      <c r="H154" s="15">
        <v>7</v>
      </c>
      <c r="I154" s="22">
        <v>185</v>
      </c>
      <c r="J154" s="17">
        <f t="shared" si="13"/>
        <v>1295</v>
      </c>
      <c r="K154" s="18" t="s">
        <v>291</v>
      </c>
      <c r="L154" s="19">
        <v>105</v>
      </c>
      <c r="M154" s="24">
        <f t="shared" si="12"/>
        <v>1190</v>
      </c>
    </row>
    <row r="155" spans="1:13" ht="25.5">
      <c r="A155" s="10">
        <v>151</v>
      </c>
      <c r="B155" s="20" t="s">
        <v>164</v>
      </c>
      <c r="C155" s="12">
        <f>+'2'!G155</f>
        <v>0</v>
      </c>
      <c r="D155" s="13">
        <v>5</v>
      </c>
      <c r="E155" s="12">
        <f t="shared" si="11"/>
        <v>5</v>
      </c>
      <c r="F155" s="13">
        <v>0</v>
      </c>
      <c r="G155" s="14">
        <f t="shared" si="14"/>
        <v>5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+'2'!G156</f>
        <v>0</v>
      </c>
      <c r="D156" s="13">
        <v>5</v>
      </c>
      <c r="E156" s="12">
        <f t="shared" si="11"/>
        <v>5</v>
      </c>
      <c r="F156" s="13">
        <v>0</v>
      </c>
      <c r="G156" s="14">
        <f t="shared" si="14"/>
        <v>2</v>
      </c>
      <c r="H156" s="15">
        <v>3</v>
      </c>
      <c r="I156" s="22">
        <v>185</v>
      </c>
      <c r="J156" s="17">
        <f t="shared" si="13"/>
        <v>555</v>
      </c>
      <c r="K156" s="18" t="s">
        <v>291</v>
      </c>
      <c r="L156" s="19">
        <v>45</v>
      </c>
      <c r="M156" s="24">
        <f t="shared" si="12"/>
        <v>510</v>
      </c>
    </row>
    <row r="157" spans="1:13" ht="25.5">
      <c r="A157" s="10">
        <v>153</v>
      </c>
      <c r="B157" s="20" t="s">
        <v>166</v>
      </c>
      <c r="C157" s="12">
        <f>+'2'!G157</f>
        <v>0</v>
      </c>
      <c r="D157" s="13">
        <v>5</v>
      </c>
      <c r="E157" s="12">
        <f t="shared" si="11"/>
        <v>5</v>
      </c>
      <c r="F157" s="13">
        <v>0</v>
      </c>
      <c r="G157" s="14">
        <f t="shared" si="14"/>
        <v>5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+'2'!G179</f>
        <v>62</v>
      </c>
      <c r="D179" s="13">
        <v>0</v>
      </c>
      <c r="E179" s="12">
        <f t="shared" si="11"/>
        <v>62</v>
      </c>
      <c r="F179" s="13">
        <v>0</v>
      </c>
      <c r="G179" s="14">
        <f t="shared" si="14"/>
        <v>60</v>
      </c>
      <c r="H179" s="15">
        <v>2</v>
      </c>
      <c r="I179" s="22">
        <v>10</v>
      </c>
      <c r="J179" s="17">
        <f t="shared" si="13"/>
        <v>20</v>
      </c>
      <c r="K179" s="18" t="s">
        <v>17</v>
      </c>
      <c r="L179" s="19">
        <v>0</v>
      </c>
      <c r="M179" s="24">
        <f t="shared" si="12"/>
        <v>20</v>
      </c>
    </row>
    <row r="180" spans="1:13" ht="25.5">
      <c r="A180" s="10">
        <v>176</v>
      </c>
      <c r="B180" s="20" t="s">
        <v>187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17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>
        <v>0</v>
      </c>
      <c r="M181" s="24">
        <f t="shared" si="12"/>
        <v>30</v>
      </c>
    </row>
    <row r="182" spans="1:13" ht="25.5">
      <c r="A182" s="10">
        <v>178</v>
      </c>
      <c r="B182" s="20" t="s">
        <v>189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18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>
      <c r="A184" s="10">
        <v>180</v>
      </c>
      <c r="B184" s="20" t="s">
        <v>191</v>
      </c>
      <c r="C184" s="12">
        <f>+'2'!G184</f>
        <v>0</v>
      </c>
      <c r="D184" s="13">
        <v>20</v>
      </c>
      <c r="E184" s="12">
        <f t="shared" si="11"/>
        <v>20</v>
      </c>
      <c r="F184" s="13">
        <v>1</v>
      </c>
      <c r="G184" s="14">
        <f t="shared" si="14"/>
        <v>11</v>
      </c>
      <c r="H184" s="15">
        <v>8</v>
      </c>
      <c r="I184" s="22">
        <v>10</v>
      </c>
      <c r="J184" s="17">
        <f t="shared" si="13"/>
        <v>80</v>
      </c>
      <c r="K184" s="18" t="s">
        <v>17</v>
      </c>
      <c r="L184" s="19">
        <v>0</v>
      </c>
      <c r="M184" s="24">
        <f t="shared" si="12"/>
        <v>80</v>
      </c>
    </row>
    <row r="185" spans="1:13" ht="25.5">
      <c r="A185" s="10">
        <v>181</v>
      </c>
      <c r="B185" s="20" t="s">
        <v>192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350</v>
      </c>
      <c r="K189" s="18" t="s">
        <v>17</v>
      </c>
      <c r="L189" s="19">
        <v>0</v>
      </c>
      <c r="M189" s="24">
        <f t="shared" si="12"/>
        <v>350</v>
      </c>
    </row>
    <row r="190" spans="1:13" ht="25.5">
      <c r="A190" s="10">
        <v>186</v>
      </c>
      <c r="B190" s="20" t="s">
        <v>197</v>
      </c>
      <c r="C190" s="12">
        <f>+'2'!G190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+'2'!G199</f>
        <v>255</v>
      </c>
      <c r="D199" s="13">
        <v>0</v>
      </c>
      <c r="E199" s="12">
        <f t="shared" si="11"/>
        <v>255</v>
      </c>
      <c r="F199" s="13">
        <v>0</v>
      </c>
      <c r="G199" s="14">
        <f t="shared" si="14"/>
        <v>255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2" ht="25.5">
      <c r="A209" s="10">
        <v>205</v>
      </c>
      <c r="B209" s="20" t="s">
        <v>266</v>
      </c>
      <c r="C209" s="12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2" ht="25.5">
      <c r="A210" s="10">
        <v>206</v>
      </c>
      <c r="B210" s="20" t="s">
        <v>264</v>
      </c>
      <c r="C210" s="12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2" ht="25.5">
      <c r="A211" s="10">
        <v>207</v>
      </c>
      <c r="B211" s="20" t="s">
        <v>309</v>
      </c>
      <c r="C211" s="12">
        <f>+'2'!G211</f>
        <v>0</v>
      </c>
      <c r="D211" s="13">
        <v>3</v>
      </c>
      <c r="E211" s="12">
        <f t="shared" si="17"/>
        <v>3</v>
      </c>
      <c r="F211" s="13">
        <v>0</v>
      </c>
      <c r="G211" s="14">
        <f t="shared" ref="G211:G214" si="18">E211-F211-H211</f>
        <v>3</v>
      </c>
      <c r="H211" s="15">
        <v>0</v>
      </c>
      <c r="I211" s="22">
        <v>50</v>
      </c>
      <c r="J211" s="17">
        <f t="shared" ref="J211:J214" si="19">+I211*H211</f>
        <v>0</v>
      </c>
      <c r="K211" s="18" t="s">
        <v>17</v>
      </c>
      <c r="L211" s="19">
        <v>0</v>
      </c>
      <c r="M211" s="24">
        <f t="shared" ref="M211:M214" si="20">SUM(J211-L211)</f>
        <v>0</v>
      </c>
    </row>
    <row r="212" spans="1:22" ht="25.5">
      <c r="A212" s="10">
        <v>208</v>
      </c>
      <c r="B212" s="20" t="s">
        <v>310</v>
      </c>
      <c r="C212" s="12">
        <f>+'2'!G212</f>
        <v>0</v>
      </c>
      <c r="D212" s="13">
        <v>1</v>
      </c>
      <c r="E212" s="12">
        <f t="shared" si="17"/>
        <v>1</v>
      </c>
      <c r="F212" s="13">
        <v>0</v>
      </c>
      <c r="G212" s="14">
        <f t="shared" si="18"/>
        <v>1</v>
      </c>
      <c r="H212" s="15">
        <v>0</v>
      </c>
      <c r="I212" s="22">
        <v>50</v>
      </c>
      <c r="J212" s="17">
        <f t="shared" si="19"/>
        <v>0</v>
      </c>
      <c r="K212" s="18" t="s">
        <v>17</v>
      </c>
      <c r="L212" s="19">
        <v>0</v>
      </c>
      <c r="M212" s="24">
        <f t="shared" si="20"/>
        <v>0</v>
      </c>
    </row>
    <row r="213" spans="1:22" ht="25.5">
      <c r="A213" s="10">
        <v>209</v>
      </c>
      <c r="B213" s="20" t="s">
        <v>311</v>
      </c>
      <c r="C213" s="12">
        <f>+'2'!G213</f>
        <v>0</v>
      </c>
      <c r="D213" s="13">
        <v>1</v>
      </c>
      <c r="E213" s="12">
        <f t="shared" si="17"/>
        <v>1</v>
      </c>
      <c r="F213" s="13">
        <v>0</v>
      </c>
      <c r="G213" s="14">
        <f t="shared" si="18"/>
        <v>1</v>
      </c>
      <c r="H213" s="15">
        <v>0</v>
      </c>
      <c r="I213" s="22">
        <v>60</v>
      </c>
      <c r="J213" s="17">
        <f t="shared" si="19"/>
        <v>0</v>
      </c>
      <c r="K213" s="18" t="s">
        <v>17</v>
      </c>
      <c r="L213" s="19">
        <v>0</v>
      </c>
      <c r="M213" s="24">
        <f t="shared" si="20"/>
        <v>0</v>
      </c>
    </row>
    <row r="214" spans="1:22" ht="25.5">
      <c r="A214" s="10">
        <v>210</v>
      </c>
      <c r="B214" s="20" t="s">
        <v>312</v>
      </c>
      <c r="C214" s="12">
        <f>+'2'!G214</f>
        <v>0</v>
      </c>
      <c r="D214" s="13">
        <v>1</v>
      </c>
      <c r="E214" s="12">
        <f t="shared" si="17"/>
        <v>1</v>
      </c>
      <c r="F214" s="13">
        <v>0</v>
      </c>
      <c r="G214" s="14">
        <f t="shared" si="18"/>
        <v>1</v>
      </c>
      <c r="H214" s="15">
        <v>0</v>
      </c>
      <c r="I214" s="22">
        <v>60</v>
      </c>
      <c r="J214" s="17">
        <f t="shared" si="19"/>
        <v>0</v>
      </c>
      <c r="K214" s="18" t="s">
        <v>17</v>
      </c>
      <c r="L214" s="19">
        <v>0</v>
      </c>
      <c r="M214" s="24">
        <f t="shared" si="20"/>
        <v>0</v>
      </c>
    </row>
    <row r="215" spans="1:22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9">
        <v>0</v>
      </c>
      <c r="M215" s="154" t="s">
        <v>228</v>
      </c>
      <c r="N215" s="154"/>
    </row>
    <row r="216" spans="1:22" ht="25.5" customHeight="1">
      <c r="A216" s="1"/>
      <c r="C216" s="25"/>
      <c r="D216" s="26"/>
      <c r="E216" s="25"/>
      <c r="F216" s="26"/>
      <c r="G216" s="25"/>
      <c r="H216" s="155" t="s">
        <v>229</v>
      </c>
      <c r="I216" s="156"/>
      <c r="J216" s="31">
        <f>+X110</f>
        <v>0</v>
      </c>
      <c r="K216" s="28"/>
      <c r="L216" s="30"/>
    </row>
    <row r="217" spans="1:22" ht="25.5">
      <c r="A217" s="1"/>
      <c r="C217" s="32"/>
      <c r="E217" s="32"/>
      <c r="G217" s="32"/>
      <c r="H217" s="33"/>
      <c r="I217" s="157" t="s">
        <v>213</v>
      </c>
      <c r="J217" s="157"/>
      <c r="K217" s="34">
        <f>SUM(J5:J216)</f>
        <v>9535</v>
      </c>
    </row>
    <row r="218" spans="1:22" ht="25.5">
      <c r="A218" s="1"/>
      <c r="C218" s="32"/>
      <c r="E218" s="32"/>
      <c r="G218" s="32"/>
      <c r="I218" s="136" t="s">
        <v>214</v>
      </c>
      <c r="J218" s="137"/>
      <c r="K218" s="37">
        <v>0</v>
      </c>
    </row>
    <row r="219" spans="1:22" ht="25.5">
      <c r="A219" s="1"/>
      <c r="C219" s="32"/>
      <c r="E219" s="32"/>
      <c r="G219" s="32"/>
      <c r="I219" s="35" t="s">
        <v>215</v>
      </c>
      <c r="J219" s="36"/>
      <c r="K219" s="37">
        <f>SUM(L219:BO219)</f>
        <v>3085</v>
      </c>
      <c r="L219" s="38">
        <v>25</v>
      </c>
      <c r="M219" s="2">
        <v>1245</v>
      </c>
      <c r="N219" s="2">
        <v>200</v>
      </c>
      <c r="O219" s="2">
        <v>100</v>
      </c>
      <c r="P219" s="2">
        <v>140</v>
      </c>
      <c r="Q219" s="2">
        <v>160</v>
      </c>
      <c r="R219" s="2">
        <v>400</v>
      </c>
      <c r="S219" s="2">
        <v>100</v>
      </c>
      <c r="T219" s="2">
        <v>410</v>
      </c>
      <c r="U219" s="2">
        <v>250</v>
      </c>
      <c r="V219" s="2">
        <v>55</v>
      </c>
    </row>
    <row r="220" spans="1:22" ht="25.5">
      <c r="A220" s="1"/>
      <c r="C220" s="32"/>
      <c r="D220" s="91"/>
      <c r="E220" s="32"/>
      <c r="G220" s="39"/>
      <c r="I220" s="136" t="s">
        <v>216</v>
      </c>
      <c r="J220" s="137"/>
      <c r="K220" s="37">
        <v>0</v>
      </c>
    </row>
    <row r="221" spans="1:22" ht="25.5">
      <c r="A221" s="1"/>
      <c r="C221" s="90"/>
      <c r="E221" s="32"/>
      <c r="G221" s="32"/>
      <c r="I221" s="136" t="s">
        <v>217</v>
      </c>
      <c r="J221" s="137"/>
      <c r="K221" s="37">
        <v>0</v>
      </c>
    </row>
    <row r="222" spans="1:22" ht="25.5">
      <c r="A222" s="1"/>
      <c r="C222" s="32"/>
      <c r="E222" s="32"/>
      <c r="G222" s="32"/>
      <c r="I222" s="136" t="s">
        <v>218</v>
      </c>
      <c r="J222" s="137"/>
      <c r="K222" s="93">
        <f>SUM(L5:L215)</f>
        <v>950</v>
      </c>
      <c r="M222" s="94" t="s">
        <v>219</v>
      </c>
      <c r="N222" s="40" t="s">
        <v>220</v>
      </c>
      <c r="O222" s="41" t="s">
        <v>221</v>
      </c>
    </row>
    <row r="223" spans="1:22" ht="25.5">
      <c r="A223" s="1"/>
      <c r="C223" s="32"/>
      <c r="E223" s="32"/>
      <c r="G223" s="32"/>
      <c r="I223" s="136" t="s">
        <v>222</v>
      </c>
      <c r="J223" s="137"/>
      <c r="K223" s="34">
        <f>K217-K218-K219-K221-K222</f>
        <v>5500</v>
      </c>
      <c r="M223" s="42"/>
      <c r="N223" s="42"/>
      <c r="O223" s="42">
        <v>200</v>
      </c>
    </row>
    <row r="224" spans="1:22" ht="25.5">
      <c r="A224" s="1"/>
      <c r="C224" s="32"/>
      <c r="E224" s="32"/>
      <c r="G224" s="32"/>
      <c r="I224" s="136" t="s">
        <v>223</v>
      </c>
      <c r="J224" s="137"/>
      <c r="K224" s="93">
        <v>5505</v>
      </c>
      <c r="M224" s="42"/>
      <c r="N224" s="42"/>
      <c r="O224" s="42"/>
    </row>
    <row r="225" spans="1:15" ht="25.5">
      <c r="A225" s="1"/>
      <c r="C225" s="32"/>
      <c r="E225" s="32"/>
      <c r="G225" s="32"/>
      <c r="I225" s="136" t="s">
        <v>224</v>
      </c>
      <c r="J225" s="137"/>
      <c r="K225" s="34">
        <f>+K224-K223</f>
        <v>5</v>
      </c>
      <c r="M225" s="42"/>
      <c r="N225" s="42"/>
      <c r="O225" s="42"/>
    </row>
    <row r="226" spans="1:15" ht="25.5">
      <c r="G226" s="2"/>
      <c r="I226" s="136" t="s">
        <v>225</v>
      </c>
      <c r="J226" s="137"/>
      <c r="K226" s="34">
        <f>+K224-K223</f>
        <v>5</v>
      </c>
      <c r="M226" s="43"/>
      <c r="N226" s="43"/>
      <c r="O226" s="43"/>
    </row>
    <row r="227" spans="1:15">
      <c r="G227" s="2"/>
      <c r="I227" s="28"/>
      <c r="M227" s="43"/>
      <c r="N227" s="43"/>
      <c r="O227" s="43"/>
    </row>
    <row r="228" spans="1:15">
      <c r="G228" s="2"/>
      <c r="I228" s="2"/>
      <c r="J228" s="2" t="s">
        <v>276</v>
      </c>
      <c r="K228" s="24">
        <f>+K217-K222+K225</f>
        <v>8590</v>
      </c>
      <c r="M228" s="44"/>
      <c r="N228" s="44"/>
      <c r="O228" s="44"/>
    </row>
    <row r="229" spans="1:15">
      <c r="G229" s="2"/>
      <c r="I229" s="2"/>
      <c r="J229" s="2" t="s">
        <v>277</v>
      </c>
      <c r="K229" s="30">
        <f>SUM(K218:K221)</f>
        <v>3085</v>
      </c>
      <c r="M229" s="45">
        <f>SUM(M223:M228)</f>
        <v>0</v>
      </c>
      <c r="N229" s="45">
        <f>SUM(N223:N228)</f>
        <v>0</v>
      </c>
      <c r="O229" s="45">
        <f>SUM(O223:O228)</f>
        <v>200</v>
      </c>
    </row>
    <row r="230" spans="1:15">
      <c r="G230" s="2"/>
      <c r="I230" s="2"/>
      <c r="J230" s="2" t="s">
        <v>278</v>
      </c>
      <c r="K230" s="24">
        <f>+K224</f>
        <v>5505</v>
      </c>
      <c r="M230" s="46" t="s">
        <v>226</v>
      </c>
      <c r="N230" s="47">
        <f>N229*30/100</f>
        <v>0</v>
      </c>
      <c r="O230" s="47">
        <f>O229*30/100</f>
        <v>60</v>
      </c>
    </row>
    <row r="231" spans="1:15">
      <c r="G231" s="2"/>
      <c r="I231" s="2"/>
      <c r="M231" s="46" t="s">
        <v>227</v>
      </c>
      <c r="N231" s="47">
        <f>N230*7/100</f>
        <v>0</v>
      </c>
      <c r="O231" s="47">
        <f>O230*7/100</f>
        <v>4.2</v>
      </c>
    </row>
    <row r="232" spans="1:15">
      <c r="G232" s="2"/>
      <c r="I232" s="2"/>
      <c r="M232" s="95" t="s">
        <v>6</v>
      </c>
      <c r="N232" s="48">
        <f>N229-N230-N231</f>
        <v>0</v>
      </c>
      <c r="O232" s="48">
        <f>O229-O230-O231</f>
        <v>135.80000000000001</v>
      </c>
    </row>
    <row r="233" spans="1:15">
      <c r="G233" s="2"/>
      <c r="I233" s="2"/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theme="5" tint="0.79998168889431442"/>
  </sheetPr>
  <dimension ref="A1:Z301"/>
  <sheetViews>
    <sheetView topLeftCell="D1" zoomScale="90" zoomScaleNormal="90" zoomScalePageLayoutView="110" workbookViewId="0">
      <pane ySplit="4" topLeftCell="A215" activePane="bottomLeft" state="frozen"/>
      <selection pane="bottomLeft" activeCell="C47" sqref="C4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+'3'!G5</f>
        <v>19</v>
      </c>
      <c r="D5" s="13">
        <v>0</v>
      </c>
      <c r="E5" s="12">
        <f t="shared" ref="E5:E94" si="0">C5+D5</f>
        <v>19</v>
      </c>
      <c r="F5" s="13">
        <v>0</v>
      </c>
      <c r="G5" s="14">
        <f t="shared" ref="G5:G68" si="1">E5-F5-H5</f>
        <v>18</v>
      </c>
      <c r="H5" s="15">
        <v>1</v>
      </c>
      <c r="I5" s="16">
        <v>50</v>
      </c>
      <c r="J5" s="17">
        <f>+I5*H5</f>
        <v>50</v>
      </c>
      <c r="K5" s="18" t="s">
        <v>313</v>
      </c>
      <c r="L5" s="19">
        <v>50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+'3'!G6</f>
        <v>63</v>
      </c>
      <c r="D6" s="13">
        <v>0</v>
      </c>
      <c r="E6" s="12">
        <f t="shared" si="0"/>
        <v>63</v>
      </c>
      <c r="F6" s="13">
        <v>0</v>
      </c>
      <c r="G6" s="14">
        <f t="shared" si="1"/>
        <v>60</v>
      </c>
      <c r="H6" s="15">
        <v>3</v>
      </c>
      <c r="I6" s="16">
        <v>100</v>
      </c>
      <c r="J6" s="17">
        <f t="shared" ref="J6:J70" si="4">+I6*H6</f>
        <v>300</v>
      </c>
      <c r="K6" s="18" t="s">
        <v>17</v>
      </c>
      <c r="L6" s="19">
        <v>0</v>
      </c>
      <c r="M6" s="24">
        <f t="shared" ref="M6:M69" si="5">SUM(J6-L6)</f>
        <v>300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+'3'!G12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1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6</v>
      </c>
      <c r="D17" s="13">
        <v>0</v>
      </c>
      <c r="E17" s="12">
        <f t="shared" si="0"/>
        <v>6</v>
      </c>
      <c r="F17" s="13">
        <v>0</v>
      </c>
      <c r="G17" s="14">
        <f t="shared" si="1"/>
        <v>5</v>
      </c>
      <c r="H17" s="15">
        <v>1</v>
      </c>
      <c r="I17" s="16">
        <v>50</v>
      </c>
      <c r="J17" s="17">
        <f t="shared" si="4"/>
        <v>50</v>
      </c>
      <c r="K17" s="18" t="s">
        <v>313</v>
      </c>
      <c r="L17" s="19">
        <v>50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15</v>
      </c>
      <c r="D23" s="13">
        <v>0</v>
      </c>
      <c r="E23" s="14">
        <f>C23+D23</f>
        <v>15</v>
      </c>
      <c r="F23" s="13">
        <v>0</v>
      </c>
      <c r="G23" s="14">
        <f t="shared" si="1"/>
        <v>7</v>
      </c>
      <c r="H23" s="15">
        <v>8</v>
      </c>
      <c r="I23" s="16">
        <v>100</v>
      </c>
      <c r="J23" s="17">
        <f t="shared" si="4"/>
        <v>800</v>
      </c>
      <c r="K23" s="18" t="s">
        <v>17</v>
      </c>
      <c r="L23" s="19">
        <v>0</v>
      </c>
      <c r="M23" s="24">
        <f t="shared" si="5"/>
        <v>800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2</v>
      </c>
      <c r="H24" s="15">
        <v>5</v>
      </c>
      <c r="I24" s="23">
        <v>100</v>
      </c>
      <c r="J24" s="17">
        <f t="shared" si="4"/>
        <v>500</v>
      </c>
      <c r="K24" s="18" t="s">
        <v>314</v>
      </c>
      <c r="L24" s="19">
        <v>80</v>
      </c>
      <c r="M24" s="24">
        <f t="shared" si="5"/>
        <v>420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+'3'!G34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7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13</v>
      </c>
      <c r="D47" s="13">
        <v>0</v>
      </c>
      <c r="E47" s="12">
        <f t="shared" si="0"/>
        <v>13</v>
      </c>
      <c r="F47" s="13">
        <v>0</v>
      </c>
      <c r="G47" s="14">
        <f t="shared" si="1"/>
        <v>12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4"/>
        <v>120</v>
      </c>
      <c r="K50" s="18" t="s">
        <v>291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3</v>
      </c>
      <c r="H51" s="15">
        <v>3</v>
      </c>
      <c r="I51" s="16">
        <v>120</v>
      </c>
      <c r="J51" s="17">
        <f t="shared" si="4"/>
        <v>360</v>
      </c>
      <c r="K51" s="18" t="s">
        <v>291</v>
      </c>
      <c r="L51" s="19">
        <v>105</v>
      </c>
      <c r="M51" s="24">
        <f t="shared" si="5"/>
        <v>255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3">
        <v>120</v>
      </c>
      <c r="J52" s="17">
        <f t="shared" si="4"/>
        <v>120</v>
      </c>
      <c r="K52" s="18" t="s">
        <v>291</v>
      </c>
      <c r="L52" s="19">
        <v>35</v>
      </c>
      <c r="M52" s="24">
        <f t="shared" si="5"/>
        <v>85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3">
        <v>120</v>
      </c>
      <c r="J57" s="17">
        <f t="shared" si="4"/>
        <v>120</v>
      </c>
      <c r="K57" s="18" t="s">
        <v>291</v>
      </c>
      <c r="L57" s="19">
        <v>35</v>
      </c>
      <c r="M57" s="24">
        <f t="shared" si="5"/>
        <v>85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+'3'!G63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+'3'!G70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0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+'3'!G71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0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+'3'!G73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6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+'3'!G74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+'3'!G79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+'3'!G82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+'3'!G86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+'3'!G88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+'3'!G92</f>
        <v>10</v>
      </c>
      <c r="D92" s="13">
        <v>0</v>
      </c>
      <c r="E92" s="12">
        <f t="shared" si="0"/>
        <v>10</v>
      </c>
      <c r="F92" s="13">
        <v>0</v>
      </c>
      <c r="G92" s="14">
        <f t="shared" si="6"/>
        <v>8</v>
      </c>
      <c r="H92" s="15">
        <v>2</v>
      </c>
      <c r="I92" s="21">
        <v>120</v>
      </c>
      <c r="J92" s="17">
        <f t="shared" si="10"/>
        <v>240</v>
      </c>
      <c r="K92" s="18" t="s">
        <v>271</v>
      </c>
      <c r="L92" s="19">
        <v>120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+'3'!G93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271</v>
      </c>
      <c r="L93" s="19">
        <v>125</v>
      </c>
      <c r="M93" s="24">
        <f t="shared" si="9"/>
        <v>125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+'3'!G97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2</v>
      </c>
      <c r="H97" s="15">
        <v>7</v>
      </c>
      <c r="I97" s="22">
        <v>45</v>
      </c>
      <c r="J97" s="17">
        <f t="shared" si="10"/>
        <v>315</v>
      </c>
      <c r="K97" s="18" t="s">
        <v>315</v>
      </c>
      <c r="L97" s="19">
        <v>270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+'3'!G101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+'3'!G102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+'3'!G106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+'3'!G107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+'3'!G142</f>
        <v>1</v>
      </c>
      <c r="D142" s="13">
        <v>0</v>
      </c>
      <c r="E142" s="12">
        <f t="shared" si="11"/>
        <v>1</v>
      </c>
      <c r="F142" s="13">
        <v>0</v>
      </c>
      <c r="G142" s="14">
        <f t="shared" si="6"/>
        <v>1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+'3'!G150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1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>
      <c r="A151" s="10">
        <v>147</v>
      </c>
      <c r="B151" s="20" t="s">
        <v>160</v>
      </c>
      <c r="C151" s="12">
        <f>+'3'!G151</f>
        <v>7</v>
      </c>
      <c r="D151" s="13">
        <v>0</v>
      </c>
      <c r="E151" s="12">
        <f t="shared" si="11"/>
        <v>7</v>
      </c>
      <c r="F151" s="13">
        <v>0</v>
      </c>
      <c r="G151" s="14">
        <f t="shared" si="6"/>
        <v>7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+'3'!G152</f>
        <v>2</v>
      </c>
      <c r="D152" s="13">
        <v>0</v>
      </c>
      <c r="E152" s="12">
        <f t="shared" si="11"/>
        <v>2</v>
      </c>
      <c r="F152" s="13">
        <v>0</v>
      </c>
      <c r="G152" s="14">
        <f t="shared" si="6"/>
        <v>0</v>
      </c>
      <c r="H152" s="15">
        <v>2</v>
      </c>
      <c r="I152" s="22">
        <v>120</v>
      </c>
      <c r="J152" s="17">
        <f t="shared" si="13"/>
        <v>240</v>
      </c>
      <c r="K152" s="18" t="s">
        <v>17</v>
      </c>
      <c r="L152" s="19">
        <v>0</v>
      </c>
      <c r="M152" s="24">
        <f t="shared" si="12"/>
        <v>240</v>
      </c>
    </row>
    <row r="153" spans="1:13" ht="25.5">
      <c r="A153" s="10">
        <v>149</v>
      </c>
      <c r="B153" s="20" t="s">
        <v>162</v>
      </c>
      <c r="C153" s="12">
        <f>+'3'!G153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4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+'3'!G154</f>
        <v>3</v>
      </c>
      <c r="D154" s="13">
        <v>0</v>
      </c>
      <c r="E154" s="12">
        <f t="shared" si="11"/>
        <v>3</v>
      </c>
      <c r="F154" s="13">
        <v>0</v>
      </c>
      <c r="G154" s="14">
        <f t="shared" si="14"/>
        <v>3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+'3'!G155</f>
        <v>5</v>
      </c>
      <c r="D155" s="13">
        <v>0</v>
      </c>
      <c r="E155" s="12">
        <f t="shared" si="11"/>
        <v>5</v>
      </c>
      <c r="F155" s="13">
        <v>0</v>
      </c>
      <c r="G155" s="14">
        <f t="shared" si="14"/>
        <v>0</v>
      </c>
      <c r="H155" s="15">
        <v>5</v>
      </c>
      <c r="I155" s="22">
        <v>185</v>
      </c>
      <c r="J155" s="17">
        <f t="shared" si="13"/>
        <v>925</v>
      </c>
      <c r="K155" s="18" t="s">
        <v>316</v>
      </c>
      <c r="L155" s="19">
        <v>30</v>
      </c>
      <c r="M155" s="24">
        <f t="shared" si="12"/>
        <v>895</v>
      </c>
    </row>
    <row r="156" spans="1:13" ht="25.5">
      <c r="A156" s="10">
        <v>152</v>
      </c>
      <c r="B156" s="20" t="s">
        <v>165</v>
      </c>
      <c r="C156" s="12">
        <f>+'3'!G156</f>
        <v>2</v>
      </c>
      <c r="D156" s="13">
        <v>0</v>
      </c>
      <c r="E156" s="12">
        <f t="shared" si="11"/>
        <v>2</v>
      </c>
      <c r="F156" s="13">
        <v>0</v>
      </c>
      <c r="G156" s="14">
        <f t="shared" si="14"/>
        <v>2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+'3'!G157</f>
        <v>5</v>
      </c>
      <c r="D157" s="13">
        <v>0</v>
      </c>
      <c r="E157" s="12">
        <f t="shared" si="11"/>
        <v>5</v>
      </c>
      <c r="F157" s="13">
        <v>0</v>
      </c>
      <c r="G157" s="14">
        <f t="shared" si="14"/>
        <v>2</v>
      </c>
      <c r="H157" s="15">
        <v>3</v>
      </c>
      <c r="I157" s="22">
        <v>185</v>
      </c>
      <c r="J157" s="17">
        <f t="shared" si="13"/>
        <v>555</v>
      </c>
      <c r="K157" s="18" t="s">
        <v>17</v>
      </c>
      <c r="L157" s="19">
        <v>0</v>
      </c>
      <c r="M157" s="24">
        <f t="shared" si="12"/>
        <v>555</v>
      </c>
    </row>
    <row r="158" spans="1:13" ht="25.5">
      <c r="A158" s="10">
        <v>154</v>
      </c>
      <c r="B158" s="20" t="s">
        <v>267</v>
      </c>
      <c r="C158" s="12">
        <f>+'3'!G158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+'3'!G161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+'3'!G164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7</v>
      </c>
      <c r="H164" s="15">
        <v>1</v>
      </c>
      <c r="I164" s="22">
        <v>50</v>
      </c>
      <c r="J164" s="17">
        <f t="shared" si="13"/>
        <v>50</v>
      </c>
      <c r="K164" s="18" t="s">
        <v>17</v>
      </c>
      <c r="L164" s="19">
        <v>0</v>
      </c>
      <c r="M164" s="24">
        <f t="shared" si="12"/>
        <v>50</v>
      </c>
    </row>
    <row r="165" spans="1:13" ht="25.5">
      <c r="A165" s="10">
        <v>161</v>
      </c>
      <c r="B165" s="20" t="s">
        <v>172</v>
      </c>
      <c r="C165" s="12">
        <f>+'3'!G165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+'3'!G168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+'3'!G179</f>
        <v>60</v>
      </c>
      <c r="D179" s="13">
        <v>0</v>
      </c>
      <c r="E179" s="12">
        <f t="shared" si="11"/>
        <v>60</v>
      </c>
      <c r="F179" s="13">
        <v>0</v>
      </c>
      <c r="G179" s="14">
        <f t="shared" si="14"/>
        <v>60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+'3'!G181</f>
        <v>17</v>
      </c>
      <c r="D181" s="13">
        <v>0</v>
      </c>
      <c r="E181" s="12">
        <f t="shared" si="11"/>
        <v>17</v>
      </c>
      <c r="F181" s="13">
        <v>0</v>
      </c>
      <c r="G181" s="14">
        <f t="shared" si="14"/>
        <v>16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>
      <c r="A182" s="10">
        <v>178</v>
      </c>
      <c r="B182" s="20" t="s">
        <v>189</v>
      </c>
      <c r="C182" s="12">
        <f>+'3'!G182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+'3'!G183</f>
        <v>18</v>
      </c>
      <c r="D183" s="13">
        <v>0</v>
      </c>
      <c r="E183" s="12">
        <f t="shared" si="11"/>
        <v>18</v>
      </c>
      <c r="F183" s="13">
        <v>0</v>
      </c>
      <c r="G183" s="14">
        <f t="shared" si="14"/>
        <v>16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>
      <c r="A184" s="10">
        <v>180</v>
      </c>
      <c r="B184" s="20" t="s">
        <v>191</v>
      </c>
      <c r="C184" s="12">
        <f>+'3'!G184</f>
        <v>11</v>
      </c>
      <c r="D184" s="13">
        <v>0</v>
      </c>
      <c r="E184" s="12">
        <f t="shared" si="11"/>
        <v>11</v>
      </c>
      <c r="F184" s="13">
        <v>0</v>
      </c>
      <c r="G184" s="14">
        <f t="shared" si="14"/>
        <v>8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192</v>
      </c>
      <c r="C185" s="12">
        <f>+'3'!G185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4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+'3'!G199</f>
        <v>255</v>
      </c>
      <c r="D199" s="13">
        <v>0</v>
      </c>
      <c r="E199" s="12">
        <f t="shared" si="11"/>
        <v>255</v>
      </c>
      <c r="F199" s="13">
        <v>0</v>
      </c>
      <c r="G199" s="14">
        <f t="shared" si="14"/>
        <v>255</v>
      </c>
      <c r="H199" s="15">
        <v>0</v>
      </c>
      <c r="I199" s="16">
        <v>0</v>
      </c>
      <c r="J199" s="17">
        <f t="shared" ref="J199:J214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+'3'!G207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>
      <c r="A209" s="10">
        <v>205</v>
      </c>
      <c r="B209" s="20" t="s">
        <v>266</v>
      </c>
      <c r="C209" s="12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>
      <c r="A210" s="10">
        <v>206</v>
      </c>
      <c r="B210" s="20" t="s">
        <v>264</v>
      </c>
      <c r="C210" s="12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>
      <c r="A211" s="10">
        <v>207</v>
      </c>
      <c r="B211" s="20" t="s">
        <v>309</v>
      </c>
      <c r="C211" s="12">
        <f>+'3'!G211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3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6" ht="25.5">
      <c r="A212" s="10">
        <v>208</v>
      </c>
      <c r="B212" s="20" t="s">
        <v>310</v>
      </c>
      <c r="C212" s="12">
        <f>+'3'!G212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1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6" ht="25.5">
      <c r="A213" s="10">
        <v>209</v>
      </c>
      <c r="B213" s="20" t="s">
        <v>311</v>
      </c>
      <c r="C213" s="12">
        <f>+'3'!G213</f>
        <v>1</v>
      </c>
      <c r="D213" s="13">
        <v>0</v>
      </c>
      <c r="E213" s="12">
        <f t="shared" si="17"/>
        <v>1</v>
      </c>
      <c r="F213" s="13">
        <v>0</v>
      </c>
      <c r="G213" s="14">
        <f t="shared" si="14"/>
        <v>0</v>
      </c>
      <c r="H213" s="15">
        <v>1</v>
      </c>
      <c r="I213" s="22">
        <v>65</v>
      </c>
      <c r="J213" s="17">
        <f t="shared" si="16"/>
        <v>65</v>
      </c>
      <c r="K213" s="18" t="s">
        <v>17</v>
      </c>
      <c r="L213" s="19">
        <v>0</v>
      </c>
      <c r="M213" s="24">
        <f t="shared" si="15"/>
        <v>65</v>
      </c>
    </row>
    <row r="214" spans="1:16" ht="25.5">
      <c r="A214" s="10">
        <v>210</v>
      </c>
      <c r="B214" s="20" t="s">
        <v>312</v>
      </c>
      <c r="C214" s="12">
        <f>+'3'!G214</f>
        <v>1</v>
      </c>
      <c r="D214" s="13">
        <v>0</v>
      </c>
      <c r="E214" s="12">
        <f t="shared" si="17"/>
        <v>1</v>
      </c>
      <c r="F214" s="13">
        <v>0</v>
      </c>
      <c r="G214" s="14">
        <f t="shared" si="14"/>
        <v>0</v>
      </c>
      <c r="H214" s="15">
        <v>1</v>
      </c>
      <c r="I214" s="22">
        <v>65</v>
      </c>
      <c r="J214" s="17">
        <f t="shared" si="16"/>
        <v>65</v>
      </c>
      <c r="K214" s="18" t="s">
        <v>17</v>
      </c>
      <c r="L214" s="19">
        <v>0</v>
      </c>
      <c r="M214" s="24">
        <f t="shared" si="15"/>
        <v>65</v>
      </c>
    </row>
    <row r="215" spans="1:16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9">
        <v>0</v>
      </c>
      <c r="M215" s="154" t="s">
        <v>228</v>
      </c>
      <c r="N215" s="154"/>
    </row>
    <row r="216" spans="1:16" ht="25.5" customHeight="1">
      <c r="A216" s="1"/>
      <c r="C216" s="25"/>
      <c r="D216" s="26"/>
      <c r="E216" s="25"/>
      <c r="F216" s="26"/>
      <c r="G216" s="25"/>
      <c r="H216" s="155" t="s">
        <v>229</v>
      </c>
      <c r="I216" s="156"/>
      <c r="J216" s="31">
        <f>+X110</f>
        <v>0</v>
      </c>
      <c r="K216" s="28"/>
      <c r="L216" s="30"/>
    </row>
    <row r="217" spans="1:16" ht="25.5">
      <c r="A217" s="1"/>
      <c r="C217" s="32"/>
      <c r="E217" s="32"/>
      <c r="G217" s="32"/>
      <c r="H217" s="33"/>
      <c r="I217" s="157" t="s">
        <v>213</v>
      </c>
      <c r="J217" s="157"/>
      <c r="K217" s="34">
        <f>SUM(J5:J216)</f>
        <v>6390</v>
      </c>
    </row>
    <row r="218" spans="1:16" ht="25.5">
      <c r="A218" s="1"/>
      <c r="C218" s="32"/>
      <c r="E218" s="32"/>
      <c r="G218" s="32"/>
      <c r="I218" s="136" t="s">
        <v>214</v>
      </c>
      <c r="J218" s="137"/>
      <c r="K218" s="37">
        <v>0</v>
      </c>
    </row>
    <row r="219" spans="1:16" ht="25.5">
      <c r="A219" s="1"/>
      <c r="C219" s="32"/>
      <c r="E219" s="32"/>
      <c r="G219" s="32"/>
      <c r="I219" s="35" t="s">
        <v>215</v>
      </c>
      <c r="J219" s="36"/>
      <c r="K219" s="37">
        <f>SUM(L219:BO219)</f>
        <v>1395</v>
      </c>
      <c r="L219" s="38">
        <v>50</v>
      </c>
      <c r="M219" s="2">
        <v>340</v>
      </c>
      <c r="N219" s="2">
        <v>200</v>
      </c>
      <c r="O219" s="2">
        <v>295</v>
      </c>
      <c r="P219" s="2">
        <v>510</v>
      </c>
    </row>
    <row r="220" spans="1:16" ht="25.5">
      <c r="A220" s="1"/>
      <c r="C220" s="32"/>
      <c r="D220" s="91"/>
      <c r="E220" s="32"/>
      <c r="G220" s="39"/>
      <c r="I220" s="136" t="s">
        <v>216</v>
      </c>
      <c r="J220" s="137"/>
      <c r="K220" s="37">
        <v>0</v>
      </c>
    </row>
    <row r="221" spans="1:16" ht="25.5">
      <c r="A221" s="1"/>
      <c r="C221" s="90"/>
      <c r="E221" s="32"/>
      <c r="G221" s="32"/>
      <c r="I221" s="136" t="s">
        <v>217</v>
      </c>
      <c r="J221" s="137"/>
      <c r="K221" s="37">
        <f>SUM(L221:P221)</f>
        <v>0</v>
      </c>
    </row>
    <row r="222" spans="1:16" ht="25.5">
      <c r="A222" s="1"/>
      <c r="C222" s="32"/>
      <c r="E222" s="32"/>
      <c r="G222" s="32"/>
      <c r="I222" s="136" t="s">
        <v>218</v>
      </c>
      <c r="J222" s="137"/>
      <c r="K222" s="93">
        <f>SUM(L5:L215)</f>
        <v>935</v>
      </c>
      <c r="M222" s="94" t="s">
        <v>219</v>
      </c>
      <c r="N222" s="40" t="s">
        <v>220</v>
      </c>
      <c r="O222" s="41" t="s">
        <v>221</v>
      </c>
    </row>
    <row r="223" spans="1:16" ht="25.5">
      <c r="A223" s="1"/>
      <c r="C223" s="32"/>
      <c r="E223" s="32"/>
      <c r="G223" s="32"/>
      <c r="I223" s="136" t="s">
        <v>222</v>
      </c>
      <c r="J223" s="137"/>
      <c r="K223" s="34">
        <f>K217-K218-K219-K221-K222</f>
        <v>4060</v>
      </c>
      <c r="M223" s="42"/>
      <c r="N223" s="42"/>
      <c r="O223" s="42">
        <v>270</v>
      </c>
    </row>
    <row r="224" spans="1:16" ht="25.5">
      <c r="A224" s="1"/>
      <c r="C224" s="32"/>
      <c r="E224" s="32"/>
      <c r="G224" s="32"/>
      <c r="I224" s="136" t="s">
        <v>223</v>
      </c>
      <c r="J224" s="137"/>
      <c r="K224" s="93">
        <v>4060</v>
      </c>
      <c r="M224" s="42"/>
      <c r="N224" s="42"/>
      <c r="O224" s="42"/>
    </row>
    <row r="225" spans="1:15" ht="25.5">
      <c r="A225" s="1"/>
      <c r="C225" s="32"/>
      <c r="E225" s="32"/>
      <c r="G225" s="32"/>
      <c r="I225" s="136" t="s">
        <v>224</v>
      </c>
      <c r="J225" s="137"/>
      <c r="K225" s="34">
        <f>+K224-K223</f>
        <v>0</v>
      </c>
      <c r="M225" s="42"/>
      <c r="N225" s="42"/>
      <c r="O225" s="42"/>
    </row>
    <row r="226" spans="1:15" ht="25.5">
      <c r="G226" s="2"/>
      <c r="I226" s="136" t="s">
        <v>225</v>
      </c>
      <c r="J226" s="137"/>
      <c r="K226" s="34">
        <f>+K224-K223</f>
        <v>0</v>
      </c>
      <c r="M226" s="43"/>
      <c r="N226" s="43"/>
      <c r="O226" s="43"/>
    </row>
    <row r="227" spans="1:15">
      <c r="G227" s="2"/>
      <c r="I227" s="28"/>
      <c r="M227" s="43"/>
      <c r="N227" s="43"/>
      <c r="O227" s="43"/>
    </row>
    <row r="228" spans="1:15">
      <c r="G228" s="2"/>
      <c r="I228" s="2"/>
      <c r="J228" s="2" t="s">
        <v>276</v>
      </c>
      <c r="K228" s="24">
        <f>+K217-K222+K225</f>
        <v>5455</v>
      </c>
      <c r="M228" s="44"/>
      <c r="N228" s="44"/>
      <c r="O228" s="44"/>
    </row>
    <row r="229" spans="1:15">
      <c r="G229" s="2"/>
      <c r="I229" s="2"/>
      <c r="J229" s="2" t="s">
        <v>277</v>
      </c>
      <c r="K229" s="30">
        <f>+K219</f>
        <v>1395</v>
      </c>
      <c r="M229" s="45">
        <f>SUM(M223:M228)</f>
        <v>0</v>
      </c>
      <c r="N229" s="45">
        <f>SUM(N223:N228)</f>
        <v>0</v>
      </c>
      <c r="O229" s="45">
        <f>SUM(O223:O228)</f>
        <v>270</v>
      </c>
    </row>
    <row r="230" spans="1:15">
      <c r="G230" s="2"/>
      <c r="I230" s="2"/>
      <c r="J230" s="2" t="s">
        <v>278</v>
      </c>
      <c r="K230" s="24">
        <f>+K224</f>
        <v>4060</v>
      </c>
      <c r="M230" s="46" t="s">
        <v>226</v>
      </c>
      <c r="N230" s="47">
        <f>N229*30/100</f>
        <v>0</v>
      </c>
      <c r="O230" s="47">
        <f>O229*30/100</f>
        <v>81</v>
      </c>
    </row>
    <row r="231" spans="1:15">
      <c r="G231" s="2"/>
      <c r="I231" s="2"/>
      <c r="M231" s="46" t="s">
        <v>227</v>
      </c>
      <c r="N231" s="47">
        <f>N230*7/100</f>
        <v>0</v>
      </c>
      <c r="O231" s="47">
        <f>O230*7/100</f>
        <v>5.67</v>
      </c>
    </row>
    <row r="232" spans="1:15">
      <c r="G232" s="2"/>
      <c r="I232" s="2"/>
      <c r="M232" s="95" t="s">
        <v>6</v>
      </c>
      <c r="N232" s="48">
        <f>N229-N230-N231</f>
        <v>0</v>
      </c>
      <c r="O232" s="48">
        <f>O229-O230-O231</f>
        <v>183.33</v>
      </c>
    </row>
    <row r="233" spans="1:15">
      <c r="G233" s="2"/>
      <c r="I233" s="2"/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theme="5" tint="0.79998168889431442"/>
  </sheetPr>
  <dimension ref="A1:Z301"/>
  <sheetViews>
    <sheetView topLeftCell="D1" zoomScale="90" zoomScaleNormal="90" zoomScalePageLayoutView="110" workbookViewId="0">
      <pane ySplit="4" topLeftCell="A215" activePane="bottomLeft" state="frozen"/>
      <selection pane="bottomLeft" activeCell="J200" sqref="J200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+'4'!G5</f>
        <v>18</v>
      </c>
      <c r="D5" s="13">
        <v>10</v>
      </c>
      <c r="E5" s="12">
        <f t="shared" ref="E5:E94" si="0">C5+D5</f>
        <v>28</v>
      </c>
      <c r="F5" s="13">
        <v>0</v>
      </c>
      <c r="G5" s="14">
        <f t="shared" ref="G5:G68" si="1">E5-F5-H5</f>
        <v>20</v>
      </c>
      <c r="H5" s="15">
        <v>8</v>
      </c>
      <c r="I5" s="16">
        <v>50</v>
      </c>
      <c r="J5" s="17">
        <f>+I5*H5</f>
        <v>400</v>
      </c>
      <c r="K5" s="18" t="s">
        <v>17</v>
      </c>
      <c r="L5" s="19">
        <v>0</v>
      </c>
      <c r="M5" s="24">
        <f>SUM(J5-L5)</f>
        <v>400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+'4'!G6</f>
        <v>60</v>
      </c>
      <c r="D6" s="13">
        <v>20</v>
      </c>
      <c r="E6" s="12">
        <f t="shared" si="0"/>
        <v>80</v>
      </c>
      <c r="F6" s="13">
        <v>0</v>
      </c>
      <c r="G6" s="14">
        <f t="shared" si="1"/>
        <v>80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24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+'4'!G12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7</v>
      </c>
      <c r="D23" s="13">
        <v>10</v>
      </c>
      <c r="E23" s="14">
        <f>C23+D23</f>
        <v>17</v>
      </c>
      <c r="F23" s="13">
        <v>0</v>
      </c>
      <c r="G23" s="14">
        <f t="shared" si="1"/>
        <v>13</v>
      </c>
      <c r="H23" s="15">
        <v>4</v>
      </c>
      <c r="I23" s="16">
        <v>100</v>
      </c>
      <c r="J23" s="17">
        <f t="shared" si="4"/>
        <v>400</v>
      </c>
      <c r="K23" s="18" t="s">
        <v>17</v>
      </c>
      <c r="L23" s="19">
        <v>0</v>
      </c>
      <c r="M23" s="24">
        <f t="shared" si="5"/>
        <v>400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2</v>
      </c>
      <c r="D26" s="13">
        <v>5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+'4'!G27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0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0</v>
      </c>
      <c r="D37" s="13">
        <v>20</v>
      </c>
      <c r="E37" s="12">
        <f t="shared" si="0"/>
        <v>20</v>
      </c>
      <c r="F37" s="13">
        <v>0</v>
      </c>
      <c r="G37" s="14">
        <f t="shared" si="1"/>
        <v>19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4</v>
      </c>
      <c r="H38" s="15">
        <v>3</v>
      </c>
      <c r="I38" s="16">
        <v>50</v>
      </c>
      <c r="J38" s="17">
        <f t="shared" si="4"/>
        <v>150</v>
      </c>
      <c r="K38" s="18" t="s">
        <v>17</v>
      </c>
      <c r="L38" s="19">
        <v>0</v>
      </c>
      <c r="M38" s="24">
        <f t="shared" si="5"/>
        <v>150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2</v>
      </c>
      <c r="H41" s="15">
        <v>2</v>
      </c>
      <c r="I41" s="16">
        <v>50</v>
      </c>
      <c r="J41" s="17">
        <f t="shared" si="4"/>
        <v>100</v>
      </c>
      <c r="K41" s="18" t="s">
        <v>317</v>
      </c>
      <c r="L41" s="19">
        <v>50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6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7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6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10</v>
      </c>
      <c r="H47" s="15">
        <v>2</v>
      </c>
      <c r="I47" s="16">
        <v>50</v>
      </c>
      <c r="J47" s="17">
        <f t="shared" si="4"/>
        <v>100</v>
      </c>
      <c r="K47" s="18" t="s">
        <v>17</v>
      </c>
      <c r="L47" s="19">
        <v>0</v>
      </c>
      <c r="M47" s="10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+'4'!G62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+'4'!G63</f>
        <v>1</v>
      </c>
      <c r="D63" s="13">
        <v>5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+'4'!G70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+'4'!G71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+'4'!G73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+'4'!G74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+'4'!G77</f>
        <v>0</v>
      </c>
      <c r="D77" s="13">
        <v>3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+'4'!G79</f>
        <v>1</v>
      </c>
      <c r="D79" s="13">
        <v>5</v>
      </c>
      <c r="E79" s="12">
        <f t="shared" si="0"/>
        <v>6</v>
      </c>
      <c r="F79" s="13">
        <v>0</v>
      </c>
      <c r="G79" s="14">
        <f t="shared" si="6"/>
        <v>4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+'4'!G81</f>
        <v>1</v>
      </c>
      <c r="D81" s="13">
        <v>3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+'4'!G82</f>
        <v>1</v>
      </c>
      <c r="D82" s="13">
        <v>2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+'4'!G85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+'4'!G86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+'4'!G87</f>
        <v>8</v>
      </c>
      <c r="D87" s="13">
        <v>10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+'4'!G88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+'4'!G92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+'4'!G97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+'4'!G101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+'4'!G102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+'4'!G106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+'4'!G107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4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+'4'!G142</f>
        <v>1</v>
      </c>
      <c r="D142" s="13">
        <v>0</v>
      </c>
      <c r="E142" s="12">
        <f t="shared" si="11"/>
        <v>1</v>
      </c>
      <c r="F142" s="13">
        <v>0</v>
      </c>
      <c r="G142" s="14">
        <f t="shared" si="6"/>
        <v>0</v>
      </c>
      <c r="H142" s="15">
        <v>1</v>
      </c>
      <c r="I142" s="22">
        <v>120</v>
      </c>
      <c r="J142" s="17">
        <f t="shared" si="13"/>
        <v>120</v>
      </c>
      <c r="K142" s="18" t="s">
        <v>17</v>
      </c>
      <c r="L142" s="19">
        <v>0</v>
      </c>
      <c r="M142" s="24">
        <f t="shared" si="12"/>
        <v>120</v>
      </c>
    </row>
    <row r="143" spans="1:13" ht="25.5">
      <c r="A143" s="10">
        <v>139</v>
      </c>
      <c r="B143" s="20" t="s">
        <v>152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+'4'!G150</f>
        <v>1</v>
      </c>
      <c r="D150" s="13">
        <v>2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+'4'!G151</f>
        <v>7</v>
      </c>
      <c r="D151" s="13">
        <v>0</v>
      </c>
      <c r="E151" s="12">
        <f t="shared" si="11"/>
        <v>7</v>
      </c>
      <c r="F151" s="13">
        <v>0</v>
      </c>
      <c r="G151" s="14">
        <f t="shared" si="6"/>
        <v>5</v>
      </c>
      <c r="H151" s="15">
        <v>2</v>
      </c>
      <c r="I151" s="22">
        <v>120</v>
      </c>
      <c r="J151" s="17">
        <f t="shared" si="13"/>
        <v>240</v>
      </c>
      <c r="K151" s="18" t="s">
        <v>17</v>
      </c>
      <c r="L151" s="19">
        <v>0</v>
      </c>
      <c r="M151" s="24">
        <f t="shared" si="12"/>
        <v>240</v>
      </c>
    </row>
    <row r="152" spans="1:13" ht="25.5">
      <c r="A152" s="10">
        <v>148</v>
      </c>
      <c r="B152" s="20" t="s">
        <v>161</v>
      </c>
      <c r="C152" s="12">
        <f>+'4'!G152</f>
        <v>0</v>
      </c>
      <c r="D152" s="13">
        <v>10</v>
      </c>
      <c r="E152" s="12">
        <f t="shared" si="11"/>
        <v>10</v>
      </c>
      <c r="F152" s="13">
        <v>0</v>
      </c>
      <c r="G152" s="14">
        <f t="shared" si="6"/>
        <v>10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+'4'!G153</f>
        <v>5</v>
      </c>
      <c r="D153" s="13">
        <v>5</v>
      </c>
      <c r="E153" s="12">
        <f t="shared" si="11"/>
        <v>10</v>
      </c>
      <c r="F153" s="13">
        <v>0</v>
      </c>
      <c r="G153" s="14">
        <f t="shared" ref="G153:G214" si="14">E153-F153-H153</f>
        <v>8</v>
      </c>
      <c r="H153" s="15">
        <v>2</v>
      </c>
      <c r="I153" s="22">
        <v>120</v>
      </c>
      <c r="J153" s="17">
        <f t="shared" si="13"/>
        <v>240</v>
      </c>
      <c r="K153" s="18" t="s">
        <v>17</v>
      </c>
      <c r="L153" s="19">
        <v>0</v>
      </c>
      <c r="M153" s="24">
        <f t="shared" si="12"/>
        <v>240</v>
      </c>
    </row>
    <row r="154" spans="1:13" ht="25.5">
      <c r="A154" s="10">
        <v>150</v>
      </c>
      <c r="B154" s="20" t="s">
        <v>163</v>
      </c>
      <c r="C154" s="12">
        <f>+'4'!G154</f>
        <v>3</v>
      </c>
      <c r="D154" s="13">
        <v>10</v>
      </c>
      <c r="E154" s="12">
        <f t="shared" si="11"/>
        <v>13</v>
      </c>
      <c r="F154" s="13">
        <v>0</v>
      </c>
      <c r="G154" s="14">
        <f t="shared" si="14"/>
        <v>12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>
      <c r="A155" s="10">
        <v>151</v>
      </c>
      <c r="B155" s="20" t="s">
        <v>164</v>
      </c>
      <c r="C155" s="12">
        <f>+'4'!G155</f>
        <v>0</v>
      </c>
      <c r="D155" s="13">
        <v>5</v>
      </c>
      <c r="E155" s="12">
        <f t="shared" si="11"/>
        <v>5</v>
      </c>
      <c r="F155" s="13">
        <v>0</v>
      </c>
      <c r="G155" s="14">
        <f t="shared" si="14"/>
        <v>5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+'4'!G156</f>
        <v>2</v>
      </c>
      <c r="D156" s="13">
        <v>5</v>
      </c>
      <c r="E156" s="12">
        <f t="shared" si="11"/>
        <v>7</v>
      </c>
      <c r="F156" s="13">
        <v>0</v>
      </c>
      <c r="G156" s="14">
        <f t="shared" si="14"/>
        <v>7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+'4'!G157</f>
        <v>2</v>
      </c>
      <c r="D157" s="13">
        <v>5</v>
      </c>
      <c r="E157" s="12">
        <f t="shared" si="11"/>
        <v>7</v>
      </c>
      <c r="F157" s="13">
        <v>0</v>
      </c>
      <c r="G157" s="14">
        <f t="shared" si="14"/>
        <v>7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+'4'!G161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+'4'!G164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+'4'!G168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+'4'!G179</f>
        <v>60</v>
      </c>
      <c r="D179" s="13">
        <v>0</v>
      </c>
      <c r="E179" s="12">
        <f t="shared" si="11"/>
        <v>60</v>
      </c>
      <c r="F179" s="13">
        <v>0</v>
      </c>
      <c r="G179" s="14">
        <f t="shared" si="14"/>
        <v>60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+'4'!G181</f>
        <v>16</v>
      </c>
      <c r="D181" s="13">
        <v>0</v>
      </c>
      <c r="E181" s="12">
        <f t="shared" si="11"/>
        <v>16</v>
      </c>
      <c r="F181" s="13">
        <v>1</v>
      </c>
      <c r="G181" s="14">
        <f t="shared" si="14"/>
        <v>14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>
      <c r="A182" s="10">
        <v>178</v>
      </c>
      <c r="B182" s="20" t="s">
        <v>189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+'4'!G183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14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>
      <c r="A184" s="10">
        <v>180</v>
      </c>
      <c r="B184" s="20" t="s">
        <v>191</v>
      </c>
      <c r="C184" s="12">
        <f>+'4'!G184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5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192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>
      <c r="A190" s="10">
        <v>186</v>
      </c>
      <c r="B190" s="20" t="s">
        <v>197</v>
      </c>
      <c r="C190" s="12">
        <f>+'4'!G190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4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+'4'!G199</f>
        <v>255</v>
      </c>
      <c r="D199" s="13">
        <v>0</v>
      </c>
      <c r="E199" s="12">
        <f t="shared" si="11"/>
        <v>255</v>
      </c>
      <c r="F199" s="13">
        <v>1</v>
      </c>
      <c r="G199" s="14">
        <f t="shared" si="14"/>
        <v>254</v>
      </c>
      <c r="H199" s="15">
        <v>0</v>
      </c>
      <c r="I199" s="16">
        <v>0</v>
      </c>
      <c r="J199" s="17">
        <f t="shared" ref="J199:J214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+'4'!G207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>
      <c r="A209" s="10">
        <v>205</v>
      </c>
      <c r="B209" s="20" t="s">
        <v>266</v>
      </c>
      <c r="C209" s="12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>
      <c r="A210" s="10">
        <v>206</v>
      </c>
      <c r="B210" s="20" t="s">
        <v>264</v>
      </c>
      <c r="C210" s="12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>
      <c r="A211" s="10">
        <v>207</v>
      </c>
      <c r="B211" s="20" t="s">
        <v>309</v>
      </c>
      <c r="C211" s="12">
        <f>+'4'!G211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3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6" ht="25.5">
      <c r="A212" s="10">
        <v>208</v>
      </c>
      <c r="B212" s="20" t="s">
        <v>310</v>
      </c>
      <c r="C212" s="12">
        <f>+'4'!G212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1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6" ht="25.5">
      <c r="A213" s="10">
        <v>209</v>
      </c>
      <c r="B213" s="20" t="s">
        <v>311</v>
      </c>
      <c r="C213" s="12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6" ht="25.5">
      <c r="A214" s="10">
        <v>210</v>
      </c>
      <c r="B214" s="20" t="s">
        <v>312</v>
      </c>
      <c r="C214" s="12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6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9">
        <v>0</v>
      </c>
      <c r="M215" s="154" t="s">
        <v>228</v>
      </c>
      <c r="N215" s="154"/>
    </row>
    <row r="216" spans="1:16" ht="25.5" customHeight="1">
      <c r="A216" s="1"/>
      <c r="C216" s="25"/>
      <c r="D216" s="26"/>
      <c r="E216" s="25"/>
      <c r="F216" s="26"/>
      <c r="G216" s="25"/>
      <c r="H216" s="155" t="s">
        <v>229</v>
      </c>
      <c r="I216" s="156"/>
      <c r="J216" s="31">
        <f>+X110</f>
        <v>0</v>
      </c>
      <c r="K216" s="28"/>
      <c r="L216" s="30"/>
    </row>
    <row r="217" spans="1:16" ht="25.5">
      <c r="A217" s="1"/>
      <c r="C217" s="32"/>
      <c r="E217" s="32"/>
      <c r="G217" s="32"/>
      <c r="H217" s="33"/>
      <c r="I217" s="157" t="s">
        <v>213</v>
      </c>
      <c r="J217" s="157"/>
      <c r="K217" s="34">
        <f>SUM(J5:J216)</f>
        <v>3305</v>
      </c>
    </row>
    <row r="218" spans="1:16" ht="25.5">
      <c r="A218" s="1"/>
      <c r="C218" s="32"/>
      <c r="E218" s="32"/>
      <c r="G218" s="32"/>
      <c r="I218" s="136" t="s">
        <v>214</v>
      </c>
      <c r="J218" s="137"/>
      <c r="K218" s="37">
        <v>0</v>
      </c>
    </row>
    <row r="219" spans="1:16" ht="25.5">
      <c r="A219" s="1"/>
      <c r="C219" s="32"/>
      <c r="E219" s="32"/>
      <c r="G219" s="32"/>
      <c r="I219" s="35" t="s">
        <v>215</v>
      </c>
      <c r="J219" s="36"/>
      <c r="K219" s="37">
        <f>SUM(L219:BO219)</f>
        <v>1515</v>
      </c>
      <c r="L219" s="38">
        <v>400</v>
      </c>
      <c r="M219" s="2">
        <v>350</v>
      </c>
      <c r="N219" s="2">
        <v>130</v>
      </c>
      <c r="O219" s="2">
        <v>100</v>
      </c>
      <c r="P219" s="2">
        <v>535</v>
      </c>
    </row>
    <row r="220" spans="1:16" ht="25.5">
      <c r="A220" s="1"/>
      <c r="C220" s="32"/>
      <c r="D220" s="91"/>
      <c r="E220" s="32"/>
      <c r="G220" s="39"/>
      <c r="I220" s="136" t="s">
        <v>216</v>
      </c>
      <c r="J220" s="137"/>
      <c r="K220" s="37">
        <v>0</v>
      </c>
    </row>
    <row r="221" spans="1:16" ht="25.5">
      <c r="A221" s="1"/>
      <c r="C221" s="90"/>
      <c r="E221" s="32"/>
      <c r="G221" s="32"/>
      <c r="I221" s="136" t="s">
        <v>217</v>
      </c>
      <c r="J221" s="137"/>
      <c r="K221" s="37">
        <v>0</v>
      </c>
    </row>
    <row r="222" spans="1:16" ht="25.5">
      <c r="A222" s="1"/>
      <c r="C222" s="32"/>
      <c r="E222" s="32"/>
      <c r="G222" s="32"/>
      <c r="I222" s="136" t="s">
        <v>218</v>
      </c>
      <c r="J222" s="137"/>
      <c r="K222" s="93">
        <f>SUM(L5:L215)</f>
        <v>50</v>
      </c>
      <c r="M222" s="94" t="s">
        <v>219</v>
      </c>
      <c r="N222" s="40" t="s">
        <v>220</v>
      </c>
      <c r="O222" s="41" t="s">
        <v>221</v>
      </c>
    </row>
    <row r="223" spans="1:16" ht="25.5">
      <c r="A223" s="1"/>
      <c r="C223" s="32"/>
      <c r="E223" s="32"/>
      <c r="G223" s="32"/>
      <c r="I223" s="136" t="s">
        <v>222</v>
      </c>
      <c r="J223" s="137"/>
      <c r="K223" s="34">
        <f>K217-K218-K219-K221-K222</f>
        <v>1740</v>
      </c>
      <c r="M223" s="42"/>
      <c r="N223" s="42"/>
      <c r="O223" s="42">
        <v>70</v>
      </c>
    </row>
    <row r="224" spans="1:16" ht="25.5">
      <c r="A224" s="1"/>
      <c r="C224" s="32"/>
      <c r="E224" s="32"/>
      <c r="G224" s="32"/>
      <c r="I224" s="136" t="s">
        <v>223</v>
      </c>
      <c r="J224" s="137"/>
      <c r="K224" s="93">
        <v>1770</v>
      </c>
      <c r="M224" s="42"/>
      <c r="N224" s="42"/>
      <c r="O224" s="42"/>
    </row>
    <row r="225" spans="1:15" ht="25.5">
      <c r="A225" s="1"/>
      <c r="B225" s="158" t="s">
        <v>318</v>
      </c>
      <c r="C225" s="158"/>
      <c r="E225" s="32"/>
      <c r="G225" s="32"/>
      <c r="I225" s="136" t="s">
        <v>224</v>
      </c>
      <c r="J225" s="137"/>
      <c r="K225" s="34">
        <f>+K224-K223</f>
        <v>30</v>
      </c>
      <c r="M225" s="42"/>
      <c r="N225" s="42"/>
      <c r="O225" s="42"/>
    </row>
    <row r="226" spans="1:15" ht="25.5">
      <c r="G226" s="2"/>
      <c r="I226" s="136" t="s">
        <v>225</v>
      </c>
      <c r="J226" s="137"/>
      <c r="K226" s="34">
        <f>+K224-K223</f>
        <v>30</v>
      </c>
      <c r="M226" s="43"/>
      <c r="N226" s="43"/>
      <c r="O226" s="43"/>
    </row>
    <row r="227" spans="1:15">
      <c r="G227" s="2"/>
      <c r="I227" s="28"/>
      <c r="M227" s="43"/>
      <c r="N227" s="43"/>
      <c r="O227" s="43"/>
    </row>
    <row r="228" spans="1:15">
      <c r="G228" s="2"/>
      <c r="I228" s="2"/>
      <c r="J228" s="2" t="s">
        <v>276</v>
      </c>
      <c r="K228" s="24">
        <f>+K217-K222+K225</f>
        <v>3285</v>
      </c>
      <c r="M228" s="44"/>
      <c r="N228" s="44"/>
      <c r="O228" s="44"/>
    </row>
    <row r="229" spans="1:15">
      <c r="G229" s="2"/>
      <c r="I229" s="2"/>
      <c r="J229" s="2" t="s">
        <v>277</v>
      </c>
      <c r="K229" s="30">
        <f>+K219</f>
        <v>1515</v>
      </c>
      <c r="M229" s="45">
        <f>SUM(M223:M228)</f>
        <v>0</v>
      </c>
      <c r="N229" s="45">
        <f>SUM(N223:N228)</f>
        <v>0</v>
      </c>
      <c r="O229" s="45">
        <f>SUM(O223:O228)</f>
        <v>70</v>
      </c>
    </row>
    <row r="230" spans="1:15">
      <c r="G230" s="2"/>
      <c r="I230" s="2"/>
      <c r="J230" s="2" t="s">
        <v>278</v>
      </c>
      <c r="K230" s="24">
        <f>+K224</f>
        <v>1770</v>
      </c>
      <c r="M230" s="46" t="s">
        <v>226</v>
      </c>
      <c r="N230" s="47">
        <f>N229*30/100</f>
        <v>0</v>
      </c>
      <c r="O230" s="47">
        <f>O229*30/100</f>
        <v>21</v>
      </c>
    </row>
    <row r="231" spans="1:15">
      <c r="G231" s="2"/>
      <c r="I231" s="2"/>
      <c r="M231" s="46" t="s">
        <v>227</v>
      </c>
      <c r="N231" s="47">
        <f>N230*7/100</f>
        <v>0</v>
      </c>
      <c r="O231" s="47">
        <f>O230*7/100</f>
        <v>1.47</v>
      </c>
    </row>
    <row r="232" spans="1:15">
      <c r="G232" s="2"/>
      <c r="I232" s="2"/>
      <c r="M232" s="95" t="s">
        <v>6</v>
      </c>
      <c r="N232" s="48">
        <f>N229-N230-N231</f>
        <v>0</v>
      </c>
      <c r="O232" s="48">
        <f>O229-O230-O231</f>
        <v>47.53</v>
      </c>
    </row>
    <row r="233" spans="1:15">
      <c r="G233" s="2"/>
      <c r="I233" s="2"/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B225:C225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theme="5" tint="0.79998168889431442"/>
  </sheetPr>
  <dimension ref="A1:Z302"/>
  <sheetViews>
    <sheetView topLeftCell="D1" zoomScale="90" zoomScaleNormal="90" zoomScalePageLayoutView="110" workbookViewId="0">
      <pane ySplit="4" topLeftCell="A212" activePane="bottomLeft" state="frozen"/>
      <selection pane="bottomLeft" activeCell="I211" sqref="I211:I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+'5'!G5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+'5'!G6</f>
        <v>80</v>
      </c>
      <c r="D6" s="13">
        <v>0</v>
      </c>
      <c r="E6" s="12">
        <f t="shared" si="0"/>
        <v>80</v>
      </c>
      <c r="F6" s="13">
        <v>0</v>
      </c>
      <c r="G6" s="14">
        <f t="shared" si="1"/>
        <v>73</v>
      </c>
      <c r="H6" s="15">
        <v>7</v>
      </c>
      <c r="I6" s="16">
        <v>100</v>
      </c>
      <c r="J6" s="17">
        <f t="shared" ref="J6:J70" si="4">+I6*H6</f>
        <v>700</v>
      </c>
      <c r="K6" s="18" t="s">
        <v>17</v>
      </c>
      <c r="L6" s="19">
        <v>0</v>
      </c>
      <c r="M6" s="24">
        <f t="shared" ref="M6:M69" si="5">SUM(J6-L6)</f>
        <v>700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+'5'!G12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17">
        <f t="shared" si="4"/>
        <v>65</v>
      </c>
      <c r="K14" s="18" t="s">
        <v>319</v>
      </c>
      <c r="L14" s="19">
        <v>15</v>
      </c>
      <c r="M14" s="24">
        <f t="shared" si="5"/>
        <v>50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5</v>
      </c>
      <c r="D17" s="13">
        <v>0</v>
      </c>
      <c r="E17" s="12">
        <f t="shared" si="0"/>
        <v>5</v>
      </c>
      <c r="F17" s="13">
        <v>1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13</v>
      </c>
      <c r="D23" s="13">
        <v>0</v>
      </c>
      <c r="E23" s="14">
        <f>C23+D23</f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5</v>
      </c>
      <c r="H37" s="15">
        <v>14</v>
      </c>
      <c r="I37" s="16">
        <v>100</v>
      </c>
      <c r="J37" s="17">
        <f t="shared" si="4"/>
        <v>1400</v>
      </c>
      <c r="K37" s="18" t="s">
        <v>17</v>
      </c>
      <c r="L37" s="19">
        <v>0</v>
      </c>
      <c r="M37" s="24">
        <f t="shared" si="5"/>
        <v>1400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320</v>
      </c>
      <c r="L38" s="19">
        <v>3</v>
      </c>
      <c r="M38" s="24">
        <f t="shared" si="5"/>
        <v>47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7</v>
      </c>
      <c r="D44" s="13">
        <v>0</v>
      </c>
      <c r="E44" s="12">
        <f t="shared" si="0"/>
        <v>7</v>
      </c>
      <c r="F44" s="13">
        <v>0</v>
      </c>
      <c r="G44" s="14">
        <f t="shared" si="1"/>
        <v>5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+'5'!G62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17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+'5'!G63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5</v>
      </c>
      <c r="H63" s="15">
        <v>1</v>
      </c>
      <c r="I63" s="22">
        <v>50</v>
      </c>
      <c r="J63" s="17">
        <f t="shared" si="4"/>
        <v>50</v>
      </c>
      <c r="K63" s="18" t="s">
        <v>17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7</v>
      </c>
      <c r="H67" s="15">
        <v>3</v>
      </c>
      <c r="I67" s="16">
        <v>50</v>
      </c>
      <c r="J67" s="17">
        <f t="shared" si="4"/>
        <v>150</v>
      </c>
      <c r="K67" s="18" t="s">
        <v>17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+'5'!G70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0</v>
      </c>
      <c r="H70" s="15">
        <v>3</v>
      </c>
      <c r="I70" s="22">
        <v>50</v>
      </c>
      <c r="J70" s="17">
        <f t="shared" si="4"/>
        <v>150</v>
      </c>
      <c r="K70" s="18" t="s">
        <v>321</v>
      </c>
      <c r="L70" s="19">
        <v>3</v>
      </c>
      <c r="M70" s="24">
        <f t="shared" ref="M70:M133" si="9">SUM(J70-L70)</f>
        <v>147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+'5'!G73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3</v>
      </c>
      <c r="H73" s="15">
        <v>3</v>
      </c>
      <c r="I73" s="22">
        <v>60</v>
      </c>
      <c r="J73" s="17">
        <f t="shared" si="10"/>
        <v>180</v>
      </c>
      <c r="K73" s="18" t="s">
        <v>17</v>
      </c>
      <c r="L73" s="19">
        <v>0</v>
      </c>
      <c r="M73" s="24">
        <f t="shared" si="9"/>
        <v>180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+'5'!G74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+'5'!G79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2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+'5'!G81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+'5'!G82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+'5'!G85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+'5'!G86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+'5'!G87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+'5'!G88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+'5'!G92</f>
        <v>7</v>
      </c>
      <c r="D92" s="13">
        <v>0</v>
      </c>
      <c r="E92" s="12">
        <f t="shared" si="0"/>
        <v>7</v>
      </c>
      <c r="F92" s="13">
        <v>1</v>
      </c>
      <c r="G92" s="14">
        <f t="shared" si="6"/>
        <v>1</v>
      </c>
      <c r="H92" s="15">
        <v>5</v>
      </c>
      <c r="I92" s="21">
        <v>120</v>
      </c>
      <c r="J92" s="17">
        <f t="shared" si="10"/>
        <v>600</v>
      </c>
      <c r="K92" s="18" t="s">
        <v>323</v>
      </c>
      <c r="L92" s="19">
        <v>44</v>
      </c>
      <c r="M92" s="24">
        <f t="shared" si="9"/>
        <v>556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+'5'!G93</f>
        <v>5</v>
      </c>
      <c r="D93" s="13">
        <v>0</v>
      </c>
      <c r="E93" s="12">
        <f t="shared" si="0"/>
        <v>5</v>
      </c>
      <c r="F93" s="13">
        <v>3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322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+'5'!G97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+'5'!G101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+'5'!G102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+'5'!G106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2</v>
      </c>
      <c r="H106" s="15">
        <v>4</v>
      </c>
      <c r="I106" s="21">
        <v>20</v>
      </c>
      <c r="J106" s="17">
        <f t="shared" si="10"/>
        <v>80</v>
      </c>
      <c r="K106" s="18" t="s">
        <v>17</v>
      </c>
      <c r="L106" s="19">
        <v>0</v>
      </c>
      <c r="M106" s="24">
        <f t="shared" si="9"/>
        <v>80</v>
      </c>
      <c r="Z106" s="30"/>
    </row>
    <row r="107" spans="1:26" ht="26.25" customHeight="1">
      <c r="A107" s="10">
        <v>103</v>
      </c>
      <c r="B107" s="20" t="s">
        <v>115</v>
      </c>
      <c r="C107" s="12">
        <f>+'5'!G107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+'5'!G109</f>
        <v>0</v>
      </c>
      <c r="D109" s="13">
        <v>5</v>
      </c>
      <c r="E109" s="12">
        <f t="shared" si="11"/>
        <v>5</v>
      </c>
      <c r="F109" s="13">
        <v>0</v>
      </c>
      <c r="G109" s="14">
        <f t="shared" si="6"/>
        <v>2</v>
      </c>
      <c r="H109" s="15">
        <v>3</v>
      </c>
      <c r="I109" s="22">
        <v>50</v>
      </c>
      <c r="J109" s="17">
        <f t="shared" si="10"/>
        <v>150</v>
      </c>
      <c r="K109" s="18" t="s">
        <v>17</v>
      </c>
      <c r="L109" s="19">
        <v>0</v>
      </c>
      <c r="M109" s="24">
        <f t="shared" si="9"/>
        <v>150</v>
      </c>
      <c r="Z109" s="38"/>
    </row>
    <row r="110" spans="1:26" ht="25.5">
      <c r="A110" s="10">
        <v>106</v>
      </c>
      <c r="B110" s="20" t="s">
        <v>119</v>
      </c>
      <c r="C110" s="12">
        <f>+'5'!G110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+'5'!G150</f>
        <v>3</v>
      </c>
      <c r="D150" s="13">
        <v>0</v>
      </c>
      <c r="E150" s="12">
        <f t="shared" si="11"/>
        <v>3</v>
      </c>
      <c r="F150" s="13">
        <v>1</v>
      </c>
      <c r="G150" s="14">
        <f t="shared" si="6"/>
        <v>0</v>
      </c>
      <c r="H150" s="15">
        <v>2</v>
      </c>
      <c r="I150" s="22">
        <v>120</v>
      </c>
      <c r="J150" s="17">
        <f t="shared" si="13"/>
        <v>240</v>
      </c>
      <c r="K150" s="18" t="s">
        <v>281</v>
      </c>
      <c r="L150" s="19">
        <v>40</v>
      </c>
      <c r="M150" s="24">
        <f t="shared" si="12"/>
        <v>200</v>
      </c>
    </row>
    <row r="151" spans="1:13" ht="25.5">
      <c r="A151" s="10">
        <v>147</v>
      </c>
      <c r="B151" s="20" t="s">
        <v>160</v>
      </c>
      <c r="C151" s="12">
        <f>+'5'!G151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+'5'!G152</f>
        <v>10</v>
      </c>
      <c r="D152" s="13">
        <v>0</v>
      </c>
      <c r="E152" s="12">
        <f t="shared" si="11"/>
        <v>10</v>
      </c>
      <c r="F152" s="13">
        <v>0</v>
      </c>
      <c r="G152" s="14">
        <f t="shared" si="6"/>
        <v>10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+'5'!G153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4" si="14">E153-F153-H153</f>
        <v>8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+'5'!G154</f>
        <v>12</v>
      </c>
      <c r="D154" s="13">
        <v>0</v>
      </c>
      <c r="E154" s="12">
        <f t="shared" si="11"/>
        <v>12</v>
      </c>
      <c r="F154" s="13">
        <v>0</v>
      </c>
      <c r="G154" s="14">
        <f t="shared" si="14"/>
        <v>10</v>
      </c>
      <c r="H154" s="15">
        <v>2</v>
      </c>
      <c r="I154" s="22">
        <v>185</v>
      </c>
      <c r="J154" s="17">
        <f t="shared" si="13"/>
        <v>370</v>
      </c>
      <c r="K154" s="18" t="s">
        <v>281</v>
      </c>
      <c r="L154" s="19">
        <v>30</v>
      </c>
      <c r="M154" s="24">
        <f t="shared" si="12"/>
        <v>340</v>
      </c>
    </row>
    <row r="155" spans="1:13" ht="25.5">
      <c r="A155" s="10">
        <v>151</v>
      </c>
      <c r="B155" s="20" t="s">
        <v>164</v>
      </c>
      <c r="C155" s="12">
        <f>+'5'!G155</f>
        <v>5</v>
      </c>
      <c r="D155" s="13">
        <v>0</v>
      </c>
      <c r="E155" s="12">
        <f t="shared" si="11"/>
        <v>5</v>
      </c>
      <c r="F155" s="13">
        <v>0</v>
      </c>
      <c r="G155" s="14">
        <f t="shared" si="14"/>
        <v>5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+'5'!G156</f>
        <v>7</v>
      </c>
      <c r="D156" s="13">
        <v>0</v>
      </c>
      <c r="E156" s="12">
        <f t="shared" si="11"/>
        <v>7</v>
      </c>
      <c r="F156" s="13">
        <v>0</v>
      </c>
      <c r="G156" s="14">
        <f t="shared" si="14"/>
        <v>7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+'5'!G157</f>
        <v>7</v>
      </c>
      <c r="D157" s="13">
        <v>0</v>
      </c>
      <c r="E157" s="12">
        <f t="shared" si="11"/>
        <v>7</v>
      </c>
      <c r="F157" s="13">
        <v>0</v>
      </c>
      <c r="G157" s="14">
        <f t="shared" si="14"/>
        <v>7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+'5'!G161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+'5'!G164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+'5'!G168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+'5'!G179</f>
        <v>60</v>
      </c>
      <c r="D179" s="13">
        <v>0</v>
      </c>
      <c r="E179" s="12">
        <f t="shared" si="11"/>
        <v>60</v>
      </c>
      <c r="F179" s="13">
        <v>0</v>
      </c>
      <c r="G179" s="14">
        <f t="shared" si="14"/>
        <v>59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187</v>
      </c>
      <c r="C180" s="12">
        <f>+'5'!G180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+'5'!G181</f>
        <v>14</v>
      </c>
      <c r="D181" s="13">
        <v>0</v>
      </c>
      <c r="E181" s="12">
        <f t="shared" si="11"/>
        <v>14</v>
      </c>
      <c r="F181" s="13">
        <v>0</v>
      </c>
      <c r="G181" s="14">
        <f t="shared" si="14"/>
        <v>0</v>
      </c>
      <c r="H181" s="15">
        <v>14</v>
      </c>
      <c r="I181" s="22">
        <v>10</v>
      </c>
      <c r="J181" s="17">
        <f t="shared" si="13"/>
        <v>140</v>
      </c>
      <c r="K181" s="18" t="s">
        <v>325</v>
      </c>
      <c r="L181" s="19">
        <v>90</v>
      </c>
      <c r="M181" s="24">
        <f t="shared" si="12"/>
        <v>50</v>
      </c>
    </row>
    <row r="182" spans="1:13" ht="25.5">
      <c r="A182" s="10">
        <v>178</v>
      </c>
      <c r="B182" s="20" t="s">
        <v>189</v>
      </c>
      <c r="C182" s="12">
        <f>+'5'!G182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+'5'!G183</f>
        <v>14</v>
      </c>
      <c r="D183" s="13">
        <v>0</v>
      </c>
      <c r="E183" s="12">
        <f t="shared" si="11"/>
        <v>14</v>
      </c>
      <c r="F183" s="13">
        <v>0</v>
      </c>
      <c r="G183" s="14">
        <f t="shared" si="14"/>
        <v>0</v>
      </c>
      <c r="H183" s="15">
        <v>14</v>
      </c>
      <c r="I183" s="22">
        <v>10</v>
      </c>
      <c r="J183" s="17">
        <f t="shared" si="13"/>
        <v>140</v>
      </c>
      <c r="K183" s="18" t="s">
        <v>326</v>
      </c>
      <c r="L183" s="19">
        <v>110</v>
      </c>
      <c r="M183" s="24">
        <f t="shared" si="12"/>
        <v>30</v>
      </c>
    </row>
    <row r="184" spans="1:13" ht="25.5">
      <c r="A184" s="10">
        <v>180</v>
      </c>
      <c r="B184" s="20" t="s">
        <v>191</v>
      </c>
      <c r="C184" s="12">
        <f>+'5'!G184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1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>
      <c r="A185" s="10">
        <v>181</v>
      </c>
      <c r="B185" s="20" t="s">
        <v>192</v>
      </c>
      <c r="C185" s="12">
        <f>+'5'!G185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115</v>
      </c>
      <c r="K189" s="18" t="s">
        <v>17</v>
      </c>
      <c r="L189" s="19">
        <v>0</v>
      </c>
      <c r="M189" s="24">
        <f t="shared" si="12"/>
        <v>115</v>
      </c>
    </row>
    <row r="190" spans="1:13" ht="25.5">
      <c r="A190" s="10">
        <v>186</v>
      </c>
      <c r="B190" s="20" t="s">
        <v>197</v>
      </c>
      <c r="C190" s="12">
        <f>+'5'!G190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4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+'5'!G199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4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+'5'!G207</f>
        <v>0</v>
      </c>
      <c r="D207" s="13">
        <v>0</v>
      </c>
      <c r="E207" s="12">
        <f t="shared" ref="E207:E214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266</v>
      </c>
      <c r="C209" s="12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264</v>
      </c>
      <c r="C210" s="12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0">
        <v>207</v>
      </c>
      <c r="B211" s="20" t="s">
        <v>309</v>
      </c>
      <c r="C211" s="12">
        <f>+'5'!G211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3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5" ht="25.5">
      <c r="A212" s="10">
        <v>208</v>
      </c>
      <c r="B212" s="20" t="s">
        <v>310</v>
      </c>
      <c r="C212" s="12">
        <f>+'5'!G212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1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5" ht="25.5">
      <c r="A213" s="10">
        <v>209</v>
      </c>
      <c r="B213" s="20" t="s">
        <v>311</v>
      </c>
      <c r="C213" s="12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5" ht="25.5">
      <c r="A214" s="10">
        <v>210</v>
      </c>
      <c r="B214" s="20" t="s">
        <v>312</v>
      </c>
      <c r="C214" s="12">
        <f>+'5'!G214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5" ht="25.5">
      <c r="A215" s="10">
        <v>211</v>
      </c>
      <c r="B215" s="20" t="s">
        <v>274</v>
      </c>
      <c r="C215" s="12">
        <v>0</v>
      </c>
      <c r="D215" s="13">
        <v>2</v>
      </c>
      <c r="E215" s="12">
        <f t="shared" ref="E215" si="18">C215+D215</f>
        <v>2</v>
      </c>
      <c r="F215" s="13">
        <v>0</v>
      </c>
      <c r="G215" s="14">
        <f t="shared" ref="G215" si="19">E215-F215-H215</f>
        <v>1</v>
      </c>
      <c r="H215" s="15">
        <v>1</v>
      </c>
      <c r="I215" s="22">
        <v>100</v>
      </c>
      <c r="J215" s="17">
        <f t="shared" ref="J215" si="20">+I215*H215</f>
        <v>100</v>
      </c>
      <c r="K215" s="18" t="s">
        <v>324</v>
      </c>
      <c r="L215" s="19">
        <v>10</v>
      </c>
      <c r="M215" s="24">
        <f t="shared" ref="M215" si="21">SUM(J215-L215)</f>
        <v>90</v>
      </c>
    </row>
    <row r="216" spans="1:25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54" t="s">
        <v>228</v>
      </c>
      <c r="N216" s="154"/>
    </row>
    <row r="217" spans="1:25" ht="25.5" customHeight="1">
      <c r="A217" s="1"/>
      <c r="C217" s="25"/>
      <c r="D217" s="26"/>
      <c r="E217" s="25"/>
      <c r="F217" s="26"/>
      <c r="G217" s="25"/>
      <c r="H217" s="155" t="s">
        <v>229</v>
      </c>
      <c r="I217" s="156"/>
      <c r="J217" s="31">
        <f>+X110</f>
        <v>0</v>
      </c>
      <c r="K217" s="28"/>
      <c r="L217" s="30"/>
    </row>
    <row r="218" spans="1:25" ht="25.5">
      <c r="A218" s="1"/>
      <c r="C218" s="32"/>
      <c r="E218" s="32"/>
      <c r="G218" s="32"/>
      <c r="H218" s="33"/>
      <c r="I218" s="157" t="s">
        <v>213</v>
      </c>
      <c r="J218" s="157"/>
      <c r="K218" s="34">
        <f>SUM(J5:J217)</f>
        <v>5380</v>
      </c>
    </row>
    <row r="219" spans="1:25" ht="25.5">
      <c r="A219" s="1"/>
      <c r="C219" s="32"/>
      <c r="E219" s="32"/>
      <c r="G219" s="32"/>
      <c r="I219" s="136" t="s">
        <v>214</v>
      </c>
      <c r="J219" s="137"/>
      <c r="K219" s="37">
        <v>0</v>
      </c>
    </row>
    <row r="220" spans="1:25" ht="25.5">
      <c r="A220" s="1"/>
      <c r="C220" s="32"/>
      <c r="E220" s="32"/>
      <c r="G220" s="32"/>
      <c r="I220" s="35" t="s">
        <v>215</v>
      </c>
      <c r="J220" s="36"/>
      <c r="K220" s="37">
        <f>SUM(L220:BO220)</f>
        <v>3443</v>
      </c>
      <c r="L220" s="38">
        <v>50</v>
      </c>
      <c r="M220" s="2">
        <v>300</v>
      </c>
      <c r="N220" s="2">
        <v>110</v>
      </c>
      <c r="O220" s="2">
        <v>500</v>
      </c>
      <c r="P220" s="2">
        <v>840</v>
      </c>
      <c r="Q220" s="2">
        <v>200</v>
      </c>
      <c r="R220" s="2">
        <v>353</v>
      </c>
      <c r="S220" s="2">
        <v>100</v>
      </c>
      <c r="T220" s="2">
        <v>40</v>
      </c>
      <c r="U220" s="2">
        <v>30</v>
      </c>
      <c r="V220" s="38">
        <v>140</v>
      </c>
      <c r="W220" s="38">
        <v>200</v>
      </c>
      <c r="X220" s="38">
        <v>320</v>
      </c>
      <c r="Y220" s="38">
        <v>260</v>
      </c>
    </row>
    <row r="221" spans="1:25" ht="25.5">
      <c r="A221" s="1"/>
      <c r="C221" s="32"/>
      <c r="D221" s="91"/>
      <c r="E221" s="32"/>
      <c r="G221" s="39"/>
      <c r="I221" s="136" t="s">
        <v>216</v>
      </c>
      <c r="J221" s="137"/>
      <c r="K221" s="37">
        <v>0</v>
      </c>
    </row>
    <row r="222" spans="1:25" ht="25.5">
      <c r="A222" s="1"/>
      <c r="C222" s="90"/>
      <c r="E222" s="32"/>
      <c r="G222" s="32"/>
      <c r="I222" s="136" t="s">
        <v>217</v>
      </c>
      <c r="J222" s="137"/>
      <c r="K222" s="37">
        <v>0</v>
      </c>
    </row>
    <row r="223" spans="1:25" ht="25.5">
      <c r="A223" s="1"/>
      <c r="C223" s="32"/>
      <c r="E223" s="32"/>
      <c r="G223" s="32"/>
      <c r="I223" s="136" t="s">
        <v>218</v>
      </c>
      <c r="J223" s="137"/>
      <c r="K223" s="93">
        <f>SUM(L5:L216)</f>
        <v>370</v>
      </c>
      <c r="M223" s="94" t="s">
        <v>219</v>
      </c>
      <c r="N223" s="40" t="s">
        <v>220</v>
      </c>
      <c r="O223" s="41" t="s">
        <v>221</v>
      </c>
    </row>
    <row r="224" spans="1:25" ht="25.5">
      <c r="A224" s="1"/>
      <c r="C224" s="32"/>
      <c r="E224" s="32"/>
      <c r="G224" s="32"/>
      <c r="I224" s="136" t="s">
        <v>222</v>
      </c>
      <c r="J224" s="137"/>
      <c r="K224" s="34">
        <f>K218-K219-K220-K222-K223</f>
        <v>1567</v>
      </c>
      <c r="M224" s="42"/>
      <c r="N224" s="42"/>
      <c r="O224" s="42">
        <v>200</v>
      </c>
    </row>
    <row r="225" spans="1:15" ht="25.5">
      <c r="A225" s="1"/>
      <c r="C225" s="32"/>
      <c r="E225" s="32"/>
      <c r="G225" s="32"/>
      <c r="I225" s="136" t="s">
        <v>223</v>
      </c>
      <c r="J225" s="137"/>
      <c r="K225" s="93">
        <v>1567</v>
      </c>
      <c r="M225" s="42"/>
      <c r="N225" s="42"/>
      <c r="O225" s="42"/>
    </row>
    <row r="226" spans="1:15" ht="25.5">
      <c r="A226" s="1"/>
      <c r="C226" s="32"/>
      <c r="E226" s="32"/>
      <c r="G226" s="32"/>
      <c r="I226" s="136" t="s">
        <v>224</v>
      </c>
      <c r="J226" s="137"/>
      <c r="K226" s="34">
        <f>+K225-K224</f>
        <v>0</v>
      </c>
      <c r="M226" s="42"/>
      <c r="N226" s="42"/>
      <c r="O226" s="42"/>
    </row>
    <row r="227" spans="1:15" ht="25.5">
      <c r="G227" s="2"/>
      <c r="I227" s="136" t="s">
        <v>225</v>
      </c>
      <c r="J227" s="137"/>
      <c r="K227" s="34">
        <f>+K225-K224</f>
        <v>0</v>
      </c>
      <c r="M227" s="43"/>
      <c r="N227" s="43"/>
      <c r="O227" s="43"/>
    </row>
    <row r="228" spans="1:15">
      <c r="G228" s="2"/>
      <c r="I228" s="28"/>
      <c r="M228" s="43"/>
      <c r="N228" s="43"/>
      <c r="O228" s="43"/>
    </row>
    <row r="229" spans="1:15">
      <c r="G229" s="2"/>
      <c r="I229" s="2" t="s">
        <v>276</v>
      </c>
      <c r="J229" s="2">
        <f>+K218-K223+K226</f>
        <v>5010</v>
      </c>
      <c r="M229" s="44"/>
      <c r="N229" s="44"/>
      <c r="O229" s="44"/>
    </row>
    <row r="230" spans="1:15">
      <c r="G230" s="2"/>
      <c r="I230" s="2" t="s">
        <v>277</v>
      </c>
      <c r="J230" s="2">
        <f>SUM(K219:K222)</f>
        <v>3443</v>
      </c>
      <c r="M230" s="45">
        <f>SUM(M224:M229)</f>
        <v>0</v>
      </c>
      <c r="N230" s="45">
        <f>SUM(N224:N229)</f>
        <v>0</v>
      </c>
      <c r="O230" s="45">
        <f>SUM(O224:O229)</f>
        <v>200</v>
      </c>
    </row>
    <row r="231" spans="1:15">
      <c r="G231" s="2"/>
      <c r="I231" s="2" t="s">
        <v>278</v>
      </c>
      <c r="J231" s="2">
        <f>+K225</f>
        <v>1567</v>
      </c>
      <c r="M231" s="46" t="s">
        <v>226</v>
      </c>
      <c r="N231" s="47">
        <f>N230*30/100</f>
        <v>0</v>
      </c>
      <c r="O231" s="47">
        <f>O230*30/100</f>
        <v>60</v>
      </c>
    </row>
    <row r="232" spans="1:15">
      <c r="G232" s="2"/>
      <c r="I232" s="2"/>
      <c r="M232" s="46" t="s">
        <v>227</v>
      </c>
      <c r="N232" s="47">
        <f>N231*7/100</f>
        <v>0</v>
      </c>
      <c r="O232" s="47">
        <f>O231*7/100</f>
        <v>4.2</v>
      </c>
    </row>
    <row r="233" spans="1:15">
      <c r="G233" s="2"/>
      <c r="I233" s="2"/>
      <c r="M233" s="95" t="s">
        <v>6</v>
      </c>
      <c r="N233" s="48">
        <f>N230-N231-N232</f>
        <v>0</v>
      </c>
      <c r="O233" s="48">
        <f>O230-O231-O232</f>
        <v>135.80000000000001</v>
      </c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theme="5" tint="0.79998168889431442"/>
  </sheetPr>
  <dimension ref="A1:Z302"/>
  <sheetViews>
    <sheetView zoomScale="90" zoomScaleNormal="90" zoomScalePageLayoutView="110" workbookViewId="0">
      <pane ySplit="4" topLeftCell="A206" activePane="bottomLeft" state="frozen"/>
      <selection activeCell="B1" sqref="B1"/>
      <selection pane="bottomLeft" activeCell="I211" sqref="I211:I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+'6'!G5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10</v>
      </c>
      <c r="H5" s="15">
        <v>10</v>
      </c>
      <c r="I5" s="16">
        <v>50</v>
      </c>
      <c r="J5" s="17">
        <f>+I5*H5</f>
        <v>500</v>
      </c>
      <c r="K5" s="18" t="s">
        <v>17</v>
      </c>
      <c r="L5" s="19">
        <v>0</v>
      </c>
      <c r="M5" s="24">
        <f>SUM(J5-L5)</f>
        <v>500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+'6'!G6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62</v>
      </c>
      <c r="H6" s="15">
        <v>11</v>
      </c>
      <c r="I6" s="16">
        <v>100</v>
      </c>
      <c r="J6" s="17">
        <f t="shared" ref="J6:J70" si="4">+I6*H6</f>
        <v>1100</v>
      </c>
      <c r="K6" s="18" t="s">
        <v>327</v>
      </c>
      <c r="L6" s="19">
        <v>105</v>
      </c>
      <c r="M6" s="24">
        <f t="shared" ref="M6:M69" si="5">SUM(J6-L6)</f>
        <v>995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+'6'!G12</f>
        <v>1</v>
      </c>
      <c r="D12" s="13">
        <v>5</v>
      </c>
      <c r="E12" s="12">
        <f>C12+D12</f>
        <v>6</v>
      </c>
      <c r="F12" s="13">
        <v>0</v>
      </c>
      <c r="G12" s="14">
        <f>E12-F12-H12</f>
        <v>5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3</v>
      </c>
      <c r="H17" s="15">
        <v>1</v>
      </c>
      <c r="I17" s="16">
        <v>50</v>
      </c>
      <c r="J17" s="17">
        <f t="shared" si="4"/>
        <v>50</v>
      </c>
      <c r="K17" s="18" t="s">
        <v>313</v>
      </c>
      <c r="L17" s="19">
        <v>50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4"/>
        <v>50</v>
      </c>
      <c r="K19" s="18" t="s">
        <v>313</v>
      </c>
      <c r="L19" s="19">
        <v>50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2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1</v>
      </c>
      <c r="H23" s="15">
        <v>11</v>
      </c>
      <c r="I23" s="16">
        <v>100</v>
      </c>
      <c r="J23" s="17">
        <f t="shared" si="4"/>
        <v>1100</v>
      </c>
      <c r="K23" s="18" t="s">
        <v>17</v>
      </c>
      <c r="L23" s="19">
        <v>0</v>
      </c>
      <c r="M23" s="24">
        <f t="shared" si="5"/>
        <v>1100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2</v>
      </c>
      <c r="D24" s="13">
        <v>5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3</v>
      </c>
      <c r="H31" s="15">
        <v>1</v>
      </c>
      <c r="I31" s="16">
        <v>100</v>
      </c>
      <c r="J31" s="17">
        <f t="shared" si="4"/>
        <v>100</v>
      </c>
      <c r="K31" s="18" t="s">
        <v>313</v>
      </c>
      <c r="L31" s="19">
        <v>100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+'6'!G34</f>
        <v>4</v>
      </c>
      <c r="D34" s="13">
        <v>0</v>
      </c>
      <c r="E34" s="14">
        <f t="shared" si="0"/>
        <v>4</v>
      </c>
      <c r="F34" s="13">
        <v>2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3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328</v>
      </c>
      <c r="L39" s="19">
        <v>10</v>
      </c>
      <c r="M39" s="24">
        <f t="shared" si="5"/>
        <v>40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296</v>
      </c>
      <c r="L40" s="19">
        <v>50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7</v>
      </c>
      <c r="H47" s="15">
        <v>3</v>
      </c>
      <c r="I47" s="16">
        <v>50</v>
      </c>
      <c r="J47" s="17">
        <f t="shared" si="4"/>
        <v>150</v>
      </c>
      <c r="K47" s="18" t="s">
        <v>17</v>
      </c>
      <c r="L47" s="19">
        <v>0</v>
      </c>
      <c r="M47" s="24">
        <f t="shared" si="5"/>
        <v>150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+'6'!G62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5</v>
      </c>
      <c r="D66" s="13">
        <v>20</v>
      </c>
      <c r="E66" s="12">
        <f t="shared" si="0"/>
        <v>25</v>
      </c>
      <c r="F66" s="13">
        <v>0</v>
      </c>
      <c r="G66" s="14">
        <f t="shared" si="1"/>
        <v>25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+'6'!G70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296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+'6'!G73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+'6'!G74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9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+'6'!G77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296</v>
      </c>
      <c r="L77" s="19">
        <v>50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+'6'!G79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0</v>
      </c>
      <c r="H79" s="15">
        <v>2</v>
      </c>
      <c r="I79" s="21">
        <v>50</v>
      </c>
      <c r="J79" s="17">
        <f t="shared" si="10"/>
        <v>100</v>
      </c>
      <c r="K79" s="18" t="s">
        <v>289</v>
      </c>
      <c r="L79" s="19">
        <v>50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+'6'!G81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2</v>
      </c>
      <c r="H81" s="15">
        <v>2</v>
      </c>
      <c r="I81" s="22">
        <v>55</v>
      </c>
      <c r="J81" s="17">
        <f t="shared" si="10"/>
        <v>110</v>
      </c>
      <c r="K81" s="18" t="s">
        <v>327</v>
      </c>
      <c r="L81" s="19">
        <v>58</v>
      </c>
      <c r="M81" s="24">
        <f t="shared" si="9"/>
        <v>52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+'6'!G82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+'6'!G85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+'6'!G86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6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+'6'!G87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+'6'!G88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+'6'!G92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324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+'6'!G93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324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+'6'!G97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+'6'!G101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+'6'!G102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+'6'!G106</f>
        <v>2</v>
      </c>
      <c r="D106" s="13">
        <v>0</v>
      </c>
      <c r="E106" s="12">
        <f t="shared" si="11"/>
        <v>2</v>
      </c>
      <c r="F106" s="13">
        <v>0</v>
      </c>
      <c r="G106" s="14">
        <f t="shared" si="6"/>
        <v>1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+'6'!G107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+'6'!G109</f>
        <v>2</v>
      </c>
      <c r="D109" s="13">
        <v>0</v>
      </c>
      <c r="E109" s="12">
        <f t="shared" si="11"/>
        <v>2</v>
      </c>
      <c r="F109" s="13">
        <v>0</v>
      </c>
      <c r="G109" s="14">
        <f t="shared" si="6"/>
        <v>0</v>
      </c>
      <c r="H109" s="15">
        <v>2</v>
      </c>
      <c r="I109" s="22">
        <v>50</v>
      </c>
      <c r="J109" s="17">
        <f t="shared" si="10"/>
        <v>100</v>
      </c>
      <c r="K109" s="18" t="s">
        <v>17</v>
      </c>
      <c r="L109" s="19">
        <v>0</v>
      </c>
      <c r="M109" s="24">
        <f t="shared" si="9"/>
        <v>100</v>
      </c>
      <c r="Z109" s="38"/>
    </row>
    <row r="110" spans="1:26" ht="25.5">
      <c r="A110" s="10">
        <v>106</v>
      </c>
      <c r="B110" s="20" t="s">
        <v>119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+'6'!G150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+'6'!G151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+'6'!G152</f>
        <v>10</v>
      </c>
      <c r="D152" s="13">
        <v>0</v>
      </c>
      <c r="E152" s="12">
        <f t="shared" si="11"/>
        <v>10</v>
      </c>
      <c r="F152" s="13">
        <v>0</v>
      </c>
      <c r="G152" s="14">
        <f t="shared" si="6"/>
        <v>8</v>
      </c>
      <c r="H152" s="15">
        <v>2</v>
      </c>
      <c r="I152" s="22">
        <v>120</v>
      </c>
      <c r="J152" s="17">
        <f t="shared" si="13"/>
        <v>240</v>
      </c>
      <c r="K152" s="18" t="s">
        <v>17</v>
      </c>
      <c r="L152" s="19">
        <v>0</v>
      </c>
      <c r="M152" s="24">
        <f t="shared" si="12"/>
        <v>240</v>
      </c>
    </row>
    <row r="153" spans="1:13" ht="25.5">
      <c r="A153" s="10">
        <v>149</v>
      </c>
      <c r="B153" s="20" t="s">
        <v>162</v>
      </c>
      <c r="C153" s="12">
        <f>+'6'!G153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5" si="14">E153-F153-H153</f>
        <v>8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+'6'!G154</f>
        <v>10</v>
      </c>
      <c r="D154" s="13">
        <v>0</v>
      </c>
      <c r="E154" s="12">
        <f t="shared" si="11"/>
        <v>10</v>
      </c>
      <c r="F154" s="13">
        <v>0</v>
      </c>
      <c r="G154" s="14">
        <f t="shared" si="14"/>
        <v>7</v>
      </c>
      <c r="H154" s="15">
        <v>3</v>
      </c>
      <c r="I154" s="22">
        <v>185</v>
      </c>
      <c r="J154" s="17">
        <f t="shared" si="13"/>
        <v>555</v>
      </c>
      <c r="K154" s="18" t="s">
        <v>291</v>
      </c>
      <c r="L154" s="19">
        <v>45</v>
      </c>
      <c r="M154" s="24">
        <f t="shared" si="12"/>
        <v>510</v>
      </c>
    </row>
    <row r="155" spans="1:13" ht="25.5">
      <c r="A155" s="10">
        <v>151</v>
      </c>
      <c r="B155" s="20" t="s">
        <v>164</v>
      </c>
      <c r="C155" s="12">
        <f>+'6'!G155</f>
        <v>5</v>
      </c>
      <c r="D155" s="13">
        <v>0</v>
      </c>
      <c r="E155" s="12">
        <f t="shared" si="11"/>
        <v>5</v>
      </c>
      <c r="F155" s="13">
        <v>0</v>
      </c>
      <c r="G155" s="14">
        <f t="shared" si="14"/>
        <v>4</v>
      </c>
      <c r="H155" s="15">
        <v>1</v>
      </c>
      <c r="I155" s="22">
        <v>185</v>
      </c>
      <c r="J155" s="17">
        <f t="shared" si="13"/>
        <v>185</v>
      </c>
      <c r="K155" s="18" t="s">
        <v>291</v>
      </c>
      <c r="L155" s="19">
        <v>15</v>
      </c>
      <c r="M155" s="24">
        <f t="shared" si="12"/>
        <v>170</v>
      </c>
    </row>
    <row r="156" spans="1:13" ht="25.5">
      <c r="A156" s="10">
        <v>152</v>
      </c>
      <c r="B156" s="20" t="s">
        <v>165</v>
      </c>
      <c r="C156" s="12">
        <f>+'6'!G156</f>
        <v>7</v>
      </c>
      <c r="D156" s="13">
        <v>0</v>
      </c>
      <c r="E156" s="12">
        <f t="shared" si="11"/>
        <v>7</v>
      </c>
      <c r="F156" s="13">
        <v>0</v>
      </c>
      <c r="G156" s="14">
        <f t="shared" si="14"/>
        <v>1</v>
      </c>
      <c r="H156" s="15">
        <v>6</v>
      </c>
      <c r="I156" s="22">
        <v>185</v>
      </c>
      <c r="J156" s="17">
        <f t="shared" si="13"/>
        <v>1110</v>
      </c>
      <c r="K156" s="18" t="s">
        <v>17</v>
      </c>
      <c r="L156" s="19">
        <v>0</v>
      </c>
      <c r="M156" s="24">
        <f t="shared" si="12"/>
        <v>1110</v>
      </c>
    </row>
    <row r="157" spans="1:13" ht="25.5">
      <c r="A157" s="10">
        <v>153</v>
      </c>
      <c r="B157" s="20" t="s">
        <v>166</v>
      </c>
      <c r="C157" s="12">
        <f>+'6'!G157</f>
        <v>7</v>
      </c>
      <c r="D157" s="13">
        <v>0</v>
      </c>
      <c r="E157" s="12">
        <f t="shared" si="11"/>
        <v>7</v>
      </c>
      <c r="F157" s="13">
        <v>0</v>
      </c>
      <c r="G157" s="14">
        <f t="shared" si="14"/>
        <v>6</v>
      </c>
      <c r="H157" s="15">
        <v>1</v>
      </c>
      <c r="I157" s="22">
        <v>185</v>
      </c>
      <c r="J157" s="17">
        <f t="shared" si="13"/>
        <v>185</v>
      </c>
      <c r="K157" s="18" t="s">
        <v>329</v>
      </c>
      <c r="L157" s="19">
        <v>35</v>
      </c>
      <c r="M157" s="24">
        <f t="shared" si="12"/>
        <v>150</v>
      </c>
    </row>
    <row r="158" spans="1:13" ht="25.5">
      <c r="A158" s="10">
        <v>154</v>
      </c>
      <c r="B158" s="20" t="s">
        <v>267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+'6'!G161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0</v>
      </c>
      <c r="H161" s="15">
        <v>1</v>
      </c>
      <c r="I161" s="22">
        <v>90</v>
      </c>
      <c r="J161" s="17">
        <f t="shared" si="13"/>
        <v>90</v>
      </c>
      <c r="K161" s="18" t="s">
        <v>17</v>
      </c>
      <c r="L161" s="19">
        <v>0</v>
      </c>
      <c r="M161" s="24">
        <f t="shared" si="12"/>
        <v>90</v>
      </c>
    </row>
    <row r="162" spans="1:13" ht="25.5">
      <c r="A162" s="10">
        <v>158</v>
      </c>
      <c r="B162" s="20" t="s">
        <v>170</v>
      </c>
      <c r="C162" s="12">
        <f>+'6'!G162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+'6'!G164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+'6'!G168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+'6'!G179</f>
        <v>59</v>
      </c>
      <c r="D179" s="13">
        <v>0</v>
      </c>
      <c r="E179" s="12">
        <f t="shared" si="11"/>
        <v>59</v>
      </c>
      <c r="F179" s="13">
        <v>0</v>
      </c>
      <c r="G179" s="14">
        <f t="shared" si="14"/>
        <v>59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+'6'!G184</f>
        <v>1</v>
      </c>
      <c r="D184" s="13">
        <v>0</v>
      </c>
      <c r="E184" s="12">
        <f t="shared" si="11"/>
        <v>1</v>
      </c>
      <c r="F184" s="13">
        <v>0</v>
      </c>
      <c r="G184" s="14">
        <f t="shared" si="14"/>
        <v>0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>
        <v>0</v>
      </c>
      <c r="M184" s="24">
        <f t="shared" si="12"/>
        <v>10</v>
      </c>
    </row>
    <row r="185" spans="1:13" ht="25.5">
      <c r="A185" s="10">
        <v>181</v>
      </c>
      <c r="B185" s="20" t="s">
        <v>192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140</v>
      </c>
      <c r="K189" s="18" t="s">
        <v>17</v>
      </c>
      <c r="L189" s="19">
        <v>0</v>
      </c>
      <c r="M189" s="24">
        <f t="shared" si="12"/>
        <v>140</v>
      </c>
    </row>
    <row r="190" spans="1:13" ht="25.5">
      <c r="A190" s="10">
        <v>186</v>
      </c>
      <c r="B190" s="20" t="s">
        <v>197</v>
      </c>
      <c r="C190" s="12">
        <f>+'6'!G190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+'6'!G199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+'6'!G207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266</v>
      </c>
      <c r="C209" s="12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264</v>
      </c>
      <c r="C210" s="12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0">
        <v>207</v>
      </c>
      <c r="B211" s="20" t="s">
        <v>309</v>
      </c>
      <c r="C211" s="12">
        <f>+'6'!G211</f>
        <v>3</v>
      </c>
      <c r="D211" s="13">
        <v>0</v>
      </c>
      <c r="E211" s="12">
        <f t="shared" si="17"/>
        <v>3</v>
      </c>
      <c r="F211" s="13">
        <v>0</v>
      </c>
      <c r="G211" s="14">
        <f t="shared" si="14"/>
        <v>2</v>
      </c>
      <c r="H211" s="15">
        <v>1</v>
      </c>
      <c r="I211" s="22">
        <v>50</v>
      </c>
      <c r="J211" s="17">
        <f t="shared" si="16"/>
        <v>50</v>
      </c>
      <c r="K211" s="18" t="s">
        <v>17</v>
      </c>
      <c r="L211" s="19">
        <v>0</v>
      </c>
      <c r="M211" s="24">
        <f t="shared" si="15"/>
        <v>50</v>
      </c>
    </row>
    <row r="212" spans="1:19" ht="25.5">
      <c r="A212" s="10">
        <v>208</v>
      </c>
      <c r="B212" s="20" t="s">
        <v>310</v>
      </c>
      <c r="C212" s="12">
        <f>+'6'!G212</f>
        <v>1</v>
      </c>
      <c r="D212" s="13">
        <v>0</v>
      </c>
      <c r="E212" s="12">
        <f t="shared" si="17"/>
        <v>1</v>
      </c>
      <c r="F212" s="13">
        <v>0</v>
      </c>
      <c r="G212" s="14">
        <f t="shared" si="14"/>
        <v>0</v>
      </c>
      <c r="H212" s="15">
        <v>1</v>
      </c>
      <c r="I212" s="22">
        <v>50</v>
      </c>
      <c r="J212" s="17">
        <f t="shared" si="16"/>
        <v>50</v>
      </c>
      <c r="K212" s="18" t="s">
        <v>17</v>
      </c>
      <c r="L212" s="19">
        <v>0</v>
      </c>
      <c r="M212" s="24">
        <f t="shared" si="15"/>
        <v>50</v>
      </c>
    </row>
    <row r="213" spans="1:19" ht="25.5">
      <c r="A213" s="10">
        <v>209</v>
      </c>
      <c r="B213" s="20" t="s">
        <v>311</v>
      </c>
      <c r="C213" s="12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>
      <c r="A214" s="10">
        <v>210</v>
      </c>
      <c r="B214" s="20" t="s">
        <v>312</v>
      </c>
      <c r="C214" s="12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>
      <c r="A215" s="10">
        <v>211</v>
      </c>
      <c r="B215" s="20" t="s">
        <v>274</v>
      </c>
      <c r="C215" s="12">
        <f>+'6'!G215</f>
        <v>1</v>
      </c>
      <c r="D215" s="13">
        <v>0</v>
      </c>
      <c r="E215" s="12">
        <f t="shared" si="17"/>
        <v>1</v>
      </c>
      <c r="F215" s="13">
        <v>0</v>
      </c>
      <c r="G215" s="14">
        <f t="shared" si="14"/>
        <v>1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54" t="s">
        <v>228</v>
      </c>
      <c r="N216" s="154"/>
    </row>
    <row r="217" spans="1:19" ht="25.5" customHeight="1">
      <c r="A217" s="1"/>
      <c r="C217" s="25"/>
      <c r="D217" s="26"/>
      <c r="E217" s="25"/>
      <c r="F217" s="26"/>
      <c r="G217" s="25"/>
      <c r="H217" s="155" t="s">
        <v>229</v>
      </c>
      <c r="I217" s="156"/>
      <c r="J217" s="31">
        <f>+X110</f>
        <v>0</v>
      </c>
      <c r="K217" s="28"/>
      <c r="L217" s="30"/>
    </row>
    <row r="218" spans="1:19" ht="25.5">
      <c r="A218" s="1"/>
      <c r="C218" s="32"/>
      <c r="E218" s="32"/>
      <c r="G218" s="32"/>
      <c r="H218" s="33"/>
      <c r="I218" s="157" t="s">
        <v>213</v>
      </c>
      <c r="J218" s="157"/>
      <c r="K218" s="34">
        <f>SUM(J5:J217)</f>
        <v>6935</v>
      </c>
    </row>
    <row r="219" spans="1:19" ht="25.5">
      <c r="A219" s="1"/>
      <c r="C219" s="32"/>
      <c r="E219" s="32"/>
      <c r="G219" s="32"/>
      <c r="I219" s="136" t="s">
        <v>214</v>
      </c>
      <c r="J219" s="137"/>
      <c r="K219" s="37">
        <v>0</v>
      </c>
    </row>
    <row r="220" spans="1:19" ht="25.5">
      <c r="A220" s="1"/>
      <c r="C220" s="32"/>
      <c r="E220" s="32"/>
      <c r="G220" s="32"/>
      <c r="I220" s="35" t="s">
        <v>215</v>
      </c>
      <c r="J220" s="36"/>
      <c r="K220" s="37">
        <f>SUM(L220:BO220)</f>
        <v>4708</v>
      </c>
      <c r="L220" s="38">
        <v>800</v>
      </c>
      <c r="M220" s="2">
        <v>108</v>
      </c>
      <c r="N220" s="2">
        <v>225</v>
      </c>
      <c r="O220" s="2">
        <v>40</v>
      </c>
      <c r="P220" s="2">
        <v>65</v>
      </c>
      <c r="Q220" s="2">
        <v>1870</v>
      </c>
      <c r="R220" s="2">
        <v>200</v>
      </c>
      <c r="S220" s="2">
        <v>1400</v>
      </c>
    </row>
    <row r="221" spans="1:19" ht="25.5">
      <c r="A221" s="1"/>
      <c r="C221" s="32"/>
      <c r="D221" s="91"/>
      <c r="E221" s="32"/>
      <c r="G221" s="39"/>
      <c r="I221" s="136" t="s">
        <v>216</v>
      </c>
      <c r="J221" s="137"/>
      <c r="K221" s="37">
        <v>0</v>
      </c>
    </row>
    <row r="222" spans="1:19" ht="25.5">
      <c r="A222" s="1"/>
      <c r="C222" s="90"/>
      <c r="E222" s="32"/>
      <c r="G222" s="32"/>
      <c r="I222" s="136" t="s">
        <v>217</v>
      </c>
      <c r="J222" s="137"/>
      <c r="K222" s="37">
        <v>0</v>
      </c>
    </row>
    <row r="223" spans="1:19" ht="25.5">
      <c r="A223" s="1"/>
      <c r="C223" s="32"/>
      <c r="E223" s="32"/>
      <c r="G223" s="32"/>
      <c r="I223" s="136" t="s">
        <v>218</v>
      </c>
      <c r="J223" s="137"/>
      <c r="K223" s="93">
        <f>SUM(L5:L216)</f>
        <v>715</v>
      </c>
      <c r="M223" s="94" t="s">
        <v>219</v>
      </c>
      <c r="N223" s="40" t="s">
        <v>220</v>
      </c>
      <c r="O223" s="41" t="s">
        <v>221</v>
      </c>
    </row>
    <row r="224" spans="1:19" ht="25.5">
      <c r="A224" s="1"/>
      <c r="C224" s="32"/>
      <c r="E224" s="32"/>
      <c r="G224" s="32"/>
      <c r="I224" s="136" t="s">
        <v>222</v>
      </c>
      <c r="J224" s="137"/>
      <c r="K224" s="34">
        <f>K218-K219-K220-K222-K223</f>
        <v>1512</v>
      </c>
      <c r="M224" s="42"/>
      <c r="N224" s="42"/>
      <c r="O224" s="42">
        <v>100</v>
      </c>
    </row>
    <row r="225" spans="1:15" ht="25.5">
      <c r="A225" s="1"/>
      <c r="C225" s="32"/>
      <c r="E225" s="32"/>
      <c r="G225" s="32"/>
      <c r="I225" s="136" t="s">
        <v>223</v>
      </c>
      <c r="J225" s="137"/>
      <c r="K225" s="93">
        <v>1512</v>
      </c>
      <c r="M225" s="42"/>
      <c r="N225" s="42"/>
      <c r="O225" s="42">
        <v>130</v>
      </c>
    </row>
    <row r="226" spans="1:15" ht="25.5">
      <c r="A226" s="1"/>
      <c r="C226" s="32"/>
      <c r="E226" s="32"/>
      <c r="G226" s="32"/>
      <c r="I226" s="136" t="s">
        <v>224</v>
      </c>
      <c r="J226" s="137"/>
      <c r="K226" s="34">
        <f>+K225-K224</f>
        <v>0</v>
      </c>
      <c r="M226" s="42"/>
      <c r="N226" s="42"/>
      <c r="O226" s="42">
        <v>170</v>
      </c>
    </row>
    <row r="227" spans="1:15" ht="25.5">
      <c r="G227" s="2"/>
      <c r="I227" s="136" t="s">
        <v>225</v>
      </c>
      <c r="J227" s="137"/>
      <c r="K227" s="34">
        <f>+K225-K224</f>
        <v>0</v>
      </c>
      <c r="M227" s="43"/>
      <c r="N227" s="43"/>
      <c r="O227" s="43"/>
    </row>
    <row r="228" spans="1:15">
      <c r="G228" s="2"/>
      <c r="I228" s="28"/>
      <c r="M228" s="43"/>
      <c r="N228" s="43"/>
      <c r="O228" s="43"/>
    </row>
    <row r="229" spans="1:15">
      <c r="G229" s="2"/>
      <c r="I229" s="2" t="s">
        <v>276</v>
      </c>
      <c r="J229" s="2">
        <f>+K218-K223+K226</f>
        <v>6220</v>
      </c>
      <c r="M229" s="44"/>
      <c r="N229" s="44"/>
      <c r="O229" s="44"/>
    </row>
    <row r="230" spans="1:15">
      <c r="G230" s="2"/>
      <c r="I230" s="2" t="s">
        <v>277</v>
      </c>
      <c r="J230" s="2">
        <f>SUM(K219:K222)</f>
        <v>4708</v>
      </c>
      <c r="M230" s="45">
        <f>SUM(M224:M229)</f>
        <v>0</v>
      </c>
      <c r="N230" s="45">
        <f>SUM(N224:N229)</f>
        <v>0</v>
      </c>
      <c r="O230" s="45">
        <f>SUM(O224:O229)</f>
        <v>400</v>
      </c>
    </row>
    <row r="231" spans="1:15">
      <c r="G231" s="2"/>
      <c r="I231" s="2" t="s">
        <v>278</v>
      </c>
      <c r="J231" s="2">
        <f>+K225</f>
        <v>1512</v>
      </c>
      <c r="M231" s="46" t="s">
        <v>226</v>
      </c>
      <c r="N231" s="47">
        <f>N230*30/100</f>
        <v>0</v>
      </c>
      <c r="O231" s="47">
        <f>O230*30/100</f>
        <v>120</v>
      </c>
    </row>
    <row r="232" spans="1:15">
      <c r="G232" s="2"/>
      <c r="I232" s="2"/>
      <c r="M232" s="46" t="s">
        <v>227</v>
      </c>
      <c r="N232" s="47">
        <f>N231*7/100</f>
        <v>0</v>
      </c>
      <c r="O232" s="47">
        <f>O231*7/100</f>
        <v>8.4</v>
      </c>
    </row>
    <row r="233" spans="1:15">
      <c r="G233" s="2"/>
      <c r="I233" s="2"/>
      <c r="M233" s="95" t="s">
        <v>6</v>
      </c>
      <c r="N233" s="48">
        <f>N230-N231-N232</f>
        <v>0</v>
      </c>
      <c r="O233" s="48">
        <f>O230-O231-O232</f>
        <v>271.60000000000002</v>
      </c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theme="5" tint="0.79998168889431442"/>
  </sheetPr>
  <dimension ref="A1:Z302"/>
  <sheetViews>
    <sheetView zoomScale="90" zoomScaleNormal="90" zoomScalePageLayoutView="110" workbookViewId="0">
      <pane ySplit="4" topLeftCell="A204" activePane="bottomLeft" state="frozen"/>
      <selection pane="bottomLeft" activeCell="I211" sqref="I211:I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+'7'!G5</f>
        <v>10</v>
      </c>
      <c r="D5" s="13">
        <v>0</v>
      </c>
      <c r="E5" s="12">
        <f t="shared" ref="E5:E94" si="0">C5+D5</f>
        <v>10</v>
      </c>
      <c r="F5" s="13">
        <v>0</v>
      </c>
      <c r="G5" s="14">
        <f t="shared" ref="G5:G68" si="1">E5-F5-H5</f>
        <v>6</v>
      </c>
      <c r="H5" s="15">
        <v>4</v>
      </c>
      <c r="I5" s="16">
        <v>50</v>
      </c>
      <c r="J5" s="17">
        <f>+I5*H5</f>
        <v>200</v>
      </c>
      <c r="K5" s="18" t="s">
        <v>330</v>
      </c>
      <c r="L5" s="19">
        <v>50</v>
      </c>
      <c r="M5" s="24">
        <f>SUM(J5-L5)</f>
        <v>150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+'7'!G6</f>
        <v>62</v>
      </c>
      <c r="D6" s="13">
        <v>0</v>
      </c>
      <c r="E6" s="12">
        <f t="shared" si="0"/>
        <v>62</v>
      </c>
      <c r="F6" s="13">
        <v>0</v>
      </c>
      <c r="G6" s="14">
        <f t="shared" si="1"/>
        <v>60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>
        <v>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+'7'!G12</f>
        <v>5</v>
      </c>
      <c r="D12" s="13">
        <v>5</v>
      </c>
      <c r="E12" s="12">
        <f>C12+D12</f>
        <v>10</v>
      </c>
      <c r="F12" s="13">
        <v>0</v>
      </c>
      <c r="G12" s="14">
        <f>E12-F12-H12</f>
        <v>8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1</v>
      </c>
      <c r="D14" s="13">
        <v>3</v>
      </c>
      <c r="E14" s="12">
        <f t="shared" si="0"/>
        <v>4</v>
      </c>
      <c r="F14" s="13">
        <v>0</v>
      </c>
      <c r="G14" s="14">
        <f t="shared" si="1"/>
        <v>2</v>
      </c>
      <c r="H14" s="15">
        <v>2</v>
      </c>
      <c r="I14" s="22">
        <v>65</v>
      </c>
      <c r="J14" s="17">
        <f t="shared" si="4"/>
        <v>130</v>
      </c>
      <c r="K14" s="18" t="s">
        <v>331</v>
      </c>
      <c r="L14" s="19">
        <v>4</v>
      </c>
      <c r="M14" s="24">
        <f t="shared" si="5"/>
        <v>126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2</v>
      </c>
      <c r="H17" s="15">
        <v>1</v>
      </c>
      <c r="I17" s="16">
        <v>50</v>
      </c>
      <c r="J17" s="17">
        <f t="shared" si="4"/>
        <v>50</v>
      </c>
      <c r="K17" s="18" t="s">
        <v>17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2</v>
      </c>
      <c r="D22" s="13">
        <v>3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332</v>
      </c>
      <c r="L22" s="19">
        <v>42</v>
      </c>
      <c r="M22" s="24">
        <f t="shared" si="5"/>
        <v>43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1</v>
      </c>
      <c r="D23" s="13">
        <v>30</v>
      </c>
      <c r="E23" s="14">
        <f>C23+D23</f>
        <v>31</v>
      </c>
      <c r="F23" s="13">
        <v>0</v>
      </c>
      <c r="G23" s="14">
        <f t="shared" si="1"/>
        <v>28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332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+'7'!G34</f>
        <v>2</v>
      </c>
      <c r="D34" s="13">
        <v>5</v>
      </c>
      <c r="E34" s="14">
        <f t="shared" si="0"/>
        <v>7</v>
      </c>
      <c r="F34" s="13">
        <v>0</v>
      </c>
      <c r="G34" s="14">
        <f t="shared" si="1"/>
        <v>5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3</v>
      </c>
      <c r="D35" s="13">
        <v>5</v>
      </c>
      <c r="E35" s="14">
        <f t="shared" si="0"/>
        <v>8</v>
      </c>
      <c r="F35" s="13">
        <v>0</v>
      </c>
      <c r="G35" s="14">
        <f t="shared" si="1"/>
        <v>5</v>
      </c>
      <c r="H35" s="15">
        <v>3</v>
      </c>
      <c r="I35" s="16">
        <v>130</v>
      </c>
      <c r="J35" s="17">
        <f t="shared" si="4"/>
        <v>390</v>
      </c>
      <c r="K35" s="18" t="s">
        <v>17</v>
      </c>
      <c r="L35" s="19">
        <v>0</v>
      </c>
      <c r="M35" s="24">
        <f t="shared" si="5"/>
        <v>390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3</v>
      </c>
      <c r="D37" s="13">
        <v>30</v>
      </c>
      <c r="E37" s="12">
        <f t="shared" si="0"/>
        <v>33</v>
      </c>
      <c r="F37" s="13">
        <v>0</v>
      </c>
      <c r="G37" s="14">
        <f t="shared" si="1"/>
        <v>30</v>
      </c>
      <c r="H37" s="15">
        <v>3</v>
      </c>
      <c r="I37" s="16">
        <v>100</v>
      </c>
      <c r="J37" s="17">
        <f t="shared" si="4"/>
        <v>300</v>
      </c>
      <c r="K37" s="18" t="s">
        <v>17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331</v>
      </c>
      <c r="L38" s="19">
        <v>3</v>
      </c>
      <c r="M38" s="24">
        <f t="shared" si="5"/>
        <v>97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2</v>
      </c>
      <c r="D41" s="13">
        <v>5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4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3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7</v>
      </c>
      <c r="D47" s="13">
        <v>0</v>
      </c>
      <c r="E47" s="12">
        <f t="shared" si="0"/>
        <v>7</v>
      </c>
      <c r="F47" s="13">
        <v>0</v>
      </c>
      <c r="G47" s="14">
        <f t="shared" si="1"/>
        <v>0</v>
      </c>
      <c r="H47" s="15">
        <v>7</v>
      </c>
      <c r="I47" s="16">
        <v>50</v>
      </c>
      <c r="J47" s="17">
        <f t="shared" si="4"/>
        <v>350</v>
      </c>
      <c r="K47" s="18" t="s">
        <v>333</v>
      </c>
      <c r="L47" s="19">
        <v>300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4</v>
      </c>
      <c r="H63" s="15">
        <v>1</v>
      </c>
      <c r="I63" s="22">
        <v>50</v>
      </c>
      <c r="J63" s="17">
        <f t="shared" si="4"/>
        <v>50</v>
      </c>
      <c r="K63" s="18" t="s">
        <v>17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25</v>
      </c>
      <c r="D66" s="13">
        <v>0</v>
      </c>
      <c r="E66" s="12">
        <f t="shared" si="0"/>
        <v>25</v>
      </c>
      <c r="F66" s="13">
        <v>0</v>
      </c>
      <c r="G66" s="14">
        <f t="shared" si="1"/>
        <v>24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7</v>
      </c>
      <c r="D67" s="13">
        <v>5</v>
      </c>
      <c r="E67" s="12">
        <f>C67+D67</f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+'7'!G70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+'7'!G73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+'7'!G74</f>
        <v>9</v>
      </c>
      <c r="D74" s="13">
        <v>0</v>
      </c>
      <c r="E74" s="12">
        <f t="shared" si="0"/>
        <v>9</v>
      </c>
      <c r="F74" s="13">
        <v>0</v>
      </c>
      <c r="G74" s="14">
        <f t="shared" si="6"/>
        <v>7</v>
      </c>
      <c r="H74" s="15">
        <v>2</v>
      </c>
      <c r="I74" s="21">
        <v>120</v>
      </c>
      <c r="J74" s="17">
        <f t="shared" si="10"/>
        <v>240</v>
      </c>
      <c r="K74" s="18" t="s">
        <v>17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0</v>
      </c>
      <c r="H77" s="15">
        <v>2</v>
      </c>
      <c r="I77" s="22">
        <v>50</v>
      </c>
      <c r="J77" s="17">
        <f t="shared" si="10"/>
        <v>100</v>
      </c>
      <c r="K77" s="18" t="s">
        <v>17</v>
      </c>
      <c r="L77" s="19">
        <v>0</v>
      </c>
      <c r="M77" s="24">
        <f t="shared" si="9"/>
        <v>100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+'7'!G79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+'7'!G81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1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+'7'!G82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+'7'!G86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+'7'!G87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18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+'7'!G88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10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+'7'!G92</f>
        <v>0</v>
      </c>
      <c r="D92" s="13">
        <v>10</v>
      </c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334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+'7'!G93</f>
        <v>0</v>
      </c>
      <c r="D93" s="13">
        <v>7</v>
      </c>
      <c r="E93" s="12">
        <f t="shared" si="0"/>
        <v>7</v>
      </c>
      <c r="F93" s="13">
        <v>0</v>
      </c>
      <c r="G93" s="14">
        <f t="shared" si="6"/>
        <v>5</v>
      </c>
      <c r="H93" s="15">
        <v>2</v>
      </c>
      <c r="I93" s="22">
        <v>250</v>
      </c>
      <c r="J93" s="17">
        <f t="shared" si="10"/>
        <v>500</v>
      </c>
      <c r="K93" s="18" t="s">
        <v>335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+'7'!G97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+'7'!G101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+'7'!G102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+'7'!G106</f>
        <v>1</v>
      </c>
      <c r="D106" s="13">
        <v>10</v>
      </c>
      <c r="E106" s="12">
        <f t="shared" si="11"/>
        <v>11</v>
      </c>
      <c r="F106" s="13">
        <v>0</v>
      </c>
      <c r="G106" s="14">
        <f t="shared" si="6"/>
        <v>9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115</v>
      </c>
      <c r="C107" s="12">
        <f>+'7'!G107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+'7'!G108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+'7'!G150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+'7'!G151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1</v>
      </c>
      <c r="H151" s="15">
        <v>4</v>
      </c>
      <c r="I151" s="22">
        <v>120</v>
      </c>
      <c r="J151" s="17">
        <f t="shared" si="13"/>
        <v>480</v>
      </c>
      <c r="K151" s="18" t="s">
        <v>336</v>
      </c>
      <c r="L151" s="19">
        <v>18</v>
      </c>
      <c r="M151" s="24">
        <f t="shared" si="12"/>
        <v>462</v>
      </c>
    </row>
    <row r="152" spans="1:13" ht="25.5">
      <c r="A152" s="10">
        <v>148</v>
      </c>
      <c r="B152" s="20" t="s">
        <v>161</v>
      </c>
      <c r="C152" s="12">
        <f>+'7'!G152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+'7'!G153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5" si="14">E153-F153-H153</f>
        <v>8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+'7'!G154</f>
        <v>7</v>
      </c>
      <c r="D154" s="13">
        <v>0</v>
      </c>
      <c r="E154" s="12">
        <f t="shared" si="11"/>
        <v>7</v>
      </c>
      <c r="F154" s="13">
        <v>0</v>
      </c>
      <c r="G154" s="14">
        <f t="shared" si="14"/>
        <v>6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>
      <c r="A155" s="10">
        <v>151</v>
      </c>
      <c r="B155" s="20" t="s">
        <v>164</v>
      </c>
      <c r="C155" s="12">
        <f>+'7'!G155</f>
        <v>4</v>
      </c>
      <c r="D155" s="13">
        <v>0</v>
      </c>
      <c r="E155" s="12">
        <f t="shared" si="11"/>
        <v>4</v>
      </c>
      <c r="F155" s="13">
        <v>0</v>
      </c>
      <c r="G155" s="14">
        <f t="shared" si="14"/>
        <v>3</v>
      </c>
      <c r="H155" s="15">
        <v>1</v>
      </c>
      <c r="I155" s="22">
        <v>185</v>
      </c>
      <c r="J155" s="17">
        <f t="shared" si="13"/>
        <v>185</v>
      </c>
      <c r="K155" s="18" t="s">
        <v>17</v>
      </c>
      <c r="L155" s="19">
        <v>0</v>
      </c>
      <c r="M155" s="24">
        <f t="shared" si="12"/>
        <v>185</v>
      </c>
    </row>
    <row r="156" spans="1:13" ht="25.5">
      <c r="A156" s="10">
        <v>152</v>
      </c>
      <c r="B156" s="20" t="s">
        <v>165</v>
      </c>
      <c r="C156" s="12">
        <f>+'7'!G156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+'7'!G157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+'7'!G161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+'7'!G164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5</v>
      </c>
      <c r="H164" s="15">
        <v>2</v>
      </c>
      <c r="I164" s="22">
        <v>50</v>
      </c>
      <c r="J164" s="17">
        <f t="shared" si="13"/>
        <v>100</v>
      </c>
      <c r="K164" s="18" t="s">
        <v>337</v>
      </c>
      <c r="L164" s="19">
        <v>6</v>
      </c>
      <c r="M164" s="24">
        <f t="shared" si="12"/>
        <v>94</v>
      </c>
    </row>
    <row r="165" spans="1:13" ht="25.5">
      <c r="A165" s="10">
        <v>161</v>
      </c>
      <c r="B165" s="20" t="s">
        <v>172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+'7'!G168</f>
        <v>5</v>
      </c>
      <c r="D168" s="13">
        <v>20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+'7'!G170</f>
        <v>0</v>
      </c>
      <c r="D170" s="13">
        <v>10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+'7'!G179</f>
        <v>59</v>
      </c>
      <c r="D179" s="13">
        <v>0</v>
      </c>
      <c r="E179" s="12">
        <f t="shared" si="11"/>
        <v>59</v>
      </c>
      <c r="F179" s="13">
        <v>0</v>
      </c>
      <c r="G179" s="14">
        <f t="shared" si="14"/>
        <v>58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187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192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197</v>
      </c>
      <c r="C190" s="12">
        <f>+'7'!G190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+'7'!G199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+'7'!G207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6" ht="25.5">
      <c r="A209" s="10">
        <v>205</v>
      </c>
      <c r="B209" s="20" t="s">
        <v>266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6" ht="25.5">
      <c r="A210" s="10">
        <v>206</v>
      </c>
      <c r="B210" s="20" t="s">
        <v>264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6" ht="25.5">
      <c r="A211" s="10">
        <v>207</v>
      </c>
      <c r="B211" s="20" t="s">
        <v>309</v>
      </c>
      <c r="C211" s="12">
        <f>+'7'!G211</f>
        <v>2</v>
      </c>
      <c r="D211" s="13">
        <v>0</v>
      </c>
      <c r="E211" s="12">
        <f t="shared" si="17"/>
        <v>2</v>
      </c>
      <c r="F211" s="13">
        <v>0</v>
      </c>
      <c r="G211" s="14">
        <f t="shared" si="14"/>
        <v>0</v>
      </c>
      <c r="H211" s="15">
        <v>2</v>
      </c>
      <c r="I211" s="22">
        <v>50</v>
      </c>
      <c r="J211" s="17">
        <f t="shared" si="16"/>
        <v>100</v>
      </c>
      <c r="K211" s="18" t="s">
        <v>17</v>
      </c>
      <c r="L211" s="19">
        <v>0</v>
      </c>
      <c r="M211" s="24">
        <f t="shared" si="15"/>
        <v>100</v>
      </c>
    </row>
    <row r="212" spans="1:26" ht="25.5">
      <c r="A212" s="10">
        <v>208</v>
      </c>
      <c r="B212" s="20" t="s">
        <v>310</v>
      </c>
      <c r="C212" s="12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6" ht="25.5">
      <c r="A213" s="10">
        <v>209</v>
      </c>
      <c r="B213" s="20" t="s">
        <v>311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26" ht="25.5">
      <c r="A214" s="10">
        <v>210</v>
      </c>
      <c r="B214" s="20" t="s">
        <v>312</v>
      </c>
      <c r="C214" s="12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26" ht="25.5">
      <c r="A215" s="10">
        <v>211</v>
      </c>
      <c r="B215" s="20" t="s">
        <v>274</v>
      </c>
      <c r="C215" s="12">
        <f>+'7'!G215</f>
        <v>1</v>
      </c>
      <c r="D215" s="13">
        <v>0</v>
      </c>
      <c r="E215" s="12">
        <f t="shared" si="17"/>
        <v>1</v>
      </c>
      <c r="F215" s="13">
        <v>0</v>
      </c>
      <c r="G215" s="14">
        <f t="shared" si="14"/>
        <v>0</v>
      </c>
      <c r="H215" s="15">
        <v>1</v>
      </c>
      <c r="I215" s="22">
        <v>100</v>
      </c>
      <c r="J215" s="17">
        <f t="shared" si="16"/>
        <v>100</v>
      </c>
      <c r="K215" s="18" t="s">
        <v>17</v>
      </c>
      <c r="L215" s="19">
        <v>0</v>
      </c>
      <c r="M215" s="24">
        <f t="shared" si="15"/>
        <v>100</v>
      </c>
    </row>
    <row r="216" spans="1:26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54" t="s">
        <v>228</v>
      </c>
      <c r="N216" s="154"/>
    </row>
    <row r="217" spans="1:26" ht="25.5" customHeight="1">
      <c r="A217" s="1"/>
      <c r="C217" s="25"/>
      <c r="D217" s="26"/>
      <c r="E217" s="25"/>
      <c r="F217" s="26"/>
      <c r="G217" s="25"/>
      <c r="H217" s="155" t="s">
        <v>229</v>
      </c>
      <c r="I217" s="156"/>
      <c r="J217" s="31">
        <f>+X110</f>
        <v>0</v>
      </c>
      <c r="K217" s="28"/>
      <c r="L217" s="30"/>
    </row>
    <row r="218" spans="1:26" ht="25.5">
      <c r="A218" s="1"/>
      <c r="C218" s="32"/>
      <c r="E218" s="32"/>
      <c r="G218" s="32"/>
      <c r="H218" s="33"/>
      <c r="I218" s="157" t="s">
        <v>213</v>
      </c>
      <c r="J218" s="157"/>
      <c r="K218" s="34">
        <f>SUM(J5:J217)</f>
        <v>5380</v>
      </c>
    </row>
    <row r="219" spans="1:26" ht="25.5">
      <c r="A219" s="1"/>
      <c r="C219" s="32"/>
      <c r="E219" s="32"/>
      <c r="G219" s="32"/>
      <c r="I219" s="136" t="s">
        <v>214</v>
      </c>
      <c r="J219" s="137"/>
      <c r="K219" s="37">
        <v>0</v>
      </c>
    </row>
    <row r="220" spans="1:26" ht="25.5">
      <c r="A220" s="1"/>
      <c r="C220" s="32"/>
      <c r="E220" s="32"/>
      <c r="G220" s="32"/>
      <c r="I220" s="35" t="s">
        <v>215</v>
      </c>
      <c r="J220" s="36"/>
      <c r="K220" s="37">
        <f>SUM(L220:BO220)</f>
        <v>2875</v>
      </c>
      <c r="L220" s="38">
        <v>108</v>
      </c>
      <c r="M220" s="2">
        <v>245</v>
      </c>
      <c r="N220" s="2">
        <v>389</v>
      </c>
      <c r="O220" s="2">
        <v>47</v>
      </c>
      <c r="P220" s="2">
        <v>61</v>
      </c>
      <c r="Q220" s="2">
        <v>47</v>
      </c>
      <c r="R220" s="2">
        <v>260</v>
      </c>
      <c r="S220" s="2">
        <v>130</v>
      </c>
      <c r="T220" s="2">
        <v>163</v>
      </c>
      <c r="U220" s="2">
        <v>245</v>
      </c>
      <c r="V220" s="2">
        <v>500</v>
      </c>
      <c r="W220" s="2">
        <v>200</v>
      </c>
      <c r="X220" s="2">
        <v>230</v>
      </c>
      <c r="Y220" s="2">
        <v>50</v>
      </c>
      <c r="Z220" s="2">
        <v>200</v>
      </c>
    </row>
    <row r="221" spans="1:26" ht="25.5">
      <c r="A221" s="1"/>
      <c r="C221" s="32"/>
      <c r="D221" s="91"/>
      <c r="E221" s="32"/>
      <c r="G221" s="39"/>
      <c r="I221" s="136" t="s">
        <v>216</v>
      </c>
      <c r="J221" s="137"/>
      <c r="K221" s="37">
        <v>0</v>
      </c>
    </row>
    <row r="222" spans="1:26" ht="25.5">
      <c r="A222" s="1"/>
      <c r="C222" s="90"/>
      <c r="E222" s="32"/>
      <c r="G222" s="32"/>
      <c r="I222" s="136" t="s">
        <v>217</v>
      </c>
      <c r="J222" s="137"/>
      <c r="K222" s="37">
        <v>0</v>
      </c>
    </row>
    <row r="223" spans="1:26" ht="25.5">
      <c r="A223" s="1"/>
      <c r="C223" s="32"/>
      <c r="E223" s="32"/>
      <c r="G223" s="32"/>
      <c r="I223" s="136" t="s">
        <v>218</v>
      </c>
      <c r="J223" s="137"/>
      <c r="K223" s="93">
        <f>SUM(L5:L216)</f>
        <v>535</v>
      </c>
      <c r="M223" s="94" t="s">
        <v>219</v>
      </c>
      <c r="N223" s="40" t="s">
        <v>220</v>
      </c>
      <c r="O223" s="41" t="s">
        <v>221</v>
      </c>
    </row>
    <row r="224" spans="1:26" ht="25.5">
      <c r="A224" s="1"/>
      <c r="C224" s="32"/>
      <c r="E224" s="32"/>
      <c r="G224" s="32"/>
      <c r="I224" s="136" t="s">
        <v>222</v>
      </c>
      <c r="J224" s="137"/>
      <c r="K224" s="34">
        <f>K218-K219-K220-K222-K223</f>
        <v>1970</v>
      </c>
      <c r="M224" s="42"/>
      <c r="N224" s="42"/>
      <c r="O224" s="42">
        <v>420</v>
      </c>
    </row>
    <row r="225" spans="1:15" ht="25.5">
      <c r="A225" s="1"/>
      <c r="C225" s="32"/>
      <c r="E225" s="32"/>
      <c r="G225" s="32"/>
      <c r="I225" s="136" t="s">
        <v>223</v>
      </c>
      <c r="J225" s="137"/>
      <c r="K225" s="93">
        <v>1970</v>
      </c>
      <c r="M225" s="42"/>
      <c r="N225" s="42"/>
      <c r="O225" s="42"/>
    </row>
    <row r="226" spans="1:15" ht="25.5">
      <c r="A226" s="1"/>
      <c r="C226" s="32"/>
      <c r="E226" s="32"/>
      <c r="G226" s="32"/>
      <c r="I226" s="136" t="s">
        <v>224</v>
      </c>
      <c r="J226" s="137"/>
      <c r="K226" s="34">
        <f>+K225-K224</f>
        <v>0</v>
      </c>
      <c r="M226" s="42"/>
      <c r="N226" s="42"/>
      <c r="O226" s="42"/>
    </row>
    <row r="227" spans="1:15" ht="25.5">
      <c r="G227" s="2"/>
      <c r="I227" s="136" t="s">
        <v>225</v>
      </c>
      <c r="J227" s="137"/>
      <c r="K227" s="34">
        <f>+K225-K224</f>
        <v>0</v>
      </c>
      <c r="M227" s="43"/>
      <c r="N227" s="43"/>
      <c r="O227" s="43"/>
    </row>
    <row r="228" spans="1:15">
      <c r="G228" s="2"/>
      <c r="I228" s="28"/>
      <c r="M228" s="43"/>
      <c r="N228" s="43"/>
      <c r="O228" s="43"/>
    </row>
    <row r="229" spans="1:15">
      <c r="G229" s="2"/>
      <c r="I229" s="2" t="s">
        <v>276</v>
      </c>
      <c r="J229" s="2">
        <f>+K218-K223+K226</f>
        <v>4845</v>
      </c>
      <c r="M229" s="44"/>
      <c r="N229" s="44"/>
      <c r="O229" s="44"/>
    </row>
    <row r="230" spans="1:15">
      <c r="G230" s="2"/>
      <c r="I230" s="2" t="s">
        <v>277</v>
      </c>
      <c r="J230" s="2">
        <f>SUM(K219:K222)</f>
        <v>2875</v>
      </c>
      <c r="M230" s="45">
        <f>SUM(M224:M229)</f>
        <v>0</v>
      </c>
      <c r="N230" s="45">
        <f>SUM(N224:N229)</f>
        <v>0</v>
      </c>
      <c r="O230" s="45">
        <f>SUM(O224:O229)</f>
        <v>420</v>
      </c>
    </row>
    <row r="231" spans="1:15">
      <c r="G231" s="2"/>
      <c r="I231" s="2" t="s">
        <v>278</v>
      </c>
      <c r="J231" s="2">
        <f>+K225</f>
        <v>1970</v>
      </c>
      <c r="M231" s="46" t="s">
        <v>226</v>
      </c>
      <c r="N231" s="47">
        <f>N230*30/100</f>
        <v>0</v>
      </c>
      <c r="O231" s="47">
        <f>O230*30/100</f>
        <v>126</v>
      </c>
    </row>
    <row r="232" spans="1:15">
      <c r="G232" s="2"/>
      <c r="I232" s="2"/>
      <c r="M232" s="46" t="s">
        <v>227</v>
      </c>
      <c r="N232" s="47">
        <f>N231*7/100</f>
        <v>0</v>
      </c>
      <c r="O232" s="47">
        <f>O231*7/100</f>
        <v>8.82</v>
      </c>
    </row>
    <row r="233" spans="1:15">
      <c r="G233" s="2"/>
      <c r="I233" s="2"/>
      <c r="M233" s="95" t="s">
        <v>6</v>
      </c>
      <c r="N233" s="48">
        <f>N230-N231-N232</f>
        <v>0</v>
      </c>
      <c r="O233" s="48">
        <f>O230-O231-O232</f>
        <v>285.18</v>
      </c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theme="5" tint="0.79998168889431442"/>
  </sheetPr>
  <dimension ref="A1:Z302"/>
  <sheetViews>
    <sheetView zoomScale="90" zoomScaleNormal="90" zoomScalePageLayoutView="110" workbookViewId="0">
      <pane ySplit="4" topLeftCell="A210" activePane="bottomLeft" state="frozen"/>
      <selection pane="bottomLeft" activeCell="I211" sqref="I211:I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+'8'!G5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2</v>
      </c>
      <c r="H5" s="15">
        <v>4</v>
      </c>
      <c r="I5" s="16">
        <v>50</v>
      </c>
      <c r="J5" s="17">
        <f>+I5*H5</f>
        <v>200</v>
      </c>
      <c r="K5" s="18" t="s">
        <v>17</v>
      </c>
      <c r="L5" s="19">
        <v>0</v>
      </c>
      <c r="M5" s="24">
        <f>SUM(J5-L5)</f>
        <v>200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+'8'!G6</f>
        <v>60</v>
      </c>
      <c r="D6" s="13">
        <v>0</v>
      </c>
      <c r="E6" s="12">
        <f t="shared" si="0"/>
        <v>60</v>
      </c>
      <c r="F6" s="13">
        <v>0</v>
      </c>
      <c r="G6" s="14">
        <f t="shared" si="1"/>
        <v>57</v>
      </c>
      <c r="H6" s="15">
        <v>3</v>
      </c>
      <c r="I6" s="16">
        <v>100</v>
      </c>
      <c r="J6" s="17">
        <f t="shared" ref="J6:J70" si="4">+I6*H6</f>
        <v>300</v>
      </c>
      <c r="K6" s="18" t="s">
        <v>338</v>
      </c>
      <c r="L6" s="19">
        <v>200</v>
      </c>
      <c r="M6" s="24">
        <f t="shared" ref="M6:M69" si="5">SUM(J6-L6)</f>
        <v>100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+'8'!G12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6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2</v>
      </c>
      <c r="D14" s="13">
        <v>0</v>
      </c>
      <c r="E14" s="12">
        <f t="shared" si="0"/>
        <v>2</v>
      </c>
      <c r="F14" s="13">
        <v>1</v>
      </c>
      <c r="G14" s="14">
        <f t="shared" si="1"/>
        <v>0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0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0</v>
      </c>
      <c r="M19" s="24">
        <f t="shared" si="5"/>
        <v>100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4</v>
      </c>
      <c r="D22" s="13">
        <v>0</v>
      </c>
      <c r="E22" s="12">
        <f>C22+D22</f>
        <v>4</v>
      </c>
      <c r="F22" s="13">
        <v>1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28</v>
      </c>
      <c r="D23" s="13">
        <v>0</v>
      </c>
      <c r="E23" s="14">
        <f>C23+D23</f>
        <v>28</v>
      </c>
      <c r="F23" s="13">
        <v>0</v>
      </c>
      <c r="G23" s="14">
        <f t="shared" si="1"/>
        <v>27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0</v>
      </c>
      <c r="H31" s="15">
        <v>2</v>
      </c>
      <c r="I31" s="16">
        <v>100</v>
      </c>
      <c r="J31" s="17">
        <f t="shared" si="4"/>
        <v>200</v>
      </c>
      <c r="K31" s="18" t="s">
        <v>332</v>
      </c>
      <c r="L31" s="19">
        <v>100</v>
      </c>
      <c r="M31" s="24">
        <f t="shared" si="5"/>
        <v>100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+'8'!G34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4"/>
        <v>260</v>
      </c>
      <c r="K34" s="18" t="s">
        <v>332</v>
      </c>
      <c r="L34" s="19">
        <v>130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30</v>
      </c>
      <c r="D37" s="13">
        <v>0</v>
      </c>
      <c r="E37" s="12">
        <f t="shared" si="0"/>
        <v>30</v>
      </c>
      <c r="F37" s="13">
        <v>0</v>
      </c>
      <c r="G37" s="14">
        <f t="shared" si="1"/>
        <v>24</v>
      </c>
      <c r="H37" s="15">
        <v>6</v>
      </c>
      <c r="I37" s="16">
        <v>100</v>
      </c>
      <c r="J37" s="17">
        <f t="shared" si="4"/>
        <v>600</v>
      </c>
      <c r="K37" s="18" t="s">
        <v>339</v>
      </c>
      <c r="L37" s="19">
        <v>80</v>
      </c>
      <c r="M37" s="24">
        <f t="shared" si="5"/>
        <v>520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4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2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+'8'!G63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24</v>
      </c>
      <c r="D66" s="13">
        <v>0</v>
      </c>
      <c r="E66" s="12">
        <f t="shared" si="0"/>
        <v>24</v>
      </c>
      <c r="F66" s="13">
        <v>0</v>
      </c>
      <c r="G66" s="14">
        <f t="shared" si="1"/>
        <v>24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+'8'!G71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1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+'8'!G73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+'8'!G74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2</v>
      </c>
      <c r="H79" s="15">
        <v>3</v>
      </c>
      <c r="I79" s="21">
        <v>50</v>
      </c>
      <c r="J79" s="17">
        <f t="shared" si="10"/>
        <v>150</v>
      </c>
      <c r="K79" s="18" t="s">
        <v>17</v>
      </c>
      <c r="L79" s="19">
        <v>0</v>
      </c>
      <c r="M79" s="24">
        <f t="shared" si="9"/>
        <v>150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+'8'!G86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+'8'!G87</f>
        <v>18</v>
      </c>
      <c r="D87" s="13">
        <v>0</v>
      </c>
      <c r="E87" s="12">
        <f t="shared" si="0"/>
        <v>18</v>
      </c>
      <c r="F87" s="13">
        <v>0</v>
      </c>
      <c r="G87" s="14">
        <f t="shared" si="6"/>
        <v>17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+'8'!G88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7</v>
      </c>
      <c r="H88" s="15">
        <v>3</v>
      </c>
      <c r="I88" s="22">
        <v>100</v>
      </c>
      <c r="J88" s="17">
        <f t="shared" si="10"/>
        <v>300</v>
      </c>
      <c r="K88" s="18" t="s">
        <v>17</v>
      </c>
      <c r="L88" s="19">
        <v>0</v>
      </c>
      <c r="M88" s="24">
        <f t="shared" si="9"/>
        <v>300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+'8'!G92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9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+'8'!G93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+'8'!G97</f>
        <v>2</v>
      </c>
      <c r="D97" s="13">
        <v>0</v>
      </c>
      <c r="E97" s="12">
        <f t="shared" si="11"/>
        <v>2</v>
      </c>
      <c r="F97" s="13">
        <v>1</v>
      </c>
      <c r="G97" s="14">
        <f t="shared" si="6"/>
        <v>0</v>
      </c>
      <c r="H97" s="15">
        <v>1</v>
      </c>
      <c r="I97" s="22">
        <v>45</v>
      </c>
      <c r="J97" s="17">
        <f t="shared" si="10"/>
        <v>45</v>
      </c>
      <c r="K97" s="18" t="s">
        <v>340</v>
      </c>
      <c r="L97" s="19">
        <v>15</v>
      </c>
      <c r="M97" s="24">
        <f t="shared" si="9"/>
        <v>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+'8'!G101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+'8'!G102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5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+'8'!G106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+'8'!G107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+'8'!G108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+'8'!G150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+'8'!G151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+'8'!G152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8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+'8'!G153</f>
        <v>8</v>
      </c>
      <c r="D153" s="13">
        <v>0</v>
      </c>
      <c r="E153" s="12">
        <f t="shared" si="11"/>
        <v>8</v>
      </c>
      <c r="F153" s="13">
        <v>0</v>
      </c>
      <c r="G153" s="14">
        <f t="shared" ref="G153:G215" si="14">E153-F153-H153</f>
        <v>7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0</v>
      </c>
      <c r="M153" s="24">
        <f t="shared" si="12"/>
        <v>120</v>
      </c>
    </row>
    <row r="154" spans="1:13" ht="25.5">
      <c r="A154" s="10">
        <v>150</v>
      </c>
      <c r="B154" s="20" t="s">
        <v>163</v>
      </c>
      <c r="C154" s="12">
        <f>+'8'!G154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4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164</v>
      </c>
      <c r="C155" s="12">
        <f>+'8'!G155</f>
        <v>3</v>
      </c>
      <c r="D155" s="13">
        <v>0</v>
      </c>
      <c r="E155" s="12">
        <f t="shared" si="11"/>
        <v>3</v>
      </c>
      <c r="F155" s="13">
        <v>0</v>
      </c>
      <c r="G155" s="14">
        <f t="shared" si="14"/>
        <v>1</v>
      </c>
      <c r="H155" s="15">
        <v>2</v>
      </c>
      <c r="I155" s="22">
        <v>185</v>
      </c>
      <c r="J155" s="17">
        <f t="shared" si="13"/>
        <v>370</v>
      </c>
      <c r="K155" s="18" t="s">
        <v>291</v>
      </c>
      <c r="L155" s="19">
        <v>30</v>
      </c>
      <c r="M155" s="24">
        <f t="shared" si="12"/>
        <v>340</v>
      </c>
    </row>
    <row r="156" spans="1:13" ht="25.5">
      <c r="A156" s="10">
        <v>152</v>
      </c>
      <c r="B156" s="20" t="s">
        <v>165</v>
      </c>
      <c r="C156" s="12">
        <f>+'8'!G156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+'8'!G157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+'8'!G161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2</v>
      </c>
      <c r="H162" s="15">
        <v>1</v>
      </c>
      <c r="I162" s="22">
        <v>90</v>
      </c>
      <c r="J162" s="17">
        <f t="shared" si="13"/>
        <v>90</v>
      </c>
      <c r="K162" s="18" t="s">
        <v>17</v>
      </c>
      <c r="L162" s="19">
        <v>0</v>
      </c>
      <c r="M162" s="24">
        <f t="shared" si="12"/>
        <v>90</v>
      </c>
    </row>
    <row r="163" spans="1:13" ht="25.5">
      <c r="A163" s="10">
        <v>159</v>
      </c>
      <c r="B163" s="20" t="s">
        <v>263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+'8'!G164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3</v>
      </c>
      <c r="H164" s="15">
        <v>2</v>
      </c>
      <c r="I164" s="22">
        <v>50</v>
      </c>
      <c r="J164" s="17">
        <f t="shared" si="13"/>
        <v>100</v>
      </c>
      <c r="K164" s="18" t="s">
        <v>330</v>
      </c>
      <c r="L164" s="19">
        <v>50</v>
      </c>
      <c r="M164" s="24">
        <f t="shared" si="12"/>
        <v>50</v>
      </c>
    </row>
    <row r="165" spans="1:13" ht="25.5">
      <c r="A165" s="10">
        <v>161</v>
      </c>
      <c r="B165" s="20" t="s">
        <v>172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+'8'!G168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+'8'!G170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+'8'!G179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192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+'8'!G199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+'8'!G207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0">
        <v>207</v>
      </c>
      <c r="B211" s="20" t="s">
        <v>309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10">
        <v>208</v>
      </c>
      <c r="B212" s="20" t="s">
        <v>310</v>
      </c>
      <c r="C212" s="12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0">
        <v>209</v>
      </c>
      <c r="B213" s="20" t="s">
        <v>311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5" ht="25.5">
      <c r="A214" s="10">
        <v>210</v>
      </c>
      <c r="B214" s="20" t="s">
        <v>312</v>
      </c>
      <c r="C214" s="12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5" ht="25.5">
      <c r="A215" s="10">
        <v>211</v>
      </c>
      <c r="B215" s="20" t="s">
        <v>274</v>
      </c>
      <c r="C215" s="12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5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54" t="s">
        <v>228</v>
      </c>
      <c r="N216" s="154"/>
    </row>
    <row r="217" spans="1:15" ht="25.5" customHeight="1">
      <c r="A217" s="1"/>
      <c r="C217" s="25"/>
      <c r="D217" s="26"/>
      <c r="E217" s="25"/>
      <c r="F217" s="26"/>
      <c r="G217" s="25"/>
      <c r="H217" s="155" t="s">
        <v>229</v>
      </c>
      <c r="I217" s="156"/>
      <c r="J217" s="31">
        <f>+X110</f>
        <v>0</v>
      </c>
      <c r="K217" s="28"/>
      <c r="L217" s="30"/>
    </row>
    <row r="218" spans="1:15" ht="25.5">
      <c r="A218" s="1"/>
      <c r="C218" s="32"/>
      <c r="E218" s="32"/>
      <c r="G218" s="32"/>
      <c r="H218" s="33"/>
      <c r="I218" s="157" t="s">
        <v>213</v>
      </c>
      <c r="J218" s="157"/>
      <c r="K218" s="34">
        <f>SUM(J5:J217)</f>
        <v>4145</v>
      </c>
    </row>
    <row r="219" spans="1:15" ht="25.5">
      <c r="A219" s="1"/>
      <c r="C219" s="32"/>
      <c r="E219" s="32"/>
      <c r="G219" s="32"/>
      <c r="I219" s="136" t="s">
        <v>214</v>
      </c>
      <c r="J219" s="137"/>
      <c r="K219" s="37">
        <v>0</v>
      </c>
    </row>
    <row r="220" spans="1:15" ht="25.5">
      <c r="A220" s="1"/>
      <c r="C220" s="32"/>
      <c r="E220" s="32"/>
      <c r="G220" s="32"/>
      <c r="I220" s="35" t="s">
        <v>215</v>
      </c>
      <c r="J220" s="36"/>
      <c r="K220" s="37">
        <f>SUM(L220:BO220)</f>
        <v>690</v>
      </c>
      <c r="L220" s="38">
        <v>100</v>
      </c>
      <c r="M220" s="2">
        <v>200</v>
      </c>
      <c r="N220" s="2">
        <v>290</v>
      </c>
      <c r="O220" s="2">
        <v>100</v>
      </c>
    </row>
    <row r="221" spans="1:15" ht="25.5">
      <c r="A221" s="1"/>
      <c r="C221" s="32"/>
      <c r="D221" s="91"/>
      <c r="E221" s="32"/>
      <c r="G221" s="39"/>
      <c r="I221" s="136" t="s">
        <v>216</v>
      </c>
      <c r="J221" s="137"/>
      <c r="K221" s="37">
        <v>0</v>
      </c>
    </row>
    <row r="222" spans="1:15" ht="25.5">
      <c r="A222" s="1"/>
      <c r="C222" s="90"/>
      <c r="E222" s="32"/>
      <c r="G222" s="32"/>
      <c r="I222" s="136" t="s">
        <v>217</v>
      </c>
      <c r="J222" s="137"/>
      <c r="K222" s="37">
        <v>0</v>
      </c>
    </row>
    <row r="223" spans="1:15" ht="25.5">
      <c r="A223" s="1"/>
      <c r="C223" s="32"/>
      <c r="E223" s="32"/>
      <c r="G223" s="32"/>
      <c r="I223" s="136" t="s">
        <v>218</v>
      </c>
      <c r="J223" s="137"/>
      <c r="K223" s="93">
        <f>SUM(L5:L216)</f>
        <v>605</v>
      </c>
      <c r="M223" s="94" t="s">
        <v>219</v>
      </c>
      <c r="N223" s="40" t="s">
        <v>220</v>
      </c>
      <c r="O223" s="41" t="s">
        <v>221</v>
      </c>
    </row>
    <row r="224" spans="1:15" ht="25.5">
      <c r="A224" s="1"/>
      <c r="C224" s="32"/>
      <c r="E224" s="32"/>
      <c r="G224" s="32"/>
      <c r="I224" s="136" t="s">
        <v>222</v>
      </c>
      <c r="J224" s="137"/>
      <c r="K224" s="34">
        <f>K218-K219-K220-K222-K223</f>
        <v>2850</v>
      </c>
      <c r="M224" s="42"/>
      <c r="N224" s="42"/>
      <c r="O224" s="42">
        <v>200</v>
      </c>
    </row>
    <row r="225" spans="1:15" ht="25.5">
      <c r="A225" s="1"/>
      <c r="C225" s="32"/>
      <c r="E225" s="32"/>
      <c r="G225" s="32"/>
      <c r="I225" s="136" t="s">
        <v>223</v>
      </c>
      <c r="J225" s="137"/>
      <c r="K225" s="93">
        <v>2850</v>
      </c>
      <c r="M225" s="42"/>
      <c r="N225" s="42"/>
      <c r="O225" s="42"/>
    </row>
    <row r="226" spans="1:15" ht="25.5">
      <c r="A226" s="1"/>
      <c r="C226" s="32"/>
      <c r="E226" s="32"/>
      <c r="G226" s="32"/>
      <c r="I226" s="136" t="s">
        <v>224</v>
      </c>
      <c r="J226" s="137"/>
      <c r="K226" s="34">
        <f>+K225-K224</f>
        <v>0</v>
      </c>
      <c r="M226" s="42"/>
      <c r="N226" s="42"/>
      <c r="O226" s="42"/>
    </row>
    <row r="227" spans="1:15" ht="25.5">
      <c r="G227" s="2"/>
      <c r="I227" s="136" t="s">
        <v>225</v>
      </c>
      <c r="J227" s="137"/>
      <c r="K227" s="34">
        <f>+K225-K224</f>
        <v>0</v>
      </c>
      <c r="M227" s="43"/>
      <c r="N227" s="43"/>
      <c r="O227" s="43"/>
    </row>
    <row r="228" spans="1:15">
      <c r="G228" s="2"/>
      <c r="I228" s="28"/>
      <c r="M228" s="43"/>
      <c r="N228" s="43"/>
      <c r="O228" s="43"/>
    </row>
    <row r="229" spans="1:15">
      <c r="G229" s="2"/>
      <c r="I229" s="2" t="s">
        <v>276</v>
      </c>
      <c r="J229" s="2">
        <f>+K218-K223+K226</f>
        <v>3540</v>
      </c>
      <c r="M229" s="44"/>
      <c r="N229" s="44"/>
      <c r="O229" s="44"/>
    </row>
    <row r="230" spans="1:15">
      <c r="G230" s="2"/>
      <c r="I230" s="2" t="s">
        <v>277</v>
      </c>
      <c r="J230" s="2">
        <f>SUM(K219:K222)</f>
        <v>690</v>
      </c>
      <c r="M230" s="45">
        <f>SUM(M224:M229)</f>
        <v>0</v>
      </c>
      <c r="N230" s="45">
        <f>SUM(N224:N229)</f>
        <v>0</v>
      </c>
      <c r="O230" s="45">
        <f>SUM(O224:O229)</f>
        <v>200</v>
      </c>
    </row>
    <row r="231" spans="1:15">
      <c r="G231" s="2"/>
      <c r="I231" s="2" t="s">
        <v>278</v>
      </c>
      <c r="J231" s="2">
        <f>+K225</f>
        <v>2850</v>
      </c>
      <c r="M231" s="46" t="s">
        <v>226</v>
      </c>
      <c r="N231" s="47">
        <f>N230*30/100</f>
        <v>0</v>
      </c>
      <c r="O231" s="47">
        <f>O230*30/100</f>
        <v>60</v>
      </c>
    </row>
    <row r="232" spans="1:15">
      <c r="G232" s="2"/>
      <c r="I232" s="2"/>
      <c r="M232" s="46" t="s">
        <v>227</v>
      </c>
      <c r="N232" s="47">
        <f>N231*7/100</f>
        <v>0</v>
      </c>
      <c r="O232" s="47">
        <f>O231*7/100</f>
        <v>4.2</v>
      </c>
    </row>
    <row r="233" spans="1:15">
      <c r="G233" s="2"/>
      <c r="I233" s="2"/>
      <c r="M233" s="95" t="s">
        <v>6</v>
      </c>
      <c r="N233" s="48">
        <f>N230-N231-N232</f>
        <v>0</v>
      </c>
      <c r="O233" s="48">
        <f>O230-O231-O232</f>
        <v>135.80000000000001</v>
      </c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theme="5" tint="0.79998168889431442"/>
  </sheetPr>
  <dimension ref="A1:Z302"/>
  <sheetViews>
    <sheetView topLeftCell="A211" zoomScaleNormal="100" zoomScalePageLayoutView="110" workbookViewId="0">
      <selection activeCell="I211" sqref="I211:I21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7.5703125" style="2" bestFit="1" customWidth="1"/>
    <col min="11" max="11" width="13.42578125" style="2" bestFit="1" customWidth="1"/>
    <col min="12" max="12" width="6.7109375" style="2" bestFit="1" customWidth="1"/>
    <col min="13" max="13" width="7.57031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+'9'!G5</f>
        <v>2</v>
      </c>
      <c r="D5" s="13">
        <v>0</v>
      </c>
      <c r="E5" s="12">
        <f t="shared" ref="E5:E94" si="0">C5+D5</f>
        <v>2</v>
      </c>
      <c r="F5" s="13">
        <v>0</v>
      </c>
      <c r="G5" s="14">
        <f t="shared" ref="G5:G68" si="1">E5-F5-H5</f>
        <v>1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+'9'!G6</f>
        <v>57</v>
      </c>
      <c r="D6" s="13">
        <v>0</v>
      </c>
      <c r="E6" s="12">
        <f t="shared" si="0"/>
        <v>57</v>
      </c>
      <c r="F6" s="13">
        <v>0</v>
      </c>
      <c r="G6" s="14">
        <f t="shared" si="1"/>
        <v>51</v>
      </c>
      <c r="H6" s="15">
        <v>6</v>
      </c>
      <c r="I6" s="16">
        <v>100</v>
      </c>
      <c r="J6" s="17">
        <f t="shared" ref="J6:J70" si="4">+I6*H6</f>
        <v>600</v>
      </c>
      <c r="K6" s="18" t="s">
        <v>17</v>
      </c>
      <c r="L6" s="19">
        <v>0</v>
      </c>
      <c r="M6" s="24">
        <f t="shared" ref="M6:M69" si="5">SUM(J6-L6)</f>
        <v>600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+'9'!G12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6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2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26</v>
      </c>
      <c r="H23" s="15">
        <v>1</v>
      </c>
      <c r="I23" s="16">
        <v>100</v>
      </c>
      <c r="J23" s="17">
        <f t="shared" si="4"/>
        <v>100</v>
      </c>
      <c r="K23" s="18" t="s">
        <v>296</v>
      </c>
      <c r="L23" s="19">
        <v>100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+'9'!G34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24">
        <f t="shared" si="5"/>
        <v>390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7">
        <f t="shared" si="4"/>
        <v>260</v>
      </c>
      <c r="K35" s="18" t="s">
        <v>271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24</v>
      </c>
      <c r="D37" s="13">
        <v>0</v>
      </c>
      <c r="E37" s="12">
        <f t="shared" si="0"/>
        <v>24</v>
      </c>
      <c r="F37" s="13">
        <v>0</v>
      </c>
      <c r="G37" s="14">
        <f t="shared" si="1"/>
        <v>22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271</v>
      </c>
      <c r="L38" s="19">
        <v>25</v>
      </c>
      <c r="M38" s="24">
        <f t="shared" si="5"/>
        <v>25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0</v>
      </c>
      <c r="H39" s="15">
        <v>4</v>
      </c>
      <c r="I39" s="16">
        <v>50</v>
      </c>
      <c r="J39" s="17">
        <f t="shared" si="4"/>
        <v>200</v>
      </c>
      <c r="K39" s="18" t="s">
        <v>271</v>
      </c>
      <c r="L39" s="19">
        <v>100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4"/>
        <v>50</v>
      </c>
      <c r="K40" s="18" t="s">
        <v>271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1</v>
      </c>
      <c r="H42" s="15">
        <v>1</v>
      </c>
      <c r="I42" s="16">
        <v>50</v>
      </c>
      <c r="J42" s="17">
        <f t="shared" si="4"/>
        <v>50</v>
      </c>
      <c r="K42" s="18" t="s">
        <v>296</v>
      </c>
      <c r="L42" s="19">
        <v>50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17">
        <f t="shared" si="4"/>
        <v>120</v>
      </c>
      <c r="K50" s="18" t="s">
        <v>296</v>
      </c>
      <c r="L50" s="19">
        <v>120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3</v>
      </c>
      <c r="H61" s="15">
        <v>2</v>
      </c>
      <c r="I61" s="16">
        <v>50</v>
      </c>
      <c r="J61" s="17">
        <f t="shared" si="4"/>
        <v>100</v>
      </c>
      <c r="K61" s="18" t="s">
        <v>17</v>
      </c>
      <c r="L61" s="19">
        <v>0</v>
      </c>
      <c r="M61" s="24">
        <f t="shared" si="5"/>
        <v>100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17">
        <f t="shared" si="4"/>
        <v>50</v>
      </c>
      <c r="K62" s="18" t="s">
        <v>17</v>
      </c>
      <c r="L62" s="19">
        <v>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+'9'!G63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24</v>
      </c>
      <c r="D66" s="13">
        <v>0</v>
      </c>
      <c r="E66" s="12">
        <f t="shared" si="0"/>
        <v>24</v>
      </c>
      <c r="F66" s="13">
        <v>0</v>
      </c>
      <c r="G66" s="14">
        <f t="shared" si="1"/>
        <v>24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3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+'9'!G71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+'9'!G73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+'9'!G74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+'9'!G79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+'9'!G86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+'9'!G87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+'9'!G88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7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+'9'!G92</f>
        <v>9</v>
      </c>
      <c r="D92" s="13">
        <v>0</v>
      </c>
      <c r="E92" s="12">
        <f t="shared" si="0"/>
        <v>9</v>
      </c>
      <c r="F92" s="13">
        <v>0</v>
      </c>
      <c r="G92" s="14">
        <f t="shared" si="6"/>
        <v>8</v>
      </c>
      <c r="H92" s="15">
        <v>1</v>
      </c>
      <c r="I92" s="21">
        <v>120</v>
      </c>
      <c r="J92" s="17">
        <f t="shared" si="10"/>
        <v>120</v>
      </c>
      <c r="K92" s="18" t="s">
        <v>341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+'9'!G93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+'9'!G97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+'9'!G101</f>
        <v>0</v>
      </c>
      <c r="D101" s="13">
        <v>20</v>
      </c>
      <c r="E101" s="12">
        <f t="shared" si="11"/>
        <v>20</v>
      </c>
      <c r="F101" s="13">
        <v>0</v>
      </c>
      <c r="G101" s="14">
        <f t="shared" si="6"/>
        <v>20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+'9'!G102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+'9'!G107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+'9'!G150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+'9'!G151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+'9'!G152</f>
        <v>8</v>
      </c>
      <c r="D152" s="13">
        <v>0</v>
      </c>
      <c r="E152" s="12">
        <f t="shared" si="11"/>
        <v>8</v>
      </c>
      <c r="F152" s="13">
        <v>0</v>
      </c>
      <c r="G152" s="14">
        <f t="shared" si="6"/>
        <v>7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162</v>
      </c>
      <c r="C153" s="12">
        <f>+'9'!G153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5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+'9'!G154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+'9'!G155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+'9'!G156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+'9'!G157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+'9'!G161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+'9'!G164</f>
        <v>3</v>
      </c>
      <c r="D164" s="13">
        <v>0</v>
      </c>
      <c r="E164" s="12">
        <f t="shared" si="11"/>
        <v>3</v>
      </c>
      <c r="F164" s="13">
        <v>0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+'9'!G168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+'9'!G170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+'9'!G179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192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135</v>
      </c>
      <c r="K189" s="18" t="s">
        <v>17</v>
      </c>
      <c r="L189" s="19">
        <v>0</v>
      </c>
      <c r="M189" s="24">
        <f t="shared" si="12"/>
        <v>135</v>
      </c>
    </row>
    <row r="190" spans="1:13" ht="25.5">
      <c r="A190" s="10">
        <v>186</v>
      </c>
      <c r="B190" s="20" t="s">
        <v>197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>+I190*H190</f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+'9'!G199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+'9'!G207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>
      <c r="A209" s="10">
        <v>205</v>
      </c>
      <c r="B209" s="20" t="s">
        <v>266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>
      <c r="A210" s="10">
        <v>206</v>
      </c>
      <c r="B210" s="20" t="s">
        <v>264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>
      <c r="A211" s="10">
        <v>207</v>
      </c>
      <c r="B211" s="20" t="s">
        <v>309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7" ht="25.5">
      <c r="A212" s="10">
        <v>208</v>
      </c>
      <c r="B212" s="20" t="s">
        <v>310</v>
      </c>
      <c r="C212" s="12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7" ht="25.5">
      <c r="A213" s="10">
        <v>209</v>
      </c>
      <c r="B213" s="20" t="s">
        <v>311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7" ht="25.5">
      <c r="A214" s="10">
        <v>210</v>
      </c>
      <c r="B214" s="20" t="s">
        <v>312</v>
      </c>
      <c r="C214" s="12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7" ht="25.5">
      <c r="A215" s="10">
        <v>211</v>
      </c>
      <c r="B215" s="20" t="s">
        <v>274</v>
      </c>
      <c r="C215" s="12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7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54" t="s">
        <v>228</v>
      </c>
      <c r="N216" s="154"/>
    </row>
    <row r="217" spans="1:17" ht="25.5" customHeight="1">
      <c r="A217" s="1"/>
      <c r="C217" s="25"/>
      <c r="D217" s="26"/>
      <c r="E217" s="25"/>
      <c r="F217" s="26"/>
      <c r="G217" s="25"/>
      <c r="H217" s="155" t="s">
        <v>229</v>
      </c>
      <c r="I217" s="156"/>
      <c r="J217" s="31">
        <f>+X110</f>
        <v>0</v>
      </c>
      <c r="K217" s="28"/>
      <c r="L217" s="30"/>
    </row>
    <row r="218" spans="1:17" ht="25.5">
      <c r="A218" s="1"/>
      <c r="C218" s="32"/>
      <c r="E218" s="32"/>
      <c r="G218" s="32"/>
      <c r="H218" s="33"/>
      <c r="I218" s="157" t="s">
        <v>213</v>
      </c>
      <c r="J218" s="157"/>
      <c r="K218" s="34">
        <f>SUM(J5:J217)</f>
        <v>2950</v>
      </c>
    </row>
    <row r="219" spans="1:17" ht="25.5">
      <c r="A219" s="1"/>
      <c r="C219" s="32"/>
      <c r="E219" s="32"/>
      <c r="G219" s="32"/>
      <c r="I219" s="136" t="s">
        <v>214</v>
      </c>
      <c r="J219" s="137"/>
      <c r="K219" s="37">
        <v>0</v>
      </c>
    </row>
    <row r="220" spans="1:17" ht="25.5">
      <c r="A220" s="1"/>
      <c r="C220" s="32"/>
      <c r="E220" s="32"/>
      <c r="G220" s="32"/>
      <c r="I220" s="35" t="s">
        <v>215</v>
      </c>
      <c r="J220" s="36"/>
      <c r="K220" s="37">
        <f>SUM(L220:BO220)</f>
        <v>1580</v>
      </c>
      <c r="L220" s="38">
        <v>75</v>
      </c>
      <c r="M220" s="2">
        <v>50</v>
      </c>
      <c r="N220" s="2">
        <v>525</v>
      </c>
      <c r="O220" s="2">
        <v>200</v>
      </c>
      <c r="P220" s="2">
        <v>430</v>
      </c>
      <c r="Q220" s="2">
        <v>300</v>
      </c>
    </row>
    <row r="221" spans="1:17" ht="25.5">
      <c r="A221" s="1"/>
      <c r="C221" s="32"/>
      <c r="D221" s="91"/>
      <c r="E221" s="32"/>
      <c r="G221" s="39"/>
      <c r="I221" s="136" t="s">
        <v>216</v>
      </c>
      <c r="J221" s="137"/>
      <c r="K221" s="37">
        <v>0</v>
      </c>
    </row>
    <row r="222" spans="1:17" ht="25.5">
      <c r="A222" s="1"/>
      <c r="C222" s="90"/>
      <c r="E222" s="32"/>
      <c r="G222" s="32"/>
      <c r="I222" s="136" t="s">
        <v>217</v>
      </c>
      <c r="J222" s="137"/>
      <c r="K222" s="37">
        <v>0</v>
      </c>
    </row>
    <row r="223" spans="1:17" ht="25.5">
      <c r="A223" s="1"/>
      <c r="C223" s="32"/>
      <c r="E223" s="32"/>
      <c r="G223" s="32"/>
      <c r="I223" s="136" t="s">
        <v>218</v>
      </c>
      <c r="J223" s="137"/>
      <c r="K223" s="93">
        <f>SUM(L5:L216)</f>
        <v>562</v>
      </c>
      <c r="M223" s="94" t="s">
        <v>219</v>
      </c>
      <c r="N223" s="40" t="s">
        <v>220</v>
      </c>
      <c r="O223" s="41" t="s">
        <v>221</v>
      </c>
    </row>
    <row r="224" spans="1:17" ht="25.5">
      <c r="A224" s="1"/>
      <c r="C224" s="32"/>
      <c r="E224" s="32"/>
      <c r="G224" s="32"/>
      <c r="I224" s="136" t="s">
        <v>222</v>
      </c>
      <c r="J224" s="137"/>
      <c r="K224" s="34">
        <f>K218-K219-K220-K222-K223</f>
        <v>808</v>
      </c>
      <c r="M224" s="42"/>
      <c r="N224" s="42"/>
      <c r="O224" s="42">
        <v>190</v>
      </c>
    </row>
    <row r="225" spans="1:15" ht="25.5">
      <c r="A225" s="1"/>
      <c r="C225" s="32"/>
      <c r="E225" s="32"/>
      <c r="G225" s="32"/>
      <c r="I225" s="136" t="s">
        <v>223</v>
      </c>
      <c r="J225" s="137"/>
      <c r="K225" s="93">
        <v>808</v>
      </c>
      <c r="M225" s="42"/>
      <c r="N225" s="42"/>
      <c r="O225" s="42">
        <v>100</v>
      </c>
    </row>
    <row r="226" spans="1:15" ht="25.5">
      <c r="A226" s="1"/>
      <c r="C226" s="32"/>
      <c r="E226" s="32"/>
      <c r="G226" s="32"/>
      <c r="I226" s="136" t="s">
        <v>224</v>
      </c>
      <c r="J226" s="137"/>
      <c r="K226" s="34">
        <f>+K225-K224</f>
        <v>0</v>
      </c>
      <c r="M226" s="42"/>
      <c r="N226" s="42"/>
      <c r="O226" s="42"/>
    </row>
    <row r="227" spans="1:15" ht="25.5">
      <c r="G227" s="2"/>
      <c r="I227" s="136" t="s">
        <v>225</v>
      </c>
      <c r="J227" s="137"/>
      <c r="K227" s="34">
        <f>+K225-K224</f>
        <v>0</v>
      </c>
      <c r="M227" s="43"/>
      <c r="N227" s="43"/>
      <c r="O227" s="43"/>
    </row>
    <row r="228" spans="1:15">
      <c r="G228" s="2"/>
      <c r="I228" s="28"/>
      <c r="M228" s="43"/>
      <c r="N228" s="43"/>
      <c r="O228" s="43"/>
    </row>
    <row r="229" spans="1:15">
      <c r="G229" s="2"/>
      <c r="I229" s="2" t="s">
        <v>276</v>
      </c>
      <c r="J229" s="2">
        <f>+K218-K223+K226</f>
        <v>2388</v>
      </c>
      <c r="M229" s="44"/>
      <c r="N229" s="44"/>
      <c r="O229" s="44"/>
    </row>
    <row r="230" spans="1:15">
      <c r="G230" s="2"/>
      <c r="I230" s="2" t="s">
        <v>277</v>
      </c>
      <c r="J230" s="2">
        <f>SUM(K219:K222)</f>
        <v>1580</v>
      </c>
      <c r="M230" s="45">
        <f>SUM(M224:M229)</f>
        <v>0</v>
      </c>
      <c r="N230" s="45">
        <f>SUM(N224:N229)</f>
        <v>0</v>
      </c>
      <c r="O230" s="45">
        <f>SUM(O224:O229)</f>
        <v>290</v>
      </c>
    </row>
    <row r="231" spans="1:15">
      <c r="G231" s="2"/>
      <c r="I231" s="2" t="s">
        <v>278</v>
      </c>
      <c r="J231" s="2">
        <f>+K225</f>
        <v>808</v>
      </c>
      <c r="M231" s="46" t="s">
        <v>226</v>
      </c>
      <c r="N231" s="47">
        <f>N230*30/100</f>
        <v>0</v>
      </c>
      <c r="O231" s="47">
        <f>O230*30/100</f>
        <v>87</v>
      </c>
    </row>
    <row r="232" spans="1:15">
      <c r="G232" s="2"/>
      <c r="I232" s="2"/>
      <c r="M232" s="46" t="s">
        <v>227</v>
      </c>
      <c r="N232" s="47">
        <f>N231*7/100</f>
        <v>0</v>
      </c>
      <c r="O232" s="47">
        <f>O231*7/100</f>
        <v>6.09</v>
      </c>
    </row>
    <row r="233" spans="1:15">
      <c r="G233" s="2"/>
      <c r="I233" s="2"/>
      <c r="M233" s="95" t="s">
        <v>6</v>
      </c>
      <c r="N233" s="48">
        <f>N230-N231-N232</f>
        <v>0</v>
      </c>
      <c r="O233" s="48">
        <f>O230-O231-O232</f>
        <v>196.91</v>
      </c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theme="5" tint="0.79998168889431442"/>
  </sheetPr>
  <dimension ref="A1:Z302"/>
  <sheetViews>
    <sheetView zoomScaleNormal="100" zoomScalePageLayoutView="110" workbookViewId="0">
      <pane ySplit="4" topLeftCell="A219" activePane="bottomLeft" state="frozen"/>
      <selection pane="bottomLeft" activeCell="I211" sqref="I211:I21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+'10'!G5</f>
        <v>1</v>
      </c>
      <c r="D5" s="13">
        <v>0</v>
      </c>
      <c r="E5" s="12">
        <f t="shared" ref="E5:E94" si="0">C5+D5</f>
        <v>1</v>
      </c>
      <c r="F5" s="13">
        <v>0</v>
      </c>
      <c r="G5" s="14">
        <f t="shared" ref="G5:G68" si="1">E5-F5-H5</f>
        <v>0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+'10'!G6</f>
        <v>51</v>
      </c>
      <c r="D6" s="13">
        <v>0</v>
      </c>
      <c r="E6" s="12">
        <f t="shared" si="0"/>
        <v>51</v>
      </c>
      <c r="F6" s="13">
        <v>0</v>
      </c>
      <c r="G6" s="14">
        <f t="shared" si="1"/>
        <v>49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>
        <v>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+'10'!G12</f>
        <v>6</v>
      </c>
      <c r="D12" s="13">
        <v>0</v>
      </c>
      <c r="E12" s="12">
        <f>C12+D12</f>
        <v>6</v>
      </c>
      <c r="F12" s="13">
        <v>0</v>
      </c>
      <c r="G12" s="14">
        <f>E12-F12-H12</f>
        <v>3</v>
      </c>
      <c r="H12" s="15">
        <v>3</v>
      </c>
      <c r="I12" s="22">
        <v>50</v>
      </c>
      <c r="J12" s="17">
        <f t="shared" si="4"/>
        <v>150</v>
      </c>
      <c r="K12" s="18" t="s">
        <v>331</v>
      </c>
      <c r="L12" s="19">
        <v>2.5</v>
      </c>
      <c r="M12" s="24">
        <f t="shared" si="5"/>
        <v>147.5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0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21</v>
      </c>
      <c r="H23" s="15">
        <v>5</v>
      </c>
      <c r="I23" s="16">
        <v>100</v>
      </c>
      <c r="J23" s="17">
        <f t="shared" si="4"/>
        <v>500</v>
      </c>
      <c r="K23" s="18" t="s">
        <v>17</v>
      </c>
      <c r="L23" s="19">
        <v>0</v>
      </c>
      <c r="M23" s="24">
        <f t="shared" si="5"/>
        <v>500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1</v>
      </c>
      <c r="H29" s="15">
        <v>4</v>
      </c>
      <c r="I29" s="16">
        <v>100</v>
      </c>
      <c r="J29" s="17">
        <f t="shared" si="4"/>
        <v>400</v>
      </c>
      <c r="K29" s="18" t="s">
        <v>342</v>
      </c>
      <c r="L29" s="19">
        <v>10</v>
      </c>
      <c r="M29" s="24">
        <f t="shared" si="5"/>
        <v>390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+'10'!G34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17">
        <f t="shared" si="4"/>
        <v>390</v>
      </c>
      <c r="K35" s="18" t="s">
        <v>317</v>
      </c>
      <c r="L35" s="19">
        <v>130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22</v>
      </c>
      <c r="D37" s="13">
        <v>0</v>
      </c>
      <c r="E37" s="12">
        <f t="shared" si="0"/>
        <v>22</v>
      </c>
      <c r="F37" s="13">
        <v>0</v>
      </c>
      <c r="G37" s="14">
        <f t="shared" si="1"/>
        <v>17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17">
        <f t="shared" si="4"/>
        <v>100</v>
      </c>
      <c r="K40" s="18" t="s">
        <v>332</v>
      </c>
      <c r="L40" s="19">
        <v>50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1</v>
      </c>
      <c r="H44" s="15">
        <v>2</v>
      </c>
      <c r="I44" s="16">
        <v>50</v>
      </c>
      <c r="J44" s="17">
        <f t="shared" si="4"/>
        <v>100</v>
      </c>
      <c r="K44" s="18" t="s">
        <v>338</v>
      </c>
      <c r="L44" s="19">
        <v>100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331</v>
      </c>
      <c r="L46" s="19">
        <v>2.5</v>
      </c>
      <c r="M46" s="24">
        <f t="shared" si="5"/>
        <v>97.5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0</v>
      </c>
      <c r="H48" s="15">
        <v>1</v>
      </c>
      <c r="I48" s="16">
        <v>50</v>
      </c>
      <c r="J48" s="17">
        <f t="shared" si="4"/>
        <v>50</v>
      </c>
      <c r="K48" s="18" t="s">
        <v>317</v>
      </c>
      <c r="L48" s="19">
        <v>50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17">
        <f t="shared" si="4"/>
        <v>50</v>
      </c>
      <c r="K49" s="18" t="s">
        <v>317</v>
      </c>
      <c r="L49" s="19">
        <v>50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4">
        <f t="shared" si="1"/>
        <v>1</v>
      </c>
      <c r="H54" s="15">
        <v>1</v>
      </c>
      <c r="I54" s="16">
        <v>120</v>
      </c>
      <c r="J54" s="17">
        <f t="shared" si="4"/>
        <v>120</v>
      </c>
      <c r="K54" s="18" t="s">
        <v>17</v>
      </c>
      <c r="L54" s="19">
        <v>0</v>
      </c>
      <c r="M54" s="24">
        <f t="shared" si="5"/>
        <v>120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2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+'10'!G62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17">
        <f t="shared" si="4"/>
        <v>50</v>
      </c>
      <c r="K62" s="18" t="s">
        <v>343</v>
      </c>
      <c r="L62" s="19">
        <v>10</v>
      </c>
      <c r="M62" s="24">
        <f t="shared" si="5"/>
        <v>40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+'10'!G63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3</v>
      </c>
      <c r="H63" s="15">
        <v>1</v>
      </c>
      <c r="I63" s="22">
        <v>50</v>
      </c>
      <c r="J63" s="17">
        <f t="shared" si="4"/>
        <v>50</v>
      </c>
      <c r="K63" s="18" t="s">
        <v>317</v>
      </c>
      <c r="L63" s="19">
        <v>50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24</v>
      </c>
      <c r="D66" s="13">
        <v>0</v>
      </c>
      <c r="E66" s="12">
        <f t="shared" si="0"/>
        <v>24</v>
      </c>
      <c r="F66" s="13">
        <v>0</v>
      </c>
      <c r="G66" s="14">
        <f t="shared" si="1"/>
        <v>23</v>
      </c>
      <c r="H66" s="15">
        <v>1</v>
      </c>
      <c r="I66" s="16">
        <v>50</v>
      </c>
      <c r="J66" s="17">
        <f t="shared" si="4"/>
        <v>50</v>
      </c>
      <c r="K66" s="18" t="s">
        <v>343</v>
      </c>
      <c r="L66" s="19">
        <v>10</v>
      </c>
      <c r="M66" s="24">
        <f t="shared" si="5"/>
        <v>40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8</v>
      </c>
      <c r="H67" s="15">
        <v>3</v>
      </c>
      <c r="I67" s="16">
        <v>50</v>
      </c>
      <c r="J67" s="17">
        <f t="shared" si="4"/>
        <v>150</v>
      </c>
      <c r="K67" s="18" t="s">
        <v>343</v>
      </c>
      <c r="L67" s="19">
        <v>30</v>
      </c>
      <c r="M67" s="24">
        <f t="shared" si="5"/>
        <v>120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+'10'!G70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1</v>
      </c>
      <c r="H70" s="15">
        <v>2</v>
      </c>
      <c r="I70" s="22">
        <v>50</v>
      </c>
      <c r="J70" s="17">
        <f t="shared" si="4"/>
        <v>100</v>
      </c>
      <c r="K70" s="18" t="s">
        <v>317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+'10'!G71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0</v>
      </c>
      <c r="H71" s="15">
        <v>1</v>
      </c>
      <c r="I71" s="22">
        <v>60</v>
      </c>
      <c r="J71" s="17">
        <f t="shared" ref="J71:J134" si="10">+I71*H71</f>
        <v>60</v>
      </c>
      <c r="K71" s="18" t="s">
        <v>296</v>
      </c>
      <c r="L71" s="19">
        <v>60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+'10'!G73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1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+'10'!G74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+'10'!G79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+'10'!G82</f>
        <v>2</v>
      </c>
      <c r="D82" s="13">
        <v>0</v>
      </c>
      <c r="E82" s="12">
        <f t="shared" si="0"/>
        <v>2</v>
      </c>
      <c r="F82" s="13">
        <v>1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343</v>
      </c>
      <c r="L82" s="19">
        <v>11</v>
      </c>
      <c r="M82" s="24">
        <f t="shared" si="9"/>
        <v>44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4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24">
        <f t="shared" si="9"/>
        <v>110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+'10'!G87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+'10'!G88</f>
        <v>7</v>
      </c>
      <c r="D88" s="13">
        <v>0</v>
      </c>
      <c r="E88" s="12">
        <f t="shared" si="0"/>
        <v>7</v>
      </c>
      <c r="F88" s="13">
        <v>0</v>
      </c>
      <c r="G88" s="14">
        <f t="shared" si="6"/>
        <v>6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+'10'!G92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334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+'10'!G93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341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+'10'!G97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+'10'!G101</f>
        <v>20</v>
      </c>
      <c r="D101" s="13">
        <v>0</v>
      </c>
      <c r="E101" s="12">
        <f t="shared" si="11"/>
        <v>20</v>
      </c>
      <c r="F101" s="13">
        <v>0</v>
      </c>
      <c r="G101" s="14">
        <f t="shared" si="6"/>
        <v>19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+'10'!G102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+'10'!G106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+'10'!G107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3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+'10'!G150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+'10'!G151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+'10'!G152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+'10'!G153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5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+'10'!G154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+'10'!G155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+'10'!G156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+'10'!G157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+'10'!G162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+'10'!G164</f>
        <v>3</v>
      </c>
      <c r="D164" s="13">
        <v>0</v>
      </c>
      <c r="E164" s="12">
        <f t="shared" si="11"/>
        <v>3</v>
      </c>
      <c r="F164" s="13">
        <v>0</v>
      </c>
      <c r="G164" s="14">
        <f t="shared" si="14"/>
        <v>3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+'10'!G168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+'10'!G170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+'10'!G179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+'10'!G184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192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237</v>
      </c>
      <c r="K189" s="18" t="s">
        <v>17</v>
      </c>
      <c r="L189" s="19">
        <v>0</v>
      </c>
      <c r="M189" s="24">
        <f t="shared" si="12"/>
        <v>237</v>
      </c>
    </row>
    <row r="190" spans="1:13" ht="25.5">
      <c r="A190" s="10">
        <v>186</v>
      </c>
      <c r="B190" s="20" t="s">
        <v>197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5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+'10'!G199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5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+'10'!G207</f>
        <v>0</v>
      </c>
      <c r="D207" s="13">
        <v>0</v>
      </c>
      <c r="E207" s="12">
        <f t="shared" ref="E207:E215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266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264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0">
        <v>207</v>
      </c>
      <c r="B211" s="20" t="s">
        <v>309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9" ht="25.5">
      <c r="A212" s="10">
        <v>208</v>
      </c>
      <c r="B212" s="20" t="s">
        <v>310</v>
      </c>
      <c r="C212" s="12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9" ht="25.5">
      <c r="A213" s="10">
        <v>209</v>
      </c>
      <c r="B213" s="20" t="s">
        <v>311</v>
      </c>
      <c r="C213" s="12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17</v>
      </c>
      <c r="L213" s="19">
        <v>0</v>
      </c>
      <c r="M213" s="24">
        <f t="shared" si="15"/>
        <v>0</v>
      </c>
    </row>
    <row r="214" spans="1:19" ht="25.5">
      <c r="A214" s="10">
        <v>210</v>
      </c>
      <c r="B214" s="20" t="s">
        <v>312</v>
      </c>
      <c r="C214" s="12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17</v>
      </c>
      <c r="L214" s="19">
        <v>0</v>
      </c>
      <c r="M214" s="24">
        <f t="shared" si="15"/>
        <v>0</v>
      </c>
    </row>
    <row r="215" spans="1:19" ht="25.5">
      <c r="A215" s="10">
        <v>211</v>
      </c>
      <c r="B215" s="20" t="s">
        <v>274</v>
      </c>
      <c r="C215" s="12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17</v>
      </c>
      <c r="L215" s="19">
        <v>0</v>
      </c>
      <c r="M215" s="24">
        <f t="shared" si="15"/>
        <v>0</v>
      </c>
    </row>
    <row r="216" spans="1:19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54" t="s">
        <v>228</v>
      </c>
      <c r="N216" s="154"/>
    </row>
    <row r="217" spans="1:19" ht="25.5" customHeight="1">
      <c r="A217" s="1"/>
      <c r="C217" s="25"/>
      <c r="D217" s="26"/>
      <c r="E217" s="25"/>
      <c r="F217" s="26"/>
      <c r="G217" s="25"/>
      <c r="H217" s="155" t="s">
        <v>229</v>
      </c>
      <c r="I217" s="156"/>
      <c r="J217" s="31">
        <f>+X110</f>
        <v>0</v>
      </c>
      <c r="K217" s="28"/>
      <c r="L217" s="30"/>
    </row>
    <row r="218" spans="1:19" ht="25.5">
      <c r="A218" s="1"/>
      <c r="C218" s="32"/>
      <c r="E218" s="32"/>
      <c r="G218" s="32"/>
      <c r="H218" s="33"/>
      <c r="I218" s="157" t="s">
        <v>213</v>
      </c>
      <c r="J218" s="157"/>
      <c r="K218" s="34">
        <f>SUM(J5:J217)</f>
        <v>4877</v>
      </c>
    </row>
    <row r="219" spans="1:19" ht="25.5">
      <c r="A219" s="1"/>
      <c r="C219" s="32"/>
      <c r="E219" s="32"/>
      <c r="G219" s="32"/>
      <c r="I219" s="136" t="s">
        <v>214</v>
      </c>
      <c r="J219" s="137"/>
      <c r="K219" s="37">
        <v>0</v>
      </c>
    </row>
    <row r="220" spans="1:19" ht="25.5">
      <c r="A220" s="1"/>
      <c r="C220" s="32"/>
      <c r="E220" s="32"/>
      <c r="G220" s="32"/>
      <c r="I220" s="35" t="s">
        <v>215</v>
      </c>
      <c r="J220" s="36"/>
      <c r="K220" s="37">
        <f>SUM(L220:BO220)</f>
        <v>981</v>
      </c>
      <c r="L220" s="38">
        <v>115</v>
      </c>
      <c r="M220" s="2">
        <v>90</v>
      </c>
      <c r="N220" s="2">
        <v>159</v>
      </c>
      <c r="O220" s="2">
        <v>150</v>
      </c>
      <c r="P220" s="2">
        <v>52</v>
      </c>
      <c r="Q220" s="2">
        <v>200</v>
      </c>
      <c r="R220" s="2">
        <v>165</v>
      </c>
      <c r="S220" s="2">
        <v>50</v>
      </c>
    </row>
    <row r="221" spans="1:19" ht="25.5">
      <c r="A221" s="1"/>
      <c r="C221" s="32"/>
      <c r="D221" s="91"/>
      <c r="E221" s="32"/>
      <c r="G221" s="39"/>
      <c r="I221" s="136" t="s">
        <v>216</v>
      </c>
      <c r="J221" s="137"/>
      <c r="K221" s="37">
        <v>0</v>
      </c>
    </row>
    <row r="222" spans="1:19" ht="25.5">
      <c r="A222" s="1"/>
      <c r="C222" s="90"/>
      <c r="E222" s="32"/>
      <c r="G222" s="32"/>
      <c r="I222" s="136" t="s">
        <v>217</v>
      </c>
      <c r="J222" s="137"/>
      <c r="K222" s="37">
        <v>0</v>
      </c>
    </row>
    <row r="223" spans="1:19" ht="25.5">
      <c r="A223" s="1"/>
      <c r="C223" s="32"/>
      <c r="E223" s="32"/>
      <c r="G223" s="32"/>
      <c r="I223" s="136" t="s">
        <v>218</v>
      </c>
      <c r="J223" s="137"/>
      <c r="K223" s="93">
        <f>SUM(L5:L216)</f>
        <v>653</v>
      </c>
      <c r="M223" s="94" t="s">
        <v>219</v>
      </c>
      <c r="N223" s="40" t="s">
        <v>220</v>
      </c>
      <c r="O223" s="41" t="s">
        <v>221</v>
      </c>
    </row>
    <row r="224" spans="1:19" ht="25.5">
      <c r="A224" s="1"/>
      <c r="C224" s="32"/>
      <c r="E224" s="32"/>
      <c r="G224" s="32"/>
      <c r="I224" s="136" t="s">
        <v>222</v>
      </c>
      <c r="J224" s="137"/>
      <c r="K224" s="34">
        <f>K218-K219-K220-K222-K223</f>
        <v>3243</v>
      </c>
      <c r="M224" s="42"/>
      <c r="N224" s="42"/>
      <c r="O224" s="42">
        <v>110</v>
      </c>
    </row>
    <row r="225" spans="1:15" ht="25.5">
      <c r="A225" s="1"/>
      <c r="C225" s="32"/>
      <c r="E225" s="32"/>
      <c r="G225" s="32"/>
      <c r="I225" s="136" t="s">
        <v>223</v>
      </c>
      <c r="J225" s="137"/>
      <c r="K225" s="93">
        <v>3243</v>
      </c>
      <c r="M225" s="42"/>
      <c r="N225" s="42"/>
      <c r="O225" s="42">
        <v>470</v>
      </c>
    </row>
    <row r="226" spans="1:15" ht="25.5">
      <c r="A226" s="1"/>
      <c r="C226" s="32"/>
      <c r="E226" s="32"/>
      <c r="G226" s="32"/>
      <c r="I226" s="136" t="s">
        <v>224</v>
      </c>
      <c r="J226" s="137"/>
      <c r="K226" s="34">
        <f>+K225-K224</f>
        <v>0</v>
      </c>
      <c r="M226" s="42"/>
      <c r="N226" s="42"/>
      <c r="O226" s="42"/>
    </row>
    <row r="227" spans="1:15" ht="25.5">
      <c r="G227" s="2"/>
      <c r="I227" s="136" t="s">
        <v>225</v>
      </c>
      <c r="J227" s="137"/>
      <c r="K227" s="34">
        <f>+K225-K224</f>
        <v>0</v>
      </c>
      <c r="M227" s="43"/>
      <c r="N227" s="43"/>
      <c r="O227" s="43"/>
    </row>
    <row r="228" spans="1:15">
      <c r="G228" s="2"/>
      <c r="I228" s="28"/>
      <c r="M228" s="43"/>
      <c r="N228" s="43"/>
      <c r="O228" s="43"/>
    </row>
    <row r="229" spans="1:15">
      <c r="G229" s="2"/>
      <c r="I229" s="2" t="s">
        <v>276</v>
      </c>
      <c r="J229" s="2">
        <f>+K218-K223+K226</f>
        <v>4224</v>
      </c>
      <c r="M229" s="44"/>
      <c r="N229" s="44"/>
      <c r="O229" s="44"/>
    </row>
    <row r="230" spans="1:15">
      <c r="G230" s="2"/>
      <c r="I230" s="2" t="s">
        <v>277</v>
      </c>
      <c r="J230" s="2">
        <f>SUM(K219:K222)</f>
        <v>981</v>
      </c>
      <c r="M230" s="45">
        <f>SUM(M224:M229)</f>
        <v>0</v>
      </c>
      <c r="N230" s="45">
        <f>SUM(N224:N229)</f>
        <v>0</v>
      </c>
      <c r="O230" s="45">
        <f>SUM(O224:O229)</f>
        <v>580</v>
      </c>
    </row>
    <row r="231" spans="1:15">
      <c r="G231" s="2"/>
      <c r="I231" s="2" t="s">
        <v>278</v>
      </c>
      <c r="J231" s="2">
        <f>+K225</f>
        <v>3243</v>
      </c>
      <c r="M231" s="46" t="s">
        <v>226</v>
      </c>
      <c r="N231" s="47">
        <f>N230*30/100</f>
        <v>0</v>
      </c>
      <c r="O231" s="47">
        <f>O230*30/100</f>
        <v>174</v>
      </c>
    </row>
    <row r="232" spans="1:15">
      <c r="G232" s="2"/>
      <c r="I232" s="2"/>
      <c r="M232" s="46" t="s">
        <v>227</v>
      </c>
      <c r="N232" s="47">
        <f>N231*7/100</f>
        <v>0</v>
      </c>
      <c r="O232" s="47">
        <f>O231*7/100</f>
        <v>12.18</v>
      </c>
    </row>
    <row r="233" spans="1:15">
      <c r="G233" s="2"/>
      <c r="I233" s="2"/>
      <c r="M233" s="95" t="s">
        <v>6</v>
      </c>
      <c r="N233" s="48">
        <f>N230-N231-N232</f>
        <v>0</v>
      </c>
      <c r="O233" s="48">
        <f>O230-O231-O232</f>
        <v>393.82</v>
      </c>
    </row>
    <row r="234" spans="1:15">
      <c r="G234" s="2"/>
      <c r="I234" s="2"/>
    </row>
    <row r="235" spans="1:15">
      <c r="G235" s="2"/>
      <c r="I235" s="2"/>
    </row>
    <row r="236" spans="1:15">
      <c r="G236" s="2"/>
      <c r="I236" s="2"/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theme="5" tint="0.79998168889431442"/>
  </sheetPr>
  <dimension ref="A1:Z305"/>
  <sheetViews>
    <sheetView zoomScaleNormal="100" zoomScalePageLayoutView="110" workbookViewId="0">
      <pane ySplit="4" topLeftCell="A225" activePane="bottomLeft" state="frozen"/>
      <selection pane="bottomLeft" activeCell="I211" sqref="I211:I21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6.140625" style="2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+'11'!G5</f>
        <v>0</v>
      </c>
      <c r="D5" s="13">
        <v>20</v>
      </c>
      <c r="E5" s="12">
        <f t="shared" ref="E5:E94" si="0">C5+D5</f>
        <v>20</v>
      </c>
      <c r="F5" s="13">
        <v>0</v>
      </c>
      <c r="G5" s="14">
        <f t="shared" ref="G5:G68" si="1">E5-F5-H5</f>
        <v>20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+'11'!G6</f>
        <v>49</v>
      </c>
      <c r="D6" s="13">
        <v>0</v>
      </c>
      <c r="E6" s="12">
        <f t="shared" si="0"/>
        <v>49</v>
      </c>
      <c r="F6" s="13">
        <v>0</v>
      </c>
      <c r="G6" s="14">
        <f t="shared" si="1"/>
        <v>44</v>
      </c>
      <c r="H6" s="15">
        <v>5</v>
      </c>
      <c r="I6" s="16">
        <v>100</v>
      </c>
      <c r="J6" s="17">
        <f t="shared" ref="J6:J70" si="4">+I6*H6</f>
        <v>500</v>
      </c>
      <c r="K6" s="18" t="s">
        <v>275</v>
      </c>
      <c r="L6" s="19">
        <v>100</v>
      </c>
      <c r="M6" s="24">
        <f t="shared" ref="M6:M69" si="5">SUM(J6-L6)</f>
        <v>400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+'11'!G12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1</v>
      </c>
      <c r="H12" s="15">
        <v>2</v>
      </c>
      <c r="I12" s="22">
        <v>50</v>
      </c>
      <c r="J12" s="17">
        <f t="shared" si="4"/>
        <v>100</v>
      </c>
      <c r="K12" s="18" t="s">
        <v>17</v>
      </c>
      <c r="L12" s="19">
        <v>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2</v>
      </c>
      <c r="D17" s="13">
        <v>3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0</v>
      </c>
      <c r="D19" s="13">
        <v>3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21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2</v>
      </c>
      <c r="H24" s="15">
        <v>3</v>
      </c>
      <c r="I24" s="23">
        <v>100</v>
      </c>
      <c r="J24" s="17">
        <f t="shared" si="4"/>
        <v>300</v>
      </c>
      <c r="K24" s="18" t="s">
        <v>17</v>
      </c>
      <c r="L24" s="19">
        <v>0</v>
      </c>
      <c r="M24" s="24">
        <f t="shared" si="5"/>
        <v>300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6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275</v>
      </c>
      <c r="L31" s="19">
        <v>100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+'11'!G34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13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17">
        <f t="shared" si="4"/>
        <v>50</v>
      </c>
      <c r="K38" s="18" t="s">
        <v>317</v>
      </c>
      <c r="L38" s="19">
        <v>50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337</v>
      </c>
      <c r="L40" s="19">
        <v>3</v>
      </c>
      <c r="M40" s="24">
        <f t="shared" si="5"/>
        <v>47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6</v>
      </c>
      <c r="H41" s="15">
        <v>1</v>
      </c>
      <c r="I41" s="16">
        <v>50</v>
      </c>
      <c r="J41" s="17">
        <f t="shared" si="4"/>
        <v>50</v>
      </c>
      <c r="K41" s="18" t="s">
        <v>17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1</v>
      </c>
      <c r="D42" s="13">
        <v>10</v>
      </c>
      <c r="E42" s="12">
        <f t="shared" si="0"/>
        <v>11</v>
      </c>
      <c r="F42" s="13">
        <v>0</v>
      </c>
      <c r="G42" s="14">
        <f t="shared" si="1"/>
        <v>10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1</v>
      </c>
      <c r="D44" s="13">
        <v>5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3</v>
      </c>
      <c r="D46" s="13">
        <v>5</v>
      </c>
      <c r="E46" s="12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1</v>
      </c>
      <c r="D50" s="13">
        <v>3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0</v>
      </c>
      <c r="D57" s="13">
        <v>5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2</v>
      </c>
      <c r="D61" s="13">
        <v>5</v>
      </c>
      <c r="E61" s="12">
        <f t="shared" si="0"/>
        <v>7</v>
      </c>
      <c r="F61" s="13">
        <v>0</v>
      </c>
      <c r="G61" s="14">
        <f t="shared" si="1"/>
        <v>6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+'11'!G62</f>
        <v>2</v>
      </c>
      <c r="D62" s="13">
        <v>5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+'11'!G63</f>
        <v>3</v>
      </c>
      <c r="D63" s="13">
        <v>5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8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+'11'!G70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1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+'11'!G71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+'11'!G73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1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+'11'!G74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+'11'!G77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+'11'!G79</f>
        <v>1</v>
      </c>
      <c r="D79" s="13">
        <v>5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317</v>
      </c>
      <c r="L79" s="19">
        <v>50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+'11'!G81</f>
        <v>1</v>
      </c>
      <c r="D81" s="13">
        <v>3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332</v>
      </c>
      <c r="L81" s="19">
        <v>27</v>
      </c>
      <c r="M81" s="24">
        <f t="shared" si="9"/>
        <v>28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+'11'!G86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4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+'11'!G87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+'11'!G88</f>
        <v>6</v>
      </c>
      <c r="D88" s="13">
        <v>10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+'11'!G92</f>
        <v>7</v>
      </c>
      <c r="D92" s="13">
        <v>15</v>
      </c>
      <c r="E92" s="12">
        <f t="shared" si="0"/>
        <v>22</v>
      </c>
      <c r="F92" s="13">
        <v>0</v>
      </c>
      <c r="G92" s="14">
        <f t="shared" si="6"/>
        <v>19</v>
      </c>
      <c r="H92" s="15">
        <v>3</v>
      </c>
      <c r="I92" s="21">
        <v>120</v>
      </c>
      <c r="J92" s="17">
        <f t="shared" si="10"/>
        <v>360</v>
      </c>
      <c r="K92" s="18" t="s">
        <v>335</v>
      </c>
      <c r="L92" s="19">
        <v>36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+'11'!G93</f>
        <v>4</v>
      </c>
      <c r="D93" s="13">
        <v>5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348</v>
      </c>
      <c r="L93" s="19">
        <v>75</v>
      </c>
      <c r="M93" s="24">
        <f t="shared" si="9"/>
        <v>425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+'11'!G97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+'11'!G101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+'11'!G102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+'11'!G106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14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115</v>
      </c>
      <c r="C107" s="12">
        <f>+'11'!G107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+'11'!G109</f>
        <v>0</v>
      </c>
      <c r="D109" s="13">
        <v>7</v>
      </c>
      <c r="E109" s="12">
        <f t="shared" si="11"/>
        <v>7</v>
      </c>
      <c r="F109" s="13">
        <v>0</v>
      </c>
      <c r="G109" s="14">
        <f t="shared" si="6"/>
        <v>7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+'11'!G150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+'11'!G151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+'11'!G152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7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+'11'!G153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+'11'!G154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+'11'!G155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+'11'!G156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+'11'!G157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+'11'!G161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+'11'!G162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+'11'!G164</f>
        <v>3</v>
      </c>
      <c r="D164" s="13">
        <v>5</v>
      </c>
      <c r="E164" s="12">
        <f t="shared" si="11"/>
        <v>8</v>
      </c>
      <c r="F164" s="13">
        <v>0</v>
      </c>
      <c r="G164" s="14">
        <f t="shared" si="14"/>
        <v>8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+'11'!G168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+'11'!G170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10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+'11'!G179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+'11'!G181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19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>
      <c r="A182" s="10">
        <v>178</v>
      </c>
      <c r="B182" s="20" t="s">
        <v>189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+'11'!G183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18</v>
      </c>
      <c r="H183" s="15">
        <v>2</v>
      </c>
      <c r="I183" s="22">
        <v>10</v>
      </c>
      <c r="J183" s="17">
        <f t="shared" si="13"/>
        <v>20</v>
      </c>
      <c r="K183" s="18" t="s">
        <v>17</v>
      </c>
      <c r="L183" s="19">
        <v>0</v>
      </c>
      <c r="M183" s="24">
        <f t="shared" si="12"/>
        <v>20</v>
      </c>
    </row>
    <row r="184" spans="1:13" ht="25.5">
      <c r="A184" s="10">
        <v>180</v>
      </c>
      <c r="B184" s="20" t="s">
        <v>191</v>
      </c>
      <c r="C184" s="12">
        <f>+'11'!G184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15</v>
      </c>
      <c r="H184" s="15">
        <v>5</v>
      </c>
      <c r="I184" s="22">
        <v>10</v>
      </c>
      <c r="J184" s="17">
        <f t="shared" si="13"/>
        <v>50</v>
      </c>
      <c r="K184" s="18" t="s">
        <v>17</v>
      </c>
      <c r="L184" s="19">
        <v>0</v>
      </c>
      <c r="M184" s="24">
        <f t="shared" si="12"/>
        <v>50</v>
      </c>
    </row>
    <row r="185" spans="1:13" ht="25.5">
      <c r="A185" s="10">
        <v>181</v>
      </c>
      <c r="B185" s="20" t="s">
        <v>192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>
      <c r="A190" s="10">
        <v>186</v>
      </c>
      <c r="B190" s="20" t="s">
        <v>197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+'11'!G199</f>
        <v>254</v>
      </c>
      <c r="D199" s="13">
        <v>0</v>
      </c>
      <c r="E199" s="12">
        <f t="shared" si="11"/>
        <v>254</v>
      </c>
      <c r="F199" s="13">
        <v>0</v>
      </c>
      <c r="G199" s="14">
        <f t="shared" si="14"/>
        <v>254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266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264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0">
        <v>207</v>
      </c>
      <c r="B211" s="20" t="s">
        <v>309</v>
      </c>
      <c r="C211" s="12">
        <f>+'11'!G211</f>
        <v>0</v>
      </c>
      <c r="D211" s="13">
        <v>0</v>
      </c>
      <c r="E211" s="12">
        <f t="shared" ref="E211:E215" si="18">C211+D211</f>
        <v>0</v>
      </c>
      <c r="F211" s="13">
        <v>0</v>
      </c>
      <c r="G211" s="14">
        <f t="shared" ref="G211:G215" si="19">E211-F211-H211</f>
        <v>0</v>
      </c>
      <c r="H211" s="15">
        <v>0</v>
      </c>
      <c r="I211" s="22">
        <v>50</v>
      </c>
      <c r="J211" s="17">
        <f t="shared" ref="J211:J215" si="20">+I211*H211</f>
        <v>0</v>
      </c>
      <c r="K211" s="18" t="s">
        <v>17</v>
      </c>
      <c r="L211" s="19">
        <v>0</v>
      </c>
      <c r="M211" s="24">
        <f t="shared" ref="M211:M215" si="21">SUM(J211-L211)</f>
        <v>0</v>
      </c>
    </row>
    <row r="212" spans="1:21" ht="25.5">
      <c r="A212" s="10">
        <v>208</v>
      </c>
      <c r="B212" s="20" t="s">
        <v>310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1" ht="25.5">
      <c r="A213" s="10">
        <v>209</v>
      </c>
      <c r="B213" s="20" t="s">
        <v>311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21" ht="25.5">
      <c r="A214" s="10">
        <v>210</v>
      </c>
      <c r="B214" s="20" t="s">
        <v>312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21" ht="25.5">
      <c r="A215" s="10">
        <v>211</v>
      </c>
      <c r="B215" s="20" t="s">
        <v>274</v>
      </c>
      <c r="C215" s="12">
        <f>+'11'!G215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21" ht="25.5">
      <c r="A216" s="10">
        <v>212</v>
      </c>
      <c r="B216" s="20" t="s">
        <v>344</v>
      </c>
      <c r="C216" s="12">
        <f>+'11'!G216</f>
        <v>0</v>
      </c>
      <c r="D216" s="13">
        <v>5</v>
      </c>
      <c r="E216" s="12">
        <f t="shared" ref="E216" si="22">C216+D216</f>
        <v>5</v>
      </c>
      <c r="F216" s="13">
        <v>0</v>
      </c>
      <c r="G216" s="14">
        <f t="shared" ref="G216" si="23">E216-F216-H216</f>
        <v>5</v>
      </c>
      <c r="H216" s="15">
        <v>0</v>
      </c>
      <c r="I216" s="22">
        <v>65</v>
      </c>
      <c r="J216" s="17">
        <f t="shared" ref="J216" si="24">+I216*H216</f>
        <v>0</v>
      </c>
      <c r="K216" s="18" t="s">
        <v>17</v>
      </c>
      <c r="L216" s="19">
        <v>0</v>
      </c>
      <c r="M216" s="24">
        <f t="shared" ref="M216" si="25">SUM(J216-L216)</f>
        <v>0</v>
      </c>
    </row>
    <row r="217" spans="1:21" ht="25.5">
      <c r="A217" s="10">
        <v>213</v>
      </c>
      <c r="B217" s="20" t="s">
        <v>345</v>
      </c>
      <c r="C217" s="12">
        <f>+'11'!G217</f>
        <v>0</v>
      </c>
      <c r="D217" s="13">
        <v>5</v>
      </c>
      <c r="E217" s="12">
        <f t="shared" ref="E217:E218" si="26">C217+D217</f>
        <v>5</v>
      </c>
      <c r="F217" s="13">
        <v>0</v>
      </c>
      <c r="G217" s="14">
        <f t="shared" ref="G217:G218" si="27">E217-F217-H217</f>
        <v>5</v>
      </c>
      <c r="H217" s="15">
        <v>0</v>
      </c>
      <c r="I217" s="22">
        <v>50</v>
      </c>
      <c r="J217" s="17">
        <f t="shared" ref="J217:J218" si="28">+I217*H217</f>
        <v>0</v>
      </c>
      <c r="K217" s="18" t="s">
        <v>17</v>
      </c>
      <c r="L217" s="19">
        <v>0</v>
      </c>
      <c r="M217" s="24">
        <f t="shared" ref="M217:M218" si="29">SUM(J217-L217)</f>
        <v>0</v>
      </c>
    </row>
    <row r="218" spans="1:21" ht="25.5">
      <c r="A218" s="10">
        <v>214</v>
      </c>
      <c r="B218" s="20" t="s">
        <v>346</v>
      </c>
      <c r="C218" s="12">
        <f>+'11'!G218</f>
        <v>0</v>
      </c>
      <c r="D218" s="13">
        <v>10</v>
      </c>
      <c r="E218" s="12">
        <f t="shared" si="26"/>
        <v>10</v>
      </c>
      <c r="F218" s="13">
        <v>0</v>
      </c>
      <c r="G218" s="14">
        <f t="shared" si="27"/>
        <v>10</v>
      </c>
      <c r="H218" s="15">
        <v>0</v>
      </c>
      <c r="I218" s="22">
        <v>50</v>
      </c>
      <c r="J218" s="17">
        <f t="shared" si="28"/>
        <v>0</v>
      </c>
      <c r="K218" s="18" t="s">
        <v>17</v>
      </c>
      <c r="L218" s="19">
        <v>0</v>
      </c>
      <c r="M218" s="24">
        <f t="shared" si="29"/>
        <v>0</v>
      </c>
    </row>
    <row r="219" spans="1:21" ht="25.5">
      <c r="A219" s="1"/>
      <c r="C219" s="25"/>
      <c r="D219" s="26"/>
      <c r="E219" s="25"/>
      <c r="F219" s="26"/>
      <c r="G219" s="25"/>
      <c r="H219" s="25"/>
      <c r="I219" s="27"/>
      <c r="J219" s="29"/>
      <c r="K219" s="28"/>
      <c r="L219" s="19">
        <v>0</v>
      </c>
      <c r="M219" s="154" t="s">
        <v>228</v>
      </c>
      <c r="N219" s="154"/>
    </row>
    <row r="220" spans="1:21" ht="25.5" customHeight="1">
      <c r="A220" s="1"/>
      <c r="C220" s="25"/>
      <c r="D220" s="26"/>
      <c r="E220" s="25"/>
      <c r="F220" s="26"/>
      <c r="G220" s="25"/>
      <c r="H220" s="155" t="s">
        <v>229</v>
      </c>
      <c r="I220" s="156"/>
      <c r="J220" s="31">
        <f>+X110</f>
        <v>0</v>
      </c>
      <c r="K220" s="28"/>
      <c r="L220" s="30"/>
    </row>
    <row r="221" spans="1:21" ht="25.5">
      <c r="A221" s="1"/>
      <c r="C221" s="32"/>
      <c r="E221" s="32"/>
      <c r="G221" s="32"/>
      <c r="H221" s="33"/>
      <c r="I221" s="157" t="s">
        <v>213</v>
      </c>
      <c r="J221" s="157"/>
      <c r="K221" s="34">
        <f>SUM(J5:J220)</f>
        <v>3295</v>
      </c>
    </row>
    <row r="222" spans="1:21" ht="25.5">
      <c r="A222" s="1"/>
      <c r="C222" s="32"/>
      <c r="E222" s="32"/>
      <c r="G222" s="32"/>
      <c r="I222" s="136" t="s">
        <v>214</v>
      </c>
      <c r="J222" s="137"/>
      <c r="K222" s="37">
        <v>0</v>
      </c>
    </row>
    <row r="223" spans="1:21" ht="25.5">
      <c r="A223" s="1"/>
      <c r="C223" s="32"/>
      <c r="E223" s="32"/>
      <c r="G223" s="32"/>
      <c r="I223" s="35" t="s">
        <v>215</v>
      </c>
      <c r="J223" s="36"/>
      <c r="K223" s="37">
        <f>SUM(L223:BO223)</f>
        <v>1631</v>
      </c>
      <c r="L223" s="38">
        <v>28</v>
      </c>
      <c r="M223" s="2">
        <v>128</v>
      </c>
      <c r="N223" s="2">
        <v>100</v>
      </c>
      <c r="O223" s="2">
        <v>47</v>
      </c>
      <c r="P223" s="2">
        <v>108</v>
      </c>
      <c r="Q223" s="2">
        <v>200</v>
      </c>
      <c r="R223" s="2">
        <v>465</v>
      </c>
      <c r="S223" s="2">
        <v>150</v>
      </c>
      <c r="T223" s="2">
        <v>210</v>
      </c>
      <c r="U223" s="2">
        <v>195</v>
      </c>
    </row>
    <row r="224" spans="1:21" ht="25.5">
      <c r="A224" s="1"/>
      <c r="C224" s="32"/>
      <c r="D224" s="91"/>
      <c r="E224" s="32"/>
      <c r="G224" s="39"/>
      <c r="I224" s="136" t="s">
        <v>216</v>
      </c>
      <c r="J224" s="137"/>
      <c r="K224" s="37">
        <v>0</v>
      </c>
    </row>
    <row r="225" spans="1:15" ht="25.5">
      <c r="A225" s="1"/>
      <c r="B225" s="2" t="s">
        <v>347</v>
      </c>
      <c r="C225" s="90"/>
      <c r="E225" s="32"/>
      <c r="G225" s="32"/>
      <c r="I225" s="136" t="s">
        <v>217</v>
      </c>
      <c r="J225" s="137"/>
      <c r="K225" s="37">
        <f>SUM(L225:N225)</f>
        <v>630</v>
      </c>
      <c r="L225" s="2">
        <v>630</v>
      </c>
    </row>
    <row r="226" spans="1:15" ht="25.5">
      <c r="A226" s="1"/>
      <c r="C226" s="32"/>
      <c r="E226" s="32"/>
      <c r="G226" s="32"/>
      <c r="I226" s="136" t="s">
        <v>218</v>
      </c>
      <c r="J226" s="137"/>
      <c r="K226" s="93">
        <f>SUM(L5:L219)</f>
        <v>441</v>
      </c>
      <c r="M226" s="94" t="s">
        <v>219</v>
      </c>
      <c r="N226" s="40" t="s">
        <v>220</v>
      </c>
      <c r="O226" s="41" t="s">
        <v>221</v>
      </c>
    </row>
    <row r="227" spans="1:15" ht="25.5">
      <c r="A227" s="1"/>
      <c r="C227" s="32"/>
      <c r="E227" s="32"/>
      <c r="G227" s="32"/>
      <c r="I227" s="136" t="s">
        <v>222</v>
      </c>
      <c r="J227" s="137"/>
      <c r="K227" s="34">
        <f>K221-K222-K223-K225-K226</f>
        <v>593</v>
      </c>
      <c r="M227" s="42"/>
      <c r="N227" s="42"/>
      <c r="O227" s="42">
        <v>110</v>
      </c>
    </row>
    <row r="228" spans="1:15" ht="25.5">
      <c r="A228" s="1"/>
      <c r="C228" s="32"/>
      <c r="E228" s="32"/>
      <c r="G228" s="32"/>
      <c r="I228" s="136" t="s">
        <v>223</v>
      </c>
      <c r="J228" s="137"/>
      <c r="K228" s="93">
        <v>593</v>
      </c>
      <c r="M228" s="42"/>
      <c r="N228" s="42"/>
      <c r="O228" s="42"/>
    </row>
    <row r="229" spans="1:15" ht="25.5">
      <c r="A229" s="1"/>
      <c r="C229" s="32"/>
      <c r="E229" s="32"/>
      <c r="G229" s="32"/>
      <c r="I229" s="136" t="s">
        <v>224</v>
      </c>
      <c r="J229" s="137"/>
      <c r="K229" s="34">
        <f>+K228-K227</f>
        <v>0</v>
      </c>
      <c r="M229" s="42"/>
      <c r="N229" s="42"/>
      <c r="O229" s="42"/>
    </row>
    <row r="230" spans="1:15" ht="25.5">
      <c r="G230" s="2"/>
      <c r="I230" s="136" t="s">
        <v>225</v>
      </c>
      <c r="J230" s="137"/>
      <c r="K230" s="34">
        <f>+K228-K227</f>
        <v>0</v>
      </c>
      <c r="M230" s="43"/>
      <c r="N230" s="43"/>
      <c r="O230" s="43"/>
    </row>
    <row r="231" spans="1:15">
      <c r="G231" s="2"/>
      <c r="I231" s="28"/>
      <c r="M231" s="43"/>
      <c r="N231" s="43"/>
      <c r="O231" s="43"/>
    </row>
    <row r="232" spans="1:15">
      <c r="G232" s="2"/>
      <c r="I232" s="2" t="s">
        <v>276</v>
      </c>
      <c r="J232" s="2">
        <f>+K221-K226+K229</f>
        <v>2854</v>
      </c>
      <c r="M232" s="44"/>
      <c r="N232" s="44"/>
      <c r="O232" s="44"/>
    </row>
    <row r="233" spans="1:15">
      <c r="G233" s="2"/>
      <c r="I233" s="2" t="s">
        <v>277</v>
      </c>
      <c r="J233" s="2">
        <f>SUM(K222:K225)</f>
        <v>2261</v>
      </c>
      <c r="M233" s="45">
        <f>SUM(M227:M232)</f>
        <v>0</v>
      </c>
      <c r="N233" s="45">
        <f>SUM(N227:N232)</f>
        <v>0</v>
      </c>
      <c r="O233" s="45">
        <f>SUM(O227:O232)</f>
        <v>110</v>
      </c>
    </row>
    <row r="234" spans="1:15">
      <c r="G234" s="2"/>
      <c r="I234" s="2" t="s">
        <v>278</v>
      </c>
      <c r="J234" s="2">
        <f>+K228</f>
        <v>593</v>
      </c>
      <c r="M234" s="46" t="s">
        <v>226</v>
      </c>
      <c r="N234" s="47">
        <f>N233*30/100</f>
        <v>0</v>
      </c>
      <c r="O234" s="47">
        <f>O233*30/100</f>
        <v>33</v>
      </c>
    </row>
    <row r="235" spans="1:15">
      <c r="G235" s="2"/>
      <c r="I235" s="2"/>
      <c r="M235" s="46" t="s">
        <v>227</v>
      </c>
      <c r="N235" s="47">
        <f>N234*7/100</f>
        <v>0</v>
      </c>
      <c r="O235" s="47">
        <f>O234*7/100</f>
        <v>2.31</v>
      </c>
    </row>
    <row r="236" spans="1:15">
      <c r="G236" s="2"/>
      <c r="I236" s="2"/>
      <c r="M236" s="95" t="s">
        <v>6</v>
      </c>
      <c r="N236" s="48">
        <f>N233-N234-N235</f>
        <v>0</v>
      </c>
      <c r="O236" s="48">
        <f>O233-O234-O235</f>
        <v>74.69</v>
      </c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</sheetData>
  <autoFilter ref="A1:Y230" xr:uid="{A8659A1D-7742-48A0-A8EC-0F2280F9B025}"/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theme="5" tint="0.79998168889431442"/>
  </sheetPr>
  <dimension ref="A1:Z305"/>
  <sheetViews>
    <sheetView zoomScaleNormal="100" zoomScalePageLayoutView="110" workbookViewId="0">
      <pane ySplit="4" topLeftCell="A206" activePane="bottomLeft" state="frozen"/>
      <selection pane="bottomLeft" activeCell="I211" sqref="I211:I21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+'12'!G5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10</v>
      </c>
      <c r="H5" s="15">
        <v>10</v>
      </c>
      <c r="I5" s="16">
        <v>50</v>
      </c>
      <c r="J5" s="17">
        <f>+I5*H5</f>
        <v>500</v>
      </c>
      <c r="K5" s="18" t="s">
        <v>342</v>
      </c>
      <c r="L5" s="19">
        <v>5</v>
      </c>
      <c r="M5" s="24">
        <f>SUM(J5-L5)</f>
        <v>495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+'12'!G6</f>
        <v>44</v>
      </c>
      <c r="D6" s="13">
        <v>30</v>
      </c>
      <c r="E6" s="12">
        <f t="shared" si="0"/>
        <v>74</v>
      </c>
      <c r="F6" s="13">
        <v>0</v>
      </c>
      <c r="G6" s="14">
        <f t="shared" si="1"/>
        <v>73</v>
      </c>
      <c r="H6" s="15">
        <v>1</v>
      </c>
      <c r="I6" s="16">
        <v>100</v>
      </c>
      <c r="J6" s="17">
        <f t="shared" ref="J6:J70" si="4">+I6*H6</f>
        <v>100</v>
      </c>
      <c r="K6" s="18" t="s">
        <v>349</v>
      </c>
      <c r="L6" s="19">
        <v>20</v>
      </c>
      <c r="M6" s="24">
        <f t="shared" ref="M6:M69" si="5">SUM(J6-L6)</f>
        <v>80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+'12'!G12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20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6</v>
      </c>
      <c r="D26" s="13">
        <v>0</v>
      </c>
      <c r="E26" s="12">
        <f t="shared" si="0"/>
        <v>6</v>
      </c>
      <c r="F26" s="13">
        <v>0</v>
      </c>
      <c r="G26" s="14">
        <f t="shared" si="1"/>
        <v>5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+'12'!G34</f>
        <v>5</v>
      </c>
      <c r="D34" s="13">
        <v>5</v>
      </c>
      <c r="E34" s="14">
        <f t="shared" si="0"/>
        <v>10</v>
      </c>
      <c r="F34" s="13">
        <v>0</v>
      </c>
      <c r="G34" s="14">
        <f t="shared" si="1"/>
        <v>10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5</v>
      </c>
      <c r="D35" s="13">
        <v>5</v>
      </c>
      <c r="E35" s="14">
        <f t="shared" si="0"/>
        <v>10</v>
      </c>
      <c r="F35" s="13">
        <v>0</v>
      </c>
      <c r="G35" s="14">
        <f t="shared" si="1"/>
        <v>10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9</v>
      </c>
      <c r="H37" s="15">
        <v>4</v>
      </c>
      <c r="I37" s="16">
        <v>100</v>
      </c>
      <c r="J37" s="17">
        <f t="shared" si="4"/>
        <v>400</v>
      </c>
      <c r="K37" s="18" t="s">
        <v>350</v>
      </c>
      <c r="L37" s="19">
        <v>60</v>
      </c>
      <c r="M37" s="24">
        <f t="shared" si="5"/>
        <v>340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0</v>
      </c>
      <c r="H40" s="15">
        <v>4</v>
      </c>
      <c r="I40" s="16">
        <v>50</v>
      </c>
      <c r="J40" s="17">
        <f t="shared" si="4"/>
        <v>200</v>
      </c>
      <c r="K40" s="18" t="s">
        <v>331</v>
      </c>
      <c r="L40" s="19">
        <v>3</v>
      </c>
      <c r="M40" s="24">
        <f t="shared" si="5"/>
        <v>197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4</v>
      </c>
      <c r="H42" s="15">
        <v>6</v>
      </c>
      <c r="I42" s="16">
        <v>50</v>
      </c>
      <c r="J42" s="17">
        <f t="shared" si="4"/>
        <v>300</v>
      </c>
      <c r="K42" s="18" t="s">
        <v>296</v>
      </c>
      <c r="L42" s="19">
        <v>300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2</v>
      </c>
      <c r="H50" s="15">
        <v>2</v>
      </c>
      <c r="I50" s="16">
        <v>120</v>
      </c>
      <c r="J50" s="17">
        <f t="shared" si="4"/>
        <v>240</v>
      </c>
      <c r="K50" s="18" t="s">
        <v>275</v>
      </c>
      <c r="L50" s="19">
        <v>120</v>
      </c>
      <c r="M50" s="24">
        <f t="shared" si="5"/>
        <v>120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1</v>
      </c>
      <c r="H51" s="15">
        <v>2</v>
      </c>
      <c r="I51" s="16">
        <v>120</v>
      </c>
      <c r="J51" s="17">
        <f t="shared" si="4"/>
        <v>240</v>
      </c>
      <c r="K51" s="18" t="s">
        <v>332</v>
      </c>
      <c r="L51" s="19">
        <v>120</v>
      </c>
      <c r="M51" s="24">
        <f t="shared" si="5"/>
        <v>120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4</v>
      </c>
      <c r="H55" s="15">
        <v>1</v>
      </c>
      <c r="I55" s="23">
        <v>120</v>
      </c>
      <c r="J55" s="17">
        <f t="shared" si="4"/>
        <v>120</v>
      </c>
      <c r="K55" s="18" t="s">
        <v>275</v>
      </c>
      <c r="L55" s="19">
        <v>120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+'12'!G62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+'12'!G63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21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+'12'!G70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0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+'12'!G71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+'12'!G73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0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+'12'!G79</f>
        <v>5</v>
      </c>
      <c r="D79" s="13">
        <v>0</v>
      </c>
      <c r="E79" s="12">
        <f t="shared" si="0"/>
        <v>5</v>
      </c>
      <c r="F79" s="13">
        <v>1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+'12'!G81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+'12'!G86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3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+'12'!G87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+'12'!G88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+'12'!G92</f>
        <v>19</v>
      </c>
      <c r="D92" s="13">
        <v>0</v>
      </c>
      <c r="E92" s="12">
        <f t="shared" si="0"/>
        <v>19</v>
      </c>
      <c r="F92" s="13">
        <v>0</v>
      </c>
      <c r="G92" s="14">
        <f t="shared" si="6"/>
        <v>18</v>
      </c>
      <c r="H92" s="15">
        <v>1</v>
      </c>
      <c r="I92" s="21">
        <v>120</v>
      </c>
      <c r="J92" s="17">
        <f t="shared" si="10"/>
        <v>120</v>
      </c>
      <c r="K92" s="18" t="s">
        <v>334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+'12'!G97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+'12'!G101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+'12'!G102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+'12'!G106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13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115</v>
      </c>
      <c r="C107" s="12">
        <f>+'12'!G107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+'12'!G109</f>
        <v>7</v>
      </c>
      <c r="D109" s="13">
        <v>0</v>
      </c>
      <c r="E109" s="12">
        <f t="shared" si="11"/>
        <v>7</v>
      </c>
      <c r="F109" s="13">
        <v>0</v>
      </c>
      <c r="G109" s="14">
        <f t="shared" si="6"/>
        <v>7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+'12'!G150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+'12'!G151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+'12'!G152</f>
        <v>7</v>
      </c>
      <c r="D152" s="13">
        <v>0</v>
      </c>
      <c r="E152" s="12">
        <f t="shared" si="11"/>
        <v>7</v>
      </c>
      <c r="F152" s="13">
        <v>0</v>
      </c>
      <c r="G152" s="14">
        <f t="shared" si="6"/>
        <v>6</v>
      </c>
      <c r="H152" s="15">
        <v>1</v>
      </c>
      <c r="I152" s="22">
        <v>120</v>
      </c>
      <c r="J152" s="17">
        <f t="shared" si="13"/>
        <v>120</v>
      </c>
      <c r="K152" s="18" t="s">
        <v>296</v>
      </c>
      <c r="L152" s="19">
        <v>120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+'12'!G153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+'12'!G154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+'12'!G155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+'12'!G156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+'12'!G157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+'12'!G161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+'12'!G162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+'12'!G164</f>
        <v>8</v>
      </c>
      <c r="D164" s="13">
        <v>0</v>
      </c>
      <c r="E164" s="12">
        <f t="shared" si="11"/>
        <v>8</v>
      </c>
      <c r="F164" s="13">
        <v>0</v>
      </c>
      <c r="G164" s="14">
        <f t="shared" si="14"/>
        <v>7</v>
      </c>
      <c r="H164" s="15">
        <v>1</v>
      </c>
      <c r="I164" s="22">
        <v>50</v>
      </c>
      <c r="J164" s="17">
        <f t="shared" si="13"/>
        <v>50</v>
      </c>
      <c r="K164" s="18" t="s">
        <v>17</v>
      </c>
      <c r="L164" s="19">
        <v>0</v>
      </c>
      <c r="M164" s="24">
        <f t="shared" si="12"/>
        <v>50</v>
      </c>
    </row>
    <row r="165" spans="1:13" ht="25.5">
      <c r="A165" s="10">
        <v>161</v>
      </c>
      <c r="B165" s="20" t="s">
        <v>172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+'12'!G168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+'12'!G170</f>
        <v>10</v>
      </c>
      <c r="D170" s="13">
        <v>0</v>
      </c>
      <c r="E170" s="12">
        <f t="shared" si="11"/>
        <v>10</v>
      </c>
      <c r="F170" s="13">
        <v>0</v>
      </c>
      <c r="G170" s="14">
        <f t="shared" si="14"/>
        <v>9</v>
      </c>
      <c r="H170" s="15">
        <v>1</v>
      </c>
      <c r="I170" s="22">
        <v>80</v>
      </c>
      <c r="J170" s="17">
        <f t="shared" si="13"/>
        <v>80</v>
      </c>
      <c r="K170" s="18" t="s">
        <v>17</v>
      </c>
      <c r="L170" s="19">
        <v>0</v>
      </c>
      <c r="M170" s="24">
        <f t="shared" si="12"/>
        <v>80</v>
      </c>
    </row>
    <row r="171" spans="1:13" ht="25.5">
      <c r="A171" s="10">
        <v>167</v>
      </c>
      <c r="B171" s="20" t="s">
        <v>178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+'12'!G179</f>
        <v>58</v>
      </c>
      <c r="D179" s="13">
        <v>0</v>
      </c>
      <c r="E179" s="12">
        <f t="shared" si="11"/>
        <v>58</v>
      </c>
      <c r="F179" s="13">
        <v>0</v>
      </c>
      <c r="G179" s="14">
        <f t="shared" si="14"/>
        <v>57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187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+'12'!G181</f>
        <v>19</v>
      </c>
      <c r="D181" s="13">
        <v>0</v>
      </c>
      <c r="E181" s="12">
        <f t="shared" si="11"/>
        <v>19</v>
      </c>
      <c r="F181" s="13">
        <v>0</v>
      </c>
      <c r="G181" s="14">
        <f t="shared" si="14"/>
        <v>14</v>
      </c>
      <c r="H181" s="15">
        <v>5</v>
      </c>
      <c r="I181" s="22">
        <v>10</v>
      </c>
      <c r="J181" s="17">
        <f t="shared" si="13"/>
        <v>50</v>
      </c>
      <c r="K181" s="18" t="s">
        <v>17</v>
      </c>
      <c r="L181" s="19">
        <v>0</v>
      </c>
      <c r="M181" s="24">
        <f t="shared" si="12"/>
        <v>50</v>
      </c>
    </row>
    <row r="182" spans="1:13" ht="25.5">
      <c r="A182" s="10">
        <v>178</v>
      </c>
      <c r="B182" s="20" t="s">
        <v>189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+'12'!G183</f>
        <v>18</v>
      </c>
      <c r="D183" s="13">
        <v>0</v>
      </c>
      <c r="E183" s="12">
        <f t="shared" si="11"/>
        <v>18</v>
      </c>
      <c r="F183" s="13">
        <v>0</v>
      </c>
      <c r="G183" s="14">
        <f t="shared" si="14"/>
        <v>17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>
        <v>0</v>
      </c>
      <c r="M183" s="24">
        <f t="shared" si="12"/>
        <v>10</v>
      </c>
    </row>
    <row r="184" spans="1:13" ht="25.5">
      <c r="A184" s="10">
        <v>180</v>
      </c>
      <c r="B184" s="20" t="s">
        <v>191</v>
      </c>
      <c r="C184" s="12">
        <f>+'12'!G184</f>
        <v>15</v>
      </c>
      <c r="D184" s="13">
        <v>0</v>
      </c>
      <c r="E184" s="12">
        <f t="shared" si="11"/>
        <v>15</v>
      </c>
      <c r="F184" s="13">
        <v>0</v>
      </c>
      <c r="G184" s="14">
        <f t="shared" si="14"/>
        <v>11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>
      <c r="A185" s="10">
        <v>181</v>
      </c>
      <c r="B185" s="20" t="s">
        <v>192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17</v>
      </c>
      <c r="L189" s="19">
        <v>0</v>
      </c>
      <c r="M189" s="24">
        <f t="shared" si="12"/>
        <v>30</v>
      </c>
    </row>
    <row r="190" spans="1:13" ht="25.5">
      <c r="A190" s="10">
        <v>186</v>
      </c>
      <c r="B190" s="20" t="s">
        <v>197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+'12'!G199</f>
        <v>254</v>
      </c>
      <c r="D199" s="13">
        <v>0</v>
      </c>
      <c r="E199" s="12">
        <f t="shared" si="11"/>
        <v>254</v>
      </c>
      <c r="F199" s="13">
        <v>1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266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264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0">
        <v>207</v>
      </c>
      <c r="B211" s="20" t="s">
        <v>309</v>
      </c>
      <c r="C211" s="12">
        <f>+'12'!G211</f>
        <v>0</v>
      </c>
      <c r="D211" s="13">
        <v>0</v>
      </c>
      <c r="E211" s="12">
        <f t="shared" ref="E211:E218" si="18">C211+D211</f>
        <v>0</v>
      </c>
      <c r="F211" s="13">
        <v>0</v>
      </c>
      <c r="G211" s="14">
        <f t="shared" ref="G211:G218" si="19">E211-F211-H211</f>
        <v>0</v>
      </c>
      <c r="H211" s="15">
        <v>0</v>
      </c>
      <c r="I211" s="22">
        <v>50</v>
      </c>
      <c r="J211" s="17">
        <f t="shared" ref="J211:J218" si="20">+I211*H211</f>
        <v>0</v>
      </c>
      <c r="K211" s="18" t="s">
        <v>17</v>
      </c>
      <c r="L211" s="19">
        <v>0</v>
      </c>
      <c r="M211" s="24">
        <f t="shared" ref="M211:M218" si="21">SUM(J211-L211)</f>
        <v>0</v>
      </c>
    </row>
    <row r="212" spans="1:18" ht="25.5">
      <c r="A212" s="10">
        <v>208</v>
      </c>
      <c r="B212" s="20" t="s">
        <v>310</v>
      </c>
      <c r="C212" s="12">
        <f>+'12'!G212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18" ht="25.5">
      <c r="A213" s="10">
        <v>209</v>
      </c>
      <c r="B213" s="20" t="s">
        <v>311</v>
      </c>
      <c r="C213" s="12">
        <f>+'12'!G213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18" ht="25.5">
      <c r="A214" s="10">
        <v>210</v>
      </c>
      <c r="B214" s="20" t="s">
        <v>312</v>
      </c>
      <c r="C214" s="12">
        <f>+'12'!G214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18" ht="25.5">
      <c r="A215" s="10">
        <v>211</v>
      </c>
      <c r="B215" s="20" t="s">
        <v>274</v>
      </c>
      <c r="C215" s="12">
        <f>+'12'!G215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18" ht="25.5">
      <c r="A216" s="10">
        <v>212</v>
      </c>
      <c r="B216" s="20" t="s">
        <v>344</v>
      </c>
      <c r="C216" s="12">
        <f>+'12'!G216</f>
        <v>5</v>
      </c>
      <c r="D216" s="13">
        <v>0</v>
      </c>
      <c r="E216" s="12">
        <f t="shared" si="18"/>
        <v>5</v>
      </c>
      <c r="F216" s="13">
        <v>0</v>
      </c>
      <c r="G216" s="14">
        <f t="shared" si="19"/>
        <v>4</v>
      </c>
      <c r="H216" s="15">
        <v>1</v>
      </c>
      <c r="I216" s="22">
        <v>65</v>
      </c>
      <c r="J216" s="17">
        <f t="shared" si="20"/>
        <v>65</v>
      </c>
      <c r="K216" s="18" t="s">
        <v>17</v>
      </c>
      <c r="L216" s="19">
        <v>15</v>
      </c>
      <c r="M216" s="24">
        <f t="shared" si="21"/>
        <v>50</v>
      </c>
    </row>
    <row r="217" spans="1:18" ht="25.5">
      <c r="A217" s="10">
        <v>213</v>
      </c>
      <c r="B217" s="20" t="s">
        <v>345</v>
      </c>
      <c r="C217" s="12">
        <f>+'12'!G217</f>
        <v>5</v>
      </c>
      <c r="D217" s="13">
        <v>0</v>
      </c>
      <c r="E217" s="12">
        <f t="shared" si="18"/>
        <v>5</v>
      </c>
      <c r="F217" s="13">
        <v>0</v>
      </c>
      <c r="G217" s="14">
        <f t="shared" si="19"/>
        <v>5</v>
      </c>
      <c r="H217" s="15">
        <v>0</v>
      </c>
      <c r="I217" s="22">
        <v>50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18" ht="25.5">
      <c r="A218" s="10">
        <v>214</v>
      </c>
      <c r="B218" s="20" t="s">
        <v>346</v>
      </c>
      <c r="C218" s="12">
        <f>+'12'!G218</f>
        <v>10</v>
      </c>
      <c r="D218" s="13">
        <v>0</v>
      </c>
      <c r="E218" s="12">
        <f t="shared" si="18"/>
        <v>10</v>
      </c>
      <c r="F218" s="13">
        <v>0</v>
      </c>
      <c r="G218" s="14">
        <f t="shared" si="19"/>
        <v>9</v>
      </c>
      <c r="H218" s="15">
        <v>1</v>
      </c>
      <c r="I218" s="22">
        <v>50</v>
      </c>
      <c r="J218" s="17">
        <f t="shared" si="20"/>
        <v>50</v>
      </c>
      <c r="K218" s="18" t="s">
        <v>17</v>
      </c>
      <c r="L218" s="19">
        <v>0</v>
      </c>
      <c r="M218" s="24">
        <f t="shared" si="21"/>
        <v>50</v>
      </c>
    </row>
    <row r="219" spans="1:18" ht="25.5">
      <c r="A219" s="1"/>
      <c r="C219" s="25"/>
      <c r="D219" s="26"/>
      <c r="E219" s="25"/>
      <c r="F219" s="26"/>
      <c r="G219" s="25"/>
      <c r="H219" s="25"/>
      <c r="I219" s="27"/>
      <c r="J219" s="29"/>
      <c r="K219" s="28"/>
      <c r="L219" s="19">
        <v>0</v>
      </c>
      <c r="M219" s="154" t="s">
        <v>228</v>
      </c>
      <c r="N219" s="154"/>
    </row>
    <row r="220" spans="1:18" ht="25.5" customHeight="1">
      <c r="A220" s="1"/>
      <c r="C220" s="25"/>
      <c r="D220" s="26"/>
      <c r="E220" s="25"/>
      <c r="F220" s="26"/>
      <c r="G220" s="25"/>
      <c r="H220" s="155" t="s">
        <v>229</v>
      </c>
      <c r="I220" s="156"/>
      <c r="J220" s="31">
        <f>+X110</f>
        <v>0</v>
      </c>
      <c r="K220" s="28"/>
      <c r="L220" s="30"/>
    </row>
    <row r="221" spans="1:18" ht="25.5">
      <c r="A221" s="1"/>
      <c r="C221" s="32"/>
      <c r="E221" s="32"/>
      <c r="G221" s="32"/>
      <c r="H221" s="33"/>
      <c r="I221" s="157" t="s">
        <v>213</v>
      </c>
      <c r="J221" s="157"/>
      <c r="K221" s="34">
        <f>SUM(J5:J220)</f>
        <v>3770</v>
      </c>
    </row>
    <row r="222" spans="1:18" ht="25.5">
      <c r="A222" s="1"/>
      <c r="C222" s="32"/>
      <c r="E222" s="32"/>
      <c r="G222" s="32"/>
      <c r="I222" s="136" t="s">
        <v>214</v>
      </c>
      <c r="J222" s="137"/>
      <c r="K222" s="37">
        <v>0</v>
      </c>
    </row>
    <row r="223" spans="1:18" ht="25.5">
      <c r="A223" s="1"/>
      <c r="C223" s="32"/>
      <c r="E223" s="32"/>
      <c r="G223" s="32"/>
      <c r="I223" s="35" t="s">
        <v>215</v>
      </c>
      <c r="J223" s="36"/>
      <c r="K223" s="37">
        <f>SUM(L223:BO223)</f>
        <v>658</v>
      </c>
      <c r="L223" s="38">
        <v>120</v>
      </c>
      <c r="M223" s="2">
        <v>30</v>
      </c>
      <c r="N223" s="2">
        <v>10</v>
      </c>
      <c r="O223" s="2">
        <v>128</v>
      </c>
      <c r="P223" s="2">
        <v>260</v>
      </c>
      <c r="Q223" s="2">
        <v>50</v>
      </c>
      <c r="R223" s="2">
        <v>60</v>
      </c>
    </row>
    <row r="224" spans="1:18" ht="25.5">
      <c r="A224" s="1"/>
      <c r="C224" s="32"/>
      <c r="D224" s="91"/>
      <c r="E224" s="32"/>
      <c r="G224" s="39"/>
      <c r="I224" s="136" t="s">
        <v>216</v>
      </c>
      <c r="J224" s="137"/>
      <c r="K224" s="37">
        <v>0</v>
      </c>
    </row>
    <row r="225" spans="1:15" ht="25.5">
      <c r="A225" s="1"/>
      <c r="B225" s="2" t="s">
        <v>351</v>
      </c>
      <c r="C225" s="90"/>
      <c r="E225" s="32"/>
      <c r="G225" s="32"/>
      <c r="I225" s="136" t="s">
        <v>217</v>
      </c>
      <c r="J225" s="137"/>
      <c r="K225" s="37">
        <f>SUM(L225:N225)</f>
        <v>106</v>
      </c>
      <c r="L225" s="2">
        <v>106</v>
      </c>
    </row>
    <row r="226" spans="1:15" ht="25.5">
      <c r="A226" s="1"/>
      <c r="C226" s="32"/>
      <c r="E226" s="32"/>
      <c r="G226" s="32"/>
      <c r="I226" s="136" t="s">
        <v>218</v>
      </c>
      <c r="J226" s="137"/>
      <c r="K226" s="93">
        <f>SUM(L5:L219)</f>
        <v>895</v>
      </c>
      <c r="M226" s="94" t="s">
        <v>219</v>
      </c>
      <c r="N226" s="40" t="s">
        <v>220</v>
      </c>
      <c r="O226" s="41" t="s">
        <v>221</v>
      </c>
    </row>
    <row r="227" spans="1:15" ht="25.5">
      <c r="A227" s="1"/>
      <c r="C227" s="32"/>
      <c r="E227" s="32"/>
      <c r="G227" s="32"/>
      <c r="I227" s="136" t="s">
        <v>222</v>
      </c>
      <c r="J227" s="137"/>
      <c r="K227" s="34">
        <f>K221-K222-K223-K225-K226</f>
        <v>2111</v>
      </c>
      <c r="M227" s="42"/>
      <c r="N227" s="42">
        <v>200</v>
      </c>
      <c r="O227" s="42">
        <v>540</v>
      </c>
    </row>
    <row r="228" spans="1:15" ht="25.5">
      <c r="A228" s="1"/>
      <c r="C228" s="32"/>
      <c r="E228" s="32"/>
      <c r="G228" s="32"/>
      <c r="I228" s="136" t="s">
        <v>223</v>
      </c>
      <c r="J228" s="137"/>
      <c r="K228" s="93">
        <v>2111</v>
      </c>
      <c r="M228" s="42"/>
      <c r="N228" s="42"/>
      <c r="O228" s="42"/>
    </row>
    <row r="229" spans="1:15" ht="25.5">
      <c r="A229" s="1"/>
      <c r="C229" s="32"/>
      <c r="E229" s="32"/>
      <c r="G229" s="32"/>
      <c r="I229" s="136" t="s">
        <v>224</v>
      </c>
      <c r="J229" s="137"/>
      <c r="K229" s="34">
        <f>+K228-K227</f>
        <v>0</v>
      </c>
      <c r="M229" s="42"/>
      <c r="N229" s="42"/>
      <c r="O229" s="42"/>
    </row>
    <row r="230" spans="1:15" ht="25.5">
      <c r="G230" s="2"/>
      <c r="I230" s="136" t="s">
        <v>225</v>
      </c>
      <c r="J230" s="137"/>
      <c r="K230" s="34">
        <f>+K228-K227</f>
        <v>0</v>
      </c>
      <c r="M230" s="43"/>
      <c r="N230" s="43"/>
      <c r="O230" s="43"/>
    </row>
    <row r="231" spans="1:15">
      <c r="G231" s="2"/>
      <c r="I231" s="28"/>
      <c r="M231" s="43"/>
      <c r="N231" s="43"/>
      <c r="O231" s="43"/>
    </row>
    <row r="232" spans="1:15">
      <c r="G232" s="2"/>
      <c r="I232" s="2" t="s">
        <v>276</v>
      </c>
      <c r="J232" s="2">
        <f>+K221-K226+K229</f>
        <v>2875</v>
      </c>
      <c r="M232" s="44"/>
      <c r="N232" s="44"/>
      <c r="O232" s="44"/>
    </row>
    <row r="233" spans="1:15">
      <c r="G233" s="2"/>
      <c r="I233" s="2" t="s">
        <v>277</v>
      </c>
      <c r="J233" s="2">
        <f>SUM(K222:K225)</f>
        <v>764</v>
      </c>
      <c r="M233" s="45">
        <f>SUM(M227:M232)</f>
        <v>0</v>
      </c>
      <c r="N233" s="45">
        <f>SUM(N227:N232)</f>
        <v>200</v>
      </c>
      <c r="O233" s="45">
        <f>SUM(O227:O232)</f>
        <v>540</v>
      </c>
    </row>
    <row r="234" spans="1:15">
      <c r="G234" s="2"/>
      <c r="I234" s="2" t="s">
        <v>278</v>
      </c>
      <c r="J234" s="2">
        <f>+K228</f>
        <v>2111</v>
      </c>
      <c r="M234" s="46" t="s">
        <v>226</v>
      </c>
      <c r="N234" s="47">
        <f>N233*30/100</f>
        <v>60</v>
      </c>
      <c r="O234" s="47">
        <f>O233*30/100</f>
        <v>162</v>
      </c>
    </row>
    <row r="235" spans="1:15">
      <c r="G235" s="2"/>
      <c r="I235" s="2"/>
      <c r="M235" s="46" t="s">
        <v>227</v>
      </c>
      <c r="N235" s="47">
        <f>N234*7/100</f>
        <v>4.2</v>
      </c>
      <c r="O235" s="47">
        <f>O234*7/100</f>
        <v>11.34</v>
      </c>
    </row>
    <row r="236" spans="1:15">
      <c r="G236" s="2"/>
      <c r="I236" s="2"/>
      <c r="M236" s="95" t="s">
        <v>6</v>
      </c>
      <c r="N236" s="48">
        <f>N233-N234-N235</f>
        <v>135.80000000000001</v>
      </c>
      <c r="O236" s="48">
        <f>O233-O234-O235</f>
        <v>366.66</v>
      </c>
    </row>
    <row r="237" spans="1:15">
      <c r="G237" s="2"/>
      <c r="I237" s="2"/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</sheetData>
  <autoFilter ref="A1:Y230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theme="5" tint="0.79998168889431442"/>
  </sheetPr>
  <dimension ref="A1:Z306"/>
  <sheetViews>
    <sheetView zoomScaleNormal="100" zoomScalePageLayoutView="110" workbookViewId="0">
      <pane ySplit="4" topLeftCell="A210" activePane="bottomLeft" state="frozen"/>
      <selection pane="bottomLeft" activeCell="A211" sqref="A211:B21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+'13'!G5</f>
        <v>10</v>
      </c>
      <c r="D5" s="13">
        <v>0</v>
      </c>
      <c r="E5" s="12">
        <f t="shared" ref="E5:E94" si="0">C5+D5</f>
        <v>10</v>
      </c>
      <c r="F5" s="13">
        <v>1</v>
      </c>
      <c r="G5" s="14">
        <f t="shared" ref="G5:G68" si="1">E5-F5-H5</f>
        <v>8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+'13'!G6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69</v>
      </c>
      <c r="H6" s="15">
        <v>4</v>
      </c>
      <c r="I6" s="16">
        <v>100</v>
      </c>
      <c r="J6" s="17">
        <f t="shared" ref="J6:J70" si="4">+I6*H6</f>
        <v>400</v>
      </c>
      <c r="K6" s="18" t="s">
        <v>17</v>
      </c>
      <c r="L6" s="19">
        <v>0</v>
      </c>
      <c r="M6" s="24">
        <f t="shared" ref="M6:M69" si="5">SUM(J6-L6)</f>
        <v>400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+'13'!G12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0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4"/>
        <v>50</v>
      </c>
      <c r="K17" s="18" t="s">
        <v>17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17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+'13'!G34</f>
        <v>10</v>
      </c>
      <c r="D34" s="13">
        <v>0</v>
      </c>
      <c r="E34" s="14">
        <f t="shared" si="0"/>
        <v>10</v>
      </c>
      <c r="F34" s="13">
        <v>0</v>
      </c>
      <c r="G34" s="14">
        <f t="shared" si="1"/>
        <v>9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10</v>
      </c>
      <c r="D35" s="13">
        <v>0</v>
      </c>
      <c r="E35" s="14">
        <f t="shared" si="0"/>
        <v>10</v>
      </c>
      <c r="F35" s="13">
        <v>0</v>
      </c>
      <c r="G35" s="14">
        <f t="shared" si="1"/>
        <v>10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4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337</v>
      </c>
      <c r="L44" s="19">
        <v>3</v>
      </c>
      <c r="M44" s="24">
        <f t="shared" si="5"/>
        <v>47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337</v>
      </c>
      <c r="L46" s="19">
        <v>2.5</v>
      </c>
      <c r="M46" s="24">
        <f t="shared" si="5"/>
        <v>47.5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337</v>
      </c>
      <c r="L47" s="19">
        <v>2.5</v>
      </c>
      <c r="M47" s="24">
        <f t="shared" si="5"/>
        <v>47.5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1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5</v>
      </c>
      <c r="H61" s="15">
        <v>1</v>
      </c>
      <c r="I61" s="16">
        <v>50</v>
      </c>
      <c r="J61" s="17">
        <f t="shared" si="4"/>
        <v>50</v>
      </c>
      <c r="K61" s="18" t="s">
        <v>332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+'13'!G62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6</v>
      </c>
      <c r="H62" s="15">
        <v>1</v>
      </c>
      <c r="I62" s="22">
        <v>50</v>
      </c>
      <c r="J62" s="17">
        <f t="shared" si="4"/>
        <v>50</v>
      </c>
      <c r="K62" s="18" t="s">
        <v>317</v>
      </c>
      <c r="L62" s="19">
        <v>50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+'13'!G63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19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17">
        <f t="shared" si="4"/>
        <v>50</v>
      </c>
      <c r="K67" s="18" t="s">
        <v>317</v>
      </c>
      <c r="L67" s="19">
        <v>50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+'13'!G70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+'13'!G71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+'13'!G79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+'13'!G86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+'13'!G87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+'13'!G88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+'13'!G92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18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+'13'!G93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4</v>
      </c>
      <c r="H93" s="15">
        <v>3</v>
      </c>
      <c r="I93" s="22">
        <v>250</v>
      </c>
      <c r="J93" s="17">
        <f t="shared" si="10"/>
        <v>750</v>
      </c>
      <c r="K93" s="18" t="s">
        <v>335</v>
      </c>
      <c r="L93" s="19">
        <v>75</v>
      </c>
      <c r="M93" s="24">
        <f t="shared" si="9"/>
        <v>675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+'13'!G97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+'13'!G101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19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+'13'!G102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+'13'!G106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10</v>
      </c>
      <c r="H106" s="15">
        <v>3</v>
      </c>
      <c r="I106" s="21">
        <v>20</v>
      </c>
      <c r="J106" s="17">
        <f t="shared" si="10"/>
        <v>60</v>
      </c>
      <c r="K106" s="18" t="s">
        <v>337</v>
      </c>
      <c r="L106" s="19">
        <v>1</v>
      </c>
      <c r="M106" s="24">
        <f t="shared" si="9"/>
        <v>59</v>
      </c>
      <c r="Z106" s="30"/>
    </row>
    <row r="107" spans="1:26" ht="26.25" customHeight="1">
      <c r="A107" s="10">
        <v>103</v>
      </c>
      <c r="B107" s="20" t="s">
        <v>115</v>
      </c>
      <c r="C107" s="12">
        <f>+'13'!G107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+'13'!G109</f>
        <v>7</v>
      </c>
      <c r="D109" s="13">
        <v>0</v>
      </c>
      <c r="E109" s="12">
        <f t="shared" si="11"/>
        <v>7</v>
      </c>
      <c r="F109" s="13">
        <v>0</v>
      </c>
      <c r="G109" s="14">
        <f t="shared" si="6"/>
        <v>4</v>
      </c>
      <c r="H109" s="15">
        <v>3</v>
      </c>
      <c r="I109" s="22">
        <v>120</v>
      </c>
      <c r="J109" s="17">
        <f t="shared" si="10"/>
        <v>360</v>
      </c>
      <c r="K109" s="18" t="s">
        <v>352</v>
      </c>
      <c r="L109" s="19">
        <v>140</v>
      </c>
      <c r="M109" s="24">
        <f t="shared" si="9"/>
        <v>220</v>
      </c>
      <c r="Z109" s="38"/>
    </row>
    <row r="110" spans="1:26" ht="25.5">
      <c r="A110" s="10">
        <v>106</v>
      </c>
      <c r="B110" s="20" t="s">
        <v>119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+'13'!G150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+'13'!G151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+'13'!G152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+'13'!G153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+'13'!G154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+'13'!G155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+'13'!G156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0</v>
      </c>
      <c r="H156" s="15">
        <v>1</v>
      </c>
      <c r="I156" s="22">
        <v>185</v>
      </c>
      <c r="J156" s="17">
        <f t="shared" si="13"/>
        <v>185</v>
      </c>
      <c r="K156" s="18" t="s">
        <v>17</v>
      </c>
      <c r="L156" s="19">
        <v>0</v>
      </c>
      <c r="M156" s="24">
        <f t="shared" si="12"/>
        <v>185</v>
      </c>
    </row>
    <row r="157" spans="1:13" ht="25.5">
      <c r="A157" s="10">
        <v>153</v>
      </c>
      <c r="B157" s="20" t="s">
        <v>166</v>
      </c>
      <c r="C157" s="12">
        <f>+'13'!G157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+'13'!G161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+'13'!G162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+'13'!G164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+'13'!G168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+'13'!G170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+'13'!G179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+'13'!G181</f>
        <v>14</v>
      </c>
      <c r="D181" s="13">
        <v>0</v>
      </c>
      <c r="E181" s="12">
        <f t="shared" si="11"/>
        <v>14</v>
      </c>
      <c r="F181" s="13">
        <v>0</v>
      </c>
      <c r="G181" s="14">
        <f t="shared" si="14"/>
        <v>12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189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+'13'!G183</f>
        <v>17</v>
      </c>
      <c r="D183" s="13">
        <v>0</v>
      </c>
      <c r="E183" s="12">
        <f t="shared" si="11"/>
        <v>17</v>
      </c>
      <c r="F183" s="13">
        <v>0</v>
      </c>
      <c r="G183" s="14">
        <f t="shared" si="14"/>
        <v>17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191</v>
      </c>
      <c r="C184" s="12">
        <f>+'13'!G184</f>
        <v>11</v>
      </c>
      <c r="D184" s="13">
        <v>0</v>
      </c>
      <c r="E184" s="12">
        <f t="shared" si="11"/>
        <v>11</v>
      </c>
      <c r="F184" s="13">
        <v>0</v>
      </c>
      <c r="G184" s="14">
        <f t="shared" si="14"/>
        <v>9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24">
        <f t="shared" si="12"/>
        <v>20</v>
      </c>
    </row>
    <row r="185" spans="1:13" ht="25.5">
      <c r="A185" s="10">
        <v>181</v>
      </c>
      <c r="B185" s="20" t="s">
        <v>192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197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+'13'!G199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266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264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0">
        <v>207</v>
      </c>
      <c r="B211" s="20" t="s">
        <v>309</v>
      </c>
      <c r="C211" s="12">
        <f>+'13'!G211</f>
        <v>0</v>
      </c>
      <c r="D211" s="13">
        <v>0</v>
      </c>
      <c r="E211" s="12">
        <f t="shared" ref="E211:E218" si="18">C211+D211</f>
        <v>0</v>
      </c>
      <c r="F211" s="13">
        <v>0</v>
      </c>
      <c r="G211" s="14">
        <f t="shared" ref="G211:G218" si="19">E211-F211-H211</f>
        <v>0</v>
      </c>
      <c r="H211" s="15">
        <v>0</v>
      </c>
      <c r="I211" s="16">
        <v>60</v>
      </c>
      <c r="J211" s="17">
        <f t="shared" ref="J211:J218" si="20">+I211*H211</f>
        <v>0</v>
      </c>
      <c r="K211" s="18" t="s">
        <v>17</v>
      </c>
      <c r="L211" s="19">
        <v>0</v>
      </c>
      <c r="M211" s="24">
        <f t="shared" ref="M211:M218" si="21">SUM(J211-L211)</f>
        <v>0</v>
      </c>
    </row>
    <row r="212" spans="1:18" ht="25.5">
      <c r="A212" s="10">
        <v>208</v>
      </c>
      <c r="B212" s="20" t="s">
        <v>310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18" ht="25.5">
      <c r="A213" s="10">
        <v>209</v>
      </c>
      <c r="B213" s="20" t="s">
        <v>311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18" ht="25.5">
      <c r="A214" s="10">
        <v>210</v>
      </c>
      <c r="B214" s="20" t="s">
        <v>312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18" ht="25.5">
      <c r="A215" s="10">
        <v>211</v>
      </c>
      <c r="B215" s="20" t="s">
        <v>274</v>
      </c>
      <c r="C215" s="12">
        <f>+'13'!G215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18" ht="25.5">
      <c r="A216" s="10">
        <v>212</v>
      </c>
      <c r="B216" s="20" t="s">
        <v>344</v>
      </c>
      <c r="C216" s="12">
        <f>+'13'!G216</f>
        <v>4</v>
      </c>
      <c r="D216" s="13">
        <v>0</v>
      </c>
      <c r="E216" s="12">
        <f t="shared" si="18"/>
        <v>4</v>
      </c>
      <c r="F216" s="13">
        <v>0</v>
      </c>
      <c r="G216" s="14">
        <f t="shared" si="19"/>
        <v>4</v>
      </c>
      <c r="H216" s="15">
        <v>0</v>
      </c>
      <c r="I216" s="16">
        <v>60</v>
      </c>
      <c r="J216" s="17">
        <f t="shared" si="20"/>
        <v>0</v>
      </c>
      <c r="K216" s="18" t="s">
        <v>17</v>
      </c>
      <c r="L216" s="19">
        <v>0</v>
      </c>
      <c r="M216" s="24">
        <f t="shared" si="21"/>
        <v>0</v>
      </c>
    </row>
    <row r="217" spans="1:18" ht="25.5">
      <c r="A217" s="10">
        <v>213</v>
      </c>
      <c r="B217" s="20" t="s">
        <v>345</v>
      </c>
      <c r="C217" s="12">
        <f>+'13'!G217</f>
        <v>5</v>
      </c>
      <c r="D217" s="13">
        <v>5</v>
      </c>
      <c r="E217" s="12">
        <f t="shared" si="18"/>
        <v>10</v>
      </c>
      <c r="F217" s="13">
        <v>0</v>
      </c>
      <c r="G217" s="14">
        <f t="shared" si="19"/>
        <v>10</v>
      </c>
      <c r="H217" s="15">
        <v>0</v>
      </c>
      <c r="I217" s="16">
        <v>60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18" ht="25.5">
      <c r="A218" s="10">
        <v>214</v>
      </c>
      <c r="B218" s="20" t="s">
        <v>346</v>
      </c>
      <c r="C218" s="12">
        <f>+'13'!G218</f>
        <v>9</v>
      </c>
      <c r="D218" s="13">
        <v>0</v>
      </c>
      <c r="E218" s="12">
        <f t="shared" si="18"/>
        <v>9</v>
      </c>
      <c r="F218" s="13">
        <v>0</v>
      </c>
      <c r="G218" s="14">
        <f t="shared" si="19"/>
        <v>9</v>
      </c>
      <c r="H218" s="15">
        <v>0</v>
      </c>
      <c r="I218" s="16">
        <v>60</v>
      </c>
      <c r="J218" s="17">
        <f t="shared" si="20"/>
        <v>0</v>
      </c>
      <c r="K218" s="18" t="s">
        <v>17</v>
      </c>
      <c r="L218" s="19">
        <v>0</v>
      </c>
      <c r="M218" s="24">
        <f t="shared" si="21"/>
        <v>0</v>
      </c>
    </row>
    <row r="219" spans="1:18" ht="25.5">
      <c r="A219" s="1">
        <v>215</v>
      </c>
      <c r="B219" s="20" t="s">
        <v>353</v>
      </c>
      <c r="C219" s="12">
        <f>+'13'!G219</f>
        <v>0</v>
      </c>
      <c r="D219" s="13">
        <v>10</v>
      </c>
      <c r="E219" s="12">
        <f t="shared" ref="E219" si="22">C219+D219</f>
        <v>10</v>
      </c>
      <c r="F219" s="13">
        <v>0</v>
      </c>
      <c r="G219" s="14">
        <f t="shared" ref="G219" si="23">E219-F219-H219</f>
        <v>10</v>
      </c>
      <c r="H219" s="15">
        <v>0</v>
      </c>
      <c r="I219" s="16">
        <v>45</v>
      </c>
      <c r="J219" s="17">
        <f t="shared" ref="J219" si="24">+I219*H219</f>
        <v>0</v>
      </c>
      <c r="K219" s="18" t="s">
        <v>17</v>
      </c>
      <c r="L219" s="19">
        <v>0</v>
      </c>
      <c r="M219" s="24">
        <f t="shared" ref="M219" si="25">SUM(J219-L219)</f>
        <v>0</v>
      </c>
    </row>
    <row r="220" spans="1:18" ht="25.5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54" t="s">
        <v>228</v>
      </c>
      <c r="N220" s="154"/>
    </row>
    <row r="221" spans="1:18" ht="25.5" customHeight="1">
      <c r="A221" s="1"/>
      <c r="C221" s="25"/>
      <c r="D221" s="26"/>
      <c r="E221" s="25"/>
      <c r="F221" s="26"/>
      <c r="G221" s="25"/>
      <c r="H221" s="155" t="s">
        <v>229</v>
      </c>
      <c r="I221" s="156"/>
      <c r="J221" s="31">
        <f>+X110</f>
        <v>0</v>
      </c>
      <c r="K221" s="28"/>
      <c r="L221" s="30"/>
    </row>
    <row r="222" spans="1:18" ht="25.5">
      <c r="A222" s="1"/>
      <c r="C222" s="32"/>
      <c r="E222" s="32"/>
      <c r="G222" s="32"/>
      <c r="H222" s="33"/>
      <c r="I222" s="157" t="s">
        <v>213</v>
      </c>
      <c r="J222" s="157"/>
      <c r="K222" s="34">
        <f>SUM(J5:J221)</f>
        <v>3080</v>
      </c>
    </row>
    <row r="223" spans="1:18" ht="25.5">
      <c r="A223" s="1"/>
      <c r="C223" s="32"/>
      <c r="E223" s="32"/>
      <c r="G223" s="32"/>
      <c r="I223" s="136" t="s">
        <v>214</v>
      </c>
      <c r="J223" s="137"/>
      <c r="K223" s="37">
        <v>0</v>
      </c>
    </row>
    <row r="224" spans="1:18" ht="25.5">
      <c r="A224" s="1"/>
      <c r="C224" s="32"/>
      <c r="E224" s="32"/>
      <c r="G224" s="32"/>
      <c r="I224" s="35" t="s">
        <v>215</v>
      </c>
      <c r="J224" s="36"/>
      <c r="K224" s="37">
        <f>SUM(L224:BO224)</f>
        <v>1586</v>
      </c>
      <c r="L224" s="38">
        <v>161</v>
      </c>
      <c r="M224" s="2">
        <v>245</v>
      </c>
      <c r="N224" s="2">
        <v>225</v>
      </c>
      <c r="O224" s="2">
        <v>205</v>
      </c>
      <c r="P224" s="2">
        <v>300</v>
      </c>
      <c r="Q224" s="2">
        <v>150</v>
      </c>
      <c r="R224" s="2">
        <v>300</v>
      </c>
    </row>
    <row r="225" spans="1:15" ht="25.5">
      <c r="A225" s="1"/>
      <c r="C225" s="32"/>
      <c r="D225" s="91"/>
      <c r="E225" s="32"/>
      <c r="G225" s="39"/>
      <c r="I225" s="136" t="s">
        <v>216</v>
      </c>
      <c r="J225" s="137"/>
      <c r="K225" s="37">
        <v>0</v>
      </c>
    </row>
    <row r="226" spans="1:15" ht="25.5">
      <c r="A226" s="1"/>
      <c r="B226" s="2" t="s">
        <v>354</v>
      </c>
      <c r="C226" s="90"/>
      <c r="E226" s="32"/>
      <c r="G226" s="32"/>
      <c r="I226" s="136" t="s">
        <v>217</v>
      </c>
      <c r="J226" s="137"/>
      <c r="K226" s="37">
        <v>5</v>
      </c>
      <c r="L226" s="2">
        <v>0</v>
      </c>
    </row>
    <row r="227" spans="1:15" ht="25.5">
      <c r="A227" s="1"/>
      <c r="C227" s="32"/>
      <c r="E227" s="32"/>
      <c r="G227" s="32"/>
      <c r="I227" s="136" t="s">
        <v>218</v>
      </c>
      <c r="J227" s="137"/>
      <c r="K227" s="93">
        <f>SUM(L5:L220)</f>
        <v>349</v>
      </c>
      <c r="M227" s="94" t="s">
        <v>219</v>
      </c>
      <c r="N227" s="40" t="s">
        <v>220</v>
      </c>
      <c r="O227" s="41" t="s">
        <v>221</v>
      </c>
    </row>
    <row r="228" spans="1:15" ht="25.5">
      <c r="A228" s="1"/>
      <c r="C228" s="32"/>
      <c r="E228" s="32"/>
      <c r="G228" s="32"/>
      <c r="I228" s="136" t="s">
        <v>222</v>
      </c>
      <c r="J228" s="137"/>
      <c r="K228" s="34">
        <f>K222-K223-K224-K226-K227</f>
        <v>1140</v>
      </c>
      <c r="M228" s="42"/>
      <c r="N228" s="42"/>
      <c r="O228" s="42">
        <v>110</v>
      </c>
    </row>
    <row r="229" spans="1:15" ht="25.5">
      <c r="A229" s="1"/>
      <c r="C229" s="32"/>
      <c r="E229" s="32"/>
      <c r="G229" s="32"/>
      <c r="I229" s="136" t="s">
        <v>223</v>
      </c>
      <c r="J229" s="137"/>
      <c r="K229" s="93">
        <v>1140</v>
      </c>
      <c r="M229" s="42"/>
      <c r="N229" s="42"/>
      <c r="O229" s="42"/>
    </row>
    <row r="230" spans="1:15" ht="25.5">
      <c r="A230" s="1"/>
      <c r="C230" s="32"/>
      <c r="E230" s="32"/>
      <c r="G230" s="32"/>
      <c r="I230" s="136" t="s">
        <v>224</v>
      </c>
      <c r="J230" s="137"/>
      <c r="K230" s="34">
        <f>+K229-K228</f>
        <v>0</v>
      </c>
      <c r="M230" s="42"/>
      <c r="N230" s="42"/>
      <c r="O230" s="42"/>
    </row>
    <row r="231" spans="1:15" ht="25.5">
      <c r="G231" s="2"/>
      <c r="I231" s="136" t="s">
        <v>225</v>
      </c>
      <c r="J231" s="137"/>
      <c r="K231" s="34">
        <f>+K229-K228</f>
        <v>0</v>
      </c>
      <c r="M231" s="43"/>
      <c r="N231" s="43"/>
      <c r="O231" s="43"/>
    </row>
    <row r="232" spans="1:15">
      <c r="G232" s="2"/>
      <c r="I232" s="28"/>
      <c r="M232" s="43"/>
      <c r="N232" s="43"/>
      <c r="O232" s="43"/>
    </row>
    <row r="233" spans="1:15">
      <c r="G233" s="2"/>
      <c r="I233" s="2" t="s">
        <v>276</v>
      </c>
      <c r="J233" s="2">
        <f>+K222-K227+K230</f>
        <v>2731</v>
      </c>
      <c r="M233" s="44"/>
      <c r="N233" s="44"/>
      <c r="O233" s="44"/>
    </row>
    <row r="234" spans="1:15">
      <c r="G234" s="2"/>
      <c r="I234" s="2" t="s">
        <v>277</v>
      </c>
      <c r="J234" s="2">
        <f>SUM(K223:K226)</f>
        <v>1591</v>
      </c>
      <c r="M234" s="45">
        <f>SUM(M228:M233)</f>
        <v>0</v>
      </c>
      <c r="N234" s="45">
        <f>SUM(N228:N233)</f>
        <v>0</v>
      </c>
      <c r="O234" s="45">
        <f>SUM(O228:O233)</f>
        <v>110</v>
      </c>
    </row>
    <row r="235" spans="1:15">
      <c r="G235" s="2"/>
      <c r="I235" s="2" t="s">
        <v>278</v>
      </c>
      <c r="J235" s="2">
        <f>+K229</f>
        <v>1140</v>
      </c>
      <c r="M235" s="46" t="s">
        <v>226</v>
      </c>
      <c r="N235" s="47">
        <f>N234*30/100</f>
        <v>0</v>
      </c>
      <c r="O235" s="47">
        <f>O234*30/100</f>
        <v>33</v>
      </c>
    </row>
    <row r="236" spans="1:15">
      <c r="G236" s="2"/>
      <c r="I236" s="2"/>
      <c r="M236" s="46" t="s">
        <v>227</v>
      </c>
      <c r="N236" s="47">
        <f>N235*7/100</f>
        <v>0</v>
      </c>
      <c r="O236" s="47">
        <f>O235*7/100</f>
        <v>2.31</v>
      </c>
    </row>
    <row r="237" spans="1:15">
      <c r="G237" s="2"/>
      <c r="I237" s="2"/>
      <c r="M237" s="95" t="s">
        <v>6</v>
      </c>
      <c r="N237" s="48">
        <f>N234-N235-N236</f>
        <v>0</v>
      </c>
      <c r="O237" s="48">
        <f>O234-O235-O236</f>
        <v>74.69</v>
      </c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theme="5" tint="0.79998168889431442"/>
  </sheetPr>
  <dimension ref="A1:Z306"/>
  <sheetViews>
    <sheetView zoomScaleNormal="100" zoomScalePageLayoutView="110" workbookViewId="0">
      <pane ySplit="4" topLeftCell="A210" activePane="bottomLeft" state="frozen"/>
      <selection pane="bottomLeft" activeCell="A211" sqref="A211:B21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+'14'!G5</f>
        <v>8</v>
      </c>
      <c r="D5" s="13">
        <v>0</v>
      </c>
      <c r="E5" s="12">
        <f t="shared" ref="E5:E94" si="0">C5+D5</f>
        <v>8</v>
      </c>
      <c r="F5" s="13">
        <v>0</v>
      </c>
      <c r="G5" s="14">
        <f t="shared" ref="G5:G68" si="1">E5-F5-H5</f>
        <v>6</v>
      </c>
      <c r="H5" s="15">
        <v>2</v>
      </c>
      <c r="I5" s="16">
        <v>50</v>
      </c>
      <c r="J5" s="17">
        <f>+I5*H5</f>
        <v>100</v>
      </c>
      <c r="K5" s="18" t="s">
        <v>17</v>
      </c>
      <c r="L5" s="19">
        <v>0</v>
      </c>
      <c r="M5" s="24">
        <f>SUM(J5-L5)</f>
        <v>100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+'14'!G6</f>
        <v>69</v>
      </c>
      <c r="D6" s="13">
        <v>0</v>
      </c>
      <c r="E6" s="12">
        <f t="shared" si="0"/>
        <v>69</v>
      </c>
      <c r="F6" s="13">
        <v>0</v>
      </c>
      <c r="G6" s="14">
        <f t="shared" si="1"/>
        <v>65</v>
      </c>
      <c r="H6" s="15">
        <v>4</v>
      </c>
      <c r="I6" s="16">
        <v>100</v>
      </c>
      <c r="J6" s="17">
        <f t="shared" ref="J6:J70" si="4">+I6*H6</f>
        <v>400</v>
      </c>
      <c r="K6" s="18" t="s">
        <v>338</v>
      </c>
      <c r="L6" s="19">
        <v>200</v>
      </c>
      <c r="M6" s="24">
        <f t="shared" ref="M6:M69" si="5">SUM(J6-L6)</f>
        <v>200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+'14'!G12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17</v>
      </c>
      <c r="D23" s="13">
        <v>10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1</v>
      </c>
      <c r="D24" s="13">
        <v>5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337</v>
      </c>
      <c r="L29" s="19">
        <v>5</v>
      </c>
      <c r="M29" s="24">
        <f t="shared" si="5"/>
        <v>95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+'14'!G34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10</v>
      </c>
      <c r="D35" s="13">
        <v>0</v>
      </c>
      <c r="E35" s="14">
        <f t="shared" si="0"/>
        <v>10</v>
      </c>
      <c r="F35" s="13">
        <v>0</v>
      </c>
      <c r="G35" s="14">
        <f t="shared" si="1"/>
        <v>8</v>
      </c>
      <c r="H35" s="15">
        <v>2</v>
      </c>
      <c r="I35" s="16">
        <v>130</v>
      </c>
      <c r="J35" s="17">
        <f t="shared" si="4"/>
        <v>260</v>
      </c>
      <c r="K35" s="18" t="s">
        <v>317</v>
      </c>
      <c r="L35" s="19">
        <v>130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8</v>
      </c>
      <c r="D37" s="13">
        <v>20</v>
      </c>
      <c r="E37" s="12">
        <f t="shared" si="0"/>
        <v>28</v>
      </c>
      <c r="F37" s="13">
        <v>0</v>
      </c>
      <c r="G37" s="14">
        <f t="shared" si="1"/>
        <v>27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4"/>
        <v>50</v>
      </c>
      <c r="K42" s="18" t="s">
        <v>337</v>
      </c>
      <c r="L42" s="19">
        <v>3</v>
      </c>
      <c r="M42" s="24">
        <f t="shared" si="5"/>
        <v>47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4</v>
      </c>
      <c r="D47" s="13">
        <v>5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0</v>
      </c>
      <c r="D48" s="13">
        <v>3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1</v>
      </c>
      <c r="D54" s="13">
        <v>2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2</v>
      </c>
      <c r="H55" s="15">
        <v>2</v>
      </c>
      <c r="I55" s="23">
        <v>120</v>
      </c>
      <c r="J55" s="17">
        <f t="shared" si="4"/>
        <v>240</v>
      </c>
      <c r="K55" s="18" t="s">
        <v>337</v>
      </c>
      <c r="L55" s="19">
        <v>6</v>
      </c>
      <c r="M55" s="24">
        <f t="shared" si="5"/>
        <v>234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+'14'!G62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+'14'!G63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18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332</v>
      </c>
      <c r="L67" s="19">
        <v>25</v>
      </c>
      <c r="M67" s="24">
        <f t="shared" si="5"/>
        <v>25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+'14'!G70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+'14'!G71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+'14'!G73</f>
        <v>0</v>
      </c>
      <c r="D73" s="13">
        <v>10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+'14'!G74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+'14'!G79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+'14'!G85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+'14'!G86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+'14'!G87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+'14'!G88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+'14'!G92</f>
        <v>18</v>
      </c>
      <c r="D92" s="13">
        <v>0</v>
      </c>
      <c r="E92" s="12">
        <f t="shared" si="0"/>
        <v>18</v>
      </c>
      <c r="F92" s="13">
        <v>0</v>
      </c>
      <c r="G92" s="14">
        <f t="shared" si="6"/>
        <v>12</v>
      </c>
      <c r="H92" s="15">
        <v>6</v>
      </c>
      <c r="I92" s="21">
        <v>120</v>
      </c>
      <c r="J92" s="17">
        <f t="shared" si="10"/>
        <v>720</v>
      </c>
      <c r="K92" s="18" t="s">
        <v>335</v>
      </c>
      <c r="L92" s="19">
        <v>72</v>
      </c>
      <c r="M92" s="24">
        <f t="shared" si="9"/>
        <v>648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+'14'!G93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3</v>
      </c>
      <c r="H93" s="15">
        <v>1</v>
      </c>
      <c r="I93" s="22">
        <v>250</v>
      </c>
      <c r="J93" s="17">
        <f t="shared" si="10"/>
        <v>250</v>
      </c>
      <c r="K93" s="18" t="s">
        <v>335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+'14'!G97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+'14'!G101</f>
        <v>19</v>
      </c>
      <c r="D101" s="13">
        <v>0</v>
      </c>
      <c r="E101" s="12">
        <f t="shared" si="11"/>
        <v>19</v>
      </c>
      <c r="F101" s="13">
        <v>0</v>
      </c>
      <c r="G101" s="14">
        <f t="shared" si="6"/>
        <v>18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+'14'!G102</f>
        <v>4</v>
      </c>
      <c r="D102" s="13">
        <v>10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8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115</v>
      </c>
      <c r="C107" s="12">
        <f>+'14'!G107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+'14'!G109</f>
        <v>4</v>
      </c>
      <c r="D109" s="13">
        <v>0</v>
      </c>
      <c r="E109" s="12">
        <f t="shared" si="11"/>
        <v>4</v>
      </c>
      <c r="F109" s="13">
        <v>0</v>
      </c>
      <c r="G109" s="14">
        <f t="shared" si="6"/>
        <v>3</v>
      </c>
      <c r="H109" s="15">
        <v>1</v>
      </c>
      <c r="I109" s="22">
        <v>50</v>
      </c>
      <c r="J109" s="17">
        <f t="shared" si="10"/>
        <v>50</v>
      </c>
      <c r="K109" s="18" t="s">
        <v>17</v>
      </c>
      <c r="L109" s="19">
        <v>0</v>
      </c>
      <c r="M109" s="24">
        <f t="shared" si="9"/>
        <v>50</v>
      </c>
      <c r="Z109" s="38"/>
    </row>
    <row r="110" spans="1:26" ht="25.5">
      <c r="A110" s="10">
        <v>106</v>
      </c>
      <c r="B110" s="20" t="s">
        <v>119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+'14'!G146</f>
        <v>0</v>
      </c>
      <c r="D146" s="13">
        <v>3</v>
      </c>
      <c r="E146" s="12">
        <f t="shared" si="11"/>
        <v>3</v>
      </c>
      <c r="F146" s="13">
        <v>0</v>
      </c>
      <c r="G146" s="14">
        <f t="shared" si="6"/>
        <v>2</v>
      </c>
      <c r="H146" s="15">
        <v>1</v>
      </c>
      <c r="I146" s="22">
        <v>185</v>
      </c>
      <c r="J146" s="17">
        <f t="shared" si="13"/>
        <v>185</v>
      </c>
      <c r="K146" s="18" t="s">
        <v>17</v>
      </c>
      <c r="L146" s="19">
        <v>0</v>
      </c>
      <c r="M146" s="24">
        <f t="shared" si="12"/>
        <v>185</v>
      </c>
    </row>
    <row r="147" spans="1:13" ht="25.5">
      <c r="A147" s="10">
        <v>143</v>
      </c>
      <c r="B147" s="20" t="s">
        <v>156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+'14'!G150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+'14'!G151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+'14'!G152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+'14'!G153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+'14'!G154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+'14'!G155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+'14'!G157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+'14'!G161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+'14'!G162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+'14'!G164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+'14'!G168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+'14'!G170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+'14'!G179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187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+'14'!G181</f>
        <v>12</v>
      </c>
      <c r="D181" s="13">
        <v>0</v>
      </c>
      <c r="E181" s="12">
        <f t="shared" si="11"/>
        <v>12</v>
      </c>
      <c r="F181" s="13">
        <v>0</v>
      </c>
      <c r="G181" s="14">
        <f t="shared" si="14"/>
        <v>10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189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+'14'!G183</f>
        <v>17</v>
      </c>
      <c r="D183" s="13">
        <v>0</v>
      </c>
      <c r="E183" s="12">
        <f t="shared" si="11"/>
        <v>17</v>
      </c>
      <c r="F183" s="13">
        <v>0</v>
      </c>
      <c r="G183" s="14">
        <f t="shared" si="14"/>
        <v>16</v>
      </c>
      <c r="H183" s="15">
        <v>1</v>
      </c>
      <c r="I183" s="22">
        <v>10</v>
      </c>
      <c r="J183" s="17">
        <f t="shared" si="13"/>
        <v>10</v>
      </c>
      <c r="K183" s="18" t="s">
        <v>281</v>
      </c>
      <c r="L183" s="19">
        <v>1</v>
      </c>
      <c r="M183" s="24">
        <f t="shared" si="12"/>
        <v>9</v>
      </c>
    </row>
    <row r="184" spans="1:13" ht="25.5">
      <c r="A184" s="10">
        <v>180</v>
      </c>
      <c r="B184" s="20" t="s">
        <v>191</v>
      </c>
      <c r="C184" s="12">
        <f>+'14'!G184</f>
        <v>9</v>
      </c>
      <c r="D184" s="13">
        <v>0</v>
      </c>
      <c r="E184" s="12">
        <f t="shared" si="11"/>
        <v>9</v>
      </c>
      <c r="F184" s="13">
        <v>0</v>
      </c>
      <c r="G184" s="14">
        <f t="shared" si="14"/>
        <v>5</v>
      </c>
      <c r="H184" s="15">
        <v>4</v>
      </c>
      <c r="I184" s="22">
        <v>10</v>
      </c>
      <c r="J184" s="17">
        <f t="shared" si="13"/>
        <v>40</v>
      </c>
      <c r="K184" s="18" t="s">
        <v>281</v>
      </c>
      <c r="L184" s="19">
        <v>4</v>
      </c>
      <c r="M184" s="24">
        <f t="shared" si="12"/>
        <v>36</v>
      </c>
    </row>
    <row r="185" spans="1:13" ht="25.5">
      <c r="A185" s="10">
        <v>181</v>
      </c>
      <c r="B185" s="20" t="s">
        <v>192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>
      <c r="A190" s="10">
        <v>186</v>
      </c>
      <c r="B190" s="20" t="s">
        <v>197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+'14'!G199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266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264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0">
        <v>207</v>
      </c>
      <c r="B211" s="20" t="s">
        <v>309</v>
      </c>
      <c r="C211" s="12">
        <f>+'14'!G211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17</v>
      </c>
      <c r="L211" s="19">
        <v>0</v>
      </c>
      <c r="M211" s="24">
        <f t="shared" ref="M211:M219" si="21">SUM(J211-L211)</f>
        <v>0</v>
      </c>
    </row>
    <row r="212" spans="1:20" ht="25.5">
      <c r="A212" s="10">
        <v>208</v>
      </c>
      <c r="B212" s="20" t="s">
        <v>310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0" ht="25.5">
      <c r="A213" s="10">
        <v>209</v>
      </c>
      <c r="B213" s="20" t="s">
        <v>311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20" ht="25.5">
      <c r="A214" s="10">
        <v>210</v>
      </c>
      <c r="B214" s="20" t="s">
        <v>312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20" ht="25.5">
      <c r="A215" s="10">
        <v>211</v>
      </c>
      <c r="B215" s="20" t="s">
        <v>274</v>
      </c>
      <c r="C215" s="12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20" ht="25.5">
      <c r="A216" s="10">
        <v>212</v>
      </c>
      <c r="B216" s="20" t="s">
        <v>344</v>
      </c>
      <c r="C216" s="12">
        <f>+'14'!G216</f>
        <v>4</v>
      </c>
      <c r="D216" s="13">
        <v>0</v>
      </c>
      <c r="E216" s="12">
        <f t="shared" si="18"/>
        <v>4</v>
      </c>
      <c r="F216" s="13">
        <v>0</v>
      </c>
      <c r="G216" s="14">
        <f t="shared" si="19"/>
        <v>4</v>
      </c>
      <c r="H216" s="15">
        <v>0</v>
      </c>
      <c r="I216" s="16">
        <v>60</v>
      </c>
      <c r="J216" s="17">
        <f t="shared" si="20"/>
        <v>0</v>
      </c>
      <c r="K216" s="18" t="s">
        <v>17</v>
      </c>
      <c r="L216" s="19">
        <v>0</v>
      </c>
      <c r="M216" s="24">
        <f t="shared" si="21"/>
        <v>0</v>
      </c>
    </row>
    <row r="217" spans="1:20" ht="25.5">
      <c r="A217" s="10">
        <v>213</v>
      </c>
      <c r="B217" s="20" t="s">
        <v>345</v>
      </c>
      <c r="C217" s="12">
        <f>+'14'!G217</f>
        <v>10</v>
      </c>
      <c r="D217" s="13">
        <v>10</v>
      </c>
      <c r="E217" s="12">
        <f t="shared" si="18"/>
        <v>20</v>
      </c>
      <c r="F217" s="13">
        <v>1</v>
      </c>
      <c r="G217" s="14">
        <f t="shared" si="19"/>
        <v>19</v>
      </c>
      <c r="H217" s="15">
        <v>0</v>
      </c>
      <c r="I217" s="16">
        <v>60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20" ht="25.5">
      <c r="A218" s="10">
        <v>214</v>
      </c>
      <c r="B218" s="20" t="s">
        <v>346</v>
      </c>
      <c r="C218" s="12">
        <f>+'14'!G218</f>
        <v>9</v>
      </c>
      <c r="D218" s="13">
        <v>0</v>
      </c>
      <c r="E218" s="12">
        <f t="shared" si="18"/>
        <v>9</v>
      </c>
      <c r="F218" s="13">
        <v>0</v>
      </c>
      <c r="G218" s="14">
        <f t="shared" si="19"/>
        <v>9</v>
      </c>
      <c r="H218" s="15">
        <v>0</v>
      </c>
      <c r="I218" s="16">
        <v>60</v>
      </c>
      <c r="J218" s="17">
        <f t="shared" si="20"/>
        <v>0</v>
      </c>
      <c r="K218" s="18" t="s">
        <v>17</v>
      </c>
      <c r="L218" s="19">
        <v>0</v>
      </c>
      <c r="M218" s="24">
        <f t="shared" si="21"/>
        <v>0</v>
      </c>
    </row>
    <row r="219" spans="1:20" ht="25.5">
      <c r="A219" s="1">
        <v>215</v>
      </c>
      <c r="B219" s="20" t="s">
        <v>353</v>
      </c>
      <c r="C219" s="12">
        <f>+'14'!G219</f>
        <v>10</v>
      </c>
      <c r="D219" s="13">
        <v>0</v>
      </c>
      <c r="E219" s="12">
        <f t="shared" si="18"/>
        <v>10</v>
      </c>
      <c r="F219" s="13">
        <v>0</v>
      </c>
      <c r="G219" s="14">
        <f t="shared" si="19"/>
        <v>10</v>
      </c>
      <c r="H219" s="15">
        <v>0</v>
      </c>
      <c r="I219" s="16">
        <v>60</v>
      </c>
      <c r="J219" s="17">
        <f t="shared" si="20"/>
        <v>0</v>
      </c>
      <c r="K219" s="18" t="s">
        <v>17</v>
      </c>
      <c r="L219" s="19">
        <v>0</v>
      </c>
      <c r="M219" s="24">
        <f t="shared" si="21"/>
        <v>0</v>
      </c>
    </row>
    <row r="220" spans="1:20" ht="25.5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54" t="s">
        <v>228</v>
      </c>
      <c r="N220" s="154"/>
    </row>
    <row r="221" spans="1:20" ht="25.5" customHeight="1">
      <c r="A221" s="1"/>
      <c r="C221" s="25"/>
      <c r="D221" s="26"/>
      <c r="E221" s="25"/>
      <c r="F221" s="26"/>
      <c r="G221" s="25"/>
      <c r="H221" s="155" t="s">
        <v>229</v>
      </c>
      <c r="I221" s="156"/>
      <c r="J221" s="31">
        <f>+X110</f>
        <v>0</v>
      </c>
      <c r="K221" s="28"/>
      <c r="L221" s="30"/>
    </row>
    <row r="222" spans="1:20" ht="25.5">
      <c r="A222" s="1"/>
      <c r="C222" s="32"/>
      <c r="E222" s="32"/>
      <c r="G222" s="32"/>
      <c r="H222" s="33"/>
      <c r="I222" s="157" t="s">
        <v>213</v>
      </c>
      <c r="J222" s="157"/>
      <c r="K222" s="34">
        <f>SUM(J5:J221)</f>
        <v>2985</v>
      </c>
    </row>
    <row r="223" spans="1:20" ht="25.5">
      <c r="A223" s="1"/>
      <c r="C223" s="32"/>
      <c r="E223" s="32"/>
      <c r="G223" s="32"/>
      <c r="I223" s="136" t="s">
        <v>214</v>
      </c>
      <c r="J223" s="137"/>
      <c r="K223" s="37">
        <v>0</v>
      </c>
    </row>
    <row r="224" spans="1:20" ht="25.5">
      <c r="A224" s="1"/>
      <c r="C224" s="32"/>
      <c r="E224" s="32"/>
      <c r="G224" s="32"/>
      <c r="I224" s="35" t="s">
        <v>215</v>
      </c>
      <c r="J224" s="36"/>
      <c r="K224" s="37">
        <f>SUM(L224:BO224)</f>
        <v>1693</v>
      </c>
      <c r="L224" s="38">
        <v>40</v>
      </c>
      <c r="M224" s="2">
        <v>250</v>
      </c>
      <c r="N224" s="2">
        <v>185</v>
      </c>
      <c r="O224" s="2">
        <v>120</v>
      </c>
      <c r="P224" s="2">
        <v>128</v>
      </c>
      <c r="Q224" s="2">
        <v>290</v>
      </c>
      <c r="R224" s="2">
        <v>256</v>
      </c>
      <c r="S224" s="2">
        <v>316</v>
      </c>
      <c r="T224" s="2">
        <v>108</v>
      </c>
    </row>
    <row r="225" spans="1:15" ht="25.5">
      <c r="A225" s="1"/>
      <c r="C225" s="32"/>
      <c r="D225" s="91"/>
      <c r="E225" s="32"/>
      <c r="G225" s="39"/>
      <c r="I225" s="136" t="s">
        <v>216</v>
      </c>
      <c r="J225" s="137"/>
      <c r="K225" s="37">
        <v>0</v>
      </c>
    </row>
    <row r="226" spans="1:15" ht="25.5">
      <c r="A226" s="1"/>
      <c r="C226" s="90"/>
      <c r="E226" s="32"/>
      <c r="G226" s="32"/>
      <c r="I226" s="136" t="s">
        <v>217</v>
      </c>
      <c r="J226" s="137"/>
      <c r="K226" s="37">
        <v>0</v>
      </c>
    </row>
    <row r="227" spans="1:15" ht="25.5">
      <c r="A227" s="1"/>
      <c r="C227" s="32"/>
      <c r="E227" s="32"/>
      <c r="G227" s="32"/>
      <c r="I227" s="136" t="s">
        <v>218</v>
      </c>
      <c r="J227" s="137"/>
      <c r="K227" s="93">
        <f>SUM(L5:L220)</f>
        <v>471</v>
      </c>
      <c r="M227" s="94" t="s">
        <v>219</v>
      </c>
      <c r="N227" s="40" t="s">
        <v>220</v>
      </c>
      <c r="O227" s="41" t="s">
        <v>221</v>
      </c>
    </row>
    <row r="228" spans="1:15" ht="25.5">
      <c r="A228" s="1"/>
      <c r="C228" s="32"/>
      <c r="E228" s="32"/>
      <c r="G228" s="32"/>
      <c r="I228" s="136" t="s">
        <v>222</v>
      </c>
      <c r="J228" s="137"/>
      <c r="K228" s="34">
        <f>K222-K223-K224-K226-K227</f>
        <v>821</v>
      </c>
      <c r="M228" s="42"/>
      <c r="N228" s="42"/>
      <c r="O228" s="42">
        <v>200</v>
      </c>
    </row>
    <row r="229" spans="1:15" ht="25.5">
      <c r="A229" s="1"/>
      <c r="C229" s="32"/>
      <c r="E229" s="32"/>
      <c r="G229" s="32"/>
      <c r="I229" s="136" t="s">
        <v>223</v>
      </c>
      <c r="J229" s="137"/>
      <c r="K229" s="93">
        <v>821</v>
      </c>
      <c r="M229" s="42"/>
      <c r="N229" s="42"/>
      <c r="O229" s="42">
        <v>130</v>
      </c>
    </row>
    <row r="230" spans="1:15" ht="25.5">
      <c r="A230" s="1"/>
      <c r="C230" s="32"/>
      <c r="E230" s="32"/>
      <c r="G230" s="32"/>
      <c r="I230" s="136" t="s">
        <v>224</v>
      </c>
      <c r="J230" s="137"/>
      <c r="K230" s="34">
        <f>+K229-K228</f>
        <v>0</v>
      </c>
      <c r="M230" s="42"/>
      <c r="N230" s="42"/>
      <c r="O230" s="42"/>
    </row>
    <row r="231" spans="1:15" ht="25.5">
      <c r="G231" s="2"/>
      <c r="I231" s="136" t="s">
        <v>225</v>
      </c>
      <c r="J231" s="137"/>
      <c r="K231" s="34">
        <f>+K229-K228</f>
        <v>0</v>
      </c>
      <c r="M231" s="43"/>
      <c r="N231" s="43"/>
      <c r="O231" s="43"/>
    </row>
    <row r="232" spans="1:15">
      <c r="G232" s="2"/>
      <c r="I232" s="28"/>
      <c r="M232" s="43"/>
      <c r="N232" s="43"/>
      <c r="O232" s="43"/>
    </row>
    <row r="233" spans="1:15">
      <c r="G233" s="2"/>
      <c r="I233" s="2" t="s">
        <v>276</v>
      </c>
      <c r="J233" s="2">
        <f>+K222-K227+K230</f>
        <v>2514</v>
      </c>
      <c r="M233" s="44"/>
      <c r="N233" s="44"/>
      <c r="O233" s="44"/>
    </row>
    <row r="234" spans="1:15">
      <c r="G234" s="2"/>
      <c r="I234" s="2" t="s">
        <v>277</v>
      </c>
      <c r="J234" s="2">
        <f>SUM(K223:K226)</f>
        <v>1693</v>
      </c>
      <c r="M234" s="45">
        <f>SUM(M228:M233)</f>
        <v>0</v>
      </c>
      <c r="N234" s="45">
        <f>SUM(N228:N233)</f>
        <v>0</v>
      </c>
      <c r="O234" s="45">
        <f>SUM(O228:O233)</f>
        <v>330</v>
      </c>
    </row>
    <row r="235" spans="1:15">
      <c r="G235" s="2"/>
      <c r="I235" s="2" t="s">
        <v>278</v>
      </c>
      <c r="J235" s="2">
        <f>+K229</f>
        <v>821</v>
      </c>
      <c r="M235" s="46" t="s">
        <v>226</v>
      </c>
      <c r="N235" s="47">
        <f>N234*30/100</f>
        <v>0</v>
      </c>
      <c r="O235" s="47">
        <f>O234*30/100</f>
        <v>99</v>
      </c>
    </row>
    <row r="236" spans="1:15">
      <c r="G236" s="2"/>
      <c r="I236" s="2"/>
      <c r="M236" s="46" t="s">
        <v>227</v>
      </c>
      <c r="N236" s="47">
        <f>N235*7/100</f>
        <v>0</v>
      </c>
      <c r="O236" s="47">
        <f>O235*7/100</f>
        <v>6.93</v>
      </c>
    </row>
    <row r="237" spans="1:15">
      <c r="G237" s="2"/>
      <c r="I237" s="2"/>
      <c r="M237" s="95" t="s">
        <v>6</v>
      </c>
      <c r="N237" s="48">
        <f>N234-N235-N236</f>
        <v>0</v>
      </c>
      <c r="O237" s="48">
        <f>O234-O235-O236</f>
        <v>224.07</v>
      </c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1:Y23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dimension ref="A1:Z306"/>
  <sheetViews>
    <sheetView topLeftCell="A211" zoomScaleNormal="100" zoomScalePageLayoutView="110" workbookViewId="0">
      <selection activeCell="J221" sqref="J22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+'15'!G5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+'15'!G6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+'15'!G12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+'15'!G34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+'15'!G62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+'15'!G63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+'15'!G71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+'15'!G73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+'15'!G74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+'15'!G77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+'15'!G79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+'15'!G85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+'15'!G86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+'15'!G87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+'15'!G88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+'15'!G92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+'15'!G93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+'15'!G97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+'15'!G101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+'15'!G102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+'15'!G106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+'15'!G107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+'15'!G109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+'15'!G146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+'15'!G150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+'15'!G151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+'15'!G152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+'15'!G153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+'15'!G154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+'15'!G155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+'15'!G157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+'15'!G161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+'15'!G162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+'15'!G164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+'15'!G168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+'15'!G170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+'15'!G179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+'15'!G181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+'15'!G183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+'15'!G184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+'15'!G199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4" ht="25.5">
      <c r="A209" s="10">
        <v>205</v>
      </c>
      <c r="B209" s="20" t="s">
        <v>266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4" ht="25.5">
      <c r="A210" s="10">
        <v>206</v>
      </c>
      <c r="B210" s="20" t="s">
        <v>264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4" ht="25.5">
      <c r="A211" s="10">
        <v>207</v>
      </c>
      <c r="B211" s="20" t="s">
        <v>309</v>
      </c>
      <c r="C211" s="12">
        <f>+'15'!G211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17</v>
      </c>
      <c r="L211" s="19">
        <v>0</v>
      </c>
      <c r="M211" s="24">
        <f t="shared" ref="M211:M219" si="21">SUM(J211-L211)</f>
        <v>0</v>
      </c>
    </row>
    <row r="212" spans="1:14" ht="25.5">
      <c r="A212" s="10">
        <v>208</v>
      </c>
      <c r="B212" s="20" t="s">
        <v>310</v>
      </c>
      <c r="C212" s="12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14" ht="25.5">
      <c r="A213" s="10">
        <v>209</v>
      </c>
      <c r="B213" s="20" t="s">
        <v>311</v>
      </c>
      <c r="C213" s="12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17</v>
      </c>
      <c r="L213" s="19">
        <v>0</v>
      </c>
      <c r="M213" s="24">
        <f t="shared" si="21"/>
        <v>0</v>
      </c>
    </row>
    <row r="214" spans="1:14" ht="25.5">
      <c r="A214" s="10">
        <v>210</v>
      </c>
      <c r="B214" s="20" t="s">
        <v>312</v>
      </c>
      <c r="C214" s="12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17</v>
      </c>
      <c r="L214" s="19">
        <v>0</v>
      </c>
      <c r="M214" s="24">
        <f t="shared" si="21"/>
        <v>0</v>
      </c>
    </row>
    <row r="215" spans="1:14" ht="25.5">
      <c r="A215" s="10">
        <v>211</v>
      </c>
      <c r="B215" s="20" t="s">
        <v>274</v>
      </c>
      <c r="C215" s="12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17</v>
      </c>
      <c r="L215" s="19">
        <v>0</v>
      </c>
      <c r="M215" s="24">
        <f t="shared" si="21"/>
        <v>0</v>
      </c>
    </row>
    <row r="216" spans="1:14" ht="25.5">
      <c r="A216" s="10">
        <v>212</v>
      </c>
      <c r="B216" s="20" t="s">
        <v>344</v>
      </c>
      <c r="C216" s="12">
        <f>+'15'!G216</f>
        <v>4</v>
      </c>
      <c r="D216" s="13">
        <v>0</v>
      </c>
      <c r="E216" s="12">
        <f t="shared" si="18"/>
        <v>4</v>
      </c>
      <c r="F216" s="13">
        <v>0</v>
      </c>
      <c r="G216" s="14">
        <f t="shared" si="19"/>
        <v>4</v>
      </c>
      <c r="H216" s="15">
        <v>0</v>
      </c>
      <c r="I216" s="16">
        <v>60</v>
      </c>
      <c r="J216" s="17">
        <f t="shared" si="20"/>
        <v>0</v>
      </c>
      <c r="K216" s="18" t="s">
        <v>17</v>
      </c>
      <c r="L216" s="19">
        <v>0</v>
      </c>
      <c r="M216" s="24">
        <f t="shared" si="21"/>
        <v>0</v>
      </c>
    </row>
    <row r="217" spans="1:14" ht="25.5">
      <c r="A217" s="10">
        <v>213</v>
      </c>
      <c r="B217" s="20" t="s">
        <v>345</v>
      </c>
      <c r="C217" s="12">
        <f>+'15'!G217</f>
        <v>19</v>
      </c>
      <c r="D217" s="13">
        <v>0</v>
      </c>
      <c r="E217" s="12">
        <f t="shared" si="18"/>
        <v>19</v>
      </c>
      <c r="F217" s="13">
        <v>0</v>
      </c>
      <c r="G217" s="14">
        <f t="shared" si="19"/>
        <v>19</v>
      </c>
      <c r="H217" s="15">
        <v>0</v>
      </c>
      <c r="I217" s="16">
        <v>60</v>
      </c>
      <c r="J217" s="17">
        <f t="shared" si="20"/>
        <v>0</v>
      </c>
      <c r="K217" s="18" t="s">
        <v>17</v>
      </c>
      <c r="L217" s="19">
        <v>0</v>
      </c>
      <c r="M217" s="24">
        <f t="shared" si="21"/>
        <v>0</v>
      </c>
    </row>
    <row r="218" spans="1:14" ht="25.5">
      <c r="A218" s="10">
        <v>214</v>
      </c>
      <c r="B218" s="20" t="s">
        <v>346</v>
      </c>
      <c r="C218" s="12">
        <f>+'15'!G218</f>
        <v>9</v>
      </c>
      <c r="D218" s="13">
        <v>0</v>
      </c>
      <c r="E218" s="12">
        <f t="shared" si="18"/>
        <v>9</v>
      </c>
      <c r="F218" s="13">
        <v>0</v>
      </c>
      <c r="G218" s="14">
        <f t="shared" si="19"/>
        <v>9</v>
      </c>
      <c r="H218" s="15">
        <v>0</v>
      </c>
      <c r="I218" s="16">
        <v>60</v>
      </c>
      <c r="J218" s="17">
        <f t="shared" si="20"/>
        <v>0</v>
      </c>
      <c r="K218" s="18" t="s">
        <v>17</v>
      </c>
      <c r="L218" s="19">
        <v>0</v>
      </c>
      <c r="M218" s="24">
        <f t="shared" si="21"/>
        <v>0</v>
      </c>
    </row>
    <row r="219" spans="1:14" ht="25.5">
      <c r="A219" s="1">
        <v>215</v>
      </c>
      <c r="B219" s="20" t="s">
        <v>353</v>
      </c>
      <c r="C219" s="12">
        <f>+'15'!G219</f>
        <v>10</v>
      </c>
      <c r="D219" s="13">
        <v>0</v>
      </c>
      <c r="E219" s="12">
        <f t="shared" si="18"/>
        <v>10</v>
      </c>
      <c r="F219" s="13">
        <v>0</v>
      </c>
      <c r="G219" s="14">
        <f t="shared" si="19"/>
        <v>10</v>
      </c>
      <c r="H219" s="15">
        <v>0</v>
      </c>
      <c r="I219" s="16">
        <v>60</v>
      </c>
      <c r="J219" s="17">
        <f t="shared" si="20"/>
        <v>0</v>
      </c>
      <c r="K219" s="18" t="s">
        <v>17</v>
      </c>
      <c r="L219" s="19">
        <v>0</v>
      </c>
      <c r="M219" s="24">
        <f t="shared" si="21"/>
        <v>0</v>
      </c>
    </row>
    <row r="220" spans="1:14" ht="25.5">
      <c r="A220" s="1"/>
      <c r="C220" s="25"/>
      <c r="D220" s="26"/>
      <c r="E220" s="25"/>
      <c r="F220" s="26"/>
      <c r="G220" s="25"/>
      <c r="H220" s="25"/>
      <c r="I220" s="27"/>
      <c r="J220" s="29"/>
      <c r="K220" s="28"/>
      <c r="L220" s="19">
        <v>0</v>
      </c>
      <c r="M220" s="154" t="s">
        <v>228</v>
      </c>
      <c r="N220" s="154"/>
    </row>
    <row r="221" spans="1:14" ht="25.5" customHeight="1">
      <c r="A221" s="1"/>
      <c r="C221" s="25"/>
      <c r="D221" s="26"/>
      <c r="E221" s="25"/>
      <c r="F221" s="26"/>
      <c r="G221" s="25"/>
      <c r="H221" s="155" t="s">
        <v>229</v>
      </c>
      <c r="I221" s="156"/>
      <c r="J221" s="31">
        <f>+X110</f>
        <v>0</v>
      </c>
      <c r="K221" s="28"/>
      <c r="L221" s="30"/>
    </row>
    <row r="222" spans="1:14" ht="25.5">
      <c r="A222" s="1"/>
      <c r="C222" s="32"/>
      <c r="E222" s="32"/>
      <c r="G222" s="32"/>
      <c r="H222" s="33"/>
      <c r="I222" s="157" t="s">
        <v>213</v>
      </c>
      <c r="J222" s="157"/>
      <c r="K222" s="34">
        <f>SUM(J5:J221)</f>
        <v>0</v>
      </c>
    </row>
    <row r="223" spans="1:14" ht="25.5">
      <c r="A223" s="1"/>
      <c r="C223" s="32"/>
      <c r="E223" s="32"/>
      <c r="G223" s="32"/>
      <c r="I223" s="136" t="s">
        <v>214</v>
      </c>
      <c r="J223" s="137"/>
      <c r="K223" s="37">
        <v>0</v>
      </c>
    </row>
    <row r="224" spans="1:14" ht="25.5">
      <c r="A224" s="1"/>
      <c r="C224" s="32"/>
      <c r="E224" s="32"/>
      <c r="G224" s="32"/>
      <c r="I224" s="35" t="s">
        <v>215</v>
      </c>
      <c r="J224" s="36"/>
      <c r="K224" s="37">
        <f>SUM(L224:BO224)</f>
        <v>0</v>
      </c>
      <c r="L224" s="38"/>
    </row>
    <row r="225" spans="1:15" ht="25.5">
      <c r="A225" s="1"/>
      <c r="C225" s="32"/>
      <c r="D225" s="91"/>
      <c r="E225" s="32"/>
      <c r="G225" s="39"/>
      <c r="I225" s="136" t="s">
        <v>216</v>
      </c>
      <c r="J225" s="137"/>
      <c r="K225" s="37">
        <v>0</v>
      </c>
    </row>
    <row r="226" spans="1:15" ht="25.5">
      <c r="A226" s="1"/>
      <c r="C226" s="90"/>
      <c r="E226" s="32"/>
      <c r="G226" s="32"/>
      <c r="I226" s="136" t="s">
        <v>217</v>
      </c>
      <c r="J226" s="137"/>
      <c r="K226" s="37">
        <v>0</v>
      </c>
    </row>
    <row r="227" spans="1:15" ht="25.5">
      <c r="A227" s="1"/>
      <c r="C227" s="32"/>
      <c r="E227" s="32"/>
      <c r="G227" s="32"/>
      <c r="I227" s="136" t="s">
        <v>218</v>
      </c>
      <c r="J227" s="137"/>
      <c r="K227" s="93">
        <f>SUM(L5:L220)</f>
        <v>0</v>
      </c>
      <c r="M227" s="94" t="s">
        <v>219</v>
      </c>
      <c r="N227" s="40" t="s">
        <v>220</v>
      </c>
      <c r="O227" s="41" t="s">
        <v>221</v>
      </c>
    </row>
    <row r="228" spans="1:15" ht="25.5">
      <c r="A228" s="1"/>
      <c r="C228" s="32"/>
      <c r="E228" s="32"/>
      <c r="G228" s="32"/>
      <c r="I228" s="136" t="s">
        <v>222</v>
      </c>
      <c r="J228" s="137"/>
      <c r="K228" s="34">
        <f>K222-K223-K224-K226-K227</f>
        <v>0</v>
      </c>
      <c r="M228" s="42"/>
      <c r="N228" s="42"/>
      <c r="O228" s="42"/>
    </row>
    <row r="229" spans="1:15" ht="25.5">
      <c r="A229" s="1"/>
      <c r="C229" s="32"/>
      <c r="E229" s="32"/>
      <c r="G229" s="32"/>
      <c r="I229" s="136" t="s">
        <v>223</v>
      </c>
      <c r="J229" s="137"/>
      <c r="K229" s="93">
        <v>0</v>
      </c>
      <c r="M229" s="42"/>
      <c r="N229" s="42"/>
      <c r="O229" s="42"/>
    </row>
    <row r="230" spans="1:15" ht="25.5">
      <c r="A230" s="1"/>
      <c r="C230" s="32"/>
      <c r="E230" s="32"/>
      <c r="G230" s="32"/>
      <c r="I230" s="136" t="s">
        <v>224</v>
      </c>
      <c r="J230" s="137"/>
      <c r="K230" s="34">
        <f>+K229-K228</f>
        <v>0</v>
      </c>
      <c r="M230" s="42"/>
      <c r="N230" s="42"/>
      <c r="O230" s="42"/>
    </row>
    <row r="231" spans="1:15" ht="25.5">
      <c r="G231" s="2"/>
      <c r="I231" s="136" t="s">
        <v>225</v>
      </c>
      <c r="J231" s="137"/>
      <c r="K231" s="34">
        <f>+K229-K228</f>
        <v>0</v>
      </c>
      <c r="M231" s="43"/>
      <c r="N231" s="43"/>
      <c r="O231" s="43"/>
    </row>
    <row r="232" spans="1:15">
      <c r="G232" s="2"/>
      <c r="I232" s="28"/>
      <c r="M232" s="43"/>
      <c r="N232" s="43"/>
      <c r="O232" s="43"/>
    </row>
    <row r="233" spans="1:15">
      <c r="G233" s="2"/>
      <c r="I233" s="2" t="s">
        <v>276</v>
      </c>
      <c r="J233" s="2">
        <f>+K222-K227+K230</f>
        <v>0</v>
      </c>
      <c r="M233" s="44"/>
      <c r="N233" s="44"/>
      <c r="O233" s="44"/>
    </row>
    <row r="234" spans="1:15">
      <c r="G234" s="2"/>
      <c r="I234" s="2" t="s">
        <v>277</v>
      </c>
      <c r="J234" s="2">
        <f>SUM(K223:K226)</f>
        <v>0</v>
      </c>
      <c r="M234" s="45">
        <f>SUM(M228:M233)</f>
        <v>0</v>
      </c>
      <c r="N234" s="45">
        <f>SUM(N228:N233)</f>
        <v>0</v>
      </c>
      <c r="O234" s="45">
        <f>SUM(O228:O233)</f>
        <v>0</v>
      </c>
    </row>
    <row r="235" spans="1:15">
      <c r="G235" s="2"/>
      <c r="I235" s="2" t="s">
        <v>278</v>
      </c>
      <c r="J235" s="2">
        <f>+K229</f>
        <v>0</v>
      </c>
      <c r="M235" s="46" t="s">
        <v>226</v>
      </c>
      <c r="N235" s="47">
        <f>N234*30/100</f>
        <v>0</v>
      </c>
      <c r="O235" s="47">
        <f>O234*30/100</f>
        <v>0</v>
      </c>
    </row>
    <row r="236" spans="1:15">
      <c r="G236" s="2"/>
      <c r="I236" s="2"/>
      <c r="M236" s="46" t="s">
        <v>227</v>
      </c>
      <c r="N236" s="47">
        <f>N235*7/100</f>
        <v>0</v>
      </c>
      <c r="O236" s="47">
        <f>O235*7/100</f>
        <v>0</v>
      </c>
    </row>
    <row r="237" spans="1:15">
      <c r="G237" s="2"/>
      <c r="I237" s="2"/>
      <c r="M237" s="95" t="s">
        <v>6</v>
      </c>
      <c r="N237" s="48">
        <f>N234-N235-N236</f>
        <v>0</v>
      </c>
      <c r="O237" s="48">
        <f>O234-O235-O236</f>
        <v>0</v>
      </c>
    </row>
    <row r="238" spans="1:15">
      <c r="G238" s="2"/>
      <c r="I238" s="2"/>
    </row>
    <row r="239" spans="1:15">
      <c r="G239" s="2"/>
      <c r="I239" s="2"/>
    </row>
    <row r="240" spans="1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</sheetData>
  <autoFilter ref="A1:Y231" xr:uid="{A8659A1D-7742-48A0-A8EC-0F2280F9B025}"/>
  <mergeCells count="32">
    <mergeCell ref="I229:J229"/>
    <mergeCell ref="I230:J230"/>
    <mergeCell ref="I231:J231"/>
    <mergeCell ref="H221:I221"/>
    <mergeCell ref="I222:J222"/>
    <mergeCell ref="I223:J223"/>
    <mergeCell ref="I225:J225"/>
    <mergeCell ref="I226:J226"/>
    <mergeCell ref="I227:J227"/>
    <mergeCell ref="Z3:Z4"/>
    <mergeCell ref="P107:W107"/>
    <mergeCell ref="R3:R4"/>
    <mergeCell ref="S3:S4"/>
    <mergeCell ref="I228:J228"/>
    <mergeCell ref="M220:N22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dimension ref="A1:Z297"/>
  <sheetViews>
    <sheetView topLeftCell="A199" workbookViewId="0">
      <selection activeCell="D5" sqref="D5:D6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+'16'!G5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+'16'!G6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+'16'!G23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+'16'!G34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+'16'!G62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+'16'!G63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+'16'!G70</f>
        <v>5</v>
      </c>
      <c r="D70" s="13"/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+'16'!G73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+'16'!G74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+'16'!G77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+'16'!G85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+'16'!G86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+'16'!G87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+'16'!G88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+'16'!G92</f>
        <v>12</v>
      </c>
      <c r="D92" s="13"/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+'16'!G93</f>
        <v>3</v>
      </c>
      <c r="D93" s="13"/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+'16'!G97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+'16'!G101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+'16'!G102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+'16'!G106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+'16'!G107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+'16'!G109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+'16'!G146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+'16'!G150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+'16'!G151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+'16'!G152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+'16'!G153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+'16'!G154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+'16'!G155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+'16'!G157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+'16'!G161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+'16'!G162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+'16'!G164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+'16'!G168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+'16'!G170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+'16'!G179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+'16'!G181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+'16'!G183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+'16'!G184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+'16'!G199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+'16'!G207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dimension ref="A1:Z297"/>
  <sheetViews>
    <sheetView topLeftCell="A211" workbookViewId="0">
      <selection activeCell="J226" sqref="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+'17'!G5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+'17'!G6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+'17'!G12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+'17'!G23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+'17'!G34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+'17'!G62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+'17'!G63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+'17'!G70</f>
        <v>5</v>
      </c>
      <c r="D70" s="13"/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+'17'!G73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+'17'!G74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+'17'!G77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+'17'!G79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+'17'!G81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+'17'!G86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+'17'!G87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+'17'!G88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+'17'!G92</f>
        <v>12</v>
      </c>
      <c r="D92" s="13"/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/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+'17'!G93</f>
        <v>3</v>
      </c>
      <c r="D93" s="13"/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+'17'!G97</f>
        <v>0</v>
      </c>
      <c r="D97" s="13">
        <v>7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+'17'!G101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+'17'!G102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+'17'!G106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+'17'!G107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+'17'!G108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+'17'!G109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+'17'!G146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+'17'!G150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+'17'!G151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+'17'!G152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+'17'!G153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+'17'!G154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+'17'!G155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+'17'!G157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+'17'!G161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+'17'!G162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+'17'!G164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+'17'!G168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+'17'!G170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+'17'!G179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+'17'!G181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+'17'!G183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+'17'!G184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+'17'!G199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+'17'!G207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30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dimension ref="A1:Z297"/>
  <sheetViews>
    <sheetView topLeftCell="A208" workbookViewId="0">
      <selection activeCell="J190" sqref="J19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+'18'!G5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+'18'!G6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+'18'!G12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+'18'!G23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+'18'!G34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+'18'!G54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+'18'!G62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+'18'!G63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+'18'!G71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+'18'!G73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+'18'!G74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+'18'!G77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+'18'!G79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+'18'!G86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+'18'!G87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+'18'!G88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+'18'!G92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+'18'!G93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+'18'!G97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+'18'!G101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+'18'!G102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+'18'!G106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+'18'!G107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+'18'!G108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+'18'!G109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+'18'!G146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+'18'!G150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+'18'!G151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+'18'!G152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+'18'!G153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+'18'!G154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+'18'!G155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+'18'!G157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+'18'!G161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+'18'!G162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272</v>
      </c>
      <c r="C164" s="12">
        <f>+'18'!G164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+'18'!G168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+'18'!G170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+'18'!G179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+'18'!G181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+'18'!G183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+'18'!G184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+'18'!G199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dimension ref="A1:Z297"/>
  <sheetViews>
    <sheetView topLeftCell="A212" workbookViewId="0">
      <selection activeCell="K223" sqref="K22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+'19'!G5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+'19'!G6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+'19'!G12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+'19'!G23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+'19'!G34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+'19'!G54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+'19'!G62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+'19'!G63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+'19'!G71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+'19'!G73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+'19'!G79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+'19'!G86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+'19'!G87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+'19'!G88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+'19'!G92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+'19'!G93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+'19'!G97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+'19'!G101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+'19'!G102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+'19'!G106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+'19'!G107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+'19'!G108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+'19'!G109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+'19'!G138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+'19'!G141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+'19'!G146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+'19'!G150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+'19'!G151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+'19'!G152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+'19'!G153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+'19'!G154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+'19'!G155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+'19'!G156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+'19'!G157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+'19'!G159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+'19'!G160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+'19'!G161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+'19'!G162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+'19'!G163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272</v>
      </c>
      <c r="C164" s="12">
        <f>+'19'!G164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+'19'!G167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+'19'!G168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+'19'!G170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+'19'!G176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+'19'!G178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+'19'!G179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+'19'!G181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+'19'!G183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+'19'!G184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+'19'!G193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+'19'!G198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+'19'!G199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+'19'!G204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+'19'!G205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+'19'!G207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4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4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dimension ref="A1:Z297"/>
  <sheetViews>
    <sheetView topLeftCell="A210" workbookViewId="0">
      <selection activeCell="J190" sqref="J19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+'20'!G5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+'20'!G6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+'20'!G12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+'20'!G23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+'20'!G34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+'20'!G62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+'20'!G63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+'20'!G70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+'20'!G73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+'20'!G79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+'20'!G86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+'20'!G87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+'20'!G88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+'20'!G92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+'20'!G93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+'20'!G97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+'20'!G101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+'20'!G102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+'20'!G106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+'20'!G107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+'20'!G109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+'20'!G146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+'20'!G150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+'20'!G151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+'20'!G152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+'20'!G153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+'20'!G154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+'20'!G155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+'20'!G157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+'20'!G162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272</v>
      </c>
      <c r="C164" s="12">
        <f>+'20'!G164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+'20'!G168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+'20'!G170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+'20'!G179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+'20'!G181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+'20'!G183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+'20'!G184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+'20'!G199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+'20'!G207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266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264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9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9" ht="25.5">
      <c r="A214" s="1"/>
      <c r="C214" s="32"/>
      <c r="E214" s="32"/>
      <c r="G214" s="32"/>
      <c r="I214" s="136" t="s">
        <v>214</v>
      </c>
      <c r="J214" s="137"/>
      <c r="K214" s="37">
        <v>0</v>
      </c>
      <c r="S214" s="28"/>
    </row>
    <row r="215" spans="1:19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  <c r="S215" s="28"/>
    </row>
    <row r="216" spans="1:19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9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9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9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9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9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19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dimension ref="A1:Z297"/>
  <sheetViews>
    <sheetView topLeftCell="A209" workbookViewId="0">
      <selection activeCell="K226" sqref="K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+'21'!G5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+'21'!G6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+'21'!G12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+'21'!G23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+'21'!G34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+'21'!G54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+'21'!G62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+'21'!G63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+'21'!G71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+'21'!G73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+'21'!G77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+'21'!G86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+'21'!G87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+'21'!G88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+'21'!G92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+'21'!G93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+'21'!G97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+'21'!G101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+'21'!G102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+'21'!G106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+'21'!G107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+'21'!G109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+'21'!G146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+'21'!G150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+'21'!G151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+'21'!G152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+'21'!G153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+'21'!G154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+'21'!G155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+'21'!G157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+'21'!G161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+'21'!G162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272</v>
      </c>
      <c r="C164" s="12">
        <f>+'21'!G164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+'21'!G168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+'21'!G170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+'21'!G179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+'21'!G181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+'21'!G183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+'21'!G184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+'21'!G199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dimension ref="A1:Z297"/>
  <sheetViews>
    <sheetView topLeftCell="A213" workbookViewId="0">
      <selection activeCell="P222" sqref="P22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+'22'!G5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+'22'!G6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+'22'!G12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+'22'!G23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+'22'!G34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+'22'!G54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+'22'!G62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+'22'!G63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+'22'!G70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+'22'!G71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+'22'!G73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+'22'!G74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+'22'!G79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+'22'!G86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+'22'!G87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+'22'!G88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+'22'!G92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+'22'!G93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+'22'!G97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+'22'!G101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+'22'!G102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+'22'!G106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+'22'!G107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+'22'!G109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+'22'!G146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+'22'!G150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+'22'!G151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+'22'!G152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+'22'!G153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+'22'!G154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+'22'!G155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+'22'!G157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+'22'!G161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+'22'!G162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272</v>
      </c>
      <c r="C164" s="12">
        <f>+'22'!G164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+'22'!G168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+'22'!G170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+'22'!G179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+'22'!G181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+'22'!G183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+'22'!G184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+'22'!G199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dimension ref="A1:Z297"/>
  <sheetViews>
    <sheetView topLeftCell="A208" workbookViewId="0">
      <selection activeCell="J190" sqref="J19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+'23'!G5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+'23'!G6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+'23'!G12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+'23'!G34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+'23'!G54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+'23'!G62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4">
        <f>+'23'!G63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+'23'!G70</f>
        <v>5</v>
      </c>
      <c r="D70" s="13"/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+'23'!G71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+'23'!G73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+'23'!G74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+'23'!G77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+'23'!G79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+'23'!G86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+'23'!G87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+'23'!G88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+'23'!G92</f>
        <v>12</v>
      </c>
      <c r="D92" s="13"/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+'23'!G93</f>
        <v>3</v>
      </c>
      <c r="D93" s="13"/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+'23'!G97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+'23'!G101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+'23'!G102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+'23'!G106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+'23'!G107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+'23'!G109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+'23'!G146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+'23'!G150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+'23'!G151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+'23'!G152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+'23'!G153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+'23'!G154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+'23'!G155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+'23'!G157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+'23'!G161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+'23'!G162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272</v>
      </c>
      <c r="C164" s="12">
        <f>+'23'!G164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+'23'!G168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+'23'!G170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+'23'!G179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+'23'!G181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+'23'!G183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+'23'!G184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+'23'!G199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54" t="s">
        <v>228</v>
      </c>
      <c r="N211" s="154"/>
    </row>
    <row r="212" spans="1:15" ht="25.5" customHeight="1">
      <c r="A212" s="1"/>
      <c r="C212" s="25"/>
      <c r="D212" s="26"/>
      <c r="E212" s="25"/>
      <c r="F212" s="26"/>
      <c r="G212" s="25"/>
      <c r="H212" s="155" t="s">
        <v>229</v>
      </c>
      <c r="I212" s="156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57" t="s">
        <v>213</v>
      </c>
      <c r="J213" s="157"/>
      <c r="K213" s="34">
        <f>SUM(J5:J212)</f>
        <v>0</v>
      </c>
    </row>
    <row r="214" spans="1:15" ht="25.5">
      <c r="A214" s="1"/>
      <c r="C214" s="32"/>
      <c r="E214" s="32"/>
      <c r="G214" s="32"/>
      <c r="I214" s="136" t="s">
        <v>214</v>
      </c>
      <c r="J214" s="137"/>
      <c r="K214" s="37">
        <v>0</v>
      </c>
    </row>
    <row r="215" spans="1:15" ht="25.5">
      <c r="A215" s="1"/>
      <c r="C215" s="32"/>
      <c r="E215" s="32"/>
      <c r="G215" s="32"/>
      <c r="I215" s="35" t="s">
        <v>215</v>
      </c>
      <c r="J215" s="36"/>
      <c r="K215" s="37">
        <f>SUM(L215:BO215)</f>
        <v>0</v>
      </c>
      <c r="L215" s="38"/>
    </row>
    <row r="216" spans="1:15" ht="25.5">
      <c r="A216" s="1"/>
      <c r="C216" s="32"/>
      <c r="D216" s="91"/>
      <c r="E216" s="32"/>
      <c r="G216" s="39"/>
      <c r="I216" s="136" t="s">
        <v>216</v>
      </c>
      <c r="J216" s="137"/>
      <c r="K216" s="37">
        <v>0</v>
      </c>
    </row>
    <row r="217" spans="1:15" ht="25.5">
      <c r="A217" s="1"/>
      <c r="C217" s="90"/>
      <c r="E217" s="32"/>
      <c r="G217" s="32"/>
      <c r="I217" s="136" t="s">
        <v>217</v>
      </c>
      <c r="J217" s="137"/>
      <c r="K217" s="37">
        <v>0</v>
      </c>
    </row>
    <row r="218" spans="1:15" ht="25.5">
      <c r="A218" s="1"/>
      <c r="C218" s="32"/>
      <c r="E218" s="32"/>
      <c r="G218" s="32"/>
      <c r="I218" s="136" t="s">
        <v>218</v>
      </c>
      <c r="J218" s="137"/>
      <c r="K218" s="93">
        <f>SUM(L5:L211)</f>
        <v>0</v>
      </c>
      <c r="M218" s="94" t="s">
        <v>219</v>
      </c>
      <c r="N218" s="40" t="s">
        <v>220</v>
      </c>
      <c r="O218" s="41" t="s">
        <v>221</v>
      </c>
    </row>
    <row r="219" spans="1:15" ht="25.5">
      <c r="A219" s="1"/>
      <c r="C219" s="32"/>
      <c r="E219" s="32"/>
      <c r="G219" s="32"/>
      <c r="I219" s="136" t="s">
        <v>222</v>
      </c>
      <c r="J219" s="137"/>
      <c r="K219" s="34">
        <f>K213-K214-K215-K217-K218</f>
        <v>0</v>
      </c>
      <c r="M219" s="42"/>
      <c r="N219" s="42"/>
      <c r="O219" s="42"/>
    </row>
    <row r="220" spans="1:15" ht="25.5">
      <c r="A220" s="1"/>
      <c r="C220" s="32"/>
      <c r="E220" s="32"/>
      <c r="G220" s="32"/>
      <c r="I220" s="136" t="s">
        <v>223</v>
      </c>
      <c r="J220" s="137"/>
      <c r="K220" s="93">
        <v>0</v>
      </c>
      <c r="M220" s="42"/>
      <c r="N220" s="42"/>
      <c r="O220" s="42"/>
    </row>
    <row r="221" spans="1:15" ht="25.5">
      <c r="A221" s="1"/>
      <c r="C221" s="32"/>
      <c r="E221" s="32"/>
      <c r="G221" s="32"/>
      <c r="I221" s="136" t="s">
        <v>224</v>
      </c>
      <c r="J221" s="137"/>
      <c r="K221" s="34">
        <f>+K220-K219</f>
        <v>0</v>
      </c>
      <c r="M221" s="42"/>
      <c r="N221" s="42"/>
      <c r="O221" s="42"/>
    </row>
    <row r="222" spans="1:15" ht="25.5">
      <c r="G222" s="2"/>
      <c r="I222" s="136" t="s">
        <v>225</v>
      </c>
      <c r="J222" s="137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276</v>
      </c>
      <c r="J224" s="2">
        <f>+K213-K218+K221</f>
        <v>0</v>
      </c>
      <c r="M224" s="44"/>
      <c r="N224" s="44"/>
      <c r="O224" s="44"/>
    </row>
    <row r="225" spans="7:15">
      <c r="G225" s="2"/>
      <c r="I225" s="2" t="s">
        <v>277</v>
      </c>
      <c r="J225" s="2">
        <f>SUM(K214:K217)</f>
        <v>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278</v>
      </c>
      <c r="J226" s="2">
        <f>+K220</f>
        <v>0</v>
      </c>
      <c r="M226" s="46" t="s">
        <v>226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227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95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dimension ref="A1:Z299"/>
  <sheetViews>
    <sheetView topLeftCell="A213" workbookViewId="0">
      <selection activeCell="K223" sqref="K22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+'24'!G5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+'24'!G6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+'24'!G12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+'24'!G34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+'24'!G62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+'24'!G63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+'24'!G71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+'24'!G73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+'24'!G74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+'24'!G79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+'24'!G85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+'24'!G86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+'24'!G87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+'24'!G88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+'24'!G92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+'24'!G93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+'24'!G97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+'24'!G101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+'24'!G102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+'24'!G106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+'24'!G107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+'24'!G109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+'24'!G146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+'24'!G150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+'24'!G151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+'24'!G152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+'24'!G153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+'24'!G154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+'24'!G155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+'24'!G157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+'24'!G161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+'24'!G162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+'24'!G164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+'24'!G168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+'24'!G170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+'24'!G179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+'24'!G181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+'24'!G183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+'24'!G184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1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+'24'!G199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97">
        <v>207</v>
      </c>
      <c r="B211" s="20" t="s">
        <v>273</v>
      </c>
      <c r="C211" s="12">
        <f>+'24'!G211</f>
        <v>0</v>
      </c>
      <c r="D211" s="13">
        <v>0</v>
      </c>
      <c r="E211" s="12">
        <f t="shared" ref="E211" si="18">C211+D211</f>
        <v>0</v>
      </c>
      <c r="F211" s="13">
        <v>0</v>
      </c>
      <c r="G211" s="14">
        <f t="shared" ref="G211" si="19">E211-F211-H211</f>
        <v>0</v>
      </c>
      <c r="H211" s="15">
        <v>0</v>
      </c>
      <c r="I211" s="16">
        <v>60</v>
      </c>
      <c r="J211" s="17">
        <f t="shared" ref="J211" si="20">+I211*H211</f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97">
        <v>208</v>
      </c>
      <c r="B212" s="20" t="s">
        <v>274</v>
      </c>
      <c r="C212" s="12">
        <f>+'24'!G212</f>
        <v>0</v>
      </c>
      <c r="D212" s="13">
        <v>0</v>
      </c>
      <c r="E212" s="12">
        <f t="shared" ref="E212" si="21">C212+D212</f>
        <v>0</v>
      </c>
      <c r="F212" s="13">
        <v>0</v>
      </c>
      <c r="G212" s="14">
        <f t="shared" ref="G212" si="22">E212-F212-H212</f>
        <v>0</v>
      </c>
      <c r="H212" s="15">
        <v>0</v>
      </c>
      <c r="I212" s="16">
        <v>25</v>
      </c>
      <c r="J212" s="17">
        <f t="shared" ref="J212" si="23">+I212*H212</f>
        <v>0</v>
      </c>
      <c r="K212" s="18" t="s">
        <v>17</v>
      </c>
      <c r="L212" s="19">
        <v>0</v>
      </c>
      <c r="M212" s="24">
        <f t="shared" ref="M212" si="24">SUM(J212-L212)</f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1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15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1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1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1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1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15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1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dimension ref="A1:Z299"/>
  <sheetViews>
    <sheetView topLeftCell="A213" workbookViewId="0">
      <selection activeCell="J191" sqref="J19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5.8554687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+'25'!G5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+'25'!G6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+'25'!G12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+'25'!G34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+'25'!G62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+'25'!G63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+'25'!G71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+'25'!G73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+'25'!G74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+'25'!G77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+'25'!G79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+'25'!G82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+'25'!G85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+'25'!G86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+'25'!G87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+'25'!G88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+'25'!G92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+'25'!G93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+'25'!G97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+'25'!G101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+'25'!G102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+'25'!G106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+'25'!G107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+'25'!G109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+'25'!G142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+'25'!G146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+'25'!G150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+'25'!G151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+'25'!G152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+'25'!G153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0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+'25'!G154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+'25'!G155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+'25'!G157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+'25'!G161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+'25'!G162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+'25'!G164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+'25'!G168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+'25'!G170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+'25'!G179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+'25'!G181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+'25'!G183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+'25'!G184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+'25'!G199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266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264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97">
        <v>207</v>
      </c>
      <c r="B211" s="20" t="s">
        <v>273</v>
      </c>
      <c r="C211" s="12">
        <f>+'25'!G211</f>
        <v>0</v>
      </c>
      <c r="D211" s="13">
        <v>0</v>
      </c>
      <c r="E211" s="12">
        <f t="shared" ref="E211:E212" si="18">C211+D211</f>
        <v>0</v>
      </c>
      <c r="F211" s="13">
        <v>0</v>
      </c>
      <c r="G211" s="14">
        <f t="shared" ref="G211:G212" si="19">E211-F211-H211</f>
        <v>0</v>
      </c>
      <c r="H211" s="15">
        <v>0</v>
      </c>
      <c r="I211" s="16">
        <v>60</v>
      </c>
      <c r="J211" s="17">
        <f t="shared" ref="J211:J212" si="20">+I211*H211</f>
        <v>0</v>
      </c>
      <c r="K211" s="18" t="s">
        <v>17</v>
      </c>
      <c r="L211" s="19">
        <v>0</v>
      </c>
      <c r="M211" s="24">
        <f t="shared" ref="M211:M212" si="21">SUM(J211-L211)</f>
        <v>0</v>
      </c>
    </row>
    <row r="212" spans="1:25" ht="25.5">
      <c r="A212" s="97">
        <v>208</v>
      </c>
      <c r="B212" s="20" t="s">
        <v>274</v>
      </c>
      <c r="C212" s="12">
        <f>+'25'!G212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25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2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2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25" ht="25.5">
      <c r="A216" s="1"/>
      <c r="C216" s="32"/>
      <c r="E216" s="32"/>
      <c r="G216" s="32"/>
      <c r="I216" s="136" t="s">
        <v>214</v>
      </c>
      <c r="J216" s="137"/>
      <c r="K216" s="37">
        <v>0</v>
      </c>
      <c r="X216" s="28"/>
    </row>
    <row r="217" spans="1:2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  <c r="X217" s="28"/>
      <c r="Y217" s="28"/>
    </row>
    <row r="218" spans="1:2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2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2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2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2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25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2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dimension ref="A1:Z299"/>
  <sheetViews>
    <sheetView workbookViewId="0">
      <pane xSplit="7" ySplit="4" topLeftCell="H214" activePane="bottomRight" state="frozen"/>
      <selection pane="topRight" activeCell="H1" sqref="H1"/>
      <selection pane="bottomLeft" activeCell="A5" sqref="A5"/>
      <selection pane="bottomRight" activeCell="B214" sqref="B214:B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+'26'!G5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+'26'!G6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+'26'!G34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+'26'!G62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+'26'!G63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+'26'!G70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+'26'!G73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+'26'!G74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+'26'!G77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+'26'!G81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+'26'!G85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+'26'!G86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+'26'!G87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+'26'!G88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+'26'!G92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+'26'!G93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+'26'!G97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+'26'!G101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+'26'!G102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+'26'!G106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+'26'!G107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+'26'!G109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+'26'!G142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+'26'!G146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+'26'!G150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+'26'!G151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+'26'!G152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+'26'!G153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2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+'26'!G154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+'26'!G155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+'26'!G157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+'26'!G161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+'26'!G162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+'26'!G164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+'26'!G168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+'26'!G170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+'26'!G179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+'26'!G181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+'26'!G183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+'26'!G184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+'26'!G199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+'26'!G207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97">
        <v>207</v>
      </c>
      <c r="B211" s="20" t="s">
        <v>273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97">
        <v>208</v>
      </c>
      <c r="B212" s="20" t="s">
        <v>274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1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15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1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1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1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1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15" ht="25.5">
      <c r="A223" s="1"/>
      <c r="C223" s="32"/>
      <c r="E223" s="32"/>
      <c r="G223" s="32"/>
      <c r="I223" s="136" t="s">
        <v>224</v>
      </c>
      <c r="J223" s="137"/>
      <c r="K223" s="34">
        <v>0</v>
      </c>
      <c r="M223" s="42"/>
      <c r="N223" s="42"/>
      <c r="O223" s="42"/>
    </row>
    <row r="224" spans="1:1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dimension ref="A1:Z299"/>
  <sheetViews>
    <sheetView workbookViewId="0">
      <pane xSplit="6" ySplit="4" topLeftCell="H219" activePane="bottomRight" state="frozen"/>
      <selection pane="topRight" activeCell="G1" sqref="G1"/>
      <selection pane="bottomLeft" activeCell="A5" sqref="A5"/>
      <selection pane="bottomRight" activeCell="L222" sqref="L22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+'27'!G5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+'27'!G6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+'27'!G12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+'27'!G34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+'27'!G62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+'27'!G63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+'27'!G73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+'27'!G74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+'27'!G77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+'27'!G79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+'27'!G81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+'27'!G82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+'27'!G86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+'27'!G87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+'27'!G88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+'27'!G92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+'27'!G93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+'27'!G97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+'27'!G101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+'27'!G102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+'27'!G106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+'27'!G107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+'27'!G108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+'27'!G109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+'27'!G142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+'27'!G146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+'27'!G150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+'27'!G151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4">
        <f>+'27'!G152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+'27'!G153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2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+'27'!G154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+'27'!G155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+'27'!G157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+'27'!G161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+'27'!G162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+'27'!G164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+'27'!G168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+'27'!G170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+'27'!G179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+'27'!G181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+'27'!G183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+'27'!G184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+'27'!G199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+'27'!G207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97">
        <v>207</v>
      </c>
      <c r="B211" s="20" t="s">
        <v>273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97">
        <v>208</v>
      </c>
      <c r="B212" s="20" t="s">
        <v>274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1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15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1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1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1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1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15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1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dimension ref="A1:Z299"/>
  <sheetViews>
    <sheetView topLeftCell="A215" workbookViewId="0">
      <selection activeCell="M222" sqref="M22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+'28'!G5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+'28'!G6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+'28'!G12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+'28'!G34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+'28'!G62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+'28'!G63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+'28'!G71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+'28'!G73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+'28'!G74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+'28'!G77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+'28'!G79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+'28'!G86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+'28'!G87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+'28'!G88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+'28'!G92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+'28'!G93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+'28'!G97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+'28'!G101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+'28'!G102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+'28'!G106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+'28'!G107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+'28'!G108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+'28'!G109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+'28'!G142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+'28'!G146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+'28'!G150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+'28'!G151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4">
        <f>+'28'!G152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+'28'!G153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2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+'28'!G154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+'28'!G155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+'28'!G157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+'28'!G161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+'28'!G162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+'28'!G164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+'28'!G168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+'28'!G170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+'28'!G179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+'28'!G181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+'28'!G183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+'28'!G184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+'28'!G199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+'28'!G207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97">
        <v>207</v>
      </c>
      <c r="B211" s="20" t="s">
        <v>273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97">
        <v>208</v>
      </c>
      <c r="B212" s="20" t="s">
        <v>274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1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15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1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1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1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1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15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1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dimension ref="A1:Z299"/>
  <sheetViews>
    <sheetView topLeftCell="A213" workbookViewId="0">
      <selection activeCell="M224" sqref="M22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+'29'!G5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+'29'!G6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+'29'!G12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+'29'!G34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+'29'!G62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+'29'!G63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+'29'!G71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+'29'!G73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+'29'!G79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+'29'!G87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+'29'!G88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+'29'!G92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+'29'!G93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+'29'!G97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+'29'!G101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+'29'!G102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+'29'!G106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+'29'!G107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+'29'!G108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+'29'!G109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+'29'!G141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+'29'!G142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+'29'!G146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+'29'!G150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+'29'!G151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+'29'!G152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+'29'!G153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2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+'29'!G154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+'29'!G155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+'29'!G156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+'29'!G157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+'29'!G159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+'29'!G160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+'29'!G161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+'29'!G162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+'29'!G164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+'29'!G167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+'29'!G168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+'29'!G170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+'29'!G178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+'29'!G179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+'29'!G181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+'29'!G183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+'29'!G184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+'29'!G193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+'29'!G198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+'29'!G199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+'29'!G207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97">
        <v>207</v>
      </c>
      <c r="B211" s="20" t="s">
        <v>273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97">
        <v>208</v>
      </c>
      <c r="B212" s="20" t="s">
        <v>274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1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15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1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1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1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1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15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1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dimension ref="A1:Z299"/>
  <sheetViews>
    <sheetView topLeftCell="A213" workbookViewId="0">
      <selection activeCell="K223" sqref="K22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18.42578125" style="2" customWidth="1"/>
    <col min="12" max="12" width="6.7109375" style="2" bestFit="1" customWidth="1"/>
    <col min="13" max="13" width="9.140625" style="2" bestFit="1" customWidth="1"/>
    <col min="14" max="14" width="5.570312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O2" s="139" t="s">
        <v>1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6" s="5" customFormat="1" ht="26.25">
      <c r="A3" s="140" t="s">
        <v>2</v>
      </c>
      <c r="B3" s="140" t="s">
        <v>3</v>
      </c>
      <c r="C3" s="141" t="s">
        <v>4</v>
      </c>
      <c r="D3" s="141" t="s">
        <v>5</v>
      </c>
      <c r="E3" s="141" t="s">
        <v>6</v>
      </c>
      <c r="F3" s="4" t="s">
        <v>7</v>
      </c>
      <c r="G3" s="143" t="s">
        <v>8</v>
      </c>
      <c r="H3" s="145" t="s">
        <v>9</v>
      </c>
      <c r="I3" s="146"/>
      <c r="J3" s="147"/>
      <c r="K3" s="148" t="s">
        <v>10</v>
      </c>
      <c r="L3" s="150" t="s">
        <v>11</v>
      </c>
      <c r="M3" s="86"/>
      <c r="O3" s="140" t="s">
        <v>2</v>
      </c>
      <c r="P3" s="140" t="s">
        <v>3</v>
      </c>
      <c r="Q3" s="141" t="s">
        <v>4</v>
      </c>
      <c r="R3" s="141" t="s">
        <v>5</v>
      </c>
      <c r="S3" s="141" t="s">
        <v>6</v>
      </c>
      <c r="T3" s="4" t="s">
        <v>7</v>
      </c>
      <c r="U3" s="143" t="s">
        <v>8</v>
      </c>
      <c r="V3" s="145" t="s">
        <v>9</v>
      </c>
      <c r="W3" s="146"/>
      <c r="X3" s="147"/>
      <c r="Y3" s="148" t="s">
        <v>10</v>
      </c>
      <c r="Z3" s="150" t="s">
        <v>11</v>
      </c>
    </row>
    <row r="4" spans="1:26" s="5" customFormat="1" ht="27" thickBot="1">
      <c r="A4" s="140"/>
      <c r="B4" s="140"/>
      <c r="C4" s="142"/>
      <c r="D4" s="142"/>
      <c r="E4" s="142"/>
      <c r="F4" s="6" t="s">
        <v>12</v>
      </c>
      <c r="G4" s="144"/>
      <c r="H4" s="7" t="s">
        <v>13</v>
      </c>
      <c r="I4" s="8" t="s">
        <v>14</v>
      </c>
      <c r="J4" s="9" t="s">
        <v>15</v>
      </c>
      <c r="K4" s="149"/>
      <c r="L4" s="150"/>
      <c r="O4" s="140"/>
      <c r="P4" s="140"/>
      <c r="Q4" s="142"/>
      <c r="R4" s="142"/>
      <c r="S4" s="142"/>
      <c r="T4" s="6" t="s">
        <v>12</v>
      </c>
      <c r="U4" s="144"/>
      <c r="V4" s="7" t="s">
        <v>13</v>
      </c>
      <c r="W4" s="8" t="s">
        <v>14</v>
      </c>
      <c r="X4" s="9" t="s">
        <v>15</v>
      </c>
      <c r="Y4" s="149"/>
      <c r="Z4" s="150"/>
    </row>
    <row r="5" spans="1:26" ht="25.5">
      <c r="A5" s="10">
        <v>1</v>
      </c>
      <c r="B5" s="11" t="s">
        <v>16</v>
      </c>
      <c r="C5" s="12">
        <f>+'30'!G5</f>
        <v>6</v>
      </c>
      <c r="D5" s="13">
        <v>0</v>
      </c>
      <c r="E5" s="12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259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+'30'!G6</f>
        <v>65</v>
      </c>
      <c r="D6" s="13">
        <v>0</v>
      </c>
      <c r="E6" s="12">
        <f t="shared" si="0"/>
        <v>65</v>
      </c>
      <c r="F6" s="13">
        <v>0</v>
      </c>
      <c r="G6" s="14">
        <f t="shared" si="1"/>
        <v>65</v>
      </c>
      <c r="H6" s="15">
        <v>0</v>
      </c>
      <c r="I6" s="16">
        <v>100</v>
      </c>
      <c r="J6" s="17">
        <f t="shared" ref="J6:J70" si="4">+I6*H6</f>
        <v>0</v>
      </c>
      <c r="K6" s="18" t="s">
        <v>17</v>
      </c>
      <c r="L6" s="19">
        <v>0</v>
      </c>
      <c r="M6" s="96">
        <f t="shared" ref="M6:M69" si="5">SUM(J6-L6)</f>
        <v>0</v>
      </c>
      <c r="O6" s="10">
        <v>2</v>
      </c>
      <c r="P6" s="20" t="s">
        <v>260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261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262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+'30'!G12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265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27</v>
      </c>
      <c r="D23" s="13">
        <v>0</v>
      </c>
      <c r="E23" s="14">
        <f>C23+D23</f>
        <v>27</v>
      </c>
      <c r="F23" s="13">
        <v>0</v>
      </c>
      <c r="G23" s="14">
        <f t="shared" si="1"/>
        <v>27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96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+'30'!G34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9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96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96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4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27</v>
      </c>
      <c r="D37" s="13">
        <v>0</v>
      </c>
      <c r="E37" s="12">
        <f t="shared" si="0"/>
        <v>27</v>
      </c>
      <c r="F37" s="13">
        <v>0</v>
      </c>
      <c r="G37" s="14">
        <f t="shared" si="1"/>
        <v>27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96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96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96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96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96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96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+'30'!G62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+'30'!G63</f>
        <v>8</v>
      </c>
      <c r="D63" s="13">
        <v>0</v>
      </c>
      <c r="E63" s="12">
        <f>C63+D63</f>
        <v>8</v>
      </c>
      <c r="F63" s="13">
        <v>0</v>
      </c>
      <c r="G63" s="14">
        <f t="shared" si="1"/>
        <v>8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18</v>
      </c>
      <c r="D66" s="13">
        <v>0</v>
      </c>
      <c r="E66" s="12">
        <f t="shared" si="0"/>
        <v>18</v>
      </c>
      <c r="F66" s="13">
        <v>0</v>
      </c>
      <c r="G66" s="14">
        <f t="shared" si="1"/>
        <v>18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96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+'30'!G70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+'30'!G71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96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+'30'!G73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+'30'!G77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96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+'30'!G85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+'30'!G86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96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+'30'!G87</f>
        <v>17</v>
      </c>
      <c r="D87" s="13">
        <v>0</v>
      </c>
      <c r="E87" s="12">
        <f t="shared" si="0"/>
        <v>17</v>
      </c>
      <c r="F87" s="13">
        <v>0</v>
      </c>
      <c r="G87" s="14">
        <f t="shared" si="6"/>
        <v>17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+'30'!G88</f>
        <v>16</v>
      </c>
      <c r="D88" s="13">
        <v>0</v>
      </c>
      <c r="E88" s="12">
        <f t="shared" si="0"/>
        <v>16</v>
      </c>
      <c r="F88" s="13">
        <v>0</v>
      </c>
      <c r="G88" s="14">
        <f t="shared" si="6"/>
        <v>16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268</v>
      </c>
      <c r="C92" s="12">
        <f>+'30'!G92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12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96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269</v>
      </c>
      <c r="C93" s="12">
        <f>+'30'!G93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103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104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105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106</v>
      </c>
      <c r="C97" s="12">
        <f>+'30'!G97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107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108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109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230</v>
      </c>
      <c r="C101" s="12">
        <f>+'30'!G101</f>
        <v>18</v>
      </c>
      <c r="D101" s="13">
        <v>0</v>
      </c>
      <c r="E101" s="12">
        <f t="shared" si="11"/>
        <v>18</v>
      </c>
      <c r="F101" s="13">
        <v>0</v>
      </c>
      <c r="G101" s="14">
        <f t="shared" si="6"/>
        <v>18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110</v>
      </c>
      <c r="C102" s="12">
        <f>+'30'!G102</f>
        <v>14</v>
      </c>
      <c r="D102" s="13">
        <v>0</v>
      </c>
      <c r="E102" s="12">
        <f t="shared" si="11"/>
        <v>14</v>
      </c>
      <c r="F102" s="13">
        <v>0</v>
      </c>
      <c r="G102" s="14">
        <f t="shared" si="6"/>
        <v>14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111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112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113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114</v>
      </c>
      <c r="C106" s="12">
        <f>+'30'!G106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8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96">
        <f t="shared" si="9"/>
        <v>0</v>
      </c>
      <c r="Z106" s="30"/>
    </row>
    <row r="107" spans="1:26" ht="26.25" customHeight="1">
      <c r="A107" s="10">
        <v>103</v>
      </c>
      <c r="B107" s="20" t="s">
        <v>115</v>
      </c>
      <c r="C107" s="12">
        <f>+'30'!G107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1" t="s">
        <v>116</v>
      </c>
      <c r="Q107" s="152"/>
      <c r="R107" s="152"/>
      <c r="S107" s="152"/>
      <c r="T107" s="152"/>
      <c r="U107" s="152"/>
      <c r="V107" s="152"/>
      <c r="W107" s="153"/>
      <c r="X107" s="52">
        <f>SUM(X5:X104)</f>
        <v>0</v>
      </c>
    </row>
    <row r="108" spans="1:26" ht="25.5">
      <c r="A108" s="10">
        <v>104</v>
      </c>
      <c r="B108" s="20" t="s">
        <v>117</v>
      </c>
      <c r="C108" s="12">
        <f>+'30'!G108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118</v>
      </c>
      <c r="C109" s="12">
        <f>+'30'!G109</f>
        <v>3</v>
      </c>
      <c r="D109" s="13">
        <v>0</v>
      </c>
      <c r="E109" s="12">
        <f t="shared" si="11"/>
        <v>3</v>
      </c>
      <c r="F109" s="13">
        <v>0</v>
      </c>
      <c r="G109" s="14">
        <f t="shared" si="6"/>
        <v>3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119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144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145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146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147</v>
      </c>
      <c r="C138" s="12">
        <f>+'30'!G138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148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149</v>
      </c>
      <c r="C140" s="12">
        <f>+'30'!G140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150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151</v>
      </c>
      <c r="C142" s="12">
        <f>+'30'!G142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152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153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154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155</v>
      </c>
      <c r="C146" s="12">
        <f>+'30'!G146</f>
        <v>2</v>
      </c>
      <c r="D146" s="13">
        <v>0</v>
      </c>
      <c r="E146" s="12">
        <f t="shared" si="11"/>
        <v>2</v>
      </c>
      <c r="F146" s="13">
        <v>0</v>
      </c>
      <c r="G146" s="14">
        <f t="shared" si="6"/>
        <v>2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156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157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158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159</v>
      </c>
      <c r="C150" s="12">
        <f>+'30'!G150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160</v>
      </c>
      <c r="C151" s="12">
        <f>+'30'!G151</f>
        <v>1</v>
      </c>
      <c r="D151" s="13">
        <v>0</v>
      </c>
      <c r="E151" s="12">
        <f t="shared" si="11"/>
        <v>1</v>
      </c>
      <c r="F151" s="13">
        <v>0</v>
      </c>
      <c r="G151" s="14">
        <f t="shared" si="6"/>
        <v>1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161</v>
      </c>
      <c r="C152" s="12">
        <f>+'30'!G152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6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162</v>
      </c>
      <c r="C153" s="12">
        <f>+'30'!G153</f>
        <v>7</v>
      </c>
      <c r="D153" s="13">
        <v>0</v>
      </c>
      <c r="E153" s="12">
        <f t="shared" si="11"/>
        <v>7</v>
      </c>
      <c r="F153" s="13">
        <v>0</v>
      </c>
      <c r="G153" s="14">
        <f t="shared" ref="G153:G212" si="14">E153-F153-H153</f>
        <v>7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163</v>
      </c>
      <c r="C154" s="12">
        <f>+'30'!G154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164</v>
      </c>
      <c r="C155" s="12">
        <f>+'30'!G155</f>
        <v>1</v>
      </c>
      <c r="D155" s="13">
        <v>0</v>
      </c>
      <c r="E155" s="12">
        <f t="shared" si="11"/>
        <v>1</v>
      </c>
      <c r="F155" s="13">
        <v>0</v>
      </c>
      <c r="G155" s="14">
        <f t="shared" si="14"/>
        <v>1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165</v>
      </c>
      <c r="C156" s="12">
        <f>+'30'!G156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166</v>
      </c>
      <c r="C157" s="12">
        <f>+'30'!G157</f>
        <v>6</v>
      </c>
      <c r="D157" s="13">
        <v>0</v>
      </c>
      <c r="E157" s="12">
        <f t="shared" si="11"/>
        <v>6</v>
      </c>
      <c r="F157" s="13">
        <v>0</v>
      </c>
      <c r="G157" s="14">
        <f t="shared" si="14"/>
        <v>6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267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167</v>
      </c>
      <c r="C159" s="12">
        <f>+'30'!G159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168</v>
      </c>
      <c r="C160" s="12">
        <f>+'30'!G160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169</v>
      </c>
      <c r="C161" s="12">
        <f>+'30'!G161</f>
        <v>0</v>
      </c>
      <c r="D161" s="13">
        <v>0</v>
      </c>
      <c r="E161" s="12">
        <f t="shared" si="11"/>
        <v>0</v>
      </c>
      <c r="F161" s="13">
        <v>0</v>
      </c>
      <c r="G161" s="14">
        <f t="shared" si="14"/>
        <v>0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170</v>
      </c>
      <c r="C162" s="12">
        <f>+'30'!G162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2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263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171</v>
      </c>
      <c r="C164" s="12">
        <f>+'30'!G164</f>
        <v>7</v>
      </c>
      <c r="D164" s="13">
        <v>0</v>
      </c>
      <c r="E164" s="12">
        <f t="shared" si="11"/>
        <v>7</v>
      </c>
      <c r="F164" s="13">
        <v>0</v>
      </c>
      <c r="G164" s="14">
        <f t="shared" si="14"/>
        <v>7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172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173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174</v>
      </c>
      <c r="C167" s="12">
        <f>+'30'!G167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175</v>
      </c>
      <c r="C168" s="12">
        <f>+'30'!G168</f>
        <v>25</v>
      </c>
      <c r="D168" s="13">
        <v>0</v>
      </c>
      <c r="E168" s="12">
        <f t="shared" si="11"/>
        <v>25</v>
      </c>
      <c r="F168" s="13">
        <v>0</v>
      </c>
      <c r="G168" s="14">
        <f t="shared" si="14"/>
        <v>25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176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177</v>
      </c>
      <c r="C170" s="12">
        <f>+'30'!G170</f>
        <v>9</v>
      </c>
      <c r="D170" s="13">
        <v>0</v>
      </c>
      <c r="E170" s="12">
        <f t="shared" si="11"/>
        <v>9</v>
      </c>
      <c r="F170" s="13">
        <v>0</v>
      </c>
      <c r="G170" s="14">
        <f t="shared" si="14"/>
        <v>9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178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179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180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181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182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183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184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185</v>
      </c>
      <c r="C178" s="12">
        <f>+'30'!G178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186</v>
      </c>
      <c r="C179" s="12">
        <f>+'30'!G179</f>
        <v>57</v>
      </c>
      <c r="D179" s="13">
        <v>0</v>
      </c>
      <c r="E179" s="12">
        <f t="shared" si="11"/>
        <v>57</v>
      </c>
      <c r="F179" s="13">
        <v>0</v>
      </c>
      <c r="G179" s="14">
        <f t="shared" si="14"/>
        <v>57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96">
        <f t="shared" si="12"/>
        <v>0</v>
      </c>
    </row>
    <row r="180" spans="1:13" ht="25.5">
      <c r="A180" s="10">
        <v>176</v>
      </c>
      <c r="B180" s="20" t="s">
        <v>187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188</v>
      </c>
      <c r="C181" s="12">
        <f>+'30'!G181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189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190</v>
      </c>
      <c r="C183" s="12">
        <f>+'30'!G183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16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96">
        <f t="shared" si="12"/>
        <v>0</v>
      </c>
    </row>
    <row r="184" spans="1:13" ht="25.5">
      <c r="A184" s="10">
        <v>180</v>
      </c>
      <c r="B184" s="20" t="s">
        <v>191</v>
      </c>
      <c r="C184" s="12">
        <f>+'30'!G184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5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96">
        <f t="shared" si="12"/>
        <v>0</v>
      </c>
    </row>
    <row r="185" spans="1:13" ht="25.5">
      <c r="A185" s="10">
        <v>181</v>
      </c>
      <c r="B185" s="20" t="s">
        <v>192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193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194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195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196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197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198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199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200</v>
      </c>
      <c r="C193" s="12">
        <f>+'30'!G193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201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202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203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204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205</v>
      </c>
      <c r="C198" s="12">
        <f>+'30'!G198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195</v>
      </c>
      <c r="C199" s="12">
        <f>+'30'!G199</f>
        <v>253</v>
      </c>
      <c r="D199" s="13">
        <v>0</v>
      </c>
      <c r="E199" s="12">
        <f t="shared" si="11"/>
        <v>253</v>
      </c>
      <c r="F199" s="13">
        <v>0</v>
      </c>
      <c r="G199" s="14">
        <f t="shared" si="14"/>
        <v>253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206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207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208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209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210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211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212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257</v>
      </c>
      <c r="C207" s="12">
        <f>+'30'!G207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258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266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264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97">
        <v>207</v>
      </c>
      <c r="B211" s="20" t="s">
        <v>273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15" ht="25.5">
      <c r="A212" s="97">
        <v>208</v>
      </c>
      <c r="B212" s="20" t="s">
        <v>274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54" t="s">
        <v>228</v>
      </c>
      <c r="N213" s="154"/>
    </row>
    <row r="214" spans="1:15" ht="25.5" customHeight="1">
      <c r="A214" s="1"/>
      <c r="C214" s="25"/>
      <c r="D214" s="26"/>
      <c r="E214" s="25"/>
      <c r="F214" s="26"/>
      <c r="G214" s="25"/>
      <c r="H214" s="155" t="s">
        <v>229</v>
      </c>
      <c r="I214" s="156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57" t="s">
        <v>213</v>
      </c>
      <c r="J215" s="157"/>
      <c r="K215" s="34">
        <f>SUM(J5:J214)</f>
        <v>0</v>
      </c>
    </row>
    <row r="216" spans="1:15" ht="25.5">
      <c r="A216" s="1"/>
      <c r="C216" s="32"/>
      <c r="E216" s="32"/>
      <c r="G216" s="32"/>
      <c r="I216" s="136" t="s">
        <v>214</v>
      </c>
      <c r="J216" s="137"/>
      <c r="K216" s="37">
        <v>0</v>
      </c>
    </row>
    <row r="217" spans="1:15" ht="25.5">
      <c r="A217" s="1"/>
      <c r="C217" s="32"/>
      <c r="E217" s="32"/>
      <c r="G217" s="32"/>
      <c r="I217" s="35" t="s">
        <v>215</v>
      </c>
      <c r="J217" s="36"/>
      <c r="K217" s="37">
        <f>SUM(L217:BO217)</f>
        <v>0</v>
      </c>
      <c r="L217" s="38"/>
    </row>
    <row r="218" spans="1:15" ht="25.5">
      <c r="A218" s="1"/>
      <c r="C218" s="32"/>
      <c r="D218" s="91"/>
      <c r="E218" s="32"/>
      <c r="G218" s="39"/>
      <c r="I218" s="136" t="s">
        <v>216</v>
      </c>
      <c r="J218" s="137"/>
      <c r="K218" s="37">
        <v>0</v>
      </c>
    </row>
    <row r="219" spans="1:15" ht="25.5">
      <c r="A219" s="1"/>
      <c r="C219" s="90"/>
      <c r="E219" s="32"/>
      <c r="G219" s="32"/>
      <c r="I219" s="136" t="s">
        <v>217</v>
      </c>
      <c r="J219" s="137"/>
      <c r="K219" s="37">
        <v>0</v>
      </c>
    </row>
    <row r="220" spans="1:15" ht="25.5">
      <c r="A220" s="1"/>
      <c r="C220" s="32"/>
      <c r="E220" s="32"/>
      <c r="G220" s="32"/>
      <c r="I220" s="136" t="s">
        <v>218</v>
      </c>
      <c r="J220" s="137"/>
      <c r="K220" s="93">
        <f>SUM(L5:L213)</f>
        <v>0</v>
      </c>
      <c r="M220" s="94" t="s">
        <v>219</v>
      </c>
      <c r="N220" s="40" t="s">
        <v>220</v>
      </c>
      <c r="O220" s="41" t="s">
        <v>221</v>
      </c>
    </row>
    <row r="221" spans="1:15" ht="25.5">
      <c r="A221" s="1"/>
      <c r="C221" s="32"/>
      <c r="E221" s="32"/>
      <c r="G221" s="32"/>
      <c r="I221" s="136" t="s">
        <v>222</v>
      </c>
      <c r="J221" s="137"/>
      <c r="K221" s="34">
        <f>K215-K216-K217-K219-K220</f>
        <v>0</v>
      </c>
      <c r="M221" s="42"/>
      <c r="N221" s="42"/>
      <c r="O221" s="42"/>
    </row>
    <row r="222" spans="1:15" ht="25.5">
      <c r="A222" s="1"/>
      <c r="C222" s="32"/>
      <c r="E222" s="32"/>
      <c r="G222" s="32"/>
      <c r="I222" s="136" t="s">
        <v>223</v>
      </c>
      <c r="J222" s="137"/>
      <c r="K222" s="93">
        <v>0</v>
      </c>
      <c r="M222" s="42"/>
      <c r="N222" s="42"/>
      <c r="O222" s="42"/>
    </row>
    <row r="223" spans="1:15" ht="25.5">
      <c r="A223" s="1"/>
      <c r="C223" s="32"/>
      <c r="E223" s="32"/>
      <c r="G223" s="32"/>
      <c r="I223" s="136" t="s">
        <v>224</v>
      </c>
      <c r="J223" s="137"/>
      <c r="K223" s="34">
        <f>+K222-K221</f>
        <v>0</v>
      </c>
      <c r="M223" s="42"/>
      <c r="N223" s="42"/>
      <c r="O223" s="42"/>
    </row>
    <row r="224" spans="1:15" ht="25.5">
      <c r="G224" s="2"/>
      <c r="I224" s="136" t="s">
        <v>225</v>
      </c>
      <c r="J224" s="137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276</v>
      </c>
      <c r="J226" s="2">
        <f>+K215-K220+K223</f>
        <v>0</v>
      </c>
      <c r="M226" s="44"/>
      <c r="N226" s="44"/>
      <c r="O226" s="44"/>
    </row>
    <row r="227" spans="7:15">
      <c r="G227" s="2"/>
      <c r="I227" s="2" t="s">
        <v>277</v>
      </c>
      <c r="J227" s="2">
        <f>SUM(K216:K219)</f>
        <v>0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278</v>
      </c>
      <c r="J228" s="2">
        <f>+K222</f>
        <v>0</v>
      </c>
      <c r="M228" s="46" t="s">
        <v>226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227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95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2024-02-18T09:01:16Z</cp:lastPrinted>
  <dcterms:created xsi:type="dcterms:W3CDTF">2023-12-01T06:47:53Z</dcterms:created>
  <dcterms:modified xsi:type="dcterms:W3CDTF">2024-02-18T09:12:50Z</dcterms:modified>
</cp:coreProperties>
</file>