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2.ก.พ\"/>
    </mc:Choice>
  </mc:AlternateContent>
  <xr:revisionPtr revIDLastSave="0" documentId="13_ncr:1_{CDFA4523-04E2-4F39-89E4-096DB36F2651}" xr6:coauthVersionLast="47" xr6:coauthVersionMax="47" xr10:uidLastSave="{00000000-0000-0000-0000-000000000000}"/>
  <bookViews>
    <workbookView xWindow="-108" yWindow="-108" windowWidth="23256" windowHeight="12456" tabRatio="866" xr2:uid="{A6E767CE-B035-4B0A-A376-E6B6934A72E6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5" i="8"/>
  <c r="P10" i="8"/>
  <c r="P18" i="8"/>
  <c r="P17" i="8"/>
  <c r="P16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J55" i="42"/>
  <c r="K220" i="40"/>
  <c r="K220" i="39"/>
  <c r="K220" i="38"/>
  <c r="K220" i="37"/>
  <c r="K220" i="36"/>
  <c r="K220" i="35"/>
  <c r="C74" i="34"/>
  <c r="C73" i="34"/>
  <c r="K220" i="34"/>
  <c r="T35" i="8" l="1"/>
  <c r="P3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E204" i="8" s="1"/>
  <c r="H5" i="8"/>
  <c r="F5" i="8"/>
  <c r="D5" i="8"/>
  <c r="K212" i="64"/>
  <c r="N35" i="8" s="1"/>
  <c r="K209" i="64"/>
  <c r="R35" i="8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M168" i="64"/>
  <c r="J168" i="64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M130" i="64"/>
  <c r="J130" i="64"/>
  <c r="J129" i="64"/>
  <c r="M129" i="64" s="1"/>
  <c r="J128" i="64"/>
  <c r="M128" i="64" s="1"/>
  <c r="J127" i="64"/>
  <c r="M127" i="64" s="1"/>
  <c r="J126" i="64"/>
  <c r="M126" i="64" s="1"/>
  <c r="J125" i="64"/>
  <c r="M125" i="64" s="1"/>
  <c r="M124" i="64"/>
  <c r="J124" i="64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Q104" i="64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S88" i="64"/>
  <c r="U88" i="64" s="1"/>
  <c r="Q88" i="64"/>
  <c r="M88" i="64"/>
  <c r="J88" i="64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S84" i="64"/>
  <c r="U84" i="64" s="1"/>
  <c r="Q84" i="64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S80" i="64"/>
  <c r="U80" i="64" s="1"/>
  <c r="Q80" i="64"/>
  <c r="J80" i="64"/>
  <c r="M80" i="64" s="1"/>
  <c r="X79" i="64"/>
  <c r="Q79" i="64"/>
  <c r="S79" i="64" s="1"/>
  <c r="U79" i="64" s="1"/>
  <c r="J79" i="64"/>
  <c r="M79" i="64" s="1"/>
  <c r="X78" i="64"/>
  <c r="S78" i="64"/>
  <c r="U78" i="64" s="1"/>
  <c r="Q78" i="64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S71" i="64"/>
  <c r="U71" i="64" s="1"/>
  <c r="Q71" i="64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Q63" i="64"/>
  <c r="S63" i="64" s="1"/>
  <c r="U63" i="64" s="1"/>
  <c r="J63" i="64"/>
  <c r="M63" i="64" s="1"/>
  <c r="X62" i="64"/>
  <c r="S62" i="64"/>
  <c r="U62" i="64" s="1"/>
  <c r="Q62" i="64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S55" i="64"/>
  <c r="U55" i="64" s="1"/>
  <c r="Q55" i="64"/>
  <c r="J55" i="64"/>
  <c r="M55" i="64" s="1"/>
  <c r="X54" i="64"/>
  <c r="S54" i="64"/>
  <c r="U54" i="64" s="1"/>
  <c r="Q54" i="64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U43" i="64"/>
  <c r="Q43" i="64"/>
  <c r="S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S40" i="64"/>
  <c r="U40" i="64" s="1"/>
  <c r="Q40" i="64"/>
  <c r="J40" i="64"/>
  <c r="M40" i="64" s="1"/>
  <c r="X39" i="64"/>
  <c r="Q39" i="64"/>
  <c r="S39" i="64" s="1"/>
  <c r="U39" i="64" s="1"/>
  <c r="J39" i="64"/>
  <c r="M39" i="64" s="1"/>
  <c r="X38" i="64"/>
  <c r="S38" i="64"/>
  <c r="U38" i="64" s="1"/>
  <c r="Q38" i="64"/>
  <c r="J38" i="64"/>
  <c r="M38" i="64" s="1"/>
  <c r="X37" i="64"/>
  <c r="Q37" i="64"/>
  <c r="S37" i="64" s="1"/>
  <c r="U37" i="64" s="1"/>
  <c r="J37" i="64"/>
  <c r="M37" i="64" s="1"/>
  <c r="X36" i="64"/>
  <c r="S36" i="64"/>
  <c r="U36" i="64" s="1"/>
  <c r="Q36" i="64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S32" i="64"/>
  <c r="U32" i="64" s="1"/>
  <c r="Q32" i="64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S28" i="64"/>
  <c r="U28" i="64" s="1"/>
  <c r="Q28" i="64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S20" i="64"/>
  <c r="U20" i="64" s="1"/>
  <c r="Q20" i="64"/>
  <c r="J20" i="64"/>
  <c r="M20" i="64" s="1"/>
  <c r="X19" i="64"/>
  <c r="Q19" i="64"/>
  <c r="S19" i="64" s="1"/>
  <c r="U19" i="64" s="1"/>
  <c r="J19" i="64"/>
  <c r="M19" i="64" s="1"/>
  <c r="X18" i="64"/>
  <c r="S18" i="64"/>
  <c r="U18" i="64" s="1"/>
  <c r="Q18" i="64"/>
  <c r="J18" i="64"/>
  <c r="M18" i="64" s="1"/>
  <c r="X17" i="64"/>
  <c r="Q17" i="64"/>
  <c r="S17" i="64" s="1"/>
  <c r="U17" i="64" s="1"/>
  <c r="J17" i="64"/>
  <c r="M17" i="64" s="1"/>
  <c r="X16" i="64"/>
  <c r="S16" i="64"/>
  <c r="U16" i="64" s="1"/>
  <c r="Q16" i="64"/>
  <c r="J16" i="64"/>
  <c r="M16" i="64" s="1"/>
  <c r="X15" i="64"/>
  <c r="Q15" i="64"/>
  <c r="S15" i="64" s="1"/>
  <c r="U15" i="64" s="1"/>
  <c r="J15" i="64"/>
  <c r="M15" i="64" s="1"/>
  <c r="X14" i="64"/>
  <c r="S14" i="64"/>
  <c r="U14" i="64" s="1"/>
  <c r="Q14" i="64"/>
  <c r="J14" i="64"/>
  <c r="M14" i="64" s="1"/>
  <c r="X13" i="64"/>
  <c r="Q13" i="64"/>
  <c r="S13" i="64" s="1"/>
  <c r="U13" i="64" s="1"/>
  <c r="J13" i="64"/>
  <c r="M13" i="64" s="1"/>
  <c r="X12" i="64"/>
  <c r="S12" i="64"/>
  <c r="U12" i="64" s="1"/>
  <c r="Q12" i="64"/>
  <c r="J12" i="64"/>
  <c r="M12" i="64" s="1"/>
  <c r="X11" i="64"/>
  <c r="Q11" i="64"/>
  <c r="S11" i="64" s="1"/>
  <c r="U11" i="64" s="1"/>
  <c r="J11" i="64"/>
  <c r="M11" i="64" s="1"/>
  <c r="X10" i="64"/>
  <c r="S10" i="64"/>
  <c r="U10" i="64" s="1"/>
  <c r="Q10" i="64"/>
  <c r="J10" i="64"/>
  <c r="M10" i="64" s="1"/>
  <c r="X9" i="64"/>
  <c r="Q9" i="64"/>
  <c r="S9" i="64" s="1"/>
  <c r="U9" i="64" s="1"/>
  <c r="J9" i="64"/>
  <c r="M9" i="64" s="1"/>
  <c r="X8" i="64"/>
  <c r="S8" i="64"/>
  <c r="U8" i="64" s="1"/>
  <c r="Q8" i="64"/>
  <c r="J8" i="64"/>
  <c r="M8" i="64" s="1"/>
  <c r="X7" i="64"/>
  <c r="Q7" i="64"/>
  <c r="S7" i="64" s="1"/>
  <c r="U7" i="64" s="1"/>
  <c r="J7" i="64"/>
  <c r="M7" i="64" s="1"/>
  <c r="X6" i="64"/>
  <c r="S6" i="64"/>
  <c r="U6" i="64" s="1"/>
  <c r="Q6" i="64"/>
  <c r="J6" i="64"/>
  <c r="M6" i="64" s="1"/>
  <c r="X5" i="64"/>
  <c r="Q5" i="64"/>
  <c r="S5" i="64" s="1"/>
  <c r="U5" i="64" s="1"/>
  <c r="J5" i="64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O18" i="8"/>
  <c r="T17" i="8"/>
  <c r="Q17" i="8"/>
  <c r="O17" i="8"/>
  <c r="T16" i="8"/>
  <c r="Q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12" i="63"/>
  <c r="N34" i="8" s="1"/>
  <c r="K209" i="63"/>
  <c r="R34" i="8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M136" i="63"/>
  <c r="J136" i="63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M114" i="63"/>
  <c r="J114" i="63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S102" i="63"/>
  <c r="U102" i="63" s="1"/>
  <c r="Q102" i="63"/>
  <c r="J102" i="63"/>
  <c r="M102" i="63" s="1"/>
  <c r="X101" i="63"/>
  <c r="Q101" i="63"/>
  <c r="S101" i="63" s="1"/>
  <c r="U101" i="63" s="1"/>
  <c r="J101" i="63"/>
  <c r="M101" i="63" s="1"/>
  <c r="X100" i="63"/>
  <c r="S100" i="63"/>
  <c r="U100" i="63" s="1"/>
  <c r="Q100" i="63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U97" i="63"/>
  <c r="Q97" i="63"/>
  <c r="S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S90" i="63"/>
  <c r="U90" i="63" s="1"/>
  <c r="Q90" i="63"/>
  <c r="J90" i="63"/>
  <c r="M90" i="63" s="1"/>
  <c r="X89" i="63"/>
  <c r="Q89" i="63"/>
  <c r="S89" i="63" s="1"/>
  <c r="U89" i="63" s="1"/>
  <c r="J89" i="63"/>
  <c r="M89" i="63" s="1"/>
  <c r="X88" i="63"/>
  <c r="S88" i="63"/>
  <c r="U88" i="63" s="1"/>
  <c r="Q88" i="63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S80" i="63"/>
  <c r="U80" i="63" s="1"/>
  <c r="Q80" i="63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S74" i="63"/>
  <c r="U74" i="63" s="1"/>
  <c r="Q74" i="63"/>
  <c r="J74" i="63"/>
  <c r="M74" i="63" s="1"/>
  <c r="X73" i="63"/>
  <c r="Q73" i="63"/>
  <c r="S73" i="63" s="1"/>
  <c r="U73" i="63" s="1"/>
  <c r="J73" i="63"/>
  <c r="M73" i="63" s="1"/>
  <c r="X72" i="63"/>
  <c r="S72" i="63"/>
  <c r="U72" i="63" s="1"/>
  <c r="Q72" i="63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X67" i="63"/>
  <c r="Q67" i="63"/>
  <c r="S67" i="63" s="1"/>
  <c r="U67" i="63" s="1"/>
  <c r="J67" i="63"/>
  <c r="M67" i="63" s="1"/>
  <c r="X66" i="63"/>
  <c r="S66" i="63"/>
  <c r="U66" i="63" s="1"/>
  <c r="Q66" i="63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S63" i="63"/>
  <c r="U63" i="63" s="1"/>
  <c r="Q63" i="63"/>
  <c r="J63" i="63"/>
  <c r="M63" i="63" s="1"/>
  <c r="X62" i="63"/>
  <c r="S62" i="63"/>
  <c r="U62" i="63" s="1"/>
  <c r="Q62" i="63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S44" i="63"/>
  <c r="U44" i="63" s="1"/>
  <c r="Q44" i="63"/>
  <c r="J44" i="63"/>
  <c r="M44" i="63" s="1"/>
  <c r="X43" i="63"/>
  <c r="Q43" i="63"/>
  <c r="S43" i="63" s="1"/>
  <c r="U43" i="63" s="1"/>
  <c r="J43" i="63"/>
  <c r="M43" i="63" s="1"/>
  <c r="X42" i="63"/>
  <c r="S42" i="63"/>
  <c r="U42" i="63" s="1"/>
  <c r="Q42" i="63"/>
  <c r="J42" i="63"/>
  <c r="M42" i="63" s="1"/>
  <c r="X41" i="63"/>
  <c r="Q41" i="63"/>
  <c r="S41" i="63" s="1"/>
  <c r="U41" i="63" s="1"/>
  <c r="J41" i="63"/>
  <c r="M41" i="63" s="1"/>
  <c r="X40" i="63"/>
  <c r="S40" i="63"/>
  <c r="U40" i="63" s="1"/>
  <c r="Q40" i="63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S36" i="63"/>
  <c r="U36" i="63" s="1"/>
  <c r="Q36" i="63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S26" i="63"/>
  <c r="U26" i="63" s="1"/>
  <c r="Q26" i="63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U15" i="63"/>
  <c r="S15" i="63"/>
  <c r="Q15" i="63"/>
  <c r="J15" i="63"/>
  <c r="M15" i="63" s="1"/>
  <c r="X14" i="63"/>
  <c r="Q14" i="63"/>
  <c r="S14" i="63" s="1"/>
  <c r="U14" i="63" s="1"/>
  <c r="J14" i="63"/>
  <c r="M14" i="63" s="1"/>
  <c r="X13" i="63"/>
  <c r="S13" i="63"/>
  <c r="U13" i="63" s="1"/>
  <c r="Q13" i="63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S7" i="63"/>
  <c r="U7" i="63" s="1"/>
  <c r="Q7" i="63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8" s="1"/>
  <c r="K209" i="62"/>
  <c r="R33" i="8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M190" i="62"/>
  <c r="J190" i="62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M175" i="62"/>
  <c r="J175" i="62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S103" i="62"/>
  <c r="U103" i="62" s="1"/>
  <c r="Q103" i="62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S98" i="62"/>
  <c r="U98" i="62" s="1"/>
  <c r="Q98" i="62"/>
  <c r="J98" i="62"/>
  <c r="M98" i="62" s="1"/>
  <c r="X97" i="62"/>
  <c r="U97" i="62"/>
  <c r="Q97" i="62"/>
  <c r="S97" i="62" s="1"/>
  <c r="M97" i="62"/>
  <c r="J97" i="62"/>
  <c r="X96" i="62"/>
  <c r="Q96" i="62"/>
  <c r="S96" i="62" s="1"/>
  <c r="U96" i="62" s="1"/>
  <c r="J96" i="62"/>
  <c r="M96" i="62" s="1"/>
  <c r="X95" i="62"/>
  <c r="U95" i="62"/>
  <c r="S95" i="62"/>
  <c r="Q95" i="62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S78" i="62"/>
  <c r="U78" i="62" s="1"/>
  <c r="Q78" i="62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S66" i="62"/>
  <c r="U66" i="62" s="1"/>
  <c r="Q66" i="62"/>
  <c r="M66" i="62"/>
  <c r="J66" i="62"/>
  <c r="X65" i="62"/>
  <c r="Q65" i="62"/>
  <c r="S65" i="62" s="1"/>
  <c r="U65" i="62" s="1"/>
  <c r="J65" i="62"/>
  <c r="M65" i="62" s="1"/>
  <c r="X64" i="62"/>
  <c r="S64" i="62"/>
  <c r="U64" i="62" s="1"/>
  <c r="Q64" i="62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S42" i="62"/>
  <c r="U42" i="62" s="1"/>
  <c r="Q42" i="62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S38" i="62"/>
  <c r="U38" i="62" s="1"/>
  <c r="Q38" i="62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S32" i="62"/>
  <c r="U32" i="62" s="1"/>
  <c r="Q32" i="62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S25" i="62"/>
  <c r="U25" i="62" s="1"/>
  <c r="Q25" i="62"/>
  <c r="J25" i="62"/>
  <c r="M25" i="62" s="1"/>
  <c r="X24" i="62"/>
  <c r="Q24" i="62"/>
  <c r="S24" i="62" s="1"/>
  <c r="U24" i="62" s="1"/>
  <c r="M24" i="62"/>
  <c r="J24" i="62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S20" i="62"/>
  <c r="U20" i="62" s="1"/>
  <c r="Q20" i="62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R32" i="8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M188" i="61"/>
  <c r="J188" i="6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M175" i="61"/>
  <c r="J175" i="6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U103" i="61"/>
  <c r="S103" i="61"/>
  <c r="Q103" i="6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S99" i="61"/>
  <c r="U99" i="61" s="1"/>
  <c r="Q99" i="6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U95" i="61"/>
  <c r="S95" i="61"/>
  <c r="Q95" i="6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S91" i="61"/>
  <c r="U91" i="61" s="1"/>
  <c r="Q91" i="6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M89" i="61"/>
  <c r="J89" i="61"/>
  <c r="X88" i="61"/>
  <c r="Q88" i="61"/>
  <c r="S88" i="61" s="1"/>
  <c r="U88" i="61" s="1"/>
  <c r="J88" i="61"/>
  <c r="M88" i="61" s="1"/>
  <c r="X87" i="61"/>
  <c r="S87" i="61"/>
  <c r="U87" i="61" s="1"/>
  <c r="Q87" i="6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S83" i="61"/>
  <c r="U83" i="61" s="1"/>
  <c r="Q83" i="61"/>
  <c r="J83" i="61"/>
  <c r="M83" i="61" s="1"/>
  <c r="X82" i="61"/>
  <c r="S82" i="61"/>
  <c r="U82" i="61" s="1"/>
  <c r="Q82" i="61"/>
  <c r="M82" i="61"/>
  <c r="J82" i="61"/>
  <c r="X81" i="61"/>
  <c r="Q81" i="61"/>
  <c r="S81" i="61" s="1"/>
  <c r="U81" i="61" s="1"/>
  <c r="J81" i="61"/>
  <c r="M81" i="61" s="1"/>
  <c r="X80" i="61"/>
  <c r="S80" i="61"/>
  <c r="U80" i="61" s="1"/>
  <c r="Q80" i="61"/>
  <c r="J80" i="61"/>
  <c r="M80" i="61" s="1"/>
  <c r="X79" i="61"/>
  <c r="S79" i="61"/>
  <c r="U79" i="61" s="1"/>
  <c r="Q79" i="61"/>
  <c r="J79" i="61"/>
  <c r="M79" i="61" s="1"/>
  <c r="X78" i="61"/>
  <c r="U78" i="61"/>
  <c r="S78" i="61"/>
  <c r="Q78" i="6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S72" i="61"/>
  <c r="U72" i="61" s="1"/>
  <c r="Q72" i="6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U66" i="61"/>
  <c r="Q66" i="61"/>
  <c r="S66" i="61" s="1"/>
  <c r="J66" i="61"/>
  <c r="M66" i="61" s="1"/>
  <c r="X65" i="61"/>
  <c r="Q65" i="61"/>
  <c r="S65" i="61" s="1"/>
  <c r="U65" i="61" s="1"/>
  <c r="J65" i="61"/>
  <c r="M65" i="61" s="1"/>
  <c r="X64" i="61"/>
  <c r="S64" i="61"/>
  <c r="U64" i="61" s="1"/>
  <c r="Q64" i="6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U58" i="61"/>
  <c r="S58" i="61"/>
  <c r="Q58" i="61"/>
  <c r="J58" i="61"/>
  <c r="M58" i="61" s="1"/>
  <c r="X57" i="61"/>
  <c r="Q57" i="61"/>
  <c r="S57" i="61" s="1"/>
  <c r="U57" i="61" s="1"/>
  <c r="J57" i="61"/>
  <c r="M57" i="61" s="1"/>
  <c r="X56" i="61"/>
  <c r="S56" i="61"/>
  <c r="U56" i="61" s="1"/>
  <c r="Q56" i="61"/>
  <c r="J56" i="61"/>
  <c r="M56" i="61" s="1"/>
  <c r="X55" i="61"/>
  <c r="Q55" i="61"/>
  <c r="S55" i="61" s="1"/>
  <c r="U55" i="61" s="1"/>
  <c r="J55" i="61"/>
  <c r="M55" i="61" s="1"/>
  <c r="X54" i="61"/>
  <c r="S54" i="61"/>
  <c r="U54" i="61" s="1"/>
  <c r="Q54" i="6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U50" i="61"/>
  <c r="S50" i="61"/>
  <c r="Q50" i="61"/>
  <c r="J50" i="61"/>
  <c r="M50" i="61" s="1"/>
  <c r="X49" i="61"/>
  <c r="Q49" i="61"/>
  <c r="S49" i="61" s="1"/>
  <c r="U49" i="61" s="1"/>
  <c r="J49" i="61"/>
  <c r="M49" i="61" s="1"/>
  <c r="X48" i="61"/>
  <c r="S48" i="61"/>
  <c r="U48" i="61" s="1"/>
  <c r="Q48" i="61"/>
  <c r="J48" i="61"/>
  <c r="M48" i="61" s="1"/>
  <c r="X47" i="61"/>
  <c r="Q47" i="61"/>
  <c r="S47" i="61" s="1"/>
  <c r="U47" i="61" s="1"/>
  <c r="J47" i="61"/>
  <c r="M47" i="61" s="1"/>
  <c r="X46" i="61"/>
  <c r="U46" i="61"/>
  <c r="S46" i="61"/>
  <c r="Q46" i="6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S42" i="61"/>
  <c r="U42" i="61" s="1"/>
  <c r="Q42" i="6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M30" i="61"/>
  <c r="J30" i="6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12" i="60"/>
  <c r="N31" i="8" s="1"/>
  <c r="K209" i="60"/>
  <c r="R31" i="8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S102" i="60"/>
  <c r="U102" i="60" s="1"/>
  <c r="Q102" i="60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S98" i="60"/>
  <c r="U98" i="60" s="1"/>
  <c r="Q98" i="60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S94" i="60"/>
  <c r="U94" i="60" s="1"/>
  <c r="Q94" i="60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S87" i="60"/>
  <c r="U87" i="60" s="1"/>
  <c r="Q87" i="60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S74" i="60"/>
  <c r="U74" i="60" s="1"/>
  <c r="Q74" i="60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S70" i="60"/>
  <c r="U70" i="60" s="1"/>
  <c r="Q70" i="60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S66" i="60"/>
  <c r="U66" i="60" s="1"/>
  <c r="Q66" i="60"/>
  <c r="J66" i="60"/>
  <c r="M66" i="60" s="1"/>
  <c r="X65" i="60"/>
  <c r="U65" i="60"/>
  <c r="Q65" i="60"/>
  <c r="S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U62" i="60"/>
  <c r="S62" i="60"/>
  <c r="Q62" i="60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S50" i="60"/>
  <c r="U50" i="60" s="1"/>
  <c r="Q50" i="60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S43" i="60"/>
  <c r="U43" i="60" s="1"/>
  <c r="Q43" i="60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M40" i="60"/>
  <c r="J40" i="60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S36" i="60"/>
  <c r="U36" i="60" s="1"/>
  <c r="Q36" i="60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S31" i="60"/>
  <c r="U31" i="60" s="1"/>
  <c r="Q31" i="60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S25" i="60"/>
  <c r="U25" i="60" s="1"/>
  <c r="Q25" i="60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S22" i="60"/>
  <c r="U22" i="60" s="1"/>
  <c r="Q22" i="60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M19" i="60"/>
  <c r="J19" i="60"/>
  <c r="X18" i="60"/>
  <c r="Q18" i="60"/>
  <c r="S18" i="60" s="1"/>
  <c r="U18" i="60" s="1"/>
  <c r="J18" i="60"/>
  <c r="M18" i="60" s="1"/>
  <c r="X17" i="60"/>
  <c r="S17" i="60"/>
  <c r="U17" i="60" s="1"/>
  <c r="Q17" i="60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S9" i="60"/>
  <c r="U9" i="60" s="1"/>
  <c r="Q9" i="60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S6" i="60"/>
  <c r="U6" i="60" s="1"/>
  <c r="Q6" i="60"/>
  <c r="J6" i="60"/>
  <c r="M6" i="60" s="1"/>
  <c r="X5" i="60"/>
  <c r="Q5" i="60"/>
  <c r="S5" i="60" s="1"/>
  <c r="U5" i="60" s="1"/>
  <c r="J5" i="60"/>
  <c r="K212" i="59"/>
  <c r="N30" i="8" s="1"/>
  <c r="K209" i="59"/>
  <c r="R30" i="8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M122" i="59"/>
  <c r="J122" i="59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S103" i="59"/>
  <c r="U103" i="59" s="1"/>
  <c r="Q103" i="59"/>
  <c r="J103" i="59"/>
  <c r="M103" i="59" s="1"/>
  <c r="X102" i="59"/>
  <c r="U102" i="59"/>
  <c r="S102" i="59"/>
  <c r="Q102" i="59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S95" i="59"/>
  <c r="U95" i="59" s="1"/>
  <c r="Q95" i="59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S91" i="59"/>
  <c r="U91" i="59" s="1"/>
  <c r="Q91" i="59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S88" i="59"/>
  <c r="U88" i="59" s="1"/>
  <c r="Q88" i="59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S80" i="59"/>
  <c r="U80" i="59" s="1"/>
  <c r="Q80" i="59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S77" i="59"/>
  <c r="U77" i="59" s="1"/>
  <c r="Q77" i="59"/>
  <c r="J77" i="59"/>
  <c r="M77" i="59" s="1"/>
  <c r="X76" i="59"/>
  <c r="Q76" i="59"/>
  <c r="S76" i="59" s="1"/>
  <c r="U76" i="59" s="1"/>
  <c r="J76" i="59"/>
  <c r="M76" i="59" s="1"/>
  <c r="X75" i="59"/>
  <c r="S75" i="59"/>
  <c r="U75" i="59" s="1"/>
  <c r="Q75" i="59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S69" i="59"/>
  <c r="U69" i="59" s="1"/>
  <c r="Q69" i="59"/>
  <c r="J69" i="59"/>
  <c r="M69" i="59" s="1"/>
  <c r="X68" i="59"/>
  <c r="Q68" i="59"/>
  <c r="S68" i="59" s="1"/>
  <c r="U68" i="59" s="1"/>
  <c r="J68" i="59"/>
  <c r="M68" i="59" s="1"/>
  <c r="X67" i="59"/>
  <c r="S67" i="59"/>
  <c r="U67" i="59" s="1"/>
  <c r="Q67" i="59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U58" i="59"/>
  <c r="Q58" i="59"/>
  <c r="S58" i="59" s="1"/>
  <c r="J58" i="59"/>
  <c r="M58" i="59" s="1"/>
  <c r="X57" i="59"/>
  <c r="Q57" i="59"/>
  <c r="S57" i="59" s="1"/>
  <c r="U57" i="59" s="1"/>
  <c r="J57" i="59"/>
  <c r="M57" i="59" s="1"/>
  <c r="X56" i="59"/>
  <c r="S56" i="59"/>
  <c r="U56" i="59" s="1"/>
  <c r="Q56" i="59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S53" i="59"/>
  <c r="U53" i="59" s="1"/>
  <c r="Q53" i="59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U42" i="59"/>
  <c r="S42" i="59"/>
  <c r="Q42" i="59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S23" i="59"/>
  <c r="U23" i="59" s="1"/>
  <c r="Q23" i="59"/>
  <c r="J23" i="59"/>
  <c r="M23" i="59" s="1"/>
  <c r="X22" i="59"/>
  <c r="Q22" i="59"/>
  <c r="S22" i="59" s="1"/>
  <c r="U22" i="59" s="1"/>
  <c r="M22" i="59"/>
  <c r="J22" i="59"/>
  <c r="X21" i="59"/>
  <c r="Q21" i="59"/>
  <c r="S21" i="59" s="1"/>
  <c r="U21" i="59" s="1"/>
  <c r="J21" i="59"/>
  <c r="M21" i="59" s="1"/>
  <c r="X20" i="59"/>
  <c r="U20" i="59"/>
  <c r="S20" i="59"/>
  <c r="Q20" i="59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S16" i="59"/>
  <c r="U16" i="59" s="1"/>
  <c r="Q16" i="59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U12" i="59"/>
  <c r="S12" i="59"/>
  <c r="Q12" i="59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S8" i="59"/>
  <c r="U8" i="59" s="1"/>
  <c r="Q8" i="59"/>
  <c r="J8" i="59"/>
  <c r="M8" i="59" s="1"/>
  <c r="X7" i="59"/>
  <c r="S7" i="59"/>
  <c r="U7" i="59" s="1"/>
  <c r="Q7" i="59"/>
  <c r="M7" i="59"/>
  <c r="J7" i="59"/>
  <c r="X6" i="59"/>
  <c r="Q6" i="59"/>
  <c r="S6" i="59" s="1"/>
  <c r="U6" i="59" s="1"/>
  <c r="J6" i="59"/>
  <c r="M6" i="59" s="1"/>
  <c r="X5" i="59"/>
  <c r="S5" i="59"/>
  <c r="U5" i="59" s="1"/>
  <c r="Q5" i="59"/>
  <c r="M5" i="59"/>
  <c r="J5" i="59"/>
  <c r="K212" i="58"/>
  <c r="N29" i="8" s="1"/>
  <c r="K209" i="58"/>
  <c r="R29" i="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M190" i="58"/>
  <c r="J190" i="58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U103" i="58"/>
  <c r="Q103" i="58"/>
  <c r="S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S100" i="58"/>
  <c r="U100" i="58" s="1"/>
  <c r="Q100" i="58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S96" i="58"/>
  <c r="U96" i="58" s="1"/>
  <c r="Q96" i="58"/>
  <c r="J96" i="58"/>
  <c r="M96" i="58" s="1"/>
  <c r="X95" i="58"/>
  <c r="Q95" i="58"/>
  <c r="S95" i="58" s="1"/>
  <c r="U95" i="58" s="1"/>
  <c r="J95" i="58"/>
  <c r="M95" i="58" s="1"/>
  <c r="X94" i="58"/>
  <c r="S94" i="58"/>
  <c r="U94" i="58" s="1"/>
  <c r="Q94" i="58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S78" i="58"/>
  <c r="U78" i="58" s="1"/>
  <c r="Q78" i="58"/>
  <c r="J78" i="58"/>
  <c r="M78" i="58" s="1"/>
  <c r="X77" i="58"/>
  <c r="Q77" i="58"/>
  <c r="S77" i="58" s="1"/>
  <c r="U77" i="58" s="1"/>
  <c r="J77" i="58"/>
  <c r="M77" i="58" s="1"/>
  <c r="X76" i="58"/>
  <c r="S76" i="58"/>
  <c r="U76" i="58" s="1"/>
  <c r="Q76" i="58"/>
  <c r="J76" i="58"/>
  <c r="M76" i="58" s="1"/>
  <c r="X75" i="58"/>
  <c r="Q75" i="58"/>
  <c r="S75" i="58" s="1"/>
  <c r="U75" i="58" s="1"/>
  <c r="J75" i="58"/>
  <c r="M75" i="58" s="1"/>
  <c r="X74" i="58"/>
  <c r="S74" i="58"/>
  <c r="U74" i="58" s="1"/>
  <c r="Q74" i="58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S58" i="58"/>
  <c r="U58" i="58" s="1"/>
  <c r="Q58" i="58"/>
  <c r="J58" i="58"/>
  <c r="M58" i="58" s="1"/>
  <c r="X57" i="58"/>
  <c r="Q57" i="58"/>
  <c r="S57" i="58" s="1"/>
  <c r="U57" i="58" s="1"/>
  <c r="J57" i="58"/>
  <c r="M57" i="58" s="1"/>
  <c r="X56" i="58"/>
  <c r="S56" i="58"/>
  <c r="U56" i="58" s="1"/>
  <c r="Q56" i="58"/>
  <c r="J56" i="58"/>
  <c r="M56" i="58" s="1"/>
  <c r="X55" i="58"/>
  <c r="Q55" i="58"/>
  <c r="S55" i="58" s="1"/>
  <c r="U55" i="58" s="1"/>
  <c r="J55" i="58"/>
  <c r="M55" i="58" s="1"/>
  <c r="X54" i="58"/>
  <c r="S54" i="58"/>
  <c r="U54" i="58" s="1"/>
  <c r="Q54" i="58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S50" i="58"/>
  <c r="U50" i="58" s="1"/>
  <c r="Q50" i="58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S38" i="58"/>
  <c r="U38" i="58" s="1"/>
  <c r="Q38" i="58"/>
  <c r="J38" i="58"/>
  <c r="M38" i="58" s="1"/>
  <c r="X37" i="58"/>
  <c r="Q37" i="58"/>
  <c r="S37" i="58" s="1"/>
  <c r="U37" i="58" s="1"/>
  <c r="J37" i="58"/>
  <c r="M37" i="58" s="1"/>
  <c r="X36" i="58"/>
  <c r="S36" i="58"/>
  <c r="U36" i="58" s="1"/>
  <c r="Q36" i="58"/>
  <c r="J36" i="58"/>
  <c r="M36" i="58" s="1"/>
  <c r="X35" i="58"/>
  <c r="Q35" i="58"/>
  <c r="S35" i="58" s="1"/>
  <c r="U35" i="58" s="1"/>
  <c r="J35" i="58"/>
  <c r="M35" i="58" s="1"/>
  <c r="X34" i="58"/>
  <c r="S34" i="58"/>
  <c r="U34" i="58" s="1"/>
  <c r="Q34" i="58"/>
  <c r="J34" i="58"/>
  <c r="M34" i="58" s="1"/>
  <c r="X33" i="58"/>
  <c r="Q33" i="58"/>
  <c r="S33" i="58" s="1"/>
  <c r="U33" i="58" s="1"/>
  <c r="J33" i="58"/>
  <c r="M33" i="58" s="1"/>
  <c r="X32" i="58"/>
  <c r="S32" i="58"/>
  <c r="U32" i="58" s="1"/>
  <c r="Q32" i="58"/>
  <c r="J32" i="58"/>
  <c r="M32" i="58" s="1"/>
  <c r="X31" i="58"/>
  <c r="Q31" i="58"/>
  <c r="S31" i="58" s="1"/>
  <c r="U31" i="58" s="1"/>
  <c r="J31" i="58"/>
  <c r="M31" i="58" s="1"/>
  <c r="X30" i="58"/>
  <c r="U30" i="58"/>
  <c r="S30" i="58"/>
  <c r="Q30" i="58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S23" i="58"/>
  <c r="U23" i="58" s="1"/>
  <c r="Q23" i="58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S19" i="58"/>
  <c r="U19" i="58" s="1"/>
  <c r="Q19" i="58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S14" i="58"/>
  <c r="U14" i="58" s="1"/>
  <c r="Q14" i="58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S6" i="58"/>
  <c r="U6" i="58" s="1"/>
  <c r="Q6" i="58"/>
  <c r="J6" i="58"/>
  <c r="M6" i="58" s="1"/>
  <c r="X5" i="58"/>
  <c r="Q5" i="58"/>
  <c r="S5" i="58" s="1"/>
  <c r="U5" i="58" s="1"/>
  <c r="J5" i="58"/>
  <c r="M5" i="58" s="1"/>
  <c r="K212" i="57"/>
  <c r="N28" i="8" s="1"/>
  <c r="K209" i="57"/>
  <c r="R28" i="8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M159" i="57"/>
  <c r="J159" i="57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M146" i="57"/>
  <c r="J146" i="57"/>
  <c r="J145" i="57"/>
  <c r="M145" i="57" s="1"/>
  <c r="J144" i="57"/>
  <c r="M144" i="57" s="1"/>
  <c r="M143" i="57"/>
  <c r="J143" i="57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S104" i="57"/>
  <c r="U104" i="57" s="1"/>
  <c r="Q104" i="57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S96" i="57"/>
  <c r="U96" i="57" s="1"/>
  <c r="Q96" i="57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S93" i="57"/>
  <c r="U93" i="57" s="1"/>
  <c r="Q93" i="57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S85" i="57"/>
  <c r="U85" i="57" s="1"/>
  <c r="Q85" i="57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S82" i="57"/>
  <c r="U82" i="57" s="1"/>
  <c r="Q82" i="57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S77" i="57"/>
  <c r="U77" i="57" s="1"/>
  <c r="Q77" i="57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S72" i="57"/>
  <c r="U72" i="57" s="1"/>
  <c r="Q72" i="57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S66" i="57"/>
  <c r="U66" i="57" s="1"/>
  <c r="Q66" i="57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S53" i="57"/>
  <c r="U53" i="57" s="1"/>
  <c r="Q53" i="57"/>
  <c r="J53" i="57"/>
  <c r="M53" i="57" s="1"/>
  <c r="X52" i="57"/>
  <c r="U52" i="57"/>
  <c r="S52" i="57"/>
  <c r="Q52" i="57"/>
  <c r="J52" i="57"/>
  <c r="M52" i="57" s="1"/>
  <c r="X51" i="57"/>
  <c r="Q51" i="57"/>
  <c r="S51" i="57" s="1"/>
  <c r="U51" i="57" s="1"/>
  <c r="J51" i="57"/>
  <c r="M51" i="57" s="1"/>
  <c r="X50" i="57"/>
  <c r="S50" i="57"/>
  <c r="U50" i="57" s="1"/>
  <c r="Q50" i="57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S36" i="57"/>
  <c r="U36" i="57" s="1"/>
  <c r="Q36" i="57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S27" i="57"/>
  <c r="U27" i="57" s="1"/>
  <c r="Q27" i="57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S19" i="57"/>
  <c r="U19" i="57" s="1"/>
  <c r="Q19" i="57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S11" i="57"/>
  <c r="U11" i="57" s="1"/>
  <c r="Q11" i="57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12" i="56"/>
  <c r="N27" i="8" s="1"/>
  <c r="K209" i="56"/>
  <c r="R27" i="8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M191" i="56"/>
  <c r="J191" i="56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M149" i="56"/>
  <c r="J149" i="56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M135" i="56"/>
  <c r="J135" i="56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Q104" i="56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S99" i="56"/>
  <c r="U99" i="56" s="1"/>
  <c r="Q99" i="56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U95" i="56"/>
  <c r="Q95" i="56"/>
  <c r="S95" i="56" s="1"/>
  <c r="J95" i="56"/>
  <c r="M95" i="56" s="1"/>
  <c r="X94" i="56"/>
  <c r="Q94" i="56"/>
  <c r="S94" i="56" s="1"/>
  <c r="U94" i="56" s="1"/>
  <c r="J94" i="56"/>
  <c r="M94" i="56" s="1"/>
  <c r="X93" i="56"/>
  <c r="S93" i="56"/>
  <c r="U93" i="56" s="1"/>
  <c r="Q93" i="56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S87" i="56"/>
  <c r="U87" i="56" s="1"/>
  <c r="Q87" i="56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U79" i="56"/>
  <c r="Q79" i="56"/>
  <c r="S79" i="56" s="1"/>
  <c r="J79" i="56"/>
  <c r="M79" i="56" s="1"/>
  <c r="X78" i="56"/>
  <c r="Q78" i="56"/>
  <c r="S78" i="56" s="1"/>
  <c r="U78" i="56" s="1"/>
  <c r="J78" i="56"/>
  <c r="M78" i="56" s="1"/>
  <c r="X77" i="56"/>
  <c r="S77" i="56"/>
  <c r="U77" i="56" s="1"/>
  <c r="Q77" i="56"/>
  <c r="J77" i="56"/>
  <c r="M77" i="56" s="1"/>
  <c r="X76" i="56"/>
  <c r="Q76" i="56"/>
  <c r="S76" i="56" s="1"/>
  <c r="U76" i="56" s="1"/>
  <c r="J76" i="56"/>
  <c r="M76" i="56" s="1"/>
  <c r="X75" i="56"/>
  <c r="S75" i="56"/>
  <c r="U75" i="56" s="1"/>
  <c r="Q75" i="56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 s="1"/>
  <c r="U68" i="56" s="1"/>
  <c r="J68" i="56"/>
  <c r="M68" i="56" s="1"/>
  <c r="X67" i="56"/>
  <c r="S67" i="56"/>
  <c r="U67" i="56" s="1"/>
  <c r="Q67" i="56"/>
  <c r="J67" i="56"/>
  <c r="M67" i="56" s="1"/>
  <c r="X66" i="56"/>
  <c r="Q66" i="56"/>
  <c r="S66" i="56" s="1"/>
  <c r="U66" i="56" s="1"/>
  <c r="J66" i="56"/>
  <c r="M66" i="56" s="1"/>
  <c r="X65" i="56"/>
  <c r="S65" i="56"/>
  <c r="U65" i="56" s="1"/>
  <c r="Q65" i="56"/>
  <c r="J65" i="56"/>
  <c r="M65" i="56" s="1"/>
  <c r="X64" i="56"/>
  <c r="S64" i="56"/>
  <c r="U64" i="56" s="1"/>
  <c r="Q64" i="56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S59" i="56"/>
  <c r="U59" i="56" s="1"/>
  <c r="Q59" i="56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S53" i="56"/>
  <c r="U53" i="56" s="1"/>
  <c r="Q53" i="56"/>
  <c r="J53" i="56"/>
  <c r="M53" i="56" s="1"/>
  <c r="X52" i="56"/>
  <c r="Q52" i="56"/>
  <c r="S52" i="56" s="1"/>
  <c r="U52" i="56" s="1"/>
  <c r="J52" i="56"/>
  <c r="M52" i="56" s="1"/>
  <c r="X51" i="56"/>
  <c r="S51" i="56"/>
  <c r="U51" i="56" s="1"/>
  <c r="Q51" i="56"/>
  <c r="J51" i="56"/>
  <c r="M51" i="56" s="1"/>
  <c r="X50" i="56"/>
  <c r="Q50" i="56"/>
  <c r="S50" i="56" s="1"/>
  <c r="U50" i="56" s="1"/>
  <c r="J50" i="56"/>
  <c r="M50" i="56" s="1"/>
  <c r="X49" i="56"/>
  <c r="S49" i="56"/>
  <c r="U49" i="56" s="1"/>
  <c r="Q49" i="56"/>
  <c r="J49" i="56"/>
  <c r="M49" i="56" s="1"/>
  <c r="X48" i="56"/>
  <c r="Q48" i="56"/>
  <c r="S48" i="56" s="1"/>
  <c r="U48" i="56" s="1"/>
  <c r="J48" i="56"/>
  <c r="M48" i="56" s="1"/>
  <c r="X47" i="56"/>
  <c r="S47" i="56"/>
  <c r="U47" i="56" s="1"/>
  <c r="Q47" i="56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U39" i="56"/>
  <c r="S39" i="56"/>
  <c r="Q39" i="56"/>
  <c r="J39" i="56"/>
  <c r="M39" i="56" s="1"/>
  <c r="X38" i="56"/>
  <c r="Q38" i="56"/>
  <c r="S38" i="56" s="1"/>
  <c r="U38" i="56" s="1"/>
  <c r="J38" i="56"/>
  <c r="M38" i="56" s="1"/>
  <c r="X37" i="56"/>
  <c r="S37" i="56"/>
  <c r="U37" i="56" s="1"/>
  <c r="Q37" i="56"/>
  <c r="J37" i="56"/>
  <c r="M37" i="56" s="1"/>
  <c r="X36" i="56"/>
  <c r="Q36" i="56"/>
  <c r="S36" i="56" s="1"/>
  <c r="U36" i="56" s="1"/>
  <c r="J36" i="56"/>
  <c r="M36" i="56" s="1"/>
  <c r="X35" i="56"/>
  <c r="S35" i="56"/>
  <c r="U35" i="56" s="1"/>
  <c r="Q35" i="56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S32" i="56"/>
  <c r="U32" i="56" s="1"/>
  <c r="Q32" i="56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S18" i="56"/>
  <c r="U18" i="56" s="1"/>
  <c r="Q18" i="56"/>
  <c r="J18" i="56"/>
  <c r="M18" i="56" s="1"/>
  <c r="X17" i="56"/>
  <c r="Q17" i="56"/>
  <c r="S17" i="56" s="1"/>
  <c r="U17" i="56" s="1"/>
  <c r="J17" i="56"/>
  <c r="M17" i="56" s="1"/>
  <c r="X16" i="56"/>
  <c r="S16" i="56"/>
  <c r="U16" i="56" s="1"/>
  <c r="Q16" i="56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S8" i="56"/>
  <c r="U8" i="56" s="1"/>
  <c r="Q8" i="56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12" i="55"/>
  <c r="N26" i="8" s="1"/>
  <c r="K209" i="55"/>
  <c r="R26" i="8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M180" i="55"/>
  <c r="J180" i="55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M127" i="55"/>
  <c r="J127" i="55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Q104" i="55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S90" i="55"/>
  <c r="U90" i="55" s="1"/>
  <c r="Q90" i="55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S84" i="55"/>
  <c r="U84" i="55" s="1"/>
  <c r="Q84" i="55"/>
  <c r="J84" i="55"/>
  <c r="M84" i="55" s="1"/>
  <c r="X83" i="55"/>
  <c r="Q83" i="55"/>
  <c r="S83" i="55" s="1"/>
  <c r="U83" i="55" s="1"/>
  <c r="J83" i="55"/>
  <c r="M83" i="55" s="1"/>
  <c r="X82" i="55"/>
  <c r="S82" i="55"/>
  <c r="U82" i="55" s="1"/>
  <c r="Q82" i="55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S76" i="55"/>
  <c r="U76" i="55" s="1"/>
  <c r="Q76" i="55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S71" i="55"/>
  <c r="U71" i="55" s="1"/>
  <c r="Q71" i="55"/>
  <c r="J71" i="55"/>
  <c r="M71" i="55" s="1"/>
  <c r="X70" i="55"/>
  <c r="S70" i="55"/>
  <c r="U70" i="55" s="1"/>
  <c r="Q70" i="55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S63" i="55"/>
  <c r="U63" i="55" s="1"/>
  <c r="Q63" i="55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S56" i="55"/>
  <c r="U56" i="55" s="1"/>
  <c r="Q56" i="55"/>
  <c r="J56" i="55"/>
  <c r="M56" i="55" s="1"/>
  <c r="X55" i="55"/>
  <c r="S55" i="55"/>
  <c r="U55" i="55" s="1"/>
  <c r="Q55" i="55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U49" i="55"/>
  <c r="Q49" i="55"/>
  <c r="S49" i="55" s="1"/>
  <c r="J49" i="55"/>
  <c r="M49" i="55" s="1"/>
  <c r="X48" i="55"/>
  <c r="Q48" i="55"/>
  <c r="S48" i="55" s="1"/>
  <c r="U48" i="55" s="1"/>
  <c r="J48" i="55"/>
  <c r="M48" i="55" s="1"/>
  <c r="X47" i="55"/>
  <c r="S47" i="55"/>
  <c r="U47" i="55" s="1"/>
  <c r="Q47" i="55"/>
  <c r="J47" i="55"/>
  <c r="M47" i="55" s="1"/>
  <c r="X46" i="55"/>
  <c r="S46" i="55"/>
  <c r="U46" i="55" s="1"/>
  <c r="Q46" i="55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U43" i="55"/>
  <c r="Q43" i="55"/>
  <c r="S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S39" i="55"/>
  <c r="U39" i="55" s="1"/>
  <c r="Q39" i="55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S31" i="55"/>
  <c r="U31" i="55" s="1"/>
  <c r="Q31" i="55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S16" i="55"/>
  <c r="U16" i="55" s="1"/>
  <c r="Q16" i="55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S8" i="55"/>
  <c r="U8" i="55" s="1"/>
  <c r="Q8" i="55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12" i="54"/>
  <c r="N25" i="8" s="1"/>
  <c r="K209" i="54"/>
  <c r="R25" i="8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Q104" i="54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M98" i="54"/>
  <c r="J98" i="54"/>
  <c r="X97" i="54"/>
  <c r="U97" i="54"/>
  <c r="Q97" i="54"/>
  <c r="S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U89" i="54"/>
  <c r="Q89" i="54"/>
  <c r="S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S82" i="54"/>
  <c r="U82" i="54" s="1"/>
  <c r="Q82" i="54"/>
  <c r="J82" i="54"/>
  <c r="M82" i="54" s="1"/>
  <c r="X81" i="54"/>
  <c r="Q81" i="54"/>
  <c r="S81" i="54" s="1"/>
  <c r="U81" i="54" s="1"/>
  <c r="J81" i="54"/>
  <c r="M81" i="54" s="1"/>
  <c r="X80" i="54"/>
  <c r="S80" i="54"/>
  <c r="U80" i="54" s="1"/>
  <c r="Q80" i="54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U73" i="54"/>
  <c r="Q73" i="54"/>
  <c r="S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M69" i="54"/>
  <c r="J69" i="54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S64" i="54"/>
  <c r="U64" i="54" s="1"/>
  <c r="Q64" i="54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S54" i="54"/>
  <c r="U54" i="54" s="1"/>
  <c r="Q54" i="54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M48" i="54"/>
  <c r="J48" i="54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U42" i="54"/>
  <c r="Q42" i="54"/>
  <c r="S42" i="54" s="1"/>
  <c r="J42" i="54"/>
  <c r="M42" i="54" s="1"/>
  <c r="X41" i="54"/>
  <c r="Q41" i="54"/>
  <c r="S41" i="54" s="1"/>
  <c r="U41" i="54" s="1"/>
  <c r="J41" i="54"/>
  <c r="M41" i="54" s="1"/>
  <c r="X40" i="54"/>
  <c r="S40" i="54"/>
  <c r="U40" i="54" s="1"/>
  <c r="Q40" i="54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S34" i="54"/>
  <c r="U34" i="54" s="1"/>
  <c r="Q34" i="54"/>
  <c r="J34" i="54"/>
  <c r="M34" i="54" s="1"/>
  <c r="X33" i="54"/>
  <c r="Q33" i="54"/>
  <c r="S33" i="54" s="1"/>
  <c r="U33" i="54" s="1"/>
  <c r="J33" i="54"/>
  <c r="M33" i="54" s="1"/>
  <c r="X32" i="54"/>
  <c r="S32" i="54"/>
  <c r="U32" i="54" s="1"/>
  <c r="Q32" i="54"/>
  <c r="J32" i="54"/>
  <c r="M32" i="54" s="1"/>
  <c r="X31" i="54"/>
  <c r="Q31" i="54"/>
  <c r="S31" i="54" s="1"/>
  <c r="U31" i="54" s="1"/>
  <c r="J31" i="54"/>
  <c r="M31" i="54" s="1"/>
  <c r="X30" i="54"/>
  <c r="S30" i="54"/>
  <c r="U30" i="54" s="1"/>
  <c r="Q30" i="54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S27" i="54"/>
  <c r="U27" i="54" s="1"/>
  <c r="Q27" i="54"/>
  <c r="J27" i="54"/>
  <c r="M27" i="54" s="1"/>
  <c r="X26" i="54"/>
  <c r="S26" i="54"/>
  <c r="U26" i="54" s="1"/>
  <c r="Q26" i="54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S22" i="54"/>
  <c r="U22" i="54" s="1"/>
  <c r="Q22" i="54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M16" i="54"/>
  <c r="J16" i="54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S13" i="54"/>
  <c r="U13" i="54" s="1"/>
  <c r="Q13" i="54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S6" i="54"/>
  <c r="U6" i="54" s="1"/>
  <c r="Q6" i="54"/>
  <c r="J6" i="54"/>
  <c r="M6" i="54" s="1"/>
  <c r="X5" i="54"/>
  <c r="Q5" i="54"/>
  <c r="S5" i="54" s="1"/>
  <c r="U5" i="54" s="1"/>
  <c r="J5" i="54"/>
  <c r="M5" i="54" s="1"/>
  <c r="K212" i="53"/>
  <c r="N24" i="8" s="1"/>
  <c r="K209" i="53"/>
  <c r="R24" i="8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U103" i="53"/>
  <c r="S103" i="53"/>
  <c r="Q103" i="53"/>
  <c r="J103" i="53"/>
  <c r="M103" i="53" s="1"/>
  <c r="X102" i="53"/>
  <c r="Q102" i="53"/>
  <c r="S102" i="53" s="1"/>
  <c r="U102" i="53" s="1"/>
  <c r="M102" i="53"/>
  <c r="J102" i="53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U95" i="53"/>
  <c r="S95" i="53"/>
  <c r="Q95" i="53"/>
  <c r="J95" i="53"/>
  <c r="M95" i="53" s="1"/>
  <c r="X94" i="53"/>
  <c r="S94" i="53"/>
  <c r="U94" i="53" s="1"/>
  <c r="Q94" i="53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U87" i="53"/>
  <c r="S87" i="53"/>
  <c r="Q87" i="53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U81" i="53"/>
  <c r="Q81" i="53"/>
  <c r="S81" i="53" s="1"/>
  <c r="J81" i="53"/>
  <c r="M81" i="53" s="1"/>
  <c r="X80" i="53"/>
  <c r="S80" i="53"/>
  <c r="U80" i="53" s="1"/>
  <c r="Q80" i="53"/>
  <c r="J80" i="53"/>
  <c r="M80" i="53" s="1"/>
  <c r="X79" i="53"/>
  <c r="U79" i="53"/>
  <c r="S79" i="53"/>
  <c r="Q79" i="53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M73" i="53"/>
  <c r="J73" i="53"/>
  <c r="X72" i="53"/>
  <c r="Q72" i="53"/>
  <c r="S72" i="53" s="1"/>
  <c r="U72" i="53" s="1"/>
  <c r="J72" i="53"/>
  <c r="M72" i="53" s="1"/>
  <c r="X71" i="53"/>
  <c r="S71" i="53"/>
  <c r="U71" i="53" s="1"/>
  <c r="Q71" i="53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U63" i="53"/>
  <c r="Q63" i="53"/>
  <c r="S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U57" i="53"/>
  <c r="Q57" i="53"/>
  <c r="S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S54" i="53"/>
  <c r="U54" i="53" s="1"/>
  <c r="Q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S36" i="53"/>
  <c r="U36" i="53" s="1"/>
  <c r="Q36" i="53"/>
  <c r="J36" i="53"/>
  <c r="M36" i="53" s="1"/>
  <c r="X35" i="53"/>
  <c r="Q35" i="53"/>
  <c r="S35" i="53" s="1"/>
  <c r="U35" i="53" s="1"/>
  <c r="J35" i="53"/>
  <c r="M35" i="53" s="1"/>
  <c r="X34" i="53"/>
  <c r="S34" i="53"/>
  <c r="U34" i="53" s="1"/>
  <c r="Q34" i="53"/>
  <c r="J34" i="53"/>
  <c r="M34" i="53" s="1"/>
  <c r="X33" i="53"/>
  <c r="Q33" i="53"/>
  <c r="S33" i="53" s="1"/>
  <c r="U33" i="53" s="1"/>
  <c r="J33" i="53"/>
  <c r="M33" i="53" s="1"/>
  <c r="X32" i="53"/>
  <c r="S32" i="53"/>
  <c r="U32" i="53" s="1"/>
  <c r="Q32" i="53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S28" i="53"/>
  <c r="U28" i="53" s="1"/>
  <c r="Q28" i="53"/>
  <c r="J28" i="53"/>
  <c r="M28" i="53" s="1"/>
  <c r="X27" i="53"/>
  <c r="Q27" i="53"/>
  <c r="S27" i="53" s="1"/>
  <c r="U27" i="53" s="1"/>
  <c r="J27" i="53"/>
  <c r="M27" i="53" s="1"/>
  <c r="X26" i="53"/>
  <c r="S26" i="53"/>
  <c r="U26" i="53" s="1"/>
  <c r="Q26" i="53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S20" i="53"/>
  <c r="U20" i="53" s="1"/>
  <c r="Q20" i="53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S15" i="53"/>
  <c r="U15" i="53" s="1"/>
  <c r="Q15" i="53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S12" i="53"/>
  <c r="U12" i="53" s="1"/>
  <c r="Q12" i="53"/>
  <c r="J12" i="53"/>
  <c r="M12" i="53" s="1"/>
  <c r="X11" i="53"/>
  <c r="Q11" i="53"/>
  <c r="S11" i="53" s="1"/>
  <c r="U11" i="53" s="1"/>
  <c r="J11" i="53"/>
  <c r="M11" i="53" s="1"/>
  <c r="X10" i="53"/>
  <c r="S10" i="53"/>
  <c r="U10" i="53" s="1"/>
  <c r="Q10" i="53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12" i="52"/>
  <c r="N23" i="8" s="1"/>
  <c r="K20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M158" i="52"/>
  <c r="J158" i="52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Q104" i="52"/>
  <c r="J104" i="52"/>
  <c r="M104" i="52" s="1"/>
  <c r="X103" i="52"/>
  <c r="Q103" i="52"/>
  <c r="S103" i="52" s="1"/>
  <c r="U103" i="52" s="1"/>
  <c r="J103" i="52"/>
  <c r="M103" i="52" s="1"/>
  <c r="X102" i="52"/>
  <c r="S102" i="52"/>
  <c r="U102" i="52" s="1"/>
  <c r="Q102" i="52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M100" i="52"/>
  <c r="J100" i="52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S96" i="52"/>
  <c r="U96" i="52" s="1"/>
  <c r="Q96" i="52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S82" i="52"/>
  <c r="U82" i="52" s="1"/>
  <c r="Q82" i="52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M74" i="52"/>
  <c r="J74" i="52"/>
  <c r="X73" i="52"/>
  <c r="Q73" i="52"/>
  <c r="S73" i="52" s="1"/>
  <c r="U73" i="52" s="1"/>
  <c r="J73" i="52"/>
  <c r="M73" i="52" s="1"/>
  <c r="X72" i="52"/>
  <c r="Q72" i="52"/>
  <c r="S72" i="52" s="1"/>
  <c r="U72" i="52" s="1"/>
  <c r="M72" i="52"/>
  <c r="J72" i="52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S66" i="52"/>
  <c r="U66" i="52" s="1"/>
  <c r="Q66" i="52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M50" i="52"/>
  <c r="J50" i="52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S46" i="52"/>
  <c r="U46" i="52" s="1"/>
  <c r="Q46" i="52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M44" i="52"/>
  <c r="J44" i="52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S34" i="52"/>
  <c r="U34" i="52" s="1"/>
  <c r="Q34" i="52"/>
  <c r="J34" i="52"/>
  <c r="M34" i="52" s="1"/>
  <c r="X33" i="52"/>
  <c r="Q33" i="52"/>
  <c r="S33" i="52" s="1"/>
  <c r="U33" i="52" s="1"/>
  <c r="J33" i="52"/>
  <c r="M33" i="52" s="1"/>
  <c r="X32" i="52"/>
  <c r="S32" i="52"/>
  <c r="U32" i="52" s="1"/>
  <c r="Q32" i="52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M27" i="52"/>
  <c r="J27" i="52"/>
  <c r="X26" i="52"/>
  <c r="Q26" i="52"/>
  <c r="S26" i="52" s="1"/>
  <c r="U26" i="52" s="1"/>
  <c r="J26" i="52"/>
  <c r="M26" i="52" s="1"/>
  <c r="X25" i="52"/>
  <c r="Q25" i="52"/>
  <c r="S25" i="52" s="1"/>
  <c r="U25" i="52" s="1"/>
  <c r="M25" i="52"/>
  <c r="J25" i="52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U22" i="52"/>
  <c r="Q22" i="52"/>
  <c r="S22" i="52" s="1"/>
  <c r="J22" i="52"/>
  <c r="M22" i="52" s="1"/>
  <c r="X21" i="52"/>
  <c r="Q21" i="52"/>
  <c r="S21" i="52" s="1"/>
  <c r="U21" i="52" s="1"/>
  <c r="M21" i="52"/>
  <c r="J21" i="52"/>
  <c r="X20" i="52"/>
  <c r="Q20" i="52"/>
  <c r="S20" i="52" s="1"/>
  <c r="U20" i="52" s="1"/>
  <c r="J20" i="52"/>
  <c r="M20" i="52" s="1"/>
  <c r="X19" i="52"/>
  <c r="Q19" i="52"/>
  <c r="S19" i="52" s="1"/>
  <c r="U19" i="52" s="1"/>
  <c r="M19" i="52"/>
  <c r="J19" i="52"/>
  <c r="X18" i="52"/>
  <c r="Q18" i="52"/>
  <c r="S18" i="52" s="1"/>
  <c r="U18" i="52" s="1"/>
  <c r="J18" i="52"/>
  <c r="M18" i="52" s="1"/>
  <c r="X17" i="52"/>
  <c r="Q17" i="52"/>
  <c r="S17" i="52" s="1"/>
  <c r="U17" i="52" s="1"/>
  <c r="M17" i="52"/>
  <c r="J17" i="52"/>
  <c r="X16" i="52"/>
  <c r="Q16" i="52"/>
  <c r="S16" i="52" s="1"/>
  <c r="U16" i="52" s="1"/>
  <c r="M16" i="52"/>
  <c r="J16" i="52"/>
  <c r="X15" i="52"/>
  <c r="S15" i="52"/>
  <c r="U15" i="52" s="1"/>
  <c r="Q15" i="52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S9" i="52"/>
  <c r="U9" i="52" s="1"/>
  <c r="Q9" i="52"/>
  <c r="J9" i="52"/>
  <c r="M9" i="52" s="1"/>
  <c r="X8" i="52"/>
  <c r="Q8" i="52"/>
  <c r="S8" i="52" s="1"/>
  <c r="U8" i="52" s="1"/>
  <c r="J8" i="52"/>
  <c r="M8" i="52" s="1"/>
  <c r="X7" i="52"/>
  <c r="S7" i="52"/>
  <c r="U7" i="52" s="1"/>
  <c r="Q7" i="52"/>
  <c r="J7" i="52"/>
  <c r="M7" i="52" s="1"/>
  <c r="X6" i="52"/>
  <c r="S6" i="52"/>
  <c r="U6" i="52" s="1"/>
  <c r="Q6" i="52"/>
  <c r="J6" i="52"/>
  <c r="M6" i="52" s="1"/>
  <c r="X5" i="52"/>
  <c r="U5" i="52"/>
  <c r="Q5" i="52"/>
  <c r="S5" i="52" s="1"/>
  <c r="J5" i="52"/>
  <c r="M5" i="52" s="1"/>
  <c r="K212" i="51"/>
  <c r="N22" i="8" s="1"/>
  <c r="K209" i="5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M198" i="51"/>
  <c r="J198" i="5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M180" i="51"/>
  <c r="J180" i="5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Q104" i="51"/>
  <c r="J104" i="51"/>
  <c r="M104" i="51" s="1"/>
  <c r="X103" i="51"/>
  <c r="S103" i="51"/>
  <c r="U103" i="51" s="1"/>
  <c r="Q103" i="5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S96" i="51"/>
  <c r="U96" i="51" s="1"/>
  <c r="Q96" i="51"/>
  <c r="J96" i="51"/>
  <c r="M96" i="51" s="1"/>
  <c r="X95" i="51"/>
  <c r="Q95" i="51"/>
  <c r="S95" i="51" s="1"/>
  <c r="U95" i="51" s="1"/>
  <c r="J95" i="51"/>
  <c r="M95" i="51" s="1"/>
  <c r="X94" i="51"/>
  <c r="S94" i="51"/>
  <c r="U94" i="51" s="1"/>
  <c r="Q94" i="5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S88" i="51"/>
  <c r="U88" i="51" s="1"/>
  <c r="Q88" i="51"/>
  <c r="J88" i="51"/>
  <c r="M88" i="51" s="1"/>
  <c r="X87" i="51"/>
  <c r="Q87" i="51"/>
  <c r="S87" i="51" s="1"/>
  <c r="U87" i="51" s="1"/>
  <c r="J87" i="51"/>
  <c r="M87" i="51" s="1"/>
  <c r="X86" i="51"/>
  <c r="S86" i="51"/>
  <c r="U86" i="51" s="1"/>
  <c r="Q86" i="51"/>
  <c r="J86" i="51"/>
  <c r="M86" i="51" s="1"/>
  <c r="X85" i="51"/>
  <c r="S85" i="51"/>
  <c r="U85" i="51" s="1"/>
  <c r="Q85" i="5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S82" i="51"/>
  <c r="U82" i="51" s="1"/>
  <c r="Q82" i="5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S72" i="51"/>
  <c r="U72" i="51" s="1"/>
  <c r="Q72" i="51"/>
  <c r="J72" i="51"/>
  <c r="M72" i="51" s="1"/>
  <c r="X71" i="51"/>
  <c r="Q71" i="51"/>
  <c r="S71" i="51" s="1"/>
  <c r="U71" i="51" s="1"/>
  <c r="J71" i="51"/>
  <c r="M71" i="51" s="1"/>
  <c r="X70" i="51"/>
  <c r="S70" i="51"/>
  <c r="U70" i="51" s="1"/>
  <c r="Q70" i="51"/>
  <c r="J70" i="51"/>
  <c r="M70" i="51" s="1"/>
  <c r="X69" i="51"/>
  <c r="S69" i="51"/>
  <c r="U69" i="51" s="1"/>
  <c r="Q69" i="5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S61" i="51"/>
  <c r="U61" i="51" s="1"/>
  <c r="Q61" i="5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U55" i="51"/>
  <c r="Q55" i="51"/>
  <c r="S55" i="51" s="1"/>
  <c r="M55" i="51"/>
  <c r="J55" i="5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S48" i="51"/>
  <c r="U48" i="51" s="1"/>
  <c r="Q48" i="51"/>
  <c r="J48" i="51"/>
  <c r="M48" i="51" s="1"/>
  <c r="X47" i="51"/>
  <c r="Q47" i="51"/>
  <c r="S47" i="51" s="1"/>
  <c r="U47" i="51" s="1"/>
  <c r="J47" i="51"/>
  <c r="M47" i="51" s="1"/>
  <c r="X46" i="51"/>
  <c r="S46" i="51"/>
  <c r="U46" i="51" s="1"/>
  <c r="Q46" i="5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S37" i="51"/>
  <c r="U37" i="51" s="1"/>
  <c r="Q37" i="5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S29" i="51"/>
  <c r="U29" i="51" s="1"/>
  <c r="Q29" i="5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S14" i="51"/>
  <c r="U14" i="51" s="1"/>
  <c r="Q14" i="51"/>
  <c r="J14" i="51"/>
  <c r="M14" i="51" s="1"/>
  <c r="X13" i="51"/>
  <c r="Q13" i="51"/>
  <c r="S13" i="51" s="1"/>
  <c r="U13" i="51" s="1"/>
  <c r="J13" i="51"/>
  <c r="M13" i="51" s="1"/>
  <c r="X12" i="51"/>
  <c r="S12" i="51"/>
  <c r="U12" i="51" s="1"/>
  <c r="Q12" i="51"/>
  <c r="J12" i="51"/>
  <c r="M12" i="51" s="1"/>
  <c r="X11" i="51"/>
  <c r="Q11" i="51"/>
  <c r="S11" i="51" s="1"/>
  <c r="U11" i="51" s="1"/>
  <c r="J11" i="51"/>
  <c r="M11" i="51" s="1"/>
  <c r="X10" i="51"/>
  <c r="S10" i="51"/>
  <c r="U10" i="51" s="1"/>
  <c r="Q10" i="51"/>
  <c r="J10" i="51"/>
  <c r="M10" i="51" s="1"/>
  <c r="X9" i="51"/>
  <c r="Q9" i="51"/>
  <c r="S9" i="51" s="1"/>
  <c r="U9" i="51" s="1"/>
  <c r="J9" i="51"/>
  <c r="M9" i="51" s="1"/>
  <c r="X8" i="51"/>
  <c r="S8" i="51"/>
  <c r="U8" i="51" s="1"/>
  <c r="Q8" i="51"/>
  <c r="J8" i="51"/>
  <c r="M8" i="51" s="1"/>
  <c r="X7" i="51"/>
  <c r="Q7" i="51"/>
  <c r="S7" i="51" s="1"/>
  <c r="U7" i="51" s="1"/>
  <c r="J7" i="51"/>
  <c r="M7" i="51" s="1"/>
  <c r="X6" i="51"/>
  <c r="S6" i="51"/>
  <c r="U6" i="51" s="1"/>
  <c r="Q6" i="51"/>
  <c r="J6" i="51"/>
  <c r="M6" i="51" s="1"/>
  <c r="X5" i="51"/>
  <c r="Q5" i="51"/>
  <c r="S5" i="51" s="1"/>
  <c r="U5" i="51" s="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M182" i="50"/>
  <c r="J182" i="50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M164" i="50"/>
  <c r="J164" i="50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M126" i="50"/>
  <c r="J126" i="50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 s="1"/>
  <c r="Q104" i="50"/>
  <c r="J104" i="50"/>
  <c r="M104" i="50" s="1"/>
  <c r="X103" i="50"/>
  <c r="Q103" i="50"/>
  <c r="S103" i="50" s="1"/>
  <c r="U103" i="50" s="1"/>
  <c r="J103" i="50"/>
  <c r="M103" i="50" s="1"/>
  <c r="X102" i="50"/>
  <c r="S102" i="50"/>
  <c r="U102" i="50" s="1"/>
  <c r="Q102" i="50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S96" i="50"/>
  <c r="U96" i="50" s="1"/>
  <c r="Q96" i="50"/>
  <c r="J96" i="50"/>
  <c r="M96" i="50" s="1"/>
  <c r="X95" i="50"/>
  <c r="U95" i="50"/>
  <c r="Q95" i="50"/>
  <c r="S95" i="50" s="1"/>
  <c r="J95" i="50"/>
  <c r="M95" i="50" s="1"/>
  <c r="X94" i="50"/>
  <c r="U94" i="50"/>
  <c r="S94" i="50"/>
  <c r="Q94" i="50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S87" i="50"/>
  <c r="U87" i="50" s="1"/>
  <c r="Q87" i="50"/>
  <c r="J87" i="50"/>
  <c r="M87" i="50" s="1"/>
  <c r="X86" i="50"/>
  <c r="U86" i="50"/>
  <c r="S86" i="50"/>
  <c r="Q86" i="50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S82" i="50"/>
  <c r="U82" i="50" s="1"/>
  <c r="Q82" i="50"/>
  <c r="J82" i="50"/>
  <c r="M82" i="50" s="1"/>
  <c r="X81" i="50"/>
  <c r="U81" i="50"/>
  <c r="Q81" i="50"/>
  <c r="S81" i="50" s="1"/>
  <c r="J81" i="50"/>
  <c r="M81" i="50" s="1"/>
  <c r="X80" i="50"/>
  <c r="S80" i="50"/>
  <c r="U80" i="50" s="1"/>
  <c r="Q80" i="50"/>
  <c r="M80" i="50"/>
  <c r="J80" i="50"/>
  <c r="X79" i="50"/>
  <c r="S79" i="50"/>
  <c r="U79" i="50" s="1"/>
  <c r="Q79" i="50"/>
  <c r="J79" i="50"/>
  <c r="M79" i="50" s="1"/>
  <c r="X78" i="50"/>
  <c r="S78" i="50"/>
  <c r="U78" i="50" s="1"/>
  <c r="Q78" i="50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S72" i="50"/>
  <c r="U72" i="50" s="1"/>
  <c r="Q72" i="50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S67" i="50"/>
  <c r="U67" i="50" s="1"/>
  <c r="Q67" i="50"/>
  <c r="J67" i="50"/>
  <c r="M67" i="50" s="1"/>
  <c r="X66" i="50"/>
  <c r="S66" i="50"/>
  <c r="U66" i="50" s="1"/>
  <c r="Q66" i="50"/>
  <c r="J66" i="50"/>
  <c r="M66" i="50" s="1"/>
  <c r="X65" i="50"/>
  <c r="U65" i="50"/>
  <c r="Q65" i="50"/>
  <c r="S65" i="50" s="1"/>
  <c r="M65" i="50"/>
  <c r="J65" i="50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U62" i="50"/>
  <c r="S62" i="50"/>
  <c r="Q62" i="50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S58" i="50"/>
  <c r="U58" i="50" s="1"/>
  <c r="Q58" i="50"/>
  <c r="M58" i="50"/>
  <c r="J58" i="50"/>
  <c r="X57" i="50"/>
  <c r="Q57" i="50"/>
  <c r="S57" i="50" s="1"/>
  <c r="U57" i="50" s="1"/>
  <c r="J57" i="50"/>
  <c r="M57" i="50" s="1"/>
  <c r="X56" i="50"/>
  <c r="S56" i="50"/>
  <c r="U56" i="50" s="1"/>
  <c r="Q56" i="50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S42" i="50"/>
  <c r="U42" i="50" s="1"/>
  <c r="Q42" i="50"/>
  <c r="J42" i="50"/>
  <c r="M42" i="50" s="1"/>
  <c r="X41" i="50"/>
  <c r="U41" i="50"/>
  <c r="Q41" i="50"/>
  <c r="S41" i="50" s="1"/>
  <c r="J41" i="50"/>
  <c r="M41" i="50" s="1"/>
  <c r="X40" i="50"/>
  <c r="S40" i="50"/>
  <c r="U40" i="50" s="1"/>
  <c r="Q40" i="50"/>
  <c r="J40" i="50"/>
  <c r="M40" i="50" s="1"/>
  <c r="X39" i="50"/>
  <c r="U39" i="50"/>
  <c r="Q39" i="50"/>
  <c r="S39" i="50" s="1"/>
  <c r="J39" i="50"/>
  <c r="M39" i="50" s="1"/>
  <c r="X38" i="50"/>
  <c r="S38" i="50"/>
  <c r="U38" i="50" s="1"/>
  <c r="Q38" i="50"/>
  <c r="J38" i="50"/>
  <c r="M38" i="50" s="1"/>
  <c r="X37" i="50"/>
  <c r="Q37" i="50"/>
  <c r="S37" i="50" s="1"/>
  <c r="U37" i="50" s="1"/>
  <c r="J37" i="50"/>
  <c r="M37" i="50" s="1"/>
  <c r="X36" i="50"/>
  <c r="S36" i="50"/>
  <c r="U36" i="50" s="1"/>
  <c r="Q36" i="50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S31" i="50"/>
  <c r="U31" i="50" s="1"/>
  <c r="Q31" i="50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S28" i="50"/>
  <c r="U28" i="50" s="1"/>
  <c r="Q28" i="50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S25" i="50"/>
  <c r="U25" i="50" s="1"/>
  <c r="Q25" i="50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S19" i="50"/>
  <c r="U19" i="50" s="1"/>
  <c r="Q19" i="50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S11" i="50"/>
  <c r="U11" i="50" s="1"/>
  <c r="Q11" i="50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M9" i="50"/>
  <c r="J9" i="50"/>
  <c r="X8" i="50"/>
  <c r="Q8" i="50"/>
  <c r="S8" i="50" s="1"/>
  <c r="U8" i="50" s="1"/>
  <c r="J8" i="50"/>
  <c r="M8" i="50" s="1"/>
  <c r="X7" i="50"/>
  <c r="S7" i="50"/>
  <c r="U7" i="50" s="1"/>
  <c r="Q7" i="50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M5" i="50"/>
  <c r="J5" i="50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M190" i="49"/>
  <c r="J190" i="49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M161" i="49"/>
  <c r="J161" i="49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Q104" i="49"/>
  <c r="J104" i="49"/>
  <c r="M104" i="49" s="1"/>
  <c r="X103" i="49"/>
  <c r="U103" i="49"/>
  <c r="S103" i="49"/>
  <c r="Q103" i="49"/>
  <c r="J103" i="49"/>
  <c r="M103" i="49" s="1"/>
  <c r="X102" i="49"/>
  <c r="S102" i="49"/>
  <c r="U102" i="49" s="1"/>
  <c r="Q102" i="49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M92" i="49"/>
  <c r="J92" i="49"/>
  <c r="X91" i="49"/>
  <c r="Q91" i="49"/>
  <c r="S91" i="49" s="1"/>
  <c r="U91" i="49" s="1"/>
  <c r="J91" i="49"/>
  <c r="M91" i="49" s="1"/>
  <c r="X90" i="49"/>
  <c r="S90" i="49"/>
  <c r="U90" i="49" s="1"/>
  <c r="Q90" i="49"/>
  <c r="J90" i="49"/>
  <c r="M90" i="49" s="1"/>
  <c r="X89" i="49"/>
  <c r="Q89" i="49"/>
  <c r="S89" i="49" s="1"/>
  <c r="U89" i="49" s="1"/>
  <c r="J89" i="49"/>
  <c r="M89" i="49" s="1"/>
  <c r="X88" i="49"/>
  <c r="S88" i="49"/>
  <c r="U88" i="49" s="1"/>
  <c r="Q88" i="49"/>
  <c r="J88" i="49"/>
  <c r="M88" i="49" s="1"/>
  <c r="X87" i="49"/>
  <c r="Q87" i="49"/>
  <c r="S87" i="49" s="1"/>
  <c r="U87" i="49" s="1"/>
  <c r="J87" i="49"/>
  <c r="M87" i="49" s="1"/>
  <c r="X86" i="49"/>
  <c r="S86" i="49"/>
  <c r="U86" i="49" s="1"/>
  <c r="Q86" i="49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M84" i="49"/>
  <c r="J84" i="49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S66" i="49"/>
  <c r="U66" i="49" s="1"/>
  <c r="Q66" i="49"/>
  <c r="J66" i="49"/>
  <c r="M66" i="49" s="1"/>
  <c r="X65" i="49"/>
  <c r="Q65" i="49"/>
  <c r="S65" i="49" s="1"/>
  <c r="U65" i="49" s="1"/>
  <c r="J65" i="49"/>
  <c r="M65" i="49" s="1"/>
  <c r="X64" i="49"/>
  <c r="S64" i="49"/>
  <c r="U64" i="49" s="1"/>
  <c r="Q64" i="49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S50" i="49"/>
  <c r="U50" i="49" s="1"/>
  <c r="Q50" i="49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S46" i="49"/>
  <c r="U46" i="49" s="1"/>
  <c r="Q46" i="49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S43" i="49"/>
  <c r="U43" i="49" s="1"/>
  <c r="Q43" i="49"/>
  <c r="J43" i="49"/>
  <c r="M43" i="49" s="1"/>
  <c r="X42" i="49"/>
  <c r="U42" i="49"/>
  <c r="S42" i="49"/>
  <c r="Q42" i="49"/>
  <c r="J42" i="49"/>
  <c r="M42" i="49" s="1"/>
  <c r="X41" i="49"/>
  <c r="Q41" i="49"/>
  <c r="S41" i="49" s="1"/>
  <c r="U41" i="49" s="1"/>
  <c r="J41" i="49"/>
  <c r="M41" i="49" s="1"/>
  <c r="X40" i="49"/>
  <c r="S40" i="49"/>
  <c r="U40" i="49" s="1"/>
  <c r="Q40" i="49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S35" i="49"/>
  <c r="U35" i="49" s="1"/>
  <c r="Q35" i="49"/>
  <c r="J35" i="49"/>
  <c r="M35" i="49" s="1"/>
  <c r="X34" i="49"/>
  <c r="S34" i="49"/>
  <c r="U34" i="49" s="1"/>
  <c r="Q34" i="49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S30" i="49"/>
  <c r="U30" i="49" s="1"/>
  <c r="Q30" i="49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S24" i="49"/>
  <c r="U24" i="49" s="1"/>
  <c r="Q24" i="49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U20" i="49"/>
  <c r="Q20" i="49"/>
  <c r="S20" i="49" s="1"/>
  <c r="J20" i="49"/>
  <c r="M20" i="49" s="1"/>
  <c r="X19" i="49"/>
  <c r="Q19" i="49"/>
  <c r="S19" i="49" s="1"/>
  <c r="U19" i="49" s="1"/>
  <c r="J19" i="49"/>
  <c r="M19" i="49" s="1"/>
  <c r="X18" i="49"/>
  <c r="S18" i="49"/>
  <c r="U18" i="49" s="1"/>
  <c r="Q18" i="49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U13" i="49"/>
  <c r="Q13" i="49"/>
  <c r="S13" i="49" s="1"/>
  <c r="J13" i="49"/>
  <c r="M13" i="49" s="1"/>
  <c r="X12" i="49"/>
  <c r="S12" i="49"/>
  <c r="U12" i="49" s="1"/>
  <c r="Q12" i="49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S8" i="49"/>
  <c r="U8" i="49" s="1"/>
  <c r="Q8" i="49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12" i="48"/>
  <c r="N19" i="8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M127" i="48"/>
  <c r="J127" i="48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M114" i="48"/>
  <c r="J114" i="48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S103" i="48"/>
  <c r="U103" i="48" s="1"/>
  <c r="Q103" i="48"/>
  <c r="J103" i="48"/>
  <c r="M103" i="48" s="1"/>
  <c r="X102" i="48"/>
  <c r="U102" i="48"/>
  <c r="Q102" i="48"/>
  <c r="S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M99" i="48"/>
  <c r="J99" i="48"/>
  <c r="X98" i="48"/>
  <c r="S98" i="48"/>
  <c r="U98" i="48" s="1"/>
  <c r="Q98" i="48"/>
  <c r="J98" i="48"/>
  <c r="M98" i="48" s="1"/>
  <c r="X97" i="48"/>
  <c r="S97" i="48"/>
  <c r="U97" i="48" s="1"/>
  <c r="Q97" i="48"/>
  <c r="J97" i="48"/>
  <c r="M97" i="48" s="1"/>
  <c r="X96" i="48"/>
  <c r="Q96" i="48"/>
  <c r="S96" i="48" s="1"/>
  <c r="U96" i="48" s="1"/>
  <c r="J96" i="48"/>
  <c r="M96" i="48" s="1"/>
  <c r="X95" i="48"/>
  <c r="S95" i="48"/>
  <c r="U95" i="48" s="1"/>
  <c r="Q95" i="48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M91" i="48"/>
  <c r="J91" i="48"/>
  <c r="X90" i="48"/>
  <c r="S90" i="48"/>
  <c r="U90" i="48" s="1"/>
  <c r="Q90" i="48"/>
  <c r="J90" i="48"/>
  <c r="M90" i="48" s="1"/>
  <c r="X89" i="48"/>
  <c r="S89" i="48"/>
  <c r="U89" i="48" s="1"/>
  <c r="Q89" i="48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S86" i="48"/>
  <c r="U86" i="48" s="1"/>
  <c r="Q86" i="48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S79" i="48"/>
  <c r="U79" i="48" s="1"/>
  <c r="Q79" i="48"/>
  <c r="J79" i="48"/>
  <c r="M79" i="48" s="1"/>
  <c r="X78" i="48"/>
  <c r="U78" i="48"/>
  <c r="Q78" i="48"/>
  <c r="S78" i="48" s="1"/>
  <c r="J78" i="48"/>
  <c r="M78" i="48" s="1"/>
  <c r="X77" i="48"/>
  <c r="Q77" i="48"/>
  <c r="S77" i="48" s="1"/>
  <c r="U77" i="48" s="1"/>
  <c r="J77" i="48"/>
  <c r="M77" i="48" s="1"/>
  <c r="X76" i="48"/>
  <c r="S76" i="48"/>
  <c r="U76" i="48" s="1"/>
  <c r="Q76" i="48"/>
  <c r="J76" i="48"/>
  <c r="M76" i="48" s="1"/>
  <c r="X75" i="48"/>
  <c r="Q75" i="48"/>
  <c r="S75" i="48" s="1"/>
  <c r="U75" i="48" s="1"/>
  <c r="J75" i="48"/>
  <c r="M75" i="48" s="1"/>
  <c r="X74" i="48"/>
  <c r="S74" i="48"/>
  <c r="U74" i="48" s="1"/>
  <c r="Q74" i="48"/>
  <c r="J74" i="48"/>
  <c r="M74" i="48" s="1"/>
  <c r="X73" i="48"/>
  <c r="S73" i="48"/>
  <c r="U73" i="48" s="1"/>
  <c r="Q73" i="48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U70" i="48"/>
  <c r="S70" i="48"/>
  <c r="Q70" i="48"/>
  <c r="J70" i="48"/>
  <c r="M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U65" i="48"/>
  <c r="Q65" i="48"/>
  <c r="S65" i="48" s="1"/>
  <c r="J65" i="48"/>
  <c r="M65" i="48" s="1"/>
  <c r="X64" i="48"/>
  <c r="Q64" i="48"/>
  <c r="S64" i="48" s="1"/>
  <c r="U64" i="48" s="1"/>
  <c r="J64" i="48"/>
  <c r="M64" i="48" s="1"/>
  <c r="X63" i="48"/>
  <c r="S63" i="48"/>
  <c r="U63" i="48" s="1"/>
  <c r="Q63" i="48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S58" i="48"/>
  <c r="U58" i="48" s="1"/>
  <c r="Q58" i="48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U54" i="48"/>
  <c r="S54" i="48"/>
  <c r="Q54" i="48"/>
  <c r="J54" i="48"/>
  <c r="M54" i="48" s="1"/>
  <c r="X53" i="48"/>
  <c r="Q53" i="48"/>
  <c r="S53" i="48" s="1"/>
  <c r="U53" i="48" s="1"/>
  <c r="J53" i="48"/>
  <c r="M53" i="48" s="1"/>
  <c r="X52" i="48"/>
  <c r="S52" i="48"/>
  <c r="U52" i="48" s="1"/>
  <c r="Q52" i="48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S49" i="48"/>
  <c r="U49" i="48" s="1"/>
  <c r="Q49" i="48"/>
  <c r="J49" i="48"/>
  <c r="M49" i="48" s="1"/>
  <c r="X48" i="48"/>
  <c r="U48" i="48"/>
  <c r="Q48" i="48"/>
  <c r="S48" i="48" s="1"/>
  <c r="J48" i="48"/>
  <c r="M48" i="48" s="1"/>
  <c r="X47" i="48"/>
  <c r="S47" i="48"/>
  <c r="U47" i="48" s="1"/>
  <c r="Q47" i="48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S38" i="48"/>
  <c r="U38" i="48" s="1"/>
  <c r="Q38" i="48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S22" i="48"/>
  <c r="U22" i="48" s="1"/>
  <c r="Q22" i="48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S17" i="48"/>
  <c r="U17" i="48" s="1"/>
  <c r="Q17" i="48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S9" i="48"/>
  <c r="U9" i="48" s="1"/>
  <c r="Q9" i="48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2" i="47"/>
  <c r="N18" i="8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M188" i="47"/>
  <c r="J188" i="47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M150" i="47"/>
  <c r="J150" i="47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M140" i="47"/>
  <c r="J140" i="47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M128" i="47"/>
  <c r="J128" i="47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S104" i="47"/>
  <c r="U104" i="47" s="1"/>
  <c r="Q104" i="47"/>
  <c r="J104" i="47"/>
  <c r="M104" i="47" s="1"/>
  <c r="X103" i="47"/>
  <c r="U103" i="47"/>
  <c r="Q103" i="47"/>
  <c r="S103" i="47" s="1"/>
  <c r="J103" i="47"/>
  <c r="M103" i="47" s="1"/>
  <c r="X102" i="47"/>
  <c r="S102" i="47"/>
  <c r="U102" i="47" s="1"/>
  <c r="Q102" i="47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S98" i="47"/>
  <c r="U98" i="47" s="1"/>
  <c r="Q98" i="47"/>
  <c r="J98" i="47"/>
  <c r="M98" i="47" s="1"/>
  <c r="X97" i="47"/>
  <c r="Q97" i="47"/>
  <c r="S97" i="47" s="1"/>
  <c r="U97" i="47" s="1"/>
  <c r="M97" i="47"/>
  <c r="J97" i="47"/>
  <c r="X96" i="47"/>
  <c r="S96" i="47"/>
  <c r="U96" i="47" s="1"/>
  <c r="Q96" i="47"/>
  <c r="J96" i="47"/>
  <c r="M96" i="47" s="1"/>
  <c r="X95" i="47"/>
  <c r="S95" i="47"/>
  <c r="U95" i="47" s="1"/>
  <c r="Q95" i="47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S92" i="47"/>
  <c r="U92" i="47" s="1"/>
  <c r="Q92" i="47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S86" i="47"/>
  <c r="U86" i="47" s="1"/>
  <c r="Q86" i="47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M84" i="47"/>
  <c r="J84" i="47"/>
  <c r="X83" i="47"/>
  <c r="Q83" i="47"/>
  <c r="S83" i="47" s="1"/>
  <c r="U83" i="47" s="1"/>
  <c r="J83" i="47"/>
  <c r="M83" i="47" s="1"/>
  <c r="X82" i="47"/>
  <c r="Q82" i="47"/>
  <c r="S82" i="47" s="1"/>
  <c r="U82" i="47" s="1"/>
  <c r="M82" i="47"/>
  <c r="J82" i="47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S78" i="47"/>
  <c r="U78" i="47" s="1"/>
  <c r="Q78" i="47"/>
  <c r="J78" i="47"/>
  <c r="M78" i="47" s="1"/>
  <c r="X77" i="47"/>
  <c r="Q77" i="47"/>
  <c r="S77" i="47" s="1"/>
  <c r="U77" i="47" s="1"/>
  <c r="J77" i="47"/>
  <c r="M77" i="47" s="1"/>
  <c r="X76" i="47"/>
  <c r="S76" i="47"/>
  <c r="U76" i="47" s="1"/>
  <c r="Q76" i="47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S72" i="47"/>
  <c r="U72" i="47" s="1"/>
  <c r="Q72" i="47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S69" i="47"/>
  <c r="U69" i="47" s="1"/>
  <c r="Q69" i="47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S66" i="47"/>
  <c r="U66" i="47" s="1"/>
  <c r="Q66" i="47"/>
  <c r="J66" i="47"/>
  <c r="M66" i="47" s="1"/>
  <c r="X65" i="47"/>
  <c r="Q65" i="47"/>
  <c r="S65" i="47" s="1"/>
  <c r="U65" i="47" s="1"/>
  <c r="J65" i="47"/>
  <c r="M65" i="47" s="1"/>
  <c r="X64" i="47"/>
  <c r="S64" i="47"/>
  <c r="U64" i="47" s="1"/>
  <c r="Q64" i="47"/>
  <c r="M64" i="47"/>
  <c r="J64" i="47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S61" i="47"/>
  <c r="U61" i="47" s="1"/>
  <c r="Q61" i="47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S58" i="47"/>
  <c r="U58" i="47" s="1"/>
  <c r="Q58" i="47"/>
  <c r="M58" i="47"/>
  <c r="J58" i="47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S53" i="47"/>
  <c r="U53" i="47" s="1"/>
  <c r="Q53" i="47"/>
  <c r="J53" i="47"/>
  <c r="M53" i="47" s="1"/>
  <c r="X52" i="47"/>
  <c r="Q52" i="47"/>
  <c r="S52" i="47" s="1"/>
  <c r="U52" i="47" s="1"/>
  <c r="M52" i="47"/>
  <c r="J52" i="47"/>
  <c r="X51" i="47"/>
  <c r="Q51" i="47"/>
  <c r="S51" i="47" s="1"/>
  <c r="U51" i="47" s="1"/>
  <c r="J51" i="47"/>
  <c r="M51" i="47" s="1"/>
  <c r="X50" i="47"/>
  <c r="Q50" i="47"/>
  <c r="S50" i="47" s="1"/>
  <c r="U50" i="47" s="1"/>
  <c r="M50" i="47"/>
  <c r="J50" i="47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S46" i="47"/>
  <c r="U46" i="47" s="1"/>
  <c r="Q46" i="47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S42" i="47"/>
  <c r="U42" i="47" s="1"/>
  <c r="Q42" i="47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S37" i="47"/>
  <c r="U37" i="47" s="1"/>
  <c r="Q37" i="47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S34" i="47"/>
  <c r="U34" i="47" s="1"/>
  <c r="Q34" i="47"/>
  <c r="J34" i="47"/>
  <c r="M34" i="47" s="1"/>
  <c r="X33" i="47"/>
  <c r="Q33" i="47"/>
  <c r="S33" i="47" s="1"/>
  <c r="U33" i="47" s="1"/>
  <c r="J33" i="47"/>
  <c r="M33" i="47" s="1"/>
  <c r="X32" i="47"/>
  <c r="S32" i="47"/>
  <c r="U32" i="47" s="1"/>
  <c r="Q32" i="47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U29" i="47"/>
  <c r="Q29" i="47"/>
  <c r="S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U23" i="47"/>
  <c r="Q23" i="47"/>
  <c r="S23" i="47" s="1"/>
  <c r="J23" i="47"/>
  <c r="M23" i="47" s="1"/>
  <c r="X22" i="47"/>
  <c r="Q22" i="47"/>
  <c r="S22" i="47" s="1"/>
  <c r="U22" i="47" s="1"/>
  <c r="J22" i="47"/>
  <c r="M22" i="47" s="1"/>
  <c r="X21" i="47"/>
  <c r="S21" i="47"/>
  <c r="U21" i="47" s="1"/>
  <c r="Q21" i="47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S18" i="47"/>
  <c r="U18" i="47" s="1"/>
  <c r="Q18" i="47"/>
  <c r="J18" i="47"/>
  <c r="M18" i="47" s="1"/>
  <c r="X17" i="47"/>
  <c r="Q17" i="47"/>
  <c r="S17" i="47" s="1"/>
  <c r="U17" i="47" s="1"/>
  <c r="J17" i="47"/>
  <c r="M17" i="47" s="1"/>
  <c r="X16" i="47"/>
  <c r="S16" i="47"/>
  <c r="U16" i="47" s="1"/>
  <c r="Q16" i="47"/>
  <c r="J16" i="47"/>
  <c r="M16" i="47" s="1"/>
  <c r="X15" i="47"/>
  <c r="U15" i="47"/>
  <c r="S15" i="47"/>
  <c r="Q15" i="47"/>
  <c r="J15" i="47"/>
  <c r="M15" i="47" s="1"/>
  <c r="X14" i="47"/>
  <c r="Q14" i="47"/>
  <c r="S14" i="47" s="1"/>
  <c r="U14" i="47" s="1"/>
  <c r="J14" i="47"/>
  <c r="M14" i="47" s="1"/>
  <c r="X13" i="47"/>
  <c r="S13" i="47"/>
  <c r="U13" i="47" s="1"/>
  <c r="Q13" i="47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S10" i="47"/>
  <c r="U10" i="47" s="1"/>
  <c r="Q10" i="47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M130" i="46"/>
  <c r="J130" i="46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Q104" i="46"/>
  <c r="J104" i="46"/>
  <c r="M104" i="46" s="1"/>
  <c r="X103" i="46"/>
  <c r="Q103" i="46"/>
  <c r="S103" i="46" s="1"/>
  <c r="U103" i="46" s="1"/>
  <c r="J103" i="46"/>
  <c r="M103" i="46" s="1"/>
  <c r="X102" i="46"/>
  <c r="S102" i="46"/>
  <c r="U102" i="46" s="1"/>
  <c r="Q102" i="46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S96" i="46"/>
  <c r="U96" i="46" s="1"/>
  <c r="Q96" i="46"/>
  <c r="J96" i="46"/>
  <c r="M96" i="46" s="1"/>
  <c r="X95" i="46"/>
  <c r="Q95" i="46"/>
  <c r="S95" i="46" s="1"/>
  <c r="U95" i="46" s="1"/>
  <c r="J95" i="46"/>
  <c r="M95" i="46" s="1"/>
  <c r="X94" i="46"/>
  <c r="U94" i="46"/>
  <c r="Q94" i="46"/>
  <c r="S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S82" i="46"/>
  <c r="U82" i="46" s="1"/>
  <c r="Q82" i="46"/>
  <c r="J82" i="46"/>
  <c r="M82" i="46" s="1"/>
  <c r="X81" i="46"/>
  <c r="Q81" i="46"/>
  <c r="S81" i="46" s="1"/>
  <c r="U81" i="46" s="1"/>
  <c r="J81" i="46"/>
  <c r="M81" i="46" s="1"/>
  <c r="X80" i="46"/>
  <c r="S80" i="46"/>
  <c r="U80" i="46" s="1"/>
  <c r="Q80" i="46"/>
  <c r="M80" i="46"/>
  <c r="J80" i="46"/>
  <c r="X79" i="46"/>
  <c r="Q79" i="46"/>
  <c r="S79" i="46" s="1"/>
  <c r="U79" i="46" s="1"/>
  <c r="J79" i="46"/>
  <c r="M79" i="46" s="1"/>
  <c r="X78" i="46"/>
  <c r="U78" i="46"/>
  <c r="S78" i="46"/>
  <c r="Q78" i="46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M76" i="46"/>
  <c r="J76" i="46"/>
  <c r="X75" i="46"/>
  <c r="Q75" i="46"/>
  <c r="S75" i="46" s="1"/>
  <c r="U75" i="46" s="1"/>
  <c r="J75" i="46"/>
  <c r="M75" i="46" s="1"/>
  <c r="X74" i="46"/>
  <c r="S74" i="46"/>
  <c r="U74" i="46" s="1"/>
  <c r="Q74" i="46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S71" i="46"/>
  <c r="U71" i="46" s="1"/>
  <c r="Q71" i="46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S55" i="46"/>
  <c r="U55" i="46" s="1"/>
  <c r="Q55" i="46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U45" i="46"/>
  <c r="Q45" i="46"/>
  <c r="S45" i="46" s="1"/>
  <c r="M45" i="46"/>
  <c r="J45" i="46"/>
  <c r="X44" i="46"/>
  <c r="Q44" i="46"/>
  <c r="S44" i="46" s="1"/>
  <c r="U44" i="46" s="1"/>
  <c r="J44" i="46"/>
  <c r="M44" i="46" s="1"/>
  <c r="X43" i="46"/>
  <c r="S43" i="46"/>
  <c r="U43" i="46" s="1"/>
  <c r="Q43" i="46"/>
  <c r="J43" i="46"/>
  <c r="M43" i="46" s="1"/>
  <c r="X42" i="46"/>
  <c r="S42" i="46"/>
  <c r="U42" i="46" s="1"/>
  <c r="Q42" i="46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S36" i="46"/>
  <c r="U36" i="46" s="1"/>
  <c r="Q36" i="46"/>
  <c r="J36" i="46"/>
  <c r="M36" i="46" s="1"/>
  <c r="X35" i="46"/>
  <c r="Q35" i="46"/>
  <c r="S35" i="46" s="1"/>
  <c r="U35" i="46" s="1"/>
  <c r="J35" i="46"/>
  <c r="M35" i="46" s="1"/>
  <c r="X34" i="46"/>
  <c r="S34" i="46"/>
  <c r="U34" i="46" s="1"/>
  <c r="Q34" i="46"/>
  <c r="M34" i="46"/>
  <c r="J34" i="46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M30" i="46"/>
  <c r="J30" i="46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S26" i="46"/>
  <c r="U26" i="46" s="1"/>
  <c r="Q26" i="46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S13" i="46"/>
  <c r="U13" i="46" s="1"/>
  <c r="Q13" i="46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S10" i="46"/>
  <c r="U10" i="46" s="1"/>
  <c r="Q10" i="46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S7" i="46"/>
  <c r="U7" i="46" s="1"/>
  <c r="Q7" i="46"/>
  <c r="J7" i="46"/>
  <c r="M7" i="46" s="1"/>
  <c r="X6" i="46"/>
  <c r="Q6" i="46"/>
  <c r="S6" i="46" s="1"/>
  <c r="U6" i="46" s="1"/>
  <c r="J6" i="46"/>
  <c r="M6" i="46" s="1"/>
  <c r="X5" i="46"/>
  <c r="S5" i="46"/>
  <c r="U5" i="46" s="1"/>
  <c r="Q5" i="46"/>
  <c r="J5" i="46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M140" i="45"/>
  <c r="J140" i="45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S96" i="45"/>
  <c r="U96" i="45" s="1"/>
  <c r="Q96" i="45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S90" i="45"/>
  <c r="U90" i="45" s="1"/>
  <c r="Q90" i="45"/>
  <c r="M90" i="45"/>
  <c r="J90" i="45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S86" i="45"/>
  <c r="U86" i="45" s="1"/>
  <c r="Q86" i="45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S78" i="45"/>
  <c r="U78" i="45" s="1"/>
  <c r="Q78" i="45"/>
  <c r="J78" i="45"/>
  <c r="M78" i="45" s="1"/>
  <c r="X77" i="45"/>
  <c r="Q77" i="45"/>
  <c r="S77" i="45" s="1"/>
  <c r="U77" i="45" s="1"/>
  <c r="J77" i="45"/>
  <c r="M77" i="45" s="1"/>
  <c r="X76" i="45"/>
  <c r="S76" i="45"/>
  <c r="U76" i="45" s="1"/>
  <c r="Q76" i="45"/>
  <c r="J76" i="45"/>
  <c r="M76" i="45" s="1"/>
  <c r="X75" i="45"/>
  <c r="Q75" i="45"/>
  <c r="S75" i="45" s="1"/>
  <c r="U75" i="45" s="1"/>
  <c r="J75" i="45"/>
  <c r="M75" i="45" s="1"/>
  <c r="X74" i="45"/>
  <c r="S74" i="45"/>
  <c r="U74" i="45" s="1"/>
  <c r="Q74" i="45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U70" i="45"/>
  <c r="S70" i="45"/>
  <c r="Q70" i="45"/>
  <c r="J70" i="45"/>
  <c r="M70" i="45" s="1"/>
  <c r="X69" i="45"/>
  <c r="Q69" i="45"/>
  <c r="S69" i="45" s="1"/>
  <c r="U69" i="45" s="1"/>
  <c r="J69" i="45"/>
  <c r="M69" i="45" s="1"/>
  <c r="X68" i="45"/>
  <c r="S68" i="45"/>
  <c r="U68" i="45" s="1"/>
  <c r="Q68" i="45"/>
  <c r="J68" i="45"/>
  <c r="M68" i="45" s="1"/>
  <c r="X67" i="45"/>
  <c r="Q67" i="45"/>
  <c r="S67" i="45" s="1"/>
  <c r="U67" i="45" s="1"/>
  <c r="J67" i="45"/>
  <c r="M67" i="45" s="1"/>
  <c r="X66" i="45"/>
  <c r="S66" i="45"/>
  <c r="U66" i="45" s="1"/>
  <c r="Q66" i="45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U62" i="45"/>
  <c r="S62" i="45"/>
  <c r="Q62" i="45"/>
  <c r="J62" i="45"/>
  <c r="M62" i="45" s="1"/>
  <c r="X61" i="45"/>
  <c r="Q61" i="45"/>
  <c r="S61" i="45" s="1"/>
  <c r="U61" i="45" s="1"/>
  <c r="J61" i="45"/>
  <c r="M61" i="45" s="1"/>
  <c r="X60" i="45"/>
  <c r="S60" i="45"/>
  <c r="U60" i="45" s="1"/>
  <c r="Q60" i="45"/>
  <c r="J60" i="45"/>
  <c r="M60" i="45" s="1"/>
  <c r="X59" i="45"/>
  <c r="Q59" i="45"/>
  <c r="S59" i="45" s="1"/>
  <c r="U59" i="45" s="1"/>
  <c r="J59" i="45"/>
  <c r="M59" i="45" s="1"/>
  <c r="X58" i="45"/>
  <c r="S58" i="45"/>
  <c r="U58" i="45" s="1"/>
  <c r="Q58" i="45"/>
  <c r="M58" i="45"/>
  <c r="J58" i="45"/>
  <c r="X57" i="45"/>
  <c r="Q57" i="45"/>
  <c r="S57" i="45" s="1"/>
  <c r="U57" i="45" s="1"/>
  <c r="J57" i="45"/>
  <c r="M57" i="45" s="1"/>
  <c r="X56" i="45"/>
  <c r="S56" i="45"/>
  <c r="U56" i="45" s="1"/>
  <c r="Q56" i="45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S50" i="45"/>
  <c r="U50" i="45" s="1"/>
  <c r="Q50" i="45"/>
  <c r="J50" i="45"/>
  <c r="M50" i="45" s="1"/>
  <c r="X49" i="45"/>
  <c r="Q49" i="45"/>
  <c r="S49" i="45" s="1"/>
  <c r="U49" i="45" s="1"/>
  <c r="J49" i="45"/>
  <c r="M49" i="45" s="1"/>
  <c r="X48" i="45"/>
  <c r="S48" i="45"/>
  <c r="U48" i="45" s="1"/>
  <c r="Q48" i="45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S42" i="45"/>
  <c r="U42" i="45" s="1"/>
  <c r="Q42" i="45"/>
  <c r="J42" i="45"/>
  <c r="M42" i="45" s="1"/>
  <c r="X41" i="45"/>
  <c r="U41" i="45"/>
  <c r="Q41" i="45"/>
  <c r="S41" i="45" s="1"/>
  <c r="J41" i="45"/>
  <c r="M41" i="45" s="1"/>
  <c r="X40" i="45"/>
  <c r="S40" i="45"/>
  <c r="U40" i="45" s="1"/>
  <c r="Q40" i="45"/>
  <c r="J40" i="45"/>
  <c r="M40" i="45" s="1"/>
  <c r="X39" i="45"/>
  <c r="S39" i="45"/>
  <c r="U39" i="45" s="1"/>
  <c r="Q39" i="45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S25" i="45"/>
  <c r="U25" i="45" s="1"/>
  <c r="Q25" i="45"/>
  <c r="J25" i="45"/>
  <c r="M25" i="45" s="1"/>
  <c r="X24" i="45"/>
  <c r="Q24" i="45"/>
  <c r="S24" i="45" s="1"/>
  <c r="U24" i="45" s="1"/>
  <c r="J24" i="45"/>
  <c r="M24" i="45" s="1"/>
  <c r="X23" i="45"/>
  <c r="S23" i="45"/>
  <c r="U23" i="45" s="1"/>
  <c r="Q23" i="45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S17" i="45"/>
  <c r="U17" i="45" s="1"/>
  <c r="Q17" i="45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S9" i="45"/>
  <c r="U9" i="45" s="1"/>
  <c r="Q9" i="45"/>
  <c r="J9" i="45"/>
  <c r="M9" i="45" s="1"/>
  <c r="X8" i="45"/>
  <c r="Q8" i="45"/>
  <c r="S8" i="45" s="1"/>
  <c r="U8" i="45" s="1"/>
  <c r="J8" i="45"/>
  <c r="M8" i="45" s="1"/>
  <c r="X7" i="45"/>
  <c r="S7" i="45"/>
  <c r="U7" i="45" s="1"/>
  <c r="Q7" i="45"/>
  <c r="J7" i="45"/>
  <c r="M7" i="45" s="1"/>
  <c r="X6" i="45"/>
  <c r="Q6" i="45"/>
  <c r="S6" i="45" s="1"/>
  <c r="U6" i="45" s="1"/>
  <c r="J6" i="45"/>
  <c r="M6" i="45" s="1"/>
  <c r="X5" i="45"/>
  <c r="S5" i="45"/>
  <c r="U5" i="45" s="1"/>
  <c r="Q5" i="45"/>
  <c r="M5" i="45"/>
  <c r="J5" i="45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M187" i="44"/>
  <c r="J187" i="44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S102" i="44"/>
  <c r="U102" i="44" s="1"/>
  <c r="Q102" i="44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S95" i="44"/>
  <c r="U95" i="44" s="1"/>
  <c r="Q95" i="44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S92" i="44"/>
  <c r="U92" i="44" s="1"/>
  <c r="Q92" i="44"/>
  <c r="J92" i="44"/>
  <c r="M92" i="44" s="1"/>
  <c r="X91" i="44"/>
  <c r="Q91" i="44"/>
  <c r="S91" i="44" s="1"/>
  <c r="U91" i="44" s="1"/>
  <c r="J91" i="44"/>
  <c r="M91" i="44" s="1"/>
  <c r="X90" i="44"/>
  <c r="U90" i="44"/>
  <c r="S90" i="44"/>
  <c r="Q90" i="44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S83" i="44"/>
  <c r="U83" i="44" s="1"/>
  <c r="Q83" i="44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S79" i="44"/>
  <c r="U79" i="44" s="1"/>
  <c r="Q79" i="44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S71" i="44"/>
  <c r="U71" i="44" s="1"/>
  <c r="Q71" i="44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M69" i="44"/>
  <c r="J69" i="44"/>
  <c r="X68" i="44"/>
  <c r="S68" i="44"/>
  <c r="U68" i="44" s="1"/>
  <c r="Q68" i="44"/>
  <c r="J68" i="44"/>
  <c r="M68" i="44" s="1"/>
  <c r="X67" i="44"/>
  <c r="Q67" i="44"/>
  <c r="S67" i="44" s="1"/>
  <c r="U67" i="44" s="1"/>
  <c r="J67" i="44"/>
  <c r="M67" i="44" s="1"/>
  <c r="X66" i="44"/>
  <c r="U66" i="44"/>
  <c r="S66" i="44"/>
  <c r="Q66" i="44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S59" i="44"/>
  <c r="U59" i="44" s="1"/>
  <c r="Q59" i="44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S55" i="44"/>
  <c r="U55" i="44" s="1"/>
  <c r="Q55" i="44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M52" i="44"/>
  <c r="J52" i="44"/>
  <c r="X51" i="44"/>
  <c r="S51" i="44"/>
  <c r="U51" i="44" s="1"/>
  <c r="Q51" i="44"/>
  <c r="J51" i="44"/>
  <c r="M51" i="44" s="1"/>
  <c r="X50" i="44"/>
  <c r="S50" i="44"/>
  <c r="U50" i="44" s="1"/>
  <c r="Q50" i="44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S47" i="44"/>
  <c r="U47" i="44" s="1"/>
  <c r="Q47" i="44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M45" i="44"/>
  <c r="J45" i="44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S39" i="44"/>
  <c r="U39" i="44" s="1"/>
  <c r="Q39" i="44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U34" i="44"/>
  <c r="S34" i="44"/>
  <c r="Q34" i="44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S27" i="44"/>
  <c r="U27" i="44" s="1"/>
  <c r="Q27" i="44"/>
  <c r="J27" i="44"/>
  <c r="M27" i="44" s="1"/>
  <c r="X26" i="44"/>
  <c r="S26" i="44"/>
  <c r="U26" i="44" s="1"/>
  <c r="Q26" i="44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S23" i="44"/>
  <c r="U23" i="44" s="1"/>
  <c r="Q23" i="44"/>
  <c r="J23" i="44"/>
  <c r="M23" i="44" s="1"/>
  <c r="X22" i="44"/>
  <c r="S22" i="44"/>
  <c r="U22" i="44" s="1"/>
  <c r="Q22" i="44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S11" i="44"/>
  <c r="U11" i="44" s="1"/>
  <c r="Q11" i="44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U6" i="44"/>
  <c r="S6" i="44"/>
  <c r="Q6" i="44"/>
  <c r="J6" i="44"/>
  <c r="M6" i="44" s="1"/>
  <c r="X5" i="44"/>
  <c r="Q5" i="44"/>
  <c r="S5" i="44" s="1"/>
  <c r="U5" i="44" s="1"/>
  <c r="J5" i="44"/>
  <c r="M5" i="44" s="1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M174" i="43"/>
  <c r="J174" i="43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M163" i="43"/>
  <c r="J163" i="43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M155" i="43"/>
  <c r="J155" i="43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U95" i="43"/>
  <c r="S95" i="43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S91" i="43"/>
  <c r="U91" i="43" s="1"/>
  <c r="Q91" i="43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U87" i="43"/>
  <c r="S87" i="43"/>
  <c r="Q87" i="43"/>
  <c r="J87" i="43"/>
  <c r="M87" i="43" s="1"/>
  <c r="X86" i="43"/>
  <c r="S86" i="43"/>
  <c r="U86" i="43" s="1"/>
  <c r="Q86" i="43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M84" i="43"/>
  <c r="J84" i="43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S79" i="43"/>
  <c r="U79" i="43" s="1"/>
  <c r="Q79" i="43"/>
  <c r="J79" i="43"/>
  <c r="M79" i="43" s="1"/>
  <c r="X78" i="43"/>
  <c r="S78" i="43"/>
  <c r="U78" i="43" s="1"/>
  <c r="Q78" i="43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M72" i="43"/>
  <c r="J72" i="43"/>
  <c r="X71" i="43"/>
  <c r="Q71" i="43"/>
  <c r="S71" i="43" s="1"/>
  <c r="U71" i="43" s="1"/>
  <c r="J71" i="43"/>
  <c r="M71" i="43" s="1"/>
  <c r="X70" i="43"/>
  <c r="U70" i="43"/>
  <c r="Q70" i="43"/>
  <c r="S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U66" i="43"/>
  <c r="Q66" i="43"/>
  <c r="S66" i="43" s="1"/>
  <c r="J66" i="43"/>
  <c r="M66" i="43" s="1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S63" i="43"/>
  <c r="U63" i="43" s="1"/>
  <c r="Q63" i="43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U58" i="43"/>
  <c r="Q58" i="43"/>
  <c r="S58" i="43" s="1"/>
  <c r="J58" i="43"/>
  <c r="M58" i="43" s="1"/>
  <c r="X57" i="43"/>
  <c r="Q57" i="43"/>
  <c r="S57" i="43" s="1"/>
  <c r="U57" i="43" s="1"/>
  <c r="J57" i="43"/>
  <c r="M57" i="43" s="1"/>
  <c r="X56" i="43"/>
  <c r="S56" i="43"/>
  <c r="U56" i="43" s="1"/>
  <c r="Q56" i="43"/>
  <c r="J56" i="43"/>
  <c r="M56" i="43" s="1"/>
  <c r="X55" i="43"/>
  <c r="Q55" i="43"/>
  <c r="S55" i="43" s="1"/>
  <c r="U55" i="43" s="1"/>
  <c r="J55" i="43"/>
  <c r="M55" i="43" s="1"/>
  <c r="X54" i="43"/>
  <c r="S54" i="43"/>
  <c r="U54" i="43" s="1"/>
  <c r="Q54" i="43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M52" i="43"/>
  <c r="J52" i="43"/>
  <c r="X51" i="43"/>
  <c r="Q51" i="43"/>
  <c r="S51" i="43" s="1"/>
  <c r="U51" i="43" s="1"/>
  <c r="J51" i="43"/>
  <c r="M51" i="43" s="1"/>
  <c r="X50" i="43"/>
  <c r="U50" i="43"/>
  <c r="S50" i="43"/>
  <c r="Q50" i="43"/>
  <c r="J50" i="43"/>
  <c r="M50" i="43" s="1"/>
  <c r="X49" i="43"/>
  <c r="Q49" i="43"/>
  <c r="S49" i="43" s="1"/>
  <c r="U49" i="43" s="1"/>
  <c r="J49" i="43"/>
  <c r="M49" i="43" s="1"/>
  <c r="X48" i="43"/>
  <c r="S48" i="43"/>
  <c r="U48" i="43" s="1"/>
  <c r="Q48" i="43"/>
  <c r="J48" i="43"/>
  <c r="M48" i="43" s="1"/>
  <c r="X47" i="43"/>
  <c r="S47" i="43"/>
  <c r="U47" i="43" s="1"/>
  <c r="Q47" i="43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M20" i="43"/>
  <c r="J20" i="43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S14" i="43"/>
  <c r="U14" i="43" s="1"/>
  <c r="Q14" i="43"/>
  <c r="J14" i="43"/>
  <c r="M14" i="43" s="1"/>
  <c r="X13" i="43"/>
  <c r="U13" i="43"/>
  <c r="S13" i="43"/>
  <c r="Q13" i="43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M199" i="42"/>
  <c r="J199" i="42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M192" i="42"/>
  <c r="J192" i="42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M168" i="42"/>
  <c r="J168" i="42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S98" i="42"/>
  <c r="U98" i="42" s="1"/>
  <c r="Q98" i="42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S94" i="42"/>
  <c r="U94" i="42" s="1"/>
  <c r="Q94" i="42"/>
  <c r="J94" i="42"/>
  <c r="M94" i="42" s="1"/>
  <c r="X93" i="42"/>
  <c r="Q93" i="42"/>
  <c r="S93" i="42" s="1"/>
  <c r="U93" i="42" s="1"/>
  <c r="J93" i="42"/>
  <c r="M93" i="42" s="1"/>
  <c r="X92" i="42"/>
  <c r="S92" i="42"/>
  <c r="U92" i="42" s="1"/>
  <c r="Q92" i="42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U81" i="42"/>
  <c r="Q81" i="42"/>
  <c r="S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S72" i="42"/>
  <c r="U72" i="42" s="1"/>
  <c r="Q72" i="42"/>
  <c r="J72" i="42"/>
  <c r="M72" i="42" s="1"/>
  <c r="X71" i="42"/>
  <c r="Q71" i="42"/>
  <c r="S71" i="42" s="1"/>
  <c r="U71" i="42" s="1"/>
  <c r="J71" i="42"/>
  <c r="M71" i="42" s="1"/>
  <c r="X70" i="42"/>
  <c r="S70" i="42"/>
  <c r="U70" i="42" s="1"/>
  <c r="Q70" i="42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M55" i="42"/>
  <c r="X54" i="42"/>
  <c r="S54" i="42"/>
  <c r="U54" i="42" s="1"/>
  <c r="Q54" i="42"/>
  <c r="J54" i="42"/>
  <c r="M54" i="42" s="1"/>
  <c r="X53" i="42"/>
  <c r="Q53" i="42"/>
  <c r="S53" i="42" s="1"/>
  <c r="U53" i="42" s="1"/>
  <c r="J53" i="42"/>
  <c r="M53" i="42" s="1"/>
  <c r="X52" i="42"/>
  <c r="S52" i="42"/>
  <c r="U52" i="42" s="1"/>
  <c r="Q52" i="42"/>
  <c r="J52" i="42"/>
  <c r="M52" i="42" s="1"/>
  <c r="X51" i="42"/>
  <c r="Q51" i="42"/>
  <c r="S51" i="42" s="1"/>
  <c r="U51" i="42" s="1"/>
  <c r="J51" i="42"/>
  <c r="M51" i="42" s="1"/>
  <c r="X50" i="42"/>
  <c r="S50" i="42"/>
  <c r="U50" i="42" s="1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M46" i="42"/>
  <c r="J46" i="42"/>
  <c r="X45" i="42"/>
  <c r="U45" i="42"/>
  <c r="Q45" i="42"/>
  <c r="S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S40" i="42"/>
  <c r="U40" i="42" s="1"/>
  <c r="Q40" i="42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U37" i="42"/>
  <c r="Q37" i="42"/>
  <c r="S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S32" i="42"/>
  <c r="U32" i="42" s="1"/>
  <c r="Q32" i="42"/>
  <c r="J32" i="42"/>
  <c r="M32" i="42" s="1"/>
  <c r="X31" i="42"/>
  <c r="Q31" i="42"/>
  <c r="S31" i="42" s="1"/>
  <c r="U31" i="42" s="1"/>
  <c r="J31" i="42"/>
  <c r="M31" i="42" s="1"/>
  <c r="X30" i="42"/>
  <c r="S30" i="42"/>
  <c r="U30" i="42" s="1"/>
  <c r="Q30" i="42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M26" i="42"/>
  <c r="J26" i="42"/>
  <c r="X25" i="42"/>
  <c r="Q25" i="42"/>
  <c r="S25" i="42" s="1"/>
  <c r="U25" i="42" s="1"/>
  <c r="J25" i="42"/>
  <c r="M25" i="42" s="1"/>
  <c r="X24" i="42"/>
  <c r="S24" i="42"/>
  <c r="U24" i="42" s="1"/>
  <c r="Q24" i="42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S16" i="42"/>
  <c r="U16" i="42" s="1"/>
  <c r="Q16" i="42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U13" i="42"/>
  <c r="S13" i="42"/>
  <c r="Q13" i="42"/>
  <c r="J13" i="42"/>
  <c r="M13" i="42" s="1"/>
  <c r="X12" i="42"/>
  <c r="Q12" i="42"/>
  <c r="S12" i="42" s="1"/>
  <c r="U12" i="42" s="1"/>
  <c r="J12" i="42"/>
  <c r="M12" i="42" s="1"/>
  <c r="X11" i="42"/>
  <c r="S11" i="42"/>
  <c r="U11" i="42" s="1"/>
  <c r="Q11" i="42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12" i="41"/>
  <c r="N12" i="8" s="1"/>
  <c r="K209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M140" i="41"/>
  <c r="J140" i="4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M132" i="41"/>
  <c r="J132" i="4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M109" i="41"/>
  <c r="J109" i="4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S102" i="41"/>
  <c r="U102" i="41" s="1"/>
  <c r="Q102" i="41"/>
  <c r="J102" i="41"/>
  <c r="M102" i="41" s="1"/>
  <c r="X101" i="41"/>
  <c r="S101" i="41"/>
  <c r="U101" i="41" s="1"/>
  <c r="Q101" i="4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M99" i="41"/>
  <c r="J99" i="41"/>
  <c r="X98" i="41"/>
  <c r="Q98" i="41"/>
  <c r="S98" i="41" s="1"/>
  <c r="U98" i="41" s="1"/>
  <c r="J98" i="41"/>
  <c r="M98" i="41" s="1"/>
  <c r="X97" i="41"/>
  <c r="U97" i="41"/>
  <c r="S97" i="41"/>
  <c r="Q97" i="4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M95" i="41"/>
  <c r="J95" i="4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S89" i="41"/>
  <c r="U89" i="41" s="1"/>
  <c r="Q89" i="41"/>
  <c r="J89" i="41"/>
  <c r="M89" i="41" s="1"/>
  <c r="X88" i="41"/>
  <c r="S88" i="41"/>
  <c r="U88" i="41" s="1"/>
  <c r="Q88" i="41"/>
  <c r="M88" i="41"/>
  <c r="J88" i="41"/>
  <c r="X87" i="41"/>
  <c r="Q87" i="41"/>
  <c r="S87" i="41" s="1"/>
  <c r="U87" i="41" s="1"/>
  <c r="J87" i="41"/>
  <c r="M87" i="41" s="1"/>
  <c r="X86" i="41"/>
  <c r="S86" i="41"/>
  <c r="U86" i="41" s="1"/>
  <c r="Q86" i="41"/>
  <c r="J86" i="41"/>
  <c r="M86" i="41" s="1"/>
  <c r="X85" i="41"/>
  <c r="U85" i="41"/>
  <c r="S85" i="41"/>
  <c r="Q85" i="41"/>
  <c r="J85" i="41"/>
  <c r="M85" i="41" s="1"/>
  <c r="X84" i="41"/>
  <c r="Q84" i="41"/>
  <c r="S84" i="41" s="1"/>
  <c r="U84" i="41" s="1"/>
  <c r="M84" i="41"/>
  <c r="J84" i="41"/>
  <c r="X83" i="41"/>
  <c r="S83" i="41"/>
  <c r="U83" i="41" s="1"/>
  <c r="Q83" i="41"/>
  <c r="J83" i="41"/>
  <c r="M83" i="41" s="1"/>
  <c r="X82" i="41"/>
  <c r="Q82" i="41"/>
  <c r="S82" i="41" s="1"/>
  <c r="U82" i="41" s="1"/>
  <c r="M82" i="41"/>
  <c r="J82" i="41"/>
  <c r="X81" i="41"/>
  <c r="Q81" i="41"/>
  <c r="S81" i="41" s="1"/>
  <c r="U81" i="41" s="1"/>
  <c r="J81" i="41"/>
  <c r="M81" i="41" s="1"/>
  <c r="X80" i="41"/>
  <c r="U80" i="41"/>
  <c r="S80" i="41"/>
  <c r="Q80" i="41"/>
  <c r="J80" i="41"/>
  <c r="M80" i="41" s="1"/>
  <c r="X79" i="41"/>
  <c r="Q79" i="41"/>
  <c r="S79" i="41" s="1"/>
  <c r="U79" i="41" s="1"/>
  <c r="J79" i="41"/>
  <c r="M79" i="41" s="1"/>
  <c r="X78" i="41"/>
  <c r="S78" i="41"/>
  <c r="U78" i="41" s="1"/>
  <c r="Q78" i="4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S73" i="41"/>
  <c r="U73" i="41" s="1"/>
  <c r="Q73" i="41"/>
  <c r="J73" i="41"/>
  <c r="M73" i="41" s="1"/>
  <c r="X72" i="41"/>
  <c r="Q72" i="41"/>
  <c r="S72" i="41" s="1"/>
  <c r="U72" i="41" s="1"/>
  <c r="M72" i="41"/>
  <c r="J72" i="4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M68" i="41"/>
  <c r="J68" i="41"/>
  <c r="X67" i="41"/>
  <c r="Q67" i="41"/>
  <c r="S67" i="41" s="1"/>
  <c r="U67" i="41" s="1"/>
  <c r="J67" i="41"/>
  <c r="M67" i="41" s="1"/>
  <c r="X66" i="41"/>
  <c r="S66" i="41"/>
  <c r="U66" i="41" s="1"/>
  <c r="Q66" i="41"/>
  <c r="J66" i="41"/>
  <c r="M66" i="41" s="1"/>
  <c r="X65" i="41"/>
  <c r="Q65" i="41"/>
  <c r="S65" i="41" s="1"/>
  <c r="U65" i="41" s="1"/>
  <c r="J65" i="41"/>
  <c r="M65" i="41" s="1"/>
  <c r="X64" i="41"/>
  <c r="U64" i="41"/>
  <c r="S64" i="41"/>
  <c r="Q64" i="41"/>
  <c r="J64" i="41"/>
  <c r="M64" i="41" s="1"/>
  <c r="X63" i="41"/>
  <c r="Q63" i="41"/>
  <c r="S63" i="41" s="1"/>
  <c r="U63" i="41" s="1"/>
  <c r="J63" i="41"/>
  <c r="M63" i="41" s="1"/>
  <c r="X62" i="41"/>
  <c r="S62" i="41"/>
  <c r="U62" i="41" s="1"/>
  <c r="Q62" i="4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M52" i="41"/>
  <c r="J52" i="4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M48" i="41"/>
  <c r="J48" i="41"/>
  <c r="X47" i="41"/>
  <c r="U47" i="41"/>
  <c r="Q47" i="41"/>
  <c r="S47" i="41" s="1"/>
  <c r="J47" i="41"/>
  <c r="M47" i="41" s="1"/>
  <c r="X46" i="41"/>
  <c r="S46" i="41"/>
  <c r="U46" i="41" s="1"/>
  <c r="Q46" i="4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U39" i="41"/>
  <c r="Q39" i="41"/>
  <c r="S39" i="41" s="1"/>
  <c r="J39" i="41"/>
  <c r="M39" i="41" s="1"/>
  <c r="X38" i="41"/>
  <c r="Q38" i="41"/>
  <c r="S38" i="41" s="1"/>
  <c r="U38" i="41" s="1"/>
  <c r="J38" i="41"/>
  <c r="M38" i="41" s="1"/>
  <c r="X37" i="41"/>
  <c r="S37" i="41"/>
  <c r="U37" i="41" s="1"/>
  <c r="Q37" i="4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U33" i="41"/>
  <c r="S33" i="41"/>
  <c r="Q33" i="4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S22" i="41"/>
  <c r="U22" i="41" s="1"/>
  <c r="Q22" i="4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S18" i="41"/>
  <c r="U18" i="41" s="1"/>
  <c r="Q18" i="4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S14" i="41"/>
  <c r="U14" i="41" s="1"/>
  <c r="Q14" i="4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S5" i="41"/>
  <c r="U5" i="41" s="1"/>
  <c r="Q5" i="4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M181" i="40"/>
  <c r="J181" i="40"/>
  <c r="M180" i="40"/>
  <c r="J180" i="40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M173" i="40"/>
  <c r="J173" i="40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M141" i="40"/>
  <c r="J141" i="40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S104" i="40"/>
  <c r="U104" i="40" s="1"/>
  <c r="Q104" i="40"/>
  <c r="J104" i="40"/>
  <c r="M104" i="40" s="1"/>
  <c r="X103" i="40"/>
  <c r="U103" i="40"/>
  <c r="S103" i="40"/>
  <c r="Q103" i="40"/>
  <c r="J103" i="40"/>
  <c r="M103" i="40" s="1"/>
  <c r="X102" i="40"/>
  <c r="Q102" i="40"/>
  <c r="S102" i="40" s="1"/>
  <c r="U102" i="40" s="1"/>
  <c r="J102" i="40"/>
  <c r="M102" i="40" s="1"/>
  <c r="X101" i="40"/>
  <c r="S101" i="40"/>
  <c r="U101" i="40" s="1"/>
  <c r="Q101" i="40"/>
  <c r="J101" i="40"/>
  <c r="M101" i="40" s="1"/>
  <c r="X100" i="40"/>
  <c r="S100" i="40"/>
  <c r="U100" i="40" s="1"/>
  <c r="Q100" i="40"/>
  <c r="J100" i="40"/>
  <c r="M100" i="40" s="1"/>
  <c r="X99" i="40"/>
  <c r="U99" i="40"/>
  <c r="S99" i="40"/>
  <c r="Q99" i="40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U95" i="40"/>
  <c r="S95" i="40"/>
  <c r="Q95" i="40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S92" i="40"/>
  <c r="U92" i="40" s="1"/>
  <c r="Q92" i="40"/>
  <c r="J92" i="40"/>
  <c r="M92" i="40" s="1"/>
  <c r="X91" i="40"/>
  <c r="S91" i="40"/>
  <c r="U91" i="40" s="1"/>
  <c r="Q91" i="40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U87" i="40"/>
  <c r="S87" i="40"/>
  <c r="Q87" i="40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S84" i="40"/>
  <c r="U84" i="40" s="1"/>
  <c r="Q84" i="40"/>
  <c r="J84" i="40"/>
  <c r="M84" i="40" s="1"/>
  <c r="X83" i="40"/>
  <c r="U83" i="40"/>
  <c r="S83" i="40"/>
  <c r="Q83" i="40"/>
  <c r="J83" i="40"/>
  <c r="M83" i="40" s="1"/>
  <c r="X82" i="40"/>
  <c r="Q82" i="40"/>
  <c r="S82" i="40" s="1"/>
  <c r="U82" i="40" s="1"/>
  <c r="J82" i="40"/>
  <c r="M82" i="40" s="1"/>
  <c r="X81" i="40"/>
  <c r="S81" i="40"/>
  <c r="U81" i="40" s="1"/>
  <c r="Q81" i="40"/>
  <c r="M81" i="40"/>
  <c r="J81" i="40"/>
  <c r="X80" i="40"/>
  <c r="Q80" i="40"/>
  <c r="S80" i="40" s="1"/>
  <c r="U80" i="40" s="1"/>
  <c r="J80" i="40"/>
  <c r="M80" i="40" s="1"/>
  <c r="X79" i="40"/>
  <c r="U79" i="40"/>
  <c r="S79" i="40"/>
  <c r="Q79" i="40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U75" i="40"/>
  <c r="S75" i="40"/>
  <c r="Q75" i="40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S71" i="40"/>
  <c r="U71" i="40" s="1"/>
  <c r="Q71" i="40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S68" i="40"/>
  <c r="U68" i="40" s="1"/>
  <c r="Q68" i="40"/>
  <c r="J68" i="40"/>
  <c r="M68" i="40" s="1"/>
  <c r="X67" i="40"/>
  <c r="S67" i="40"/>
  <c r="U67" i="40" s="1"/>
  <c r="Q67" i="40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S63" i="40"/>
  <c r="U63" i="40" s="1"/>
  <c r="Q63" i="40"/>
  <c r="J63" i="40"/>
  <c r="M63" i="40" s="1"/>
  <c r="X62" i="40"/>
  <c r="Q62" i="40"/>
  <c r="S62" i="40" s="1"/>
  <c r="U62" i="40" s="1"/>
  <c r="M62" i="40"/>
  <c r="J62" i="40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S55" i="40"/>
  <c r="U55" i="40" s="1"/>
  <c r="Q55" i="40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S44" i="40"/>
  <c r="U44" i="40" s="1"/>
  <c r="Q44" i="40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S40" i="40"/>
  <c r="U40" i="40" s="1"/>
  <c r="Q40" i="40"/>
  <c r="J40" i="40"/>
  <c r="M40" i="40" s="1"/>
  <c r="X39" i="40"/>
  <c r="S39" i="40"/>
  <c r="U39" i="40" s="1"/>
  <c r="Q39" i="40"/>
  <c r="J39" i="40"/>
  <c r="M39" i="40" s="1"/>
  <c r="X38" i="40"/>
  <c r="U38" i="40"/>
  <c r="Q38" i="40"/>
  <c r="S38" i="40" s="1"/>
  <c r="J38" i="40"/>
  <c r="M38" i="40" s="1"/>
  <c r="X37" i="40"/>
  <c r="Q37" i="40"/>
  <c r="S37" i="40" s="1"/>
  <c r="U37" i="40" s="1"/>
  <c r="J37" i="40"/>
  <c r="M37" i="40" s="1"/>
  <c r="X36" i="40"/>
  <c r="S36" i="40"/>
  <c r="U36" i="40" s="1"/>
  <c r="Q36" i="40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M30" i="40"/>
  <c r="J30" i="40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S22" i="40"/>
  <c r="U22" i="40" s="1"/>
  <c r="Q22" i="40"/>
  <c r="J22" i="40"/>
  <c r="M22" i="40" s="1"/>
  <c r="X21" i="40"/>
  <c r="Q21" i="40"/>
  <c r="S21" i="40" s="1"/>
  <c r="U21" i="40" s="1"/>
  <c r="J21" i="40"/>
  <c r="M21" i="40" s="1"/>
  <c r="X20" i="40"/>
  <c r="S20" i="40"/>
  <c r="U20" i="40" s="1"/>
  <c r="Q20" i="40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S17" i="40"/>
  <c r="U17" i="40" s="1"/>
  <c r="Q17" i="40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S14" i="40"/>
  <c r="U14" i="40" s="1"/>
  <c r="Q14" i="40"/>
  <c r="J14" i="40"/>
  <c r="M14" i="40" s="1"/>
  <c r="X13" i="40"/>
  <c r="Q13" i="40"/>
  <c r="S13" i="40" s="1"/>
  <c r="U13" i="40" s="1"/>
  <c r="J13" i="40"/>
  <c r="M13" i="40" s="1"/>
  <c r="X12" i="40"/>
  <c r="S12" i="40"/>
  <c r="U12" i="40" s="1"/>
  <c r="Q12" i="40"/>
  <c r="J12" i="40"/>
  <c r="M12" i="40" s="1"/>
  <c r="X11" i="40"/>
  <c r="Q11" i="40"/>
  <c r="S11" i="40" s="1"/>
  <c r="U11" i="40" s="1"/>
  <c r="J11" i="40"/>
  <c r="M11" i="40" s="1"/>
  <c r="X10" i="40"/>
  <c r="S10" i="40"/>
  <c r="U10" i="40" s="1"/>
  <c r="Q10" i="40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S6" i="40"/>
  <c r="U6" i="40" s="1"/>
  <c r="Q6" i="40"/>
  <c r="J6" i="40"/>
  <c r="M6" i="40" s="1"/>
  <c r="X5" i="40"/>
  <c r="Q5" i="40"/>
  <c r="S5" i="40" s="1"/>
  <c r="U5" i="40" s="1"/>
  <c r="J5" i="40"/>
  <c r="K212" i="39"/>
  <c r="N10" i="8" s="1"/>
  <c r="K209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M198" i="39"/>
  <c r="J198" i="39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M172" i="39"/>
  <c r="J172" i="39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M130" i="39"/>
  <c r="J130" i="39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S104" i="39"/>
  <c r="U104" i="39" s="1"/>
  <c r="Q104" i="39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U92" i="39"/>
  <c r="S92" i="39"/>
  <c r="Q92" i="39"/>
  <c r="J92" i="39"/>
  <c r="M92" i="39" s="1"/>
  <c r="X91" i="39"/>
  <c r="Q91" i="39"/>
  <c r="S91" i="39" s="1"/>
  <c r="U91" i="39" s="1"/>
  <c r="J91" i="39"/>
  <c r="M91" i="39" s="1"/>
  <c r="X90" i="39"/>
  <c r="S90" i="39"/>
  <c r="U90" i="39" s="1"/>
  <c r="Q90" i="39"/>
  <c r="J90" i="39"/>
  <c r="M90" i="39" s="1"/>
  <c r="X89" i="39"/>
  <c r="Q89" i="39"/>
  <c r="S89" i="39" s="1"/>
  <c r="U89" i="39" s="1"/>
  <c r="J89" i="39"/>
  <c r="M89" i="39" s="1"/>
  <c r="X88" i="39"/>
  <c r="S88" i="39"/>
  <c r="U88" i="39" s="1"/>
  <c r="Q88" i="39"/>
  <c r="J88" i="39"/>
  <c r="M88" i="39" s="1"/>
  <c r="X87" i="39"/>
  <c r="Q87" i="39"/>
  <c r="S87" i="39" s="1"/>
  <c r="U87" i="39" s="1"/>
  <c r="J87" i="39"/>
  <c r="M87" i="39" s="1"/>
  <c r="X86" i="39"/>
  <c r="S86" i="39"/>
  <c r="U86" i="39" s="1"/>
  <c r="Q86" i="39"/>
  <c r="J86" i="39"/>
  <c r="M86" i="39" s="1"/>
  <c r="X85" i="39"/>
  <c r="Q85" i="39"/>
  <c r="S85" i="39" s="1"/>
  <c r="U85" i="39" s="1"/>
  <c r="J85" i="39"/>
  <c r="M85" i="39" s="1"/>
  <c r="X84" i="39"/>
  <c r="S84" i="39"/>
  <c r="U84" i="39" s="1"/>
  <c r="Q84" i="39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S78" i="39"/>
  <c r="U78" i="39" s="1"/>
  <c r="Q78" i="39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S74" i="39"/>
  <c r="U74" i="39" s="1"/>
  <c r="Q74" i="39"/>
  <c r="J74" i="39"/>
  <c r="M74" i="39" s="1"/>
  <c r="X73" i="39"/>
  <c r="Q73" i="39"/>
  <c r="S73" i="39" s="1"/>
  <c r="U73" i="39" s="1"/>
  <c r="J73" i="39"/>
  <c r="M73" i="39" s="1"/>
  <c r="X72" i="39"/>
  <c r="S72" i="39"/>
  <c r="U72" i="39" s="1"/>
  <c r="Q72" i="39"/>
  <c r="J72" i="39"/>
  <c r="M72" i="39" s="1"/>
  <c r="X71" i="39"/>
  <c r="Q71" i="39"/>
  <c r="S71" i="39" s="1"/>
  <c r="U71" i="39" s="1"/>
  <c r="J71" i="39"/>
  <c r="M71" i="39" s="1"/>
  <c r="X70" i="39"/>
  <c r="S70" i="39"/>
  <c r="U70" i="39" s="1"/>
  <c r="Q70" i="39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M68" i="39"/>
  <c r="J68" i="39"/>
  <c r="X67" i="39"/>
  <c r="Q67" i="39"/>
  <c r="S67" i="39" s="1"/>
  <c r="U67" i="39" s="1"/>
  <c r="J67" i="39"/>
  <c r="M67" i="39" s="1"/>
  <c r="X66" i="39"/>
  <c r="Q66" i="39"/>
  <c r="S66" i="39" s="1"/>
  <c r="U66" i="39" s="1"/>
  <c r="M66" i="39"/>
  <c r="J66" i="39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U63" i="39"/>
  <c r="Q63" i="39"/>
  <c r="S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S60" i="39"/>
  <c r="U60" i="39" s="1"/>
  <c r="Q60" i="39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S54" i="39"/>
  <c r="U54" i="39" s="1"/>
  <c r="Q54" i="39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S50" i="39"/>
  <c r="U50" i="39" s="1"/>
  <c r="Q50" i="39"/>
  <c r="J50" i="39"/>
  <c r="M50" i="39" s="1"/>
  <c r="X49" i="39"/>
  <c r="Q49" i="39"/>
  <c r="S49" i="39" s="1"/>
  <c r="U49" i="39" s="1"/>
  <c r="J49" i="39"/>
  <c r="M49" i="39" s="1"/>
  <c r="X48" i="39"/>
  <c r="S48" i="39"/>
  <c r="U48" i="39" s="1"/>
  <c r="Q48" i="39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S42" i="39"/>
  <c r="U42" i="39" s="1"/>
  <c r="Q42" i="39"/>
  <c r="J42" i="39"/>
  <c r="M42" i="39" s="1"/>
  <c r="X41" i="39"/>
  <c r="Q41" i="39"/>
  <c r="S41" i="39" s="1"/>
  <c r="U41" i="39" s="1"/>
  <c r="J41" i="39"/>
  <c r="M41" i="39" s="1"/>
  <c r="X40" i="39"/>
  <c r="S40" i="39"/>
  <c r="U40" i="39" s="1"/>
  <c r="Q40" i="39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S37" i="39"/>
  <c r="U37" i="39" s="1"/>
  <c r="Q37" i="39"/>
  <c r="J37" i="39"/>
  <c r="M37" i="39" s="1"/>
  <c r="X36" i="39"/>
  <c r="S36" i="39"/>
  <c r="U36" i="39" s="1"/>
  <c r="Q36" i="39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S32" i="39"/>
  <c r="U32" i="39" s="1"/>
  <c r="Q32" i="39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S23" i="39"/>
  <c r="U23" i="39" s="1"/>
  <c r="Q23" i="39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S9" i="39"/>
  <c r="U9" i="39" s="1"/>
  <c r="Q9" i="39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K20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M190" i="38"/>
  <c r="J190" i="38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M183" i="38"/>
  <c r="J183" i="38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S103" i="38"/>
  <c r="U103" i="38" s="1"/>
  <c r="Q103" i="38"/>
  <c r="J103" i="38"/>
  <c r="M103" i="38" s="1"/>
  <c r="X102" i="38"/>
  <c r="S102" i="38"/>
  <c r="U102" i="38" s="1"/>
  <c r="Q102" i="38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S96" i="38"/>
  <c r="U96" i="38" s="1"/>
  <c r="Q96" i="38"/>
  <c r="J96" i="38"/>
  <c r="M96" i="38" s="1"/>
  <c r="X95" i="38"/>
  <c r="S95" i="38"/>
  <c r="U95" i="38" s="1"/>
  <c r="Q95" i="38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S90" i="38"/>
  <c r="U90" i="38" s="1"/>
  <c r="Q90" i="38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S84" i="38"/>
  <c r="U84" i="38" s="1"/>
  <c r="Q84" i="38"/>
  <c r="J84" i="38"/>
  <c r="M84" i="38" s="1"/>
  <c r="X83" i="38"/>
  <c r="S83" i="38"/>
  <c r="U83" i="38" s="1"/>
  <c r="Q83" i="38"/>
  <c r="J83" i="38"/>
  <c r="M83" i="38" s="1"/>
  <c r="X82" i="38"/>
  <c r="S82" i="38"/>
  <c r="U82" i="38" s="1"/>
  <c r="Q82" i="38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S76" i="38"/>
  <c r="U76" i="38" s="1"/>
  <c r="Q76" i="38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S71" i="38"/>
  <c r="U71" i="38" s="1"/>
  <c r="Q71" i="38"/>
  <c r="J71" i="38"/>
  <c r="M71" i="38" s="1"/>
  <c r="X70" i="38"/>
  <c r="S70" i="38"/>
  <c r="U70" i="38" s="1"/>
  <c r="Q70" i="38"/>
  <c r="J70" i="38"/>
  <c r="M70" i="38" s="1"/>
  <c r="X69" i="38"/>
  <c r="Q69" i="38"/>
  <c r="S69" i="38" s="1"/>
  <c r="U69" i="38" s="1"/>
  <c r="J69" i="38"/>
  <c r="M69" i="38" s="1"/>
  <c r="X68" i="38"/>
  <c r="S68" i="38"/>
  <c r="U68" i="38" s="1"/>
  <c r="Q68" i="38"/>
  <c r="J68" i="38"/>
  <c r="M68" i="38" s="1"/>
  <c r="X67" i="38"/>
  <c r="Q67" i="38"/>
  <c r="S67" i="38" s="1"/>
  <c r="U67" i="38" s="1"/>
  <c r="J67" i="38"/>
  <c r="M67" i="38" s="1"/>
  <c r="X66" i="38"/>
  <c r="S66" i="38"/>
  <c r="U66" i="38" s="1"/>
  <c r="Q66" i="38"/>
  <c r="J66" i="38"/>
  <c r="M66" i="38" s="1"/>
  <c r="X65" i="38"/>
  <c r="Q65" i="38"/>
  <c r="S65" i="38" s="1"/>
  <c r="U65" i="38" s="1"/>
  <c r="M65" i="38"/>
  <c r="J65" i="38"/>
  <c r="X64" i="38"/>
  <c r="S64" i="38"/>
  <c r="U64" i="38" s="1"/>
  <c r="Q64" i="38"/>
  <c r="J64" i="38"/>
  <c r="M64" i="38" s="1"/>
  <c r="X63" i="38"/>
  <c r="S63" i="38"/>
  <c r="U63" i="38" s="1"/>
  <c r="Q63" i="38"/>
  <c r="J63" i="38"/>
  <c r="M63" i="38" s="1"/>
  <c r="X62" i="38"/>
  <c r="S62" i="38"/>
  <c r="U62" i="38" s="1"/>
  <c r="Q62" i="38"/>
  <c r="J62" i="38"/>
  <c r="M62" i="38" s="1"/>
  <c r="X61" i="38"/>
  <c r="Q61" i="38"/>
  <c r="S61" i="38" s="1"/>
  <c r="U61" i="38" s="1"/>
  <c r="J61" i="38"/>
  <c r="M61" i="38" s="1"/>
  <c r="X60" i="38"/>
  <c r="S60" i="38"/>
  <c r="U60" i="38" s="1"/>
  <c r="Q60" i="38"/>
  <c r="J60" i="38"/>
  <c r="M60" i="38" s="1"/>
  <c r="X59" i="38"/>
  <c r="S59" i="38"/>
  <c r="U59" i="38" s="1"/>
  <c r="Q59" i="38"/>
  <c r="J59" i="38"/>
  <c r="M59" i="38" s="1"/>
  <c r="X58" i="38"/>
  <c r="S58" i="38"/>
  <c r="U58" i="38" s="1"/>
  <c r="Q58" i="38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U55" i="38"/>
  <c r="Q55" i="38"/>
  <c r="S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S51" i="38"/>
  <c r="U51" i="38" s="1"/>
  <c r="Q51" i="38"/>
  <c r="J51" i="38"/>
  <c r="M51" i="38" s="1"/>
  <c r="X50" i="38"/>
  <c r="S50" i="38"/>
  <c r="U50" i="38" s="1"/>
  <c r="Q50" i="38"/>
  <c r="K212" i="38"/>
  <c r="N9" i="8" s="1"/>
  <c r="J50" i="38"/>
  <c r="M50" i="38" s="1"/>
  <c r="X49" i="38"/>
  <c r="S49" i="38"/>
  <c r="U49" i="38" s="1"/>
  <c r="Q49" i="38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U46" i="38"/>
  <c r="Q46" i="38"/>
  <c r="S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S43" i="38"/>
  <c r="U43" i="38" s="1"/>
  <c r="Q43" i="38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U40" i="38"/>
  <c r="Q40" i="38"/>
  <c r="S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S37" i="38"/>
  <c r="U37" i="38" s="1"/>
  <c r="Q37" i="38"/>
  <c r="J37" i="38"/>
  <c r="M37" i="38" s="1"/>
  <c r="X36" i="38"/>
  <c r="Q36" i="38"/>
  <c r="S36" i="38" s="1"/>
  <c r="U36" i="38" s="1"/>
  <c r="J36" i="38"/>
  <c r="M36" i="38" s="1"/>
  <c r="X35" i="38"/>
  <c r="S35" i="38"/>
  <c r="U35" i="38" s="1"/>
  <c r="Q35" i="38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S26" i="38"/>
  <c r="U26" i="38" s="1"/>
  <c r="Q26" i="38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S22" i="38"/>
  <c r="U22" i="38" s="1"/>
  <c r="Q22" i="38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S12" i="38"/>
  <c r="U12" i="38" s="1"/>
  <c r="Q12" i="38"/>
  <c r="J12" i="38"/>
  <c r="M12" i="38" s="1"/>
  <c r="X11" i="38"/>
  <c r="S11" i="38"/>
  <c r="U11" i="38" s="1"/>
  <c r="Q11" i="38"/>
  <c r="J11" i="38"/>
  <c r="M11" i="38" s="1"/>
  <c r="X10" i="38"/>
  <c r="S10" i="38"/>
  <c r="U10" i="38" s="1"/>
  <c r="Q10" i="38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S6" i="38"/>
  <c r="U6" i="38" s="1"/>
  <c r="Q6" i="38"/>
  <c r="J6" i="38"/>
  <c r="M6" i="38" s="1"/>
  <c r="X5" i="38"/>
  <c r="Q5" i="38"/>
  <c r="S5" i="38" s="1"/>
  <c r="U5" i="38" s="1"/>
  <c r="J5" i="38"/>
  <c r="M5" i="38" s="1"/>
  <c r="R17" i="8" l="1"/>
  <c r="K219" i="46"/>
  <c r="R10" i="8"/>
  <c r="K219" i="39"/>
  <c r="X107" i="41"/>
  <c r="J206" i="41" s="1"/>
  <c r="K207" i="41" s="1"/>
  <c r="R11" i="8"/>
  <c r="K219" i="40"/>
  <c r="X107" i="44"/>
  <c r="J206" i="44" s="1"/>
  <c r="K207" i="44" s="1"/>
  <c r="R16" i="8"/>
  <c r="K219" i="45"/>
  <c r="X107" i="50"/>
  <c r="J206" i="50" s="1"/>
  <c r="R12" i="8"/>
  <c r="K219" i="41"/>
  <c r="R13" i="8"/>
  <c r="K219" i="42"/>
  <c r="R21" i="8"/>
  <c r="K219" i="50"/>
  <c r="R20" i="8"/>
  <c r="K219" i="49"/>
  <c r="R22" i="8"/>
  <c r="K219" i="51"/>
  <c r="R23" i="8"/>
  <c r="K219" i="52"/>
  <c r="X107" i="60"/>
  <c r="J206" i="60" s="1"/>
  <c r="X107" i="58"/>
  <c r="J206" i="58" s="1"/>
  <c r="X107" i="59"/>
  <c r="J206" i="59" s="1"/>
  <c r="R19" i="8"/>
  <c r="K219" i="48"/>
  <c r="R18" i="8"/>
  <c r="R15" i="8"/>
  <c r="K219" i="44"/>
  <c r="R14" i="8"/>
  <c r="K219" i="43"/>
  <c r="R9" i="8"/>
  <c r="K219" i="38"/>
  <c r="X107" i="64"/>
  <c r="J206" i="64" s="1"/>
  <c r="K207" i="64"/>
  <c r="M5" i="64"/>
  <c r="K207" i="63"/>
  <c r="M5" i="63"/>
  <c r="X107" i="63"/>
  <c r="J206" i="63" s="1"/>
  <c r="M5" i="62"/>
  <c r="X107" i="62"/>
  <c r="J206" i="62" s="1"/>
  <c r="K207" i="62" s="1"/>
  <c r="X107" i="61"/>
  <c r="J206" i="61" s="1"/>
  <c r="K207" i="61"/>
  <c r="K207" i="60"/>
  <c r="M5" i="60"/>
  <c r="K207" i="59"/>
  <c r="K207" i="58"/>
  <c r="X107" i="57"/>
  <c r="J206" i="57" s="1"/>
  <c r="K207" i="57"/>
  <c r="X107" i="56"/>
  <c r="J206" i="56" s="1"/>
  <c r="K207" i="56"/>
  <c r="M5" i="56"/>
  <c r="X107" i="55"/>
  <c r="J206" i="55" s="1"/>
  <c r="K207" i="55"/>
  <c r="X107" i="54"/>
  <c r="J206" i="54" s="1"/>
  <c r="K207" i="54" s="1"/>
  <c r="X107" i="53"/>
  <c r="J206" i="53" s="1"/>
  <c r="K207" i="53"/>
  <c r="X107" i="52"/>
  <c r="J206" i="52" s="1"/>
  <c r="K207" i="52" s="1"/>
  <c r="X107" i="51"/>
  <c r="J206" i="51" s="1"/>
  <c r="K207" i="51" s="1"/>
  <c r="K207" i="50"/>
  <c r="K207" i="49"/>
  <c r="M5" i="49"/>
  <c r="X107" i="49"/>
  <c r="J206" i="49" s="1"/>
  <c r="X107" i="48"/>
  <c r="J206" i="48" s="1"/>
  <c r="K207" i="48" s="1"/>
  <c r="X107" i="47"/>
  <c r="J206" i="47" s="1"/>
  <c r="K207" i="47"/>
  <c r="M5" i="46"/>
  <c r="X107" i="46"/>
  <c r="J206" i="46" s="1"/>
  <c r="K207" i="46" s="1"/>
  <c r="K207" i="45"/>
  <c r="X107" i="45"/>
  <c r="J206" i="45" s="1"/>
  <c r="M5" i="43"/>
  <c r="X107" i="43"/>
  <c r="J206" i="43" s="1"/>
  <c r="K207" i="43" s="1"/>
  <c r="X107" i="42"/>
  <c r="J206" i="42" s="1"/>
  <c r="K207" i="42" s="1"/>
  <c r="M5" i="41"/>
  <c r="X107" i="40"/>
  <c r="J206" i="40" s="1"/>
  <c r="K207" i="40"/>
  <c r="M5" i="40"/>
  <c r="X107" i="39"/>
  <c r="J206" i="39" s="1"/>
  <c r="K207" i="39" s="1"/>
  <c r="M5" i="39"/>
  <c r="K207" i="38"/>
  <c r="X107" i="38"/>
  <c r="J206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M196" i="37"/>
  <c r="J196" i="37"/>
  <c r="J195" i="37"/>
  <c r="M195" i="37" s="1"/>
  <c r="J194" i="37"/>
  <c r="M194" i="37" s="1"/>
  <c r="J193" i="37"/>
  <c r="M193" i="37" s="1"/>
  <c r="J192" i="37"/>
  <c r="M192" i="37" s="1"/>
  <c r="J191" i="37"/>
  <c r="M191" i="37" s="1"/>
  <c r="M190" i="37"/>
  <c r="J190" i="37"/>
  <c r="J189" i="37"/>
  <c r="M189" i="37" s="1"/>
  <c r="M188" i="37"/>
  <c r="J188" i="37"/>
  <c r="J187" i="37"/>
  <c r="M187" i="37" s="1"/>
  <c r="J186" i="37"/>
  <c r="M186" i="37" s="1"/>
  <c r="J185" i="37"/>
  <c r="M185" i="37" s="1"/>
  <c r="M184" i="37"/>
  <c r="J184" i="37"/>
  <c r="J183" i="37"/>
  <c r="M183" i="37" s="1"/>
  <c r="M182" i="37"/>
  <c r="J182" i="37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M151" i="37"/>
  <c r="J151" i="37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M142" i="37"/>
  <c r="J142" i="37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M102" i="37"/>
  <c r="J102" i="37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S98" i="37"/>
  <c r="U98" i="37" s="1"/>
  <c r="Q98" i="37"/>
  <c r="M98" i="37"/>
  <c r="J98" i="37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S95" i="37"/>
  <c r="U95" i="37" s="1"/>
  <c r="Q95" i="37"/>
  <c r="J95" i="37"/>
  <c r="M95" i="37" s="1"/>
  <c r="X94" i="37"/>
  <c r="S94" i="37"/>
  <c r="U94" i="37" s="1"/>
  <c r="Q94" i="37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S80" i="37"/>
  <c r="U80" i="37" s="1"/>
  <c r="Q80" i="37"/>
  <c r="J80" i="37"/>
  <c r="M80" i="37" s="1"/>
  <c r="X79" i="37"/>
  <c r="Q79" i="37"/>
  <c r="S79" i="37" s="1"/>
  <c r="U79" i="37" s="1"/>
  <c r="J79" i="37"/>
  <c r="M79" i="37" s="1"/>
  <c r="X78" i="37"/>
  <c r="U78" i="37"/>
  <c r="S78" i="37"/>
  <c r="Q78" i="37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S71" i="37"/>
  <c r="U71" i="37" s="1"/>
  <c r="Q71" i="37"/>
  <c r="J71" i="37"/>
  <c r="M71" i="37" s="1"/>
  <c r="X70" i="37"/>
  <c r="Q70" i="37"/>
  <c r="S70" i="37" s="1"/>
  <c r="U70" i="37" s="1"/>
  <c r="M70" i="37"/>
  <c r="J70" i="37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S66" i="37"/>
  <c r="U66" i="37" s="1"/>
  <c r="Q66" i="37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S59" i="37"/>
  <c r="U59" i="37" s="1"/>
  <c r="Q59" i="37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U49" i="37"/>
  <c r="Q49" i="37"/>
  <c r="S49" i="37" s="1"/>
  <c r="J49" i="37"/>
  <c r="M49" i="37" s="1"/>
  <c r="X48" i="37"/>
  <c r="Q48" i="37"/>
  <c r="S48" i="37" s="1"/>
  <c r="U48" i="37" s="1"/>
  <c r="J48" i="37"/>
  <c r="M48" i="37" s="1"/>
  <c r="X47" i="37"/>
  <c r="S47" i="37"/>
  <c r="U47" i="37" s="1"/>
  <c r="Q47" i="37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M6" i="37"/>
  <c r="J6" i="37"/>
  <c r="X5" i="37"/>
  <c r="Q5" i="37"/>
  <c r="S5" i="37" s="1"/>
  <c r="U5" i="37" s="1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M194" i="36"/>
  <c r="J194" i="36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S104" i="36"/>
  <c r="U104" i="36" s="1"/>
  <c r="Q104" i="36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U90" i="36"/>
  <c r="Q90" i="36"/>
  <c r="S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S86" i="36"/>
  <c r="U86" i="36" s="1"/>
  <c r="Q86" i="36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M74" i="36"/>
  <c r="J74" i="36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U63" i="36"/>
  <c r="Q63" i="36"/>
  <c r="S63" i="36" s="1"/>
  <c r="J63" i="36"/>
  <c r="M63" i="36" s="1"/>
  <c r="X62" i="36"/>
  <c r="S62" i="36"/>
  <c r="U62" i="36" s="1"/>
  <c r="Q62" i="36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S46" i="36"/>
  <c r="U46" i="36" s="1"/>
  <c r="Q46" i="36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S35" i="36"/>
  <c r="U35" i="36" s="1"/>
  <c r="Q35" i="36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S21" i="36"/>
  <c r="U21" i="36" s="1"/>
  <c r="Q21" i="36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X107" i="36" s="1"/>
  <c r="J206" i="36" s="1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8" s="1"/>
  <c r="K209" i="35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M167" i="35"/>
  <c r="J167" i="35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M110" i="35"/>
  <c r="J110" i="35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S95" i="35"/>
  <c r="U95" i="35" s="1"/>
  <c r="Q95" i="35"/>
  <c r="J95" i="35"/>
  <c r="M95" i="35" s="1"/>
  <c r="X94" i="35"/>
  <c r="Q94" i="35"/>
  <c r="S94" i="35" s="1"/>
  <c r="U94" i="35" s="1"/>
  <c r="J94" i="35"/>
  <c r="M94" i="35" s="1"/>
  <c r="X93" i="35"/>
  <c r="S93" i="35"/>
  <c r="U93" i="35" s="1"/>
  <c r="Q93" i="35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S90" i="35"/>
  <c r="U90" i="35" s="1"/>
  <c r="Q90" i="35"/>
  <c r="J90" i="35"/>
  <c r="M90" i="35" s="1"/>
  <c r="X89" i="35"/>
  <c r="Q89" i="35"/>
  <c r="S89" i="35" s="1"/>
  <c r="U89" i="35" s="1"/>
  <c r="M89" i="35"/>
  <c r="J89" i="35"/>
  <c r="X88" i="35"/>
  <c r="Q88" i="35"/>
  <c r="S88" i="35" s="1"/>
  <c r="U88" i="35" s="1"/>
  <c r="J88" i="35"/>
  <c r="M88" i="35" s="1"/>
  <c r="X87" i="35"/>
  <c r="Q87" i="35"/>
  <c r="S87" i="35" s="1"/>
  <c r="U87" i="35" s="1"/>
  <c r="M87" i="35"/>
  <c r="J87" i="35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M84" i="35"/>
  <c r="J84" i="35"/>
  <c r="X83" i="35"/>
  <c r="Q83" i="35"/>
  <c r="S83" i="35" s="1"/>
  <c r="U83" i="35" s="1"/>
  <c r="J83" i="35"/>
  <c r="M83" i="35" s="1"/>
  <c r="X82" i="35"/>
  <c r="S82" i="35"/>
  <c r="U82" i="35" s="1"/>
  <c r="Q82" i="35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S79" i="35"/>
  <c r="U79" i="35" s="1"/>
  <c r="Q79" i="35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S50" i="35"/>
  <c r="U50" i="35" s="1"/>
  <c r="Q50" i="35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S37" i="35"/>
  <c r="U37" i="35" s="1"/>
  <c r="Q37" i="35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S27" i="35"/>
  <c r="U27" i="35" s="1"/>
  <c r="Q27" i="35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J5" i="34"/>
  <c r="C6" i="34"/>
  <c r="C7" i="34"/>
  <c r="C8" i="34"/>
  <c r="C9" i="34"/>
  <c r="E9" i="34" s="1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10" i="34"/>
  <c r="E10" i="34" s="1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1" i="34"/>
  <c r="C12" i="34"/>
  <c r="E12" i="34" s="1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3" i="34"/>
  <c r="E13" i="34" s="1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4" i="34"/>
  <c r="C15" i="34"/>
  <c r="C16" i="34"/>
  <c r="E16" i="34" s="1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7" i="34"/>
  <c r="C18" i="34"/>
  <c r="E18" i="34" s="1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9" i="34"/>
  <c r="C20" i="34"/>
  <c r="E20" i="34" s="1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1" i="34"/>
  <c r="E21" i="34" s="1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2" i="34"/>
  <c r="C23" i="34"/>
  <c r="C24" i="34"/>
  <c r="C25" i="34"/>
  <c r="C26" i="34"/>
  <c r="C27" i="34"/>
  <c r="E27" i="34" s="1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8" i="34"/>
  <c r="E28" i="34" s="1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9" i="34"/>
  <c r="E29" i="34" s="1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30" i="34"/>
  <c r="C31" i="34"/>
  <c r="C32" i="34"/>
  <c r="C33" i="34"/>
  <c r="C34" i="34"/>
  <c r="E34" i="34" s="1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5" i="34"/>
  <c r="C36" i="34"/>
  <c r="C37" i="34"/>
  <c r="E37" i="34" s="1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8" i="34"/>
  <c r="C39" i="34"/>
  <c r="C40" i="34"/>
  <c r="E40" i="34" s="1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1" i="34"/>
  <c r="E41" i="34" s="1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2" i="34"/>
  <c r="C43" i="34"/>
  <c r="E43" i="34" s="1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4" i="34"/>
  <c r="E44" i="34" s="1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5" i="34"/>
  <c r="C46" i="34"/>
  <c r="C47" i="34"/>
  <c r="C48" i="34"/>
  <c r="E49" i="34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50" i="34"/>
  <c r="E50" i="34" s="1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1" i="34"/>
  <c r="E52" i="34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3" i="34"/>
  <c r="E53" i="34" s="1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4" i="34"/>
  <c r="C56" i="34"/>
  <c r="C57" i="34"/>
  <c r="E57" i="34" s="1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8" i="34"/>
  <c r="E58" i="34" s="1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9" i="34"/>
  <c r="C60" i="34"/>
  <c r="E60" i="34" s="1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1" i="34"/>
  <c r="E61" i="34" s="1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2" i="34"/>
  <c r="E62" i="34" s="1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3" i="34"/>
  <c r="C64" i="34"/>
  <c r="C65" i="34"/>
  <c r="E65" i="34" s="1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6" i="34"/>
  <c r="E66" i="34" s="1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7" i="34"/>
  <c r="C68" i="34"/>
  <c r="E68" i="34" s="1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9" i="34"/>
  <c r="E69" i="34" s="1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70" i="34"/>
  <c r="E70" i="34" s="1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1" i="34"/>
  <c r="C72" i="34"/>
  <c r="E73" i="34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6" i="34"/>
  <c r="E76" i="34" s="1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7" i="34"/>
  <c r="E77" i="34" s="1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8" i="34"/>
  <c r="E78" i="34" s="1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80" i="34"/>
  <c r="C81" i="34"/>
  <c r="C82" i="34"/>
  <c r="C83" i="34"/>
  <c r="C84" i="34"/>
  <c r="E84" i="34" s="1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5" i="34"/>
  <c r="E85" i="34" s="1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6" i="34"/>
  <c r="E86" i="34" s="1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7" i="34"/>
  <c r="C88" i="34"/>
  <c r="C89" i="34"/>
  <c r="C90" i="34"/>
  <c r="C91" i="34"/>
  <c r="C92" i="34"/>
  <c r="E92" i="34" s="1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3" i="34"/>
  <c r="E93" i="34" s="1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4" i="34"/>
  <c r="E94" i="34" s="1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5" i="34"/>
  <c r="C96" i="34"/>
  <c r="C97" i="34"/>
  <c r="E97" i="34" s="1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8" i="34"/>
  <c r="E98" i="34" s="1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9" i="34"/>
  <c r="C100" i="34"/>
  <c r="E100" i="34" s="1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1" i="34"/>
  <c r="E101" i="34" s="1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2" i="34"/>
  <c r="E102" i="34" s="1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3" i="34"/>
  <c r="C104" i="34"/>
  <c r="E104" i="34" s="1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5" i="34"/>
  <c r="E105" i="34" s="1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6" i="34"/>
  <c r="C107" i="34"/>
  <c r="C108" i="34"/>
  <c r="C109" i="34"/>
  <c r="E109" i="34" s="1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10" i="34"/>
  <c r="C111" i="34"/>
  <c r="E111" i="34" s="1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2" i="34"/>
  <c r="C113" i="34"/>
  <c r="E113" i="34" s="1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4" i="34"/>
  <c r="C115" i="34"/>
  <c r="C116" i="34"/>
  <c r="E116" i="34" s="1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7" i="34"/>
  <c r="E117" i="34" s="1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8" i="34"/>
  <c r="C119" i="34"/>
  <c r="C120" i="34"/>
  <c r="C121" i="34"/>
  <c r="E121" i="34" s="1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2" i="34"/>
  <c r="C123" i="34"/>
  <c r="C124" i="34"/>
  <c r="C125" i="34"/>
  <c r="E125" i="34" s="1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6" i="34"/>
  <c r="E126" i="34" s="1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7" i="34"/>
  <c r="C128" i="34"/>
  <c r="C129" i="34"/>
  <c r="E129" i="34" s="1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30" i="34"/>
  <c r="C131" i="34"/>
  <c r="C132" i="34"/>
  <c r="E132" i="34" s="1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3" i="34"/>
  <c r="E133" i="34" s="1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4" i="34"/>
  <c r="C135" i="34"/>
  <c r="E135" i="34" s="1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6" i="34"/>
  <c r="C137" i="34"/>
  <c r="E137" i="34" s="1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8" i="34"/>
  <c r="C139" i="34"/>
  <c r="C140" i="34"/>
  <c r="E140" i="34" s="1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1" i="34"/>
  <c r="E141" i="34" s="1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2" i="34"/>
  <c r="C143" i="34"/>
  <c r="C144" i="34"/>
  <c r="C145" i="34"/>
  <c r="E145" i="34" s="1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6" i="34"/>
  <c r="C147" i="34"/>
  <c r="C148" i="34"/>
  <c r="E148" i="34" s="1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9" i="34"/>
  <c r="E149" i="34" s="1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50" i="34"/>
  <c r="E150" i="34" s="1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1" i="34"/>
  <c r="E151" i="34" s="1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2" i="34"/>
  <c r="C153" i="34"/>
  <c r="E153" i="34" s="1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4" i="34"/>
  <c r="C155" i="34"/>
  <c r="C156" i="34"/>
  <c r="E156" i="34" s="1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7" i="34"/>
  <c r="E157" i="34" s="1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8" i="34"/>
  <c r="C159" i="34"/>
  <c r="E159" i="34" s="1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60" i="34"/>
  <c r="E160" i="34" s="1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1" i="34"/>
  <c r="E161" i="34" s="1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2" i="34"/>
  <c r="C163" i="34"/>
  <c r="C164" i="34"/>
  <c r="E164" i="34" s="1"/>
  <c r="G164" i="34" s="1"/>
  <c r="C164" i="3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5" i="34"/>
  <c r="E165" i="34" s="1"/>
  <c r="G165" i="34" s="1"/>
  <c r="C165" i="3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6" i="34"/>
  <c r="E166" i="34" s="1"/>
  <c r="G166" i="34" s="1"/>
  <c r="C166" i="3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7" i="34"/>
  <c r="E167" i="34" s="1"/>
  <c r="G167" i="34" s="1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8" i="34"/>
  <c r="C169" i="34"/>
  <c r="E169" i="34" s="1"/>
  <c r="G169" i="34" s="1"/>
  <c r="C169" i="3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70" i="34"/>
  <c r="E170" i="34" s="1"/>
  <c r="G170" i="34" s="1"/>
  <c r="C170" i="3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1" i="34"/>
  <c r="C172" i="34"/>
  <c r="E172" i="34" s="1"/>
  <c r="G172" i="34" s="1"/>
  <c r="C172" i="3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3" i="34"/>
  <c r="E173" i="34" s="1"/>
  <c r="G173" i="34" s="1"/>
  <c r="C173" i="3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4" i="34"/>
  <c r="E174" i="34" s="1"/>
  <c r="G174" i="34" s="1"/>
  <c r="C174" i="3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5" i="34"/>
  <c r="E175" i="34" s="1"/>
  <c r="G175" i="34" s="1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6" i="34"/>
  <c r="C177" i="34"/>
  <c r="E177" i="34" s="1"/>
  <c r="G177" i="34" s="1"/>
  <c r="C177" i="3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8" i="34"/>
  <c r="C179" i="34"/>
  <c r="C180" i="34"/>
  <c r="E180" i="34" s="1"/>
  <c r="G180" i="34" s="1"/>
  <c r="C180" i="3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1" i="34"/>
  <c r="E181" i="34" s="1"/>
  <c r="G181" i="34" s="1"/>
  <c r="C181" i="3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2" i="34"/>
  <c r="C183" i="34"/>
  <c r="E183" i="34" s="1"/>
  <c r="G183" i="34" s="1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4" i="34"/>
  <c r="E184" i="34" s="1"/>
  <c r="G184" i="34" s="1"/>
  <c r="C184" i="3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5" i="34"/>
  <c r="E185" i="34" s="1"/>
  <c r="G185" i="34" s="1"/>
  <c r="C185" i="3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6" i="34"/>
  <c r="C187" i="34"/>
  <c r="C188" i="34"/>
  <c r="E188" i="34" s="1"/>
  <c r="G188" i="34" s="1"/>
  <c r="C188" i="3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9" i="34"/>
  <c r="E189" i="34" s="1"/>
  <c r="G189" i="34" s="1"/>
  <c r="C189" i="3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90" i="34"/>
  <c r="C191" i="34"/>
  <c r="C192" i="34"/>
  <c r="C193" i="34"/>
  <c r="E193" i="34" s="1"/>
  <c r="G193" i="34" s="1"/>
  <c r="C193" i="3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4" i="34"/>
  <c r="E194" i="34" s="1"/>
  <c r="G194" i="34" s="1"/>
  <c r="C194" i="3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5" i="34"/>
  <c r="C196" i="34"/>
  <c r="E196" i="34" s="1"/>
  <c r="G196" i="34" s="1"/>
  <c r="C196" i="3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7" i="34"/>
  <c r="E197" i="34" s="1"/>
  <c r="G197" i="34" s="1"/>
  <c r="C197" i="3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8" i="34"/>
  <c r="E198" i="34" s="1"/>
  <c r="G198" i="34" s="1"/>
  <c r="C198" i="3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9" i="34"/>
  <c r="E199" i="34" s="1"/>
  <c r="G199" i="34" s="1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200" i="34"/>
  <c r="C201" i="34"/>
  <c r="E201" i="34" s="1"/>
  <c r="G201" i="34" s="1"/>
  <c r="C201" i="35" s="1"/>
  <c r="E201" i="35" s="1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2" i="34"/>
  <c r="E202" i="34" s="1"/>
  <c r="G202" i="34" s="1"/>
  <c r="C202" i="35" s="1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3" i="34"/>
  <c r="C204" i="34"/>
  <c r="E204" i="34" s="1"/>
  <c r="G204" i="34" s="1"/>
  <c r="C204" i="35" s="1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K212" i="34"/>
  <c r="N5" i="8" s="1"/>
  <c r="K209" i="34"/>
  <c r="J204" i="34"/>
  <c r="J203" i="34"/>
  <c r="E203" i="34"/>
  <c r="G203" i="34" s="1"/>
  <c r="C203" i="35" s="1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J202" i="34"/>
  <c r="J201" i="34"/>
  <c r="J200" i="34"/>
  <c r="E200" i="34"/>
  <c r="G200" i="34" s="1"/>
  <c r="C200" i="35" s="1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J199" i="34"/>
  <c r="M198" i="34"/>
  <c r="J198" i="34"/>
  <c r="J197" i="34"/>
  <c r="J196" i="34"/>
  <c r="J195" i="34"/>
  <c r="E195" i="34"/>
  <c r="G195" i="34" s="1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J194" i="34"/>
  <c r="J194" i="8" s="1"/>
  <c r="J193" i="34"/>
  <c r="J192" i="34"/>
  <c r="E192" i="34"/>
  <c r="G192" i="34" s="1"/>
  <c r="C192" i="3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J191" i="34"/>
  <c r="E191" i="34"/>
  <c r="G191" i="34" s="1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J190" i="34"/>
  <c r="E190" i="34"/>
  <c r="G190" i="34" s="1"/>
  <c r="C190" i="3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J189" i="34"/>
  <c r="J188" i="34"/>
  <c r="J187" i="34"/>
  <c r="E187" i="34"/>
  <c r="G187" i="34" s="1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J186" i="34"/>
  <c r="E186" i="34"/>
  <c r="G186" i="34" s="1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J185" i="34"/>
  <c r="J184" i="34"/>
  <c r="J183" i="34"/>
  <c r="J182" i="34"/>
  <c r="J182" i="8" s="1"/>
  <c r="E182" i="34"/>
  <c r="G182" i="34" s="1"/>
  <c r="C182" i="3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J181" i="34"/>
  <c r="J180" i="34"/>
  <c r="M179" i="34"/>
  <c r="J179" i="34"/>
  <c r="E179" i="34"/>
  <c r="G179" i="34" s="1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J178" i="34"/>
  <c r="E178" i="34"/>
  <c r="G178" i="34" s="1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J177" i="34"/>
  <c r="J176" i="34"/>
  <c r="E176" i="34"/>
  <c r="G176" i="34" s="1"/>
  <c r="C176" i="3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J175" i="34"/>
  <c r="J174" i="34"/>
  <c r="J173" i="34"/>
  <c r="J172" i="34"/>
  <c r="J171" i="34"/>
  <c r="E171" i="34"/>
  <c r="G171" i="34" s="1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J170" i="34"/>
  <c r="J169" i="34"/>
  <c r="J168" i="34"/>
  <c r="E168" i="34"/>
  <c r="G168" i="34" s="1"/>
  <c r="C168" i="3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J167" i="34"/>
  <c r="J166" i="34"/>
  <c r="J165" i="34"/>
  <c r="J164" i="34"/>
  <c r="J163" i="34"/>
  <c r="E163" i="34"/>
  <c r="G163" i="34" s="1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J162" i="34"/>
  <c r="E162" i="34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J161" i="34"/>
  <c r="J160" i="34"/>
  <c r="J159" i="34"/>
  <c r="J158" i="34"/>
  <c r="E158" i="34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J157" i="34"/>
  <c r="J156" i="34"/>
  <c r="J155" i="34"/>
  <c r="E155" i="34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J154" i="34"/>
  <c r="E154" i="34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J153" i="34"/>
  <c r="J152" i="34"/>
  <c r="E152" i="34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J151" i="34"/>
  <c r="J150" i="34"/>
  <c r="J149" i="34"/>
  <c r="J148" i="34"/>
  <c r="J147" i="34"/>
  <c r="E147" i="34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J146" i="34"/>
  <c r="E146" i="34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J145" i="34"/>
  <c r="J144" i="34"/>
  <c r="E144" i="34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J143" i="34"/>
  <c r="E143" i="34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J142" i="34"/>
  <c r="E142" i="34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J141" i="34"/>
  <c r="J140" i="34"/>
  <c r="J139" i="34"/>
  <c r="E139" i="34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J138" i="34"/>
  <c r="J138" i="8" s="1"/>
  <c r="E138" i="34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J137" i="34"/>
  <c r="J136" i="34"/>
  <c r="E136" i="34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J135" i="34"/>
  <c r="J134" i="34"/>
  <c r="E134" i="34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J133" i="34"/>
  <c r="J132" i="34"/>
  <c r="J131" i="34"/>
  <c r="E131" i="34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J130" i="34"/>
  <c r="E130" i="34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J129" i="34"/>
  <c r="J128" i="34"/>
  <c r="E128" i="34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J127" i="34"/>
  <c r="E127" i="34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J126" i="34"/>
  <c r="J125" i="34"/>
  <c r="J124" i="34"/>
  <c r="E124" i="34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J123" i="34"/>
  <c r="E123" i="34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J122" i="34"/>
  <c r="J122" i="8" s="1"/>
  <c r="E122" i="34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J121" i="34"/>
  <c r="J120" i="34"/>
  <c r="E120" i="34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J119" i="34"/>
  <c r="E119" i="34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J118" i="34"/>
  <c r="E118" i="34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J117" i="34"/>
  <c r="J116" i="34"/>
  <c r="J115" i="34"/>
  <c r="E115" i="34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J114" i="34"/>
  <c r="E114" i="34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J113" i="34"/>
  <c r="J112" i="34"/>
  <c r="E112" i="34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J111" i="34"/>
  <c r="J110" i="34"/>
  <c r="E110" i="34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J109" i="34"/>
  <c r="J108" i="34"/>
  <c r="E108" i="34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J107" i="34"/>
  <c r="E107" i="34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J106" i="34"/>
  <c r="E106" i="34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Z105" i="34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E103" i="34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X102" i="34"/>
  <c r="S102" i="34"/>
  <c r="U102" i="34" s="1"/>
  <c r="Q102" i="34"/>
  <c r="J102" i="34"/>
  <c r="X101" i="34"/>
  <c r="Q101" i="34"/>
  <c r="S101" i="34" s="1"/>
  <c r="U101" i="34" s="1"/>
  <c r="J101" i="34"/>
  <c r="X100" i="34"/>
  <c r="S100" i="34"/>
  <c r="U100" i="34" s="1"/>
  <c r="Q100" i="34"/>
  <c r="J100" i="34"/>
  <c r="X99" i="34"/>
  <c r="Q99" i="34"/>
  <c r="S99" i="34" s="1"/>
  <c r="U99" i="34" s="1"/>
  <c r="J99" i="34"/>
  <c r="E99" i="34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X98" i="34"/>
  <c r="Q98" i="34"/>
  <c r="S98" i="34" s="1"/>
  <c r="U98" i="34" s="1"/>
  <c r="J98" i="34"/>
  <c r="X97" i="34"/>
  <c r="Q97" i="34"/>
  <c r="S97" i="34" s="1"/>
  <c r="U97" i="34" s="1"/>
  <c r="J97" i="34"/>
  <c r="X96" i="34"/>
  <c r="Q96" i="34"/>
  <c r="S96" i="34" s="1"/>
  <c r="U96" i="34" s="1"/>
  <c r="J96" i="34"/>
  <c r="E96" i="34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X95" i="34"/>
  <c r="Q95" i="34"/>
  <c r="S95" i="34" s="1"/>
  <c r="U95" i="34" s="1"/>
  <c r="J95" i="34"/>
  <c r="E95" i="34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X94" i="34"/>
  <c r="Q94" i="34"/>
  <c r="S94" i="34" s="1"/>
  <c r="U94" i="34" s="1"/>
  <c r="J94" i="34"/>
  <c r="X93" i="34"/>
  <c r="Q93" i="34"/>
  <c r="S93" i="34" s="1"/>
  <c r="U93" i="34" s="1"/>
  <c r="J93" i="34"/>
  <c r="X92" i="34"/>
  <c r="Q92" i="34"/>
  <c r="S92" i="34" s="1"/>
  <c r="U92" i="34" s="1"/>
  <c r="J92" i="34"/>
  <c r="X91" i="34"/>
  <c r="Q91" i="34"/>
  <c r="S91" i="34" s="1"/>
  <c r="U91" i="34" s="1"/>
  <c r="J91" i="34"/>
  <c r="E91" i="34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X90" i="34"/>
  <c r="S90" i="34"/>
  <c r="U90" i="34" s="1"/>
  <c r="Q90" i="34"/>
  <c r="J90" i="34"/>
  <c r="E90" i="34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X89" i="34"/>
  <c r="Q89" i="34"/>
  <c r="S89" i="34" s="1"/>
  <c r="U89" i="34" s="1"/>
  <c r="J89" i="34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X88" i="34"/>
  <c r="Q88" i="34"/>
  <c r="S88" i="34" s="1"/>
  <c r="U88" i="34" s="1"/>
  <c r="J88" i="34"/>
  <c r="E88" i="34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X87" i="34"/>
  <c r="Q87" i="34"/>
  <c r="S87" i="34" s="1"/>
  <c r="U87" i="34" s="1"/>
  <c r="J87" i="34"/>
  <c r="E87" i="34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X86" i="34"/>
  <c r="Q86" i="34"/>
  <c r="S86" i="34" s="1"/>
  <c r="U86" i="34" s="1"/>
  <c r="J86" i="34"/>
  <c r="X85" i="34"/>
  <c r="Q85" i="34"/>
  <c r="S85" i="34" s="1"/>
  <c r="U85" i="34" s="1"/>
  <c r="J85" i="34"/>
  <c r="X84" i="34"/>
  <c r="Q84" i="34"/>
  <c r="S84" i="34" s="1"/>
  <c r="U84" i="34" s="1"/>
  <c r="J84" i="34"/>
  <c r="X83" i="34"/>
  <c r="Q83" i="34"/>
  <c r="S83" i="34" s="1"/>
  <c r="U83" i="34" s="1"/>
  <c r="J83" i="34"/>
  <c r="E83" i="34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X82" i="34"/>
  <c r="S82" i="34"/>
  <c r="U82" i="34" s="1"/>
  <c r="Q82" i="34"/>
  <c r="J82" i="34"/>
  <c r="E82" i="34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X81" i="34"/>
  <c r="Q81" i="34"/>
  <c r="S81" i="34" s="1"/>
  <c r="U81" i="34" s="1"/>
  <c r="J81" i="34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X80" i="34"/>
  <c r="Q80" i="34"/>
  <c r="S80" i="34" s="1"/>
  <c r="U80" i="34" s="1"/>
  <c r="J80" i="34"/>
  <c r="E80" i="34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X79" i="34"/>
  <c r="Q79" i="34"/>
  <c r="S79" i="34" s="1"/>
  <c r="U79" i="34" s="1"/>
  <c r="J79" i="34"/>
  <c r="E79" i="34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X78" i="34"/>
  <c r="Q78" i="34"/>
  <c r="S78" i="34" s="1"/>
  <c r="U78" i="34" s="1"/>
  <c r="J78" i="34"/>
  <c r="X77" i="34"/>
  <c r="Q77" i="34"/>
  <c r="S77" i="34" s="1"/>
  <c r="U77" i="34" s="1"/>
  <c r="J77" i="34"/>
  <c r="X76" i="34"/>
  <c r="Q76" i="34"/>
  <c r="S76" i="34" s="1"/>
  <c r="U76" i="34" s="1"/>
  <c r="J76" i="34"/>
  <c r="X75" i="34"/>
  <c r="Q75" i="34"/>
  <c r="S75" i="34" s="1"/>
  <c r="U75" i="34" s="1"/>
  <c r="J75" i="34"/>
  <c r="E75" i="34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X74" i="34"/>
  <c r="S74" i="34"/>
  <c r="U74" i="34" s="1"/>
  <c r="Q74" i="34"/>
  <c r="J74" i="34"/>
  <c r="E74" i="34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X73" i="34"/>
  <c r="Q73" i="34"/>
  <c r="S73" i="34" s="1"/>
  <c r="U73" i="34" s="1"/>
  <c r="J73" i="34"/>
  <c r="J73" i="8" s="1"/>
  <c r="X72" i="34"/>
  <c r="Q72" i="34"/>
  <c r="S72" i="34" s="1"/>
  <c r="U72" i="34" s="1"/>
  <c r="J72" i="34"/>
  <c r="E72" i="34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X71" i="34"/>
  <c r="Q71" i="34"/>
  <c r="S71" i="34" s="1"/>
  <c r="U71" i="34" s="1"/>
  <c r="J71" i="34"/>
  <c r="E71" i="34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X70" i="34"/>
  <c r="Q70" i="34"/>
  <c r="S70" i="34" s="1"/>
  <c r="U70" i="34" s="1"/>
  <c r="J70" i="34"/>
  <c r="X69" i="34"/>
  <c r="Q69" i="34"/>
  <c r="S69" i="34" s="1"/>
  <c r="U69" i="34" s="1"/>
  <c r="J69" i="34"/>
  <c r="X68" i="34"/>
  <c r="Q68" i="34"/>
  <c r="S68" i="34" s="1"/>
  <c r="U68" i="34" s="1"/>
  <c r="J68" i="34"/>
  <c r="X67" i="34"/>
  <c r="Q67" i="34"/>
  <c r="S67" i="34" s="1"/>
  <c r="U67" i="34" s="1"/>
  <c r="J67" i="34"/>
  <c r="E67" i="34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X66" i="34"/>
  <c r="Q66" i="34"/>
  <c r="S66" i="34" s="1"/>
  <c r="U66" i="34" s="1"/>
  <c r="J66" i="34"/>
  <c r="X65" i="34"/>
  <c r="Q65" i="34"/>
  <c r="S65" i="34" s="1"/>
  <c r="U65" i="34" s="1"/>
  <c r="J65" i="34"/>
  <c r="X64" i="34"/>
  <c r="Q64" i="34"/>
  <c r="S64" i="34" s="1"/>
  <c r="U64" i="34" s="1"/>
  <c r="J64" i="34"/>
  <c r="E64" i="34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X63" i="34"/>
  <c r="Q63" i="34"/>
  <c r="S63" i="34" s="1"/>
  <c r="U63" i="34" s="1"/>
  <c r="J63" i="34"/>
  <c r="E63" i="34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X62" i="34"/>
  <c r="S62" i="34"/>
  <c r="U62" i="34" s="1"/>
  <c r="Q62" i="34"/>
  <c r="J62" i="34"/>
  <c r="X61" i="34"/>
  <c r="Q61" i="34"/>
  <c r="S61" i="34" s="1"/>
  <c r="U61" i="34" s="1"/>
  <c r="J61" i="34"/>
  <c r="X60" i="34"/>
  <c r="Q60" i="34"/>
  <c r="S60" i="34" s="1"/>
  <c r="U60" i="34" s="1"/>
  <c r="J60" i="34"/>
  <c r="X59" i="34"/>
  <c r="Q59" i="34"/>
  <c r="S59" i="34" s="1"/>
  <c r="U59" i="34" s="1"/>
  <c r="J59" i="34"/>
  <c r="E59" i="34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X58" i="34"/>
  <c r="Q58" i="34"/>
  <c r="S58" i="34" s="1"/>
  <c r="U58" i="34" s="1"/>
  <c r="J58" i="34"/>
  <c r="X57" i="34"/>
  <c r="Q57" i="34"/>
  <c r="S57" i="34" s="1"/>
  <c r="U57" i="34" s="1"/>
  <c r="J57" i="34"/>
  <c r="X56" i="34"/>
  <c r="Q56" i="34"/>
  <c r="S56" i="34" s="1"/>
  <c r="U56" i="34" s="1"/>
  <c r="J56" i="34"/>
  <c r="E56" i="34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X55" i="34"/>
  <c r="Q55" i="34"/>
  <c r="S55" i="34" s="1"/>
  <c r="U55" i="34" s="1"/>
  <c r="J55" i="34"/>
  <c r="E55" i="34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X54" i="34"/>
  <c r="Q54" i="34"/>
  <c r="S54" i="34" s="1"/>
  <c r="U54" i="34" s="1"/>
  <c r="M54" i="34"/>
  <c r="J54" i="34"/>
  <c r="E54" i="34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X53" i="34"/>
  <c r="Q53" i="34"/>
  <c r="S53" i="34" s="1"/>
  <c r="U53" i="34" s="1"/>
  <c r="J53" i="34"/>
  <c r="X52" i="34"/>
  <c r="Q52" i="34"/>
  <c r="S52" i="34" s="1"/>
  <c r="U52" i="34" s="1"/>
  <c r="J52" i="34"/>
  <c r="X51" i="34"/>
  <c r="Q51" i="34"/>
  <c r="S51" i="34" s="1"/>
  <c r="U51" i="34" s="1"/>
  <c r="J51" i="34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X50" i="34"/>
  <c r="S50" i="34"/>
  <c r="U50" i="34" s="1"/>
  <c r="Q50" i="34"/>
  <c r="J50" i="34"/>
  <c r="X49" i="34"/>
  <c r="Q49" i="34"/>
  <c r="S49" i="34" s="1"/>
  <c r="U49" i="34" s="1"/>
  <c r="J49" i="34"/>
  <c r="X48" i="34"/>
  <c r="Q48" i="34"/>
  <c r="S48" i="34" s="1"/>
  <c r="U48" i="34" s="1"/>
  <c r="J48" i="34"/>
  <c r="E48" i="34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X47" i="34"/>
  <c r="Q47" i="34"/>
  <c r="S47" i="34" s="1"/>
  <c r="U47" i="34" s="1"/>
  <c r="J47" i="34"/>
  <c r="E47" i="34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X46" i="34"/>
  <c r="S46" i="34"/>
  <c r="U46" i="34" s="1"/>
  <c r="Q46" i="34"/>
  <c r="J46" i="34"/>
  <c r="E46" i="34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X45" i="34"/>
  <c r="Q45" i="34"/>
  <c r="S45" i="34" s="1"/>
  <c r="U45" i="34" s="1"/>
  <c r="J45" i="34"/>
  <c r="E45" i="34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X44" i="34"/>
  <c r="Q44" i="34"/>
  <c r="S44" i="34" s="1"/>
  <c r="U44" i="34" s="1"/>
  <c r="J44" i="34"/>
  <c r="X43" i="34"/>
  <c r="Q43" i="34"/>
  <c r="S43" i="34" s="1"/>
  <c r="U43" i="34" s="1"/>
  <c r="J43" i="34"/>
  <c r="X42" i="34"/>
  <c r="Q42" i="34"/>
  <c r="S42" i="34" s="1"/>
  <c r="U42" i="34" s="1"/>
  <c r="J42" i="34"/>
  <c r="E42" i="34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X41" i="34"/>
  <c r="Q41" i="34"/>
  <c r="S41" i="34" s="1"/>
  <c r="U41" i="34" s="1"/>
  <c r="J41" i="34"/>
  <c r="J41" i="8" s="1"/>
  <c r="X40" i="34"/>
  <c r="Q40" i="34"/>
  <c r="S40" i="34" s="1"/>
  <c r="U40" i="34" s="1"/>
  <c r="J40" i="34"/>
  <c r="X39" i="34"/>
  <c r="Q39" i="34"/>
  <c r="S39" i="34" s="1"/>
  <c r="U39" i="34" s="1"/>
  <c r="J39" i="34"/>
  <c r="E39" i="34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X38" i="34"/>
  <c r="Q38" i="34"/>
  <c r="S38" i="34" s="1"/>
  <c r="U38" i="34" s="1"/>
  <c r="J38" i="34"/>
  <c r="E38" i="34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X37" i="34"/>
  <c r="Q37" i="34"/>
  <c r="S37" i="34" s="1"/>
  <c r="U37" i="34" s="1"/>
  <c r="J37" i="34"/>
  <c r="X36" i="34"/>
  <c r="Q36" i="34"/>
  <c r="S36" i="34" s="1"/>
  <c r="U36" i="34" s="1"/>
  <c r="J36" i="34"/>
  <c r="E36" i="34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X35" i="34"/>
  <c r="Q35" i="34"/>
  <c r="S35" i="34" s="1"/>
  <c r="U35" i="34" s="1"/>
  <c r="J35" i="34"/>
  <c r="E35" i="34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X34" i="34"/>
  <c r="Q34" i="34"/>
  <c r="S34" i="34" s="1"/>
  <c r="U34" i="34" s="1"/>
  <c r="J34" i="34"/>
  <c r="X33" i="34"/>
  <c r="Q33" i="34"/>
  <c r="S33" i="34" s="1"/>
  <c r="U33" i="34" s="1"/>
  <c r="J33" i="34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X32" i="34"/>
  <c r="Q32" i="34"/>
  <c r="S32" i="34" s="1"/>
  <c r="U32" i="34" s="1"/>
  <c r="J32" i="34"/>
  <c r="J32" i="8" s="1"/>
  <c r="E32" i="34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X31" i="34"/>
  <c r="Q31" i="34"/>
  <c r="S31" i="34" s="1"/>
  <c r="U31" i="34" s="1"/>
  <c r="J31" i="34"/>
  <c r="E31" i="34"/>
  <c r="G31" i="34" s="1"/>
  <c r="C31" i="35" s="1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X30" i="34"/>
  <c r="Q30" i="34"/>
  <c r="S30" i="34" s="1"/>
  <c r="U30" i="34" s="1"/>
  <c r="J30" i="34"/>
  <c r="E30" i="34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X29" i="34"/>
  <c r="Q29" i="34"/>
  <c r="S29" i="34" s="1"/>
  <c r="U29" i="34" s="1"/>
  <c r="J29" i="34"/>
  <c r="J29" i="8" s="1"/>
  <c r="X28" i="34"/>
  <c r="Q28" i="34"/>
  <c r="S28" i="34" s="1"/>
  <c r="U28" i="34" s="1"/>
  <c r="J28" i="34"/>
  <c r="X27" i="34"/>
  <c r="Q27" i="34"/>
  <c r="S27" i="34" s="1"/>
  <c r="U27" i="34" s="1"/>
  <c r="J27" i="34"/>
  <c r="X26" i="34"/>
  <c r="Q26" i="34"/>
  <c r="S26" i="34" s="1"/>
  <c r="U26" i="34" s="1"/>
  <c r="J26" i="34"/>
  <c r="E26" i="34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X25" i="34"/>
  <c r="Q25" i="34"/>
  <c r="S25" i="34" s="1"/>
  <c r="U25" i="34" s="1"/>
  <c r="M25" i="34"/>
  <c r="J25" i="34"/>
  <c r="J25" i="8" s="1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X24" i="34"/>
  <c r="Q24" i="34"/>
  <c r="S24" i="34" s="1"/>
  <c r="U24" i="34" s="1"/>
  <c r="J24" i="34"/>
  <c r="E24" i="34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X23" i="34"/>
  <c r="Q23" i="34"/>
  <c r="S23" i="34" s="1"/>
  <c r="U23" i="34" s="1"/>
  <c r="J23" i="34"/>
  <c r="E23" i="34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X22" i="34"/>
  <c r="Q22" i="34"/>
  <c r="S22" i="34" s="1"/>
  <c r="U22" i="34" s="1"/>
  <c r="J22" i="34"/>
  <c r="E22" i="34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X21" i="34"/>
  <c r="Q21" i="34"/>
  <c r="S21" i="34" s="1"/>
  <c r="U21" i="34" s="1"/>
  <c r="J21" i="34"/>
  <c r="X20" i="34"/>
  <c r="Q20" i="34"/>
  <c r="S20" i="34" s="1"/>
  <c r="U20" i="34" s="1"/>
  <c r="J20" i="34"/>
  <c r="X19" i="34"/>
  <c r="Q19" i="34"/>
  <c r="S19" i="34" s="1"/>
  <c r="U19" i="34" s="1"/>
  <c r="J19" i="34"/>
  <c r="E19" i="34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X18" i="34"/>
  <c r="Q18" i="34"/>
  <c r="S18" i="34" s="1"/>
  <c r="U18" i="34" s="1"/>
  <c r="J18" i="34"/>
  <c r="X17" i="34"/>
  <c r="Q17" i="34"/>
  <c r="S17" i="34" s="1"/>
  <c r="U17" i="34" s="1"/>
  <c r="J17" i="34"/>
  <c r="E17" i="34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X16" i="34"/>
  <c r="Q16" i="34"/>
  <c r="S16" i="34" s="1"/>
  <c r="U16" i="34" s="1"/>
  <c r="J16" i="34"/>
  <c r="X15" i="34"/>
  <c r="Q15" i="34"/>
  <c r="S15" i="34" s="1"/>
  <c r="U15" i="34" s="1"/>
  <c r="J15" i="34"/>
  <c r="E15" i="34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X14" i="34"/>
  <c r="Q14" i="34"/>
  <c r="S14" i="34" s="1"/>
  <c r="U14" i="34" s="1"/>
  <c r="J14" i="34"/>
  <c r="E14" i="34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X13" i="34"/>
  <c r="Q13" i="34"/>
  <c r="S13" i="34" s="1"/>
  <c r="U13" i="34" s="1"/>
  <c r="J13" i="34"/>
  <c r="X12" i="34"/>
  <c r="Q12" i="34"/>
  <c r="S12" i="34" s="1"/>
  <c r="U12" i="34" s="1"/>
  <c r="J12" i="34"/>
  <c r="X11" i="34"/>
  <c r="Q11" i="34"/>
  <c r="S11" i="34" s="1"/>
  <c r="U11" i="34" s="1"/>
  <c r="J11" i="34"/>
  <c r="E11" i="34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X10" i="34"/>
  <c r="Q10" i="34"/>
  <c r="S10" i="34" s="1"/>
  <c r="U10" i="34" s="1"/>
  <c r="J10" i="34"/>
  <c r="X9" i="34"/>
  <c r="Q9" i="34"/>
  <c r="S9" i="34" s="1"/>
  <c r="U9" i="34" s="1"/>
  <c r="J9" i="34"/>
  <c r="X8" i="34"/>
  <c r="Q8" i="34"/>
  <c r="S8" i="34" s="1"/>
  <c r="U8" i="34" s="1"/>
  <c r="J8" i="34"/>
  <c r="E8" i="34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X7" i="34"/>
  <c r="Q7" i="34"/>
  <c r="S7" i="34" s="1"/>
  <c r="U7" i="34" s="1"/>
  <c r="J7" i="34"/>
  <c r="E7" i="34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X6" i="34"/>
  <c r="Q6" i="34"/>
  <c r="S6" i="34" s="1"/>
  <c r="U6" i="34" s="1"/>
  <c r="J6" i="34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X5" i="34"/>
  <c r="Q5" i="34"/>
  <c r="S5" i="34" s="1"/>
  <c r="U5" i="34" s="1"/>
  <c r="J5" i="8" l="1"/>
  <c r="R6" i="8"/>
  <c r="K219" i="35"/>
  <c r="M194" i="34"/>
  <c r="R5" i="8"/>
  <c r="K219" i="34"/>
  <c r="X107" i="37"/>
  <c r="J206" i="37" s="1"/>
  <c r="X107" i="34"/>
  <c r="J206" i="34" s="1"/>
  <c r="J80" i="8"/>
  <c r="J159" i="8"/>
  <c r="M32" i="34"/>
  <c r="J54" i="8"/>
  <c r="J179" i="8"/>
  <c r="J68" i="8"/>
  <c r="J126" i="8"/>
  <c r="R8" i="8"/>
  <c r="K219" i="37"/>
  <c r="R7" i="8"/>
  <c r="K219" i="36"/>
  <c r="K213" i="64"/>
  <c r="K216" i="64" s="1"/>
  <c r="M35" i="8"/>
  <c r="S35" i="8" s="1"/>
  <c r="U35" i="8" s="1"/>
  <c r="K213" i="63"/>
  <c r="K216" i="63" s="1"/>
  <c r="M34" i="8"/>
  <c r="K213" i="62"/>
  <c r="K216" i="62" s="1"/>
  <c r="M33" i="8"/>
  <c r="K213" i="61"/>
  <c r="K215" i="61" s="1"/>
  <c r="M32" i="8"/>
  <c r="S32" i="8" s="1"/>
  <c r="K213" i="60"/>
  <c r="K215" i="60" s="1"/>
  <c r="M31" i="8"/>
  <c r="K213" i="59"/>
  <c r="K216" i="59" s="1"/>
  <c r="M30" i="8"/>
  <c r="K213" i="58"/>
  <c r="M29" i="8"/>
  <c r="K213" i="57"/>
  <c r="K215" i="57" s="1"/>
  <c r="M28" i="8"/>
  <c r="K213" i="56"/>
  <c r="K215" i="56" s="1"/>
  <c r="M27" i="8"/>
  <c r="S27" i="8" s="1"/>
  <c r="K213" i="55"/>
  <c r="K215" i="55" s="1"/>
  <c r="M26" i="8"/>
  <c r="K213" i="54"/>
  <c r="M25" i="8"/>
  <c r="K213" i="53"/>
  <c r="K215" i="53" s="1"/>
  <c r="M24" i="8"/>
  <c r="K213" i="52"/>
  <c r="M23" i="8"/>
  <c r="S23" i="8" s="1"/>
  <c r="K213" i="51"/>
  <c r="K216" i="51" s="1"/>
  <c r="M22" i="8"/>
  <c r="K213" i="50"/>
  <c r="K216" i="50" s="1"/>
  <c r="M21" i="8"/>
  <c r="K213" i="49"/>
  <c r="K215" i="49" s="1"/>
  <c r="K218" i="49" s="1"/>
  <c r="M20" i="8"/>
  <c r="K213" i="48"/>
  <c r="K215" i="48" s="1"/>
  <c r="K218" i="48" s="1"/>
  <c r="M19" i="8"/>
  <c r="K213" i="47"/>
  <c r="K216" i="47" s="1"/>
  <c r="M18" i="8"/>
  <c r="K213" i="46"/>
  <c r="K216" i="46" s="1"/>
  <c r="M17" i="8"/>
  <c r="K213" i="45"/>
  <c r="M16" i="8"/>
  <c r="K213" i="44"/>
  <c r="K215" i="44" s="1"/>
  <c r="K218" i="44" s="1"/>
  <c r="M15" i="8"/>
  <c r="K213" i="43"/>
  <c r="K216" i="43" s="1"/>
  <c r="M14" i="8"/>
  <c r="K213" i="42"/>
  <c r="K216" i="42" s="1"/>
  <c r="M13" i="8"/>
  <c r="K213" i="41"/>
  <c r="K215" i="41" s="1"/>
  <c r="K218" i="41" s="1"/>
  <c r="M12" i="8"/>
  <c r="K213" i="40"/>
  <c r="K216" i="40" s="1"/>
  <c r="M11" i="8"/>
  <c r="K213" i="39"/>
  <c r="K216" i="39" s="1"/>
  <c r="M10" i="8"/>
  <c r="K213" i="38"/>
  <c r="K215" i="38" s="1"/>
  <c r="K218" i="38" s="1"/>
  <c r="M9" i="8"/>
  <c r="J72" i="8"/>
  <c r="J111" i="8"/>
  <c r="J48" i="8"/>
  <c r="J60" i="8"/>
  <c r="J86" i="8"/>
  <c r="J198" i="8"/>
  <c r="M134" i="34"/>
  <c r="J134" i="8"/>
  <c r="M151" i="34"/>
  <c r="J151" i="8"/>
  <c r="M60" i="34"/>
  <c r="M105" i="34"/>
  <c r="J105" i="8"/>
  <c r="M109" i="34"/>
  <c r="J109" i="8"/>
  <c r="M113" i="34"/>
  <c r="J113" i="8"/>
  <c r="M118" i="34"/>
  <c r="J118" i="8"/>
  <c r="M130" i="34"/>
  <c r="J130" i="8"/>
  <c r="M7" i="34"/>
  <c r="J7" i="8"/>
  <c r="M6" i="34"/>
  <c r="J6" i="8"/>
  <c r="M55" i="34"/>
  <c r="J55" i="8"/>
  <c r="M59" i="34"/>
  <c r="J59" i="8"/>
  <c r="M63" i="34"/>
  <c r="J63" i="8"/>
  <c r="M65" i="34"/>
  <c r="J65" i="8"/>
  <c r="M67" i="34"/>
  <c r="J67" i="8"/>
  <c r="M69" i="34"/>
  <c r="J69" i="8"/>
  <c r="M71" i="34"/>
  <c r="J71" i="8"/>
  <c r="M100" i="34"/>
  <c r="J100" i="8"/>
  <c r="M102" i="34"/>
  <c r="J102" i="8"/>
  <c r="M154" i="34"/>
  <c r="J154" i="8"/>
  <c r="M186" i="34"/>
  <c r="J186" i="8"/>
  <c r="M203" i="34"/>
  <c r="J203" i="8"/>
  <c r="M27" i="34"/>
  <c r="J27" i="8"/>
  <c r="M70" i="34"/>
  <c r="J70" i="8"/>
  <c r="M93" i="34"/>
  <c r="J93" i="8"/>
  <c r="M10" i="34"/>
  <c r="J10" i="8"/>
  <c r="M12" i="34"/>
  <c r="J12" i="8"/>
  <c r="M16" i="34"/>
  <c r="J16" i="8"/>
  <c r="M18" i="34"/>
  <c r="J18" i="8"/>
  <c r="M92" i="34"/>
  <c r="J92" i="8"/>
  <c r="M132" i="34"/>
  <c r="J132" i="8"/>
  <c r="M34" i="34"/>
  <c r="J34" i="8"/>
  <c r="M38" i="34"/>
  <c r="J38" i="8"/>
  <c r="M40" i="34"/>
  <c r="J40" i="8"/>
  <c r="M42" i="34"/>
  <c r="J42" i="8"/>
  <c r="M73" i="34"/>
  <c r="M77" i="34"/>
  <c r="J77" i="8"/>
  <c r="M79" i="34"/>
  <c r="J79" i="8"/>
  <c r="M94" i="34"/>
  <c r="J94" i="8"/>
  <c r="M98" i="34"/>
  <c r="J98" i="8"/>
  <c r="M104" i="34"/>
  <c r="J104" i="8"/>
  <c r="M107" i="34"/>
  <c r="J107" i="8"/>
  <c r="M111" i="34"/>
  <c r="M116" i="34"/>
  <c r="J116" i="8"/>
  <c r="M124" i="34"/>
  <c r="J124" i="8"/>
  <c r="M128" i="34"/>
  <c r="J128" i="8"/>
  <c r="M133" i="34"/>
  <c r="J133" i="8"/>
  <c r="M137" i="34"/>
  <c r="J137" i="8"/>
  <c r="M150" i="34"/>
  <c r="J150" i="8"/>
  <c r="M163" i="34"/>
  <c r="J163" i="8"/>
  <c r="M168" i="34"/>
  <c r="J168" i="8"/>
  <c r="M178" i="34"/>
  <c r="J178" i="8"/>
  <c r="M182" i="34"/>
  <c r="M191" i="34"/>
  <c r="J191" i="8"/>
  <c r="M204" i="34"/>
  <c r="J204" i="8"/>
  <c r="M31" i="34"/>
  <c r="J31" i="8"/>
  <c r="M87" i="34"/>
  <c r="J87" i="8"/>
  <c r="M45" i="34"/>
  <c r="J45" i="8"/>
  <c r="M44" i="34"/>
  <c r="J44" i="8"/>
  <c r="M46" i="34"/>
  <c r="J46" i="8"/>
  <c r="M115" i="34"/>
  <c r="J115" i="8"/>
  <c r="M120" i="34"/>
  <c r="J120" i="8"/>
  <c r="M141" i="34"/>
  <c r="J141" i="8"/>
  <c r="M145" i="34"/>
  <c r="J145" i="8"/>
  <c r="M173" i="34"/>
  <c r="J173" i="8"/>
  <c r="M8" i="34"/>
  <c r="J8" i="8"/>
  <c r="M21" i="34"/>
  <c r="J21" i="8"/>
  <c r="M23" i="34"/>
  <c r="J23" i="8"/>
  <c r="M29" i="34"/>
  <c r="M36" i="34"/>
  <c r="J36" i="8"/>
  <c r="M48" i="34"/>
  <c r="M50" i="34"/>
  <c r="J50" i="8"/>
  <c r="M52" i="34"/>
  <c r="J52" i="8"/>
  <c r="M75" i="34"/>
  <c r="J75" i="8"/>
  <c r="M81" i="34"/>
  <c r="J81" i="8"/>
  <c r="M85" i="34"/>
  <c r="J85" i="8"/>
  <c r="M96" i="34"/>
  <c r="J96" i="8"/>
  <c r="M117" i="34"/>
  <c r="J117" i="8"/>
  <c r="M121" i="34"/>
  <c r="J121" i="8"/>
  <c r="M125" i="34"/>
  <c r="J125" i="8"/>
  <c r="M129" i="34"/>
  <c r="J129" i="8"/>
  <c r="M142" i="34"/>
  <c r="J142" i="8"/>
  <c r="M146" i="34"/>
  <c r="J146" i="8"/>
  <c r="M155" i="34"/>
  <c r="J155" i="8"/>
  <c r="M159" i="34"/>
  <c r="M164" i="34"/>
  <c r="J164" i="8"/>
  <c r="M169" i="34"/>
  <c r="J169" i="8"/>
  <c r="M174" i="34"/>
  <c r="J174" i="8"/>
  <c r="M187" i="34"/>
  <c r="J187" i="8"/>
  <c r="M195" i="34"/>
  <c r="J195" i="8"/>
  <c r="M199" i="34"/>
  <c r="J199" i="8"/>
  <c r="M183" i="34"/>
  <c r="J183" i="8"/>
  <c r="M188" i="34"/>
  <c r="J188" i="8"/>
  <c r="M192" i="34"/>
  <c r="J192" i="8"/>
  <c r="M15" i="34"/>
  <c r="J15" i="8"/>
  <c r="M89" i="34"/>
  <c r="J89" i="8"/>
  <c r="M156" i="34"/>
  <c r="J156" i="8"/>
  <c r="M66" i="34"/>
  <c r="J66" i="8"/>
  <c r="M138" i="34"/>
  <c r="M143" i="34"/>
  <c r="J143" i="8"/>
  <c r="M147" i="34"/>
  <c r="J147" i="8"/>
  <c r="M160" i="34"/>
  <c r="J160" i="8"/>
  <c r="M170" i="34"/>
  <c r="J170" i="8"/>
  <c r="M175" i="34"/>
  <c r="J175" i="8"/>
  <c r="M196" i="34"/>
  <c r="J196" i="8"/>
  <c r="M200" i="34"/>
  <c r="J200" i="8"/>
  <c r="M58" i="34"/>
  <c r="J58" i="8"/>
  <c r="M108" i="34"/>
  <c r="J108" i="8"/>
  <c r="M112" i="34"/>
  <c r="J112" i="8"/>
  <c r="M165" i="34"/>
  <c r="J165" i="8"/>
  <c r="M56" i="34"/>
  <c r="J56" i="8"/>
  <c r="M83" i="34"/>
  <c r="J83" i="8"/>
  <c r="M91" i="34"/>
  <c r="J91" i="8"/>
  <c r="M101" i="34"/>
  <c r="J101" i="8"/>
  <c r="M35" i="34"/>
  <c r="J35" i="8"/>
  <c r="M37" i="34"/>
  <c r="J37" i="8"/>
  <c r="M39" i="34"/>
  <c r="J39" i="8"/>
  <c r="M41" i="34"/>
  <c r="M43" i="34"/>
  <c r="J43" i="8"/>
  <c r="M47" i="34"/>
  <c r="J47" i="8"/>
  <c r="M49" i="34"/>
  <c r="J49" i="8"/>
  <c r="M78" i="34"/>
  <c r="J78" i="8"/>
  <c r="M122" i="34"/>
  <c r="M126" i="34"/>
  <c r="M152" i="34"/>
  <c r="J152" i="8"/>
  <c r="M157" i="34"/>
  <c r="J157" i="8"/>
  <c r="M161" i="34"/>
  <c r="J161" i="8"/>
  <c r="M166" i="34"/>
  <c r="J166" i="8"/>
  <c r="M180" i="34"/>
  <c r="J180" i="8"/>
  <c r="M184" i="34"/>
  <c r="J184" i="8"/>
  <c r="M189" i="34"/>
  <c r="J189" i="8"/>
  <c r="M193" i="34"/>
  <c r="J193" i="8"/>
  <c r="M197" i="34"/>
  <c r="J197" i="8"/>
  <c r="M201" i="34"/>
  <c r="J201" i="8"/>
  <c r="M62" i="34"/>
  <c r="J62" i="8"/>
  <c r="M64" i="34"/>
  <c r="J64" i="8"/>
  <c r="M68" i="34"/>
  <c r="M72" i="34"/>
  <c r="M74" i="34"/>
  <c r="J74" i="8"/>
  <c r="M95" i="34"/>
  <c r="J95" i="8"/>
  <c r="M97" i="34"/>
  <c r="J97" i="8"/>
  <c r="M99" i="34"/>
  <c r="J99" i="8"/>
  <c r="M103" i="34"/>
  <c r="J103" i="8"/>
  <c r="M135" i="34"/>
  <c r="J135" i="8"/>
  <c r="M22" i="34"/>
  <c r="J22" i="8"/>
  <c r="M24" i="34"/>
  <c r="J24" i="8"/>
  <c r="M28" i="34"/>
  <c r="J28" i="8"/>
  <c r="M30" i="34"/>
  <c r="J30" i="8"/>
  <c r="M53" i="34"/>
  <c r="J53" i="8"/>
  <c r="M76" i="34"/>
  <c r="J76" i="8"/>
  <c r="M80" i="34"/>
  <c r="M110" i="34"/>
  <c r="J110" i="8"/>
  <c r="M114" i="34"/>
  <c r="J114" i="8"/>
  <c r="M119" i="34"/>
  <c r="J119" i="8"/>
  <c r="M131" i="34"/>
  <c r="J131" i="8"/>
  <c r="M139" i="34"/>
  <c r="J139" i="8"/>
  <c r="M144" i="34"/>
  <c r="J144" i="8"/>
  <c r="M148" i="34"/>
  <c r="J148" i="8"/>
  <c r="M153" i="34"/>
  <c r="J153" i="8"/>
  <c r="M171" i="34"/>
  <c r="J171" i="8"/>
  <c r="M176" i="34"/>
  <c r="J176" i="8"/>
  <c r="M181" i="34"/>
  <c r="J181" i="8"/>
  <c r="M185" i="34"/>
  <c r="J185" i="8"/>
  <c r="M202" i="34"/>
  <c r="J202" i="8"/>
  <c r="M13" i="34"/>
  <c r="J13" i="8"/>
  <c r="M9" i="34"/>
  <c r="J9" i="8"/>
  <c r="M11" i="34"/>
  <c r="J11" i="8"/>
  <c r="M17" i="34"/>
  <c r="J17" i="8"/>
  <c r="M19" i="34"/>
  <c r="J19" i="8"/>
  <c r="M33" i="34"/>
  <c r="J33" i="8"/>
  <c r="M14" i="34"/>
  <c r="J14" i="8"/>
  <c r="M20" i="34"/>
  <c r="J20" i="8"/>
  <c r="M26" i="34"/>
  <c r="J26" i="8"/>
  <c r="M51" i="34"/>
  <c r="J51" i="8"/>
  <c r="M57" i="34"/>
  <c r="J57" i="8"/>
  <c r="M61" i="34"/>
  <c r="J61" i="8"/>
  <c r="M82" i="34"/>
  <c r="J82" i="8"/>
  <c r="M84" i="34"/>
  <c r="J84" i="8"/>
  <c r="M86" i="34"/>
  <c r="M88" i="34"/>
  <c r="J88" i="8"/>
  <c r="M90" i="34"/>
  <c r="J90" i="8"/>
  <c r="M106" i="34"/>
  <c r="J106" i="8"/>
  <c r="M123" i="34"/>
  <c r="J123" i="8"/>
  <c r="M127" i="34"/>
  <c r="J127" i="8"/>
  <c r="M136" i="34"/>
  <c r="J136" i="8"/>
  <c r="M140" i="34"/>
  <c r="J140" i="8"/>
  <c r="M149" i="34"/>
  <c r="J149" i="8"/>
  <c r="M158" i="34"/>
  <c r="J158" i="8"/>
  <c r="M162" i="34"/>
  <c r="J162" i="8"/>
  <c r="M167" i="34"/>
  <c r="J167" i="8"/>
  <c r="M172" i="34"/>
  <c r="J172" i="8"/>
  <c r="M177" i="34"/>
  <c r="J177" i="8"/>
  <c r="M190" i="34"/>
  <c r="J190" i="8"/>
  <c r="K215" i="62"/>
  <c r="K216" i="58"/>
  <c r="K215" i="58"/>
  <c r="K216" i="54"/>
  <c r="K215" i="54"/>
  <c r="K216" i="52"/>
  <c r="K215" i="52"/>
  <c r="K218" i="52" s="1"/>
  <c r="K216" i="49"/>
  <c r="K216" i="45"/>
  <c r="K215" i="45"/>
  <c r="K218" i="45" s="1"/>
  <c r="K216" i="38"/>
  <c r="K207" i="37"/>
  <c r="M5" i="37"/>
  <c r="K207" i="36"/>
  <c r="K213" i="36" s="1"/>
  <c r="M5" i="36"/>
  <c r="X107" i="35"/>
  <c r="J206" i="35" s="1"/>
  <c r="K207" i="35"/>
  <c r="K207" i="34"/>
  <c r="M5" i="34"/>
  <c r="S30" i="8"/>
  <c r="O36" i="8"/>
  <c r="K215" i="59" l="1"/>
  <c r="K216" i="48"/>
  <c r="K216" i="44"/>
  <c r="K216" i="41"/>
  <c r="K215" i="64"/>
  <c r="K215" i="63"/>
  <c r="K216" i="61"/>
  <c r="K216" i="60"/>
  <c r="K216" i="57"/>
  <c r="K216" i="56"/>
  <c r="K216" i="55"/>
  <c r="K216" i="53"/>
  <c r="K215" i="51"/>
  <c r="K218" i="51" s="1"/>
  <c r="K215" i="50"/>
  <c r="K218" i="50" s="1"/>
  <c r="K215" i="47"/>
  <c r="K218" i="47" s="1"/>
  <c r="K215" i="46"/>
  <c r="K218" i="46" s="1"/>
  <c r="K215" i="43"/>
  <c r="K218" i="43" s="1"/>
  <c r="K215" i="42"/>
  <c r="K218" i="42" s="1"/>
  <c r="K215" i="40"/>
  <c r="K218" i="40" s="1"/>
  <c r="K215" i="39"/>
  <c r="K218" i="39" s="1"/>
  <c r="K213" i="37"/>
  <c r="K216" i="37" s="1"/>
  <c r="M8" i="8"/>
  <c r="K216" i="36"/>
  <c r="M7" i="8"/>
  <c r="K213" i="35"/>
  <c r="K215" i="35" s="1"/>
  <c r="K218" i="35" s="1"/>
  <c r="M6" i="8"/>
  <c r="K213" i="34"/>
  <c r="K216" i="34" s="1"/>
  <c r="M5" i="8"/>
  <c r="S5" i="8" s="1"/>
  <c r="S31" i="8"/>
  <c r="S34" i="8"/>
  <c r="S28" i="8"/>
  <c r="S33" i="8"/>
  <c r="S25" i="8"/>
  <c r="S29" i="8"/>
  <c r="P36" i="8"/>
  <c r="F208" i="8" s="1"/>
  <c r="S14" i="8"/>
  <c r="S21" i="8"/>
  <c r="S24" i="8"/>
  <c r="S26" i="8"/>
  <c r="S12" i="8"/>
  <c r="S16" i="8"/>
  <c r="S13" i="8"/>
  <c r="S15" i="8"/>
  <c r="S20" i="8"/>
  <c r="S18" i="8"/>
  <c r="S17" i="8"/>
  <c r="T36" i="8"/>
  <c r="K215" i="37" l="1"/>
  <c r="K218" i="37" s="1"/>
  <c r="K215" i="36"/>
  <c r="K218" i="36" s="1"/>
  <c r="K216" i="35"/>
  <c r="K215" i="34"/>
  <c r="K218" i="34" s="1"/>
  <c r="S19" i="8"/>
  <c r="S22" i="8"/>
  <c r="U22" i="8" s="1"/>
  <c r="S11" i="8"/>
  <c r="U15" i="8"/>
  <c r="J213" i="8"/>
  <c r="J209" i="8"/>
  <c r="U14" i="8"/>
  <c r="U12" i="8"/>
  <c r="N36" i="8"/>
  <c r="E176" i="8"/>
  <c r="E202" i="8"/>
  <c r="Q36" i="8"/>
  <c r="R36" i="8"/>
  <c r="E203" i="8"/>
  <c r="E195" i="8"/>
  <c r="E186" i="8"/>
  <c r="E184" i="8"/>
  <c r="E175" i="8"/>
  <c r="E172" i="8"/>
  <c r="E164" i="8"/>
  <c r="E163" i="8"/>
  <c r="E143" i="8"/>
  <c r="E140" i="8"/>
  <c r="E132" i="8"/>
  <c r="E131" i="8"/>
  <c r="E130" i="8"/>
  <c r="E122" i="8"/>
  <c r="E120" i="8"/>
  <c r="E112" i="8"/>
  <c r="E110" i="8"/>
  <c r="E101" i="8"/>
  <c r="E96" i="8"/>
  <c r="E92" i="8"/>
  <c r="E90" i="8"/>
  <c r="E84" i="8"/>
  <c r="E81" i="8"/>
  <c r="E76" i="8"/>
  <c r="E68" i="8"/>
  <c r="E67" i="8"/>
  <c r="E66" i="8"/>
  <c r="E65" i="8"/>
  <c r="E59" i="8"/>
  <c r="E52" i="8"/>
  <c r="E50" i="8"/>
  <c r="E44" i="8"/>
  <c r="E36" i="8"/>
  <c r="E35" i="8"/>
  <c r="E28" i="8"/>
  <c r="E27" i="8"/>
  <c r="E26" i="8"/>
  <c r="E25" i="8"/>
  <c r="E23" i="8"/>
  <c r="E19" i="8"/>
  <c r="E18" i="8"/>
  <c r="E11" i="8"/>
  <c r="E6" i="8"/>
  <c r="E71" i="8" l="1"/>
  <c r="E79" i="8"/>
  <c r="E42" i="8"/>
  <c r="E88" i="8"/>
  <c r="E70" i="8"/>
  <c r="E74" i="8"/>
  <c r="E154" i="8"/>
  <c r="E162" i="8"/>
  <c r="E193" i="8"/>
  <c r="E98" i="8"/>
  <c r="E8" i="8"/>
  <c r="E194" i="8"/>
  <c r="E49" i="8"/>
  <c r="E55" i="8"/>
  <c r="E57" i="8"/>
  <c r="S9" i="8"/>
  <c r="U30" i="8"/>
  <c r="K208" i="8"/>
  <c r="U33" i="8"/>
  <c r="E48" i="8"/>
  <c r="E7" i="8"/>
  <c r="E167" i="8"/>
  <c r="E9" i="8"/>
  <c r="E152" i="8"/>
  <c r="E121" i="8"/>
  <c r="E199" i="8"/>
  <c r="E80" i="8"/>
  <c r="E82" i="8"/>
  <c r="E137" i="8"/>
  <c r="E145" i="8"/>
  <c r="E153" i="8"/>
  <c r="E144" i="8"/>
  <c r="E17" i="8"/>
  <c r="E33" i="8"/>
  <c r="E39" i="8"/>
  <c r="E41" i="8"/>
  <c r="E47" i="8"/>
  <c r="E192" i="8"/>
  <c r="E196" i="8"/>
  <c r="E200" i="8"/>
  <c r="E56" i="8"/>
  <c r="E104" i="8"/>
  <c r="E177" i="8"/>
  <c r="E185" i="8"/>
  <c r="E16" i="8"/>
  <c r="E24" i="8"/>
  <c r="E111" i="8"/>
  <c r="E119" i="8"/>
  <c r="E127" i="8"/>
  <c r="E15" i="8"/>
  <c r="E168" i="8"/>
  <c r="E31" i="8"/>
  <c r="E73" i="8"/>
  <c r="E87" i="8"/>
  <c r="E89" i="8"/>
  <c r="E95" i="8"/>
  <c r="E97" i="8"/>
  <c r="E159" i="8"/>
  <c r="E191" i="8"/>
  <c r="E169" i="8"/>
  <c r="E136" i="8"/>
  <c r="E113" i="8"/>
  <c r="E64" i="8"/>
  <c r="E58" i="8"/>
  <c r="E100" i="8"/>
  <c r="E51" i="8"/>
  <c r="E53" i="8"/>
  <c r="E91" i="8"/>
  <c r="E107" i="8"/>
  <c r="E115" i="8"/>
  <c r="E123" i="8"/>
  <c r="E141" i="8"/>
  <c r="E37" i="8"/>
  <c r="E43" i="8"/>
  <c r="E62" i="8"/>
  <c r="E102" i="8"/>
  <c r="E138" i="8"/>
  <c r="E142" i="8"/>
  <c r="E146" i="8"/>
  <c r="E150" i="8"/>
  <c r="E188" i="8"/>
  <c r="E30" i="8"/>
  <c r="E99" i="8"/>
  <c r="E139" i="8"/>
  <c r="E147" i="8"/>
  <c r="E166" i="8"/>
  <c r="E170" i="8"/>
  <c r="E189" i="8"/>
  <c r="E129" i="8"/>
  <c r="E40" i="8"/>
  <c r="E5" i="8"/>
  <c r="E78" i="8"/>
  <c r="E93" i="8"/>
  <c r="E158" i="8"/>
  <c r="E181" i="8"/>
  <c r="E63" i="8"/>
  <c r="E13" i="8"/>
  <c r="E21" i="8"/>
  <c r="E61" i="8"/>
  <c r="E108" i="8"/>
  <c r="E116" i="8"/>
  <c r="E124" i="8"/>
  <c r="E155" i="8"/>
  <c r="E174" i="8"/>
  <c r="E178" i="8"/>
  <c r="E182" i="8"/>
  <c r="E197" i="8"/>
  <c r="E183" i="8"/>
  <c r="E151" i="8"/>
  <c r="E128" i="8"/>
  <c r="E72" i="8"/>
  <c r="E201" i="8"/>
  <c r="E135" i="8"/>
  <c r="E34" i="8"/>
  <c r="E38" i="8"/>
  <c r="E46" i="8"/>
  <c r="E148" i="8"/>
  <c r="E171" i="8"/>
  <c r="E190" i="8"/>
  <c r="E105" i="8"/>
  <c r="E83" i="8"/>
  <c r="E187" i="8"/>
  <c r="E12" i="8"/>
  <c r="E45" i="8"/>
  <c r="E54" i="8"/>
  <c r="E69" i="8"/>
  <c r="E75" i="8"/>
  <c r="E77" i="8"/>
  <c r="E86" i="8"/>
  <c r="E94" i="8"/>
  <c r="E117" i="8"/>
  <c r="E125" i="8"/>
  <c r="E133" i="8"/>
  <c r="E156" i="8"/>
  <c r="E179" i="8"/>
  <c r="E161" i="8"/>
  <c r="E32" i="8"/>
  <c r="E160" i="8"/>
  <c r="E103" i="8"/>
  <c r="E10" i="8"/>
  <c r="E149" i="8"/>
  <c r="E20" i="8"/>
  <c r="E22" i="8"/>
  <c r="E60" i="8"/>
  <c r="E85" i="8"/>
  <c r="E106" i="8"/>
  <c r="E114" i="8"/>
  <c r="E118" i="8"/>
  <c r="E126" i="8"/>
  <c r="E134" i="8"/>
  <c r="E157" i="8"/>
  <c r="E180" i="8"/>
  <c r="S6" i="8"/>
  <c r="S7" i="8"/>
  <c r="E198" i="8"/>
  <c r="E14" i="8"/>
  <c r="K210" i="8"/>
  <c r="D209" i="8" s="1"/>
  <c r="B210" i="8" s="1"/>
  <c r="E173" i="8"/>
  <c r="E165" i="8"/>
  <c r="E109" i="8"/>
  <c r="E29" i="8"/>
  <c r="S10" i="8"/>
  <c r="U13" i="8"/>
  <c r="U16" i="8"/>
  <c r="U24" i="8"/>
  <c r="U21" i="8"/>
  <c r="U25" i="8"/>
  <c r="U29" i="8"/>
  <c r="U32" i="8"/>
  <c r="U19" i="8"/>
  <c r="U27" i="8"/>
  <c r="U18" i="8"/>
  <c r="U26" i="8"/>
  <c r="U34" i="8"/>
  <c r="U23" i="8"/>
  <c r="U31" i="8"/>
  <c r="U20" i="8"/>
  <c r="U28" i="8"/>
  <c r="U17" i="8"/>
  <c r="F210" i="8"/>
  <c r="S8" i="8"/>
  <c r="S36" i="8" l="1"/>
  <c r="M36" i="8"/>
  <c r="J207" i="8"/>
  <c r="U6" i="8"/>
  <c r="U7" i="8"/>
  <c r="U9" i="8"/>
  <c r="U10" i="8"/>
  <c r="F211" i="8"/>
  <c r="J211" i="8" s="1"/>
  <c r="U8" i="8"/>
  <c r="D208" i="8" l="1"/>
  <c r="D211" i="8" s="1"/>
  <c r="D213" i="8" s="1"/>
  <c r="J210" i="8"/>
  <c r="B208" i="8" s="1"/>
  <c r="B211" i="8" s="1"/>
  <c r="U5" i="8"/>
  <c r="U11" i="8"/>
  <c r="U36" i="8" l="1"/>
  <c r="J212" i="8"/>
  <c r="J2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19088EDA-E64A-4BCA-86A5-9C36A9CB8EEB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2" authorId="0" shapeId="0" xr:uid="{CDCB5C2C-6677-4E82-8376-D79794354EEA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3" authorId="0" shapeId="0" xr:uid="{0CCFC03A-0673-4559-9CD3-6BFBDFE4292E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6" authorId="0" shapeId="0" xr:uid="{48F3A80D-9497-4CE9-8DF3-C560921788C6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7" authorId="0" shapeId="0" xr:uid="{88918FEB-603D-4F83-BA3B-D494C9C023AE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9" authorId="0" shapeId="0" xr:uid="{92009B23-9A6C-427D-BD60-F926D8B920E0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102" authorId="0" shapeId="0" xr:uid="{37984666-4D38-4546-A0E0-A9E3E7409137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1" authorId="0" shapeId="0" xr:uid="{C26D802D-9341-4C13-A5C6-D11E0E3E74ED}">
      <text>
        <r>
          <rPr>
            <b/>
            <sz val="9"/>
            <color indexed="81"/>
            <rFont val="Tahoma"/>
            <family val="2"/>
          </rPr>
          <t>โยกไปลำ2ใหม่</t>
        </r>
      </text>
    </comment>
    <comment ref="F79" authorId="0" shapeId="0" xr:uid="{C86F7A74-9AD2-4925-B7AE-3BD6FFC96C9C}">
      <text>
        <r>
          <rPr>
            <b/>
            <sz val="9"/>
            <color indexed="81"/>
            <rFont val="Tahoma"/>
            <family val="2"/>
          </rPr>
          <t>หาย 1 กล่อง
ปรับตาม 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42" authorId="0" shapeId="0" xr:uid="{62A4F81F-0F94-4E5D-BAA4-681776596FA0}">
      <text>
        <r>
          <rPr>
            <b/>
            <sz val="9"/>
            <color indexed="81"/>
            <rFont val="Tahoma"/>
            <family val="2"/>
          </rPr>
          <t>โยกไปลำ2</t>
        </r>
      </text>
    </comment>
    <comment ref="F143" authorId="0" shapeId="0" xr:uid="{CB325F16-8725-4EB4-AE0B-0DC8DE8ACFEA}">
      <text/>
    </comment>
    <comment ref="F150" authorId="0" shapeId="0" xr:uid="{998853A2-D3FB-4CF4-B6F2-37A387170CD8}">
      <text>
        <r>
          <rPr>
            <b/>
            <sz val="9"/>
            <color indexed="81"/>
            <rFont val="Tahoma"/>
            <family val="2"/>
          </rPr>
          <t>โยกไปลำ2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1" authorId="0" shapeId="0" xr:uid="{AFEFC9A7-3105-474D-A67F-321BC2CEF1CE}">
      <text>
        <r>
          <rPr>
            <b/>
            <sz val="9"/>
            <color indexed="81"/>
            <rFont val="Tahoma"/>
            <family val="2"/>
          </rPr>
          <t>เบิกให้ลูกค้าชิม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5" authorId="0" shapeId="0" xr:uid="{58C01604-A7A8-4DB6-8925-2436762EE9B5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  <comment ref="F38" authorId="0" shapeId="0" xr:uid="{37A7F2D0-F43C-4307-813E-B3AEB944E8D2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  <comment ref="F39" authorId="0" shapeId="0" xr:uid="{650CFB71-697A-4956-8D75-0CF3BD9D1579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</commentList>
</comments>
</file>

<file path=xl/sharedStrings.xml><?xml version="1.0" encoding="utf-8"?>
<sst xmlns="http://schemas.openxmlformats.org/spreadsheetml/2006/main" count="17518" uniqueCount="268">
  <si>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</si>
  <si>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</si>
  <si>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</si>
  <si>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</si>
  <si>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</si>
  <si>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</si>
  <si>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</si>
  <si>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</si>
  <si>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</si>
  <si>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</si>
  <si>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</si>
  <si>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</si>
  <si>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</si>
  <si>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</si>
  <si>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</si>
  <si>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</si>
  <si>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</si>
  <si>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</si>
  <si>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</si>
  <si>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</si>
  <si>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</si>
  <si>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</si>
  <si>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</si>
  <si>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</si>
  <si>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</si>
  <si>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</si>
  <si>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</si>
  <si>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</si>
  <si>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</si>
  <si>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</si>
  <si>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</si>
  <si>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</si>
  <si>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</si>
  <si>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</si>
  <si>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</si>
  <si>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</si>
  <si>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</si>
  <si>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</si>
  <si>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</si>
  <si>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</si>
  <si>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</si>
  <si>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</si>
  <si>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</si>
  <si>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</si>
  <si>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</si>
  <si>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</si>
  <si>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</si>
  <si>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</si>
  <si>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</si>
  <si>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</si>
  <si>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</si>
  <si>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</si>
  <si>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</si>
  <si>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</si>
  <si>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</si>
  <si>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</si>
  <si>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</si>
  <si>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</si>
  <si>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</si>
  <si>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</si>
  <si>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</si>
  <si>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</si>
  <si>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</si>
  <si>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</si>
  <si>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</si>
  <si>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</si>
  <si>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</si>
  <si>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</si>
  <si>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</si>
  <si>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</si>
  <si>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</si>
  <si>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</si>
  <si>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</si>
  <si>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</si>
  <si>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</si>
  <si>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</si>
  <si>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</si>
  <si>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</si>
  <si>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</si>
  <si>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</si>
  <si>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</si>
  <si>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</si>
  <si>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</si>
  <si>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</si>
  <si>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</si>
  <si>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</si>
  <si>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</si>
  <si>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</si>
  <si>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</si>
  <si>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</si>
  <si>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</si>
  <si>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</si>
  <si>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</si>
  <si>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</si>
  <si>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</si>
  <si>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</si>
  <si>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</si>
  <si>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</si>
  <si>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</si>
  <si>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</si>
  <si>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</si>
  <si>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</si>
  <si>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</si>
  <si>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</si>
  <si>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</si>
  <si>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</si>
  <si>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</si>
  <si>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</si>
  <si>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</si>
  <si>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</si>
  <si>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</si>
  <si>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</si>
  <si>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</si>
  <si>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</si>
  <si>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</si>
  <si>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</si>
  <si>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</si>
  <si>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</si>
  <si>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</si>
  <si>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</si>
  <si>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</si>
  <si>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</si>
  <si>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</si>
  <si>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</si>
  <si>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</si>
  <si>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</si>
  <si>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</si>
  <si>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</si>
  <si>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</si>
  <si>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</si>
  <si>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</si>
  <si>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</si>
  <si>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</si>
  <si>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</si>
  <si>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</si>
  <si>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</si>
  <si>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</si>
  <si>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</si>
  <si>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</si>
  <si>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</si>
  <si>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</si>
  <si>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</si>
  <si>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</si>
  <si>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</si>
  <si>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</si>
  <si>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</si>
  <si>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</si>
  <si>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</si>
  <si>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</si>
  <si>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</si>
  <si>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</si>
  <si>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</si>
  <si>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</si>
  <si>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</si>
  <si>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</si>
  <si>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</si>
  <si>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</si>
  <si>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</si>
  <si>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</si>
  <si>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</si>
  <si>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</si>
  <si>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</si>
  <si>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</si>
  <si>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</si>
  <si>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</si>
  <si>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</si>
  <si>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</si>
  <si>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</si>
  <si>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</si>
  <si>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</si>
  <si>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</si>
  <si>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</si>
  <si>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</si>
  <si>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</si>
  <si>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</si>
  <si>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</si>
  <si>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</si>
  <si>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</si>
  <si>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</si>
  <si>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</si>
  <si>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</si>
  <si>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</si>
  <si>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</si>
  <si>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</si>
  <si>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</si>
  <si>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</si>
  <si>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</si>
  <si>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</si>
  <si>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</si>
  <si>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</si>
  <si>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</si>
  <si>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</si>
  <si>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</si>
  <si>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</si>
  <si>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</si>
  <si>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</si>
  <si>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</si>
  <si>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</si>
  <si>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</si>
  <si>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</si>
  <si>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</si>
  <si>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</si>
  <si>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</si>
  <si>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</si>
  <si>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</si>
  <si>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</si>
  <si>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</si>
  <si>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</si>
  <si>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</si>
  <si>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</si>
  <si>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</si>
  <si>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ไทวัสดุ วันที่ 1-31/12/2566</t>
  </si>
  <si>
    <t>ส่วนลดสินค้า SALE</t>
  </si>
  <si>
    <t>ยอดขายสินค้า SALE</t>
  </si>
  <si>
    <t>โบราณ แซนตาคอส</t>
  </si>
  <si>
    <t>ครีมฮอร์นฝอยทอง ใบเตย</t>
  </si>
  <si>
    <t>ครีมฮอร์นฝอยทอง วนิลา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</si>
  <si>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</si>
  <si>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</si>
  <si>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</si>
  <si>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</si>
  <si>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</si>
  <si>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</si>
  <si>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</si>
  <si>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</si>
  <si>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</si>
  <si>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</si>
  <si>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</si>
  <si>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</si>
  <si>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</si>
  <si>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</si>
  <si>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</si>
  <si>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</si>
  <si>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</si>
  <si>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</si>
  <si>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</si>
  <si>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</si>
  <si>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</si>
  <si>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</si>
  <si>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</si>
  <si>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</si>
  <si>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</si>
  <si>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</si>
  <si>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ไทวัสดุ วันที่ 1-31/12/2566</t>
  </si>
  <si>
    <t>เค้กโบราณรวมรส 12 ชิ้น</t>
  </si>
  <si>
    <t>ปังรวมไส้ชิ้น</t>
  </si>
  <si>
    <t>ขนมปังไส้พริกเผาไก่หยอง</t>
  </si>
  <si>
    <t>ขนมปังไส้ฝอยทอง</t>
  </si>
  <si>
    <t>ขนมปังไส้ลูกเกด</t>
  </si>
  <si>
    <t>ขนมปังไส้แยมบลูเบอรรี่</t>
  </si>
  <si>
    <t>ขนมปังไส้แยมสตอเบอร์รี่</t>
  </si>
  <si>
    <t>ขนมปังไส้ลูกเกดฝอยทอง</t>
  </si>
  <si>
    <t>ลำพยา2</t>
  </si>
  <si>
    <t>แถม</t>
  </si>
  <si>
    <t>ลด 50%</t>
  </si>
  <si>
    <t>ยอดขายหักส่วนลด</t>
  </si>
  <si>
    <t>ยอดเงินสด</t>
  </si>
  <si>
    <t>ยอดโอน</t>
  </si>
  <si>
    <t>โปรคู่</t>
  </si>
  <si>
    <t>ลด 50%=1</t>
  </si>
  <si>
    <t>ลด 20%=2</t>
  </si>
  <si>
    <t>สลิปไม่เห็นยอดเงิน</t>
  </si>
  <si>
    <t>แถม1</t>
  </si>
  <si>
    <t>ลด50%</t>
  </si>
  <si>
    <t>ลด50%=1</t>
  </si>
  <si>
    <t>โปร</t>
  </si>
  <si>
    <t>**โอนเพิ่มวันที่ 12</t>
  </si>
  <si>
    <t>ครัฟฟินรูบี้ช็อกโกแลตสตรอเบอร์รี่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</si>
</sst>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1" xfId="1" applyFont="1" applyFill="1" applyBorder="1"/>
    <xf numFmtId="0" fontId="2" fillId="15" borderId="1" xfId="0" applyFont="1" applyFill="1" applyBorder="1"/>
    <xf numFmtId="43" fontId="2" fillId="0" borderId="14" xfId="2" applyFont="1" applyFill="1" applyBorder="1" applyAlignment="1">
      <alignment horizontal="center"/>
    </xf>
    <xf numFmtId="43" fontId="2" fillId="3" borderId="16" xfId="2" applyFont="1" applyFill="1" applyBorder="1"/>
    <xf numFmtId="43" fontId="2" fillId="0" borderId="14" xfId="2" applyFont="1" applyBorder="1" applyAlignment="1">
      <alignment horizontal="center"/>
    </xf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" xfId="2" applyNumberFormat="1" applyFont="1" applyFill="1" applyBorder="1" applyAlignment="1">
      <alignment horizontal="center"/>
    </xf>
    <xf numFmtId="0" fontId="8" fillId="5" borderId="16" xfId="2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17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1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2" xfId="0" applyFon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2" applyFont="1" applyFill="1" applyBorder="1" applyAlignment="1">
      <alignment horizontal="center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522C60E0-1F21-4B82-AAE7-DEC953159AE7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U5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G5">
            <v>13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804-9C6D-406D-8708-10475DCB853B}">
  <sheetPr>
    <tabColor rgb="FFFF0000"/>
    <pageSetUpPr fitToPage="1"/>
  </sheetPr>
  <dimension ref="A1:V217"/>
  <sheetViews>
    <sheetView tabSelected="1" zoomScale="40" zoomScaleNormal="4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37" sqref="V37"/>
    </sheetView>
  </sheetViews>
  <sheetFormatPr defaultColWidth="9" defaultRowHeight="24.6" x14ac:dyDescent="0.65"/>
  <cols>
    <col min="1" max="1" width="15.09765625" style="2" customWidth="1"/>
    <col min="2" max="2" width="34.296875" style="2" customWidth="1"/>
    <col min="3" max="3" width="11.3984375" style="2" customWidth="1"/>
    <col min="4" max="4" width="12.59765625" style="2" customWidth="1"/>
    <col min="5" max="5" width="10.59765625" style="2" customWidth="1"/>
    <col min="6" max="6" width="11.59765625" style="2" customWidth="1"/>
    <col min="7" max="7" width="9.8984375" style="2" customWidth="1"/>
    <col min="8" max="8" width="8.59765625" style="2" customWidth="1"/>
    <col min="9" max="9" width="8.59765625" style="5" customWidth="1"/>
    <col min="10" max="11" width="11.59765625" style="2" customWidth="1"/>
    <col min="12" max="12" width="6.59765625" style="2" customWidth="1"/>
    <col min="13" max="13" width="12.09765625" style="1" customWidth="1"/>
    <col min="14" max="14" width="12" style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3.3984375" style="2" customWidth="1"/>
    <col min="22" max="22" width="10.09765625" style="2" bestFit="1" customWidth="1"/>
    <col min="23" max="16384" width="9" style="2"/>
  </cols>
  <sheetData>
    <row r="1" spans="1:22" x14ac:dyDescent="0.65">
      <c r="A1" s="1"/>
    </row>
    <row r="2" spans="1:22" s="3" customFormat="1" ht="28.8" x14ac:dyDescent="0.75">
      <c r="A2" s="123" t="s">
        <v>243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43"/>
      <c r="O2" s="43"/>
      <c r="P2" s="43"/>
      <c r="Q2" s="43"/>
      <c r="R2" s="43"/>
      <c r="S2" s="43"/>
      <c r="T2" s="43"/>
    </row>
    <row r="3" spans="1:22" s="5" customFormat="1" x14ac:dyDescent="0.65">
      <c r="A3" s="124" t="s">
        <v>1</v>
      </c>
      <c r="B3" s="124" t="s">
        <v>2</v>
      </c>
      <c r="C3" s="126" t="s">
        <v>3</v>
      </c>
      <c r="D3" s="126" t="s">
        <v>4</v>
      </c>
      <c r="E3" s="126" t="s">
        <v>5</v>
      </c>
      <c r="F3" s="44" t="s">
        <v>6</v>
      </c>
      <c r="G3" s="126" t="s">
        <v>7</v>
      </c>
      <c r="H3" s="127" t="s">
        <v>8</v>
      </c>
      <c r="I3" s="127"/>
      <c r="J3" s="127"/>
      <c r="K3" s="126" t="s">
        <v>9</v>
      </c>
      <c r="L3" s="110" t="s">
        <v>217</v>
      </c>
      <c r="M3" s="110" t="s">
        <v>218</v>
      </c>
      <c r="N3" s="110" t="s">
        <v>10</v>
      </c>
      <c r="O3" s="110" t="s">
        <v>219</v>
      </c>
      <c r="P3" s="110" t="s">
        <v>220</v>
      </c>
      <c r="Q3" s="108" t="s">
        <v>221</v>
      </c>
      <c r="R3" s="108" t="s">
        <v>222</v>
      </c>
      <c r="S3" s="108" t="s">
        <v>223</v>
      </c>
      <c r="T3" s="110" t="s">
        <v>224</v>
      </c>
      <c r="U3" s="111" t="s">
        <v>225</v>
      </c>
    </row>
    <row r="4" spans="1:22" s="5" customFormat="1" x14ac:dyDescent="0.65">
      <c r="A4" s="125"/>
      <c r="B4" s="125"/>
      <c r="C4" s="126"/>
      <c r="D4" s="126"/>
      <c r="E4" s="126"/>
      <c r="F4" s="44" t="s">
        <v>11</v>
      </c>
      <c r="G4" s="126"/>
      <c r="H4" s="44" t="s">
        <v>12</v>
      </c>
      <c r="I4" s="45" t="s">
        <v>13</v>
      </c>
      <c r="J4" s="44" t="s">
        <v>14</v>
      </c>
      <c r="K4" s="126"/>
      <c r="L4" s="110"/>
      <c r="M4" s="110"/>
      <c r="N4" s="110"/>
      <c r="O4" s="110"/>
      <c r="P4" s="110"/>
      <c r="Q4" s="109"/>
      <c r="R4" s="109"/>
      <c r="S4" s="109"/>
      <c r="T4" s="110"/>
      <c r="U4" s="112"/>
    </row>
    <row r="5" spans="1:22" x14ac:dyDescent="0.65">
      <c r="A5" s="10">
        <v>1</v>
      </c>
      <c r="B5" s="11" t="s">
        <v>15</v>
      </c>
      <c r="C5" s="46">
        <v>50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10</v>
      </c>
      <c r="E5" s="46">
        <f>+C5+D5</f>
        <v>60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6">
        <v>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10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500</v>
      </c>
      <c r="K5" s="16"/>
      <c r="L5" s="48">
        <v>1</v>
      </c>
      <c r="M5" s="49">
        <f>+'1'!K207</f>
        <v>2055</v>
      </c>
      <c r="N5" s="49">
        <f>+'1'!K212</f>
        <v>140</v>
      </c>
      <c r="O5" s="49">
        <f>+'1'!K210</f>
        <v>0</v>
      </c>
      <c r="P5" s="49">
        <f>+'1'!K208</f>
        <v>15</v>
      </c>
      <c r="Q5" s="49">
        <f>+'1'!K211</f>
        <v>0</v>
      </c>
      <c r="R5" s="49">
        <f>+'1'!K209</f>
        <v>160</v>
      </c>
      <c r="S5" s="49">
        <f t="shared" ref="S5:S24" si="0">+M5-N5-P5-R5-Q5</f>
        <v>1740</v>
      </c>
      <c r="T5" s="49">
        <f>+'1'!K214</f>
        <v>1740</v>
      </c>
      <c r="U5" s="50">
        <f>+T5-S5</f>
        <v>0</v>
      </c>
      <c r="V5" s="73">
        <f>+R5+T5</f>
        <v>1900</v>
      </c>
    </row>
    <row r="6" spans="1:22" x14ac:dyDescent="0.65">
      <c r="A6" s="10">
        <v>2</v>
      </c>
      <c r="B6" s="11" t="s">
        <v>17</v>
      </c>
      <c r="C6" s="46">
        <v>53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20</v>
      </c>
      <c r="E6" s="46">
        <f t="shared" ref="E6:E69" si="1">+C6+D6</f>
        <v>73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v>0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18</v>
      </c>
      <c r="I6" s="16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1800</v>
      </c>
      <c r="K6" s="16"/>
      <c r="L6" s="48">
        <v>2</v>
      </c>
      <c r="M6" s="49">
        <f>+'2'!K207</f>
        <v>920</v>
      </c>
      <c r="N6" s="49">
        <f>+'2'!K212</f>
        <v>0</v>
      </c>
      <c r="O6" s="49">
        <f>+'2'!K210</f>
        <v>0</v>
      </c>
      <c r="P6" s="49">
        <f>+'2'!K208</f>
        <v>15</v>
      </c>
      <c r="Q6" s="49">
        <f>+'2'!K211</f>
        <v>0</v>
      </c>
      <c r="R6" s="49">
        <f>+'2'!K209</f>
        <v>200</v>
      </c>
      <c r="S6" s="49">
        <f t="shared" si="0"/>
        <v>705</v>
      </c>
      <c r="T6" s="49">
        <f>+'2'!K214</f>
        <v>705</v>
      </c>
      <c r="U6" s="50">
        <f t="shared" ref="U6:U35" si="2">+T6-S6</f>
        <v>0</v>
      </c>
      <c r="V6" s="73">
        <f t="shared" ref="V6:V35" si="3">+R6+T6</f>
        <v>905</v>
      </c>
    </row>
    <row r="7" spans="1:22" x14ac:dyDescent="0.65">
      <c r="A7" s="10">
        <v>3</v>
      </c>
      <c r="B7" s="11" t="s">
        <v>18</v>
      </c>
      <c r="C7" s="46"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8">
        <v>3</v>
      </c>
      <c r="M7" s="49">
        <f>+'3'!K207</f>
        <v>2440</v>
      </c>
      <c r="N7" s="49">
        <f>+'3'!K212</f>
        <v>70</v>
      </c>
      <c r="O7" s="49">
        <f>+'3'!K210</f>
        <v>0</v>
      </c>
      <c r="P7" s="49">
        <f>+'3'!K208</f>
        <v>15</v>
      </c>
      <c r="Q7" s="49">
        <f>+'3'!K211</f>
        <v>0</v>
      </c>
      <c r="R7" s="49">
        <f>+'3'!K209</f>
        <v>1080</v>
      </c>
      <c r="S7" s="49">
        <f t="shared" si="0"/>
        <v>1275</v>
      </c>
      <c r="T7" s="49">
        <f>+'3'!K214</f>
        <v>1275</v>
      </c>
      <c r="U7" s="50">
        <f t="shared" si="2"/>
        <v>0</v>
      </c>
      <c r="V7" s="73">
        <f t="shared" si="3"/>
        <v>2355</v>
      </c>
    </row>
    <row r="8" spans="1:22" x14ac:dyDescent="0.65">
      <c r="A8" s="10">
        <v>4</v>
      </c>
      <c r="B8" s="11" t="s">
        <v>19</v>
      </c>
      <c r="C8" s="46"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8">
        <v>4</v>
      </c>
      <c r="M8" s="49">
        <f>+'4'!K207</f>
        <v>910</v>
      </c>
      <c r="N8" s="49">
        <f>+'4'!K212</f>
        <v>0</v>
      </c>
      <c r="O8" s="49">
        <f>+'4'!K210</f>
        <v>0</v>
      </c>
      <c r="P8" s="49">
        <f>+'4'!K208</f>
        <v>15</v>
      </c>
      <c r="Q8" s="49">
        <f>+'4'!K211</f>
        <v>0</v>
      </c>
      <c r="R8" s="49">
        <f>+'4'!K209</f>
        <v>100</v>
      </c>
      <c r="S8" s="49">
        <f t="shared" si="0"/>
        <v>795</v>
      </c>
      <c r="T8" s="49">
        <f>+'4'!K214</f>
        <v>795</v>
      </c>
      <c r="U8" s="50">
        <f t="shared" si="2"/>
        <v>0</v>
      </c>
      <c r="V8" s="73">
        <f t="shared" si="3"/>
        <v>895</v>
      </c>
    </row>
    <row r="9" spans="1:22" x14ac:dyDescent="0.65">
      <c r="A9" s="10">
        <v>5</v>
      </c>
      <c r="B9" s="11" t="s">
        <v>20</v>
      </c>
      <c r="C9" s="46"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8">
        <v>5</v>
      </c>
      <c r="M9" s="49">
        <f>+'5'!K207</f>
        <v>1450</v>
      </c>
      <c r="N9" s="49">
        <f>+'5'!K212</f>
        <v>225</v>
      </c>
      <c r="O9" s="49">
        <f>+'5'!K210</f>
        <v>0</v>
      </c>
      <c r="P9" s="49">
        <f>+'5'!K208</f>
        <v>15</v>
      </c>
      <c r="Q9" s="49">
        <f>+'5'!K211</f>
        <v>0</v>
      </c>
      <c r="R9" s="49">
        <f>+'5'!K209</f>
        <v>375</v>
      </c>
      <c r="S9" s="49">
        <f t="shared" si="0"/>
        <v>835</v>
      </c>
      <c r="T9" s="49">
        <f>+'5'!K214</f>
        <v>835</v>
      </c>
      <c r="U9" s="50">
        <f t="shared" si="2"/>
        <v>0</v>
      </c>
      <c r="V9" s="73">
        <f t="shared" si="3"/>
        <v>1210</v>
      </c>
    </row>
    <row r="10" spans="1:22" x14ac:dyDescent="0.65">
      <c r="A10" s="10">
        <v>6</v>
      </c>
      <c r="B10" s="11" t="s">
        <v>21</v>
      </c>
      <c r="C10" s="46"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8">
        <v>6</v>
      </c>
      <c r="M10" s="49">
        <f>+'6'!K207</f>
        <v>2840</v>
      </c>
      <c r="N10" s="49">
        <f>+'6'!K212</f>
        <v>610</v>
      </c>
      <c r="O10" s="49">
        <f>+'6'!K210</f>
        <v>0</v>
      </c>
      <c r="P10" s="49">
        <f>+'6'!K208</f>
        <v>0</v>
      </c>
      <c r="Q10" s="49">
        <f>+'6'!K211</f>
        <v>0</v>
      </c>
      <c r="R10" s="49">
        <f>+'6'!K209</f>
        <v>880</v>
      </c>
      <c r="S10" s="49">
        <f t="shared" si="0"/>
        <v>1350</v>
      </c>
      <c r="T10" s="49">
        <f>+'6'!K214</f>
        <v>1350</v>
      </c>
      <c r="U10" s="50">
        <f t="shared" si="2"/>
        <v>0</v>
      </c>
      <c r="V10" s="73">
        <f t="shared" si="3"/>
        <v>2230</v>
      </c>
    </row>
    <row r="11" spans="1:22" x14ac:dyDescent="0.65">
      <c r="A11" s="10">
        <v>7</v>
      </c>
      <c r="B11" s="20" t="s">
        <v>22</v>
      </c>
      <c r="C11" s="46"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8">
        <v>7</v>
      </c>
      <c r="M11" s="49">
        <f>+'7'!K207</f>
        <v>320</v>
      </c>
      <c r="N11" s="49">
        <f>+'7'!K212</f>
        <v>0</v>
      </c>
      <c r="O11" s="49">
        <f>+'7'!K210</f>
        <v>0</v>
      </c>
      <c r="P11" s="49">
        <f>+'7'!K208</f>
        <v>0</v>
      </c>
      <c r="Q11" s="49">
        <f>+'7'!K211</f>
        <v>0</v>
      </c>
      <c r="R11" s="49">
        <f>+'7'!K209</f>
        <v>0</v>
      </c>
      <c r="S11" s="49">
        <f t="shared" si="0"/>
        <v>320</v>
      </c>
      <c r="T11" s="49">
        <f>+'7'!K214</f>
        <v>320</v>
      </c>
      <c r="U11" s="50">
        <f t="shared" si="2"/>
        <v>0</v>
      </c>
      <c r="V11" s="73">
        <f t="shared" si="3"/>
        <v>320</v>
      </c>
    </row>
    <row r="12" spans="1:22" x14ac:dyDescent="0.65">
      <c r="A12" s="10">
        <v>8</v>
      </c>
      <c r="B12" s="20" t="s">
        <v>23</v>
      </c>
      <c r="C12" s="46">
        <v>15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46">
        <f t="shared" si="1"/>
        <v>25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6"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100</v>
      </c>
      <c r="K12" s="16"/>
      <c r="L12" s="48">
        <v>8</v>
      </c>
      <c r="M12" s="49">
        <f>+'8'!K207</f>
        <v>2960</v>
      </c>
      <c r="N12" s="49">
        <f>+'8'!K212</f>
        <v>100</v>
      </c>
      <c r="O12" s="49">
        <f>+'8'!K210</f>
        <v>0</v>
      </c>
      <c r="P12" s="49">
        <f>+'8'!K208</f>
        <v>0</v>
      </c>
      <c r="Q12" s="49">
        <f>+'8'!K211</f>
        <v>0</v>
      </c>
      <c r="R12" s="49">
        <f>+'8'!K209</f>
        <v>880</v>
      </c>
      <c r="S12" s="49">
        <f t="shared" si="0"/>
        <v>1980</v>
      </c>
      <c r="T12" s="49">
        <f>+'8'!K214</f>
        <v>1980</v>
      </c>
      <c r="U12" s="50">
        <f t="shared" si="2"/>
        <v>0</v>
      </c>
      <c r="V12" s="73">
        <f t="shared" si="3"/>
        <v>2860</v>
      </c>
    </row>
    <row r="13" spans="1:22" x14ac:dyDescent="0.65">
      <c r="A13" s="10">
        <v>9</v>
      </c>
      <c r="B13" s="20" t="s">
        <v>24</v>
      </c>
      <c r="C13" s="46"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8">
        <v>9</v>
      </c>
      <c r="M13" s="49">
        <f>+'9'!K207</f>
        <v>2585</v>
      </c>
      <c r="N13" s="49">
        <f>+'9'!K212</f>
        <v>120</v>
      </c>
      <c r="O13" s="49">
        <f>+'9'!K210</f>
        <v>0</v>
      </c>
      <c r="P13" s="49">
        <f>+'9'!K208</f>
        <v>15</v>
      </c>
      <c r="Q13" s="49">
        <f>+'9'!K211</f>
        <v>0</v>
      </c>
      <c r="R13" s="49">
        <f>+'9'!K209</f>
        <v>1020</v>
      </c>
      <c r="S13" s="49">
        <f t="shared" si="0"/>
        <v>1430</v>
      </c>
      <c r="T13" s="49">
        <f>+'9'!K214</f>
        <v>1430</v>
      </c>
      <c r="U13" s="50">
        <f t="shared" si="2"/>
        <v>0</v>
      </c>
      <c r="V13" s="73">
        <f t="shared" si="3"/>
        <v>2450</v>
      </c>
    </row>
    <row r="14" spans="1:22" x14ac:dyDescent="0.65">
      <c r="A14" s="10">
        <v>10</v>
      </c>
      <c r="B14" s="20" t="s">
        <v>25</v>
      </c>
      <c r="C14" s="46">
        <v>9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3</v>
      </c>
      <c r="E14" s="46">
        <f t="shared" si="1"/>
        <v>12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195</v>
      </c>
      <c r="K14" s="16"/>
      <c r="L14" s="48">
        <v>10</v>
      </c>
      <c r="M14" s="49">
        <f>+'10'!K207</f>
        <v>2780</v>
      </c>
      <c r="N14" s="49">
        <f>+'10'!K212</f>
        <v>510</v>
      </c>
      <c r="O14" s="49">
        <f>+'10'!K210</f>
        <v>0</v>
      </c>
      <c r="P14" s="49">
        <f>+'10'!K208</f>
        <v>15</v>
      </c>
      <c r="Q14" s="49">
        <f>+'10'!K211</f>
        <v>0</v>
      </c>
      <c r="R14" s="49">
        <f>+'10'!K209</f>
        <v>535</v>
      </c>
      <c r="S14" s="49">
        <f t="shared" si="0"/>
        <v>1720</v>
      </c>
      <c r="T14" s="49">
        <f>+'10'!K214</f>
        <v>1620</v>
      </c>
      <c r="U14" s="50">
        <f t="shared" si="2"/>
        <v>-100</v>
      </c>
      <c r="V14" s="73">
        <f t="shared" si="3"/>
        <v>2155</v>
      </c>
    </row>
    <row r="15" spans="1:22" x14ac:dyDescent="0.65">
      <c r="A15" s="10">
        <v>11</v>
      </c>
      <c r="B15" s="11" t="s">
        <v>26</v>
      </c>
      <c r="C15" s="46"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6"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8">
        <v>11</v>
      </c>
      <c r="M15" s="49">
        <f>+'11'!K207</f>
        <v>2555</v>
      </c>
      <c r="N15" s="49">
        <f>+'11'!K212</f>
        <v>230</v>
      </c>
      <c r="O15" s="49">
        <f>+'11'!K210</f>
        <v>0</v>
      </c>
      <c r="P15" s="49">
        <f>+'11'!K208</f>
        <v>15</v>
      </c>
      <c r="Q15" s="49">
        <f>+'11'!K211</f>
        <v>0</v>
      </c>
      <c r="R15" s="49">
        <f>+'11'!K209</f>
        <v>55</v>
      </c>
      <c r="S15" s="49">
        <f t="shared" si="0"/>
        <v>2255</v>
      </c>
      <c r="T15" s="49">
        <f>+'11'!K214</f>
        <v>2255</v>
      </c>
      <c r="U15" s="50">
        <f t="shared" si="2"/>
        <v>0</v>
      </c>
      <c r="V15" s="73">
        <f t="shared" si="3"/>
        <v>2310</v>
      </c>
    </row>
    <row r="16" spans="1:22" x14ac:dyDescent="0.65">
      <c r="A16" s="10">
        <v>12</v>
      </c>
      <c r="B16" s="11" t="s">
        <v>27</v>
      </c>
      <c r="C16" s="46"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8">
        <v>12</v>
      </c>
      <c r="M16" s="49">
        <f>+'12'!K207</f>
        <v>1765</v>
      </c>
      <c r="N16" s="49">
        <f>+'12'!K212</f>
        <v>50</v>
      </c>
      <c r="O16" s="49">
        <f>+'12'!K210</f>
        <v>0</v>
      </c>
      <c r="P16" s="49">
        <f>+'12'!K208</f>
        <v>15</v>
      </c>
      <c r="Q16" s="49">
        <f>+'12'!K211</f>
        <v>0</v>
      </c>
      <c r="R16" s="49">
        <f>+'12'!K209</f>
        <v>650</v>
      </c>
      <c r="S16" s="49">
        <f t="shared" si="0"/>
        <v>1050</v>
      </c>
      <c r="T16" s="49">
        <f>+'12'!K214</f>
        <v>1150</v>
      </c>
      <c r="U16" s="50">
        <f t="shared" si="2"/>
        <v>100</v>
      </c>
      <c r="V16" s="73">
        <f t="shared" si="3"/>
        <v>1800</v>
      </c>
    </row>
    <row r="17" spans="1:22" x14ac:dyDescent="0.65">
      <c r="A17" s="10">
        <v>13</v>
      </c>
      <c r="B17" s="11" t="s">
        <v>28</v>
      </c>
      <c r="C17" s="46">
        <v>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10</v>
      </c>
      <c r="E17" s="46">
        <f t="shared" si="1"/>
        <v>10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6"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100</v>
      </c>
      <c r="K17" s="16"/>
      <c r="L17" s="48">
        <v>13</v>
      </c>
      <c r="M17" s="49">
        <f>+'13'!K207</f>
        <v>1450</v>
      </c>
      <c r="N17" s="49">
        <f>+'13'!K212</f>
        <v>90</v>
      </c>
      <c r="O17" s="49">
        <f>+'13'!K210</f>
        <v>0</v>
      </c>
      <c r="P17" s="49">
        <f>+'13'!K208</f>
        <v>15</v>
      </c>
      <c r="Q17" s="49">
        <f>+'13'!K210</f>
        <v>0</v>
      </c>
      <c r="R17" s="49">
        <f>+'13'!K209</f>
        <v>120</v>
      </c>
      <c r="S17" s="49">
        <f t="shared" si="0"/>
        <v>1225</v>
      </c>
      <c r="T17" s="49">
        <f>+'13'!K214</f>
        <v>1225</v>
      </c>
      <c r="U17" s="50">
        <f t="shared" si="2"/>
        <v>0</v>
      </c>
      <c r="V17" s="73">
        <f t="shared" si="3"/>
        <v>1345</v>
      </c>
    </row>
    <row r="18" spans="1:22" x14ac:dyDescent="0.65">
      <c r="A18" s="10">
        <v>14</v>
      </c>
      <c r="B18" s="20" t="s">
        <v>29</v>
      </c>
      <c r="C18" s="46"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8">
        <v>14</v>
      </c>
      <c r="M18" s="49">
        <f>+'14'!K207</f>
        <v>695</v>
      </c>
      <c r="N18" s="49">
        <f>+'14'!K212</f>
        <v>0</v>
      </c>
      <c r="O18" s="49">
        <f>+'14'!K210</f>
        <v>0</v>
      </c>
      <c r="P18" s="49">
        <f>+'14'!K208</f>
        <v>15</v>
      </c>
      <c r="Q18" s="49">
        <f>+'14'!K211</f>
        <v>0</v>
      </c>
      <c r="R18" s="49">
        <f>+'14'!K209</f>
        <v>110</v>
      </c>
      <c r="S18" s="49">
        <f t="shared" si="0"/>
        <v>570</v>
      </c>
      <c r="T18" s="49">
        <f>+'14'!K214</f>
        <v>570</v>
      </c>
      <c r="U18" s="50">
        <f t="shared" si="2"/>
        <v>0</v>
      </c>
      <c r="V18" s="73">
        <f t="shared" si="3"/>
        <v>680</v>
      </c>
    </row>
    <row r="19" spans="1:22" x14ac:dyDescent="0.65">
      <c r="A19" s="10">
        <v>15</v>
      </c>
      <c r="B19" s="11" t="s">
        <v>30</v>
      </c>
      <c r="C19" s="46">
        <v>0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10</v>
      </c>
      <c r="E19" s="46">
        <f t="shared" si="1"/>
        <v>10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6"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6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300</v>
      </c>
      <c r="K19" s="16"/>
      <c r="L19" s="48">
        <v>15</v>
      </c>
      <c r="M19" s="49">
        <f>+'15'!K207</f>
        <v>1255</v>
      </c>
      <c r="N19" s="49">
        <f>+'15'!K212</f>
        <v>150</v>
      </c>
      <c r="O19" s="49">
        <f>+'15'!K210</f>
        <v>0</v>
      </c>
      <c r="P19" s="49">
        <f>+'15'!K208</f>
        <v>15</v>
      </c>
      <c r="Q19" s="49">
        <f>+'15'!K211</f>
        <v>0</v>
      </c>
      <c r="R19" s="49">
        <f>+'15'!K209</f>
        <v>80</v>
      </c>
      <c r="S19" s="49">
        <f t="shared" si="0"/>
        <v>1010</v>
      </c>
      <c r="T19" s="49">
        <f>+'15'!K214</f>
        <v>1095</v>
      </c>
      <c r="U19" s="50">
        <f t="shared" si="2"/>
        <v>85</v>
      </c>
      <c r="V19" s="73">
        <f t="shared" si="3"/>
        <v>1175</v>
      </c>
    </row>
    <row r="20" spans="1:22" x14ac:dyDescent="0.65">
      <c r="A20" s="10">
        <v>16</v>
      </c>
      <c r="B20" s="11" t="s">
        <v>31</v>
      </c>
      <c r="C20" s="46"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8">
        <v>16</v>
      </c>
      <c r="M20" s="49">
        <f>+'16'!K207</f>
        <v>0</v>
      </c>
      <c r="N20" s="49">
        <f>+'16'!K212</f>
        <v>0</v>
      </c>
      <c r="O20" s="49">
        <f>+'16'!K210</f>
        <v>0</v>
      </c>
      <c r="P20" s="49">
        <f>+'16'!K208</f>
        <v>0</v>
      </c>
      <c r="Q20" s="49">
        <f>+'16'!K211</f>
        <v>0</v>
      </c>
      <c r="R20" s="49">
        <f>+'16'!K209</f>
        <v>0</v>
      </c>
      <c r="S20" s="49">
        <f t="shared" si="0"/>
        <v>0</v>
      </c>
      <c r="T20" s="49">
        <f>+'16'!K214</f>
        <v>0</v>
      </c>
      <c r="U20" s="50">
        <f t="shared" si="2"/>
        <v>0</v>
      </c>
      <c r="V20" s="73">
        <f t="shared" si="3"/>
        <v>0</v>
      </c>
    </row>
    <row r="21" spans="1:22" x14ac:dyDescent="0.65">
      <c r="A21" s="10">
        <v>17</v>
      </c>
      <c r="B21" s="11" t="s">
        <v>32</v>
      </c>
      <c r="C21" s="46"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8">
        <v>17</v>
      </c>
      <c r="M21" s="49">
        <f>+'17'!K207</f>
        <v>0</v>
      </c>
      <c r="N21" s="49">
        <f>+'17'!K212</f>
        <v>0</v>
      </c>
      <c r="O21" s="49">
        <f>+'17'!K210</f>
        <v>0</v>
      </c>
      <c r="P21" s="49">
        <f>+'17'!K208</f>
        <v>0</v>
      </c>
      <c r="Q21" s="49">
        <f>+'17'!K211</f>
        <v>0</v>
      </c>
      <c r="R21" s="49">
        <f>+'17'!K209</f>
        <v>0</v>
      </c>
      <c r="S21" s="49">
        <f t="shared" si="0"/>
        <v>0</v>
      </c>
      <c r="T21" s="49">
        <f>+'17'!K214</f>
        <v>0</v>
      </c>
      <c r="U21" s="50">
        <f t="shared" si="2"/>
        <v>0</v>
      </c>
      <c r="V21" s="73">
        <f t="shared" si="3"/>
        <v>0</v>
      </c>
    </row>
    <row r="22" spans="1:22" x14ac:dyDescent="0.65">
      <c r="A22" s="10">
        <v>18</v>
      </c>
      <c r="B22" s="11" t="s">
        <v>33</v>
      </c>
      <c r="C22" s="46"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8">
        <v>18</v>
      </c>
      <c r="M22" s="49">
        <f>+'18'!K207</f>
        <v>0</v>
      </c>
      <c r="N22" s="49">
        <f>+'18'!K212</f>
        <v>0</v>
      </c>
      <c r="O22" s="49">
        <f>+'18'!K210</f>
        <v>0</v>
      </c>
      <c r="P22" s="49">
        <f>+'18'!K208</f>
        <v>0</v>
      </c>
      <c r="Q22" s="49">
        <f>+'18'!K211</f>
        <v>0</v>
      </c>
      <c r="R22" s="49">
        <f>+'18'!K209</f>
        <v>0</v>
      </c>
      <c r="S22" s="49">
        <f t="shared" si="0"/>
        <v>0</v>
      </c>
      <c r="T22" s="49">
        <f>+'18'!K214</f>
        <v>0</v>
      </c>
      <c r="U22" s="50">
        <f t="shared" si="2"/>
        <v>0</v>
      </c>
      <c r="V22" s="73">
        <f t="shared" si="3"/>
        <v>0</v>
      </c>
    </row>
    <row r="23" spans="1:22" x14ac:dyDescent="0.65">
      <c r="A23" s="10">
        <v>19</v>
      </c>
      <c r="B23" s="11" t="s">
        <v>34</v>
      </c>
      <c r="C23" s="46">
        <v>31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20</v>
      </c>
      <c r="E23" s="46">
        <f t="shared" si="1"/>
        <v>51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6"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16</v>
      </c>
      <c r="I23" s="16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1600</v>
      </c>
      <c r="K23" s="16"/>
      <c r="L23" s="48">
        <v>19</v>
      </c>
      <c r="M23" s="49">
        <f>+'19'!K207</f>
        <v>0</v>
      </c>
      <c r="N23" s="49">
        <f>+'19'!K212</f>
        <v>0</v>
      </c>
      <c r="O23" s="49">
        <f>+'19'!K210</f>
        <v>0</v>
      </c>
      <c r="P23" s="49">
        <f>+'19'!K208</f>
        <v>0</v>
      </c>
      <c r="Q23" s="49">
        <f>+'19'!K211</f>
        <v>0</v>
      </c>
      <c r="R23" s="49">
        <f>+'19'!K209</f>
        <v>0</v>
      </c>
      <c r="S23" s="49">
        <f t="shared" si="0"/>
        <v>0</v>
      </c>
      <c r="T23" s="49">
        <f>+'19'!K214</f>
        <v>0</v>
      </c>
      <c r="U23" s="50">
        <f t="shared" si="2"/>
        <v>0</v>
      </c>
      <c r="V23" s="73">
        <f t="shared" si="3"/>
        <v>0</v>
      </c>
    </row>
    <row r="24" spans="1:22" x14ac:dyDescent="0.65">
      <c r="A24" s="10">
        <v>20</v>
      </c>
      <c r="B24" s="11" t="s">
        <v>35</v>
      </c>
      <c r="C24" s="46"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1"/>
        <v>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6"/>
      <c r="L24" s="48">
        <v>20</v>
      </c>
      <c r="M24" s="49">
        <f>+'20'!K207</f>
        <v>0</v>
      </c>
      <c r="N24" s="49">
        <f>+'20'!K212</f>
        <v>0</v>
      </c>
      <c r="O24" s="49">
        <f>+'20'!K210</f>
        <v>0</v>
      </c>
      <c r="P24" s="49">
        <f>+'20'!K208</f>
        <v>0</v>
      </c>
      <c r="Q24" s="49">
        <f>+'20'!K211</f>
        <v>0</v>
      </c>
      <c r="R24" s="49">
        <f>+'20'!K209</f>
        <v>0</v>
      </c>
      <c r="S24" s="49">
        <f t="shared" si="0"/>
        <v>0</v>
      </c>
      <c r="T24" s="49">
        <f>+'20'!K214</f>
        <v>0</v>
      </c>
      <c r="U24" s="50">
        <f t="shared" si="2"/>
        <v>0</v>
      </c>
      <c r="V24" s="73">
        <f t="shared" si="3"/>
        <v>0</v>
      </c>
    </row>
    <row r="25" spans="1:22" x14ac:dyDescent="0.65">
      <c r="A25" s="10">
        <v>21</v>
      </c>
      <c r="B25" s="11" t="s">
        <v>36</v>
      </c>
      <c r="C25" s="46"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8">
        <v>21</v>
      </c>
      <c r="M25" s="49">
        <f>+'21'!K207</f>
        <v>0</v>
      </c>
      <c r="N25" s="49">
        <f>+'21'!K212</f>
        <v>0</v>
      </c>
      <c r="O25" s="49">
        <f>+'21'!K210</f>
        <v>0</v>
      </c>
      <c r="P25" s="49">
        <f>+'21'!K208</f>
        <v>0</v>
      </c>
      <c r="Q25" s="49">
        <f>+'21'!K211</f>
        <v>0</v>
      </c>
      <c r="R25" s="49">
        <f>+'21'!K209</f>
        <v>0</v>
      </c>
      <c r="S25" s="49">
        <f>+M25-N25-P25-R25-Q25</f>
        <v>0</v>
      </c>
      <c r="T25" s="49">
        <f>+'21'!K214</f>
        <v>0</v>
      </c>
      <c r="U25" s="50">
        <f t="shared" si="2"/>
        <v>0</v>
      </c>
      <c r="V25" s="73">
        <f t="shared" si="3"/>
        <v>0</v>
      </c>
    </row>
    <row r="26" spans="1:22" x14ac:dyDescent="0.65">
      <c r="A26" s="10">
        <v>22</v>
      </c>
      <c r="B26" s="11" t="s">
        <v>37</v>
      </c>
      <c r="C26" s="46"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8">
        <v>22</v>
      </c>
      <c r="M26" s="49">
        <f>+'22'!K207</f>
        <v>0</v>
      </c>
      <c r="N26" s="49">
        <f>+'22'!K212</f>
        <v>0</v>
      </c>
      <c r="O26" s="49">
        <f>+'22'!K210</f>
        <v>0</v>
      </c>
      <c r="P26" s="49">
        <f>+'22'!K208</f>
        <v>0</v>
      </c>
      <c r="Q26" s="49">
        <f>+'22'!K211</f>
        <v>0</v>
      </c>
      <c r="R26" s="49">
        <f>+'22'!K209</f>
        <v>0</v>
      </c>
      <c r="S26" s="49">
        <f t="shared" ref="S26:S29" si="4">+M26-N26-P26-R26-Q26</f>
        <v>0</v>
      </c>
      <c r="T26" s="49">
        <f>+'22'!K214</f>
        <v>0</v>
      </c>
      <c r="U26" s="50">
        <f t="shared" si="2"/>
        <v>0</v>
      </c>
      <c r="V26" s="73">
        <f t="shared" si="3"/>
        <v>0</v>
      </c>
    </row>
    <row r="27" spans="1:22" x14ac:dyDescent="0.65">
      <c r="A27" s="10">
        <v>23</v>
      </c>
      <c r="B27" s="20" t="s">
        <v>38</v>
      </c>
      <c r="C27" s="46"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8">
        <v>23</v>
      </c>
      <c r="M27" s="49">
        <f>+'23'!K207</f>
        <v>0</v>
      </c>
      <c r="N27" s="49">
        <f>+'23'!K212</f>
        <v>0</v>
      </c>
      <c r="O27" s="49">
        <f>+'23'!K210</f>
        <v>0</v>
      </c>
      <c r="P27" s="49">
        <f>+'23'!K208</f>
        <v>0</v>
      </c>
      <c r="Q27" s="49">
        <f>+'23'!K211</f>
        <v>0</v>
      </c>
      <c r="R27" s="49">
        <f>+'23'!K209</f>
        <v>0</v>
      </c>
      <c r="S27" s="49">
        <f t="shared" si="4"/>
        <v>0</v>
      </c>
      <c r="T27" s="49">
        <f>+'23'!K214</f>
        <v>0</v>
      </c>
      <c r="U27" s="50">
        <f t="shared" si="2"/>
        <v>0</v>
      </c>
      <c r="V27" s="73">
        <f t="shared" si="3"/>
        <v>0</v>
      </c>
    </row>
    <row r="28" spans="1:22" x14ac:dyDescent="0.65">
      <c r="A28" s="10">
        <v>24</v>
      </c>
      <c r="B28" s="20" t="s">
        <v>39</v>
      </c>
      <c r="C28" s="46"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8">
        <v>24</v>
      </c>
      <c r="M28" s="49">
        <f>+'24'!K207</f>
        <v>0</v>
      </c>
      <c r="N28" s="49">
        <f>+'24'!K212</f>
        <v>0</v>
      </c>
      <c r="O28" s="49">
        <f>+'24'!K210</f>
        <v>0</v>
      </c>
      <c r="P28" s="49">
        <f>+'24'!K208</f>
        <v>0</v>
      </c>
      <c r="Q28" s="49">
        <f>+'24'!K211</f>
        <v>0</v>
      </c>
      <c r="R28" s="49">
        <f>+'24'!K209</f>
        <v>0</v>
      </c>
      <c r="S28" s="49">
        <f t="shared" si="4"/>
        <v>0</v>
      </c>
      <c r="T28" s="49">
        <f>+'24'!K214</f>
        <v>0</v>
      </c>
      <c r="U28" s="50">
        <f t="shared" si="2"/>
        <v>0</v>
      </c>
      <c r="V28" s="73">
        <f t="shared" si="3"/>
        <v>0</v>
      </c>
    </row>
    <row r="29" spans="1:22" x14ac:dyDescent="0.65">
      <c r="A29" s="10">
        <v>25</v>
      </c>
      <c r="B29" s="11" t="s">
        <v>40</v>
      </c>
      <c r="C29" s="46"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6">
        <f t="shared" si="1"/>
        <v>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6"/>
      <c r="L29" s="48">
        <v>25</v>
      </c>
      <c r="M29" s="49">
        <f>+'25'!K207</f>
        <v>0</v>
      </c>
      <c r="N29" s="49">
        <f>+'25'!K212</f>
        <v>0</v>
      </c>
      <c r="O29" s="49">
        <f>+'25'!K210</f>
        <v>0</v>
      </c>
      <c r="P29" s="49">
        <f>+'25'!K208</f>
        <v>0</v>
      </c>
      <c r="Q29" s="49">
        <f>+'25'!K211</f>
        <v>0</v>
      </c>
      <c r="R29" s="49">
        <f>+'25'!K209</f>
        <v>0</v>
      </c>
      <c r="S29" s="49">
        <f t="shared" si="4"/>
        <v>0</v>
      </c>
      <c r="T29" s="49">
        <f>+'25'!K214</f>
        <v>0</v>
      </c>
      <c r="U29" s="50">
        <f t="shared" si="2"/>
        <v>0</v>
      </c>
      <c r="V29" s="73">
        <f t="shared" si="3"/>
        <v>0</v>
      </c>
    </row>
    <row r="30" spans="1:22" x14ac:dyDescent="0.65">
      <c r="A30" s="10">
        <v>26</v>
      </c>
      <c r="B30" s="11" t="s">
        <v>41</v>
      </c>
      <c r="C30" s="46"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8">
        <v>26</v>
      </c>
      <c r="M30" s="49">
        <f>+'26'!K207</f>
        <v>0</v>
      </c>
      <c r="N30" s="49">
        <f>+'26'!K212</f>
        <v>0</v>
      </c>
      <c r="O30" s="49">
        <f>+'26'!K210</f>
        <v>0</v>
      </c>
      <c r="P30" s="49">
        <f>+'26'!K208</f>
        <v>0</v>
      </c>
      <c r="Q30" s="49">
        <f>+'26'!K211</f>
        <v>0</v>
      </c>
      <c r="R30" s="49">
        <f>+'26'!K209</f>
        <v>0</v>
      </c>
      <c r="S30" s="49">
        <f t="shared" ref="S30:S35" si="5">+M30-N30-P30-R30-Q30</f>
        <v>0</v>
      </c>
      <c r="T30" s="49">
        <f>+'26'!K214</f>
        <v>0</v>
      </c>
      <c r="U30" s="50">
        <f t="shared" si="2"/>
        <v>0</v>
      </c>
      <c r="V30" s="73">
        <f t="shared" si="3"/>
        <v>0</v>
      </c>
    </row>
    <row r="31" spans="1:22" x14ac:dyDescent="0.65">
      <c r="A31" s="10">
        <v>27</v>
      </c>
      <c r="B31" s="11" t="s">
        <v>42</v>
      </c>
      <c r="C31" s="46"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8">
        <v>27</v>
      </c>
      <c r="M31" s="49">
        <f>+'27'!K207</f>
        <v>0</v>
      </c>
      <c r="N31" s="49">
        <f>+'27'!K212</f>
        <v>0</v>
      </c>
      <c r="O31" s="49">
        <f>+'27'!K210</f>
        <v>0</v>
      </c>
      <c r="P31" s="49">
        <f>+'27'!K208</f>
        <v>0</v>
      </c>
      <c r="Q31" s="49">
        <f>+'27'!K211</f>
        <v>0</v>
      </c>
      <c r="R31" s="49">
        <f>+'27'!K209</f>
        <v>0</v>
      </c>
      <c r="S31" s="49">
        <f t="shared" si="5"/>
        <v>0</v>
      </c>
      <c r="T31" s="49">
        <f>+'27'!K214</f>
        <v>0</v>
      </c>
      <c r="U31" s="50">
        <f t="shared" si="2"/>
        <v>0</v>
      </c>
      <c r="V31" s="73">
        <f t="shared" si="3"/>
        <v>0</v>
      </c>
    </row>
    <row r="32" spans="1:22" x14ac:dyDescent="0.65">
      <c r="A32" s="10">
        <v>28</v>
      </c>
      <c r="B32" s="11" t="s">
        <v>43</v>
      </c>
      <c r="C32" s="46"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8">
        <v>28</v>
      </c>
      <c r="M32" s="49">
        <f>+'28'!K207</f>
        <v>0</v>
      </c>
      <c r="N32" s="49">
        <f>+'28'!K212</f>
        <v>0</v>
      </c>
      <c r="O32" s="49">
        <f>+'28'!K210</f>
        <v>0</v>
      </c>
      <c r="P32" s="49">
        <f>+'28'!K208</f>
        <v>0</v>
      </c>
      <c r="Q32" s="49">
        <f>+'28'!K211</f>
        <v>0</v>
      </c>
      <c r="R32" s="49">
        <f>+'28'!K209</f>
        <v>0</v>
      </c>
      <c r="S32" s="49">
        <f t="shared" si="5"/>
        <v>0</v>
      </c>
      <c r="T32" s="49">
        <f>+'28'!K214</f>
        <v>0</v>
      </c>
      <c r="U32" s="50">
        <f t="shared" si="2"/>
        <v>0</v>
      </c>
      <c r="V32" s="73">
        <f t="shared" si="3"/>
        <v>0</v>
      </c>
    </row>
    <row r="33" spans="1:22" x14ac:dyDescent="0.65">
      <c r="A33" s="10">
        <v>29</v>
      </c>
      <c r="B33" s="11" t="s">
        <v>44</v>
      </c>
      <c r="C33" s="46"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8">
        <v>29</v>
      </c>
      <c r="M33" s="49">
        <f>+'29'!K207</f>
        <v>0</v>
      </c>
      <c r="N33" s="49">
        <f>+'29'!K212</f>
        <v>0</v>
      </c>
      <c r="O33" s="49">
        <f>+'29'!K210</f>
        <v>0</v>
      </c>
      <c r="P33" s="49">
        <f>+'29'!K208</f>
        <v>0</v>
      </c>
      <c r="Q33" s="49">
        <f>+'29'!K211</f>
        <v>0</v>
      </c>
      <c r="R33" s="49">
        <f>+'29'!K209</f>
        <v>0</v>
      </c>
      <c r="S33" s="49">
        <f t="shared" si="5"/>
        <v>0</v>
      </c>
      <c r="T33" s="49">
        <f>+'29'!K214</f>
        <v>0</v>
      </c>
      <c r="U33" s="50">
        <f t="shared" si="2"/>
        <v>0</v>
      </c>
      <c r="V33" s="73">
        <f t="shared" si="3"/>
        <v>0</v>
      </c>
    </row>
    <row r="34" spans="1:22" x14ac:dyDescent="0.65">
      <c r="A34" s="10">
        <v>30</v>
      </c>
      <c r="B34" s="11" t="s">
        <v>45</v>
      </c>
      <c r="C34" s="46"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4" s="46">
        <f t="shared" si="1"/>
        <v>5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5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650</v>
      </c>
      <c r="K34" s="16"/>
      <c r="L34" s="48">
        <v>30</v>
      </c>
      <c r="M34" s="49">
        <f>+'30'!K207</f>
        <v>0</v>
      </c>
      <c r="N34" s="49">
        <f>+'30'!K212</f>
        <v>0</v>
      </c>
      <c r="O34" s="49">
        <f>+'30'!K210</f>
        <v>0</v>
      </c>
      <c r="P34" s="49">
        <f>+'30'!K208</f>
        <v>0</v>
      </c>
      <c r="Q34" s="49">
        <f>+'30'!K211</f>
        <v>0</v>
      </c>
      <c r="R34" s="49">
        <f>+'30'!K209</f>
        <v>0</v>
      </c>
      <c r="S34" s="49">
        <f>+M34-N34-P34-R34-Q34</f>
        <v>0</v>
      </c>
      <c r="T34" s="49">
        <f>+'30'!K214</f>
        <v>0</v>
      </c>
      <c r="U34" s="50">
        <f t="shared" si="2"/>
        <v>0</v>
      </c>
      <c r="V34" s="73">
        <f t="shared" si="3"/>
        <v>0</v>
      </c>
    </row>
    <row r="35" spans="1:22" x14ac:dyDescent="0.65">
      <c r="A35" s="10">
        <v>31</v>
      </c>
      <c r="B35" s="11" t="s">
        <v>46</v>
      </c>
      <c r="C35" s="46">
        <v>6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11</v>
      </c>
      <c r="E35" s="46">
        <f t="shared" si="1"/>
        <v>17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5</v>
      </c>
      <c r="G35" s="46"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7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910</v>
      </c>
      <c r="K35" s="16"/>
      <c r="L35" s="48">
        <v>31</v>
      </c>
      <c r="M35" s="49">
        <f>+'31'!K207</f>
        <v>0</v>
      </c>
      <c r="N35" s="49">
        <f>+'31'!K212</f>
        <v>0</v>
      </c>
      <c r="O35" s="49"/>
      <c r="P35" s="49">
        <f>+'31'!K208</f>
        <v>0</v>
      </c>
      <c r="Q35" s="49"/>
      <c r="R35" s="49">
        <f>+'31'!K209</f>
        <v>0</v>
      </c>
      <c r="S35" s="49">
        <f t="shared" si="5"/>
        <v>0</v>
      </c>
      <c r="T35" s="49">
        <f>+'31'!K214</f>
        <v>0</v>
      </c>
      <c r="U35" s="50">
        <f t="shared" si="2"/>
        <v>0</v>
      </c>
      <c r="V35" s="73">
        <f t="shared" si="3"/>
        <v>0</v>
      </c>
    </row>
    <row r="36" spans="1:22" x14ac:dyDescent="0.65">
      <c r="A36" s="10">
        <v>32</v>
      </c>
      <c r="B36" s="11" t="s">
        <v>47</v>
      </c>
      <c r="C36" s="46"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1" t="s">
        <v>5</v>
      </c>
      <c r="M36" s="52">
        <f>SUM(M5:M35)</f>
        <v>26980</v>
      </c>
      <c r="N36" s="52">
        <f t="shared" ref="N36:U36" si="6">SUM(N5:N35)</f>
        <v>2295</v>
      </c>
      <c r="O36" s="52">
        <f t="shared" si="6"/>
        <v>0</v>
      </c>
      <c r="P36" s="52">
        <f t="shared" si="6"/>
        <v>180</v>
      </c>
      <c r="Q36" s="52">
        <f t="shared" si="6"/>
        <v>0</v>
      </c>
      <c r="R36" s="52">
        <f t="shared" si="6"/>
        <v>6245</v>
      </c>
      <c r="S36" s="52">
        <f t="shared" si="6"/>
        <v>18260</v>
      </c>
      <c r="T36" s="52">
        <f t="shared" si="6"/>
        <v>18345</v>
      </c>
      <c r="U36" s="52">
        <f t="shared" si="6"/>
        <v>85</v>
      </c>
      <c r="V36" s="24">
        <f>SUM(V5:V35)</f>
        <v>24590</v>
      </c>
    </row>
    <row r="37" spans="1:22" x14ac:dyDescent="0.65">
      <c r="A37" s="10">
        <v>33</v>
      </c>
      <c r="B37" s="11" t="s">
        <v>48</v>
      </c>
      <c r="C37" s="46">
        <v>30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25</v>
      </c>
      <c r="E37" s="46">
        <f t="shared" si="1"/>
        <v>55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5</v>
      </c>
      <c r="G37" s="46"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14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1400</v>
      </c>
      <c r="K37" s="16"/>
      <c r="P37" s="53"/>
      <c r="S37" s="53"/>
      <c r="U37" s="5"/>
    </row>
    <row r="38" spans="1:22" x14ac:dyDescent="0.65">
      <c r="A38" s="10">
        <v>34</v>
      </c>
      <c r="B38" s="11" t="s">
        <v>49</v>
      </c>
      <c r="C38" s="46">
        <v>8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10</v>
      </c>
      <c r="E38" s="46">
        <f t="shared" si="1"/>
        <v>18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5</v>
      </c>
      <c r="G38" s="46"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5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250</v>
      </c>
      <c r="K38" s="16"/>
      <c r="M38" s="54"/>
      <c r="N38" s="53"/>
      <c r="U38" s="5"/>
    </row>
    <row r="39" spans="1:22" x14ac:dyDescent="0.65">
      <c r="A39" s="10">
        <v>35</v>
      </c>
      <c r="B39" s="11" t="s">
        <v>50</v>
      </c>
      <c r="C39" s="46">
        <v>8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10</v>
      </c>
      <c r="E39" s="46">
        <f t="shared" si="1"/>
        <v>18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5</v>
      </c>
      <c r="G39" s="46"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50</v>
      </c>
      <c r="K39" s="16"/>
      <c r="M39" s="55"/>
      <c r="O39" s="53"/>
      <c r="U39" s="5"/>
    </row>
    <row r="40" spans="1:22" x14ac:dyDescent="0.65">
      <c r="A40" s="10">
        <v>36</v>
      </c>
      <c r="B40" s="11" t="s">
        <v>51</v>
      </c>
      <c r="C40" s="46">
        <v>8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6">
        <f t="shared" si="1"/>
        <v>8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6"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50</v>
      </c>
      <c r="K40" s="16"/>
      <c r="M40" s="55"/>
      <c r="U40" s="5"/>
    </row>
    <row r="41" spans="1:22" x14ac:dyDescent="0.65">
      <c r="A41" s="10">
        <v>37</v>
      </c>
      <c r="B41" s="11" t="s">
        <v>52</v>
      </c>
      <c r="C41" s="46">
        <v>1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6">
        <f t="shared" si="1"/>
        <v>11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5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250</v>
      </c>
      <c r="K41" s="16"/>
      <c r="M41" s="55"/>
      <c r="U41" s="5"/>
    </row>
    <row r="42" spans="1:22" x14ac:dyDescent="0.65">
      <c r="A42" s="10">
        <v>38</v>
      </c>
      <c r="B42" s="11" t="s">
        <v>53</v>
      </c>
      <c r="C42" s="46">
        <v>3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6">
        <f t="shared" si="1"/>
        <v>13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5</v>
      </c>
      <c r="G42" s="46"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5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250</v>
      </c>
      <c r="K42" s="16"/>
      <c r="M42" s="55"/>
      <c r="U42" s="5"/>
    </row>
    <row r="43" spans="1:22" x14ac:dyDescent="0.65">
      <c r="A43" s="10">
        <v>39</v>
      </c>
      <c r="B43" s="11" t="s">
        <v>54</v>
      </c>
      <c r="C43" s="46">
        <v>5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9</v>
      </c>
      <c r="E43" s="46">
        <f t="shared" si="1"/>
        <v>14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5</v>
      </c>
      <c r="G43" s="46"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150</v>
      </c>
      <c r="K43" s="16"/>
      <c r="M43" s="55"/>
      <c r="U43" s="5"/>
    </row>
    <row r="44" spans="1:22" x14ac:dyDescent="0.65">
      <c r="A44" s="10">
        <v>40</v>
      </c>
      <c r="B44" s="11" t="s">
        <v>55</v>
      </c>
      <c r="C44" s="46">
        <v>4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4" s="46">
        <f t="shared" si="1"/>
        <v>4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100</v>
      </c>
      <c r="K44" s="16"/>
      <c r="M44" s="55"/>
      <c r="U44" s="5"/>
    </row>
    <row r="45" spans="1:22" x14ac:dyDescent="0.65">
      <c r="A45" s="10">
        <v>41</v>
      </c>
      <c r="B45" s="11" t="s">
        <v>56</v>
      </c>
      <c r="C45" s="46"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5"/>
      <c r="O45" s="53"/>
      <c r="U45" s="5"/>
    </row>
    <row r="46" spans="1:22" x14ac:dyDescent="0.65">
      <c r="A46" s="10">
        <v>42</v>
      </c>
      <c r="B46" s="11" t="s">
        <v>57</v>
      </c>
      <c r="C46" s="46">
        <v>5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5</v>
      </c>
      <c r="E46" s="46">
        <f t="shared" si="1"/>
        <v>10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5</v>
      </c>
      <c r="G46" s="46"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5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250</v>
      </c>
      <c r="K46" s="23"/>
      <c r="M46" s="55"/>
      <c r="U46" s="5"/>
    </row>
    <row r="47" spans="1:22" x14ac:dyDescent="0.65">
      <c r="A47" s="10">
        <v>43</v>
      </c>
      <c r="B47" s="11" t="s">
        <v>58</v>
      </c>
      <c r="C47" s="46">
        <v>7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46">
        <f t="shared" si="1"/>
        <v>22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4</v>
      </c>
      <c r="G47" s="46"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9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450</v>
      </c>
      <c r="K47" s="23"/>
      <c r="M47" s="55"/>
      <c r="U47" s="5"/>
    </row>
    <row r="48" spans="1:22" x14ac:dyDescent="0.65">
      <c r="A48" s="10">
        <v>44</v>
      </c>
      <c r="B48" s="11" t="s">
        <v>59</v>
      </c>
      <c r="C48" s="46">
        <v>7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46">
        <f t="shared" si="1"/>
        <v>7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50</v>
      </c>
      <c r="K48" s="23"/>
      <c r="M48" s="55"/>
      <c r="U48" s="5"/>
    </row>
    <row r="49" spans="1:21" x14ac:dyDescent="0.65">
      <c r="A49" s="10">
        <v>45</v>
      </c>
      <c r="B49" s="11" t="s">
        <v>60</v>
      </c>
      <c r="C49" s="46">
        <v>8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8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3</v>
      </c>
      <c r="G49" s="46"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3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150</v>
      </c>
      <c r="K49" s="23"/>
      <c r="M49" s="55"/>
      <c r="U49" s="5"/>
    </row>
    <row r="50" spans="1:21" x14ac:dyDescent="0.65">
      <c r="A50" s="10">
        <v>46</v>
      </c>
      <c r="B50" s="11" t="s">
        <v>61</v>
      </c>
      <c r="C50" s="46">
        <v>4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4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3"/>
      <c r="M50" s="55"/>
      <c r="U50" s="5"/>
    </row>
    <row r="51" spans="1:21" x14ac:dyDescent="0.65">
      <c r="A51" s="10">
        <v>47</v>
      </c>
      <c r="B51" s="11" t="s">
        <v>62</v>
      </c>
      <c r="C51" s="46">
        <v>3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3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5"/>
      <c r="U51" s="5"/>
    </row>
    <row r="52" spans="1:21" x14ac:dyDescent="0.65">
      <c r="A52" s="10">
        <v>48</v>
      </c>
      <c r="B52" s="11" t="s">
        <v>63</v>
      </c>
      <c r="C52" s="46">
        <v>3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3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5"/>
      <c r="U52" s="5"/>
    </row>
    <row r="53" spans="1:21" x14ac:dyDescent="0.65">
      <c r="A53" s="10">
        <v>49</v>
      </c>
      <c r="B53" s="11" t="s">
        <v>64</v>
      </c>
      <c r="C53" s="46"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5"/>
      <c r="U53" s="5"/>
    </row>
    <row r="54" spans="1:21" x14ac:dyDescent="0.65">
      <c r="A54" s="10">
        <v>50</v>
      </c>
      <c r="B54" s="11" t="s">
        <v>65</v>
      </c>
      <c r="C54" s="46">
        <v>5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5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5"/>
      <c r="U54" s="5"/>
    </row>
    <row r="55" spans="1:21" x14ac:dyDescent="0.65">
      <c r="A55" s="10">
        <v>51</v>
      </c>
      <c r="B55" s="11" t="s">
        <v>66</v>
      </c>
      <c r="C55" s="46"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6">
        <f t="shared" si="1"/>
        <v>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6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720</v>
      </c>
      <c r="K55" s="21"/>
      <c r="M55" s="55"/>
      <c r="U55" s="5"/>
    </row>
    <row r="56" spans="1:21" x14ac:dyDescent="0.65">
      <c r="A56" s="10">
        <v>52</v>
      </c>
      <c r="B56" s="11" t="s">
        <v>67</v>
      </c>
      <c r="C56" s="46"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5"/>
      <c r="U56" s="5"/>
    </row>
    <row r="57" spans="1:21" x14ac:dyDescent="0.65">
      <c r="A57" s="10">
        <v>53</v>
      </c>
      <c r="B57" s="11" t="s">
        <v>68</v>
      </c>
      <c r="C57" s="46">
        <v>6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6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4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480</v>
      </c>
      <c r="K57" s="21"/>
      <c r="M57" s="55"/>
      <c r="U57" s="5"/>
    </row>
    <row r="58" spans="1:21" x14ac:dyDescent="0.65">
      <c r="A58" s="10">
        <v>54</v>
      </c>
      <c r="B58" s="11" t="s">
        <v>69</v>
      </c>
      <c r="C58" s="46">
        <v>4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4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5"/>
      <c r="U58" s="5"/>
    </row>
    <row r="59" spans="1:21" x14ac:dyDescent="0.65">
      <c r="A59" s="10">
        <v>55</v>
      </c>
      <c r="B59" s="11" t="s">
        <v>70</v>
      </c>
      <c r="C59" s="46"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5"/>
      <c r="U59" s="5"/>
    </row>
    <row r="60" spans="1:21" x14ac:dyDescent="0.65">
      <c r="A60" s="10">
        <v>56</v>
      </c>
      <c r="B60" s="11" t="s">
        <v>71</v>
      </c>
      <c r="C60" s="46"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5"/>
      <c r="U60" s="5"/>
    </row>
    <row r="61" spans="1:21" x14ac:dyDescent="0.65">
      <c r="A61" s="10">
        <v>57</v>
      </c>
      <c r="B61" s="11" t="s">
        <v>72</v>
      </c>
      <c r="C61" s="46">
        <v>10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3</v>
      </c>
      <c r="E61" s="46">
        <f t="shared" si="1"/>
        <v>13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4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200</v>
      </c>
      <c r="K61" s="20"/>
      <c r="M61" s="55"/>
      <c r="U61" s="5"/>
    </row>
    <row r="62" spans="1:21" x14ac:dyDescent="0.65">
      <c r="A62" s="10">
        <v>58</v>
      </c>
      <c r="B62" s="20" t="s">
        <v>73</v>
      </c>
      <c r="C62" s="46">
        <v>5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6</v>
      </c>
      <c r="E62" s="46">
        <f t="shared" si="1"/>
        <v>11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4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200</v>
      </c>
      <c r="K62" s="20"/>
      <c r="M62" s="55"/>
      <c r="U62" s="5"/>
    </row>
    <row r="63" spans="1:21" x14ac:dyDescent="0.65">
      <c r="A63" s="10">
        <v>59</v>
      </c>
      <c r="B63" s="20" t="s">
        <v>74</v>
      </c>
      <c r="C63" s="46">
        <v>2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3</v>
      </c>
      <c r="E63" s="46">
        <f t="shared" si="1"/>
        <v>5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50</v>
      </c>
      <c r="K63" s="20"/>
      <c r="M63" s="55"/>
      <c r="U63" s="5"/>
    </row>
    <row r="64" spans="1:21" x14ac:dyDescent="0.65">
      <c r="A64" s="10">
        <v>60</v>
      </c>
      <c r="B64" s="11" t="s">
        <v>75</v>
      </c>
      <c r="C64" s="46"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5"/>
      <c r="U64" s="5"/>
    </row>
    <row r="65" spans="1:21" x14ac:dyDescent="0.65">
      <c r="A65" s="10">
        <v>61</v>
      </c>
      <c r="B65" s="11" t="s">
        <v>76</v>
      </c>
      <c r="C65" s="46"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5"/>
      <c r="U65" s="5"/>
    </row>
    <row r="66" spans="1:21" x14ac:dyDescent="0.65">
      <c r="A66" s="10">
        <v>62</v>
      </c>
      <c r="B66" s="11" t="s">
        <v>77</v>
      </c>
      <c r="C66" s="46">
        <v>14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10</v>
      </c>
      <c r="E66" s="46">
        <f t="shared" si="1"/>
        <v>24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150</v>
      </c>
      <c r="K66" s="20"/>
      <c r="M66" s="55"/>
      <c r="U66" s="5"/>
    </row>
    <row r="67" spans="1:21" x14ac:dyDescent="0.65">
      <c r="A67" s="10">
        <v>63</v>
      </c>
      <c r="B67" s="11" t="s">
        <v>78</v>
      </c>
      <c r="C67" s="46">
        <v>6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25</v>
      </c>
      <c r="E67" s="46">
        <f t="shared" si="1"/>
        <v>31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6"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32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1600</v>
      </c>
      <c r="K67" s="20"/>
      <c r="M67" s="55"/>
      <c r="U67" s="5"/>
    </row>
    <row r="68" spans="1:21" x14ac:dyDescent="0.65">
      <c r="A68" s="10">
        <v>64</v>
      </c>
      <c r="B68" s="20" t="s">
        <v>79</v>
      </c>
      <c r="C68" s="46"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5"/>
      <c r="U68" s="5"/>
    </row>
    <row r="69" spans="1:21" x14ac:dyDescent="0.65">
      <c r="A69" s="10">
        <v>65</v>
      </c>
      <c r="B69" s="20" t="s">
        <v>80</v>
      </c>
      <c r="C69" s="46"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5"/>
      <c r="U69" s="5"/>
    </row>
    <row r="70" spans="1:21" x14ac:dyDescent="0.65">
      <c r="A70" s="10">
        <v>66</v>
      </c>
      <c r="B70" s="20" t="s">
        <v>81</v>
      </c>
      <c r="C70" s="46"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133" si="7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5"/>
      <c r="U70" s="5"/>
    </row>
    <row r="71" spans="1:21" x14ac:dyDescent="0.65">
      <c r="A71" s="10">
        <v>67</v>
      </c>
      <c r="B71" s="20" t="s">
        <v>82</v>
      </c>
      <c r="C71" s="46">
        <v>25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25</v>
      </c>
      <c r="E71" s="46">
        <f t="shared" si="7"/>
        <v>50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10</v>
      </c>
      <c r="G71" s="46"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14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840</v>
      </c>
      <c r="K71" s="20"/>
      <c r="M71" s="55"/>
      <c r="U71" s="5"/>
    </row>
    <row r="72" spans="1:21" x14ac:dyDescent="0.65">
      <c r="A72" s="10">
        <v>68</v>
      </c>
      <c r="B72" s="20" t="s">
        <v>83</v>
      </c>
      <c r="C72" s="46"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7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5"/>
      <c r="U72" s="5"/>
    </row>
    <row r="73" spans="1:21" x14ac:dyDescent="0.65">
      <c r="A73" s="10">
        <v>69</v>
      </c>
      <c r="B73" s="20" t="s">
        <v>84</v>
      </c>
      <c r="C73" s="46">
        <v>17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6">
        <f t="shared" si="7"/>
        <v>37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6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360</v>
      </c>
      <c r="K73" s="20"/>
      <c r="M73" s="55"/>
      <c r="U73" s="5"/>
    </row>
    <row r="74" spans="1:21" x14ac:dyDescent="0.65">
      <c r="A74" s="10">
        <v>70</v>
      </c>
      <c r="B74" s="20" t="s">
        <v>85</v>
      </c>
      <c r="C74" s="46">
        <v>14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</v>
      </c>
      <c r="E74" s="46">
        <f t="shared" si="7"/>
        <v>24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1</v>
      </c>
      <c r="G74" s="46"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11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1320</v>
      </c>
      <c r="K74" s="20"/>
      <c r="M74" s="55"/>
      <c r="U74" s="5"/>
    </row>
    <row r="75" spans="1:21" x14ac:dyDescent="0.65">
      <c r="A75" s="10">
        <v>71</v>
      </c>
      <c r="B75" s="20" t="s">
        <v>86</v>
      </c>
      <c r="C75" s="46">
        <v>2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7"/>
        <v>2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5"/>
      <c r="U75" s="5"/>
    </row>
    <row r="76" spans="1:21" x14ac:dyDescent="0.65">
      <c r="A76" s="10">
        <v>72</v>
      </c>
      <c r="B76" s="20" t="s">
        <v>87</v>
      </c>
      <c r="C76" s="46"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7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5"/>
      <c r="U76" s="5"/>
    </row>
    <row r="77" spans="1:21" x14ac:dyDescent="0.65">
      <c r="A77" s="10">
        <v>73</v>
      </c>
      <c r="B77" s="20" t="s">
        <v>88</v>
      </c>
      <c r="C77" s="46">
        <v>3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3</v>
      </c>
      <c r="E77" s="46">
        <f t="shared" si="7"/>
        <v>6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6"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7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350</v>
      </c>
      <c r="K77" s="20"/>
      <c r="M77" s="55"/>
      <c r="U77" s="5"/>
    </row>
    <row r="78" spans="1:21" x14ac:dyDescent="0.65">
      <c r="A78" s="10">
        <v>74</v>
      </c>
      <c r="B78" s="20" t="s">
        <v>89</v>
      </c>
      <c r="C78" s="46"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7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5"/>
      <c r="T78" s="5"/>
    </row>
    <row r="79" spans="1:21" x14ac:dyDescent="0.65">
      <c r="A79" s="10">
        <v>75</v>
      </c>
      <c r="B79" s="20" t="s">
        <v>90</v>
      </c>
      <c r="C79" s="46">
        <v>4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15</v>
      </c>
      <c r="E79" s="46">
        <f t="shared" si="7"/>
        <v>19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6</v>
      </c>
      <c r="G79" s="46"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10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500</v>
      </c>
      <c r="K79" s="20"/>
      <c r="M79" s="55"/>
      <c r="T79" s="5"/>
    </row>
    <row r="80" spans="1:21" x14ac:dyDescent="0.65">
      <c r="A80" s="10">
        <v>76</v>
      </c>
      <c r="B80" s="20" t="s">
        <v>91</v>
      </c>
      <c r="C80" s="46"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7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5"/>
      <c r="T80" s="5"/>
    </row>
    <row r="81" spans="1:21" x14ac:dyDescent="0.65">
      <c r="A81" s="10">
        <v>77</v>
      </c>
      <c r="B81" s="20" t="s">
        <v>92</v>
      </c>
      <c r="C81" s="46"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3</v>
      </c>
      <c r="E81" s="46">
        <f t="shared" si="7"/>
        <v>3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</v>
      </c>
      <c r="K81" s="20"/>
      <c r="M81" s="55"/>
      <c r="T81" s="5"/>
    </row>
    <row r="82" spans="1:21" x14ac:dyDescent="0.65">
      <c r="A82" s="10">
        <v>78</v>
      </c>
      <c r="B82" s="20" t="s">
        <v>93</v>
      </c>
      <c r="C82" s="46"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2</v>
      </c>
      <c r="E82" s="46">
        <f t="shared" si="7"/>
        <v>2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5"/>
      <c r="U82" s="5"/>
    </row>
    <row r="83" spans="1:21" x14ac:dyDescent="0.65">
      <c r="A83" s="10">
        <v>79</v>
      </c>
      <c r="B83" s="20" t="s">
        <v>94</v>
      </c>
      <c r="C83" s="46"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7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5"/>
      <c r="U83" s="5"/>
    </row>
    <row r="84" spans="1:21" x14ac:dyDescent="0.65">
      <c r="A84" s="10">
        <v>80</v>
      </c>
      <c r="B84" s="20" t="s">
        <v>95</v>
      </c>
      <c r="C84" s="46"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7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5"/>
      <c r="U84" s="5"/>
    </row>
    <row r="85" spans="1:21" x14ac:dyDescent="0.65">
      <c r="A85" s="10">
        <v>81</v>
      </c>
      <c r="B85" s="20" t="s">
        <v>96</v>
      </c>
      <c r="C85" s="46">
        <v>17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40</v>
      </c>
      <c r="E85" s="46">
        <f t="shared" si="7"/>
        <v>57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v>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25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2500</v>
      </c>
      <c r="K85" s="20"/>
      <c r="M85" s="55"/>
      <c r="U85" s="5"/>
    </row>
    <row r="86" spans="1:21" x14ac:dyDescent="0.65">
      <c r="A86" s="10">
        <v>82</v>
      </c>
      <c r="B86" s="20" t="s">
        <v>97</v>
      </c>
      <c r="C86" s="46">
        <v>5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6">
        <f t="shared" si="7"/>
        <v>15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110</v>
      </c>
      <c r="K86" s="20"/>
      <c r="M86" s="55"/>
      <c r="U86" s="5"/>
    </row>
    <row r="87" spans="1:21" x14ac:dyDescent="0.65">
      <c r="A87" s="10">
        <v>83</v>
      </c>
      <c r="B87" s="20" t="s">
        <v>98</v>
      </c>
      <c r="C87" s="46">
        <v>13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6">
        <f t="shared" si="7"/>
        <v>13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v>0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4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240</v>
      </c>
      <c r="K87" s="20"/>
      <c r="M87" s="55"/>
      <c r="U87" s="5"/>
    </row>
    <row r="88" spans="1:21" x14ac:dyDescent="0.65">
      <c r="A88" s="10">
        <v>84</v>
      </c>
      <c r="B88" s="20" t="s">
        <v>99</v>
      </c>
      <c r="C88" s="46">
        <v>19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20</v>
      </c>
      <c r="E88" s="46">
        <f t="shared" si="7"/>
        <v>39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5</v>
      </c>
      <c r="G88" s="46">
        <v>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13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1300</v>
      </c>
      <c r="K88" s="20"/>
      <c r="M88" s="55"/>
      <c r="U88" s="5"/>
    </row>
    <row r="89" spans="1:21" x14ac:dyDescent="0.65">
      <c r="A89" s="10">
        <v>85</v>
      </c>
      <c r="B89" s="20" t="s">
        <v>100</v>
      </c>
      <c r="C89" s="46"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7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5"/>
      <c r="U89" s="5"/>
    </row>
    <row r="90" spans="1:21" x14ac:dyDescent="0.65">
      <c r="A90" s="10">
        <v>86</v>
      </c>
      <c r="B90" s="20" t="s">
        <v>101</v>
      </c>
      <c r="C90" s="46"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7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5"/>
      <c r="U90" s="5"/>
    </row>
    <row r="91" spans="1:21" x14ac:dyDescent="0.65">
      <c r="A91" s="10">
        <v>87</v>
      </c>
      <c r="B91" s="20" t="s">
        <v>102</v>
      </c>
      <c r="C91" s="46"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7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5"/>
      <c r="U91" s="5"/>
    </row>
    <row r="92" spans="1:21" x14ac:dyDescent="0.65">
      <c r="A92" s="10">
        <v>88</v>
      </c>
      <c r="B92" s="20" t="s">
        <v>103</v>
      </c>
      <c r="C92" s="46"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7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5"/>
      <c r="U92" s="5"/>
    </row>
    <row r="93" spans="1:21" x14ac:dyDescent="0.65">
      <c r="A93" s="10">
        <v>89</v>
      </c>
      <c r="B93" s="20" t="s">
        <v>104</v>
      </c>
      <c r="C93" s="46"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7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5"/>
      <c r="U93" s="5"/>
    </row>
    <row r="94" spans="1:21" x14ac:dyDescent="0.65">
      <c r="A94" s="10">
        <v>90</v>
      </c>
      <c r="B94" s="20" t="s">
        <v>105</v>
      </c>
      <c r="C94" s="46"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7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5"/>
      <c r="U94" s="5"/>
    </row>
    <row r="95" spans="1:21" x14ac:dyDescent="0.65">
      <c r="A95" s="10">
        <v>91</v>
      </c>
      <c r="B95" s="20" t="s">
        <v>106</v>
      </c>
      <c r="C95" s="46"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7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5"/>
      <c r="U95" s="5"/>
    </row>
    <row r="96" spans="1:21" x14ac:dyDescent="0.65">
      <c r="A96" s="10">
        <v>92</v>
      </c>
      <c r="B96" s="20" t="s">
        <v>107</v>
      </c>
      <c r="C96" s="46"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7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5"/>
      <c r="U96" s="5"/>
    </row>
    <row r="97" spans="1:21" x14ac:dyDescent="0.65">
      <c r="A97" s="10">
        <v>93</v>
      </c>
      <c r="B97" s="20" t="s">
        <v>108</v>
      </c>
      <c r="C97" s="46"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7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5"/>
      <c r="U97" s="5"/>
    </row>
    <row r="98" spans="1:21" x14ac:dyDescent="0.65">
      <c r="A98" s="10">
        <v>94</v>
      </c>
      <c r="B98" s="20" t="s">
        <v>109</v>
      </c>
      <c r="C98" s="46"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7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5"/>
      <c r="U98" s="5"/>
    </row>
    <row r="99" spans="1:21" x14ac:dyDescent="0.65">
      <c r="A99" s="10">
        <v>95</v>
      </c>
      <c r="B99" s="20" t="s">
        <v>110</v>
      </c>
      <c r="C99" s="46"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7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5"/>
      <c r="U99" s="5"/>
    </row>
    <row r="100" spans="1:21" x14ac:dyDescent="0.65">
      <c r="A100" s="10">
        <v>96</v>
      </c>
      <c r="B100" s="20" t="s">
        <v>111</v>
      </c>
      <c r="C100" s="46"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7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5"/>
      <c r="U100" s="5"/>
    </row>
    <row r="101" spans="1:21" x14ac:dyDescent="0.65">
      <c r="A101" s="10">
        <v>97</v>
      </c>
      <c r="B101" s="20" t="s">
        <v>112</v>
      </c>
      <c r="C101" s="46">
        <v>14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25</v>
      </c>
      <c r="E101" s="46">
        <f t="shared" si="7"/>
        <v>39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110</v>
      </c>
      <c r="K101" s="20"/>
      <c r="M101" s="55"/>
      <c r="U101" s="5"/>
    </row>
    <row r="102" spans="1:21" x14ac:dyDescent="0.65">
      <c r="A102" s="10">
        <v>98</v>
      </c>
      <c r="B102" s="20" t="s">
        <v>113</v>
      </c>
      <c r="C102" s="46">
        <v>12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6">
        <f t="shared" si="7"/>
        <v>22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10</v>
      </c>
      <c r="G102" s="46"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3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150</v>
      </c>
      <c r="K102" s="20"/>
      <c r="M102" s="55"/>
      <c r="U102" s="5"/>
    </row>
    <row r="103" spans="1:21" x14ac:dyDescent="0.65">
      <c r="A103" s="10">
        <v>99</v>
      </c>
      <c r="B103" s="20" t="s">
        <v>114</v>
      </c>
      <c r="C103" s="46">
        <v>12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15</v>
      </c>
      <c r="E103" s="46">
        <f t="shared" si="7"/>
        <v>27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4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400</v>
      </c>
      <c r="K103" s="20"/>
      <c r="M103" s="55"/>
      <c r="U103" s="5"/>
    </row>
    <row r="104" spans="1:21" x14ac:dyDescent="0.65">
      <c r="A104" s="10">
        <v>100</v>
      </c>
      <c r="B104" s="20" t="s">
        <v>115</v>
      </c>
      <c r="C104" s="46"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7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5"/>
      <c r="U104" s="5"/>
    </row>
    <row r="105" spans="1:21" x14ac:dyDescent="0.65">
      <c r="A105" s="10">
        <v>101</v>
      </c>
      <c r="B105" s="20" t="s">
        <v>116</v>
      </c>
      <c r="C105" s="46"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7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5"/>
      <c r="U105" s="5"/>
    </row>
    <row r="106" spans="1:21" x14ac:dyDescent="0.65">
      <c r="A106" s="10">
        <v>102</v>
      </c>
      <c r="B106" s="20" t="s">
        <v>117</v>
      </c>
      <c r="C106" s="46"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7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5"/>
      <c r="U106" s="5"/>
    </row>
    <row r="107" spans="1:21" x14ac:dyDescent="0.65">
      <c r="A107" s="10">
        <v>103</v>
      </c>
      <c r="B107" s="20" t="s">
        <v>118</v>
      </c>
      <c r="C107" s="46"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7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5"/>
      <c r="U107" s="5"/>
    </row>
    <row r="108" spans="1:21" x14ac:dyDescent="0.65">
      <c r="A108" s="10">
        <v>104</v>
      </c>
      <c r="B108" s="20" t="s">
        <v>120</v>
      </c>
      <c r="C108" s="46"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7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5"/>
      <c r="U108" s="5"/>
    </row>
    <row r="109" spans="1:21" x14ac:dyDescent="0.65">
      <c r="A109" s="10">
        <v>105</v>
      </c>
      <c r="B109" s="20" t="s">
        <v>121</v>
      </c>
      <c r="C109" s="46"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7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5"/>
      <c r="U109" s="5"/>
    </row>
    <row r="110" spans="1:21" x14ac:dyDescent="0.65">
      <c r="A110" s="10">
        <v>106</v>
      </c>
      <c r="B110" s="20" t="s">
        <v>122</v>
      </c>
      <c r="C110" s="46"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7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5"/>
      <c r="U110" s="5"/>
    </row>
    <row r="111" spans="1:21" x14ac:dyDescent="0.65">
      <c r="A111" s="10">
        <v>107</v>
      </c>
      <c r="B111" s="20" t="s">
        <v>123</v>
      </c>
      <c r="C111" s="46"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7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5"/>
      <c r="U111" s="5"/>
    </row>
    <row r="112" spans="1:21" x14ac:dyDescent="0.65">
      <c r="A112" s="10">
        <v>108</v>
      </c>
      <c r="B112" s="20" t="s">
        <v>124</v>
      </c>
      <c r="C112" s="46"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7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5"/>
      <c r="U112" s="5"/>
    </row>
    <row r="113" spans="1:21" x14ac:dyDescent="0.65">
      <c r="A113" s="10">
        <v>109</v>
      </c>
      <c r="B113" s="20" t="s">
        <v>125</v>
      </c>
      <c r="C113" s="46"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7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5"/>
      <c r="U113" s="5"/>
    </row>
    <row r="114" spans="1:21" x14ac:dyDescent="0.65">
      <c r="A114" s="10">
        <v>110</v>
      </c>
      <c r="B114" s="20" t="s">
        <v>126</v>
      </c>
      <c r="C114" s="46"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7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5"/>
      <c r="U114" s="5"/>
    </row>
    <row r="115" spans="1:21" x14ac:dyDescent="0.65">
      <c r="A115" s="10">
        <v>111</v>
      </c>
      <c r="B115" s="20" t="s">
        <v>127</v>
      </c>
      <c r="C115" s="46"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7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5"/>
      <c r="U115" s="5"/>
    </row>
    <row r="116" spans="1:21" x14ac:dyDescent="0.65">
      <c r="A116" s="10">
        <v>112</v>
      </c>
      <c r="B116" s="20" t="s">
        <v>128</v>
      </c>
      <c r="C116" s="46"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7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5"/>
      <c r="U116" s="5"/>
    </row>
    <row r="117" spans="1:21" x14ac:dyDescent="0.65">
      <c r="A117" s="10">
        <v>113</v>
      </c>
      <c r="B117" s="20" t="s">
        <v>129</v>
      </c>
      <c r="C117" s="46"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7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5"/>
      <c r="U117" s="5"/>
    </row>
    <row r="118" spans="1:21" x14ac:dyDescent="0.65">
      <c r="A118" s="10">
        <v>114</v>
      </c>
      <c r="B118" s="20" t="s">
        <v>130</v>
      </c>
      <c r="C118" s="46"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7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5"/>
      <c r="U118" s="5"/>
    </row>
    <row r="119" spans="1:21" x14ac:dyDescent="0.65">
      <c r="A119" s="10">
        <v>115</v>
      </c>
      <c r="B119" s="20" t="s">
        <v>131</v>
      </c>
      <c r="C119" s="46"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7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5"/>
      <c r="U119" s="5"/>
    </row>
    <row r="120" spans="1:21" x14ac:dyDescent="0.65">
      <c r="A120" s="10">
        <v>116</v>
      </c>
      <c r="B120" s="20" t="s">
        <v>132</v>
      </c>
      <c r="C120" s="46"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7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5"/>
      <c r="U120" s="5"/>
    </row>
    <row r="121" spans="1:21" x14ac:dyDescent="0.65">
      <c r="A121" s="10">
        <v>117</v>
      </c>
      <c r="B121" s="20" t="s">
        <v>133</v>
      </c>
      <c r="C121" s="46"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7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5"/>
      <c r="U121" s="5"/>
    </row>
    <row r="122" spans="1:21" x14ac:dyDescent="0.65">
      <c r="A122" s="10">
        <v>118</v>
      </c>
      <c r="B122" s="20" t="s">
        <v>134</v>
      </c>
      <c r="C122" s="46"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7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5"/>
      <c r="U122" s="5"/>
    </row>
    <row r="123" spans="1:21" x14ac:dyDescent="0.65">
      <c r="A123" s="10">
        <v>119</v>
      </c>
      <c r="B123" s="20" t="s">
        <v>135</v>
      </c>
      <c r="C123" s="46"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7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5"/>
      <c r="U123" s="5"/>
    </row>
    <row r="124" spans="1:21" x14ac:dyDescent="0.65">
      <c r="A124" s="10">
        <v>120</v>
      </c>
      <c r="B124" s="20" t="s">
        <v>136</v>
      </c>
      <c r="C124" s="46"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7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5"/>
      <c r="U124" s="5"/>
    </row>
    <row r="125" spans="1:21" x14ac:dyDescent="0.65">
      <c r="A125" s="10">
        <v>121</v>
      </c>
      <c r="B125" s="20" t="s">
        <v>137</v>
      </c>
      <c r="C125" s="46"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7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5"/>
      <c r="U125" s="5"/>
    </row>
    <row r="126" spans="1:21" x14ac:dyDescent="0.65">
      <c r="A126" s="10">
        <v>122</v>
      </c>
      <c r="B126" s="20" t="s">
        <v>138</v>
      </c>
      <c r="C126" s="46"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7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5"/>
      <c r="U126" s="5"/>
    </row>
    <row r="127" spans="1:21" x14ac:dyDescent="0.65">
      <c r="A127" s="10">
        <v>123</v>
      </c>
      <c r="B127" s="20" t="s">
        <v>139</v>
      </c>
      <c r="C127" s="46"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7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5"/>
      <c r="U127" s="5"/>
    </row>
    <row r="128" spans="1:21" x14ac:dyDescent="0.65">
      <c r="A128" s="10">
        <v>124</v>
      </c>
      <c r="B128" s="20" t="s">
        <v>140</v>
      </c>
      <c r="C128" s="46"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7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5"/>
      <c r="U128" s="5"/>
    </row>
    <row r="129" spans="1:21" x14ac:dyDescent="0.65">
      <c r="A129" s="10">
        <v>125</v>
      </c>
      <c r="B129" s="20" t="s">
        <v>141</v>
      </c>
      <c r="C129" s="46"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7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5"/>
      <c r="U129" s="5"/>
    </row>
    <row r="130" spans="1:21" x14ac:dyDescent="0.65">
      <c r="A130" s="10">
        <v>126</v>
      </c>
      <c r="B130" s="20" t="s">
        <v>142</v>
      </c>
      <c r="C130" s="46"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7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5"/>
      <c r="U130" s="5"/>
    </row>
    <row r="131" spans="1:21" x14ac:dyDescent="0.65">
      <c r="A131" s="10">
        <v>127</v>
      </c>
      <c r="B131" s="20" t="s">
        <v>143</v>
      </c>
      <c r="C131" s="46"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7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5"/>
      <c r="U131" s="5"/>
    </row>
    <row r="132" spans="1:21" x14ac:dyDescent="0.65">
      <c r="A132" s="10">
        <v>128</v>
      </c>
      <c r="B132" s="20" t="s">
        <v>144</v>
      </c>
      <c r="C132" s="46"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7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5"/>
      <c r="U132" s="5"/>
    </row>
    <row r="133" spans="1:21" x14ac:dyDescent="0.65">
      <c r="A133" s="10">
        <v>129</v>
      </c>
      <c r="B133" s="20" t="s">
        <v>145</v>
      </c>
      <c r="C133" s="46"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7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5"/>
      <c r="U133" s="5"/>
    </row>
    <row r="134" spans="1:21" x14ac:dyDescent="0.65">
      <c r="A134" s="10">
        <v>130</v>
      </c>
      <c r="B134" s="20" t="s">
        <v>146</v>
      </c>
      <c r="C134" s="46"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8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5"/>
      <c r="U134" s="5"/>
    </row>
    <row r="135" spans="1:21" x14ac:dyDescent="0.65">
      <c r="A135" s="10">
        <v>131</v>
      </c>
      <c r="B135" s="20" t="s">
        <v>147</v>
      </c>
      <c r="C135" s="46"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8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5"/>
      <c r="U135" s="5"/>
    </row>
    <row r="136" spans="1:21" x14ac:dyDescent="0.65">
      <c r="A136" s="10">
        <v>132</v>
      </c>
      <c r="B136" s="20" t="s">
        <v>148</v>
      </c>
      <c r="C136" s="46"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8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5"/>
      <c r="U136" s="5"/>
    </row>
    <row r="137" spans="1:21" x14ac:dyDescent="0.65">
      <c r="A137" s="10">
        <v>133</v>
      </c>
      <c r="B137" s="20" t="s">
        <v>149</v>
      </c>
      <c r="C137" s="46"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8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5"/>
      <c r="U137" s="5"/>
    </row>
    <row r="138" spans="1:21" x14ac:dyDescent="0.65">
      <c r="A138" s="10">
        <v>134</v>
      </c>
      <c r="B138" s="20" t="s">
        <v>150</v>
      </c>
      <c r="C138" s="46"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8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5"/>
      <c r="U138" s="5"/>
    </row>
    <row r="139" spans="1:21" x14ac:dyDescent="0.65">
      <c r="A139" s="10">
        <v>135</v>
      </c>
      <c r="B139" s="20" t="s">
        <v>151</v>
      </c>
      <c r="C139" s="46"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8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5"/>
      <c r="U139" s="5"/>
    </row>
    <row r="140" spans="1:21" x14ac:dyDescent="0.65">
      <c r="A140" s="10">
        <v>136</v>
      </c>
      <c r="B140" s="20" t="s">
        <v>152</v>
      </c>
      <c r="C140" s="46"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8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5"/>
      <c r="U140" s="5"/>
    </row>
    <row r="141" spans="1:21" x14ac:dyDescent="0.65">
      <c r="A141" s="10">
        <v>137</v>
      </c>
      <c r="B141" s="20" t="s">
        <v>153</v>
      </c>
      <c r="C141" s="46"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8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5"/>
      <c r="U141" s="5"/>
    </row>
    <row r="142" spans="1:21" x14ac:dyDescent="0.65">
      <c r="A142" s="10">
        <v>138</v>
      </c>
      <c r="B142" s="20" t="s">
        <v>154</v>
      </c>
      <c r="C142" s="46">
        <v>10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8</v>
      </c>
      <c r="E142" s="46">
        <f t="shared" si="8"/>
        <v>18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2</v>
      </c>
      <c r="G142" s="46"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10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1200</v>
      </c>
      <c r="K142" s="20"/>
      <c r="M142" s="55"/>
      <c r="U142" s="5"/>
    </row>
    <row r="143" spans="1:21" x14ac:dyDescent="0.65">
      <c r="A143" s="10">
        <v>139</v>
      </c>
      <c r="B143" s="20" t="s">
        <v>155</v>
      </c>
      <c r="C143" s="46">
        <v>10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3</v>
      </c>
      <c r="E143" s="46">
        <f t="shared" si="8"/>
        <v>13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2</v>
      </c>
      <c r="G143" s="46"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4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480</v>
      </c>
      <c r="K143" s="20"/>
      <c r="M143" s="55"/>
      <c r="U143" s="5"/>
    </row>
    <row r="144" spans="1:21" x14ac:dyDescent="0.65">
      <c r="A144" s="10">
        <v>140</v>
      </c>
      <c r="B144" s="20" t="s">
        <v>156</v>
      </c>
      <c r="C144" s="46"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8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5"/>
      <c r="U144" s="5"/>
    </row>
    <row r="145" spans="1:21" x14ac:dyDescent="0.65">
      <c r="A145" s="10">
        <v>141</v>
      </c>
      <c r="B145" s="20" t="s">
        <v>157</v>
      </c>
      <c r="C145" s="46"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8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5"/>
      <c r="U145" s="5"/>
    </row>
    <row r="146" spans="1:21" x14ac:dyDescent="0.65">
      <c r="A146" s="10">
        <v>142</v>
      </c>
      <c r="B146" s="20" t="s">
        <v>158</v>
      </c>
      <c r="C146" s="46"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8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5"/>
      <c r="U146" s="5"/>
    </row>
    <row r="147" spans="1:21" x14ac:dyDescent="0.65">
      <c r="A147" s="10">
        <v>143</v>
      </c>
      <c r="B147" s="20" t="s">
        <v>159</v>
      </c>
      <c r="C147" s="46"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8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5"/>
      <c r="U147" s="5"/>
    </row>
    <row r="148" spans="1:21" x14ac:dyDescent="0.65">
      <c r="A148" s="10">
        <v>144</v>
      </c>
      <c r="B148" s="20" t="s">
        <v>160</v>
      </c>
      <c r="C148" s="46"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8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5"/>
      <c r="U148" s="5"/>
    </row>
    <row r="149" spans="1:21" x14ac:dyDescent="0.65">
      <c r="A149" s="10">
        <v>145</v>
      </c>
      <c r="B149" s="20" t="s">
        <v>161</v>
      </c>
      <c r="C149" s="46"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8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5"/>
      <c r="U149" s="5"/>
    </row>
    <row r="150" spans="1:21" x14ac:dyDescent="0.65">
      <c r="A150" s="10">
        <v>146</v>
      </c>
      <c r="B150" s="20" t="s">
        <v>162</v>
      </c>
      <c r="C150" s="46">
        <v>12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8"/>
        <v>12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</v>
      </c>
      <c r="G150" s="46"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3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360</v>
      </c>
      <c r="K150" s="20"/>
      <c r="M150" s="55"/>
      <c r="U150" s="5"/>
    </row>
    <row r="151" spans="1:21" x14ac:dyDescent="0.65">
      <c r="A151" s="10">
        <v>147</v>
      </c>
      <c r="B151" s="20" t="s">
        <v>163</v>
      </c>
      <c r="C151" s="46">
        <v>9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8"/>
        <v>9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1</v>
      </c>
      <c r="G151" s="46"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5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600</v>
      </c>
      <c r="K151" s="20"/>
      <c r="M151" s="55"/>
      <c r="U151" s="5"/>
    </row>
    <row r="152" spans="1:21" x14ac:dyDescent="0.65">
      <c r="A152" s="10">
        <v>148</v>
      </c>
      <c r="B152" s="20" t="s">
        <v>164</v>
      </c>
      <c r="C152" s="46">
        <v>8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5</v>
      </c>
      <c r="E152" s="46">
        <f t="shared" si="8"/>
        <v>13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5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600</v>
      </c>
      <c r="K152" s="20"/>
      <c r="M152" s="55"/>
      <c r="U152" s="5"/>
    </row>
    <row r="153" spans="1:21" x14ac:dyDescent="0.65">
      <c r="A153" s="10">
        <v>149</v>
      </c>
      <c r="B153" s="20" t="s">
        <v>165</v>
      </c>
      <c r="C153" s="46"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8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5"/>
      <c r="U153" s="5"/>
    </row>
    <row r="154" spans="1:21" x14ac:dyDescent="0.65">
      <c r="A154" s="10">
        <v>150</v>
      </c>
      <c r="B154" s="20" t="s">
        <v>166</v>
      </c>
      <c r="C154" s="46"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8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5"/>
      <c r="U154" s="5"/>
    </row>
    <row r="155" spans="1:21" x14ac:dyDescent="0.65">
      <c r="A155" s="10">
        <v>151</v>
      </c>
      <c r="B155" s="20" t="s">
        <v>167</v>
      </c>
      <c r="C155" s="46"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8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5"/>
      <c r="U155" s="5"/>
    </row>
    <row r="156" spans="1:21" x14ac:dyDescent="0.65">
      <c r="A156" s="10">
        <v>152</v>
      </c>
      <c r="B156" s="20" t="s">
        <v>168</v>
      </c>
      <c r="C156" s="46"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8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5"/>
      <c r="U156" s="5"/>
    </row>
    <row r="157" spans="1:21" x14ac:dyDescent="0.65">
      <c r="A157" s="10">
        <v>153</v>
      </c>
      <c r="B157" s="20" t="s">
        <v>169</v>
      </c>
      <c r="C157" s="46"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8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5"/>
      <c r="U157" s="5"/>
    </row>
    <row r="158" spans="1:21" x14ac:dyDescent="0.65">
      <c r="A158" s="10">
        <v>154</v>
      </c>
      <c r="B158" s="20" t="s">
        <v>170</v>
      </c>
      <c r="C158" s="46"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8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5"/>
      <c r="U158" s="5"/>
    </row>
    <row r="159" spans="1:21" x14ac:dyDescent="0.65">
      <c r="A159" s="10">
        <v>155</v>
      </c>
      <c r="B159" s="20" t="s">
        <v>171</v>
      </c>
      <c r="C159" s="46"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8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5"/>
      <c r="U159" s="5"/>
    </row>
    <row r="160" spans="1:21" x14ac:dyDescent="0.65">
      <c r="A160" s="10">
        <v>156</v>
      </c>
      <c r="B160" s="20" t="s">
        <v>172</v>
      </c>
      <c r="C160" s="46"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8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5"/>
      <c r="U160" s="5"/>
    </row>
    <row r="161" spans="1:21" x14ac:dyDescent="0.65">
      <c r="A161" s="10">
        <v>157</v>
      </c>
      <c r="B161" s="20" t="s">
        <v>173</v>
      </c>
      <c r="C161" s="46">
        <v>3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8"/>
        <v>3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5"/>
      <c r="U161" s="5"/>
    </row>
    <row r="162" spans="1:21" x14ac:dyDescent="0.65">
      <c r="A162" s="10">
        <v>158</v>
      </c>
      <c r="B162" s="20" t="s">
        <v>174</v>
      </c>
      <c r="C162" s="46"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8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5"/>
      <c r="U162" s="5"/>
    </row>
    <row r="163" spans="1:21" x14ac:dyDescent="0.65">
      <c r="A163" s="10">
        <v>159</v>
      </c>
      <c r="B163" s="20" t="s">
        <v>175</v>
      </c>
      <c r="C163" s="46"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8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5"/>
      <c r="U163" s="5"/>
    </row>
    <row r="164" spans="1:21" x14ac:dyDescent="0.65">
      <c r="A164" s="10">
        <v>160</v>
      </c>
      <c r="B164" s="20" t="s">
        <v>176</v>
      </c>
      <c r="C164" s="46">
        <v>4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5</v>
      </c>
      <c r="E164" s="46">
        <f t="shared" si="8"/>
        <v>9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50</v>
      </c>
      <c r="K164" s="20"/>
      <c r="M164" s="55"/>
      <c r="U164" s="5"/>
    </row>
    <row r="165" spans="1:21" x14ac:dyDescent="0.65">
      <c r="A165" s="10">
        <v>161</v>
      </c>
      <c r="B165" s="20" t="s">
        <v>177</v>
      </c>
      <c r="C165" s="46"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8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5"/>
      <c r="U165" s="5"/>
    </row>
    <row r="166" spans="1:21" x14ac:dyDescent="0.65">
      <c r="A166" s="10">
        <v>162</v>
      </c>
      <c r="B166" s="20" t="s">
        <v>178</v>
      </c>
      <c r="C166" s="46">
        <v>2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8"/>
        <v>2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5"/>
      <c r="U166" s="5"/>
    </row>
    <row r="167" spans="1:21" x14ac:dyDescent="0.65">
      <c r="A167" s="10">
        <v>163</v>
      </c>
      <c r="B167" s="20" t="s">
        <v>179</v>
      </c>
      <c r="C167" s="46">
        <v>7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6">
        <f t="shared" si="8"/>
        <v>12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3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150</v>
      </c>
      <c r="K167" s="20"/>
      <c r="M167" s="55"/>
      <c r="U167" s="5"/>
    </row>
    <row r="168" spans="1:21" x14ac:dyDescent="0.65">
      <c r="A168" s="10">
        <v>164</v>
      </c>
      <c r="B168" s="20" t="s">
        <v>180</v>
      </c>
      <c r="C168" s="46">
        <v>63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86</v>
      </c>
      <c r="E168" s="46">
        <f t="shared" si="8"/>
        <v>149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110</v>
      </c>
      <c r="K168" s="20"/>
      <c r="M168" s="55"/>
      <c r="U168" s="5"/>
    </row>
    <row r="169" spans="1:21" x14ac:dyDescent="0.65">
      <c r="A169" s="10">
        <v>165</v>
      </c>
      <c r="B169" s="20" t="s">
        <v>181</v>
      </c>
      <c r="C169" s="46"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8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5"/>
      <c r="U169" s="5"/>
    </row>
    <row r="170" spans="1:21" x14ac:dyDescent="0.65">
      <c r="A170" s="10">
        <v>166</v>
      </c>
      <c r="B170" s="20" t="s">
        <v>182</v>
      </c>
      <c r="C170" s="46">
        <v>6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25</v>
      </c>
      <c r="E170" s="46">
        <f t="shared" si="8"/>
        <v>31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4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320</v>
      </c>
      <c r="K170" s="20"/>
      <c r="M170" s="55"/>
      <c r="U170" s="5"/>
    </row>
    <row r="171" spans="1:21" x14ac:dyDescent="0.65">
      <c r="A171" s="10">
        <v>167</v>
      </c>
      <c r="B171" s="20" t="s">
        <v>183</v>
      </c>
      <c r="C171" s="46"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8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5"/>
      <c r="U171" s="5"/>
    </row>
    <row r="172" spans="1:21" x14ac:dyDescent="0.65">
      <c r="A172" s="10">
        <v>168</v>
      </c>
      <c r="B172" s="20" t="s">
        <v>184</v>
      </c>
      <c r="C172" s="46"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8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5"/>
      <c r="U172" s="5"/>
    </row>
    <row r="173" spans="1:21" x14ac:dyDescent="0.65">
      <c r="A173" s="10">
        <v>169</v>
      </c>
      <c r="B173" s="20" t="s">
        <v>185</v>
      </c>
      <c r="C173" s="46"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8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5"/>
      <c r="U173" s="5"/>
    </row>
    <row r="174" spans="1:21" x14ac:dyDescent="0.65">
      <c r="A174" s="10">
        <v>170</v>
      </c>
      <c r="B174" s="20" t="s">
        <v>186</v>
      </c>
      <c r="C174" s="46"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8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5"/>
      <c r="U174" s="5"/>
    </row>
    <row r="175" spans="1:21" x14ac:dyDescent="0.65">
      <c r="A175" s="10">
        <v>171</v>
      </c>
      <c r="B175" s="20" t="s">
        <v>187</v>
      </c>
      <c r="C175" s="46"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8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5"/>
      <c r="U175" s="5"/>
    </row>
    <row r="176" spans="1:21" x14ac:dyDescent="0.65">
      <c r="A176" s="10">
        <v>172</v>
      </c>
      <c r="B176" s="20" t="s">
        <v>188</v>
      </c>
      <c r="C176" s="46"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8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5"/>
      <c r="U176" s="5"/>
    </row>
    <row r="177" spans="1:21" x14ac:dyDescent="0.65">
      <c r="A177" s="10">
        <v>173</v>
      </c>
      <c r="B177" s="20" t="s">
        <v>189</v>
      </c>
      <c r="C177" s="46"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8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5"/>
      <c r="U177" s="5"/>
    </row>
    <row r="178" spans="1:21" x14ac:dyDescent="0.65">
      <c r="A178" s="10">
        <v>174</v>
      </c>
      <c r="B178" s="20" t="s">
        <v>190</v>
      </c>
      <c r="C178" s="46">
        <v>1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5</v>
      </c>
      <c r="E178" s="46">
        <f t="shared" si="8"/>
        <v>6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10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1200</v>
      </c>
      <c r="K178" s="20"/>
      <c r="M178" s="55"/>
      <c r="U178" s="5"/>
    </row>
    <row r="179" spans="1:21" x14ac:dyDescent="0.65">
      <c r="A179" s="10">
        <v>175</v>
      </c>
      <c r="B179" s="20" t="s">
        <v>191</v>
      </c>
      <c r="C179" s="46"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8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5"/>
      <c r="U179" s="5"/>
    </row>
    <row r="180" spans="1:21" x14ac:dyDescent="0.65">
      <c r="A180" s="10">
        <v>176</v>
      </c>
      <c r="B180" s="20" t="s">
        <v>192</v>
      </c>
      <c r="C180" s="46"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8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5"/>
      <c r="U180" s="5"/>
    </row>
    <row r="181" spans="1:21" x14ac:dyDescent="0.65">
      <c r="A181" s="10">
        <v>177</v>
      </c>
      <c r="B181" s="20" t="s">
        <v>193</v>
      </c>
      <c r="C181" s="46"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8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5"/>
      <c r="U181" s="5"/>
    </row>
    <row r="182" spans="1:21" x14ac:dyDescent="0.65">
      <c r="A182" s="10">
        <v>178</v>
      </c>
      <c r="B182" s="20" t="s">
        <v>194</v>
      </c>
      <c r="C182" s="46"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8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5"/>
      <c r="U182" s="5"/>
    </row>
    <row r="183" spans="1:21" x14ac:dyDescent="0.65">
      <c r="A183" s="10">
        <v>179</v>
      </c>
      <c r="B183" s="20" t="s">
        <v>195</v>
      </c>
      <c r="C183" s="46"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8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5"/>
      <c r="U183" s="5"/>
    </row>
    <row r="184" spans="1:21" x14ac:dyDescent="0.65">
      <c r="A184" s="10">
        <v>180</v>
      </c>
      <c r="B184" s="20" t="s">
        <v>196</v>
      </c>
      <c r="C184" s="46"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8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5"/>
      <c r="U184" s="5"/>
    </row>
    <row r="185" spans="1:21" x14ac:dyDescent="0.65">
      <c r="A185" s="10">
        <v>181</v>
      </c>
      <c r="B185" s="20" t="s">
        <v>197</v>
      </c>
      <c r="C185" s="46"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8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5"/>
      <c r="U185" s="5"/>
    </row>
    <row r="186" spans="1:21" x14ac:dyDescent="0.65">
      <c r="A186" s="10">
        <v>182</v>
      </c>
      <c r="B186" s="20" t="s">
        <v>198</v>
      </c>
      <c r="C186" s="46"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8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5"/>
      <c r="U186" s="5"/>
    </row>
    <row r="187" spans="1:21" x14ac:dyDescent="0.65">
      <c r="A187" s="10">
        <v>183</v>
      </c>
      <c r="B187" s="20" t="s">
        <v>199</v>
      </c>
      <c r="C187" s="46"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8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5"/>
      <c r="U187" s="5"/>
    </row>
    <row r="188" spans="1:21" x14ac:dyDescent="0.65">
      <c r="A188" s="10">
        <v>184</v>
      </c>
      <c r="B188" s="20" t="s">
        <v>200</v>
      </c>
      <c r="C188" s="46"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8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5"/>
      <c r="U188" s="5"/>
    </row>
    <row r="189" spans="1:21" x14ac:dyDescent="0.65">
      <c r="A189" s="10">
        <v>185</v>
      </c>
      <c r="B189" s="20" t="s">
        <v>214</v>
      </c>
      <c r="C189" s="46"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8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60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5"/>
      <c r="U189" s="5"/>
    </row>
    <row r="190" spans="1:21" x14ac:dyDescent="0.65">
      <c r="A190" s="10">
        <v>186</v>
      </c>
      <c r="B190" s="20" t="s">
        <v>215</v>
      </c>
      <c r="C190" s="46"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8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65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5"/>
      <c r="U190" s="5"/>
    </row>
    <row r="191" spans="1:21" x14ac:dyDescent="0.65">
      <c r="A191" s="10">
        <v>187</v>
      </c>
      <c r="B191" s="20" t="s">
        <v>216</v>
      </c>
      <c r="C191" s="46"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8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65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5"/>
      <c r="U191" s="5"/>
    </row>
    <row r="192" spans="1:21" x14ac:dyDescent="0.65">
      <c r="A192" s="10">
        <v>188</v>
      </c>
      <c r="B192" s="20" t="s">
        <v>244</v>
      </c>
      <c r="C192" s="46">
        <v>4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8"/>
        <v>4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120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5"/>
      <c r="U192" s="5"/>
    </row>
    <row r="193" spans="1:22" x14ac:dyDescent="0.65">
      <c r="A193" s="10">
        <v>189</v>
      </c>
      <c r="B193" s="20" t="s">
        <v>245</v>
      </c>
      <c r="C193" s="46"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8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5"/>
      <c r="U193" s="5"/>
    </row>
    <row r="194" spans="1:22" x14ac:dyDescent="0.65">
      <c r="A194" s="10">
        <v>190</v>
      </c>
      <c r="B194" s="11"/>
      <c r="C194" s="46"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10</v>
      </c>
      <c r="E194" s="46">
        <f t="shared" si="8"/>
        <v>10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5"/>
      <c r="U194" s="5"/>
    </row>
    <row r="195" spans="1:22" x14ac:dyDescent="0.65">
      <c r="A195" s="10">
        <v>191</v>
      </c>
      <c r="B195" s="11"/>
      <c r="C195" s="46"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8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5"/>
      <c r="U195" s="5"/>
    </row>
    <row r="196" spans="1:22" x14ac:dyDescent="0.65">
      <c r="A196" s="10">
        <v>192</v>
      </c>
      <c r="B196" s="11"/>
      <c r="C196" s="46"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8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0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5"/>
      <c r="U196" s="5"/>
    </row>
    <row r="197" spans="1:22" x14ac:dyDescent="0.65">
      <c r="A197" s="10">
        <v>193</v>
      </c>
      <c r="B197" s="11"/>
      <c r="C197" s="46"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8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5"/>
      <c r="U197" s="5"/>
    </row>
    <row r="198" spans="1:22" x14ac:dyDescent="0.65">
      <c r="A198" s="10">
        <v>194</v>
      </c>
      <c r="B198" s="11"/>
      <c r="C198" s="46"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04" si="9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5"/>
      <c r="U198" s="5"/>
    </row>
    <row r="199" spans="1:22" x14ac:dyDescent="0.65">
      <c r="A199" s="10">
        <v>195</v>
      </c>
      <c r="B199" s="11"/>
      <c r="C199" s="46"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9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5"/>
      <c r="U199" s="5"/>
    </row>
    <row r="200" spans="1:22" x14ac:dyDescent="0.65">
      <c r="A200" s="10">
        <v>196</v>
      </c>
      <c r="B200" s="11"/>
      <c r="C200" s="46"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9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5"/>
      <c r="U200" s="5"/>
    </row>
    <row r="201" spans="1:22" x14ac:dyDescent="0.65">
      <c r="A201" s="10">
        <v>197</v>
      </c>
      <c r="B201" s="11"/>
      <c r="C201" s="46"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9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5"/>
      <c r="U201" s="5"/>
    </row>
    <row r="202" spans="1:22" x14ac:dyDescent="0.65">
      <c r="A202" s="10">
        <v>198</v>
      </c>
      <c r="B202" s="11"/>
      <c r="C202" s="46"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9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5"/>
      <c r="U202" s="5"/>
    </row>
    <row r="203" spans="1:22" x14ac:dyDescent="0.65">
      <c r="A203" s="10">
        <v>199</v>
      </c>
      <c r="B203" s="11"/>
      <c r="C203" s="46"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9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5"/>
      <c r="U203" s="5"/>
    </row>
    <row r="204" spans="1:22" x14ac:dyDescent="0.65">
      <c r="A204" s="10">
        <v>200</v>
      </c>
      <c r="B204" s="11"/>
      <c r="C204" s="46"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5"/>
      <c r="U204" s="5"/>
    </row>
    <row r="205" spans="1:22" ht="26.4" x14ac:dyDescent="0.7">
      <c r="A205" s="10">
        <v>233</v>
      </c>
      <c r="B205" s="20"/>
      <c r="C205" s="46"/>
      <c r="D205" s="47"/>
      <c r="E205" s="46"/>
      <c r="F205" s="47"/>
      <c r="G205" s="46"/>
      <c r="H205" s="47"/>
      <c r="I205" s="16"/>
      <c r="J205" s="47"/>
      <c r="K205" s="20"/>
      <c r="M205" s="55"/>
      <c r="U205" s="5"/>
      <c r="V205" s="59"/>
    </row>
    <row r="206" spans="1:22" s="56" customFormat="1" ht="28.8" x14ac:dyDescent="0.75">
      <c r="A206" s="113" t="s">
        <v>226</v>
      </c>
      <c r="B206" s="114"/>
      <c r="C206" s="114"/>
      <c r="D206" s="114"/>
      <c r="E206" s="114"/>
      <c r="F206" s="114"/>
      <c r="G206" s="114"/>
      <c r="H206" s="114"/>
      <c r="I206" s="114"/>
      <c r="J206" s="114"/>
      <c r="K206" s="115"/>
      <c r="M206" s="57"/>
      <c r="N206" s="57"/>
      <c r="O206" s="57"/>
      <c r="P206" s="58"/>
      <c r="Q206" s="58"/>
      <c r="R206" s="58"/>
      <c r="S206" s="58"/>
      <c r="T206" s="58"/>
      <c r="U206" s="5"/>
      <c r="V206" s="61"/>
    </row>
    <row r="207" spans="1:22" s="59" customFormat="1" ht="26.4" x14ac:dyDescent="0.7">
      <c r="A207" s="116" t="s">
        <v>227</v>
      </c>
      <c r="B207" s="117"/>
      <c r="C207" s="118" t="s">
        <v>228</v>
      </c>
      <c r="D207" s="119"/>
      <c r="E207" s="120" t="s">
        <v>229</v>
      </c>
      <c r="F207" s="121"/>
      <c r="G207" s="122" t="s">
        <v>230</v>
      </c>
      <c r="H207" s="122"/>
      <c r="I207" s="122"/>
      <c r="J207" s="62">
        <f>SUM(J5:J205)</f>
        <v>26980</v>
      </c>
      <c r="K207" s="63" t="s">
        <v>222</v>
      </c>
      <c r="M207" s="60"/>
      <c r="N207" s="60"/>
      <c r="O207" s="60"/>
      <c r="P207" s="60"/>
      <c r="Q207" s="60"/>
      <c r="R207" s="60"/>
      <c r="S207" s="60"/>
      <c r="T207" s="60"/>
      <c r="U207" s="5"/>
      <c r="V207" s="61"/>
    </row>
    <row r="208" spans="1:22" s="61" customFormat="1" x14ac:dyDescent="0.65">
      <c r="A208" s="64" t="s">
        <v>231</v>
      </c>
      <c r="B208" s="65">
        <f>+J210</f>
        <v>26980</v>
      </c>
      <c r="C208" s="66" t="s">
        <v>232</v>
      </c>
      <c r="D208" s="67">
        <f>+J207</f>
        <v>26980</v>
      </c>
      <c r="E208" s="68" t="s">
        <v>220</v>
      </c>
      <c r="F208" s="69">
        <f>SUM(P36)</f>
        <v>180</v>
      </c>
      <c r="G208" s="104"/>
      <c r="H208" s="104"/>
      <c r="I208" s="104"/>
      <c r="J208" s="71"/>
      <c r="K208" s="71">
        <f>+R36</f>
        <v>6245</v>
      </c>
      <c r="M208" s="5"/>
      <c r="N208" s="5"/>
      <c r="O208" s="5"/>
      <c r="P208" s="5"/>
      <c r="Q208" s="5"/>
      <c r="R208" s="5"/>
      <c r="S208" s="5"/>
      <c r="T208" s="5"/>
      <c r="U208" s="5"/>
    </row>
    <row r="209" spans="1:22" s="61" customFormat="1" x14ac:dyDescent="0.65">
      <c r="A209" s="64"/>
      <c r="B209" s="65"/>
      <c r="C209" s="66" t="s">
        <v>233</v>
      </c>
      <c r="D209" s="67">
        <f>K210</f>
        <v>2295</v>
      </c>
      <c r="E209" s="68"/>
      <c r="F209" s="72">
        <v>0</v>
      </c>
      <c r="G209" s="104" t="s">
        <v>234</v>
      </c>
      <c r="H209" s="104"/>
      <c r="I209" s="104"/>
      <c r="J209" s="71">
        <f>-O36</f>
        <v>0</v>
      </c>
      <c r="K209" s="71" t="s">
        <v>233</v>
      </c>
      <c r="M209" s="5"/>
      <c r="N209" s="5"/>
      <c r="O209" s="5"/>
      <c r="P209" s="5"/>
      <c r="Q209" s="5"/>
      <c r="R209" s="5"/>
      <c r="S209" s="5"/>
      <c r="T209" s="5"/>
      <c r="U209" s="5"/>
    </row>
    <row r="210" spans="1:22" s="61" customFormat="1" x14ac:dyDescent="0.65">
      <c r="A210" s="74" t="s">
        <v>10</v>
      </c>
      <c r="B210" s="65">
        <f>+D209</f>
        <v>2295</v>
      </c>
      <c r="C210" s="66"/>
      <c r="D210" s="67"/>
      <c r="E210" s="68" t="s">
        <v>235</v>
      </c>
      <c r="F210" s="72">
        <f>+Q36</f>
        <v>0</v>
      </c>
      <c r="G210" s="105" t="s">
        <v>236</v>
      </c>
      <c r="H210" s="106"/>
      <c r="I210" s="107"/>
      <c r="J210" s="71">
        <f>+J207-J208</f>
        <v>26980</v>
      </c>
      <c r="K210" s="75">
        <f>+N36</f>
        <v>2295</v>
      </c>
      <c r="M210" s="73"/>
      <c r="N210" s="5"/>
      <c r="O210" s="5"/>
      <c r="P210" s="5"/>
      <c r="Q210" s="5"/>
      <c r="R210" s="5"/>
      <c r="S210" s="5"/>
      <c r="T210" s="5"/>
      <c r="U210" s="5"/>
    </row>
    <row r="211" spans="1:22" s="61" customFormat="1" ht="25.2" thickBot="1" x14ac:dyDescent="0.7">
      <c r="A211" s="76" t="s">
        <v>237</v>
      </c>
      <c r="B211" s="65">
        <f>B208-B210</f>
        <v>24685</v>
      </c>
      <c r="C211" s="66" t="s">
        <v>237</v>
      </c>
      <c r="D211" s="67">
        <f>+D208-D209</f>
        <v>24685</v>
      </c>
      <c r="E211" s="68" t="s">
        <v>238</v>
      </c>
      <c r="F211" s="72">
        <f>SUM(F208:F210)</f>
        <v>180</v>
      </c>
      <c r="G211" s="104" t="s">
        <v>205</v>
      </c>
      <c r="H211" s="104"/>
      <c r="I211" s="104"/>
      <c r="J211" s="71">
        <f>F211</f>
        <v>180</v>
      </c>
      <c r="K211" s="70"/>
      <c r="M211" s="5"/>
      <c r="N211" s="5"/>
      <c r="O211" s="5"/>
      <c r="P211" s="5"/>
      <c r="Q211" s="5"/>
      <c r="R211" s="5"/>
      <c r="S211" s="5"/>
      <c r="T211" s="5"/>
      <c r="U211" s="5"/>
    </row>
    <row r="212" spans="1:22" s="61" customFormat="1" ht="25.2" thickTop="1" x14ac:dyDescent="0.65">
      <c r="A212" s="77"/>
      <c r="B212" s="77"/>
      <c r="C212" s="66" t="s">
        <v>239</v>
      </c>
      <c r="D212" s="67">
        <v>100000</v>
      </c>
      <c r="G212" s="97" t="s">
        <v>207</v>
      </c>
      <c r="H212" s="98"/>
      <c r="I212" s="99"/>
      <c r="J212" s="71">
        <f>J210-J211-K208-K210</f>
        <v>18260</v>
      </c>
      <c r="K212" s="70"/>
      <c r="M212" s="73"/>
      <c r="N212" s="73"/>
      <c r="O212" s="5"/>
      <c r="P212" s="5"/>
      <c r="Q212" s="5"/>
      <c r="R212" s="5"/>
      <c r="S212" s="5"/>
      <c r="T212" s="5"/>
    </row>
    <row r="213" spans="1:22" s="61" customFormat="1" x14ac:dyDescent="0.65">
      <c r="A213" s="77"/>
      <c r="B213" s="77"/>
      <c r="C213" s="66" t="s">
        <v>240</v>
      </c>
      <c r="D213" s="67">
        <f>D211-D212</f>
        <v>-75315</v>
      </c>
      <c r="G213" s="97" t="s">
        <v>208</v>
      </c>
      <c r="H213" s="98"/>
      <c r="I213" s="99"/>
      <c r="J213" s="71">
        <f>+T36</f>
        <v>18345</v>
      </c>
      <c r="K213" s="70"/>
      <c r="M213" s="73"/>
      <c r="N213" s="5"/>
      <c r="O213" s="5"/>
      <c r="P213" s="5"/>
      <c r="Q213" s="5"/>
      <c r="R213" s="5"/>
      <c r="S213" s="5"/>
      <c r="T213" s="5"/>
      <c r="V213" s="2"/>
    </row>
    <row r="214" spans="1:22" s="61" customFormat="1" x14ac:dyDescent="0.65">
      <c r="A214" s="77"/>
      <c r="B214" s="77"/>
      <c r="C214" s="66" t="s">
        <v>241</v>
      </c>
      <c r="D214" s="67">
        <v>0</v>
      </c>
      <c r="G214" s="97" t="s">
        <v>209</v>
      </c>
      <c r="H214" s="98"/>
      <c r="I214" s="99"/>
      <c r="J214" s="71">
        <v>0</v>
      </c>
      <c r="K214" s="70"/>
      <c r="M214" s="73"/>
      <c r="N214" s="5"/>
      <c r="O214" s="5"/>
      <c r="P214" s="5"/>
      <c r="Q214" s="5"/>
      <c r="R214" s="5"/>
      <c r="S214" s="5"/>
      <c r="T214" s="5"/>
      <c r="U214" s="2"/>
      <c r="V214" s="2"/>
    </row>
    <row r="215" spans="1:22" ht="25.2" thickBot="1" x14ac:dyDescent="0.7">
      <c r="A215" s="77"/>
      <c r="B215" s="77"/>
      <c r="G215" s="100" t="s">
        <v>210</v>
      </c>
      <c r="H215" s="100"/>
      <c r="I215" s="100"/>
      <c r="J215" s="78">
        <f>+J213-J212</f>
        <v>85</v>
      </c>
      <c r="K215" s="79"/>
    </row>
    <row r="216" spans="1:22" ht="25.2" thickBot="1" x14ac:dyDescent="0.7">
      <c r="F216" s="101" t="s">
        <v>242</v>
      </c>
      <c r="G216" s="102"/>
      <c r="H216" s="102"/>
      <c r="I216" s="102"/>
      <c r="J216" s="102"/>
      <c r="K216" s="103"/>
    </row>
    <row r="217" spans="1:22" x14ac:dyDescent="0.65">
      <c r="D21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06:K206"/>
    <mergeCell ref="A207:B207"/>
    <mergeCell ref="C207:D207"/>
    <mergeCell ref="E207:F207"/>
    <mergeCell ref="G207:I207"/>
    <mergeCell ref="M3:M4"/>
    <mergeCell ref="N3:N4"/>
    <mergeCell ref="O3:O4"/>
    <mergeCell ref="P3:P4"/>
    <mergeCell ref="Q3:Q4"/>
    <mergeCell ref="R3:R4"/>
    <mergeCell ref="G214:I214"/>
    <mergeCell ref="G215:I215"/>
    <mergeCell ref="F216:K216"/>
    <mergeCell ref="G208:I208"/>
    <mergeCell ref="G209:I209"/>
    <mergeCell ref="G210:I210"/>
    <mergeCell ref="G211:I211"/>
    <mergeCell ref="G212:I212"/>
    <mergeCell ref="G213:I213"/>
  </mergeCells>
  <pageMargins left="0" right="0" top="0" bottom="0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A9-2F6E-4730-A6EC-4932F2345BC5}">
  <sheetPr>
    <tabColor rgb="FF92D050"/>
  </sheetPr>
  <dimension ref="A1:Z291"/>
  <sheetViews>
    <sheetView topLeftCell="A61" zoomScaleNormal="100" workbookViewId="0">
      <selection activeCell="G66" sqref="G6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80">
        <v>12</v>
      </c>
      <c r="D5" s="81">
        <v>0</v>
      </c>
      <c r="E5" s="82">
        <v>12</v>
      </c>
      <c r="F5" s="81">
        <v>0</v>
      </c>
      <c r="G5" s="82">
        <v>10</v>
      </c>
      <c r="H5" s="83">
        <v>2</v>
      </c>
      <c r="I5" s="16">
        <v>50</v>
      </c>
      <c r="J5" s="84">
        <v>100</v>
      </c>
      <c r="K5" s="18" t="s">
        <v>16</v>
      </c>
      <c r="L5" s="19">
        <v>0</v>
      </c>
      <c r="M5" s="24">
        <v>100</v>
      </c>
      <c r="N5"/>
      <c r="O5" s="10">
        <v>1</v>
      </c>
      <c r="P5" s="11" t="s">
        <v>246</v>
      </c>
      <c r="Q5" s="82">
        <v>0</v>
      </c>
      <c r="R5" s="81">
        <v>1</v>
      </c>
      <c r="S5" s="82">
        <v>1</v>
      </c>
      <c r="T5" s="81">
        <v>0</v>
      </c>
      <c r="U5" s="82">
        <v>1</v>
      </c>
      <c r="V5" s="83">
        <v>0</v>
      </c>
      <c r="W5" s="16">
        <v>30</v>
      </c>
      <c r="X5" s="84"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80">
        <v>19</v>
      </c>
      <c r="D6" s="81">
        <v>0</v>
      </c>
      <c r="E6" s="82">
        <v>19</v>
      </c>
      <c r="F6" s="81">
        <v>0</v>
      </c>
      <c r="G6" s="82">
        <v>18</v>
      </c>
      <c r="H6" s="83">
        <v>1</v>
      </c>
      <c r="I6" s="16">
        <v>100</v>
      </c>
      <c r="J6" s="84">
        <v>100</v>
      </c>
      <c r="K6" s="18" t="s">
        <v>16</v>
      </c>
      <c r="L6" s="19">
        <v>0</v>
      </c>
      <c r="M6" s="24">
        <v>100</v>
      </c>
      <c r="N6"/>
      <c r="O6" s="10">
        <v>2</v>
      </c>
      <c r="P6" s="11" t="s">
        <v>247</v>
      </c>
      <c r="Q6" s="82">
        <v>0</v>
      </c>
      <c r="R6" s="81">
        <v>1</v>
      </c>
      <c r="S6" s="82">
        <v>1</v>
      </c>
      <c r="T6" s="81">
        <v>0</v>
      </c>
      <c r="U6" s="82">
        <v>1</v>
      </c>
      <c r="V6" s="83">
        <v>0</v>
      </c>
      <c r="W6" s="16">
        <v>30</v>
      </c>
      <c r="X6" s="84"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80">
        <v>0</v>
      </c>
      <c r="D7" s="81">
        <v>0</v>
      </c>
      <c r="E7" s="82">
        <v>0</v>
      </c>
      <c r="F7" s="81">
        <v>0</v>
      </c>
      <c r="G7" s="82">
        <v>0</v>
      </c>
      <c r="H7" s="83">
        <v>0</v>
      </c>
      <c r="I7" s="16">
        <v>50</v>
      </c>
      <c r="J7" s="84">
        <v>0</v>
      </c>
      <c r="K7" s="18" t="s">
        <v>16</v>
      </c>
      <c r="L7" s="19">
        <v>0</v>
      </c>
      <c r="M7" s="24">
        <v>0</v>
      </c>
      <c r="N7"/>
      <c r="O7" s="10">
        <v>3</v>
      </c>
      <c r="P7" s="11" t="s">
        <v>248</v>
      </c>
      <c r="Q7" s="82">
        <v>0</v>
      </c>
      <c r="R7" s="81">
        <v>1</v>
      </c>
      <c r="S7" s="82">
        <v>1</v>
      </c>
      <c r="T7" s="81">
        <v>0</v>
      </c>
      <c r="U7" s="82">
        <v>1</v>
      </c>
      <c r="V7" s="83">
        <v>0</v>
      </c>
      <c r="W7" s="16">
        <v>30</v>
      </c>
      <c r="X7" s="84"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80">
        <v>0</v>
      </c>
      <c r="D8" s="81">
        <v>0</v>
      </c>
      <c r="E8" s="82">
        <v>0</v>
      </c>
      <c r="F8" s="81">
        <v>0</v>
      </c>
      <c r="G8" s="82">
        <v>0</v>
      </c>
      <c r="H8" s="83">
        <v>0</v>
      </c>
      <c r="I8" s="16">
        <v>100</v>
      </c>
      <c r="J8" s="84">
        <v>0</v>
      </c>
      <c r="K8" s="18" t="s">
        <v>16</v>
      </c>
      <c r="L8" s="19">
        <v>0</v>
      </c>
      <c r="M8" s="24">
        <v>0</v>
      </c>
      <c r="N8"/>
      <c r="O8" s="10">
        <v>4</v>
      </c>
      <c r="P8" s="11" t="s">
        <v>249</v>
      </c>
      <c r="Q8" s="82">
        <v>0</v>
      </c>
      <c r="R8" s="81">
        <v>1</v>
      </c>
      <c r="S8" s="82">
        <v>1</v>
      </c>
      <c r="T8" s="81">
        <v>0</v>
      </c>
      <c r="U8" s="82">
        <v>1</v>
      </c>
      <c r="V8" s="83">
        <v>0</v>
      </c>
      <c r="W8" s="16">
        <v>30</v>
      </c>
      <c r="X8" s="84"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80">
        <v>0</v>
      </c>
      <c r="D9" s="81">
        <v>0</v>
      </c>
      <c r="E9" s="82">
        <v>0</v>
      </c>
      <c r="F9" s="81">
        <v>0</v>
      </c>
      <c r="G9" s="82">
        <v>0</v>
      </c>
      <c r="H9" s="83">
        <v>0</v>
      </c>
      <c r="I9" s="16">
        <v>12</v>
      </c>
      <c r="J9" s="84">
        <v>0</v>
      </c>
      <c r="K9" s="18" t="s">
        <v>16</v>
      </c>
      <c r="L9" s="19">
        <v>0</v>
      </c>
      <c r="M9" s="24">
        <v>0</v>
      </c>
      <c r="N9"/>
      <c r="O9" s="10">
        <v>5</v>
      </c>
      <c r="P9" s="11" t="s">
        <v>250</v>
      </c>
      <c r="Q9" s="82">
        <v>0</v>
      </c>
      <c r="R9" s="81">
        <v>1</v>
      </c>
      <c r="S9" s="82">
        <v>1</v>
      </c>
      <c r="T9" s="81">
        <v>0</v>
      </c>
      <c r="U9" s="82">
        <v>1</v>
      </c>
      <c r="V9" s="83">
        <v>0</v>
      </c>
      <c r="W9" s="16">
        <v>30</v>
      </c>
      <c r="X9" s="84"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80">
        <v>0</v>
      </c>
      <c r="D10" s="81">
        <v>0</v>
      </c>
      <c r="E10" s="82">
        <v>0</v>
      </c>
      <c r="F10" s="81">
        <v>0</v>
      </c>
      <c r="G10" s="82">
        <v>0</v>
      </c>
      <c r="H10" s="83">
        <v>0</v>
      </c>
      <c r="I10" s="16">
        <v>15</v>
      </c>
      <c r="J10" s="84">
        <v>0</v>
      </c>
      <c r="K10" s="18" t="s">
        <v>16</v>
      </c>
      <c r="L10" s="19">
        <v>0</v>
      </c>
      <c r="M10" s="24">
        <v>0</v>
      </c>
      <c r="N10"/>
      <c r="O10" s="10">
        <v>6</v>
      </c>
      <c r="P10" s="11" t="s">
        <v>251</v>
      </c>
      <c r="Q10" s="82">
        <v>0</v>
      </c>
      <c r="R10" s="81">
        <v>1</v>
      </c>
      <c r="S10" s="82">
        <v>1</v>
      </c>
      <c r="T10" s="81">
        <v>0</v>
      </c>
      <c r="U10" s="82">
        <v>1</v>
      </c>
      <c r="V10" s="83">
        <v>0</v>
      </c>
      <c r="W10" s="16">
        <v>30</v>
      </c>
      <c r="X10" s="84"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80">
        <v>0</v>
      </c>
      <c r="D11" s="81">
        <v>0</v>
      </c>
      <c r="E11" s="82">
        <v>0</v>
      </c>
      <c r="F11" s="81">
        <v>0</v>
      </c>
      <c r="G11" s="82">
        <v>0</v>
      </c>
      <c r="H11" s="83">
        <v>0</v>
      </c>
      <c r="I11" s="16">
        <v>40</v>
      </c>
      <c r="J11" s="84">
        <v>0</v>
      </c>
      <c r="K11" s="18" t="s">
        <v>16</v>
      </c>
      <c r="L11" s="19">
        <v>0</v>
      </c>
      <c r="M11" s="24">
        <v>0</v>
      </c>
      <c r="N11"/>
      <c r="O11" s="10">
        <v>7</v>
      </c>
      <c r="P11" s="11"/>
      <c r="Q11" s="82">
        <v>0</v>
      </c>
      <c r="R11" s="81">
        <v>0</v>
      </c>
      <c r="S11" s="82">
        <v>0</v>
      </c>
      <c r="T11" s="81">
        <v>0</v>
      </c>
      <c r="U11" s="82">
        <v>0</v>
      </c>
      <c r="V11" s="83">
        <v>0</v>
      </c>
      <c r="W11" s="16"/>
      <c r="X11" s="84"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80">
        <v>0</v>
      </c>
      <c r="D12" s="81">
        <v>0</v>
      </c>
      <c r="E12" s="82">
        <v>0</v>
      </c>
      <c r="F12" s="81">
        <v>0</v>
      </c>
      <c r="G12" s="82">
        <v>0</v>
      </c>
      <c r="H12" s="83">
        <v>0</v>
      </c>
      <c r="I12" s="85">
        <v>50</v>
      </c>
      <c r="J12" s="84">
        <v>0</v>
      </c>
      <c r="K12" s="18" t="s">
        <v>16</v>
      </c>
      <c r="L12" s="19">
        <v>0</v>
      </c>
      <c r="M12" s="24">
        <v>0</v>
      </c>
      <c r="N12"/>
      <c r="O12" s="10">
        <v>8</v>
      </c>
      <c r="P12" s="11"/>
      <c r="Q12" s="82">
        <v>0</v>
      </c>
      <c r="R12" s="81">
        <v>0</v>
      </c>
      <c r="S12" s="82">
        <v>0</v>
      </c>
      <c r="T12" s="81">
        <v>0</v>
      </c>
      <c r="U12" s="82">
        <v>0</v>
      </c>
      <c r="V12" s="83">
        <v>0</v>
      </c>
      <c r="W12" s="16"/>
      <c r="X12" s="84"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80">
        <v>0</v>
      </c>
      <c r="D13" s="81">
        <v>0</v>
      </c>
      <c r="E13" s="82">
        <v>0</v>
      </c>
      <c r="F13" s="81">
        <v>0</v>
      </c>
      <c r="G13" s="82">
        <v>0</v>
      </c>
      <c r="H13" s="83">
        <v>0</v>
      </c>
      <c r="I13" s="85">
        <v>55</v>
      </c>
      <c r="J13" s="84">
        <v>0</v>
      </c>
      <c r="K13" s="18" t="s">
        <v>16</v>
      </c>
      <c r="L13" s="19">
        <v>0</v>
      </c>
      <c r="M13" s="24">
        <v>0</v>
      </c>
      <c r="N13"/>
      <c r="O13" s="10">
        <v>9</v>
      </c>
      <c r="P13" s="11"/>
      <c r="Q13" s="82">
        <v>0</v>
      </c>
      <c r="R13" s="81">
        <v>0</v>
      </c>
      <c r="S13" s="82">
        <v>0</v>
      </c>
      <c r="T13" s="81">
        <v>0</v>
      </c>
      <c r="U13" s="82">
        <v>0</v>
      </c>
      <c r="V13" s="83">
        <v>0</v>
      </c>
      <c r="W13" s="16"/>
      <c r="X13" s="84"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v>5</v>
      </c>
      <c r="D14" s="81">
        <v>0</v>
      </c>
      <c r="E14" s="82">
        <v>5</v>
      </c>
      <c r="F14" s="81">
        <v>0</v>
      </c>
      <c r="G14" s="82">
        <v>5</v>
      </c>
      <c r="H14" s="83">
        <v>0</v>
      </c>
      <c r="I14" s="85">
        <v>65</v>
      </c>
      <c r="J14" s="84">
        <v>0</v>
      </c>
      <c r="K14" s="18" t="s">
        <v>16</v>
      </c>
      <c r="L14" s="19">
        <v>0</v>
      </c>
      <c r="M14" s="24">
        <v>0</v>
      </c>
      <c r="N14"/>
      <c r="O14" s="10">
        <v>10</v>
      </c>
      <c r="P14" s="11"/>
      <c r="Q14" s="82">
        <v>0</v>
      </c>
      <c r="R14" s="81">
        <v>0</v>
      </c>
      <c r="S14" s="82">
        <v>0</v>
      </c>
      <c r="T14" s="81">
        <v>0</v>
      </c>
      <c r="U14" s="82">
        <v>0</v>
      </c>
      <c r="V14" s="83">
        <v>0</v>
      </c>
      <c r="W14" s="86"/>
      <c r="X14" s="84"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v>0</v>
      </c>
      <c r="D15" s="81">
        <v>0</v>
      </c>
      <c r="E15" s="82">
        <v>0</v>
      </c>
      <c r="F15" s="81">
        <v>0</v>
      </c>
      <c r="G15" s="82">
        <v>0</v>
      </c>
      <c r="H15" s="83">
        <v>0</v>
      </c>
      <c r="I15" s="85">
        <v>50</v>
      </c>
      <c r="J15" s="84">
        <v>0</v>
      </c>
      <c r="K15" s="18" t="s">
        <v>16</v>
      </c>
      <c r="L15" s="19">
        <v>0</v>
      </c>
      <c r="M15" s="24">
        <v>0</v>
      </c>
      <c r="N15"/>
      <c r="O15" s="10">
        <v>11</v>
      </c>
      <c r="P15" s="11"/>
      <c r="Q15" s="82">
        <v>0</v>
      </c>
      <c r="R15" s="81">
        <v>0</v>
      </c>
      <c r="S15" s="82">
        <v>0</v>
      </c>
      <c r="T15" s="81">
        <v>0</v>
      </c>
      <c r="U15" s="82">
        <v>0</v>
      </c>
      <c r="V15" s="83">
        <v>0</v>
      </c>
      <c r="W15" s="16"/>
      <c r="X15" s="84"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80">
        <v>0</v>
      </c>
      <c r="D16" s="81">
        <v>0</v>
      </c>
      <c r="E16" s="82">
        <v>0</v>
      </c>
      <c r="F16" s="81">
        <v>0</v>
      </c>
      <c r="G16" s="80">
        <v>0</v>
      </c>
      <c r="H16" s="83">
        <v>0</v>
      </c>
      <c r="I16" s="16">
        <v>50</v>
      </c>
      <c r="J16" s="84">
        <v>0</v>
      </c>
      <c r="K16" s="18" t="s">
        <v>16</v>
      </c>
      <c r="L16" s="19">
        <v>0</v>
      </c>
      <c r="M16" s="24">
        <v>0</v>
      </c>
      <c r="N16"/>
      <c r="O16" s="10">
        <v>12</v>
      </c>
      <c r="P16" s="11"/>
      <c r="Q16" s="82">
        <v>0</v>
      </c>
      <c r="R16" s="81">
        <v>0</v>
      </c>
      <c r="S16" s="82">
        <v>0</v>
      </c>
      <c r="T16" s="81">
        <v>0</v>
      </c>
      <c r="U16" s="82">
        <v>0</v>
      </c>
      <c r="V16" s="83">
        <v>0</v>
      </c>
      <c r="W16" s="86"/>
      <c r="X16" s="84"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v>0</v>
      </c>
      <c r="D17" s="81">
        <v>0</v>
      </c>
      <c r="E17" s="82">
        <v>0</v>
      </c>
      <c r="F17" s="81">
        <v>0</v>
      </c>
      <c r="G17" s="82">
        <v>0</v>
      </c>
      <c r="H17" s="83">
        <v>0</v>
      </c>
      <c r="I17" s="16">
        <v>50</v>
      </c>
      <c r="J17" s="84">
        <v>0</v>
      </c>
      <c r="K17" s="18" t="s">
        <v>16</v>
      </c>
      <c r="L17" s="19">
        <v>0</v>
      </c>
      <c r="M17" s="24">
        <v>0</v>
      </c>
      <c r="N17"/>
      <c r="O17" s="10">
        <v>13</v>
      </c>
      <c r="P17" s="11"/>
      <c r="Q17" s="82">
        <v>0</v>
      </c>
      <c r="R17" s="81">
        <v>0</v>
      </c>
      <c r="S17" s="82">
        <v>0</v>
      </c>
      <c r="T17" s="81">
        <v>0</v>
      </c>
      <c r="U17" s="82">
        <v>0</v>
      </c>
      <c r="V17" s="83">
        <v>0</v>
      </c>
      <c r="W17" s="16"/>
      <c r="X17" s="84"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80">
        <v>0</v>
      </c>
      <c r="D18" s="81">
        <v>0</v>
      </c>
      <c r="E18" s="82">
        <v>0</v>
      </c>
      <c r="F18" s="81">
        <v>0</v>
      </c>
      <c r="G18" s="82">
        <v>0</v>
      </c>
      <c r="H18" s="83">
        <v>0</v>
      </c>
      <c r="I18" s="85">
        <v>50</v>
      </c>
      <c r="J18" s="84">
        <v>0</v>
      </c>
      <c r="K18" s="18" t="s">
        <v>16</v>
      </c>
      <c r="L18" s="19">
        <v>0</v>
      </c>
      <c r="M18" s="24">
        <v>0</v>
      </c>
      <c r="N18"/>
      <c r="O18" s="10">
        <v>14</v>
      </c>
      <c r="P18" s="11"/>
      <c r="Q18" s="82">
        <v>0</v>
      </c>
      <c r="R18" s="81">
        <v>0</v>
      </c>
      <c r="S18" s="82">
        <v>0</v>
      </c>
      <c r="T18" s="81">
        <v>0</v>
      </c>
      <c r="U18" s="82">
        <v>0</v>
      </c>
      <c r="V18" s="83">
        <v>0</v>
      </c>
      <c r="W18" s="86"/>
      <c r="X18" s="84"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80">
        <v>0</v>
      </c>
      <c r="D19" s="81">
        <v>0</v>
      </c>
      <c r="E19" s="82">
        <v>0</v>
      </c>
      <c r="F19" s="81">
        <v>0</v>
      </c>
      <c r="G19" s="82">
        <v>0</v>
      </c>
      <c r="H19" s="83">
        <v>0</v>
      </c>
      <c r="I19" s="16">
        <v>50</v>
      </c>
      <c r="J19" s="84">
        <v>0</v>
      </c>
      <c r="K19" s="18" t="s">
        <v>16</v>
      </c>
      <c r="L19" s="19">
        <v>0</v>
      </c>
      <c r="M19" s="24">
        <v>0</v>
      </c>
      <c r="N19"/>
      <c r="O19" s="10">
        <v>15</v>
      </c>
      <c r="P19" s="11"/>
      <c r="Q19" s="82">
        <v>0</v>
      </c>
      <c r="R19" s="81">
        <v>0</v>
      </c>
      <c r="S19" s="82">
        <v>0</v>
      </c>
      <c r="T19" s="81">
        <v>0</v>
      </c>
      <c r="U19" s="82">
        <v>0</v>
      </c>
      <c r="V19" s="83">
        <v>0</v>
      </c>
      <c r="W19" s="16"/>
      <c r="X19" s="84"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80">
        <v>0</v>
      </c>
      <c r="D20" s="81">
        <v>0</v>
      </c>
      <c r="E20" s="82">
        <v>0</v>
      </c>
      <c r="F20" s="81">
        <v>0</v>
      </c>
      <c r="G20" s="82">
        <v>0</v>
      </c>
      <c r="H20" s="83">
        <v>0</v>
      </c>
      <c r="I20" s="16">
        <v>50</v>
      </c>
      <c r="J20" s="84">
        <v>0</v>
      </c>
      <c r="K20" s="18" t="s">
        <v>16</v>
      </c>
      <c r="L20" s="19">
        <v>0</v>
      </c>
      <c r="M20" s="24">
        <v>0</v>
      </c>
      <c r="N20"/>
      <c r="O20" s="10">
        <v>16</v>
      </c>
      <c r="P20" s="11"/>
      <c r="Q20" s="82">
        <v>0</v>
      </c>
      <c r="R20" s="81">
        <v>0</v>
      </c>
      <c r="S20" s="82">
        <v>0</v>
      </c>
      <c r="T20" s="81">
        <v>0</v>
      </c>
      <c r="U20" s="82">
        <v>0</v>
      </c>
      <c r="V20" s="83">
        <v>0</v>
      </c>
      <c r="W20" s="16"/>
      <c r="X20" s="84"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80">
        <v>0</v>
      </c>
      <c r="D21" s="81">
        <v>0</v>
      </c>
      <c r="E21" s="82">
        <v>0</v>
      </c>
      <c r="F21" s="81">
        <v>0</v>
      </c>
      <c r="G21" s="82">
        <v>0</v>
      </c>
      <c r="H21" s="83">
        <v>0</v>
      </c>
      <c r="I21" s="16">
        <v>50</v>
      </c>
      <c r="J21" s="84">
        <v>0</v>
      </c>
      <c r="K21" s="18" t="s">
        <v>16</v>
      </c>
      <c r="L21" s="19">
        <v>0</v>
      </c>
      <c r="M21" s="24">
        <v>0</v>
      </c>
      <c r="N21"/>
      <c r="O21" s="10">
        <v>17</v>
      </c>
      <c r="P21" s="20"/>
      <c r="Q21" s="82">
        <v>0</v>
      </c>
      <c r="R21" s="81">
        <v>0</v>
      </c>
      <c r="S21" s="82">
        <v>0</v>
      </c>
      <c r="T21" s="81">
        <v>0</v>
      </c>
      <c r="U21" s="82">
        <v>0</v>
      </c>
      <c r="V21" s="83">
        <v>0</v>
      </c>
      <c r="W21" s="85"/>
      <c r="X21" s="84"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80">
        <v>0</v>
      </c>
      <c r="D22" s="81">
        <v>0</v>
      </c>
      <c r="E22" s="82">
        <v>0</v>
      </c>
      <c r="F22" s="81">
        <v>0</v>
      </c>
      <c r="G22" s="82">
        <v>0</v>
      </c>
      <c r="H22" s="83">
        <v>0</v>
      </c>
      <c r="I22" s="16">
        <v>85</v>
      </c>
      <c r="J22" s="84">
        <v>0</v>
      </c>
      <c r="K22" s="18" t="s">
        <v>16</v>
      </c>
      <c r="L22" s="19">
        <v>0</v>
      </c>
      <c r="M22" s="24">
        <v>0</v>
      </c>
      <c r="N22"/>
      <c r="O22" s="10">
        <v>18</v>
      </c>
      <c r="P22" s="11"/>
      <c r="Q22" s="82">
        <v>0</v>
      </c>
      <c r="R22" s="81">
        <v>0</v>
      </c>
      <c r="S22" s="82">
        <v>0</v>
      </c>
      <c r="T22" s="81">
        <v>0</v>
      </c>
      <c r="U22" s="82">
        <v>0</v>
      </c>
      <c r="V22" s="83">
        <v>0</v>
      </c>
      <c r="W22" s="86"/>
      <c r="X22" s="84"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v>4</v>
      </c>
      <c r="D23" s="81">
        <v>0</v>
      </c>
      <c r="E23" s="82">
        <v>4</v>
      </c>
      <c r="F23" s="81">
        <v>0</v>
      </c>
      <c r="G23" s="82">
        <v>4</v>
      </c>
      <c r="H23" s="83">
        <v>0</v>
      </c>
      <c r="I23" s="16">
        <v>100</v>
      </c>
      <c r="J23" s="84">
        <v>0</v>
      </c>
      <c r="K23" s="18" t="s">
        <v>16</v>
      </c>
      <c r="L23" s="19">
        <v>0</v>
      </c>
      <c r="M23" s="24">
        <v>0</v>
      </c>
      <c r="N23"/>
      <c r="O23" s="10">
        <v>19</v>
      </c>
      <c r="P23" s="20"/>
      <c r="Q23" s="82">
        <v>0</v>
      </c>
      <c r="R23" s="81">
        <v>0</v>
      </c>
      <c r="S23" s="82">
        <v>0</v>
      </c>
      <c r="T23" s="81">
        <v>0</v>
      </c>
      <c r="U23" s="82">
        <v>0</v>
      </c>
      <c r="V23" s="83">
        <v>0</v>
      </c>
      <c r="W23" s="23"/>
      <c r="X23" s="84"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80">
        <v>0</v>
      </c>
      <c r="D24" s="81">
        <v>0</v>
      </c>
      <c r="E24" s="82">
        <v>0</v>
      </c>
      <c r="F24" s="81">
        <v>0</v>
      </c>
      <c r="G24" s="82">
        <v>0</v>
      </c>
      <c r="H24" s="83">
        <v>0</v>
      </c>
      <c r="I24" s="86">
        <v>100</v>
      </c>
      <c r="J24" s="84">
        <v>0</v>
      </c>
      <c r="K24" s="18" t="s">
        <v>16</v>
      </c>
      <c r="L24" s="19">
        <v>0</v>
      </c>
      <c r="M24" s="24">
        <v>0</v>
      </c>
      <c r="N24"/>
      <c r="O24" s="10">
        <v>20</v>
      </c>
      <c r="P24" s="20"/>
      <c r="Q24" s="82">
        <v>0</v>
      </c>
      <c r="R24" s="81">
        <v>0</v>
      </c>
      <c r="S24" s="82">
        <v>0</v>
      </c>
      <c r="T24" s="81">
        <v>0</v>
      </c>
      <c r="U24" s="82">
        <v>0</v>
      </c>
      <c r="V24" s="83">
        <v>0</v>
      </c>
      <c r="W24" s="85"/>
      <c r="X24" s="84"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80">
        <v>0</v>
      </c>
      <c r="D25" s="81">
        <v>0</v>
      </c>
      <c r="E25" s="82">
        <v>0</v>
      </c>
      <c r="F25" s="81">
        <v>0</v>
      </c>
      <c r="G25" s="82">
        <v>0</v>
      </c>
      <c r="H25" s="83">
        <v>0</v>
      </c>
      <c r="I25" s="86">
        <v>100</v>
      </c>
      <c r="J25" s="84">
        <v>0</v>
      </c>
      <c r="K25" s="18" t="s">
        <v>16</v>
      </c>
      <c r="L25" s="19">
        <v>0</v>
      </c>
      <c r="M25" s="24">
        <v>0</v>
      </c>
      <c r="N25"/>
      <c r="O25" s="10">
        <v>21</v>
      </c>
      <c r="P25" s="20"/>
      <c r="Q25" s="82">
        <v>0</v>
      </c>
      <c r="R25" s="81">
        <v>0</v>
      </c>
      <c r="S25" s="82">
        <v>0</v>
      </c>
      <c r="T25" s="81">
        <v>0</v>
      </c>
      <c r="U25" s="82">
        <v>0</v>
      </c>
      <c r="V25" s="83">
        <v>0</v>
      </c>
      <c r="W25" s="23"/>
      <c r="X25" s="84"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80">
        <v>0</v>
      </c>
      <c r="D26" s="81">
        <v>0</v>
      </c>
      <c r="E26" s="82">
        <v>0</v>
      </c>
      <c r="F26" s="81">
        <v>0</v>
      </c>
      <c r="G26" s="82">
        <v>0</v>
      </c>
      <c r="H26" s="83">
        <v>0</v>
      </c>
      <c r="I26" s="86">
        <v>100</v>
      </c>
      <c r="J26" s="84">
        <v>0</v>
      </c>
      <c r="K26" s="18" t="s">
        <v>16</v>
      </c>
      <c r="L26" s="19">
        <v>0</v>
      </c>
      <c r="M26" s="24">
        <v>0</v>
      </c>
      <c r="N26"/>
      <c r="O26" s="10">
        <v>22</v>
      </c>
      <c r="P26" s="20"/>
      <c r="Q26" s="82">
        <v>0</v>
      </c>
      <c r="R26" s="81">
        <v>0</v>
      </c>
      <c r="S26" s="82">
        <v>0</v>
      </c>
      <c r="T26" s="81">
        <v>0</v>
      </c>
      <c r="U26" s="82">
        <v>0</v>
      </c>
      <c r="V26" s="83">
        <v>0</v>
      </c>
      <c r="W26" s="23"/>
      <c r="X26" s="84"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80">
        <v>0</v>
      </c>
      <c r="D27" s="81">
        <v>0</v>
      </c>
      <c r="E27" s="82">
        <v>0</v>
      </c>
      <c r="F27" s="81">
        <v>0</v>
      </c>
      <c r="G27" s="82">
        <v>0</v>
      </c>
      <c r="H27" s="83">
        <v>0</v>
      </c>
      <c r="I27" s="85">
        <v>100</v>
      </c>
      <c r="J27" s="84">
        <v>0</v>
      </c>
      <c r="K27" s="18" t="s">
        <v>16</v>
      </c>
      <c r="L27" s="19">
        <v>0</v>
      </c>
      <c r="M27" s="24">
        <v>0</v>
      </c>
      <c r="N27"/>
      <c r="O27" s="10">
        <v>23</v>
      </c>
      <c r="P27" s="20"/>
      <c r="Q27" s="82">
        <v>0</v>
      </c>
      <c r="R27" s="81">
        <v>0</v>
      </c>
      <c r="S27" s="82">
        <v>0</v>
      </c>
      <c r="T27" s="81">
        <v>0</v>
      </c>
      <c r="U27" s="82">
        <v>0</v>
      </c>
      <c r="V27" s="83">
        <v>0</v>
      </c>
      <c r="W27" s="23"/>
      <c r="X27" s="84"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80">
        <v>0</v>
      </c>
      <c r="D28" s="81">
        <v>0</v>
      </c>
      <c r="E28" s="82">
        <v>0</v>
      </c>
      <c r="F28" s="81">
        <v>0</v>
      </c>
      <c r="G28" s="82">
        <v>0</v>
      </c>
      <c r="H28" s="83">
        <v>0</v>
      </c>
      <c r="I28" s="85">
        <v>100</v>
      </c>
      <c r="J28" s="84">
        <v>0</v>
      </c>
      <c r="K28" s="18" t="s">
        <v>16</v>
      </c>
      <c r="L28" s="19">
        <v>0</v>
      </c>
      <c r="M28" s="24">
        <v>0</v>
      </c>
      <c r="N28"/>
      <c r="O28" s="10">
        <v>24</v>
      </c>
      <c r="P28" s="20"/>
      <c r="Q28" s="82">
        <v>0</v>
      </c>
      <c r="R28" s="81">
        <v>0</v>
      </c>
      <c r="S28" s="82">
        <v>0</v>
      </c>
      <c r="T28" s="81">
        <v>0</v>
      </c>
      <c r="U28" s="82">
        <v>0</v>
      </c>
      <c r="V28" s="83">
        <v>0</v>
      </c>
      <c r="W28" s="23"/>
      <c r="X28" s="84"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80">
        <v>1</v>
      </c>
      <c r="D29" s="81">
        <v>0</v>
      </c>
      <c r="E29" s="82">
        <v>1</v>
      </c>
      <c r="F29" s="81">
        <v>0</v>
      </c>
      <c r="G29" s="82">
        <v>0</v>
      </c>
      <c r="H29" s="83">
        <v>1</v>
      </c>
      <c r="I29" s="16">
        <v>100</v>
      </c>
      <c r="J29" s="84">
        <v>100</v>
      </c>
      <c r="K29" s="18" t="s">
        <v>16</v>
      </c>
      <c r="L29" s="19">
        <v>50</v>
      </c>
      <c r="M29" s="24">
        <v>50</v>
      </c>
      <c r="N29"/>
      <c r="O29" s="10">
        <v>25</v>
      </c>
      <c r="P29" s="20"/>
      <c r="Q29" s="82">
        <v>0</v>
      </c>
      <c r="R29" s="81">
        <v>0</v>
      </c>
      <c r="S29" s="82">
        <v>0</v>
      </c>
      <c r="T29" s="81">
        <v>0</v>
      </c>
      <c r="U29" s="82">
        <v>0</v>
      </c>
      <c r="V29" s="83">
        <v>0</v>
      </c>
      <c r="W29" s="23"/>
      <c r="X29" s="84"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80">
        <v>1</v>
      </c>
      <c r="D30" s="81">
        <v>0</v>
      </c>
      <c r="E30" s="82">
        <v>1</v>
      </c>
      <c r="F30" s="81">
        <v>0</v>
      </c>
      <c r="G30" s="82">
        <v>0</v>
      </c>
      <c r="H30" s="83">
        <v>1</v>
      </c>
      <c r="I30" s="16">
        <v>100</v>
      </c>
      <c r="J30" s="84">
        <v>100</v>
      </c>
      <c r="K30" s="18" t="s">
        <v>16</v>
      </c>
      <c r="L30" s="19">
        <v>50</v>
      </c>
      <c r="M30" s="24">
        <v>50</v>
      </c>
      <c r="N30"/>
      <c r="O30" s="10">
        <v>26</v>
      </c>
      <c r="P30" s="20"/>
      <c r="Q30" s="82">
        <v>0</v>
      </c>
      <c r="R30" s="81">
        <v>0</v>
      </c>
      <c r="S30" s="82">
        <v>0</v>
      </c>
      <c r="T30" s="81">
        <v>0</v>
      </c>
      <c r="U30" s="82">
        <v>0</v>
      </c>
      <c r="V30" s="83">
        <v>0</v>
      </c>
      <c r="W30" s="85"/>
      <c r="X30" s="84"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80">
        <v>1</v>
      </c>
      <c r="D31" s="81">
        <v>0</v>
      </c>
      <c r="E31" s="82">
        <v>1</v>
      </c>
      <c r="F31" s="81">
        <v>0</v>
      </c>
      <c r="G31" s="82">
        <v>0</v>
      </c>
      <c r="H31" s="83">
        <v>1</v>
      </c>
      <c r="I31" s="16">
        <v>100</v>
      </c>
      <c r="J31" s="84">
        <v>100</v>
      </c>
      <c r="K31" s="18" t="s">
        <v>16</v>
      </c>
      <c r="L31" s="19">
        <v>50</v>
      </c>
      <c r="M31" s="24">
        <v>50</v>
      </c>
      <c r="N31"/>
      <c r="O31" s="10">
        <v>27</v>
      </c>
      <c r="P31" s="20"/>
      <c r="Q31" s="82">
        <v>0</v>
      </c>
      <c r="R31" s="81">
        <v>0</v>
      </c>
      <c r="S31" s="82">
        <v>0</v>
      </c>
      <c r="T31" s="81">
        <v>0</v>
      </c>
      <c r="U31" s="82">
        <v>0</v>
      </c>
      <c r="V31" s="83">
        <v>0</v>
      </c>
      <c r="W31" s="23"/>
      <c r="X31" s="84"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80">
        <v>0</v>
      </c>
      <c r="D32" s="81">
        <v>0</v>
      </c>
      <c r="E32" s="82">
        <v>0</v>
      </c>
      <c r="F32" s="81">
        <v>0</v>
      </c>
      <c r="G32" s="82">
        <v>0</v>
      </c>
      <c r="H32" s="83">
        <v>0</v>
      </c>
      <c r="I32" s="16">
        <v>130</v>
      </c>
      <c r="J32" s="84">
        <v>0</v>
      </c>
      <c r="K32" s="18" t="s">
        <v>16</v>
      </c>
      <c r="L32" s="19">
        <v>0</v>
      </c>
      <c r="M32" s="24">
        <v>0</v>
      </c>
      <c r="N32"/>
      <c r="O32" s="10">
        <v>28</v>
      </c>
      <c r="P32" s="20"/>
      <c r="Q32" s="82">
        <v>0</v>
      </c>
      <c r="R32" s="81">
        <v>0</v>
      </c>
      <c r="S32" s="82">
        <v>0</v>
      </c>
      <c r="T32" s="81">
        <v>0</v>
      </c>
      <c r="U32" s="82">
        <v>0</v>
      </c>
      <c r="V32" s="83">
        <v>0</v>
      </c>
      <c r="W32" s="85"/>
      <c r="X32" s="84"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80">
        <v>0</v>
      </c>
      <c r="D33" s="81">
        <v>0</v>
      </c>
      <c r="E33" s="82">
        <v>0</v>
      </c>
      <c r="F33" s="81">
        <v>0</v>
      </c>
      <c r="G33" s="82">
        <v>0</v>
      </c>
      <c r="H33" s="83">
        <v>0</v>
      </c>
      <c r="I33" s="16">
        <v>130</v>
      </c>
      <c r="J33" s="84">
        <v>0</v>
      </c>
      <c r="K33" s="18" t="s">
        <v>16</v>
      </c>
      <c r="L33" s="19">
        <v>0</v>
      </c>
      <c r="M33" s="24">
        <v>0</v>
      </c>
      <c r="N33"/>
      <c r="O33" s="10">
        <v>29</v>
      </c>
      <c r="P33" s="20"/>
      <c r="Q33" s="82">
        <v>0</v>
      </c>
      <c r="R33" s="81">
        <v>0</v>
      </c>
      <c r="S33" s="82">
        <v>0</v>
      </c>
      <c r="T33" s="81">
        <v>0</v>
      </c>
      <c r="U33" s="82">
        <v>0</v>
      </c>
      <c r="V33" s="83">
        <v>0</v>
      </c>
      <c r="W33" s="23"/>
      <c r="X33" s="84"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80">
        <v>2</v>
      </c>
      <c r="D34" s="81">
        <v>5</v>
      </c>
      <c r="E34" s="82">
        <v>7</v>
      </c>
      <c r="F34" s="81">
        <v>0</v>
      </c>
      <c r="G34" s="82">
        <v>6</v>
      </c>
      <c r="H34" s="83">
        <v>1</v>
      </c>
      <c r="I34" s="16">
        <v>130</v>
      </c>
      <c r="J34" s="84">
        <v>130</v>
      </c>
      <c r="K34" s="18" t="s">
        <v>16</v>
      </c>
      <c r="L34" s="19">
        <v>0</v>
      </c>
      <c r="M34" s="24">
        <v>130</v>
      </c>
      <c r="N34"/>
      <c r="O34" s="10">
        <v>30</v>
      </c>
      <c r="P34" s="20"/>
      <c r="Q34" s="82">
        <v>0</v>
      </c>
      <c r="R34" s="81">
        <v>0</v>
      </c>
      <c r="S34" s="82">
        <v>0</v>
      </c>
      <c r="T34" s="81">
        <v>0</v>
      </c>
      <c r="U34" s="82">
        <v>0</v>
      </c>
      <c r="V34" s="83">
        <v>0</v>
      </c>
      <c r="W34" s="23"/>
      <c r="X34" s="84"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80">
        <v>6</v>
      </c>
      <c r="D35" s="81">
        <v>0</v>
      </c>
      <c r="E35" s="82">
        <v>6</v>
      </c>
      <c r="F35" s="81">
        <v>0</v>
      </c>
      <c r="G35" s="82">
        <v>6</v>
      </c>
      <c r="H35" s="83">
        <v>0</v>
      </c>
      <c r="I35" s="16">
        <v>130</v>
      </c>
      <c r="J35" s="84">
        <v>0</v>
      </c>
      <c r="K35" s="18" t="s">
        <v>16</v>
      </c>
      <c r="L35" s="19">
        <v>0</v>
      </c>
      <c r="M35" s="24">
        <v>0</v>
      </c>
      <c r="N35"/>
      <c r="O35" s="10">
        <v>31</v>
      </c>
      <c r="P35" s="20"/>
      <c r="Q35" s="82">
        <v>0</v>
      </c>
      <c r="R35" s="81">
        <v>0</v>
      </c>
      <c r="S35" s="82">
        <v>0</v>
      </c>
      <c r="T35" s="81">
        <v>0</v>
      </c>
      <c r="U35" s="82">
        <v>0</v>
      </c>
      <c r="V35" s="83">
        <v>0</v>
      </c>
      <c r="W35" s="23"/>
      <c r="X35" s="84"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80">
        <v>0</v>
      </c>
      <c r="D36" s="81">
        <v>0</v>
      </c>
      <c r="E36" s="82">
        <v>0</v>
      </c>
      <c r="F36" s="81">
        <v>0</v>
      </c>
      <c r="G36" s="82">
        <v>0</v>
      </c>
      <c r="H36" s="83">
        <v>0</v>
      </c>
      <c r="I36" s="16">
        <v>100</v>
      </c>
      <c r="J36" s="84">
        <v>0</v>
      </c>
      <c r="K36" s="18" t="s">
        <v>16</v>
      </c>
      <c r="L36" s="19">
        <v>0</v>
      </c>
      <c r="M36" s="24">
        <v>0</v>
      </c>
      <c r="N36"/>
      <c r="O36" s="10">
        <v>32</v>
      </c>
      <c r="P36" s="20"/>
      <c r="Q36" s="82">
        <v>0</v>
      </c>
      <c r="R36" s="81">
        <v>0</v>
      </c>
      <c r="S36" s="82">
        <v>0</v>
      </c>
      <c r="T36" s="81">
        <v>0</v>
      </c>
      <c r="U36" s="82">
        <v>0</v>
      </c>
      <c r="V36" s="83">
        <v>0</v>
      </c>
      <c r="W36" s="85"/>
      <c r="X36" s="84"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80">
        <v>5</v>
      </c>
      <c r="D37" s="81">
        <v>0</v>
      </c>
      <c r="E37" s="82">
        <v>5</v>
      </c>
      <c r="F37" s="81">
        <v>0</v>
      </c>
      <c r="G37" s="82">
        <v>2</v>
      </c>
      <c r="H37" s="83">
        <v>3</v>
      </c>
      <c r="I37" s="16">
        <v>100</v>
      </c>
      <c r="J37" s="84">
        <v>300</v>
      </c>
      <c r="K37" s="18" t="s">
        <v>16</v>
      </c>
      <c r="L37" s="19">
        <v>0</v>
      </c>
      <c r="M37" s="24">
        <v>300</v>
      </c>
      <c r="N37"/>
      <c r="O37" s="10">
        <v>33</v>
      </c>
      <c r="P37" s="20"/>
      <c r="Q37" s="82">
        <v>0</v>
      </c>
      <c r="R37" s="81">
        <v>0</v>
      </c>
      <c r="S37" s="82">
        <v>0</v>
      </c>
      <c r="T37" s="81">
        <v>0</v>
      </c>
      <c r="U37" s="82">
        <v>0</v>
      </c>
      <c r="V37" s="83">
        <v>0</v>
      </c>
      <c r="W37" s="85"/>
      <c r="X37" s="84"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v>4</v>
      </c>
      <c r="D38" s="81">
        <v>0</v>
      </c>
      <c r="E38" s="82">
        <v>4</v>
      </c>
      <c r="F38" s="81">
        <v>0</v>
      </c>
      <c r="G38" s="82">
        <v>4</v>
      </c>
      <c r="H38" s="83">
        <v>0</v>
      </c>
      <c r="I38" s="16">
        <v>50</v>
      </c>
      <c r="J38" s="84">
        <v>0</v>
      </c>
      <c r="K38" s="18" t="s">
        <v>16</v>
      </c>
      <c r="L38" s="19">
        <v>0</v>
      </c>
      <c r="M38" s="24">
        <v>0</v>
      </c>
      <c r="N38"/>
      <c r="O38" s="10">
        <v>34</v>
      </c>
      <c r="P38" s="20"/>
      <c r="Q38" s="82">
        <v>0</v>
      </c>
      <c r="R38" s="81">
        <v>0</v>
      </c>
      <c r="S38" s="82">
        <v>0</v>
      </c>
      <c r="T38" s="81">
        <v>0</v>
      </c>
      <c r="U38" s="82">
        <v>0</v>
      </c>
      <c r="V38" s="83">
        <v>0</v>
      </c>
      <c r="W38" s="85"/>
      <c r="X38" s="84"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80">
        <v>3</v>
      </c>
      <c r="D39" s="81">
        <v>0</v>
      </c>
      <c r="E39" s="82">
        <v>3</v>
      </c>
      <c r="F39" s="81">
        <v>0</v>
      </c>
      <c r="G39" s="82">
        <v>3</v>
      </c>
      <c r="H39" s="83">
        <v>0</v>
      </c>
      <c r="I39" s="16">
        <v>50</v>
      </c>
      <c r="J39" s="84">
        <v>0</v>
      </c>
      <c r="K39" s="18" t="s">
        <v>16</v>
      </c>
      <c r="L39" s="19">
        <v>0</v>
      </c>
      <c r="M39" s="24">
        <v>0</v>
      </c>
      <c r="N39"/>
      <c r="O39" s="10">
        <v>35</v>
      </c>
      <c r="P39" s="20"/>
      <c r="Q39" s="82">
        <v>0</v>
      </c>
      <c r="R39" s="81">
        <v>0</v>
      </c>
      <c r="S39" s="82">
        <v>0</v>
      </c>
      <c r="T39" s="81">
        <v>0</v>
      </c>
      <c r="U39" s="82">
        <v>0</v>
      </c>
      <c r="V39" s="83">
        <v>0</v>
      </c>
      <c r="W39" s="85"/>
      <c r="X39" s="84"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80">
        <v>3</v>
      </c>
      <c r="D40" s="81">
        <v>0</v>
      </c>
      <c r="E40" s="82">
        <v>3</v>
      </c>
      <c r="F40" s="81">
        <v>0</v>
      </c>
      <c r="G40" s="82">
        <v>3</v>
      </c>
      <c r="H40" s="83">
        <v>0</v>
      </c>
      <c r="I40" s="16">
        <v>50</v>
      </c>
      <c r="J40" s="84">
        <v>0</v>
      </c>
      <c r="K40" s="18" t="s">
        <v>16</v>
      </c>
      <c r="L40" s="19">
        <v>0</v>
      </c>
      <c r="M40" s="24">
        <v>0</v>
      </c>
      <c r="N40"/>
      <c r="O40" s="10">
        <v>36</v>
      </c>
      <c r="P40" s="20"/>
      <c r="Q40" s="82">
        <v>0</v>
      </c>
      <c r="R40" s="81">
        <v>0</v>
      </c>
      <c r="S40" s="82">
        <v>0</v>
      </c>
      <c r="T40" s="81">
        <v>0</v>
      </c>
      <c r="U40" s="82">
        <v>0</v>
      </c>
      <c r="V40" s="83">
        <v>0</v>
      </c>
      <c r="W40" s="23"/>
      <c r="X40" s="84"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80">
        <v>4</v>
      </c>
      <c r="D41" s="81">
        <v>0</v>
      </c>
      <c r="E41" s="82">
        <v>4</v>
      </c>
      <c r="F41" s="81">
        <v>0</v>
      </c>
      <c r="G41" s="82">
        <v>4</v>
      </c>
      <c r="H41" s="83">
        <v>0</v>
      </c>
      <c r="I41" s="16">
        <v>50</v>
      </c>
      <c r="J41" s="84">
        <v>0</v>
      </c>
      <c r="K41" s="18" t="s">
        <v>16</v>
      </c>
      <c r="L41" s="19">
        <v>0</v>
      </c>
      <c r="M41" s="24">
        <v>0</v>
      </c>
      <c r="N41"/>
      <c r="O41" s="10">
        <v>37</v>
      </c>
      <c r="P41" s="20"/>
      <c r="Q41" s="82">
        <v>0</v>
      </c>
      <c r="R41" s="81">
        <v>0</v>
      </c>
      <c r="S41" s="82">
        <v>0</v>
      </c>
      <c r="T41" s="81">
        <v>0</v>
      </c>
      <c r="U41" s="82">
        <v>0</v>
      </c>
      <c r="V41" s="83">
        <v>0</v>
      </c>
      <c r="W41" s="23"/>
      <c r="X41" s="84"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80">
        <v>4</v>
      </c>
      <c r="D42" s="81">
        <v>0</v>
      </c>
      <c r="E42" s="82">
        <v>4</v>
      </c>
      <c r="F42" s="81">
        <v>0</v>
      </c>
      <c r="G42" s="82">
        <v>4</v>
      </c>
      <c r="H42" s="83">
        <v>0</v>
      </c>
      <c r="I42" s="16">
        <v>50</v>
      </c>
      <c r="J42" s="84">
        <v>0</v>
      </c>
      <c r="K42" s="18" t="s">
        <v>16</v>
      </c>
      <c r="L42" s="19">
        <v>0</v>
      </c>
      <c r="M42" s="24">
        <v>0</v>
      </c>
      <c r="N42"/>
      <c r="O42" s="10">
        <v>38</v>
      </c>
      <c r="P42" s="20"/>
      <c r="Q42" s="82">
        <v>0</v>
      </c>
      <c r="R42" s="81">
        <v>0</v>
      </c>
      <c r="S42" s="82">
        <v>0</v>
      </c>
      <c r="T42" s="81">
        <v>0</v>
      </c>
      <c r="U42" s="82">
        <v>0</v>
      </c>
      <c r="V42" s="83">
        <v>0</v>
      </c>
      <c r="W42" s="23"/>
      <c r="X42" s="84"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80">
        <v>3</v>
      </c>
      <c r="D43" s="81">
        <v>0</v>
      </c>
      <c r="E43" s="82">
        <v>3</v>
      </c>
      <c r="F43" s="81">
        <v>0</v>
      </c>
      <c r="G43" s="82">
        <v>3</v>
      </c>
      <c r="H43" s="83">
        <v>0</v>
      </c>
      <c r="I43" s="16">
        <v>50</v>
      </c>
      <c r="J43" s="84">
        <v>0</v>
      </c>
      <c r="K43" s="18" t="s">
        <v>16</v>
      </c>
      <c r="L43" s="19">
        <v>0</v>
      </c>
      <c r="M43" s="24">
        <v>0</v>
      </c>
      <c r="N43"/>
      <c r="O43" s="10">
        <v>39</v>
      </c>
      <c r="P43" s="20"/>
      <c r="Q43" s="82">
        <v>0</v>
      </c>
      <c r="R43" s="81">
        <v>0</v>
      </c>
      <c r="S43" s="82">
        <v>0</v>
      </c>
      <c r="T43" s="81">
        <v>0</v>
      </c>
      <c r="U43" s="82">
        <v>0</v>
      </c>
      <c r="V43" s="83">
        <v>0</v>
      </c>
      <c r="W43" s="23"/>
      <c r="X43" s="84"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80">
        <v>5</v>
      </c>
      <c r="D44" s="81">
        <v>0</v>
      </c>
      <c r="E44" s="82">
        <v>5</v>
      </c>
      <c r="F44" s="81">
        <v>0</v>
      </c>
      <c r="G44" s="82">
        <v>5</v>
      </c>
      <c r="H44" s="83">
        <v>0</v>
      </c>
      <c r="I44" s="16">
        <v>50</v>
      </c>
      <c r="J44" s="84">
        <v>0</v>
      </c>
      <c r="K44" s="18" t="s">
        <v>16</v>
      </c>
      <c r="L44" s="19">
        <v>0</v>
      </c>
      <c r="M44" s="24">
        <v>0</v>
      </c>
      <c r="N44"/>
      <c r="O44" s="10">
        <v>40</v>
      </c>
      <c r="P44" s="20"/>
      <c r="Q44" s="82">
        <v>0</v>
      </c>
      <c r="R44" s="81">
        <v>0</v>
      </c>
      <c r="S44" s="82">
        <v>0</v>
      </c>
      <c r="T44" s="81">
        <v>0</v>
      </c>
      <c r="U44" s="82">
        <v>0</v>
      </c>
      <c r="V44" s="83">
        <v>0</v>
      </c>
      <c r="W44" s="23"/>
      <c r="X44" s="84"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80">
        <v>0</v>
      </c>
      <c r="D45" s="81">
        <v>0</v>
      </c>
      <c r="E45" s="82">
        <v>0</v>
      </c>
      <c r="F45" s="81">
        <v>0</v>
      </c>
      <c r="G45" s="82">
        <v>0</v>
      </c>
      <c r="H45" s="83">
        <v>0</v>
      </c>
      <c r="I45" s="16">
        <v>50</v>
      </c>
      <c r="J45" s="84">
        <v>0</v>
      </c>
      <c r="K45" s="18" t="s">
        <v>16</v>
      </c>
      <c r="L45" s="19">
        <v>0</v>
      </c>
      <c r="M45" s="24">
        <v>0</v>
      </c>
      <c r="N45"/>
      <c r="O45" s="10">
        <v>41</v>
      </c>
      <c r="P45" s="20"/>
      <c r="Q45" s="82">
        <v>0</v>
      </c>
      <c r="R45" s="81">
        <v>0</v>
      </c>
      <c r="S45" s="82">
        <v>0</v>
      </c>
      <c r="T45" s="81">
        <v>0</v>
      </c>
      <c r="U45" s="82">
        <v>0</v>
      </c>
      <c r="V45" s="83">
        <v>0</v>
      </c>
      <c r="W45" s="23"/>
      <c r="X45" s="84"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80">
        <v>2</v>
      </c>
      <c r="D46" s="81">
        <v>10</v>
      </c>
      <c r="E46" s="82">
        <v>12</v>
      </c>
      <c r="F46" s="81">
        <v>0</v>
      </c>
      <c r="G46" s="82">
        <v>12</v>
      </c>
      <c r="H46" s="83">
        <v>0</v>
      </c>
      <c r="I46" s="16">
        <v>50</v>
      </c>
      <c r="J46" s="84">
        <v>0</v>
      </c>
      <c r="K46" s="18" t="s">
        <v>16</v>
      </c>
      <c r="L46" s="19">
        <v>0</v>
      </c>
      <c r="M46" s="24">
        <v>0</v>
      </c>
      <c r="N46"/>
      <c r="O46" s="10">
        <v>42</v>
      </c>
      <c r="P46" s="20"/>
      <c r="Q46" s="82">
        <v>0</v>
      </c>
      <c r="R46" s="81">
        <v>0</v>
      </c>
      <c r="S46" s="82">
        <v>0</v>
      </c>
      <c r="T46" s="81">
        <v>0</v>
      </c>
      <c r="U46" s="82">
        <v>0</v>
      </c>
      <c r="V46" s="83">
        <v>0</v>
      </c>
      <c r="W46" s="23"/>
      <c r="X46" s="84"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80">
        <v>8</v>
      </c>
      <c r="D47" s="81">
        <v>0</v>
      </c>
      <c r="E47" s="82">
        <v>8</v>
      </c>
      <c r="F47" s="81">
        <v>0</v>
      </c>
      <c r="G47" s="82">
        <v>8</v>
      </c>
      <c r="H47" s="83">
        <v>0</v>
      </c>
      <c r="I47" s="16">
        <v>50</v>
      </c>
      <c r="J47" s="84">
        <v>0</v>
      </c>
      <c r="K47" s="18" t="s">
        <v>16</v>
      </c>
      <c r="L47" s="19">
        <v>0</v>
      </c>
      <c r="M47" s="24">
        <v>0</v>
      </c>
      <c r="N47"/>
      <c r="O47" s="10">
        <v>43</v>
      </c>
      <c r="P47" s="20"/>
      <c r="Q47" s="82">
        <v>0</v>
      </c>
      <c r="R47" s="81">
        <v>0</v>
      </c>
      <c r="S47" s="82">
        <v>0</v>
      </c>
      <c r="T47" s="81">
        <v>0</v>
      </c>
      <c r="U47" s="82">
        <v>0</v>
      </c>
      <c r="V47" s="83">
        <v>0</v>
      </c>
      <c r="W47" s="85"/>
      <c r="X47" s="84"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80">
        <v>5</v>
      </c>
      <c r="D48" s="81">
        <v>0</v>
      </c>
      <c r="E48" s="82">
        <v>5</v>
      </c>
      <c r="F48" s="81">
        <v>0</v>
      </c>
      <c r="G48" s="82">
        <v>5</v>
      </c>
      <c r="H48" s="83">
        <v>0</v>
      </c>
      <c r="I48" s="16">
        <v>50</v>
      </c>
      <c r="J48" s="84">
        <v>0</v>
      </c>
      <c r="K48" s="18" t="s">
        <v>16</v>
      </c>
      <c r="L48" s="19">
        <v>0</v>
      </c>
      <c r="M48" s="24">
        <v>0</v>
      </c>
      <c r="N48"/>
      <c r="O48" s="10">
        <v>44</v>
      </c>
      <c r="P48" s="20"/>
      <c r="Q48" s="82">
        <v>0</v>
      </c>
      <c r="R48" s="81">
        <v>0</v>
      </c>
      <c r="S48" s="82">
        <v>0</v>
      </c>
      <c r="T48" s="81">
        <v>0</v>
      </c>
      <c r="U48" s="82">
        <v>0</v>
      </c>
      <c r="V48" s="83">
        <v>0</v>
      </c>
      <c r="W48" s="85"/>
      <c r="X48" s="84"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80">
        <v>1</v>
      </c>
      <c r="D49" s="81">
        <v>0</v>
      </c>
      <c r="E49" s="82">
        <v>1</v>
      </c>
      <c r="F49" s="81">
        <v>0</v>
      </c>
      <c r="G49" s="82">
        <v>1</v>
      </c>
      <c r="H49" s="83">
        <v>0</v>
      </c>
      <c r="I49" s="16">
        <v>50</v>
      </c>
      <c r="J49" s="84">
        <v>0</v>
      </c>
      <c r="K49" s="18" t="s">
        <v>16</v>
      </c>
      <c r="L49" s="19">
        <v>0</v>
      </c>
      <c r="M49" s="24">
        <v>0</v>
      </c>
      <c r="N49"/>
      <c r="O49" s="10">
        <v>45</v>
      </c>
      <c r="P49" s="20"/>
      <c r="Q49" s="82">
        <v>0</v>
      </c>
      <c r="R49" s="81">
        <v>0</v>
      </c>
      <c r="S49" s="82">
        <v>0</v>
      </c>
      <c r="T49" s="81">
        <v>0</v>
      </c>
      <c r="U49" s="82">
        <v>0</v>
      </c>
      <c r="V49" s="83">
        <v>0</v>
      </c>
      <c r="W49" s="85"/>
      <c r="X49" s="84"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80">
        <v>7</v>
      </c>
      <c r="D50" s="81">
        <v>0</v>
      </c>
      <c r="E50" s="82">
        <v>7</v>
      </c>
      <c r="F50" s="81">
        <v>0</v>
      </c>
      <c r="G50" s="82">
        <v>7</v>
      </c>
      <c r="H50" s="83">
        <v>0</v>
      </c>
      <c r="I50" s="16">
        <v>120</v>
      </c>
      <c r="J50" s="84">
        <v>0</v>
      </c>
      <c r="K50" s="18" t="s">
        <v>16</v>
      </c>
      <c r="L50" s="19">
        <v>0</v>
      </c>
      <c r="M50" s="24">
        <v>0</v>
      </c>
      <c r="N50"/>
      <c r="O50" s="10">
        <v>46</v>
      </c>
      <c r="P50" s="20"/>
      <c r="Q50" s="82">
        <v>0</v>
      </c>
      <c r="R50" s="81">
        <v>0</v>
      </c>
      <c r="S50" s="82">
        <v>0</v>
      </c>
      <c r="T50" s="81">
        <v>0</v>
      </c>
      <c r="U50" s="82">
        <v>0</v>
      </c>
      <c r="V50" s="83">
        <v>0</v>
      </c>
      <c r="W50" s="85"/>
      <c r="X50" s="84"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80">
        <v>0</v>
      </c>
      <c r="D51" s="81">
        <v>0</v>
      </c>
      <c r="E51" s="82">
        <v>0</v>
      </c>
      <c r="F51" s="81">
        <v>0</v>
      </c>
      <c r="G51" s="82">
        <v>0</v>
      </c>
      <c r="H51" s="83">
        <v>0</v>
      </c>
      <c r="I51" s="16">
        <v>120</v>
      </c>
      <c r="J51" s="84">
        <v>0</v>
      </c>
      <c r="K51" s="18" t="s">
        <v>16</v>
      </c>
      <c r="L51" s="19">
        <v>0</v>
      </c>
      <c r="M51" s="24">
        <v>0</v>
      </c>
      <c r="N51"/>
      <c r="O51" s="10">
        <v>47</v>
      </c>
      <c r="P51" s="20"/>
      <c r="Q51" s="82">
        <v>0</v>
      </c>
      <c r="R51" s="81">
        <v>0</v>
      </c>
      <c r="S51" s="82">
        <v>0</v>
      </c>
      <c r="T51" s="81">
        <v>0</v>
      </c>
      <c r="U51" s="82">
        <v>0</v>
      </c>
      <c r="V51" s="83">
        <v>0</v>
      </c>
      <c r="W51" s="85"/>
      <c r="X51" s="84"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80">
        <v>1</v>
      </c>
      <c r="D52" s="81">
        <v>0</v>
      </c>
      <c r="E52" s="82">
        <v>1</v>
      </c>
      <c r="F52" s="81">
        <v>0</v>
      </c>
      <c r="G52" s="82">
        <v>1</v>
      </c>
      <c r="H52" s="83">
        <v>0</v>
      </c>
      <c r="I52" s="86">
        <v>120</v>
      </c>
      <c r="J52" s="84">
        <v>0</v>
      </c>
      <c r="K52" s="18" t="s">
        <v>16</v>
      </c>
      <c r="L52" s="19">
        <v>0</v>
      </c>
      <c r="M52" s="24">
        <v>0</v>
      </c>
      <c r="N52"/>
      <c r="O52" s="10">
        <v>48</v>
      </c>
      <c r="P52" s="20"/>
      <c r="Q52" s="82">
        <v>0</v>
      </c>
      <c r="R52" s="81">
        <v>0</v>
      </c>
      <c r="S52" s="82">
        <v>0</v>
      </c>
      <c r="T52" s="81">
        <v>0</v>
      </c>
      <c r="U52" s="82">
        <v>0</v>
      </c>
      <c r="V52" s="83">
        <v>0</v>
      </c>
      <c r="W52" s="85"/>
      <c r="X52" s="84"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80">
        <v>0</v>
      </c>
      <c r="D53" s="81">
        <v>0</v>
      </c>
      <c r="E53" s="82">
        <v>0</v>
      </c>
      <c r="F53" s="81">
        <v>0</v>
      </c>
      <c r="G53" s="82">
        <v>0</v>
      </c>
      <c r="H53" s="83">
        <v>0</v>
      </c>
      <c r="I53" s="16">
        <v>120</v>
      </c>
      <c r="J53" s="84">
        <v>0</v>
      </c>
      <c r="K53" s="18" t="s">
        <v>16</v>
      </c>
      <c r="L53" s="19">
        <v>0</v>
      </c>
      <c r="M53" s="24">
        <v>0</v>
      </c>
      <c r="N53"/>
      <c r="O53" s="10">
        <v>49</v>
      </c>
      <c r="P53" s="20"/>
      <c r="Q53" s="82">
        <v>0</v>
      </c>
      <c r="R53" s="81">
        <v>0</v>
      </c>
      <c r="S53" s="82">
        <v>0</v>
      </c>
      <c r="T53" s="81">
        <v>0</v>
      </c>
      <c r="U53" s="82">
        <v>0</v>
      </c>
      <c r="V53" s="83">
        <v>0</v>
      </c>
      <c r="W53" s="85"/>
      <c r="X53" s="84"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80">
        <v>0</v>
      </c>
      <c r="D54" s="81">
        <v>0</v>
      </c>
      <c r="E54" s="82">
        <v>0</v>
      </c>
      <c r="F54" s="81">
        <v>0</v>
      </c>
      <c r="G54" s="80">
        <v>0</v>
      </c>
      <c r="H54" s="83">
        <v>0</v>
      </c>
      <c r="I54" s="16">
        <v>120</v>
      </c>
      <c r="J54" s="84">
        <v>0</v>
      </c>
      <c r="K54" s="18" t="s">
        <v>16</v>
      </c>
      <c r="L54" s="19">
        <v>0</v>
      </c>
      <c r="M54" s="24">
        <v>0</v>
      </c>
      <c r="N54"/>
      <c r="O54" s="10">
        <v>50</v>
      </c>
      <c r="P54" s="20"/>
      <c r="Q54" s="82">
        <v>0</v>
      </c>
      <c r="R54" s="81">
        <v>0</v>
      </c>
      <c r="S54" s="82">
        <v>0</v>
      </c>
      <c r="T54" s="81">
        <v>0</v>
      </c>
      <c r="U54" s="82">
        <v>0</v>
      </c>
      <c r="V54" s="83">
        <v>0</v>
      </c>
      <c r="W54" s="85"/>
      <c r="X54" s="84"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80">
        <v>1</v>
      </c>
      <c r="D55" s="81">
        <v>0</v>
      </c>
      <c r="E55" s="82">
        <v>1</v>
      </c>
      <c r="F55" s="81">
        <v>0</v>
      </c>
      <c r="G55" s="80">
        <v>1</v>
      </c>
      <c r="H55" s="83">
        <v>0</v>
      </c>
      <c r="I55" s="86">
        <v>120</v>
      </c>
      <c r="J55" s="84">
        <v>0</v>
      </c>
      <c r="K55" s="18" t="s">
        <v>16</v>
      </c>
      <c r="L55" s="19">
        <v>0</v>
      </c>
      <c r="M55" s="24">
        <v>0</v>
      </c>
      <c r="N55"/>
      <c r="O55" s="10">
        <v>51</v>
      </c>
      <c r="P55" s="20"/>
      <c r="Q55" s="82">
        <v>0</v>
      </c>
      <c r="R55" s="81">
        <v>0</v>
      </c>
      <c r="S55" s="82">
        <v>0</v>
      </c>
      <c r="T55" s="81">
        <v>0</v>
      </c>
      <c r="U55" s="82">
        <v>0</v>
      </c>
      <c r="V55" s="83">
        <v>0</v>
      </c>
      <c r="W55" s="85"/>
      <c r="X55" s="84"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80">
        <v>0</v>
      </c>
      <c r="D56" s="81">
        <v>0</v>
      </c>
      <c r="E56" s="82">
        <v>0</v>
      </c>
      <c r="F56" s="81">
        <v>0</v>
      </c>
      <c r="G56" s="80">
        <v>0</v>
      </c>
      <c r="H56" s="83">
        <v>0</v>
      </c>
      <c r="I56" s="86">
        <v>120</v>
      </c>
      <c r="J56" s="84">
        <v>0</v>
      </c>
      <c r="K56" s="18" t="s">
        <v>16</v>
      </c>
      <c r="L56" s="19">
        <v>0</v>
      </c>
      <c r="M56" s="24">
        <v>0</v>
      </c>
      <c r="N56"/>
      <c r="O56" s="10">
        <v>52</v>
      </c>
      <c r="P56" s="20"/>
      <c r="Q56" s="82">
        <v>0</v>
      </c>
      <c r="R56" s="81">
        <v>0</v>
      </c>
      <c r="S56" s="82">
        <v>0</v>
      </c>
      <c r="T56" s="81">
        <v>0</v>
      </c>
      <c r="U56" s="82">
        <v>0</v>
      </c>
      <c r="V56" s="83">
        <v>0</v>
      </c>
      <c r="W56" s="85"/>
      <c r="X56" s="84"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80">
        <v>4</v>
      </c>
      <c r="D57" s="81">
        <v>0</v>
      </c>
      <c r="E57" s="82">
        <v>4</v>
      </c>
      <c r="F57" s="81">
        <v>0</v>
      </c>
      <c r="G57" s="80">
        <v>4</v>
      </c>
      <c r="H57" s="83">
        <v>0</v>
      </c>
      <c r="I57" s="86">
        <v>120</v>
      </c>
      <c r="J57" s="84">
        <v>0</v>
      </c>
      <c r="K57" s="18" t="s">
        <v>16</v>
      </c>
      <c r="L57" s="19">
        <v>0</v>
      </c>
      <c r="M57" s="24">
        <v>0</v>
      </c>
      <c r="N57"/>
      <c r="O57" s="10">
        <v>53</v>
      </c>
      <c r="P57" s="20"/>
      <c r="Q57" s="82">
        <v>0</v>
      </c>
      <c r="R57" s="81">
        <v>0</v>
      </c>
      <c r="S57" s="82">
        <v>0</v>
      </c>
      <c r="T57" s="81">
        <v>0</v>
      </c>
      <c r="U57" s="82">
        <v>0</v>
      </c>
      <c r="V57" s="83">
        <v>0</v>
      </c>
      <c r="W57" s="85"/>
      <c r="X57" s="84"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80">
        <v>0</v>
      </c>
      <c r="D58" s="81">
        <v>0</v>
      </c>
      <c r="E58" s="82">
        <v>0</v>
      </c>
      <c r="F58" s="81">
        <v>0</v>
      </c>
      <c r="G58" s="80">
        <v>0</v>
      </c>
      <c r="H58" s="83">
        <v>0</v>
      </c>
      <c r="I58" s="86">
        <v>120</v>
      </c>
      <c r="J58" s="84">
        <v>0</v>
      </c>
      <c r="K58" s="18" t="s">
        <v>16</v>
      </c>
      <c r="L58" s="19">
        <v>0</v>
      </c>
      <c r="M58" s="24">
        <v>0</v>
      </c>
      <c r="N58"/>
      <c r="O58" s="10">
        <v>54</v>
      </c>
      <c r="P58" s="20"/>
      <c r="Q58" s="82">
        <v>0</v>
      </c>
      <c r="R58" s="81">
        <v>0</v>
      </c>
      <c r="S58" s="82">
        <v>0</v>
      </c>
      <c r="T58" s="81">
        <v>0</v>
      </c>
      <c r="U58" s="82">
        <v>0</v>
      </c>
      <c r="V58" s="83">
        <v>0</v>
      </c>
      <c r="W58" s="85"/>
      <c r="X58" s="84"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80">
        <v>0</v>
      </c>
      <c r="D59" s="81">
        <v>0</v>
      </c>
      <c r="E59" s="82">
        <v>0</v>
      </c>
      <c r="F59" s="81">
        <v>0</v>
      </c>
      <c r="G59" s="80">
        <v>0</v>
      </c>
      <c r="H59" s="83">
        <v>0</v>
      </c>
      <c r="I59" s="16">
        <v>70</v>
      </c>
      <c r="J59" s="84">
        <v>0</v>
      </c>
      <c r="K59" s="18" t="s">
        <v>16</v>
      </c>
      <c r="L59" s="19">
        <v>0</v>
      </c>
      <c r="M59" s="24">
        <v>0</v>
      </c>
      <c r="N59"/>
      <c r="O59" s="10">
        <v>55</v>
      </c>
      <c r="P59" s="20"/>
      <c r="Q59" s="82">
        <v>0</v>
      </c>
      <c r="R59" s="81">
        <v>0</v>
      </c>
      <c r="S59" s="82">
        <v>0</v>
      </c>
      <c r="T59" s="81">
        <v>0</v>
      </c>
      <c r="U59" s="82">
        <v>0</v>
      </c>
      <c r="V59" s="83">
        <v>0</v>
      </c>
      <c r="W59" s="85"/>
      <c r="X59" s="84"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80">
        <v>0</v>
      </c>
      <c r="D60" s="81">
        <v>0</v>
      </c>
      <c r="E60" s="82">
        <v>0</v>
      </c>
      <c r="F60" s="81">
        <v>0</v>
      </c>
      <c r="G60" s="82">
        <v>0</v>
      </c>
      <c r="H60" s="83">
        <v>0</v>
      </c>
      <c r="I60" s="86">
        <v>80</v>
      </c>
      <c r="J60" s="84">
        <v>0</v>
      </c>
      <c r="K60" s="18" t="s">
        <v>16</v>
      </c>
      <c r="L60" s="19">
        <v>0</v>
      </c>
      <c r="M60" s="24">
        <v>0</v>
      </c>
      <c r="N60"/>
      <c r="O60" s="10">
        <v>56</v>
      </c>
      <c r="P60" s="20"/>
      <c r="Q60" s="82">
        <v>0</v>
      </c>
      <c r="R60" s="81">
        <v>0</v>
      </c>
      <c r="S60" s="82">
        <v>0</v>
      </c>
      <c r="T60" s="81">
        <v>0</v>
      </c>
      <c r="U60" s="82">
        <v>0</v>
      </c>
      <c r="V60" s="83">
        <v>0</v>
      </c>
      <c r="W60" s="85"/>
      <c r="X60" s="84"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80">
        <v>1</v>
      </c>
      <c r="D61" s="81">
        <v>3</v>
      </c>
      <c r="E61" s="82">
        <v>4</v>
      </c>
      <c r="F61" s="81">
        <v>0</v>
      </c>
      <c r="G61" s="82">
        <v>4</v>
      </c>
      <c r="H61" s="83">
        <v>0</v>
      </c>
      <c r="I61" s="16">
        <v>50</v>
      </c>
      <c r="J61" s="84">
        <v>0</v>
      </c>
      <c r="K61" s="18" t="s">
        <v>16</v>
      </c>
      <c r="L61" s="19">
        <v>0</v>
      </c>
      <c r="M61" s="24">
        <v>0</v>
      </c>
      <c r="N61"/>
      <c r="O61" s="10">
        <v>57</v>
      </c>
      <c r="P61" s="20"/>
      <c r="Q61" s="82">
        <v>0</v>
      </c>
      <c r="R61" s="81">
        <v>0</v>
      </c>
      <c r="S61" s="82">
        <v>0</v>
      </c>
      <c r="T61" s="81">
        <v>0</v>
      </c>
      <c r="U61" s="82">
        <v>0</v>
      </c>
      <c r="V61" s="83">
        <v>0</v>
      </c>
      <c r="W61" s="85"/>
      <c r="X61" s="84"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80">
        <v>2</v>
      </c>
      <c r="D62" s="81">
        <v>0</v>
      </c>
      <c r="E62" s="82">
        <v>2</v>
      </c>
      <c r="F62" s="81">
        <v>0</v>
      </c>
      <c r="G62" s="82">
        <v>2</v>
      </c>
      <c r="H62" s="83">
        <v>0</v>
      </c>
      <c r="I62" s="85">
        <v>50</v>
      </c>
      <c r="J62" s="84">
        <v>0</v>
      </c>
      <c r="K62" s="18" t="s">
        <v>16</v>
      </c>
      <c r="L62" s="19">
        <v>0</v>
      </c>
      <c r="M62" s="24">
        <v>0</v>
      </c>
      <c r="N62"/>
      <c r="O62" s="10">
        <v>58</v>
      </c>
      <c r="P62" s="20"/>
      <c r="Q62" s="82">
        <v>0</v>
      </c>
      <c r="R62" s="81">
        <v>0</v>
      </c>
      <c r="S62" s="82">
        <v>0</v>
      </c>
      <c r="T62" s="81">
        <v>0</v>
      </c>
      <c r="U62" s="82">
        <v>0</v>
      </c>
      <c r="V62" s="83">
        <v>0</v>
      </c>
      <c r="W62" s="85"/>
      <c r="X62" s="84"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80">
        <v>2</v>
      </c>
      <c r="D63" s="81">
        <v>0</v>
      </c>
      <c r="E63" s="82">
        <v>2</v>
      </c>
      <c r="F63" s="81">
        <v>0</v>
      </c>
      <c r="G63" s="82">
        <v>2</v>
      </c>
      <c r="H63" s="83">
        <v>0</v>
      </c>
      <c r="I63" s="85">
        <v>50</v>
      </c>
      <c r="J63" s="84">
        <v>0</v>
      </c>
      <c r="K63" s="18" t="s">
        <v>16</v>
      </c>
      <c r="L63" s="19">
        <v>0</v>
      </c>
      <c r="M63" s="24">
        <v>0</v>
      </c>
      <c r="N63"/>
      <c r="O63" s="10">
        <v>59</v>
      </c>
      <c r="P63" s="20"/>
      <c r="Q63" s="82">
        <v>0</v>
      </c>
      <c r="R63" s="81">
        <v>0</v>
      </c>
      <c r="S63" s="82">
        <v>0</v>
      </c>
      <c r="T63" s="81">
        <v>0</v>
      </c>
      <c r="U63" s="82">
        <v>0</v>
      </c>
      <c r="V63" s="83">
        <v>0</v>
      </c>
      <c r="W63" s="85"/>
      <c r="X63" s="84"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80">
        <v>0</v>
      </c>
      <c r="D64" s="81">
        <v>0</v>
      </c>
      <c r="E64" s="82">
        <v>0</v>
      </c>
      <c r="F64" s="81">
        <v>0</v>
      </c>
      <c r="G64" s="82">
        <v>0</v>
      </c>
      <c r="H64" s="83">
        <v>0</v>
      </c>
      <c r="I64" s="86">
        <v>30</v>
      </c>
      <c r="J64" s="84">
        <v>0</v>
      </c>
      <c r="K64" s="18" t="s">
        <v>16</v>
      </c>
      <c r="L64" s="19">
        <v>0</v>
      </c>
      <c r="M64" s="24">
        <v>0</v>
      </c>
      <c r="N64"/>
      <c r="O64" s="10">
        <v>60</v>
      </c>
      <c r="P64" s="20"/>
      <c r="Q64" s="82">
        <v>0</v>
      </c>
      <c r="R64" s="81">
        <v>0</v>
      </c>
      <c r="S64" s="82">
        <v>0</v>
      </c>
      <c r="T64" s="81">
        <v>0</v>
      </c>
      <c r="U64" s="82">
        <v>0</v>
      </c>
      <c r="V64" s="83">
        <v>0</v>
      </c>
      <c r="W64" s="85"/>
      <c r="X64" s="84"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80">
        <v>0</v>
      </c>
      <c r="D65" s="81">
        <v>0</v>
      </c>
      <c r="E65" s="82">
        <v>0</v>
      </c>
      <c r="F65" s="81">
        <v>0</v>
      </c>
      <c r="G65" s="82">
        <v>0</v>
      </c>
      <c r="H65" s="83">
        <v>0</v>
      </c>
      <c r="I65" s="86">
        <v>30</v>
      </c>
      <c r="J65" s="84">
        <v>0</v>
      </c>
      <c r="K65" s="18" t="s">
        <v>16</v>
      </c>
      <c r="L65" s="19">
        <v>0</v>
      </c>
      <c r="M65" s="24">
        <v>0</v>
      </c>
      <c r="N65"/>
      <c r="O65" s="10">
        <v>61</v>
      </c>
      <c r="P65" s="20"/>
      <c r="Q65" s="82">
        <v>0</v>
      </c>
      <c r="R65" s="81">
        <v>0</v>
      </c>
      <c r="S65" s="82">
        <v>0</v>
      </c>
      <c r="T65" s="81">
        <v>0</v>
      </c>
      <c r="U65" s="82">
        <v>0</v>
      </c>
      <c r="V65" s="83">
        <v>0</v>
      </c>
      <c r="W65" s="85"/>
      <c r="X65" s="84"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80">
        <v>8</v>
      </c>
      <c r="D66" s="81">
        <v>0</v>
      </c>
      <c r="E66" s="82">
        <v>8</v>
      </c>
      <c r="F66" s="81">
        <v>0</v>
      </c>
      <c r="G66" s="82">
        <v>7</v>
      </c>
      <c r="H66" s="83">
        <v>1</v>
      </c>
      <c r="I66" s="16">
        <v>50</v>
      </c>
      <c r="J66" s="84">
        <v>50</v>
      </c>
      <c r="K66" s="18" t="s">
        <v>16</v>
      </c>
      <c r="L66" s="19">
        <v>0</v>
      </c>
      <c r="M66" s="24">
        <v>50</v>
      </c>
      <c r="N66"/>
      <c r="O66" s="10">
        <v>62</v>
      </c>
      <c r="P66" s="20"/>
      <c r="Q66" s="82">
        <v>0</v>
      </c>
      <c r="R66" s="81">
        <v>0</v>
      </c>
      <c r="S66" s="82">
        <v>0</v>
      </c>
      <c r="T66" s="81">
        <v>0</v>
      </c>
      <c r="U66" s="82">
        <v>0</v>
      </c>
      <c r="V66" s="83">
        <v>0</v>
      </c>
      <c r="W66" s="85"/>
      <c r="X66" s="84"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80">
        <v>14</v>
      </c>
      <c r="D67" s="81">
        <v>0</v>
      </c>
      <c r="E67" s="82">
        <v>14</v>
      </c>
      <c r="F67" s="81">
        <v>0</v>
      </c>
      <c r="G67" s="82">
        <v>14</v>
      </c>
      <c r="H67" s="83">
        <v>0</v>
      </c>
      <c r="I67" s="16">
        <v>50</v>
      </c>
      <c r="J67" s="84">
        <v>0</v>
      </c>
      <c r="K67" s="18" t="s">
        <v>16</v>
      </c>
      <c r="L67" s="19">
        <v>0</v>
      </c>
      <c r="M67" s="24">
        <v>0</v>
      </c>
      <c r="N67"/>
      <c r="O67" s="10">
        <v>63</v>
      </c>
      <c r="P67" s="20"/>
      <c r="Q67" s="82">
        <v>0</v>
      </c>
      <c r="R67" s="81">
        <v>0</v>
      </c>
      <c r="S67" s="82">
        <v>0</v>
      </c>
      <c r="T67" s="81">
        <v>0</v>
      </c>
      <c r="U67" s="82">
        <v>0</v>
      </c>
      <c r="V67" s="83">
        <v>0</v>
      </c>
      <c r="W67" s="85"/>
      <c r="X67" s="84"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80">
        <v>0</v>
      </c>
      <c r="D68" s="81">
        <v>0</v>
      </c>
      <c r="E68" s="82">
        <v>0</v>
      </c>
      <c r="F68" s="81">
        <v>0</v>
      </c>
      <c r="G68" s="82">
        <v>0</v>
      </c>
      <c r="H68" s="83">
        <v>0</v>
      </c>
      <c r="I68" s="85">
        <v>35</v>
      </c>
      <c r="J68" s="84">
        <v>0</v>
      </c>
      <c r="K68" s="18" t="s">
        <v>16</v>
      </c>
      <c r="L68" s="19">
        <v>0</v>
      </c>
      <c r="M68" s="24">
        <v>0</v>
      </c>
      <c r="N68"/>
      <c r="O68" s="10">
        <v>64</v>
      </c>
      <c r="P68" s="20"/>
      <c r="Q68" s="82">
        <v>0</v>
      </c>
      <c r="R68" s="81">
        <v>0</v>
      </c>
      <c r="S68" s="82">
        <v>0</v>
      </c>
      <c r="T68" s="81">
        <v>0</v>
      </c>
      <c r="U68" s="82">
        <v>0</v>
      </c>
      <c r="V68" s="83">
        <v>0</v>
      </c>
      <c r="W68" s="85"/>
      <c r="X68" s="84"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80">
        <v>0</v>
      </c>
      <c r="D69" s="81">
        <v>0</v>
      </c>
      <c r="E69" s="82">
        <v>0</v>
      </c>
      <c r="F69" s="81">
        <v>0</v>
      </c>
      <c r="G69" s="82">
        <v>0</v>
      </c>
      <c r="H69" s="83">
        <v>0</v>
      </c>
      <c r="I69" s="85">
        <v>25</v>
      </c>
      <c r="J69" s="84">
        <v>0</v>
      </c>
      <c r="K69" s="18" t="s">
        <v>16</v>
      </c>
      <c r="L69" s="19">
        <v>0</v>
      </c>
      <c r="M69" s="24">
        <v>0</v>
      </c>
      <c r="N69"/>
      <c r="O69" s="10">
        <v>65</v>
      </c>
      <c r="P69" s="20"/>
      <c r="Q69" s="82">
        <v>0</v>
      </c>
      <c r="R69" s="81">
        <v>0</v>
      </c>
      <c r="S69" s="82">
        <v>0</v>
      </c>
      <c r="T69" s="81">
        <v>0</v>
      </c>
      <c r="U69" s="82">
        <v>0</v>
      </c>
      <c r="V69" s="83">
        <v>0</v>
      </c>
      <c r="W69" s="85"/>
      <c r="X69" s="84"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80">
        <v>0</v>
      </c>
      <c r="D70" s="81">
        <v>0</v>
      </c>
      <c r="E70" s="82">
        <v>0</v>
      </c>
      <c r="F70" s="81">
        <v>0</v>
      </c>
      <c r="G70" s="82">
        <v>0</v>
      </c>
      <c r="H70" s="83">
        <v>0</v>
      </c>
      <c r="I70" s="85">
        <v>50</v>
      </c>
      <c r="J70" s="84">
        <v>0</v>
      </c>
      <c r="K70" s="18" t="s">
        <v>16</v>
      </c>
      <c r="L70" s="19">
        <v>0</v>
      </c>
      <c r="M70" s="24">
        <v>0</v>
      </c>
      <c r="N70"/>
      <c r="O70" s="10">
        <v>66</v>
      </c>
      <c r="P70" s="20"/>
      <c r="Q70" s="82">
        <v>0</v>
      </c>
      <c r="R70" s="81">
        <v>0</v>
      </c>
      <c r="S70" s="82">
        <v>0</v>
      </c>
      <c r="T70" s="81">
        <v>0</v>
      </c>
      <c r="U70" s="82">
        <v>0</v>
      </c>
      <c r="V70" s="83">
        <v>0</v>
      </c>
      <c r="W70" s="85"/>
      <c r="X70" s="84"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80">
        <v>5</v>
      </c>
      <c r="D71" s="81">
        <v>5</v>
      </c>
      <c r="E71" s="82">
        <v>10</v>
      </c>
      <c r="F71" s="81">
        <v>0</v>
      </c>
      <c r="G71" s="82">
        <v>3</v>
      </c>
      <c r="H71" s="83">
        <v>7</v>
      </c>
      <c r="I71" s="85">
        <v>60</v>
      </c>
      <c r="J71" s="84">
        <v>420</v>
      </c>
      <c r="K71" s="18" t="s">
        <v>252</v>
      </c>
      <c r="L71" s="19">
        <v>360</v>
      </c>
      <c r="M71" s="24">
        <v>60</v>
      </c>
      <c r="N71"/>
      <c r="O71" s="10">
        <v>67</v>
      </c>
      <c r="P71" s="20"/>
      <c r="Q71" s="82">
        <v>0</v>
      </c>
      <c r="R71" s="81">
        <v>0</v>
      </c>
      <c r="S71" s="82">
        <v>0</v>
      </c>
      <c r="T71" s="81">
        <v>0</v>
      </c>
      <c r="U71" s="82">
        <v>0</v>
      </c>
      <c r="V71" s="83">
        <v>0</v>
      </c>
      <c r="W71" s="85"/>
      <c r="X71" s="84"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80">
        <v>0</v>
      </c>
      <c r="D72" s="81">
        <v>0</v>
      </c>
      <c r="E72" s="82">
        <v>0</v>
      </c>
      <c r="F72" s="81">
        <v>0</v>
      </c>
      <c r="G72" s="82">
        <v>0</v>
      </c>
      <c r="H72" s="83">
        <v>0</v>
      </c>
      <c r="I72" s="23">
        <v>50</v>
      </c>
      <c r="J72" s="84">
        <v>0</v>
      </c>
      <c r="K72" s="18" t="s">
        <v>16</v>
      </c>
      <c r="L72" s="19">
        <v>0</v>
      </c>
      <c r="M72" s="24">
        <v>0</v>
      </c>
      <c r="N72"/>
      <c r="O72" s="10">
        <v>68</v>
      </c>
      <c r="P72" s="20"/>
      <c r="Q72" s="82">
        <v>0</v>
      </c>
      <c r="R72" s="81">
        <v>0</v>
      </c>
      <c r="S72" s="82">
        <v>0</v>
      </c>
      <c r="T72" s="81">
        <v>0</v>
      </c>
      <c r="U72" s="82">
        <v>0</v>
      </c>
      <c r="V72" s="83">
        <v>0</v>
      </c>
      <c r="W72" s="85"/>
      <c r="X72" s="84"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80">
        <v>7</v>
      </c>
      <c r="D73" s="81">
        <v>0</v>
      </c>
      <c r="E73" s="82">
        <v>7</v>
      </c>
      <c r="F73" s="81">
        <v>0</v>
      </c>
      <c r="G73" s="82">
        <v>7</v>
      </c>
      <c r="H73" s="83">
        <v>0</v>
      </c>
      <c r="I73" s="85">
        <v>60</v>
      </c>
      <c r="J73" s="84">
        <v>0</v>
      </c>
      <c r="K73" s="18" t="s">
        <v>16</v>
      </c>
      <c r="L73" s="19">
        <v>0</v>
      </c>
      <c r="M73" s="24">
        <v>0</v>
      </c>
      <c r="N73"/>
      <c r="O73" s="10">
        <v>69</v>
      </c>
      <c r="P73" s="20"/>
      <c r="Q73" s="82">
        <v>0</v>
      </c>
      <c r="R73" s="81">
        <v>0</v>
      </c>
      <c r="S73" s="82">
        <v>0</v>
      </c>
      <c r="T73" s="81">
        <v>0</v>
      </c>
      <c r="U73" s="82">
        <v>0</v>
      </c>
      <c r="V73" s="83">
        <v>0</v>
      </c>
      <c r="W73" s="85"/>
      <c r="X73" s="84"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80">
        <v>16</v>
      </c>
      <c r="D74" s="81">
        <v>0</v>
      </c>
      <c r="E74" s="82">
        <v>16</v>
      </c>
      <c r="F74" s="81">
        <v>0</v>
      </c>
      <c r="G74" s="82">
        <v>15</v>
      </c>
      <c r="H74" s="83">
        <v>1</v>
      </c>
      <c r="I74" s="23">
        <v>120</v>
      </c>
      <c r="J74" s="84">
        <v>120</v>
      </c>
      <c r="K74" s="18" t="s">
        <v>16</v>
      </c>
      <c r="L74" s="19">
        <v>0</v>
      </c>
      <c r="M74" s="24">
        <v>120</v>
      </c>
      <c r="N74"/>
      <c r="O74" s="10">
        <v>70</v>
      </c>
      <c r="P74" s="20"/>
      <c r="Q74" s="82">
        <v>0</v>
      </c>
      <c r="R74" s="81">
        <v>0</v>
      </c>
      <c r="S74" s="82">
        <v>0</v>
      </c>
      <c r="T74" s="81">
        <v>0</v>
      </c>
      <c r="U74" s="82">
        <v>0</v>
      </c>
      <c r="V74" s="83">
        <v>0</v>
      </c>
      <c r="W74" s="85"/>
      <c r="X74" s="84"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80">
        <v>2</v>
      </c>
      <c r="D75" s="81">
        <v>0</v>
      </c>
      <c r="E75" s="82">
        <v>2</v>
      </c>
      <c r="F75" s="81">
        <v>0</v>
      </c>
      <c r="G75" s="82">
        <v>2</v>
      </c>
      <c r="H75" s="83">
        <v>0</v>
      </c>
      <c r="I75" s="23">
        <v>60</v>
      </c>
      <c r="J75" s="84">
        <v>0</v>
      </c>
      <c r="K75" s="18" t="s">
        <v>16</v>
      </c>
      <c r="L75" s="19">
        <v>0</v>
      </c>
      <c r="M75" s="24">
        <v>0</v>
      </c>
      <c r="N75"/>
      <c r="O75" s="10">
        <v>71</v>
      </c>
      <c r="P75" s="20"/>
      <c r="Q75" s="82">
        <v>0</v>
      </c>
      <c r="R75" s="81">
        <v>0</v>
      </c>
      <c r="S75" s="82">
        <v>0</v>
      </c>
      <c r="T75" s="81">
        <v>0</v>
      </c>
      <c r="U75" s="82">
        <v>0</v>
      </c>
      <c r="V75" s="83">
        <v>0</v>
      </c>
      <c r="W75" s="85"/>
      <c r="X75" s="84"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80">
        <v>0</v>
      </c>
      <c r="D76" s="81">
        <v>0</v>
      </c>
      <c r="E76" s="82">
        <v>0</v>
      </c>
      <c r="F76" s="81">
        <v>0</v>
      </c>
      <c r="G76" s="82">
        <v>0</v>
      </c>
      <c r="H76" s="83">
        <v>0</v>
      </c>
      <c r="I76" s="23">
        <v>120</v>
      </c>
      <c r="J76" s="84">
        <v>0</v>
      </c>
      <c r="K76" s="18" t="s">
        <v>16</v>
      </c>
      <c r="L76" s="19">
        <v>0</v>
      </c>
      <c r="M76" s="24">
        <v>0</v>
      </c>
      <c r="N76"/>
      <c r="O76" s="10">
        <v>72</v>
      </c>
      <c r="P76" s="20"/>
      <c r="Q76" s="82">
        <v>0</v>
      </c>
      <c r="R76" s="81">
        <v>0</v>
      </c>
      <c r="S76" s="82">
        <v>0</v>
      </c>
      <c r="T76" s="81">
        <v>0</v>
      </c>
      <c r="U76" s="82">
        <v>0</v>
      </c>
      <c r="V76" s="83">
        <v>0</v>
      </c>
      <c r="W76" s="85"/>
      <c r="X76" s="84"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v>6</v>
      </c>
      <c r="D77" s="81">
        <v>0</v>
      </c>
      <c r="E77" s="82">
        <v>6</v>
      </c>
      <c r="F77" s="81">
        <v>0</v>
      </c>
      <c r="G77" s="82">
        <v>6</v>
      </c>
      <c r="H77" s="83">
        <v>0</v>
      </c>
      <c r="I77" s="85">
        <v>50</v>
      </c>
      <c r="J77" s="84">
        <v>0</v>
      </c>
      <c r="K77" s="18" t="s">
        <v>16</v>
      </c>
      <c r="L77" s="19">
        <v>0</v>
      </c>
      <c r="M77" s="24">
        <v>0</v>
      </c>
      <c r="N77"/>
      <c r="O77" s="10">
        <v>73</v>
      </c>
      <c r="P77" s="20"/>
      <c r="Q77" s="82">
        <v>0</v>
      </c>
      <c r="R77" s="81">
        <v>0</v>
      </c>
      <c r="S77" s="82">
        <v>0</v>
      </c>
      <c r="T77" s="81">
        <v>0</v>
      </c>
      <c r="U77" s="82">
        <v>0</v>
      </c>
      <c r="V77" s="83">
        <v>0</v>
      </c>
      <c r="W77" s="85"/>
      <c r="X77" s="84"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80">
        <v>0</v>
      </c>
      <c r="D78" s="81">
        <v>0</v>
      </c>
      <c r="E78" s="82">
        <v>0</v>
      </c>
      <c r="F78" s="81">
        <v>0</v>
      </c>
      <c r="G78" s="82">
        <v>0</v>
      </c>
      <c r="H78" s="83">
        <v>0</v>
      </c>
      <c r="I78" s="23">
        <v>120</v>
      </c>
      <c r="J78" s="84">
        <v>0</v>
      </c>
      <c r="K78" s="18" t="s">
        <v>16</v>
      </c>
      <c r="L78" s="19">
        <v>0</v>
      </c>
      <c r="M78" s="24">
        <v>0</v>
      </c>
      <c r="N78"/>
      <c r="O78" s="10">
        <v>74</v>
      </c>
      <c r="P78" s="20"/>
      <c r="Q78" s="82">
        <v>0</v>
      </c>
      <c r="R78" s="81">
        <v>0</v>
      </c>
      <c r="S78" s="82">
        <v>0</v>
      </c>
      <c r="T78" s="81">
        <v>0</v>
      </c>
      <c r="U78" s="82">
        <v>0</v>
      </c>
      <c r="V78" s="83">
        <v>0</v>
      </c>
      <c r="W78" s="85"/>
      <c r="X78" s="84"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v>10</v>
      </c>
      <c r="D79" s="81">
        <v>0</v>
      </c>
      <c r="E79" s="82">
        <v>10</v>
      </c>
      <c r="F79" s="81">
        <v>0</v>
      </c>
      <c r="G79" s="82">
        <v>10</v>
      </c>
      <c r="H79" s="83">
        <v>0</v>
      </c>
      <c r="I79" s="23">
        <v>50</v>
      </c>
      <c r="J79" s="84">
        <v>0</v>
      </c>
      <c r="K79" s="18" t="s">
        <v>16</v>
      </c>
      <c r="L79" s="19">
        <v>0</v>
      </c>
      <c r="M79" s="24">
        <v>0</v>
      </c>
      <c r="N79"/>
      <c r="O79" s="10">
        <v>75</v>
      </c>
      <c r="P79" s="20"/>
      <c r="Q79" s="82">
        <v>0</v>
      </c>
      <c r="R79" s="81">
        <v>0</v>
      </c>
      <c r="S79" s="82">
        <v>0</v>
      </c>
      <c r="T79" s="81">
        <v>0</v>
      </c>
      <c r="U79" s="82">
        <v>0</v>
      </c>
      <c r="V79" s="83">
        <v>0</v>
      </c>
      <c r="W79" s="85"/>
      <c r="X79" s="84"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80">
        <v>0</v>
      </c>
      <c r="D80" s="81">
        <v>0</v>
      </c>
      <c r="E80" s="82">
        <v>0</v>
      </c>
      <c r="F80" s="81">
        <v>0</v>
      </c>
      <c r="G80" s="82">
        <v>0</v>
      </c>
      <c r="H80" s="83">
        <v>0</v>
      </c>
      <c r="I80" s="23">
        <v>50</v>
      </c>
      <c r="J80" s="84">
        <v>0</v>
      </c>
      <c r="K80" s="18" t="s">
        <v>16</v>
      </c>
      <c r="L80" s="19">
        <v>0</v>
      </c>
      <c r="M80" s="24">
        <v>0</v>
      </c>
      <c r="N80"/>
      <c r="O80" s="10">
        <v>76</v>
      </c>
      <c r="P80" s="20"/>
      <c r="Q80" s="82">
        <v>0</v>
      </c>
      <c r="R80" s="81">
        <v>0</v>
      </c>
      <c r="S80" s="82">
        <v>0</v>
      </c>
      <c r="T80" s="81">
        <v>0</v>
      </c>
      <c r="U80" s="82">
        <v>0</v>
      </c>
      <c r="V80" s="83">
        <v>0</v>
      </c>
      <c r="W80" s="85"/>
      <c r="X80" s="84"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80">
        <v>0</v>
      </c>
      <c r="D81" s="81">
        <v>0</v>
      </c>
      <c r="E81" s="82">
        <v>0</v>
      </c>
      <c r="F81" s="81">
        <v>0</v>
      </c>
      <c r="G81" s="82">
        <v>0</v>
      </c>
      <c r="H81" s="83">
        <v>0</v>
      </c>
      <c r="I81" s="85">
        <v>55</v>
      </c>
      <c r="J81" s="84">
        <v>0</v>
      </c>
      <c r="K81" s="18" t="s">
        <v>16</v>
      </c>
      <c r="L81" s="19">
        <v>0</v>
      </c>
      <c r="M81" s="24">
        <v>0</v>
      </c>
      <c r="N81"/>
      <c r="O81" s="10">
        <v>77</v>
      </c>
      <c r="P81" s="20"/>
      <c r="Q81" s="82">
        <v>0</v>
      </c>
      <c r="R81" s="81">
        <v>0</v>
      </c>
      <c r="S81" s="82">
        <v>0</v>
      </c>
      <c r="T81" s="81">
        <v>0</v>
      </c>
      <c r="U81" s="82">
        <v>0</v>
      </c>
      <c r="V81" s="83">
        <v>0</v>
      </c>
      <c r="W81" s="85"/>
      <c r="X81" s="84"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80">
        <v>2</v>
      </c>
      <c r="D82" s="81">
        <v>0</v>
      </c>
      <c r="E82" s="82">
        <v>2</v>
      </c>
      <c r="F82" s="81">
        <v>0</v>
      </c>
      <c r="G82" s="82">
        <v>2</v>
      </c>
      <c r="H82" s="83">
        <v>0</v>
      </c>
      <c r="I82" s="23">
        <v>55</v>
      </c>
      <c r="J82" s="84">
        <v>0</v>
      </c>
      <c r="K82" s="18" t="s">
        <v>16</v>
      </c>
      <c r="L82" s="19">
        <v>0</v>
      </c>
      <c r="M82" s="24">
        <v>0</v>
      </c>
      <c r="N82"/>
      <c r="O82" s="10">
        <v>78</v>
      </c>
      <c r="P82" s="20"/>
      <c r="Q82" s="82">
        <v>0</v>
      </c>
      <c r="R82" s="81">
        <v>0</v>
      </c>
      <c r="S82" s="82">
        <v>0</v>
      </c>
      <c r="T82" s="81">
        <v>0</v>
      </c>
      <c r="U82" s="82">
        <v>0</v>
      </c>
      <c r="V82" s="83">
        <v>0</v>
      </c>
      <c r="W82" s="85"/>
      <c r="X82" s="84"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80">
        <v>0</v>
      </c>
      <c r="D83" s="81">
        <v>0</v>
      </c>
      <c r="E83" s="82">
        <v>0</v>
      </c>
      <c r="F83" s="81">
        <v>0</v>
      </c>
      <c r="G83" s="82">
        <v>0</v>
      </c>
      <c r="H83" s="83">
        <v>0</v>
      </c>
      <c r="I83" s="23">
        <v>55</v>
      </c>
      <c r="J83" s="84">
        <v>0</v>
      </c>
      <c r="K83" s="18" t="s">
        <v>16</v>
      </c>
      <c r="L83" s="19">
        <v>0</v>
      </c>
      <c r="M83" s="24">
        <v>0</v>
      </c>
      <c r="N83"/>
      <c r="O83" s="10">
        <v>79</v>
      </c>
      <c r="P83" s="20"/>
      <c r="Q83" s="82">
        <v>0</v>
      </c>
      <c r="R83" s="81">
        <v>0</v>
      </c>
      <c r="S83" s="82">
        <v>0</v>
      </c>
      <c r="T83" s="81">
        <v>0</v>
      </c>
      <c r="U83" s="82">
        <v>0</v>
      </c>
      <c r="V83" s="83">
        <v>0</v>
      </c>
      <c r="W83" s="85"/>
      <c r="X83" s="84"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80">
        <v>0</v>
      </c>
      <c r="D84" s="81">
        <v>0</v>
      </c>
      <c r="E84" s="82">
        <v>0</v>
      </c>
      <c r="F84" s="81">
        <v>0</v>
      </c>
      <c r="G84" s="82">
        <v>0</v>
      </c>
      <c r="H84" s="83">
        <v>0</v>
      </c>
      <c r="I84" s="23">
        <v>55</v>
      </c>
      <c r="J84" s="84">
        <v>0</v>
      </c>
      <c r="K84" s="18" t="s">
        <v>16</v>
      </c>
      <c r="L84" s="19">
        <v>0</v>
      </c>
      <c r="M84" s="24">
        <v>0</v>
      </c>
      <c r="N84"/>
      <c r="O84" s="10">
        <v>80</v>
      </c>
      <c r="P84" s="20"/>
      <c r="Q84" s="82">
        <v>0</v>
      </c>
      <c r="R84" s="81">
        <v>0</v>
      </c>
      <c r="S84" s="82">
        <v>0</v>
      </c>
      <c r="T84" s="81">
        <v>0</v>
      </c>
      <c r="U84" s="82">
        <v>0</v>
      </c>
      <c r="V84" s="83">
        <v>0</v>
      </c>
      <c r="W84" s="85"/>
      <c r="X84" s="84"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v>20</v>
      </c>
      <c r="D85" s="81">
        <v>0</v>
      </c>
      <c r="E85" s="82">
        <v>20</v>
      </c>
      <c r="F85" s="81">
        <v>0</v>
      </c>
      <c r="G85" s="82">
        <v>18</v>
      </c>
      <c r="H85" s="83">
        <v>2</v>
      </c>
      <c r="I85" s="23">
        <v>100</v>
      </c>
      <c r="J85" s="84">
        <v>200</v>
      </c>
      <c r="K85" s="18" t="s">
        <v>16</v>
      </c>
      <c r="L85" s="19">
        <v>0</v>
      </c>
      <c r="M85" s="24">
        <v>200</v>
      </c>
      <c r="N85"/>
      <c r="O85" s="10">
        <v>81</v>
      </c>
      <c r="P85" s="20"/>
      <c r="Q85" s="82">
        <v>0</v>
      </c>
      <c r="R85" s="81">
        <v>0</v>
      </c>
      <c r="S85" s="82">
        <v>0</v>
      </c>
      <c r="T85" s="81">
        <v>0</v>
      </c>
      <c r="U85" s="82">
        <v>0</v>
      </c>
      <c r="V85" s="83">
        <v>0</v>
      </c>
      <c r="W85" s="85"/>
      <c r="X85" s="84"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80">
        <v>4</v>
      </c>
      <c r="D86" s="81">
        <v>0</v>
      </c>
      <c r="E86" s="82">
        <v>4</v>
      </c>
      <c r="F86" s="81">
        <v>0</v>
      </c>
      <c r="G86" s="82">
        <v>4</v>
      </c>
      <c r="H86" s="83">
        <v>0</v>
      </c>
      <c r="I86" s="85">
        <v>55</v>
      </c>
      <c r="J86" s="84">
        <v>0</v>
      </c>
      <c r="K86" s="18" t="s">
        <v>16</v>
      </c>
      <c r="L86" s="19">
        <v>0</v>
      </c>
      <c r="M86" s="24">
        <v>0</v>
      </c>
      <c r="N86"/>
      <c r="O86" s="10">
        <v>82</v>
      </c>
      <c r="P86" s="20"/>
      <c r="Q86" s="82">
        <v>0</v>
      </c>
      <c r="R86" s="81">
        <v>0</v>
      </c>
      <c r="S86" s="82">
        <v>0</v>
      </c>
      <c r="T86" s="81">
        <v>0</v>
      </c>
      <c r="U86" s="82">
        <v>0</v>
      </c>
      <c r="V86" s="83">
        <v>0</v>
      </c>
      <c r="W86" s="85"/>
      <c r="X86" s="84"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80">
        <v>16</v>
      </c>
      <c r="D87" s="81">
        <v>0</v>
      </c>
      <c r="E87" s="82">
        <v>16</v>
      </c>
      <c r="F87" s="81">
        <v>0</v>
      </c>
      <c r="G87" s="82">
        <v>15</v>
      </c>
      <c r="H87" s="83">
        <v>1</v>
      </c>
      <c r="I87" s="85">
        <v>60</v>
      </c>
      <c r="J87" s="84">
        <v>60</v>
      </c>
      <c r="K87" s="18" t="s">
        <v>16</v>
      </c>
      <c r="L87" s="19">
        <v>0</v>
      </c>
      <c r="M87" s="24">
        <v>60</v>
      </c>
      <c r="N87"/>
      <c r="O87" s="10">
        <v>83</v>
      </c>
      <c r="P87" s="20"/>
      <c r="Q87" s="82">
        <v>0</v>
      </c>
      <c r="R87" s="81">
        <v>0</v>
      </c>
      <c r="S87" s="82">
        <v>0</v>
      </c>
      <c r="T87" s="81">
        <v>0</v>
      </c>
      <c r="U87" s="82">
        <v>0</v>
      </c>
      <c r="V87" s="83">
        <v>0</v>
      </c>
      <c r="W87" s="85"/>
      <c r="X87" s="84"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80">
        <v>5</v>
      </c>
      <c r="D88" s="81">
        <v>10</v>
      </c>
      <c r="E88" s="82">
        <v>15</v>
      </c>
      <c r="F88" s="81">
        <v>0</v>
      </c>
      <c r="G88" s="82">
        <v>15</v>
      </c>
      <c r="H88" s="83">
        <v>0</v>
      </c>
      <c r="I88" s="85">
        <v>100</v>
      </c>
      <c r="J88" s="84">
        <v>0</v>
      </c>
      <c r="K88" s="18" t="s">
        <v>16</v>
      </c>
      <c r="L88" s="19">
        <v>0</v>
      </c>
      <c r="M88" s="24">
        <v>0</v>
      </c>
      <c r="N88"/>
      <c r="O88" s="10">
        <v>84</v>
      </c>
      <c r="P88" s="20"/>
      <c r="Q88" s="82">
        <v>0</v>
      </c>
      <c r="R88" s="81">
        <v>0</v>
      </c>
      <c r="S88" s="82">
        <v>0</v>
      </c>
      <c r="T88" s="81">
        <v>0</v>
      </c>
      <c r="U88" s="82">
        <v>0</v>
      </c>
      <c r="V88" s="83">
        <v>0</v>
      </c>
      <c r="W88" s="85"/>
      <c r="X88" s="84"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80">
        <v>0</v>
      </c>
      <c r="D89" s="81">
        <v>0</v>
      </c>
      <c r="E89" s="82">
        <v>0</v>
      </c>
      <c r="F89" s="81">
        <v>0</v>
      </c>
      <c r="G89" s="82">
        <v>0</v>
      </c>
      <c r="H89" s="83">
        <v>0</v>
      </c>
      <c r="I89" s="85">
        <v>55</v>
      </c>
      <c r="J89" s="84">
        <v>0</v>
      </c>
      <c r="K89" s="18" t="s">
        <v>16</v>
      </c>
      <c r="L89" s="19">
        <v>0</v>
      </c>
      <c r="M89" s="24">
        <v>0</v>
      </c>
      <c r="N89"/>
      <c r="O89" s="10">
        <v>85</v>
      </c>
      <c r="P89" s="20"/>
      <c r="Q89" s="82">
        <v>0</v>
      </c>
      <c r="R89" s="81">
        <v>0</v>
      </c>
      <c r="S89" s="82">
        <v>0</v>
      </c>
      <c r="T89" s="81">
        <v>0</v>
      </c>
      <c r="U89" s="82">
        <v>0</v>
      </c>
      <c r="V89" s="83">
        <v>0</v>
      </c>
      <c r="W89" s="85"/>
      <c r="X89" s="84"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v>0</v>
      </c>
      <c r="D90" s="81">
        <v>0</v>
      </c>
      <c r="E90" s="82">
        <v>0</v>
      </c>
      <c r="F90" s="81">
        <v>0</v>
      </c>
      <c r="G90" s="82">
        <v>0</v>
      </c>
      <c r="H90" s="83">
        <v>0</v>
      </c>
      <c r="I90" s="85">
        <v>50</v>
      </c>
      <c r="J90" s="84">
        <v>0</v>
      </c>
      <c r="K90" s="18" t="s">
        <v>16</v>
      </c>
      <c r="L90" s="19">
        <v>0</v>
      </c>
      <c r="M90" s="24">
        <v>0</v>
      </c>
      <c r="N90"/>
      <c r="O90" s="10">
        <v>86</v>
      </c>
      <c r="P90" s="20"/>
      <c r="Q90" s="82">
        <v>0</v>
      </c>
      <c r="R90" s="81">
        <v>0</v>
      </c>
      <c r="S90" s="82">
        <v>0</v>
      </c>
      <c r="T90" s="81">
        <v>0</v>
      </c>
      <c r="U90" s="82">
        <v>0</v>
      </c>
      <c r="V90" s="83">
        <v>0</v>
      </c>
      <c r="W90" s="85"/>
      <c r="X90" s="84"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80">
        <v>0</v>
      </c>
      <c r="D91" s="81">
        <v>0</v>
      </c>
      <c r="E91" s="82">
        <v>0</v>
      </c>
      <c r="F91" s="81">
        <v>0</v>
      </c>
      <c r="G91" s="82">
        <v>0</v>
      </c>
      <c r="H91" s="83">
        <v>0</v>
      </c>
      <c r="I91" s="23">
        <v>50</v>
      </c>
      <c r="J91" s="84">
        <v>0</v>
      </c>
      <c r="K91" s="18" t="s">
        <v>16</v>
      </c>
      <c r="L91" s="19">
        <v>0</v>
      </c>
      <c r="M91" s="24">
        <v>0</v>
      </c>
      <c r="N91"/>
      <c r="O91" s="10">
        <v>87</v>
      </c>
      <c r="P91" s="20"/>
      <c r="Q91" s="82">
        <v>0</v>
      </c>
      <c r="R91" s="81">
        <v>0</v>
      </c>
      <c r="S91" s="82">
        <v>0</v>
      </c>
      <c r="T91" s="81">
        <v>0</v>
      </c>
      <c r="U91" s="82">
        <v>0</v>
      </c>
      <c r="V91" s="83">
        <v>0</v>
      </c>
      <c r="W91" s="85"/>
      <c r="X91" s="84"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80">
        <v>0</v>
      </c>
      <c r="D92" s="81">
        <v>0</v>
      </c>
      <c r="E92" s="82">
        <v>0</v>
      </c>
      <c r="F92" s="81">
        <v>0</v>
      </c>
      <c r="G92" s="82">
        <v>0</v>
      </c>
      <c r="H92" s="83">
        <v>0</v>
      </c>
      <c r="I92" s="23">
        <v>120</v>
      </c>
      <c r="J92" s="84">
        <v>0</v>
      </c>
      <c r="K92" s="18" t="s">
        <v>16</v>
      </c>
      <c r="L92" s="19">
        <v>0</v>
      </c>
      <c r="M92" s="24">
        <v>0</v>
      </c>
      <c r="N92"/>
      <c r="O92" s="10">
        <v>88</v>
      </c>
      <c r="P92" s="20"/>
      <c r="Q92" s="82">
        <v>0</v>
      </c>
      <c r="R92" s="81">
        <v>0</v>
      </c>
      <c r="S92" s="82">
        <v>0</v>
      </c>
      <c r="T92" s="81">
        <v>0</v>
      </c>
      <c r="U92" s="82">
        <v>0</v>
      </c>
      <c r="V92" s="83">
        <v>0</v>
      </c>
      <c r="W92" s="85"/>
      <c r="X92" s="84"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80">
        <v>0</v>
      </c>
      <c r="D93" s="81">
        <v>0</v>
      </c>
      <c r="E93" s="82">
        <v>0</v>
      </c>
      <c r="F93" s="81">
        <v>0</v>
      </c>
      <c r="G93" s="82">
        <v>0</v>
      </c>
      <c r="H93" s="83">
        <v>0</v>
      </c>
      <c r="I93" s="85">
        <v>250</v>
      </c>
      <c r="J93" s="84">
        <v>0</v>
      </c>
      <c r="K93" s="18" t="s">
        <v>16</v>
      </c>
      <c r="L93" s="19">
        <v>0</v>
      </c>
      <c r="M93" s="24">
        <v>0</v>
      </c>
      <c r="N93"/>
      <c r="O93" s="10">
        <v>89</v>
      </c>
      <c r="P93" s="20"/>
      <c r="Q93" s="82">
        <v>0</v>
      </c>
      <c r="R93" s="81">
        <v>0</v>
      </c>
      <c r="S93" s="82">
        <v>0</v>
      </c>
      <c r="T93" s="81">
        <v>0</v>
      </c>
      <c r="U93" s="82">
        <v>0</v>
      </c>
      <c r="V93" s="83">
        <v>0</v>
      </c>
      <c r="W93" s="85"/>
      <c r="X93" s="84"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80">
        <v>0</v>
      </c>
      <c r="D94" s="81">
        <v>0</v>
      </c>
      <c r="E94" s="82">
        <v>0</v>
      </c>
      <c r="F94" s="81">
        <v>0</v>
      </c>
      <c r="G94" s="82">
        <v>0</v>
      </c>
      <c r="H94" s="83">
        <v>0</v>
      </c>
      <c r="I94" s="85">
        <v>120</v>
      </c>
      <c r="J94" s="84">
        <v>0</v>
      </c>
      <c r="K94" s="18" t="s">
        <v>16</v>
      </c>
      <c r="L94" s="19">
        <v>0</v>
      </c>
      <c r="M94" s="24">
        <v>0</v>
      </c>
      <c r="N94"/>
      <c r="O94" s="10">
        <v>90</v>
      </c>
      <c r="P94" s="20"/>
      <c r="Q94" s="82">
        <v>0</v>
      </c>
      <c r="R94" s="81">
        <v>0</v>
      </c>
      <c r="S94" s="82">
        <v>0</v>
      </c>
      <c r="T94" s="81">
        <v>0</v>
      </c>
      <c r="U94" s="82">
        <v>0</v>
      </c>
      <c r="V94" s="83">
        <v>0</v>
      </c>
      <c r="W94" s="85"/>
      <c r="X94" s="84"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80">
        <v>0</v>
      </c>
      <c r="D95" s="81">
        <v>0</v>
      </c>
      <c r="E95" s="82">
        <v>0</v>
      </c>
      <c r="F95" s="81">
        <v>0</v>
      </c>
      <c r="G95" s="82">
        <v>0</v>
      </c>
      <c r="H95" s="83">
        <v>0</v>
      </c>
      <c r="I95" s="85">
        <v>120</v>
      </c>
      <c r="J95" s="84">
        <v>0</v>
      </c>
      <c r="K95" s="18" t="s">
        <v>16</v>
      </c>
      <c r="L95" s="19">
        <v>0</v>
      </c>
      <c r="M95" s="24">
        <v>0</v>
      </c>
      <c r="N95"/>
      <c r="O95" s="10">
        <v>91</v>
      </c>
      <c r="P95" s="20"/>
      <c r="Q95" s="82">
        <v>0</v>
      </c>
      <c r="R95" s="81">
        <v>0</v>
      </c>
      <c r="S95" s="82">
        <v>0</v>
      </c>
      <c r="T95" s="81">
        <v>0</v>
      </c>
      <c r="U95" s="82">
        <v>0</v>
      </c>
      <c r="V95" s="83">
        <v>0</v>
      </c>
      <c r="W95" s="85"/>
      <c r="X95" s="84"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80">
        <v>0</v>
      </c>
      <c r="D96" s="81">
        <v>0</v>
      </c>
      <c r="E96" s="82">
        <v>0</v>
      </c>
      <c r="F96" s="81">
        <v>0</v>
      </c>
      <c r="G96" s="82">
        <v>0</v>
      </c>
      <c r="H96" s="83">
        <v>0</v>
      </c>
      <c r="I96" s="85">
        <v>120</v>
      </c>
      <c r="J96" s="84">
        <v>0</v>
      </c>
      <c r="K96" s="18" t="s">
        <v>16</v>
      </c>
      <c r="L96" s="19">
        <v>0</v>
      </c>
      <c r="M96" s="24">
        <v>0</v>
      </c>
      <c r="N96"/>
      <c r="O96" s="10">
        <v>92</v>
      </c>
      <c r="P96" s="20"/>
      <c r="Q96" s="82">
        <v>0</v>
      </c>
      <c r="R96" s="81">
        <v>0</v>
      </c>
      <c r="S96" s="82">
        <v>0</v>
      </c>
      <c r="T96" s="81">
        <v>0</v>
      </c>
      <c r="U96" s="82">
        <v>0</v>
      </c>
      <c r="V96" s="83">
        <v>0</v>
      </c>
      <c r="W96" s="85"/>
      <c r="X96" s="84"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80">
        <v>0</v>
      </c>
      <c r="D97" s="81">
        <v>0</v>
      </c>
      <c r="E97" s="82">
        <v>0</v>
      </c>
      <c r="F97" s="81">
        <v>0</v>
      </c>
      <c r="G97" s="82">
        <v>0</v>
      </c>
      <c r="H97" s="83">
        <v>0</v>
      </c>
      <c r="I97" s="85">
        <v>45</v>
      </c>
      <c r="J97" s="84">
        <v>0</v>
      </c>
      <c r="K97" s="18" t="s">
        <v>16</v>
      </c>
      <c r="L97" s="19">
        <v>0</v>
      </c>
      <c r="M97" s="24">
        <v>0</v>
      </c>
      <c r="N97"/>
      <c r="O97" s="10">
        <v>93</v>
      </c>
      <c r="P97" s="20"/>
      <c r="Q97" s="82">
        <v>0</v>
      </c>
      <c r="R97" s="81">
        <v>0</v>
      </c>
      <c r="S97" s="82">
        <v>0</v>
      </c>
      <c r="T97" s="81">
        <v>0</v>
      </c>
      <c r="U97" s="82">
        <v>0</v>
      </c>
      <c r="V97" s="83">
        <v>0</v>
      </c>
      <c r="W97" s="85"/>
      <c r="X97" s="84"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80">
        <v>0</v>
      </c>
      <c r="D98" s="81">
        <v>0</v>
      </c>
      <c r="E98" s="82">
        <v>0</v>
      </c>
      <c r="F98" s="81">
        <v>0</v>
      </c>
      <c r="G98" s="82">
        <v>0</v>
      </c>
      <c r="H98" s="83">
        <v>0</v>
      </c>
      <c r="I98" s="85">
        <v>50</v>
      </c>
      <c r="J98" s="84">
        <v>0</v>
      </c>
      <c r="K98" s="18" t="s">
        <v>16</v>
      </c>
      <c r="L98" s="19">
        <v>0</v>
      </c>
      <c r="M98" s="24">
        <v>0</v>
      </c>
      <c r="N98"/>
      <c r="O98" s="10">
        <v>94</v>
      </c>
      <c r="P98" s="20"/>
      <c r="Q98" s="82">
        <v>0</v>
      </c>
      <c r="R98" s="81">
        <v>0</v>
      </c>
      <c r="S98" s="82">
        <v>0</v>
      </c>
      <c r="T98" s="81">
        <v>0</v>
      </c>
      <c r="U98" s="82">
        <v>0</v>
      </c>
      <c r="V98" s="83">
        <v>0</v>
      </c>
      <c r="W98" s="85"/>
      <c r="X98" s="84"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80">
        <v>0</v>
      </c>
      <c r="D99" s="81">
        <v>0</v>
      </c>
      <c r="E99" s="82">
        <v>0</v>
      </c>
      <c r="F99" s="81">
        <v>0</v>
      </c>
      <c r="G99" s="82">
        <v>0</v>
      </c>
      <c r="H99" s="83">
        <v>0</v>
      </c>
      <c r="I99" s="85">
        <v>50</v>
      </c>
      <c r="J99" s="84">
        <v>0</v>
      </c>
      <c r="K99" s="18" t="s">
        <v>16</v>
      </c>
      <c r="L99" s="19">
        <v>0</v>
      </c>
      <c r="M99" s="24">
        <v>0</v>
      </c>
      <c r="N99"/>
      <c r="O99" s="10">
        <v>95</v>
      </c>
      <c r="P99" s="20"/>
      <c r="Q99" s="82">
        <v>0</v>
      </c>
      <c r="R99" s="81">
        <v>0</v>
      </c>
      <c r="S99" s="82">
        <v>0</v>
      </c>
      <c r="T99" s="81">
        <v>0</v>
      </c>
      <c r="U99" s="82">
        <v>0</v>
      </c>
      <c r="V99" s="83">
        <v>0</v>
      </c>
      <c r="W99" s="85"/>
      <c r="X99" s="84"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80">
        <v>0</v>
      </c>
      <c r="D100" s="81">
        <v>0</v>
      </c>
      <c r="E100" s="82">
        <v>0</v>
      </c>
      <c r="F100" s="81">
        <v>0</v>
      </c>
      <c r="G100" s="82">
        <v>0</v>
      </c>
      <c r="H100" s="83">
        <v>0</v>
      </c>
      <c r="I100" s="85">
        <v>60</v>
      </c>
      <c r="J100" s="84">
        <v>0</v>
      </c>
      <c r="K100" s="18" t="s">
        <v>16</v>
      </c>
      <c r="L100" s="19">
        <v>0</v>
      </c>
      <c r="M100" s="24">
        <v>0</v>
      </c>
      <c r="N100"/>
      <c r="O100" s="10">
        <v>96</v>
      </c>
      <c r="P100" s="20"/>
      <c r="Q100" s="82">
        <v>0</v>
      </c>
      <c r="R100" s="81">
        <v>0</v>
      </c>
      <c r="S100" s="82">
        <v>0</v>
      </c>
      <c r="T100" s="81">
        <v>0</v>
      </c>
      <c r="U100" s="82">
        <v>0</v>
      </c>
      <c r="V100" s="83">
        <v>0</v>
      </c>
      <c r="W100" s="85"/>
      <c r="X100" s="84"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80">
        <v>0</v>
      </c>
      <c r="D101" s="81">
        <v>0</v>
      </c>
      <c r="E101" s="82">
        <v>0</v>
      </c>
      <c r="F101" s="81">
        <v>0</v>
      </c>
      <c r="G101" s="82">
        <v>0</v>
      </c>
      <c r="H101" s="83">
        <v>0</v>
      </c>
      <c r="I101" s="85">
        <v>55</v>
      </c>
      <c r="J101" s="84">
        <v>0</v>
      </c>
      <c r="K101" s="18" t="s">
        <v>16</v>
      </c>
      <c r="L101" s="19">
        <v>0</v>
      </c>
      <c r="M101" s="24">
        <v>0</v>
      </c>
      <c r="N101"/>
      <c r="O101" s="10">
        <v>97</v>
      </c>
      <c r="P101" s="20"/>
      <c r="Q101" s="82">
        <v>0</v>
      </c>
      <c r="R101" s="81">
        <v>0</v>
      </c>
      <c r="S101" s="82">
        <v>0</v>
      </c>
      <c r="T101" s="81">
        <v>0</v>
      </c>
      <c r="U101" s="82">
        <v>0</v>
      </c>
      <c r="V101" s="83">
        <v>0</v>
      </c>
      <c r="W101" s="85"/>
      <c r="X101" s="84"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80">
        <v>20</v>
      </c>
      <c r="D102" s="81">
        <v>0</v>
      </c>
      <c r="E102" s="82">
        <v>20</v>
      </c>
      <c r="F102" s="81">
        <v>0</v>
      </c>
      <c r="G102" s="82">
        <v>20</v>
      </c>
      <c r="H102" s="83">
        <v>0</v>
      </c>
      <c r="I102" s="85">
        <v>50</v>
      </c>
      <c r="J102" s="84">
        <v>0</v>
      </c>
      <c r="K102" s="18" t="s">
        <v>16</v>
      </c>
      <c r="L102" s="19">
        <v>0</v>
      </c>
      <c r="M102" s="24">
        <v>0</v>
      </c>
      <c r="N102"/>
      <c r="O102" s="10">
        <v>98</v>
      </c>
      <c r="P102" s="20"/>
      <c r="Q102" s="82">
        <v>0</v>
      </c>
      <c r="R102" s="81">
        <v>0</v>
      </c>
      <c r="S102" s="82">
        <v>0</v>
      </c>
      <c r="T102" s="81">
        <v>0</v>
      </c>
      <c r="U102" s="82">
        <v>0</v>
      </c>
      <c r="V102" s="83">
        <v>0</v>
      </c>
      <c r="W102" s="85"/>
      <c r="X102" s="84"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80">
        <v>5</v>
      </c>
      <c r="D103" s="81">
        <v>0</v>
      </c>
      <c r="E103" s="82">
        <v>5</v>
      </c>
      <c r="F103" s="81">
        <v>0</v>
      </c>
      <c r="G103" s="82">
        <v>5</v>
      </c>
      <c r="H103" s="83">
        <v>0</v>
      </c>
      <c r="I103" s="85">
        <v>100</v>
      </c>
      <c r="J103" s="84">
        <v>0</v>
      </c>
      <c r="K103" s="18" t="s">
        <v>16</v>
      </c>
      <c r="L103" s="19">
        <v>0</v>
      </c>
      <c r="M103" s="24">
        <v>0</v>
      </c>
      <c r="N103"/>
      <c r="O103" s="10">
        <v>99</v>
      </c>
      <c r="P103" s="20"/>
      <c r="Q103" s="82">
        <v>0</v>
      </c>
      <c r="R103" s="81">
        <v>0</v>
      </c>
      <c r="S103" s="82">
        <v>0</v>
      </c>
      <c r="T103" s="81">
        <v>0</v>
      </c>
      <c r="U103" s="82">
        <v>0</v>
      </c>
      <c r="V103" s="83">
        <v>0</v>
      </c>
      <c r="W103" s="85"/>
      <c r="X103" s="84"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80">
        <v>0</v>
      </c>
      <c r="D104" s="81">
        <v>0</v>
      </c>
      <c r="E104" s="82">
        <v>0</v>
      </c>
      <c r="F104" s="81">
        <v>0</v>
      </c>
      <c r="G104" s="82">
        <v>0</v>
      </c>
      <c r="H104" s="83">
        <v>0</v>
      </c>
      <c r="I104" s="85">
        <v>100</v>
      </c>
      <c r="J104" s="84">
        <v>0</v>
      </c>
      <c r="K104" s="18" t="s">
        <v>16</v>
      </c>
      <c r="L104" s="19">
        <v>0</v>
      </c>
      <c r="M104" s="24">
        <v>0</v>
      </c>
      <c r="N104"/>
      <c r="O104" s="10">
        <v>100</v>
      </c>
      <c r="P104" s="20"/>
      <c r="Q104" s="82">
        <v>0</v>
      </c>
      <c r="R104" s="81">
        <v>0</v>
      </c>
      <c r="S104" s="82">
        <v>0</v>
      </c>
      <c r="T104" s="81">
        <v>0</v>
      </c>
      <c r="U104" s="82">
        <v>0</v>
      </c>
      <c r="V104" s="83">
        <v>0</v>
      </c>
      <c r="W104" s="85"/>
      <c r="X104" s="84"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80">
        <v>0</v>
      </c>
      <c r="D105" s="81">
        <v>0</v>
      </c>
      <c r="E105" s="82">
        <v>0</v>
      </c>
      <c r="F105" s="81">
        <v>0</v>
      </c>
      <c r="G105" s="82">
        <v>0</v>
      </c>
      <c r="H105" s="83">
        <v>0</v>
      </c>
      <c r="I105" s="23">
        <v>30</v>
      </c>
      <c r="J105" s="84">
        <v>0</v>
      </c>
      <c r="K105" s="18" t="s">
        <v>16</v>
      </c>
      <c r="L105" s="19">
        <v>0</v>
      </c>
      <c r="M105" s="24">
        <v>0</v>
      </c>
      <c r="N105"/>
      <c r="O105" s="1"/>
      <c r="P105"/>
      <c r="Q105" s="87"/>
      <c r="R105" s="88"/>
      <c r="S105" s="87"/>
      <c r="T105" s="88"/>
      <c r="U105" s="87"/>
      <c r="V105" s="87"/>
      <c r="W105" s="89"/>
      <c r="X105" s="88"/>
      <c r="Y105" s="28"/>
      <c r="Z105" s="41">
        <v>0</v>
      </c>
    </row>
    <row r="106" spans="1:26" ht="24.6" x14ac:dyDescent="0.65">
      <c r="A106" s="10">
        <v>102</v>
      </c>
      <c r="B106" s="20" t="s">
        <v>117</v>
      </c>
      <c r="C106" s="80">
        <v>0</v>
      </c>
      <c r="D106" s="81">
        <v>0</v>
      </c>
      <c r="E106" s="82">
        <v>0</v>
      </c>
      <c r="F106" s="81">
        <v>0</v>
      </c>
      <c r="G106" s="82">
        <v>0</v>
      </c>
      <c r="H106" s="83">
        <v>0</v>
      </c>
      <c r="I106" s="23">
        <v>20</v>
      </c>
      <c r="J106" s="84">
        <v>0</v>
      </c>
      <c r="K106" s="18" t="s">
        <v>16</v>
      </c>
      <c r="L106" s="19">
        <v>0</v>
      </c>
      <c r="M106" s="24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 s="30"/>
    </row>
    <row r="107" spans="1:26" ht="24.6" x14ac:dyDescent="0.65">
      <c r="A107" s="10">
        <v>103</v>
      </c>
      <c r="B107" s="20" t="s">
        <v>118</v>
      </c>
      <c r="C107" s="80">
        <v>0</v>
      </c>
      <c r="D107" s="81">
        <v>0</v>
      </c>
      <c r="E107" s="82">
        <v>0</v>
      </c>
      <c r="F107" s="81">
        <v>0</v>
      </c>
      <c r="G107" s="82">
        <v>0</v>
      </c>
      <c r="H107" s="83">
        <v>0</v>
      </c>
      <c r="I107" s="85">
        <v>100</v>
      </c>
      <c r="J107" s="84">
        <v>0</v>
      </c>
      <c r="K107" s="18" t="s">
        <v>16</v>
      </c>
      <c r="L107" s="19">
        <v>0</v>
      </c>
      <c r="M107" s="24">
        <v>0</v>
      </c>
      <c r="N107"/>
      <c r="O107"/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v>0</v>
      </c>
      <c r="Y107"/>
      <c r="Z107"/>
    </row>
    <row r="108" spans="1:26" ht="24.6" x14ac:dyDescent="0.65">
      <c r="A108" s="10">
        <v>104</v>
      </c>
      <c r="B108" s="20" t="s">
        <v>120</v>
      </c>
      <c r="C108" s="80">
        <v>0</v>
      </c>
      <c r="D108" s="81">
        <v>0</v>
      </c>
      <c r="E108" s="82">
        <v>0</v>
      </c>
      <c r="F108" s="81">
        <v>0</v>
      </c>
      <c r="G108" s="82">
        <v>0</v>
      </c>
      <c r="H108" s="83">
        <v>0</v>
      </c>
      <c r="I108" s="85">
        <v>80</v>
      </c>
      <c r="J108" s="84">
        <v>0</v>
      </c>
      <c r="K108" s="18" t="s">
        <v>16</v>
      </c>
      <c r="L108" s="19">
        <v>0</v>
      </c>
      <c r="M108" s="24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4.6" x14ac:dyDescent="0.65">
      <c r="A109" s="10">
        <v>105</v>
      </c>
      <c r="B109" s="20" t="s">
        <v>121</v>
      </c>
      <c r="C109" s="80">
        <v>0</v>
      </c>
      <c r="D109" s="81">
        <v>0</v>
      </c>
      <c r="E109" s="82">
        <v>0</v>
      </c>
      <c r="F109" s="81">
        <v>0</v>
      </c>
      <c r="G109" s="82">
        <v>0</v>
      </c>
      <c r="H109" s="83">
        <v>0</v>
      </c>
      <c r="I109" s="85">
        <v>60</v>
      </c>
      <c r="J109" s="84">
        <v>0</v>
      </c>
      <c r="K109" s="18" t="s">
        <v>16</v>
      </c>
      <c r="L109" s="19">
        <v>0</v>
      </c>
      <c r="M109" s="24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4.6" x14ac:dyDescent="0.65">
      <c r="A110" s="10">
        <v>106</v>
      </c>
      <c r="B110" s="20" t="s">
        <v>122</v>
      </c>
      <c r="C110" s="80">
        <v>0</v>
      </c>
      <c r="D110" s="81">
        <v>0</v>
      </c>
      <c r="E110" s="82">
        <v>0</v>
      </c>
      <c r="F110" s="81">
        <v>0</v>
      </c>
      <c r="G110" s="82">
        <v>0</v>
      </c>
      <c r="H110" s="83">
        <v>0</v>
      </c>
      <c r="I110" s="85">
        <v>35</v>
      </c>
      <c r="J110" s="84">
        <v>0</v>
      </c>
      <c r="K110" s="18" t="s">
        <v>16</v>
      </c>
      <c r="L110" s="19">
        <v>0</v>
      </c>
      <c r="M110" s="24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4.6" x14ac:dyDescent="0.65">
      <c r="A111" s="10">
        <v>107</v>
      </c>
      <c r="B111" s="20" t="s">
        <v>123</v>
      </c>
      <c r="C111" s="80">
        <v>0</v>
      </c>
      <c r="D111" s="81">
        <v>0</v>
      </c>
      <c r="E111" s="82">
        <v>0</v>
      </c>
      <c r="F111" s="81">
        <v>0</v>
      </c>
      <c r="G111" s="82">
        <v>0</v>
      </c>
      <c r="H111" s="83">
        <v>0</v>
      </c>
      <c r="I111" s="85">
        <v>35</v>
      </c>
      <c r="J111" s="84">
        <v>0</v>
      </c>
      <c r="K111" s="18" t="s">
        <v>16</v>
      </c>
      <c r="L111" s="19">
        <v>0</v>
      </c>
      <c r="M111" s="24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4.6" x14ac:dyDescent="0.65">
      <c r="A112" s="10">
        <v>108</v>
      </c>
      <c r="B112" s="20" t="s">
        <v>124</v>
      </c>
      <c r="C112" s="80">
        <v>0</v>
      </c>
      <c r="D112" s="81">
        <v>0</v>
      </c>
      <c r="E112" s="82">
        <v>0</v>
      </c>
      <c r="F112" s="81">
        <v>0</v>
      </c>
      <c r="G112" s="82">
        <v>0</v>
      </c>
      <c r="H112" s="83">
        <v>0</v>
      </c>
      <c r="I112" s="85">
        <v>35</v>
      </c>
      <c r="J112" s="84">
        <v>0</v>
      </c>
      <c r="K112" s="18" t="s">
        <v>16</v>
      </c>
      <c r="L112" s="19">
        <v>0</v>
      </c>
      <c r="M112" s="24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4.6" x14ac:dyDescent="0.65">
      <c r="A113" s="10">
        <v>109</v>
      </c>
      <c r="B113" s="20" t="s">
        <v>125</v>
      </c>
      <c r="C113" s="80">
        <v>0</v>
      </c>
      <c r="D113" s="81">
        <v>0</v>
      </c>
      <c r="E113" s="82">
        <v>0</v>
      </c>
      <c r="F113" s="81">
        <v>0</v>
      </c>
      <c r="G113" s="82">
        <v>0</v>
      </c>
      <c r="H113" s="83">
        <v>0</v>
      </c>
      <c r="I113" s="85">
        <v>35</v>
      </c>
      <c r="J113" s="84">
        <v>0</v>
      </c>
      <c r="K113" s="18" t="s">
        <v>16</v>
      </c>
      <c r="L113" s="19">
        <v>0</v>
      </c>
      <c r="M113" s="24">
        <v>0</v>
      </c>
    </row>
    <row r="114" spans="1:13" ht="24.6" x14ac:dyDescent="0.65">
      <c r="A114" s="10">
        <v>110</v>
      </c>
      <c r="B114" s="20" t="s">
        <v>126</v>
      </c>
      <c r="C114" s="80">
        <v>0</v>
      </c>
      <c r="D114" s="81">
        <v>0</v>
      </c>
      <c r="E114" s="82">
        <v>0</v>
      </c>
      <c r="F114" s="81">
        <v>0</v>
      </c>
      <c r="G114" s="82">
        <v>0</v>
      </c>
      <c r="H114" s="83">
        <v>0</v>
      </c>
      <c r="I114" s="85">
        <v>35</v>
      </c>
      <c r="J114" s="84">
        <v>0</v>
      </c>
      <c r="K114" s="18" t="s">
        <v>16</v>
      </c>
      <c r="L114" s="19">
        <v>0</v>
      </c>
      <c r="M114" s="24">
        <v>0</v>
      </c>
    </row>
    <row r="115" spans="1:13" ht="24.6" x14ac:dyDescent="0.65">
      <c r="A115" s="10">
        <v>111</v>
      </c>
      <c r="B115" s="20" t="s">
        <v>127</v>
      </c>
      <c r="C115" s="80">
        <v>0</v>
      </c>
      <c r="D115" s="81">
        <v>0</v>
      </c>
      <c r="E115" s="82">
        <v>0</v>
      </c>
      <c r="F115" s="81">
        <v>0</v>
      </c>
      <c r="G115" s="82">
        <v>0</v>
      </c>
      <c r="H115" s="83">
        <v>0</v>
      </c>
      <c r="I115" s="85">
        <v>50</v>
      </c>
      <c r="J115" s="84">
        <v>0</v>
      </c>
      <c r="K115" s="18" t="s">
        <v>16</v>
      </c>
      <c r="L115" s="19">
        <v>0</v>
      </c>
      <c r="M115" s="24">
        <v>0</v>
      </c>
    </row>
    <row r="116" spans="1:13" ht="24.6" x14ac:dyDescent="0.65">
      <c r="A116" s="10">
        <v>112</v>
      </c>
      <c r="B116" s="20" t="s">
        <v>128</v>
      </c>
      <c r="C116" s="80">
        <v>0</v>
      </c>
      <c r="D116" s="81">
        <v>0</v>
      </c>
      <c r="E116" s="82">
        <v>0</v>
      </c>
      <c r="F116" s="81">
        <v>0</v>
      </c>
      <c r="G116" s="82">
        <v>0</v>
      </c>
      <c r="H116" s="83">
        <v>0</v>
      </c>
      <c r="I116" s="85">
        <v>50</v>
      </c>
      <c r="J116" s="84">
        <v>0</v>
      </c>
      <c r="K116" s="18" t="s">
        <v>16</v>
      </c>
      <c r="L116" s="19">
        <v>0</v>
      </c>
      <c r="M116" s="24">
        <v>0</v>
      </c>
    </row>
    <row r="117" spans="1:13" ht="24.6" x14ac:dyDescent="0.65">
      <c r="A117" s="10">
        <v>113</v>
      </c>
      <c r="B117" s="20" t="s">
        <v>129</v>
      </c>
      <c r="C117" s="80">
        <v>0</v>
      </c>
      <c r="D117" s="81">
        <v>0</v>
      </c>
      <c r="E117" s="82">
        <v>0</v>
      </c>
      <c r="F117" s="81">
        <v>0</v>
      </c>
      <c r="G117" s="82">
        <v>0</v>
      </c>
      <c r="H117" s="83">
        <v>0</v>
      </c>
      <c r="I117" s="85">
        <v>50</v>
      </c>
      <c r="J117" s="84">
        <v>0</v>
      </c>
      <c r="K117" s="18" t="s">
        <v>16</v>
      </c>
      <c r="L117" s="19">
        <v>0</v>
      </c>
      <c r="M117" s="24">
        <v>0</v>
      </c>
    </row>
    <row r="118" spans="1:13" ht="24.6" x14ac:dyDescent="0.65">
      <c r="A118" s="10">
        <v>114</v>
      </c>
      <c r="B118" s="20" t="s">
        <v>130</v>
      </c>
      <c r="C118" s="80">
        <v>0</v>
      </c>
      <c r="D118" s="81">
        <v>0</v>
      </c>
      <c r="E118" s="82">
        <v>0</v>
      </c>
      <c r="F118" s="81">
        <v>0</v>
      </c>
      <c r="G118" s="82">
        <v>0</v>
      </c>
      <c r="H118" s="83">
        <v>0</v>
      </c>
      <c r="I118" s="85">
        <v>50</v>
      </c>
      <c r="J118" s="84">
        <v>0</v>
      </c>
      <c r="K118" s="18" t="s">
        <v>16</v>
      </c>
      <c r="L118" s="19">
        <v>0</v>
      </c>
      <c r="M118" s="24">
        <v>0</v>
      </c>
    </row>
    <row r="119" spans="1:13" ht="24.6" x14ac:dyDescent="0.65">
      <c r="A119" s="10">
        <v>115</v>
      </c>
      <c r="B119" s="20" t="s">
        <v>131</v>
      </c>
      <c r="C119" s="80">
        <v>0</v>
      </c>
      <c r="D119" s="81">
        <v>0</v>
      </c>
      <c r="E119" s="82">
        <v>0</v>
      </c>
      <c r="F119" s="81">
        <v>0</v>
      </c>
      <c r="G119" s="82">
        <v>0</v>
      </c>
      <c r="H119" s="83">
        <v>0</v>
      </c>
      <c r="I119" s="85">
        <v>50</v>
      </c>
      <c r="J119" s="84">
        <v>0</v>
      </c>
      <c r="K119" s="18" t="s">
        <v>16</v>
      </c>
      <c r="L119" s="19">
        <v>0</v>
      </c>
      <c r="M119" s="24">
        <v>0</v>
      </c>
    </row>
    <row r="120" spans="1:13" ht="24.6" x14ac:dyDescent="0.65">
      <c r="A120" s="10">
        <v>116</v>
      </c>
      <c r="B120" s="20" t="s">
        <v>132</v>
      </c>
      <c r="C120" s="80">
        <v>0</v>
      </c>
      <c r="D120" s="81">
        <v>0</v>
      </c>
      <c r="E120" s="82">
        <v>0</v>
      </c>
      <c r="F120" s="81">
        <v>0</v>
      </c>
      <c r="G120" s="82">
        <v>0</v>
      </c>
      <c r="H120" s="83">
        <v>0</v>
      </c>
      <c r="I120" s="85">
        <v>50</v>
      </c>
      <c r="J120" s="84">
        <v>0</v>
      </c>
      <c r="K120" s="18" t="s">
        <v>16</v>
      </c>
      <c r="L120" s="19">
        <v>0</v>
      </c>
      <c r="M120" s="24">
        <v>0</v>
      </c>
    </row>
    <row r="121" spans="1:13" ht="24.6" x14ac:dyDescent="0.65">
      <c r="A121" s="10">
        <v>117</v>
      </c>
      <c r="B121" s="20" t="s">
        <v>133</v>
      </c>
      <c r="C121" s="80">
        <v>0</v>
      </c>
      <c r="D121" s="81">
        <v>0</v>
      </c>
      <c r="E121" s="82">
        <v>0</v>
      </c>
      <c r="F121" s="81">
        <v>0</v>
      </c>
      <c r="G121" s="82">
        <v>0</v>
      </c>
      <c r="H121" s="83">
        <v>0</v>
      </c>
      <c r="I121" s="85">
        <v>40</v>
      </c>
      <c r="J121" s="84">
        <v>0</v>
      </c>
      <c r="K121" s="18" t="s">
        <v>16</v>
      </c>
      <c r="L121" s="19">
        <v>0</v>
      </c>
      <c r="M121" s="24">
        <v>0</v>
      </c>
    </row>
    <row r="122" spans="1:13" ht="24.6" x14ac:dyDescent="0.65">
      <c r="A122" s="10">
        <v>118</v>
      </c>
      <c r="B122" s="20" t="s">
        <v>134</v>
      </c>
      <c r="C122" s="80">
        <v>0</v>
      </c>
      <c r="D122" s="81">
        <v>0</v>
      </c>
      <c r="E122" s="82">
        <v>0</v>
      </c>
      <c r="F122" s="81">
        <v>0</v>
      </c>
      <c r="G122" s="82">
        <v>0</v>
      </c>
      <c r="H122" s="83">
        <v>0</v>
      </c>
      <c r="I122" s="85">
        <v>35</v>
      </c>
      <c r="J122" s="84">
        <v>0</v>
      </c>
      <c r="K122" s="18" t="s">
        <v>16</v>
      </c>
      <c r="L122" s="19">
        <v>0</v>
      </c>
      <c r="M122" s="24">
        <v>0</v>
      </c>
    </row>
    <row r="123" spans="1:13" ht="24.6" x14ac:dyDescent="0.65">
      <c r="A123" s="10">
        <v>119</v>
      </c>
      <c r="B123" s="20" t="s">
        <v>135</v>
      </c>
      <c r="C123" s="80">
        <v>0</v>
      </c>
      <c r="D123" s="81">
        <v>0</v>
      </c>
      <c r="E123" s="82">
        <v>0</v>
      </c>
      <c r="F123" s="81">
        <v>0</v>
      </c>
      <c r="G123" s="82">
        <v>0</v>
      </c>
      <c r="H123" s="83">
        <v>0</v>
      </c>
      <c r="I123" s="85">
        <v>40</v>
      </c>
      <c r="J123" s="84">
        <v>0</v>
      </c>
      <c r="K123" s="18" t="s">
        <v>16</v>
      </c>
      <c r="L123" s="19">
        <v>0</v>
      </c>
      <c r="M123" s="24">
        <v>0</v>
      </c>
    </row>
    <row r="124" spans="1:13" ht="24.6" x14ac:dyDescent="0.65">
      <c r="A124" s="10">
        <v>120</v>
      </c>
      <c r="B124" s="20" t="s">
        <v>136</v>
      </c>
      <c r="C124" s="80">
        <v>0</v>
      </c>
      <c r="D124" s="81">
        <v>0</v>
      </c>
      <c r="E124" s="82">
        <v>0</v>
      </c>
      <c r="F124" s="81">
        <v>0</v>
      </c>
      <c r="G124" s="82">
        <v>0</v>
      </c>
      <c r="H124" s="83">
        <v>0</v>
      </c>
      <c r="I124" s="85">
        <v>40</v>
      </c>
      <c r="J124" s="84">
        <v>0</v>
      </c>
      <c r="K124" s="18" t="s">
        <v>16</v>
      </c>
      <c r="L124" s="19">
        <v>0</v>
      </c>
      <c r="M124" s="24">
        <v>0</v>
      </c>
    </row>
    <row r="125" spans="1:13" ht="24.6" x14ac:dyDescent="0.65">
      <c r="A125" s="10">
        <v>121</v>
      </c>
      <c r="B125" s="20" t="s">
        <v>137</v>
      </c>
      <c r="C125" s="80">
        <v>0</v>
      </c>
      <c r="D125" s="81">
        <v>0</v>
      </c>
      <c r="E125" s="82">
        <v>0</v>
      </c>
      <c r="F125" s="81">
        <v>0</v>
      </c>
      <c r="G125" s="82">
        <v>0</v>
      </c>
      <c r="H125" s="83">
        <v>0</v>
      </c>
      <c r="I125" s="85">
        <v>30</v>
      </c>
      <c r="J125" s="84">
        <v>0</v>
      </c>
      <c r="K125" s="18" t="s">
        <v>16</v>
      </c>
      <c r="L125" s="19">
        <v>0</v>
      </c>
      <c r="M125" s="24">
        <v>0</v>
      </c>
    </row>
    <row r="126" spans="1:13" ht="24.6" x14ac:dyDescent="0.65">
      <c r="A126" s="10">
        <v>122</v>
      </c>
      <c r="B126" s="20" t="s">
        <v>138</v>
      </c>
      <c r="C126" s="80">
        <v>0</v>
      </c>
      <c r="D126" s="81">
        <v>0</v>
      </c>
      <c r="E126" s="82">
        <v>0</v>
      </c>
      <c r="F126" s="81">
        <v>0</v>
      </c>
      <c r="G126" s="82">
        <v>0</v>
      </c>
      <c r="H126" s="83">
        <v>0</v>
      </c>
      <c r="I126" s="85">
        <v>40</v>
      </c>
      <c r="J126" s="84">
        <v>0</v>
      </c>
      <c r="K126" s="18" t="s">
        <v>16</v>
      </c>
      <c r="L126" s="19">
        <v>0</v>
      </c>
      <c r="M126" s="24">
        <v>0</v>
      </c>
    </row>
    <row r="127" spans="1:13" ht="24.6" x14ac:dyDescent="0.65">
      <c r="A127" s="10">
        <v>123</v>
      </c>
      <c r="B127" s="20" t="s">
        <v>139</v>
      </c>
      <c r="C127" s="80">
        <v>0</v>
      </c>
      <c r="D127" s="81">
        <v>0</v>
      </c>
      <c r="E127" s="82">
        <v>0</v>
      </c>
      <c r="F127" s="81">
        <v>0</v>
      </c>
      <c r="G127" s="82">
        <v>0</v>
      </c>
      <c r="H127" s="83">
        <v>0</v>
      </c>
      <c r="I127" s="85">
        <v>20</v>
      </c>
      <c r="J127" s="84">
        <v>0</v>
      </c>
      <c r="K127" s="18" t="s">
        <v>16</v>
      </c>
      <c r="L127" s="19">
        <v>0</v>
      </c>
      <c r="M127" s="24">
        <v>0</v>
      </c>
    </row>
    <row r="128" spans="1:13" ht="24.6" x14ac:dyDescent="0.65">
      <c r="A128" s="10">
        <v>124</v>
      </c>
      <c r="B128" s="20" t="s">
        <v>140</v>
      </c>
      <c r="C128" s="80">
        <v>0</v>
      </c>
      <c r="D128" s="81">
        <v>0</v>
      </c>
      <c r="E128" s="82">
        <v>0</v>
      </c>
      <c r="F128" s="81">
        <v>0</v>
      </c>
      <c r="G128" s="82">
        <v>0</v>
      </c>
      <c r="H128" s="83">
        <v>0</v>
      </c>
      <c r="I128" s="85">
        <v>35</v>
      </c>
      <c r="J128" s="84">
        <v>0</v>
      </c>
      <c r="K128" s="18" t="s">
        <v>16</v>
      </c>
      <c r="L128" s="19">
        <v>0</v>
      </c>
      <c r="M128" s="24">
        <v>0</v>
      </c>
    </row>
    <row r="129" spans="1:13" ht="24.6" x14ac:dyDescent="0.65">
      <c r="A129" s="10">
        <v>125</v>
      </c>
      <c r="B129" s="20" t="s">
        <v>141</v>
      </c>
      <c r="C129" s="80">
        <v>0</v>
      </c>
      <c r="D129" s="81">
        <v>0</v>
      </c>
      <c r="E129" s="82">
        <v>0</v>
      </c>
      <c r="F129" s="81">
        <v>0</v>
      </c>
      <c r="G129" s="82">
        <v>0</v>
      </c>
      <c r="H129" s="83">
        <v>0</v>
      </c>
      <c r="I129" s="85">
        <v>40</v>
      </c>
      <c r="J129" s="84">
        <v>0</v>
      </c>
      <c r="K129" s="18" t="s">
        <v>16</v>
      </c>
      <c r="L129" s="19">
        <v>0</v>
      </c>
      <c r="M129" s="24">
        <v>0</v>
      </c>
    </row>
    <row r="130" spans="1:13" ht="24.6" x14ac:dyDescent="0.65">
      <c r="A130" s="10">
        <v>126</v>
      </c>
      <c r="B130" s="20" t="s">
        <v>142</v>
      </c>
      <c r="C130" s="80">
        <v>0</v>
      </c>
      <c r="D130" s="81">
        <v>0</v>
      </c>
      <c r="E130" s="82">
        <v>0</v>
      </c>
      <c r="F130" s="81">
        <v>0</v>
      </c>
      <c r="G130" s="82">
        <v>0</v>
      </c>
      <c r="H130" s="83">
        <v>0</v>
      </c>
      <c r="I130" s="85">
        <v>50</v>
      </c>
      <c r="J130" s="84">
        <v>0</v>
      </c>
      <c r="K130" s="18" t="s">
        <v>16</v>
      </c>
      <c r="L130" s="19">
        <v>0</v>
      </c>
      <c r="M130" s="24">
        <v>0</v>
      </c>
    </row>
    <row r="131" spans="1:13" ht="24.6" x14ac:dyDescent="0.65">
      <c r="A131" s="10">
        <v>127</v>
      </c>
      <c r="B131" s="20" t="s">
        <v>143</v>
      </c>
      <c r="C131" s="80">
        <v>0</v>
      </c>
      <c r="D131" s="81">
        <v>0</v>
      </c>
      <c r="E131" s="82">
        <v>0</v>
      </c>
      <c r="F131" s="81">
        <v>0</v>
      </c>
      <c r="G131" s="82">
        <v>0</v>
      </c>
      <c r="H131" s="83">
        <v>0</v>
      </c>
      <c r="I131" s="85">
        <v>55</v>
      </c>
      <c r="J131" s="84">
        <v>0</v>
      </c>
      <c r="K131" s="18" t="s">
        <v>16</v>
      </c>
      <c r="L131" s="19">
        <v>0</v>
      </c>
      <c r="M131" s="24">
        <v>0</v>
      </c>
    </row>
    <row r="132" spans="1:13" ht="24.6" x14ac:dyDescent="0.65">
      <c r="A132" s="10">
        <v>128</v>
      </c>
      <c r="B132" s="20" t="s">
        <v>144</v>
      </c>
      <c r="C132" s="80">
        <v>0</v>
      </c>
      <c r="D132" s="81">
        <v>0</v>
      </c>
      <c r="E132" s="82">
        <v>0</v>
      </c>
      <c r="F132" s="81">
        <v>0</v>
      </c>
      <c r="G132" s="82">
        <v>0</v>
      </c>
      <c r="H132" s="83">
        <v>0</v>
      </c>
      <c r="I132" s="85">
        <v>55</v>
      </c>
      <c r="J132" s="84">
        <v>0</v>
      </c>
      <c r="K132" s="18" t="s">
        <v>16</v>
      </c>
      <c r="L132" s="19">
        <v>0</v>
      </c>
      <c r="M132" s="24">
        <v>0</v>
      </c>
    </row>
    <row r="133" spans="1:13" ht="24.6" x14ac:dyDescent="0.65">
      <c r="A133" s="10">
        <v>129</v>
      </c>
      <c r="B133" s="20" t="s">
        <v>145</v>
      </c>
      <c r="C133" s="80">
        <v>0</v>
      </c>
      <c r="D133" s="81">
        <v>0</v>
      </c>
      <c r="E133" s="82">
        <v>0</v>
      </c>
      <c r="F133" s="81">
        <v>0</v>
      </c>
      <c r="G133" s="82">
        <v>0</v>
      </c>
      <c r="H133" s="83">
        <v>0</v>
      </c>
      <c r="I133" s="85">
        <v>45</v>
      </c>
      <c r="J133" s="84">
        <v>0</v>
      </c>
      <c r="K133" s="18" t="s">
        <v>16</v>
      </c>
      <c r="L133" s="19">
        <v>0</v>
      </c>
      <c r="M133" s="24">
        <v>0</v>
      </c>
    </row>
    <row r="134" spans="1:13" ht="24.6" x14ac:dyDescent="0.65">
      <c r="A134" s="10">
        <v>130</v>
      </c>
      <c r="B134" s="20" t="s">
        <v>146</v>
      </c>
      <c r="C134" s="80">
        <v>0</v>
      </c>
      <c r="D134" s="81">
        <v>0</v>
      </c>
      <c r="E134" s="82">
        <v>0</v>
      </c>
      <c r="F134" s="81">
        <v>0</v>
      </c>
      <c r="G134" s="82">
        <v>0</v>
      </c>
      <c r="H134" s="83">
        <v>0</v>
      </c>
      <c r="I134" s="85">
        <v>45</v>
      </c>
      <c r="J134" s="84">
        <v>0</v>
      </c>
      <c r="K134" s="18" t="s">
        <v>16</v>
      </c>
      <c r="L134" s="19">
        <v>0</v>
      </c>
      <c r="M134" s="24">
        <v>0</v>
      </c>
    </row>
    <row r="135" spans="1:13" ht="24.6" x14ac:dyDescent="0.65">
      <c r="A135" s="10">
        <v>131</v>
      </c>
      <c r="B135" s="20" t="s">
        <v>147</v>
      </c>
      <c r="C135" s="80">
        <v>0</v>
      </c>
      <c r="D135" s="81">
        <v>0</v>
      </c>
      <c r="E135" s="82">
        <v>0</v>
      </c>
      <c r="F135" s="81">
        <v>0</v>
      </c>
      <c r="G135" s="82">
        <v>0</v>
      </c>
      <c r="H135" s="83">
        <v>0</v>
      </c>
      <c r="I135" s="85">
        <v>55</v>
      </c>
      <c r="J135" s="84">
        <v>0</v>
      </c>
      <c r="K135" s="18" t="s">
        <v>16</v>
      </c>
      <c r="L135" s="19">
        <v>0</v>
      </c>
      <c r="M135" s="24">
        <v>0</v>
      </c>
    </row>
    <row r="136" spans="1:13" ht="24.6" x14ac:dyDescent="0.65">
      <c r="A136" s="10">
        <v>132</v>
      </c>
      <c r="B136" s="20" t="s">
        <v>148</v>
      </c>
      <c r="C136" s="80">
        <v>0</v>
      </c>
      <c r="D136" s="81">
        <v>0</v>
      </c>
      <c r="E136" s="82">
        <v>0</v>
      </c>
      <c r="F136" s="81">
        <v>0</v>
      </c>
      <c r="G136" s="82">
        <v>0</v>
      </c>
      <c r="H136" s="83">
        <v>0</v>
      </c>
      <c r="I136" s="85">
        <v>45</v>
      </c>
      <c r="J136" s="84">
        <v>0</v>
      </c>
      <c r="K136" s="18" t="s">
        <v>16</v>
      </c>
      <c r="L136" s="19">
        <v>0</v>
      </c>
      <c r="M136" s="24">
        <v>0</v>
      </c>
    </row>
    <row r="137" spans="1:13" ht="24.6" x14ac:dyDescent="0.65">
      <c r="A137" s="10">
        <v>133</v>
      </c>
      <c r="B137" s="20" t="s">
        <v>149</v>
      </c>
      <c r="C137" s="80">
        <v>0</v>
      </c>
      <c r="D137" s="81">
        <v>0</v>
      </c>
      <c r="E137" s="82">
        <v>0</v>
      </c>
      <c r="F137" s="81">
        <v>0</v>
      </c>
      <c r="G137" s="82">
        <v>0</v>
      </c>
      <c r="H137" s="83">
        <v>0</v>
      </c>
      <c r="I137" s="85">
        <v>45</v>
      </c>
      <c r="J137" s="84">
        <v>0</v>
      </c>
      <c r="K137" s="18" t="s">
        <v>16</v>
      </c>
      <c r="L137" s="19">
        <v>0</v>
      </c>
      <c r="M137" s="24">
        <v>0</v>
      </c>
    </row>
    <row r="138" spans="1:13" ht="24.6" x14ac:dyDescent="0.65">
      <c r="A138" s="10">
        <v>134</v>
      </c>
      <c r="B138" s="20" t="s">
        <v>150</v>
      </c>
      <c r="C138" s="80">
        <v>0</v>
      </c>
      <c r="D138" s="81">
        <v>0</v>
      </c>
      <c r="E138" s="82">
        <v>0</v>
      </c>
      <c r="F138" s="81">
        <v>0</v>
      </c>
      <c r="G138" s="82">
        <v>0</v>
      </c>
      <c r="H138" s="83">
        <v>0</v>
      </c>
      <c r="I138" s="85">
        <v>45</v>
      </c>
      <c r="J138" s="84">
        <v>0</v>
      </c>
      <c r="K138" s="18" t="s">
        <v>16</v>
      </c>
      <c r="L138" s="19">
        <v>0</v>
      </c>
      <c r="M138" s="24">
        <v>0</v>
      </c>
    </row>
    <row r="139" spans="1:13" ht="24.6" x14ac:dyDescent="0.65">
      <c r="A139" s="10">
        <v>135</v>
      </c>
      <c r="B139" s="20" t="s">
        <v>151</v>
      </c>
      <c r="C139" s="80">
        <v>0</v>
      </c>
      <c r="D139" s="81">
        <v>0</v>
      </c>
      <c r="E139" s="82">
        <v>0</v>
      </c>
      <c r="F139" s="81">
        <v>0</v>
      </c>
      <c r="G139" s="82">
        <v>0</v>
      </c>
      <c r="H139" s="83">
        <v>0</v>
      </c>
      <c r="I139" s="85">
        <v>45</v>
      </c>
      <c r="J139" s="84">
        <v>0</v>
      </c>
      <c r="K139" s="18" t="s">
        <v>16</v>
      </c>
      <c r="L139" s="19">
        <v>0</v>
      </c>
      <c r="M139" s="24">
        <v>0</v>
      </c>
    </row>
    <row r="140" spans="1:13" ht="24.6" x14ac:dyDescent="0.65">
      <c r="A140" s="10">
        <v>136</v>
      </c>
      <c r="B140" s="20" t="s">
        <v>152</v>
      </c>
      <c r="C140" s="80">
        <v>0</v>
      </c>
      <c r="D140" s="81">
        <v>0</v>
      </c>
      <c r="E140" s="82">
        <v>0</v>
      </c>
      <c r="F140" s="81">
        <v>0</v>
      </c>
      <c r="G140" s="82">
        <v>0</v>
      </c>
      <c r="H140" s="83">
        <v>0</v>
      </c>
      <c r="I140" s="85">
        <v>45</v>
      </c>
      <c r="J140" s="84">
        <v>0</v>
      </c>
      <c r="K140" s="18" t="s">
        <v>16</v>
      </c>
      <c r="L140" s="19">
        <v>0</v>
      </c>
      <c r="M140" s="24">
        <v>0</v>
      </c>
    </row>
    <row r="141" spans="1:13" ht="24.6" x14ac:dyDescent="0.65">
      <c r="A141" s="10">
        <v>137</v>
      </c>
      <c r="B141" s="20" t="s">
        <v>153</v>
      </c>
      <c r="C141" s="80">
        <v>0</v>
      </c>
      <c r="D141" s="81">
        <v>0</v>
      </c>
      <c r="E141" s="82">
        <v>0</v>
      </c>
      <c r="F141" s="81">
        <v>0</v>
      </c>
      <c r="G141" s="82">
        <v>0</v>
      </c>
      <c r="H141" s="83">
        <v>0</v>
      </c>
      <c r="I141" s="85">
        <v>45</v>
      </c>
      <c r="J141" s="84">
        <v>0</v>
      </c>
      <c r="K141" s="18" t="s">
        <v>16</v>
      </c>
      <c r="L141" s="19">
        <v>0</v>
      </c>
      <c r="M141" s="24">
        <v>0</v>
      </c>
    </row>
    <row r="142" spans="1:13" ht="24.6" x14ac:dyDescent="0.65">
      <c r="A142" s="10">
        <v>138</v>
      </c>
      <c r="B142" s="20" t="s">
        <v>154</v>
      </c>
      <c r="C142" s="80">
        <v>0</v>
      </c>
      <c r="D142" s="81">
        <v>5</v>
      </c>
      <c r="E142" s="82">
        <v>5</v>
      </c>
      <c r="F142" s="81">
        <v>0</v>
      </c>
      <c r="G142" s="82">
        <v>5</v>
      </c>
      <c r="H142" s="83">
        <v>0</v>
      </c>
      <c r="I142" s="85">
        <v>120</v>
      </c>
      <c r="J142" s="84">
        <v>0</v>
      </c>
      <c r="K142" s="18" t="s">
        <v>16</v>
      </c>
      <c r="L142" s="19">
        <v>0</v>
      </c>
      <c r="M142" s="24">
        <v>0</v>
      </c>
    </row>
    <row r="143" spans="1:13" ht="24.6" x14ac:dyDescent="0.65">
      <c r="A143" s="10">
        <v>139</v>
      </c>
      <c r="B143" s="20" t="s">
        <v>155</v>
      </c>
      <c r="C143" s="80">
        <v>2</v>
      </c>
      <c r="D143" s="81">
        <v>3</v>
      </c>
      <c r="E143" s="82">
        <v>5</v>
      </c>
      <c r="F143" s="81">
        <v>0</v>
      </c>
      <c r="G143" s="82">
        <v>4</v>
      </c>
      <c r="H143" s="83">
        <v>1</v>
      </c>
      <c r="I143" s="85">
        <v>120</v>
      </c>
      <c r="J143" s="84">
        <v>120</v>
      </c>
      <c r="K143" s="18" t="s">
        <v>16</v>
      </c>
      <c r="L143" s="19">
        <v>0</v>
      </c>
      <c r="M143" s="24">
        <v>120</v>
      </c>
    </row>
    <row r="144" spans="1:13" ht="24.6" x14ac:dyDescent="0.65">
      <c r="A144" s="10">
        <v>140</v>
      </c>
      <c r="B144" s="20" t="s">
        <v>156</v>
      </c>
      <c r="C144" s="80">
        <v>0</v>
      </c>
      <c r="D144" s="81">
        <v>0</v>
      </c>
      <c r="E144" s="82">
        <v>0</v>
      </c>
      <c r="F144" s="81">
        <v>0</v>
      </c>
      <c r="G144" s="82">
        <v>0</v>
      </c>
      <c r="H144" s="83">
        <v>0</v>
      </c>
      <c r="I144" s="85">
        <v>120</v>
      </c>
      <c r="J144" s="84">
        <v>0</v>
      </c>
      <c r="K144" s="18" t="s">
        <v>16</v>
      </c>
      <c r="L144" s="19">
        <v>0</v>
      </c>
      <c r="M144" s="24">
        <v>0</v>
      </c>
    </row>
    <row r="145" spans="1:13" ht="24.6" x14ac:dyDescent="0.65">
      <c r="A145" s="10">
        <v>141</v>
      </c>
      <c r="B145" s="20" t="s">
        <v>157</v>
      </c>
      <c r="C145" s="80">
        <v>0</v>
      </c>
      <c r="D145" s="81">
        <v>0</v>
      </c>
      <c r="E145" s="82">
        <v>0</v>
      </c>
      <c r="F145" s="81">
        <v>0</v>
      </c>
      <c r="G145" s="82">
        <v>0</v>
      </c>
      <c r="H145" s="83">
        <v>0</v>
      </c>
      <c r="I145" s="85">
        <v>120</v>
      </c>
      <c r="J145" s="84">
        <v>0</v>
      </c>
      <c r="K145" s="18" t="s">
        <v>16</v>
      </c>
      <c r="L145" s="19">
        <v>0</v>
      </c>
      <c r="M145" s="24">
        <v>0</v>
      </c>
    </row>
    <row r="146" spans="1:13" ht="24.6" x14ac:dyDescent="0.65">
      <c r="A146" s="10">
        <v>142</v>
      </c>
      <c r="B146" s="20" t="s">
        <v>158</v>
      </c>
      <c r="C146" s="80">
        <v>0</v>
      </c>
      <c r="D146" s="81">
        <v>0</v>
      </c>
      <c r="E146" s="82">
        <v>0</v>
      </c>
      <c r="F146" s="81">
        <v>0</v>
      </c>
      <c r="G146" s="82">
        <v>0</v>
      </c>
      <c r="H146" s="83">
        <v>0</v>
      </c>
      <c r="I146" s="85">
        <v>185</v>
      </c>
      <c r="J146" s="84">
        <v>0</v>
      </c>
      <c r="K146" s="18" t="s">
        <v>16</v>
      </c>
      <c r="L146" s="19">
        <v>0</v>
      </c>
      <c r="M146" s="24">
        <v>0</v>
      </c>
    </row>
    <row r="147" spans="1:13" ht="24.6" x14ac:dyDescent="0.65">
      <c r="A147" s="10">
        <v>143</v>
      </c>
      <c r="B147" s="20" t="s">
        <v>159</v>
      </c>
      <c r="C147" s="80">
        <v>0</v>
      </c>
      <c r="D147" s="81">
        <v>0</v>
      </c>
      <c r="E147" s="82">
        <v>0</v>
      </c>
      <c r="F147" s="81">
        <v>0</v>
      </c>
      <c r="G147" s="82">
        <v>0</v>
      </c>
      <c r="H147" s="83">
        <v>0</v>
      </c>
      <c r="I147" s="85">
        <v>185</v>
      </c>
      <c r="J147" s="84">
        <v>0</v>
      </c>
      <c r="K147" s="18" t="s">
        <v>16</v>
      </c>
      <c r="L147" s="19">
        <v>0</v>
      </c>
      <c r="M147" s="24">
        <v>0</v>
      </c>
    </row>
    <row r="148" spans="1:13" ht="24.6" x14ac:dyDescent="0.65">
      <c r="A148" s="10">
        <v>144</v>
      </c>
      <c r="B148" s="20" t="s">
        <v>160</v>
      </c>
      <c r="C148" s="80">
        <v>0</v>
      </c>
      <c r="D148" s="81">
        <v>0</v>
      </c>
      <c r="E148" s="82">
        <v>0</v>
      </c>
      <c r="F148" s="81">
        <v>0</v>
      </c>
      <c r="G148" s="82">
        <v>0</v>
      </c>
      <c r="H148" s="83">
        <v>0</v>
      </c>
      <c r="I148" s="85">
        <v>185</v>
      </c>
      <c r="J148" s="84">
        <v>0</v>
      </c>
      <c r="K148" s="18" t="s">
        <v>16</v>
      </c>
      <c r="L148" s="19">
        <v>0</v>
      </c>
      <c r="M148" s="24">
        <v>0</v>
      </c>
    </row>
    <row r="149" spans="1:13" ht="24.6" x14ac:dyDescent="0.65">
      <c r="A149" s="10">
        <v>145</v>
      </c>
      <c r="B149" s="20" t="s">
        <v>161</v>
      </c>
      <c r="C149" s="80">
        <v>0</v>
      </c>
      <c r="D149" s="81">
        <v>0</v>
      </c>
      <c r="E149" s="82">
        <v>0</v>
      </c>
      <c r="F149" s="81">
        <v>0</v>
      </c>
      <c r="G149" s="82">
        <v>0</v>
      </c>
      <c r="H149" s="83">
        <v>0</v>
      </c>
      <c r="I149" s="85">
        <v>185</v>
      </c>
      <c r="J149" s="84">
        <v>0</v>
      </c>
      <c r="K149" s="18" t="s">
        <v>16</v>
      </c>
      <c r="L149" s="19">
        <v>0</v>
      </c>
      <c r="M149" s="24">
        <v>0</v>
      </c>
    </row>
    <row r="150" spans="1:13" ht="24.6" x14ac:dyDescent="0.65">
      <c r="A150" s="10">
        <v>146</v>
      </c>
      <c r="B150" s="20" t="s">
        <v>162</v>
      </c>
      <c r="C150" s="80">
        <v>5</v>
      </c>
      <c r="D150" s="81">
        <v>0</v>
      </c>
      <c r="E150" s="82">
        <v>5</v>
      </c>
      <c r="F150" s="81">
        <v>0</v>
      </c>
      <c r="G150" s="82">
        <v>5</v>
      </c>
      <c r="H150" s="83">
        <v>0</v>
      </c>
      <c r="I150" s="85">
        <v>120</v>
      </c>
      <c r="J150" s="84">
        <v>0</v>
      </c>
      <c r="K150" s="18" t="s">
        <v>16</v>
      </c>
      <c r="L150" s="19">
        <v>0</v>
      </c>
      <c r="M150" s="24">
        <v>0</v>
      </c>
    </row>
    <row r="151" spans="1:13" ht="24.6" x14ac:dyDescent="0.65">
      <c r="A151" s="10">
        <v>147</v>
      </c>
      <c r="B151" s="20" t="s">
        <v>163</v>
      </c>
      <c r="C151" s="80">
        <v>1</v>
      </c>
      <c r="D151" s="81">
        <v>5</v>
      </c>
      <c r="E151" s="82">
        <v>6</v>
      </c>
      <c r="F151" s="81">
        <v>0</v>
      </c>
      <c r="G151" s="82">
        <v>6</v>
      </c>
      <c r="H151" s="83">
        <v>0</v>
      </c>
      <c r="I151" s="85">
        <v>120</v>
      </c>
      <c r="J151" s="84">
        <v>0</v>
      </c>
      <c r="K151" s="18" t="s">
        <v>16</v>
      </c>
      <c r="L151" s="19">
        <v>0</v>
      </c>
      <c r="M151" s="24">
        <v>0</v>
      </c>
    </row>
    <row r="152" spans="1:13" ht="24.6" x14ac:dyDescent="0.65">
      <c r="A152" s="10">
        <v>148</v>
      </c>
      <c r="B152" s="20" t="s">
        <v>164</v>
      </c>
      <c r="C152" s="80">
        <v>4</v>
      </c>
      <c r="D152" s="81">
        <v>0</v>
      </c>
      <c r="E152" s="82">
        <v>4</v>
      </c>
      <c r="F152" s="81">
        <v>0</v>
      </c>
      <c r="G152" s="82">
        <v>4</v>
      </c>
      <c r="H152" s="83">
        <v>0</v>
      </c>
      <c r="I152" s="85">
        <v>120</v>
      </c>
      <c r="J152" s="84">
        <v>0</v>
      </c>
      <c r="K152" s="18" t="s">
        <v>16</v>
      </c>
      <c r="L152" s="19">
        <v>0</v>
      </c>
      <c r="M152" s="24">
        <v>0</v>
      </c>
    </row>
    <row r="153" spans="1:13" ht="24.6" x14ac:dyDescent="0.65">
      <c r="A153" s="10">
        <v>149</v>
      </c>
      <c r="B153" s="20" t="s">
        <v>165</v>
      </c>
      <c r="C153" s="80">
        <v>0</v>
      </c>
      <c r="D153" s="81">
        <v>0</v>
      </c>
      <c r="E153" s="82">
        <v>0</v>
      </c>
      <c r="F153" s="81">
        <v>0</v>
      </c>
      <c r="G153" s="82">
        <v>0</v>
      </c>
      <c r="H153" s="83">
        <v>0</v>
      </c>
      <c r="I153" s="85">
        <v>120</v>
      </c>
      <c r="J153" s="84">
        <v>0</v>
      </c>
      <c r="K153" s="18" t="s">
        <v>16</v>
      </c>
      <c r="L153" s="19">
        <v>0</v>
      </c>
      <c r="M153" s="24">
        <v>0</v>
      </c>
    </row>
    <row r="154" spans="1:13" ht="24.6" x14ac:dyDescent="0.65">
      <c r="A154" s="10">
        <v>150</v>
      </c>
      <c r="B154" s="20" t="s">
        <v>166</v>
      </c>
      <c r="C154" s="80">
        <v>0</v>
      </c>
      <c r="D154" s="81">
        <v>0</v>
      </c>
      <c r="E154" s="82">
        <v>0</v>
      </c>
      <c r="F154" s="81">
        <v>0</v>
      </c>
      <c r="G154" s="82">
        <v>0</v>
      </c>
      <c r="H154" s="83">
        <v>0</v>
      </c>
      <c r="I154" s="85">
        <v>185</v>
      </c>
      <c r="J154" s="84">
        <v>0</v>
      </c>
      <c r="K154" s="18" t="s">
        <v>16</v>
      </c>
      <c r="L154" s="19">
        <v>0</v>
      </c>
      <c r="M154" s="24">
        <v>0</v>
      </c>
    </row>
    <row r="155" spans="1:13" ht="24.6" x14ac:dyDescent="0.65">
      <c r="A155" s="10">
        <v>151</v>
      </c>
      <c r="B155" s="20" t="s">
        <v>167</v>
      </c>
      <c r="C155" s="80">
        <v>0</v>
      </c>
      <c r="D155" s="81">
        <v>0</v>
      </c>
      <c r="E155" s="82">
        <v>0</v>
      </c>
      <c r="F155" s="81">
        <v>0</v>
      </c>
      <c r="G155" s="82">
        <v>0</v>
      </c>
      <c r="H155" s="83">
        <v>0</v>
      </c>
      <c r="I155" s="85">
        <v>185</v>
      </c>
      <c r="J155" s="84">
        <v>0</v>
      </c>
      <c r="K155" s="18" t="s">
        <v>16</v>
      </c>
      <c r="L155" s="19">
        <v>0</v>
      </c>
      <c r="M155" s="24">
        <v>0</v>
      </c>
    </row>
    <row r="156" spans="1:13" ht="24.6" x14ac:dyDescent="0.65">
      <c r="A156" s="10">
        <v>152</v>
      </c>
      <c r="B156" s="20" t="s">
        <v>168</v>
      </c>
      <c r="C156" s="80">
        <v>0</v>
      </c>
      <c r="D156" s="81">
        <v>0</v>
      </c>
      <c r="E156" s="82">
        <v>0</v>
      </c>
      <c r="F156" s="81">
        <v>0</v>
      </c>
      <c r="G156" s="82">
        <v>0</v>
      </c>
      <c r="H156" s="83">
        <v>0</v>
      </c>
      <c r="I156" s="85">
        <v>185</v>
      </c>
      <c r="J156" s="84">
        <v>0</v>
      </c>
      <c r="K156" s="18" t="s">
        <v>16</v>
      </c>
      <c r="L156" s="19">
        <v>0</v>
      </c>
      <c r="M156" s="24">
        <v>0</v>
      </c>
    </row>
    <row r="157" spans="1:13" ht="24.6" x14ac:dyDescent="0.65">
      <c r="A157" s="10">
        <v>153</v>
      </c>
      <c r="B157" s="20" t="s">
        <v>169</v>
      </c>
      <c r="C157" s="80">
        <v>0</v>
      </c>
      <c r="D157" s="81">
        <v>0</v>
      </c>
      <c r="E157" s="82">
        <v>0</v>
      </c>
      <c r="F157" s="81">
        <v>0</v>
      </c>
      <c r="G157" s="82">
        <v>0</v>
      </c>
      <c r="H157" s="83">
        <v>0</v>
      </c>
      <c r="I157" s="85">
        <v>185</v>
      </c>
      <c r="J157" s="84">
        <v>0</v>
      </c>
      <c r="K157" s="18" t="s">
        <v>16</v>
      </c>
      <c r="L157" s="19">
        <v>0</v>
      </c>
      <c r="M157" s="24">
        <v>0</v>
      </c>
    </row>
    <row r="158" spans="1:13" ht="24.6" x14ac:dyDescent="0.65">
      <c r="A158" s="10">
        <v>154</v>
      </c>
      <c r="B158" s="20" t="s">
        <v>170</v>
      </c>
      <c r="C158" s="80">
        <v>0</v>
      </c>
      <c r="D158" s="81">
        <v>0</v>
      </c>
      <c r="E158" s="82">
        <v>0</v>
      </c>
      <c r="F158" s="81">
        <v>0</v>
      </c>
      <c r="G158" s="82">
        <v>0</v>
      </c>
      <c r="H158" s="83">
        <v>0</v>
      </c>
      <c r="I158" s="85">
        <v>135</v>
      </c>
      <c r="J158" s="84">
        <v>0</v>
      </c>
      <c r="K158" s="18" t="s">
        <v>16</v>
      </c>
      <c r="L158" s="19">
        <v>0</v>
      </c>
      <c r="M158" s="24">
        <v>0</v>
      </c>
    </row>
    <row r="159" spans="1:13" ht="24.6" x14ac:dyDescent="0.65">
      <c r="A159" s="10">
        <v>155</v>
      </c>
      <c r="B159" s="20" t="s">
        <v>171</v>
      </c>
      <c r="C159" s="80">
        <v>0</v>
      </c>
      <c r="D159" s="81">
        <v>0</v>
      </c>
      <c r="E159" s="82">
        <v>0</v>
      </c>
      <c r="F159" s="81">
        <v>0</v>
      </c>
      <c r="G159" s="82">
        <v>0</v>
      </c>
      <c r="H159" s="83">
        <v>0</v>
      </c>
      <c r="I159" s="85">
        <v>90</v>
      </c>
      <c r="J159" s="84">
        <v>0</v>
      </c>
      <c r="K159" s="18" t="s">
        <v>16</v>
      </c>
      <c r="L159" s="19">
        <v>0</v>
      </c>
      <c r="M159" s="24">
        <v>0</v>
      </c>
    </row>
    <row r="160" spans="1:13" ht="24.6" x14ac:dyDescent="0.65">
      <c r="A160" s="10">
        <v>156</v>
      </c>
      <c r="B160" s="20" t="s">
        <v>172</v>
      </c>
      <c r="C160" s="80">
        <v>0</v>
      </c>
      <c r="D160" s="81">
        <v>0</v>
      </c>
      <c r="E160" s="82">
        <v>0</v>
      </c>
      <c r="F160" s="81">
        <v>0</v>
      </c>
      <c r="G160" s="82">
        <v>0</v>
      </c>
      <c r="H160" s="83">
        <v>0</v>
      </c>
      <c r="I160" s="85">
        <v>90</v>
      </c>
      <c r="J160" s="84">
        <v>0</v>
      </c>
      <c r="K160" s="18" t="s">
        <v>16</v>
      </c>
      <c r="L160" s="19">
        <v>0</v>
      </c>
      <c r="M160" s="24">
        <v>0</v>
      </c>
    </row>
    <row r="161" spans="1:13" ht="24.6" x14ac:dyDescent="0.65">
      <c r="A161" s="10">
        <v>157</v>
      </c>
      <c r="B161" s="20" t="s">
        <v>173</v>
      </c>
      <c r="C161" s="80">
        <v>2</v>
      </c>
      <c r="D161" s="81">
        <v>0</v>
      </c>
      <c r="E161" s="82">
        <v>2</v>
      </c>
      <c r="F161" s="81">
        <v>0</v>
      </c>
      <c r="G161" s="82">
        <v>2</v>
      </c>
      <c r="H161" s="83">
        <v>0</v>
      </c>
      <c r="I161" s="85">
        <v>90</v>
      </c>
      <c r="J161" s="84">
        <v>0</v>
      </c>
      <c r="K161" s="18" t="s">
        <v>16</v>
      </c>
      <c r="L161" s="19">
        <v>0</v>
      </c>
      <c r="M161" s="24">
        <v>0</v>
      </c>
    </row>
    <row r="162" spans="1:13" ht="24.6" x14ac:dyDescent="0.65">
      <c r="A162" s="10">
        <v>158</v>
      </c>
      <c r="B162" s="20" t="s">
        <v>174</v>
      </c>
      <c r="C162" s="80">
        <v>0</v>
      </c>
      <c r="D162" s="81">
        <v>0</v>
      </c>
      <c r="E162" s="82">
        <v>0</v>
      </c>
      <c r="F162" s="81">
        <v>0</v>
      </c>
      <c r="G162" s="82">
        <v>0</v>
      </c>
      <c r="H162" s="83">
        <v>0</v>
      </c>
      <c r="I162" s="85">
        <v>90</v>
      </c>
      <c r="J162" s="84">
        <v>0</v>
      </c>
      <c r="K162" s="18" t="s">
        <v>16</v>
      </c>
      <c r="L162" s="19">
        <v>0</v>
      </c>
      <c r="M162" s="24">
        <v>0</v>
      </c>
    </row>
    <row r="163" spans="1:13" ht="24.6" x14ac:dyDescent="0.65">
      <c r="A163" s="10">
        <v>159</v>
      </c>
      <c r="B163" s="20" t="s">
        <v>175</v>
      </c>
      <c r="C163" s="80">
        <v>0</v>
      </c>
      <c r="D163" s="81">
        <v>0</v>
      </c>
      <c r="E163" s="82">
        <v>0</v>
      </c>
      <c r="F163" s="81">
        <v>0</v>
      </c>
      <c r="G163" s="82">
        <v>0</v>
      </c>
      <c r="H163" s="83">
        <v>0</v>
      </c>
      <c r="I163" s="85">
        <v>25</v>
      </c>
      <c r="J163" s="84">
        <v>0</v>
      </c>
      <c r="K163" s="18" t="s">
        <v>16</v>
      </c>
      <c r="L163" s="19">
        <v>0</v>
      </c>
      <c r="M163" s="24">
        <v>0</v>
      </c>
    </row>
    <row r="164" spans="1:13" ht="24.6" x14ac:dyDescent="0.65">
      <c r="A164" s="10">
        <v>160</v>
      </c>
      <c r="B164" s="20" t="s">
        <v>176</v>
      </c>
      <c r="C164" s="80">
        <v>4</v>
      </c>
      <c r="D164" s="81">
        <v>0</v>
      </c>
      <c r="E164" s="82">
        <v>4</v>
      </c>
      <c r="F164" s="81">
        <v>0</v>
      </c>
      <c r="G164" s="80">
        <v>0</v>
      </c>
      <c r="H164" s="83">
        <v>4</v>
      </c>
      <c r="I164" s="85">
        <v>50</v>
      </c>
      <c r="J164" s="84">
        <v>200</v>
      </c>
      <c r="K164" s="18" t="s">
        <v>16</v>
      </c>
      <c r="L164" s="19">
        <v>0</v>
      </c>
      <c r="M164" s="24">
        <v>200</v>
      </c>
    </row>
    <row r="165" spans="1:13" ht="24.6" x14ac:dyDescent="0.65">
      <c r="A165" s="10">
        <v>161</v>
      </c>
      <c r="B165" s="20" t="s">
        <v>177</v>
      </c>
      <c r="C165" s="80">
        <v>0</v>
      </c>
      <c r="D165" s="81">
        <v>0</v>
      </c>
      <c r="E165" s="82">
        <v>0</v>
      </c>
      <c r="F165" s="81">
        <v>0</v>
      </c>
      <c r="G165" s="82">
        <v>0</v>
      </c>
      <c r="H165" s="83">
        <v>0</v>
      </c>
      <c r="I165" s="85">
        <v>50</v>
      </c>
      <c r="J165" s="84">
        <v>0</v>
      </c>
      <c r="K165" s="18" t="s">
        <v>16</v>
      </c>
      <c r="L165" s="19">
        <v>0</v>
      </c>
      <c r="M165" s="24">
        <v>0</v>
      </c>
    </row>
    <row r="166" spans="1:13" ht="24.6" x14ac:dyDescent="0.65">
      <c r="A166" s="10">
        <v>162</v>
      </c>
      <c r="B166" s="20" t="s">
        <v>178</v>
      </c>
      <c r="C166" s="80">
        <v>2</v>
      </c>
      <c r="D166" s="81">
        <v>0</v>
      </c>
      <c r="E166" s="82">
        <v>2</v>
      </c>
      <c r="F166" s="81">
        <v>0</v>
      </c>
      <c r="G166" s="82">
        <v>2</v>
      </c>
      <c r="H166" s="83">
        <v>0</v>
      </c>
      <c r="I166" s="85">
        <v>50</v>
      </c>
      <c r="J166" s="84">
        <v>0</v>
      </c>
      <c r="K166" s="18" t="s">
        <v>16</v>
      </c>
      <c r="L166" s="19">
        <v>0</v>
      </c>
      <c r="M166" s="24">
        <v>0</v>
      </c>
    </row>
    <row r="167" spans="1:13" ht="24.6" x14ac:dyDescent="0.65">
      <c r="A167" s="10">
        <v>163</v>
      </c>
      <c r="B167" s="20" t="s">
        <v>179</v>
      </c>
      <c r="C167" s="80">
        <v>6</v>
      </c>
      <c r="D167" s="81">
        <v>0</v>
      </c>
      <c r="E167" s="82">
        <v>6</v>
      </c>
      <c r="F167" s="81">
        <v>0</v>
      </c>
      <c r="G167" s="82">
        <v>5</v>
      </c>
      <c r="H167" s="83">
        <v>1</v>
      </c>
      <c r="I167" s="85">
        <v>50</v>
      </c>
      <c r="J167" s="84">
        <v>50</v>
      </c>
      <c r="K167" s="18" t="s">
        <v>16</v>
      </c>
      <c r="L167" s="19">
        <v>0</v>
      </c>
      <c r="M167" s="24">
        <v>50</v>
      </c>
    </row>
    <row r="168" spans="1:13" ht="24.6" x14ac:dyDescent="0.65">
      <c r="A168" s="10">
        <v>164</v>
      </c>
      <c r="B168" s="20" t="s">
        <v>180</v>
      </c>
      <c r="C168" s="80">
        <v>38</v>
      </c>
      <c r="D168" s="81">
        <v>0</v>
      </c>
      <c r="E168" s="82">
        <v>38</v>
      </c>
      <c r="F168" s="81">
        <v>0</v>
      </c>
      <c r="G168" s="82">
        <v>38</v>
      </c>
      <c r="H168" s="83">
        <v>0</v>
      </c>
      <c r="I168" s="85">
        <v>55</v>
      </c>
      <c r="J168" s="84">
        <v>0</v>
      </c>
      <c r="K168" s="18" t="s">
        <v>16</v>
      </c>
      <c r="L168" s="19">
        <v>0</v>
      </c>
      <c r="M168" s="24">
        <v>0</v>
      </c>
    </row>
    <row r="169" spans="1:13" ht="24.6" x14ac:dyDescent="0.65">
      <c r="A169" s="10">
        <v>165</v>
      </c>
      <c r="B169" s="20" t="s">
        <v>181</v>
      </c>
      <c r="C169" s="80">
        <v>0</v>
      </c>
      <c r="D169" s="81">
        <v>0</v>
      </c>
      <c r="E169" s="82">
        <v>0</v>
      </c>
      <c r="F169" s="81">
        <v>0</v>
      </c>
      <c r="G169" s="82">
        <v>0</v>
      </c>
      <c r="H169" s="83">
        <v>0</v>
      </c>
      <c r="I169" s="85">
        <v>85</v>
      </c>
      <c r="J169" s="84">
        <v>0</v>
      </c>
      <c r="K169" s="18" t="s">
        <v>16</v>
      </c>
      <c r="L169" s="19">
        <v>0</v>
      </c>
      <c r="M169" s="24">
        <v>0</v>
      </c>
    </row>
    <row r="170" spans="1:13" ht="24.6" x14ac:dyDescent="0.65">
      <c r="A170" s="10">
        <v>166</v>
      </c>
      <c r="B170" s="20" t="s">
        <v>182</v>
      </c>
      <c r="C170" s="80">
        <v>0</v>
      </c>
      <c r="D170" s="81">
        <v>0</v>
      </c>
      <c r="E170" s="82">
        <v>0</v>
      </c>
      <c r="F170" s="81">
        <v>0</v>
      </c>
      <c r="G170" s="82">
        <v>0</v>
      </c>
      <c r="H170" s="83">
        <v>0</v>
      </c>
      <c r="I170" s="85">
        <v>80</v>
      </c>
      <c r="J170" s="84">
        <v>0</v>
      </c>
      <c r="K170" s="18" t="s">
        <v>16</v>
      </c>
      <c r="L170" s="19">
        <v>0</v>
      </c>
      <c r="M170" s="24">
        <v>0</v>
      </c>
    </row>
    <row r="171" spans="1:13" ht="24.6" x14ac:dyDescent="0.65">
      <c r="A171" s="10">
        <v>167</v>
      </c>
      <c r="B171" s="20" t="s">
        <v>183</v>
      </c>
      <c r="C171" s="80">
        <v>0</v>
      </c>
      <c r="D171" s="81">
        <v>0</v>
      </c>
      <c r="E171" s="82">
        <v>0</v>
      </c>
      <c r="F171" s="81">
        <v>0</v>
      </c>
      <c r="G171" s="82">
        <v>0</v>
      </c>
      <c r="H171" s="83">
        <v>0</v>
      </c>
      <c r="I171" s="85">
        <v>40</v>
      </c>
      <c r="J171" s="84">
        <v>0</v>
      </c>
      <c r="K171" s="18" t="s">
        <v>16</v>
      </c>
      <c r="L171" s="19">
        <v>0</v>
      </c>
      <c r="M171" s="24">
        <v>0</v>
      </c>
    </row>
    <row r="172" spans="1:13" ht="24.6" x14ac:dyDescent="0.65">
      <c r="A172" s="10">
        <v>168</v>
      </c>
      <c r="B172" s="20" t="s">
        <v>184</v>
      </c>
      <c r="C172" s="80">
        <v>0</v>
      </c>
      <c r="D172" s="81">
        <v>0</v>
      </c>
      <c r="E172" s="82">
        <v>0</v>
      </c>
      <c r="F172" s="81">
        <v>0</v>
      </c>
      <c r="G172" s="82">
        <v>0</v>
      </c>
      <c r="H172" s="83">
        <v>0</v>
      </c>
      <c r="I172" s="85">
        <v>120</v>
      </c>
      <c r="J172" s="84">
        <v>0</v>
      </c>
      <c r="K172" s="18" t="s">
        <v>16</v>
      </c>
      <c r="L172" s="19">
        <v>0</v>
      </c>
      <c r="M172" s="24">
        <v>0</v>
      </c>
    </row>
    <row r="173" spans="1:13" ht="24.6" x14ac:dyDescent="0.65">
      <c r="A173" s="10">
        <v>169</v>
      </c>
      <c r="B173" s="20" t="s">
        <v>185</v>
      </c>
      <c r="C173" s="80">
        <v>0</v>
      </c>
      <c r="D173" s="81">
        <v>0</v>
      </c>
      <c r="E173" s="82">
        <v>0</v>
      </c>
      <c r="F173" s="81">
        <v>0</v>
      </c>
      <c r="G173" s="82">
        <v>0</v>
      </c>
      <c r="H173" s="83">
        <v>0</v>
      </c>
      <c r="I173" s="85">
        <v>120</v>
      </c>
      <c r="J173" s="84">
        <v>0</v>
      </c>
      <c r="K173" s="18" t="s">
        <v>16</v>
      </c>
      <c r="L173" s="19">
        <v>0</v>
      </c>
      <c r="M173" s="24">
        <v>0</v>
      </c>
    </row>
    <row r="174" spans="1:13" ht="24.6" x14ac:dyDescent="0.65">
      <c r="A174" s="10">
        <v>170</v>
      </c>
      <c r="B174" s="20" t="s">
        <v>186</v>
      </c>
      <c r="C174" s="80">
        <v>0</v>
      </c>
      <c r="D174" s="81">
        <v>0</v>
      </c>
      <c r="E174" s="82">
        <v>0</v>
      </c>
      <c r="F174" s="81">
        <v>0</v>
      </c>
      <c r="G174" s="82">
        <v>0</v>
      </c>
      <c r="H174" s="83">
        <v>0</v>
      </c>
      <c r="I174" s="85">
        <v>55</v>
      </c>
      <c r="J174" s="84">
        <v>0</v>
      </c>
      <c r="K174" s="18" t="s">
        <v>16</v>
      </c>
      <c r="L174" s="19">
        <v>0</v>
      </c>
      <c r="M174" s="24">
        <v>0</v>
      </c>
    </row>
    <row r="175" spans="1:13" ht="24.6" x14ac:dyDescent="0.65">
      <c r="A175" s="10">
        <v>171</v>
      </c>
      <c r="B175" s="20" t="s">
        <v>187</v>
      </c>
      <c r="C175" s="80">
        <v>0</v>
      </c>
      <c r="D175" s="81">
        <v>0</v>
      </c>
      <c r="E175" s="82">
        <v>0</v>
      </c>
      <c r="F175" s="81">
        <v>0</v>
      </c>
      <c r="G175" s="82">
        <v>0</v>
      </c>
      <c r="H175" s="83">
        <v>0</v>
      </c>
      <c r="I175" s="85">
        <v>50</v>
      </c>
      <c r="J175" s="84">
        <v>0</v>
      </c>
      <c r="K175" s="18" t="s">
        <v>16</v>
      </c>
      <c r="L175" s="19">
        <v>0</v>
      </c>
      <c r="M175" s="24">
        <v>0</v>
      </c>
    </row>
    <row r="176" spans="1:13" ht="24.6" x14ac:dyDescent="0.65">
      <c r="A176" s="10">
        <v>172</v>
      </c>
      <c r="B176" s="20" t="s">
        <v>188</v>
      </c>
      <c r="C176" s="80">
        <v>0</v>
      </c>
      <c r="D176" s="81">
        <v>0</v>
      </c>
      <c r="E176" s="82">
        <v>0</v>
      </c>
      <c r="F176" s="81">
        <v>0</v>
      </c>
      <c r="G176" s="82">
        <v>0</v>
      </c>
      <c r="H176" s="83">
        <v>0</v>
      </c>
      <c r="I176" s="85">
        <v>50</v>
      </c>
      <c r="J176" s="84">
        <v>0</v>
      </c>
      <c r="K176" s="18" t="s">
        <v>16</v>
      </c>
      <c r="L176" s="19">
        <v>0</v>
      </c>
      <c r="M176" s="24">
        <v>0</v>
      </c>
    </row>
    <row r="177" spans="1:13" ht="24.6" x14ac:dyDescent="0.65">
      <c r="A177" s="10">
        <v>173</v>
      </c>
      <c r="B177" s="20" t="s">
        <v>189</v>
      </c>
      <c r="C177" s="80">
        <v>0</v>
      </c>
      <c r="D177" s="81">
        <v>0</v>
      </c>
      <c r="E177" s="82">
        <v>0</v>
      </c>
      <c r="F177" s="81">
        <v>0</v>
      </c>
      <c r="G177" s="82">
        <v>0</v>
      </c>
      <c r="H177" s="83">
        <v>0</v>
      </c>
      <c r="I177" s="85">
        <v>120</v>
      </c>
      <c r="J177" s="84">
        <v>0</v>
      </c>
      <c r="K177" s="18" t="s">
        <v>16</v>
      </c>
      <c r="L177" s="19">
        <v>0</v>
      </c>
      <c r="M177" s="24">
        <v>0</v>
      </c>
    </row>
    <row r="178" spans="1:13" ht="24.6" x14ac:dyDescent="0.65">
      <c r="A178" s="10">
        <v>174</v>
      </c>
      <c r="B178" s="20" t="s">
        <v>190</v>
      </c>
      <c r="C178" s="80">
        <v>9</v>
      </c>
      <c r="D178" s="81">
        <v>0</v>
      </c>
      <c r="E178" s="82">
        <v>9</v>
      </c>
      <c r="F178" s="81">
        <v>0</v>
      </c>
      <c r="G178" s="80">
        <v>8</v>
      </c>
      <c r="H178" s="83">
        <v>1</v>
      </c>
      <c r="I178" s="85">
        <v>120</v>
      </c>
      <c r="J178" s="84">
        <v>120</v>
      </c>
      <c r="K178" s="18" t="s">
        <v>16</v>
      </c>
      <c r="L178" s="19">
        <v>0</v>
      </c>
      <c r="M178" s="24">
        <v>120</v>
      </c>
    </row>
    <row r="179" spans="1:13" ht="24.6" x14ac:dyDescent="0.65">
      <c r="A179" s="10">
        <v>175</v>
      </c>
      <c r="B179" s="20" t="s">
        <v>191</v>
      </c>
      <c r="C179" s="80">
        <v>0</v>
      </c>
      <c r="D179" s="81">
        <v>0</v>
      </c>
      <c r="E179" s="82">
        <v>0</v>
      </c>
      <c r="F179" s="81">
        <v>0</v>
      </c>
      <c r="G179" s="82">
        <v>0</v>
      </c>
      <c r="H179" s="83">
        <v>0</v>
      </c>
      <c r="I179" s="85">
        <v>10</v>
      </c>
      <c r="J179" s="84">
        <v>0</v>
      </c>
      <c r="K179" s="18" t="s">
        <v>16</v>
      </c>
      <c r="L179" s="19">
        <v>0</v>
      </c>
      <c r="M179" s="24">
        <v>0</v>
      </c>
    </row>
    <row r="180" spans="1:13" ht="24.6" x14ac:dyDescent="0.65">
      <c r="A180" s="10">
        <v>176</v>
      </c>
      <c r="B180" s="20" t="s">
        <v>192</v>
      </c>
      <c r="C180" s="80">
        <v>0</v>
      </c>
      <c r="D180" s="81">
        <v>0</v>
      </c>
      <c r="E180" s="82">
        <v>0</v>
      </c>
      <c r="F180" s="81">
        <v>0</v>
      </c>
      <c r="G180" s="82">
        <v>0</v>
      </c>
      <c r="H180" s="83">
        <v>0</v>
      </c>
      <c r="I180" s="85">
        <v>35</v>
      </c>
      <c r="J180" s="84">
        <v>0</v>
      </c>
      <c r="K180" s="18" t="s">
        <v>16</v>
      </c>
      <c r="L180" s="19">
        <v>0</v>
      </c>
      <c r="M180" s="24">
        <v>0</v>
      </c>
    </row>
    <row r="181" spans="1:13" ht="24.6" x14ac:dyDescent="0.65">
      <c r="A181" s="10">
        <v>177</v>
      </c>
      <c r="B181" s="20" t="s">
        <v>193</v>
      </c>
      <c r="C181" s="80">
        <v>0</v>
      </c>
      <c r="D181" s="81">
        <v>0</v>
      </c>
      <c r="E181" s="82">
        <v>0</v>
      </c>
      <c r="F181" s="81">
        <v>0</v>
      </c>
      <c r="G181" s="82">
        <v>0</v>
      </c>
      <c r="H181" s="83">
        <v>0</v>
      </c>
      <c r="I181" s="85">
        <v>10</v>
      </c>
      <c r="J181" s="84">
        <v>0</v>
      </c>
      <c r="K181" s="18" t="s">
        <v>16</v>
      </c>
      <c r="L181" s="19">
        <v>0</v>
      </c>
      <c r="M181" s="24">
        <v>0</v>
      </c>
    </row>
    <row r="182" spans="1:13" ht="24.6" x14ac:dyDescent="0.65">
      <c r="A182" s="10">
        <v>178</v>
      </c>
      <c r="B182" s="20" t="s">
        <v>194</v>
      </c>
      <c r="C182" s="80">
        <v>0</v>
      </c>
      <c r="D182" s="81">
        <v>0</v>
      </c>
      <c r="E182" s="82">
        <v>0</v>
      </c>
      <c r="F182" s="81">
        <v>0</v>
      </c>
      <c r="G182" s="82">
        <v>0</v>
      </c>
      <c r="H182" s="83">
        <v>0</v>
      </c>
      <c r="I182" s="85">
        <v>10</v>
      </c>
      <c r="J182" s="84">
        <v>0</v>
      </c>
      <c r="K182" s="18" t="s">
        <v>16</v>
      </c>
      <c r="L182" s="19">
        <v>0</v>
      </c>
      <c r="M182" s="24">
        <v>0</v>
      </c>
    </row>
    <row r="183" spans="1:13" ht="24.6" x14ac:dyDescent="0.65">
      <c r="A183" s="10">
        <v>179</v>
      </c>
      <c r="B183" s="20" t="s">
        <v>195</v>
      </c>
      <c r="C183" s="80">
        <v>0</v>
      </c>
      <c r="D183" s="81">
        <v>0</v>
      </c>
      <c r="E183" s="82">
        <v>0</v>
      </c>
      <c r="F183" s="81">
        <v>0</v>
      </c>
      <c r="G183" s="82">
        <v>0</v>
      </c>
      <c r="H183" s="83">
        <v>0</v>
      </c>
      <c r="I183" s="85">
        <v>10</v>
      </c>
      <c r="J183" s="84">
        <v>0</v>
      </c>
      <c r="K183" s="18" t="s">
        <v>16</v>
      </c>
      <c r="L183" s="19">
        <v>0</v>
      </c>
      <c r="M183" s="24">
        <v>0</v>
      </c>
    </row>
    <row r="184" spans="1:13" ht="24.6" x14ac:dyDescent="0.65">
      <c r="A184" s="10">
        <v>180</v>
      </c>
      <c r="B184" s="20" t="s">
        <v>196</v>
      </c>
      <c r="C184" s="80">
        <v>0</v>
      </c>
      <c r="D184" s="81">
        <v>0</v>
      </c>
      <c r="E184" s="82">
        <v>0</v>
      </c>
      <c r="F184" s="81">
        <v>0</v>
      </c>
      <c r="G184" s="82">
        <v>0</v>
      </c>
      <c r="H184" s="83">
        <v>0</v>
      </c>
      <c r="I184" s="85">
        <v>10</v>
      </c>
      <c r="J184" s="84">
        <v>0</v>
      </c>
      <c r="K184" s="18" t="s">
        <v>16</v>
      </c>
      <c r="L184" s="19">
        <v>0</v>
      </c>
      <c r="M184" s="24">
        <v>0</v>
      </c>
    </row>
    <row r="185" spans="1:13" ht="24.6" x14ac:dyDescent="0.65">
      <c r="A185" s="10">
        <v>181</v>
      </c>
      <c r="B185" s="20" t="s">
        <v>197</v>
      </c>
      <c r="C185" s="80">
        <v>0</v>
      </c>
      <c r="D185" s="81">
        <v>0</v>
      </c>
      <c r="E185" s="82">
        <v>0</v>
      </c>
      <c r="F185" s="81">
        <v>0</v>
      </c>
      <c r="G185" s="82">
        <v>0</v>
      </c>
      <c r="H185" s="83">
        <v>0</v>
      </c>
      <c r="I185" s="85">
        <v>10</v>
      </c>
      <c r="J185" s="84">
        <v>0</v>
      </c>
      <c r="K185" s="18" t="s">
        <v>16</v>
      </c>
      <c r="L185" s="19">
        <v>0</v>
      </c>
      <c r="M185" s="24">
        <v>0</v>
      </c>
    </row>
    <row r="186" spans="1:13" ht="24.6" x14ac:dyDescent="0.65">
      <c r="A186" s="10">
        <v>182</v>
      </c>
      <c r="B186" s="20" t="s">
        <v>198</v>
      </c>
      <c r="C186" s="80">
        <v>0</v>
      </c>
      <c r="D186" s="81">
        <v>0</v>
      </c>
      <c r="E186" s="82">
        <v>0</v>
      </c>
      <c r="F186" s="81">
        <v>0</v>
      </c>
      <c r="G186" s="82">
        <v>0</v>
      </c>
      <c r="H186" s="83">
        <v>0</v>
      </c>
      <c r="I186" s="85">
        <v>25</v>
      </c>
      <c r="J186" s="84">
        <v>0</v>
      </c>
      <c r="K186" s="18" t="s">
        <v>16</v>
      </c>
      <c r="L186" s="19">
        <v>0</v>
      </c>
      <c r="M186" s="24">
        <v>0</v>
      </c>
    </row>
    <row r="187" spans="1:13" ht="24.6" x14ac:dyDescent="0.65">
      <c r="A187" s="10">
        <v>183</v>
      </c>
      <c r="B187" s="20" t="s">
        <v>199</v>
      </c>
      <c r="C187" s="80">
        <v>0</v>
      </c>
      <c r="D187" s="81">
        <v>0</v>
      </c>
      <c r="E187" s="82">
        <v>0</v>
      </c>
      <c r="F187" s="81">
        <v>0</v>
      </c>
      <c r="G187" s="82">
        <v>0</v>
      </c>
      <c r="H187" s="83">
        <v>0</v>
      </c>
      <c r="I187" s="16">
        <v>55</v>
      </c>
      <c r="J187" s="84">
        <v>0</v>
      </c>
      <c r="K187" s="18" t="s">
        <v>16</v>
      </c>
      <c r="L187" s="19">
        <v>0</v>
      </c>
      <c r="M187" s="24">
        <v>0</v>
      </c>
    </row>
    <row r="188" spans="1:13" ht="24.6" x14ac:dyDescent="0.65">
      <c r="A188" s="10">
        <v>184</v>
      </c>
      <c r="B188" s="20" t="s">
        <v>200</v>
      </c>
      <c r="C188" s="80">
        <v>0</v>
      </c>
      <c r="D188" s="81">
        <v>0</v>
      </c>
      <c r="E188" s="82">
        <v>0</v>
      </c>
      <c r="F188" s="81">
        <v>0</v>
      </c>
      <c r="G188" s="82">
        <v>0</v>
      </c>
      <c r="H188" s="83">
        <v>0</v>
      </c>
      <c r="I188" s="16">
        <v>25</v>
      </c>
      <c r="J188" s="84">
        <v>0</v>
      </c>
      <c r="K188" s="18" t="s">
        <v>16</v>
      </c>
      <c r="L188" s="19">
        <v>0</v>
      </c>
      <c r="M188" s="24">
        <v>0</v>
      </c>
    </row>
    <row r="189" spans="1:13" ht="24.6" x14ac:dyDescent="0.65">
      <c r="A189" s="10">
        <v>185</v>
      </c>
      <c r="B189" s="20" t="s">
        <v>214</v>
      </c>
      <c r="C189" s="80">
        <v>0</v>
      </c>
      <c r="D189" s="81">
        <v>0</v>
      </c>
      <c r="E189" s="82">
        <v>0</v>
      </c>
      <c r="F189" s="81">
        <v>0</v>
      </c>
      <c r="G189" s="82">
        <v>0</v>
      </c>
      <c r="H189" s="83">
        <v>0</v>
      </c>
      <c r="I189" s="16">
        <v>60</v>
      </c>
      <c r="J189" s="84">
        <v>0</v>
      </c>
      <c r="K189" s="18" t="s">
        <v>16</v>
      </c>
      <c r="L189" s="19">
        <v>0</v>
      </c>
      <c r="M189" s="24">
        <v>0</v>
      </c>
    </row>
    <row r="190" spans="1:13" ht="24.6" x14ac:dyDescent="0.65">
      <c r="A190" s="10">
        <v>186</v>
      </c>
      <c r="B190" s="20" t="s">
        <v>215</v>
      </c>
      <c r="C190" s="80">
        <v>0</v>
      </c>
      <c r="D190" s="81">
        <v>0</v>
      </c>
      <c r="E190" s="82">
        <v>0</v>
      </c>
      <c r="F190" s="81">
        <v>0</v>
      </c>
      <c r="G190" s="82">
        <v>0</v>
      </c>
      <c r="H190" s="83">
        <v>0</v>
      </c>
      <c r="I190" s="16">
        <v>65</v>
      </c>
      <c r="J190" s="84">
        <v>0</v>
      </c>
      <c r="K190" s="18" t="s">
        <v>16</v>
      </c>
      <c r="L190" s="19">
        <v>0</v>
      </c>
      <c r="M190" s="24">
        <v>0</v>
      </c>
    </row>
    <row r="191" spans="1:13" ht="24.6" x14ac:dyDescent="0.65">
      <c r="A191" s="10">
        <v>187</v>
      </c>
      <c r="B191" s="20" t="s">
        <v>216</v>
      </c>
      <c r="C191" s="80">
        <v>0</v>
      </c>
      <c r="D191" s="81">
        <v>0</v>
      </c>
      <c r="E191" s="82">
        <v>0</v>
      </c>
      <c r="F191" s="81">
        <v>0</v>
      </c>
      <c r="G191" s="82">
        <v>0</v>
      </c>
      <c r="H191" s="83">
        <v>0</v>
      </c>
      <c r="I191" s="16">
        <v>65</v>
      </c>
      <c r="J191" s="84">
        <v>0</v>
      </c>
      <c r="K191" s="18" t="s">
        <v>16</v>
      </c>
      <c r="L191" s="19">
        <v>0</v>
      </c>
      <c r="M191" s="24">
        <v>0</v>
      </c>
    </row>
    <row r="192" spans="1:13" ht="24.6" x14ac:dyDescent="0.65">
      <c r="A192" s="10">
        <v>188</v>
      </c>
      <c r="B192" s="20" t="s">
        <v>244</v>
      </c>
      <c r="C192" s="80">
        <v>0</v>
      </c>
      <c r="D192" s="81">
        <v>0</v>
      </c>
      <c r="E192" s="82">
        <v>0</v>
      </c>
      <c r="F192" s="81">
        <v>0</v>
      </c>
      <c r="G192" s="82">
        <v>0</v>
      </c>
      <c r="H192" s="83">
        <v>0</v>
      </c>
      <c r="I192" s="16">
        <v>120</v>
      </c>
      <c r="J192" s="84">
        <v>0</v>
      </c>
      <c r="K192" s="18" t="s">
        <v>16</v>
      </c>
      <c r="L192" s="19">
        <v>0</v>
      </c>
      <c r="M192" s="24">
        <v>0</v>
      </c>
    </row>
    <row r="193" spans="1:14" ht="24.6" x14ac:dyDescent="0.65">
      <c r="A193" s="10">
        <v>189</v>
      </c>
      <c r="B193" s="20" t="s">
        <v>245</v>
      </c>
      <c r="C193" s="80">
        <v>0</v>
      </c>
      <c r="D193" s="81">
        <v>0</v>
      </c>
      <c r="E193" s="82">
        <v>0</v>
      </c>
      <c r="F193" s="81">
        <v>0</v>
      </c>
      <c r="G193" s="82">
        <v>0</v>
      </c>
      <c r="H193" s="83">
        <v>0</v>
      </c>
      <c r="I193" s="16">
        <v>20</v>
      </c>
      <c r="J193" s="84">
        <v>0</v>
      </c>
      <c r="K193" s="18" t="s">
        <v>16</v>
      </c>
      <c r="L193" s="19">
        <v>0</v>
      </c>
      <c r="M193" s="24">
        <v>0</v>
      </c>
      <c r="N193"/>
    </row>
    <row r="194" spans="1:14" ht="24.6" x14ac:dyDescent="0.65">
      <c r="A194" s="10">
        <v>190</v>
      </c>
      <c r="B194" s="20"/>
      <c r="C194" s="80">
        <v>0</v>
      </c>
      <c r="D194" s="81">
        <v>0</v>
      </c>
      <c r="E194" s="82">
        <v>0</v>
      </c>
      <c r="F194" s="81">
        <v>0</v>
      </c>
      <c r="G194" s="82">
        <v>0</v>
      </c>
      <c r="H194" s="83">
        <v>0</v>
      </c>
      <c r="I194" s="16">
        <v>0</v>
      </c>
      <c r="J194" s="84">
        <v>0</v>
      </c>
      <c r="K194" s="18" t="s">
        <v>16</v>
      </c>
      <c r="L194" s="19">
        <v>0</v>
      </c>
      <c r="M194" s="24">
        <v>0</v>
      </c>
      <c r="N194"/>
    </row>
    <row r="195" spans="1:14" ht="24.6" x14ac:dyDescent="0.65">
      <c r="A195" s="10">
        <v>191</v>
      </c>
      <c r="B195" s="20"/>
      <c r="C195" s="80">
        <v>0</v>
      </c>
      <c r="D195" s="81">
        <v>0</v>
      </c>
      <c r="E195" s="82">
        <v>0</v>
      </c>
      <c r="F195" s="81">
        <v>0</v>
      </c>
      <c r="G195" s="82">
        <v>0</v>
      </c>
      <c r="H195" s="83">
        <v>0</v>
      </c>
      <c r="I195" s="16">
        <v>0</v>
      </c>
      <c r="J195" s="84">
        <v>0</v>
      </c>
      <c r="K195" s="18" t="s">
        <v>16</v>
      </c>
      <c r="L195" s="19">
        <v>0</v>
      </c>
      <c r="M195" s="24">
        <v>0</v>
      </c>
      <c r="N195"/>
    </row>
    <row r="196" spans="1:14" ht="24.6" x14ac:dyDescent="0.65">
      <c r="A196" s="10">
        <v>192</v>
      </c>
      <c r="B196" s="20"/>
      <c r="C196" s="80">
        <v>0</v>
      </c>
      <c r="D196" s="81">
        <v>0</v>
      </c>
      <c r="E196" s="82">
        <v>0</v>
      </c>
      <c r="F196" s="81">
        <v>0</v>
      </c>
      <c r="G196" s="82">
        <v>0</v>
      </c>
      <c r="H196" s="83">
        <v>0</v>
      </c>
      <c r="I196" s="16">
        <v>0</v>
      </c>
      <c r="J196" s="84">
        <v>0</v>
      </c>
      <c r="K196" s="18" t="s">
        <v>16</v>
      </c>
      <c r="L196" s="19">
        <v>0</v>
      </c>
      <c r="M196" s="24">
        <v>0</v>
      </c>
      <c r="N196"/>
    </row>
    <row r="197" spans="1:14" ht="24.6" x14ac:dyDescent="0.65">
      <c r="A197" s="10">
        <v>193</v>
      </c>
      <c r="B197" s="20"/>
      <c r="C197" s="80">
        <v>0</v>
      </c>
      <c r="D197" s="81">
        <v>0</v>
      </c>
      <c r="E197" s="82">
        <v>0</v>
      </c>
      <c r="F197" s="81">
        <v>0</v>
      </c>
      <c r="G197" s="82">
        <v>0</v>
      </c>
      <c r="H197" s="83">
        <v>0</v>
      </c>
      <c r="I197" s="16">
        <v>0</v>
      </c>
      <c r="J197" s="84">
        <v>0</v>
      </c>
      <c r="K197" s="18" t="s">
        <v>16</v>
      </c>
      <c r="L197" s="19">
        <v>0</v>
      </c>
      <c r="M197" s="24">
        <v>0</v>
      </c>
      <c r="N197"/>
    </row>
    <row r="198" spans="1:14" ht="24.6" x14ac:dyDescent="0.65">
      <c r="A198" s="10">
        <v>194</v>
      </c>
      <c r="B198" s="20"/>
      <c r="C198" s="80">
        <v>0</v>
      </c>
      <c r="D198" s="81">
        <v>0</v>
      </c>
      <c r="E198" s="82">
        <v>0</v>
      </c>
      <c r="F198" s="81">
        <v>0</v>
      </c>
      <c r="G198" s="82">
        <v>0</v>
      </c>
      <c r="H198" s="83">
        <v>0</v>
      </c>
      <c r="I198" s="16">
        <v>0</v>
      </c>
      <c r="J198" s="84">
        <v>0</v>
      </c>
      <c r="K198" s="18" t="s">
        <v>16</v>
      </c>
      <c r="L198" s="19">
        <v>0</v>
      </c>
      <c r="M198" s="24">
        <v>0</v>
      </c>
      <c r="N198"/>
    </row>
    <row r="199" spans="1:14" ht="24.6" x14ac:dyDescent="0.65">
      <c r="A199" s="10">
        <v>195</v>
      </c>
      <c r="B199" s="20"/>
      <c r="C199" s="80">
        <v>0</v>
      </c>
      <c r="D199" s="81">
        <v>0</v>
      </c>
      <c r="E199" s="82">
        <v>0</v>
      </c>
      <c r="F199" s="81">
        <v>0</v>
      </c>
      <c r="G199" s="82">
        <v>0</v>
      </c>
      <c r="H199" s="83">
        <v>0</v>
      </c>
      <c r="I199" s="16">
        <v>0</v>
      </c>
      <c r="J199" s="84">
        <v>0</v>
      </c>
      <c r="K199" s="18" t="s">
        <v>16</v>
      </c>
      <c r="L199" s="19">
        <v>0</v>
      </c>
      <c r="M199" s="24">
        <v>0</v>
      </c>
      <c r="N199"/>
    </row>
    <row r="200" spans="1:14" ht="24.6" x14ac:dyDescent="0.65">
      <c r="A200" s="10">
        <v>196</v>
      </c>
      <c r="B200" s="20"/>
      <c r="C200" s="80">
        <v>0</v>
      </c>
      <c r="D200" s="81">
        <v>0</v>
      </c>
      <c r="E200" s="82">
        <v>0</v>
      </c>
      <c r="F200" s="81">
        <v>0</v>
      </c>
      <c r="G200" s="82">
        <v>0</v>
      </c>
      <c r="H200" s="83">
        <v>0</v>
      </c>
      <c r="I200" s="16">
        <v>0</v>
      </c>
      <c r="J200" s="84">
        <v>0</v>
      </c>
      <c r="K200" s="18" t="s">
        <v>16</v>
      </c>
      <c r="L200" s="19">
        <v>0</v>
      </c>
      <c r="M200" s="24">
        <v>0</v>
      </c>
      <c r="N200"/>
    </row>
    <row r="201" spans="1:14" ht="24.6" x14ac:dyDescent="0.65">
      <c r="A201" s="10">
        <v>197</v>
      </c>
      <c r="B201" s="20"/>
      <c r="C201" s="80">
        <v>0</v>
      </c>
      <c r="D201" s="81">
        <v>0</v>
      </c>
      <c r="E201" s="82">
        <v>0</v>
      </c>
      <c r="F201" s="81">
        <v>0</v>
      </c>
      <c r="G201" s="82">
        <v>0</v>
      </c>
      <c r="H201" s="83">
        <v>0</v>
      </c>
      <c r="I201" s="16">
        <v>0</v>
      </c>
      <c r="J201" s="84">
        <v>0</v>
      </c>
      <c r="K201" s="18" t="s">
        <v>16</v>
      </c>
      <c r="L201" s="19">
        <v>0</v>
      </c>
      <c r="M201" s="24">
        <v>0</v>
      </c>
      <c r="N201"/>
    </row>
    <row r="202" spans="1:14" ht="24.6" x14ac:dyDescent="0.65">
      <c r="A202" s="10">
        <v>198</v>
      </c>
      <c r="B202" s="20"/>
      <c r="C202" s="80">
        <v>0</v>
      </c>
      <c r="D202" s="81">
        <v>0</v>
      </c>
      <c r="E202" s="82">
        <v>0</v>
      </c>
      <c r="F202" s="81">
        <v>0</v>
      </c>
      <c r="G202" s="82">
        <v>0</v>
      </c>
      <c r="H202" s="83">
        <v>0</v>
      </c>
      <c r="I202" s="16">
        <v>0</v>
      </c>
      <c r="J202" s="84">
        <v>0</v>
      </c>
      <c r="K202" s="18" t="s">
        <v>16</v>
      </c>
      <c r="L202" s="19">
        <v>0</v>
      </c>
      <c r="M202" s="24">
        <v>0</v>
      </c>
      <c r="N202"/>
    </row>
    <row r="203" spans="1:14" ht="24.6" x14ac:dyDescent="0.65">
      <c r="A203" s="10">
        <v>199</v>
      </c>
      <c r="B203" s="20"/>
      <c r="C203" s="80">
        <v>0</v>
      </c>
      <c r="D203" s="81">
        <v>0</v>
      </c>
      <c r="E203" s="82">
        <v>0</v>
      </c>
      <c r="F203" s="81">
        <v>0</v>
      </c>
      <c r="G203" s="82">
        <v>0</v>
      </c>
      <c r="H203" s="83">
        <v>0</v>
      </c>
      <c r="I203" s="16">
        <v>0</v>
      </c>
      <c r="J203" s="84">
        <v>0</v>
      </c>
      <c r="K203" s="18" t="s">
        <v>16</v>
      </c>
      <c r="L203" s="19">
        <v>0</v>
      </c>
      <c r="M203" s="24">
        <v>0</v>
      </c>
      <c r="N203"/>
    </row>
    <row r="204" spans="1:14" ht="24.6" x14ac:dyDescent="0.65">
      <c r="A204" s="10">
        <v>200</v>
      </c>
      <c r="B204" s="20"/>
      <c r="C204" s="80">
        <v>0</v>
      </c>
      <c r="D204" s="81">
        <v>0</v>
      </c>
      <c r="E204" s="82">
        <v>0</v>
      </c>
      <c r="F204" s="81">
        <v>0</v>
      </c>
      <c r="G204" s="82">
        <v>0</v>
      </c>
      <c r="H204" s="83">
        <v>0</v>
      </c>
      <c r="I204" s="16">
        <v>0</v>
      </c>
      <c r="J204" s="84">
        <v>0</v>
      </c>
      <c r="K204" s="18" t="s">
        <v>16</v>
      </c>
      <c r="L204" s="19">
        <v>0</v>
      </c>
      <c r="M204" s="24">
        <v>0</v>
      </c>
      <c r="N204"/>
    </row>
    <row r="205" spans="1:14" ht="24.6" x14ac:dyDescent="0.65">
      <c r="A205" s="1"/>
      <c r="B205"/>
      <c r="C205" s="87"/>
      <c r="D205" s="88"/>
      <c r="E205" s="87"/>
      <c r="F205" s="88"/>
      <c r="G205" s="87"/>
      <c r="H205" s="87"/>
      <c r="I205" s="89"/>
      <c r="J205" s="90"/>
      <c r="K205" s="28"/>
      <c r="L205" s="19">
        <v>0</v>
      </c>
      <c r="M205" s="146" t="s">
        <v>212</v>
      </c>
      <c r="N205" s="146"/>
    </row>
    <row r="206" spans="1:14" ht="25.5" customHeight="1" x14ac:dyDescent="0.6">
      <c r="A206" s="1"/>
      <c r="B206"/>
      <c r="C206" s="87"/>
      <c r="D206" s="88"/>
      <c r="E206" s="87"/>
      <c r="F206" s="88"/>
      <c r="G206" s="87"/>
      <c r="H206" s="147" t="s">
        <v>213</v>
      </c>
      <c r="I206" s="148"/>
      <c r="J206" s="91">
        <v>0</v>
      </c>
      <c r="K206" s="28"/>
      <c r="L206" s="30"/>
      <c r="M206"/>
      <c r="N206"/>
    </row>
    <row r="207" spans="1:14" ht="24.6" x14ac:dyDescent="0.65">
      <c r="A207" s="1"/>
      <c r="B207"/>
      <c r="C207" s="92"/>
      <c r="D207"/>
      <c r="E207" s="92"/>
      <c r="F207"/>
      <c r="G207" s="92"/>
      <c r="H207" s="33"/>
      <c r="I207" s="149" t="s">
        <v>201</v>
      </c>
      <c r="J207" s="149"/>
      <c r="K207" s="34">
        <v>2270</v>
      </c>
      <c r="L207"/>
      <c r="M207"/>
      <c r="N207"/>
    </row>
    <row r="208" spans="1:14" ht="24.6" x14ac:dyDescent="0.65">
      <c r="A208" s="1"/>
      <c r="B208"/>
      <c r="C208" s="92"/>
      <c r="D208"/>
      <c r="E208" s="92"/>
      <c r="F208"/>
      <c r="G208" s="92"/>
      <c r="H208"/>
      <c r="I208" s="141" t="s">
        <v>202</v>
      </c>
      <c r="J208" s="142"/>
      <c r="K208" s="37">
        <v>15</v>
      </c>
      <c r="L208"/>
      <c r="M208"/>
      <c r="N208"/>
    </row>
    <row r="209" spans="1:13" ht="24.6" x14ac:dyDescent="0.65">
      <c r="A209" s="1"/>
      <c r="B209"/>
      <c r="C209" s="92"/>
      <c r="D209"/>
      <c r="E209" s="92"/>
      <c r="F209"/>
      <c r="G209" s="92"/>
      <c r="H209"/>
      <c r="I209" s="35" t="s">
        <v>203</v>
      </c>
      <c r="J209" s="36"/>
      <c r="K209" s="37">
        <v>150</v>
      </c>
      <c r="L209" s="2">
        <v>120</v>
      </c>
      <c r="M209" s="2">
        <v>30</v>
      </c>
    </row>
    <row r="210" spans="1:13" ht="24.6" x14ac:dyDescent="0.65">
      <c r="A210" s="1"/>
      <c r="B210"/>
      <c r="C210" s="92"/>
      <c r="D210"/>
      <c r="E210" s="92"/>
      <c r="F210"/>
      <c r="G210" s="92"/>
      <c r="H210"/>
      <c r="I210" s="141" t="s">
        <v>204</v>
      </c>
      <c r="J210" s="142"/>
      <c r="K210" s="37">
        <v>0</v>
      </c>
      <c r="L210"/>
      <c r="M210"/>
    </row>
    <row r="211" spans="1:13" ht="24.6" x14ac:dyDescent="0.65">
      <c r="A211" s="1"/>
      <c r="B211"/>
      <c r="C211" s="92"/>
      <c r="D211"/>
      <c r="E211" s="92"/>
      <c r="F211"/>
      <c r="G211" s="92"/>
      <c r="H211"/>
      <c r="I211" s="141" t="s">
        <v>205</v>
      </c>
      <c r="J211" s="142"/>
      <c r="K211" s="37">
        <v>0</v>
      </c>
      <c r="L211"/>
      <c r="M211"/>
    </row>
    <row r="212" spans="1:13" ht="24.6" x14ac:dyDescent="0.65">
      <c r="A212" s="1"/>
      <c r="B212"/>
      <c r="C212" s="92"/>
      <c r="D212"/>
      <c r="E212" s="92"/>
      <c r="F212"/>
      <c r="G212" s="92"/>
      <c r="H212"/>
      <c r="I212" s="141" t="s">
        <v>206</v>
      </c>
      <c r="J212" s="142"/>
      <c r="K212" s="93">
        <v>510</v>
      </c>
      <c r="L212"/>
      <c r="M212"/>
    </row>
    <row r="213" spans="1:13" ht="24.6" x14ac:dyDescent="0.65">
      <c r="A213" s="1"/>
      <c r="B213"/>
      <c r="C213" s="92"/>
      <c r="D213"/>
      <c r="E213" s="92"/>
      <c r="F213"/>
      <c r="G213" s="92"/>
      <c r="H213"/>
      <c r="I213" s="141" t="s">
        <v>207</v>
      </c>
      <c r="J213" s="142"/>
      <c r="K213" s="34">
        <v>1595</v>
      </c>
      <c r="L213"/>
      <c r="M213"/>
    </row>
    <row r="214" spans="1:13" ht="24.6" x14ac:dyDescent="0.65">
      <c r="A214" s="1"/>
      <c r="B214"/>
      <c r="C214" s="92"/>
      <c r="D214"/>
      <c r="E214" s="92"/>
      <c r="F214"/>
      <c r="G214" s="92"/>
      <c r="H214"/>
      <c r="I214" s="141" t="s">
        <v>208</v>
      </c>
      <c r="J214" s="142"/>
      <c r="K214" s="93">
        <v>1595</v>
      </c>
      <c r="L214"/>
      <c r="M214"/>
    </row>
    <row r="215" spans="1:13" ht="24.6" x14ac:dyDescent="0.65">
      <c r="A215" s="1"/>
      <c r="B215"/>
      <c r="C215" s="92"/>
      <c r="D215"/>
      <c r="E215" s="92"/>
      <c r="F215"/>
      <c r="G215" s="92"/>
      <c r="H215"/>
      <c r="I215" s="141" t="s">
        <v>209</v>
      </c>
      <c r="J215" s="142"/>
      <c r="K215" s="34">
        <v>0</v>
      </c>
      <c r="L215"/>
      <c r="M215"/>
    </row>
    <row r="216" spans="1:13" ht="24.6" x14ac:dyDescent="0.65">
      <c r="A216"/>
      <c r="B216"/>
      <c r="C216"/>
      <c r="D216"/>
      <c r="E216"/>
      <c r="F216"/>
      <c r="G216" s="2"/>
      <c r="H216"/>
      <c r="I216" s="141" t="s">
        <v>210</v>
      </c>
      <c r="J216" s="142"/>
      <c r="K216" s="34">
        <v>0</v>
      </c>
      <c r="L216"/>
      <c r="M216"/>
    </row>
    <row r="217" spans="1:13" x14ac:dyDescent="0.6">
      <c r="A217"/>
      <c r="B217"/>
      <c r="C217"/>
      <c r="D217"/>
      <c r="E217"/>
      <c r="F217"/>
      <c r="G217" s="2"/>
      <c r="H217"/>
      <c r="I217" s="2"/>
      <c r="J217"/>
      <c r="K217"/>
      <c r="L217"/>
      <c r="M217"/>
    </row>
    <row r="218" spans="1:13" x14ac:dyDescent="0.6">
      <c r="A218"/>
      <c r="B218"/>
      <c r="C218"/>
      <c r="D218"/>
      <c r="E218"/>
      <c r="F218"/>
      <c r="G218" s="2"/>
      <c r="H218"/>
      <c r="I218" s="2"/>
      <c r="J218"/>
      <c r="K218"/>
      <c r="L218"/>
      <c r="M218"/>
    </row>
    <row r="219" spans="1:13" x14ac:dyDescent="0.6">
      <c r="A219"/>
      <c r="B219"/>
      <c r="C219"/>
      <c r="D219"/>
      <c r="E219"/>
      <c r="F219"/>
      <c r="G219" s="2"/>
      <c r="H219"/>
      <c r="I219" s="2"/>
      <c r="J219"/>
      <c r="K219"/>
      <c r="L219"/>
      <c r="M219"/>
    </row>
    <row r="220" spans="1:13" x14ac:dyDescent="0.6">
      <c r="A220"/>
      <c r="B220"/>
      <c r="C220"/>
      <c r="D220"/>
      <c r="E220"/>
      <c r="F220"/>
      <c r="G220" s="2"/>
      <c r="H220"/>
      <c r="I220" s="2"/>
      <c r="J220"/>
      <c r="K220"/>
      <c r="L220"/>
      <c r="M220"/>
    </row>
    <row r="221" spans="1:13" x14ac:dyDescent="0.6">
      <c r="A221"/>
      <c r="B221"/>
      <c r="C221"/>
      <c r="D221"/>
      <c r="E221"/>
      <c r="F221"/>
      <c r="G221" s="2"/>
      <c r="H221"/>
      <c r="I221" s="2"/>
      <c r="J221"/>
      <c r="K221"/>
      <c r="L221"/>
      <c r="M221"/>
    </row>
    <row r="222" spans="1:13" x14ac:dyDescent="0.6">
      <c r="A222"/>
      <c r="B222"/>
      <c r="C222"/>
      <c r="D222"/>
      <c r="E222"/>
      <c r="F222"/>
      <c r="G222" s="2"/>
      <c r="H222"/>
      <c r="I222" s="2"/>
      <c r="J222"/>
      <c r="K222"/>
      <c r="L222"/>
      <c r="M222"/>
    </row>
    <row r="223" spans="1:13" x14ac:dyDescent="0.6">
      <c r="A223"/>
      <c r="B223"/>
      <c r="C223"/>
      <c r="D223"/>
      <c r="E223"/>
      <c r="F223"/>
      <c r="G223" s="2"/>
      <c r="H223"/>
      <c r="I223" s="2"/>
      <c r="J223"/>
      <c r="K223"/>
      <c r="L223"/>
      <c r="M223"/>
    </row>
    <row r="224" spans="1:13" x14ac:dyDescent="0.6">
      <c r="A224"/>
      <c r="B224"/>
      <c r="C224"/>
      <c r="D224"/>
      <c r="E224"/>
      <c r="F224"/>
      <c r="G224" s="2"/>
      <c r="H224"/>
      <c r="I224" s="2"/>
      <c r="J224"/>
      <c r="K224"/>
      <c r="L224"/>
      <c r="M224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  <mergeCell ref="I214:J214"/>
    <mergeCell ref="I215:J215"/>
    <mergeCell ref="I216:J216"/>
    <mergeCell ref="H3:J3"/>
    <mergeCell ref="K3:K4"/>
    <mergeCell ref="V3:X3"/>
    <mergeCell ref="Y3:Y4"/>
    <mergeCell ref="Z3:Z4"/>
    <mergeCell ref="A2:K2"/>
    <mergeCell ref="O2:Y2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1F3-48C0-49A3-9B38-9D686891A709}">
  <sheetPr>
    <tabColor theme="5" tint="0.79998168889431442"/>
  </sheetPr>
  <dimension ref="A1:Z291"/>
  <sheetViews>
    <sheetView topLeftCell="F205" zoomScaleNormal="100" workbookViewId="0">
      <selection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+ยกมา!G5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+ยกมา!G6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15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+ยกมา!G12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+ยกมา!G14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+ยกมา!G17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+ยกมา!G19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+ยกมา!G22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+ยกมา!G23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+ยกมา!G24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+ยกมา!G29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+ยกมา!G34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+ยกมา!G35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4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+ยกมา!G37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+ยกมา!G38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+ยกมา!G39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+ยกมา!G40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+ยกมา!G41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2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+ยกมา!G42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+ยกมา!G43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+ยกมา!G44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+ยกมา!G46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+ยกมา!G47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7</v>
      </c>
      <c r="H47" s="15">
        <v>1</v>
      </c>
      <c r="I47" s="16">
        <v>50</v>
      </c>
      <c r="J47" s="17">
        <f t="shared" si="2"/>
        <v>50</v>
      </c>
      <c r="K47" s="18" t="s">
        <v>253</v>
      </c>
      <c r="L47" s="19">
        <v>50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+ยกมา!G48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94"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6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+ยกมา!G50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94"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94">
        <v>6</v>
      </c>
      <c r="D55" s="13">
        <v>0</v>
      </c>
      <c r="E55" s="14">
        <f t="shared" si="1"/>
        <v>6</v>
      </c>
      <c r="F55" s="13">
        <v>0</v>
      </c>
      <c r="G55" s="12">
        <f t="shared" si="0"/>
        <v>6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+ยกมา!G57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+ยกมา!G59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+ยกมา!G60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+ยกมา!G61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+ยกมา!G62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+ยกมา!G63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+ยกมา!G66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+ยกมา!G67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13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+ยกมา!G71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0</v>
      </c>
      <c r="H71" s="15">
        <v>3</v>
      </c>
      <c r="I71" s="21">
        <v>60</v>
      </c>
      <c r="J71" s="17">
        <f t="shared" si="8"/>
        <v>180</v>
      </c>
      <c r="K71" s="18" t="s">
        <v>254</v>
      </c>
      <c r="L71" s="19">
        <v>90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+ยกมา!G73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+ยกมา!G74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94"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+ยกมา!G77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94"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+ยกมา!G82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+ยกมา!G85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16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+ยกมา!G86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+ยกมา!G87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14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+ยกมา!G88</f>
        <v>15</v>
      </c>
      <c r="D88" s="13">
        <v>0</v>
      </c>
      <c r="E88" s="14">
        <f t="shared" si="7"/>
        <v>15</v>
      </c>
      <c r="F88" s="13">
        <v>0</v>
      </c>
      <c r="G88" s="14">
        <f t="shared" si="0"/>
        <v>14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+ยกมา!G101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+ยกมา!G102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+ยกมา!G103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+ยกมา!G142</f>
        <v>5</v>
      </c>
      <c r="D142" s="13">
        <v>0</v>
      </c>
      <c r="E142" s="14">
        <f t="shared" si="14"/>
        <v>5</v>
      </c>
      <c r="F142" s="13">
        <v>0</v>
      </c>
      <c r="G142" s="14">
        <f t="shared" si="13"/>
        <v>4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+ยกมา!G143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+ยกมา!G150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4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0</v>
      </c>
      <c r="M150" s="24">
        <f t="shared" si="16"/>
        <v>120</v>
      </c>
    </row>
    <row r="151" spans="1:13" ht="24.6" x14ac:dyDescent="0.65">
      <c r="A151" s="10">
        <v>147</v>
      </c>
      <c r="B151" s="20" t="s">
        <v>163</v>
      </c>
      <c r="C151" s="12">
        <f>+ยกมา!G151</f>
        <v>6</v>
      </c>
      <c r="D151" s="13">
        <v>0</v>
      </c>
      <c r="E151" s="14">
        <f t="shared" si="14"/>
        <v>6</v>
      </c>
      <c r="F151" s="13">
        <v>0</v>
      </c>
      <c r="G151" s="9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+ยกมา!G152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2</v>
      </c>
      <c r="H152" s="15">
        <v>2</v>
      </c>
      <c r="I152" s="21">
        <v>120</v>
      </c>
      <c r="J152" s="17">
        <f t="shared" si="15"/>
        <v>240</v>
      </c>
      <c r="K152" s="18" t="s">
        <v>16</v>
      </c>
      <c r="L152" s="19">
        <v>0</v>
      </c>
      <c r="M152" s="24">
        <f t="shared" si="16"/>
        <v>240</v>
      </c>
    </row>
    <row r="153" spans="1:13" ht="24.6" x14ac:dyDescent="0.6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+ยกมา!G161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+ยกมา!G166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+ยกมา!G167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+ยกมา!G168</f>
        <v>38</v>
      </c>
      <c r="D168" s="13">
        <v>0</v>
      </c>
      <c r="E168" s="14">
        <f t="shared" si="14"/>
        <v>38</v>
      </c>
      <c r="F168" s="13">
        <v>0</v>
      </c>
      <c r="G168" s="14">
        <f t="shared" si="17"/>
        <v>37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+ยกมา!G178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7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+ยกมา!G189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+ยกมา!G190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+ยกมา!G191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+ยกมา!G192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+ยกมา!G193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+ยกมา!G194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+ยกมา!G195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+ยกมา!G196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+ยกมา!G198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2055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160</v>
      </c>
      <c r="L209" s="2">
        <v>160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140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1740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1740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1915</v>
      </c>
    </row>
    <row r="219" spans="1:12" x14ac:dyDescent="0.6">
      <c r="G219" s="2"/>
      <c r="I219" s="2"/>
      <c r="J219" s="2" t="s">
        <v>256</v>
      </c>
      <c r="K219" s="24">
        <f>SUM(K208:K209)</f>
        <v>175</v>
      </c>
    </row>
    <row r="220" spans="1:12" x14ac:dyDescent="0.6">
      <c r="G220" s="2"/>
      <c r="I220" s="2"/>
      <c r="J220" s="2" t="s">
        <v>257</v>
      </c>
      <c r="K220" s="24">
        <f>+K214</f>
        <v>1740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4FE-AA28-4789-8F76-11C60258797E}">
  <sheetPr>
    <tabColor theme="5" tint="0.79998168889431442"/>
  </sheetPr>
  <dimension ref="A1:Z291"/>
  <sheetViews>
    <sheetView topLeftCell="E1" zoomScale="90" zoomScaleNormal="90" workbookViewId="0">
      <pane ySplit="4" topLeftCell="A206" activePane="bottomLeft" state="frozen"/>
      <selection pane="bottomLeft" activeCell="M210" sqref="M21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+'1'!G6</f>
        <v>15</v>
      </c>
      <c r="D6" s="13">
        <v>10</v>
      </c>
      <c r="E6" s="14">
        <f t="shared" ref="E6:E69" si="1">C6+D6</f>
        <v>25</v>
      </c>
      <c r="F6" s="13">
        <v>0</v>
      </c>
      <c r="G6" s="14">
        <f t="shared" si="0"/>
        <v>25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+'1'!G23</f>
        <v>4</v>
      </c>
      <c r="D23" s="13">
        <v>10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5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+'1'!G35</f>
        <v>4</v>
      </c>
      <c r="D35" s="13">
        <v>3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+'1'!G37</f>
        <v>2</v>
      </c>
      <c r="D37" s="13">
        <v>10</v>
      </c>
      <c r="E37" s="14">
        <f t="shared" si="1"/>
        <v>12</v>
      </c>
      <c r="F37" s="13">
        <v>0</v>
      </c>
      <c r="G37" s="14">
        <f t="shared" si="0"/>
        <v>12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+'1'!G42</f>
        <v>4</v>
      </c>
      <c r="D42" s="13">
        <v>5</v>
      </c>
      <c r="E42" s="14">
        <f t="shared" si="1"/>
        <v>9</v>
      </c>
      <c r="F42" s="13">
        <v>0</v>
      </c>
      <c r="G42" s="14">
        <f t="shared" si="0"/>
        <v>8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+'1'!G43</f>
        <v>3</v>
      </c>
      <c r="D43" s="13">
        <v>5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6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6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+'1'!G55</f>
        <v>6</v>
      </c>
      <c r="D55" s="13">
        <v>0</v>
      </c>
      <c r="E55" s="14">
        <f t="shared" si="1"/>
        <v>6</v>
      </c>
      <c r="F55" s="13">
        <v>0</v>
      </c>
      <c r="G55" s="12">
        <f t="shared" si="0"/>
        <v>6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+'1'!G67</f>
        <v>13</v>
      </c>
      <c r="D67" s="13">
        <v>0</v>
      </c>
      <c r="E67" s="14">
        <f t="shared" si="1"/>
        <v>13</v>
      </c>
      <c r="F67" s="13">
        <v>0</v>
      </c>
      <c r="G67" s="14">
        <f t="shared" si="0"/>
        <v>13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+'1'!G71</f>
        <v>0</v>
      </c>
      <c r="D71" s="13">
        <v>10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+'1'!G73</f>
        <v>7</v>
      </c>
      <c r="D73" s="13">
        <v>10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+'1'!G81</f>
        <v>0</v>
      </c>
      <c r="D81" s="13">
        <v>3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+'1'!G82</f>
        <v>2</v>
      </c>
      <c r="D82" s="13">
        <v>2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+'1'!G85</f>
        <v>16</v>
      </c>
      <c r="D85" s="13">
        <v>20</v>
      </c>
      <c r="E85" s="14">
        <f t="shared" si="7"/>
        <v>36</v>
      </c>
      <c r="F85" s="13">
        <v>0</v>
      </c>
      <c r="G85" s="14">
        <f t="shared" si="0"/>
        <v>32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+'1'!G87</f>
        <v>14</v>
      </c>
      <c r="D87" s="13">
        <v>0</v>
      </c>
      <c r="E87" s="14">
        <f t="shared" si="7"/>
        <v>14</v>
      </c>
      <c r="F87" s="13">
        <v>0</v>
      </c>
      <c r="G87" s="14">
        <f t="shared" si="0"/>
        <v>14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13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+'1'!G142</f>
        <v>4</v>
      </c>
      <c r="D142" s="13">
        <v>0</v>
      </c>
      <c r="E142" s="14">
        <f t="shared" si="14"/>
        <v>4</v>
      </c>
      <c r="F142" s="13">
        <v>0</v>
      </c>
      <c r="G142" s="14">
        <f t="shared" si="13"/>
        <v>4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94">
        <f>+'1'!G151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2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+'1'!G164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920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200</v>
      </c>
      <c r="L209" s="2">
        <v>200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705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705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920</v>
      </c>
    </row>
    <row r="219" spans="1:12" x14ac:dyDescent="0.6">
      <c r="G219" s="2"/>
      <c r="I219" s="2"/>
      <c r="J219" s="2" t="s">
        <v>256</v>
      </c>
      <c r="K219" s="24">
        <f>SUM(K208:K211)</f>
        <v>215</v>
      </c>
    </row>
    <row r="220" spans="1:12" x14ac:dyDescent="0.6">
      <c r="G220" s="2"/>
      <c r="I220" s="2"/>
      <c r="J220" s="2" t="s">
        <v>257</v>
      </c>
      <c r="K220" s="24">
        <f>+K214</f>
        <v>705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D94-7CBD-43D4-A4A4-FDBB5B94C08E}">
  <sheetPr>
    <tabColor theme="5" tint="0.79998168889431442"/>
  </sheetPr>
  <dimension ref="A1:Z291"/>
  <sheetViews>
    <sheetView topLeftCell="D1" zoomScale="90" zoomScaleNormal="90" workbookViewId="0">
      <pane ySplit="4" topLeftCell="A203" activePane="bottomLeft" state="frozen"/>
      <selection pane="bottomLeft" activeCell="H89" sqref="H8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5</v>
      </c>
      <c r="H5" s="15">
        <v>5</v>
      </c>
      <c r="I5" s="16">
        <v>50</v>
      </c>
      <c r="J5" s="17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+'2'!G6</f>
        <v>25</v>
      </c>
      <c r="D6" s="13">
        <v>0</v>
      </c>
      <c r="E6" s="14">
        <f t="shared" ref="E6:E69" si="1">C6+D6</f>
        <v>25</v>
      </c>
      <c r="F6" s="13">
        <v>0</v>
      </c>
      <c r="G6" s="14">
        <f t="shared" si="0"/>
        <v>23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6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+'2'!G37</f>
        <v>12</v>
      </c>
      <c r="D37" s="13">
        <v>0</v>
      </c>
      <c r="E37" s="14">
        <f t="shared" si="1"/>
        <v>12</v>
      </c>
      <c r="F37" s="13">
        <v>0</v>
      </c>
      <c r="G37" s="14">
        <f t="shared" si="0"/>
        <v>11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+'2'!G42</f>
        <v>8</v>
      </c>
      <c r="D42" s="13">
        <v>0</v>
      </c>
      <c r="E42" s="14">
        <f t="shared" si="1"/>
        <v>8</v>
      </c>
      <c r="F42" s="13">
        <v>0</v>
      </c>
      <c r="G42" s="14">
        <f t="shared" si="0"/>
        <v>8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+'2'!G43</f>
        <v>8</v>
      </c>
      <c r="D43" s="13">
        <v>0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+'2'!G47</f>
        <v>7</v>
      </c>
      <c r="D47" s="13">
        <v>0</v>
      </c>
      <c r="E47" s="14">
        <f t="shared" si="1"/>
        <v>7</v>
      </c>
      <c r="F47" s="13">
        <v>1</v>
      </c>
      <c r="G47" s="14">
        <f t="shared" si="0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5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+'2'!G50</f>
        <v>6</v>
      </c>
      <c r="D50" s="13">
        <v>0</v>
      </c>
      <c r="E50" s="14">
        <f t="shared" si="1"/>
        <v>6</v>
      </c>
      <c r="F50" s="13">
        <v>0</v>
      </c>
      <c r="G50" s="14">
        <f t="shared" si="0"/>
        <v>5</v>
      </c>
      <c r="H50" s="15">
        <v>1</v>
      </c>
      <c r="I50" s="16">
        <v>120</v>
      </c>
      <c r="J50" s="17">
        <f t="shared" si="2"/>
        <v>120</v>
      </c>
      <c r="K50" s="18" t="s">
        <v>258</v>
      </c>
      <c r="L50" s="19">
        <v>35</v>
      </c>
      <c r="M50" s="24">
        <f t="shared" si="3"/>
        <v>85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+'2'!G55</f>
        <v>6</v>
      </c>
      <c r="D55" s="13">
        <v>0</v>
      </c>
      <c r="E55" s="14">
        <f t="shared" si="1"/>
        <v>6</v>
      </c>
      <c r="F55" s="13">
        <v>0</v>
      </c>
      <c r="G55" s="12">
        <f t="shared" si="0"/>
        <v>5</v>
      </c>
      <c r="H55" s="15">
        <v>1</v>
      </c>
      <c r="I55" s="22">
        <v>120</v>
      </c>
      <c r="J55" s="17">
        <f t="shared" si="2"/>
        <v>120</v>
      </c>
      <c r="K55" s="18" t="s">
        <v>258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6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+'2'!G67</f>
        <v>13</v>
      </c>
      <c r="D67" s="13">
        <v>0</v>
      </c>
      <c r="E67" s="14">
        <f t="shared" si="1"/>
        <v>13</v>
      </c>
      <c r="F67" s="13">
        <v>0</v>
      </c>
      <c r="G67" s="14">
        <f t="shared" si="0"/>
        <v>11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30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+'2'!G87</f>
        <v>14</v>
      </c>
      <c r="D87" s="13">
        <v>0</v>
      </c>
      <c r="E87" s="14">
        <f t="shared" si="7"/>
        <v>14</v>
      </c>
      <c r="F87" s="13">
        <v>0</v>
      </c>
      <c r="G87" s="14">
        <f t="shared" si="0"/>
        <v>13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8</v>
      </c>
      <c r="H88" s="15">
        <v>5</v>
      </c>
      <c r="I88" s="21">
        <v>100</v>
      </c>
      <c r="J88" s="17">
        <f t="shared" si="8"/>
        <v>500</v>
      </c>
      <c r="K88" s="18" t="s">
        <v>16</v>
      </c>
      <c r="L88" s="19">
        <v>0</v>
      </c>
      <c r="M88" s="24">
        <f t="shared" si="9"/>
        <v>500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+'2'!G142</f>
        <v>4</v>
      </c>
      <c r="D142" s="13">
        <v>0</v>
      </c>
      <c r="E142" s="14">
        <f t="shared" si="14"/>
        <v>4</v>
      </c>
      <c r="F142" s="13">
        <v>0</v>
      </c>
      <c r="G142" s="14">
        <f t="shared" si="13"/>
        <v>2</v>
      </c>
      <c r="H142" s="15">
        <v>2</v>
      </c>
      <c r="I142" s="21">
        <v>120</v>
      </c>
      <c r="J142" s="17">
        <f t="shared" si="15"/>
        <v>240</v>
      </c>
      <c r="K142" s="18" t="s">
        <v>16</v>
      </c>
      <c r="L142" s="19">
        <v>0</v>
      </c>
      <c r="M142" s="24">
        <f t="shared" si="16"/>
        <v>240</v>
      </c>
    </row>
    <row r="143" spans="1:13" ht="24.6" x14ac:dyDescent="0.65">
      <c r="A143" s="10">
        <v>139</v>
      </c>
      <c r="B143" s="20" t="s">
        <v>155</v>
      </c>
      <c r="C143" s="12">
        <f>+'2'!G143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1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4.6" x14ac:dyDescent="0.6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+'2'!G164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4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+'2'!G168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2440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20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1080</v>
      </c>
      <c r="L209" s="2">
        <v>130</v>
      </c>
      <c r="M209" s="2">
        <v>60</v>
      </c>
      <c r="N209" s="2">
        <v>50</v>
      </c>
      <c r="O209" s="2">
        <v>50</v>
      </c>
      <c r="P209" s="2">
        <v>270</v>
      </c>
      <c r="Q209" s="2">
        <v>100</v>
      </c>
      <c r="R209" s="2">
        <v>220</v>
      </c>
      <c r="S209" s="2">
        <v>100</v>
      </c>
      <c r="T209" s="2">
        <v>100</v>
      </c>
    </row>
    <row r="210" spans="1:20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20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20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70</v>
      </c>
    </row>
    <row r="213" spans="1:20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1275</v>
      </c>
    </row>
    <row r="214" spans="1:20" ht="24.6" x14ac:dyDescent="0.65">
      <c r="A214" s="1"/>
      <c r="C214" s="32"/>
      <c r="E214" s="32"/>
      <c r="G214" s="32"/>
      <c r="I214" s="141" t="s">
        <v>208</v>
      </c>
      <c r="J214" s="142"/>
      <c r="K214" s="38">
        <v>1275</v>
      </c>
    </row>
    <row r="215" spans="1:20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20" ht="24.6" x14ac:dyDescent="0.65">
      <c r="G216" s="2"/>
      <c r="I216" s="141" t="s">
        <v>210</v>
      </c>
      <c r="J216" s="142"/>
      <c r="K216" s="34">
        <f>+K214-K213</f>
        <v>0</v>
      </c>
    </row>
    <row r="217" spans="1:20" x14ac:dyDescent="0.6">
      <c r="G217" s="2"/>
      <c r="I217" s="2"/>
    </row>
    <row r="218" spans="1:20" x14ac:dyDescent="0.6">
      <c r="G218" s="2"/>
      <c r="I218" s="2"/>
      <c r="J218" s="95" t="s">
        <v>255</v>
      </c>
      <c r="K218" s="24">
        <f>+K207-K212+K215</f>
        <v>2370</v>
      </c>
    </row>
    <row r="219" spans="1:20" x14ac:dyDescent="0.6">
      <c r="G219" s="2"/>
      <c r="I219" s="2"/>
      <c r="J219" s="2" t="s">
        <v>256</v>
      </c>
      <c r="K219" s="24">
        <f>SUM(K208:K211)</f>
        <v>1095</v>
      </c>
    </row>
    <row r="220" spans="1:20" x14ac:dyDescent="0.6">
      <c r="G220" s="2"/>
      <c r="I220" s="2"/>
      <c r="J220" s="2" t="s">
        <v>257</v>
      </c>
      <c r="K220" s="24">
        <f>+K214</f>
        <v>1275</v>
      </c>
    </row>
    <row r="221" spans="1:20" x14ac:dyDescent="0.6">
      <c r="G221" s="2"/>
      <c r="I221" s="2"/>
    </row>
    <row r="222" spans="1:20" x14ac:dyDescent="0.6">
      <c r="G222" s="2"/>
      <c r="I222" s="2"/>
    </row>
    <row r="223" spans="1:20" x14ac:dyDescent="0.6">
      <c r="G223" s="2"/>
      <c r="I223" s="2"/>
    </row>
    <row r="224" spans="1:20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D9A-7175-4BB8-B1DD-30C5DAE96BD3}">
  <sheetPr>
    <tabColor theme="5" tint="0.79998168889431442"/>
  </sheetPr>
  <dimension ref="A1:Z291"/>
  <sheetViews>
    <sheetView topLeftCell="H1" zoomScaleNormal="100" workbookViewId="0">
      <pane ySplit="4" topLeftCell="A203" activePane="bottomLeft" state="frozen"/>
      <selection pane="bottomLeft" activeCell="L213" sqref="L21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+'3'!G5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23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5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+'3'!G37</f>
        <v>11</v>
      </c>
      <c r="D37" s="13">
        <v>0</v>
      </c>
      <c r="E37" s="14">
        <f t="shared" si="1"/>
        <v>11</v>
      </c>
      <c r="F37" s="13">
        <v>5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+'3'!G42</f>
        <v>8</v>
      </c>
      <c r="D42" s="13">
        <v>0</v>
      </c>
      <c r="E42" s="14">
        <f t="shared" si="1"/>
        <v>8</v>
      </c>
      <c r="F42" s="13">
        <v>5</v>
      </c>
      <c r="G42" s="14">
        <f t="shared" si="0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+'3'!G43</f>
        <v>8</v>
      </c>
      <c r="D43" s="13">
        <v>0</v>
      </c>
      <c r="E43" s="14">
        <f t="shared" si="1"/>
        <v>8</v>
      </c>
      <c r="F43" s="13">
        <v>5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+'3'!G46</f>
        <v>11</v>
      </c>
      <c r="D46" s="13">
        <v>0</v>
      </c>
      <c r="E46" s="14">
        <f t="shared" si="1"/>
        <v>11</v>
      </c>
      <c r="F46" s="13">
        <v>5</v>
      </c>
      <c r="G46" s="14">
        <f t="shared" si="0"/>
        <v>5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+'3'!G47</f>
        <v>5</v>
      </c>
      <c r="D47" s="13">
        <v>0</v>
      </c>
      <c r="E47" s="14">
        <f t="shared" si="1"/>
        <v>5</v>
      </c>
      <c r="F47" s="13">
        <v>3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+'3'!G49</f>
        <v>5</v>
      </c>
      <c r="D49" s="13">
        <v>0</v>
      </c>
      <c r="E49" s="14">
        <f t="shared" si="1"/>
        <v>5</v>
      </c>
      <c r="F49" s="13">
        <v>3</v>
      </c>
      <c r="G49" s="14">
        <f t="shared" si="0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4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0</v>
      </c>
      <c r="M55" s="24">
        <f t="shared" si="3"/>
        <v>120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9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9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+'3'!G85</f>
        <v>30</v>
      </c>
      <c r="D85" s="13">
        <v>0</v>
      </c>
      <c r="E85" s="14">
        <f t="shared" si="7"/>
        <v>30</v>
      </c>
      <c r="F85" s="13">
        <v>0</v>
      </c>
      <c r="G85" s="14">
        <f t="shared" si="0"/>
        <v>29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+'3'!G102</f>
        <v>20</v>
      </c>
      <c r="D102" s="13">
        <v>0</v>
      </c>
      <c r="E102" s="14">
        <f t="shared" si="7"/>
        <v>20</v>
      </c>
      <c r="F102" s="13">
        <v>10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4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2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+'3'!G164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910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100</v>
      </c>
      <c r="L209" s="2">
        <v>100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795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795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910</v>
      </c>
    </row>
    <row r="219" spans="1:12" x14ac:dyDescent="0.6">
      <c r="G219" s="2"/>
      <c r="I219" s="2"/>
      <c r="J219" s="2" t="s">
        <v>256</v>
      </c>
      <c r="K219" s="24">
        <f>SUM(K208:K211)</f>
        <v>115</v>
      </c>
    </row>
    <row r="220" spans="1:12" x14ac:dyDescent="0.6">
      <c r="G220" s="2"/>
      <c r="I220" s="2"/>
      <c r="J220" s="2" t="s">
        <v>257</v>
      </c>
      <c r="K220" s="24">
        <f>+K214</f>
        <v>795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5E06-C86B-406D-AAED-CED22D05D531}">
  <sheetPr>
    <tabColor theme="5" tint="0.79998168889431442"/>
  </sheetPr>
  <dimension ref="A1:Z291"/>
  <sheetViews>
    <sheetView topLeftCell="C1" zoomScale="90" zoomScaleNormal="90" workbookViewId="0">
      <pane ySplit="4" topLeftCell="A202" activePane="bottomLeft" state="frozen"/>
      <selection pane="bottomLeft"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+'4'!G5</f>
        <v>4</v>
      </c>
      <c r="D5" s="13">
        <v>10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+'4'!G6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21</v>
      </c>
      <c r="H6" s="15">
        <v>2</v>
      </c>
      <c r="I6" s="16">
        <v>100</v>
      </c>
      <c r="J6" s="17">
        <f t="shared" ref="J6:J69" si="2">+I6*H6</f>
        <v>200</v>
      </c>
      <c r="K6" s="18" t="s">
        <v>259</v>
      </c>
      <c r="L6" s="19">
        <v>50</v>
      </c>
      <c r="M6" s="24">
        <f t="shared" ref="M6:M69" si="3">SUM(J6-L6)</f>
        <v>150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+'4'!G12</f>
        <v>0</v>
      </c>
      <c r="D12" s="13">
        <v>5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+'4'!G14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+'4'!G17</f>
        <v>0</v>
      </c>
      <c r="D17" s="13">
        <v>5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+'4'!G19</f>
        <v>0</v>
      </c>
      <c r="D19" s="13">
        <v>5</v>
      </c>
      <c r="E19" s="14">
        <f t="shared" si="1"/>
        <v>5</v>
      </c>
      <c r="F19" s="13">
        <v>0</v>
      </c>
      <c r="G19" s="14">
        <f t="shared" si="0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+'4'!G23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+'4'!G34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+'4'!G35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+'4'!G37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5</v>
      </c>
      <c r="H37" s="15">
        <v>1</v>
      </c>
      <c r="I37" s="16">
        <v>100</v>
      </c>
      <c r="J37" s="17">
        <f t="shared" si="2"/>
        <v>100</v>
      </c>
      <c r="K37" s="18" t="s">
        <v>259</v>
      </c>
      <c r="L37" s="19">
        <v>50</v>
      </c>
      <c r="M37" s="24">
        <f t="shared" si="3"/>
        <v>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+'4'!G38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+'4'!G39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+'4'!G41</f>
        <v>2</v>
      </c>
      <c r="D41" s="13">
        <v>5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+'4'!G42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+'4'!G44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+'4'!G46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+'4'!G47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+'4'!G48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+'4'!G49</f>
        <v>2</v>
      </c>
      <c r="D49" s="13">
        <v>0</v>
      </c>
      <c r="E49" s="14">
        <f t="shared" si="1"/>
        <v>2</v>
      </c>
      <c r="F49" s="13">
        <v>0</v>
      </c>
      <c r="G49" s="14">
        <f t="shared" si="0"/>
        <v>1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+'4'!G50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+'4'!G55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+'4'!G57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+'4'!G62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+'4'!G63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+'4'!G66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+'4'!G67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4</v>
      </c>
      <c r="H67" s="15">
        <v>5</v>
      </c>
      <c r="I67" s="16">
        <v>50</v>
      </c>
      <c r="J67" s="17">
        <f t="shared" si="2"/>
        <v>250</v>
      </c>
      <c r="K67" s="18" t="s">
        <v>254</v>
      </c>
      <c r="L67" s="19">
        <v>125</v>
      </c>
      <c r="M67" s="24">
        <f t="shared" si="3"/>
        <v>125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+'4'!G71</f>
        <v>9</v>
      </c>
      <c r="D71" s="13">
        <v>0</v>
      </c>
      <c r="E71" s="14">
        <f t="shared" si="7"/>
        <v>9</v>
      </c>
      <c r="F71" s="13">
        <v>5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+'4'!G73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16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+'4'!G74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+'4'!G77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5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+'4'!G79</f>
        <v>11</v>
      </c>
      <c r="D79" s="13">
        <v>0</v>
      </c>
      <c r="E79" s="14">
        <f t="shared" si="7"/>
        <v>11</v>
      </c>
      <c r="F79" s="13">
        <v>1</v>
      </c>
      <c r="G79" s="14">
        <f t="shared" si="0"/>
        <v>7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+'4'!G81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+'4'!G82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+'4'!G85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28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+'4'!G86</f>
        <v>4</v>
      </c>
      <c r="D86" s="13">
        <v>10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+'4'!G87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+'4'!G88</f>
        <v>7</v>
      </c>
      <c r="D88" s="13">
        <v>10</v>
      </c>
      <c r="E88" s="14">
        <f t="shared" si="7"/>
        <v>17</v>
      </c>
      <c r="F88" s="13">
        <v>0</v>
      </c>
      <c r="G88" s="14">
        <f t="shared" si="0"/>
        <v>15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+'4'!G102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+'4'!G103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+'4'!G142</f>
        <v>2</v>
      </c>
      <c r="D142" s="13">
        <v>5</v>
      </c>
      <c r="E142" s="14">
        <f t="shared" si="14"/>
        <v>7</v>
      </c>
      <c r="F142" s="13">
        <v>0</v>
      </c>
      <c r="G142" s="14">
        <f t="shared" si="13"/>
        <v>5</v>
      </c>
      <c r="H142" s="15">
        <v>2</v>
      </c>
      <c r="I142" s="21">
        <v>120</v>
      </c>
      <c r="J142" s="17">
        <f t="shared" si="15"/>
        <v>240</v>
      </c>
      <c r="K142" s="18" t="s">
        <v>16</v>
      </c>
      <c r="L142" s="19">
        <v>0</v>
      </c>
      <c r="M142" s="24">
        <f t="shared" si="16"/>
        <v>240</v>
      </c>
    </row>
    <row r="143" spans="1:13" ht="24.6" x14ac:dyDescent="0.65">
      <c r="A143" s="10">
        <v>139</v>
      </c>
      <c r="B143" s="20" t="s">
        <v>155</v>
      </c>
      <c r="C143" s="12">
        <f>+'4'!G143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+'4'!G150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+'4'!G151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+'4'!G152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+'4'!G164</f>
        <v>0</v>
      </c>
      <c r="D164" s="13">
        <v>5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+'4'!G167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+'4'!G168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+'4'!G178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1450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375</v>
      </c>
      <c r="L209" s="2">
        <v>100</v>
      </c>
      <c r="M209" s="2">
        <v>25</v>
      </c>
      <c r="N209" s="2">
        <v>50</v>
      </c>
      <c r="O209" s="2">
        <v>50</v>
      </c>
      <c r="P209" s="2">
        <v>150</v>
      </c>
    </row>
    <row r="210" spans="1:16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6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6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225</v>
      </c>
    </row>
    <row r="213" spans="1:16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835</v>
      </c>
    </row>
    <row r="214" spans="1:16" ht="24.6" x14ac:dyDescent="0.65">
      <c r="A214" s="1"/>
      <c r="C214" s="32"/>
      <c r="E214" s="32"/>
      <c r="G214" s="32"/>
      <c r="I214" s="141" t="s">
        <v>208</v>
      </c>
      <c r="J214" s="142"/>
      <c r="K214" s="38">
        <v>835</v>
      </c>
    </row>
    <row r="215" spans="1:16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6" ht="24.6" x14ac:dyDescent="0.65">
      <c r="G216" s="2"/>
      <c r="I216" s="141" t="s">
        <v>210</v>
      </c>
      <c r="J216" s="142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  <c r="J218" s="95" t="s">
        <v>255</v>
      </c>
      <c r="K218" s="24">
        <f>+K207-K212+K215</f>
        <v>1225</v>
      </c>
    </row>
    <row r="219" spans="1:16" x14ac:dyDescent="0.6">
      <c r="G219" s="2"/>
      <c r="I219" s="2"/>
      <c r="J219" s="2" t="s">
        <v>256</v>
      </c>
      <c r="K219" s="24">
        <f>SUM(K208:K211)</f>
        <v>390</v>
      </c>
    </row>
    <row r="220" spans="1:16" x14ac:dyDescent="0.6">
      <c r="G220" s="2"/>
      <c r="I220" s="2"/>
      <c r="J220" s="2" t="s">
        <v>257</v>
      </c>
      <c r="K220" s="24">
        <f>+K214</f>
        <v>835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955C-08DD-450D-AD17-5A945A2EBD06}">
  <sheetPr>
    <tabColor theme="5" tint="0.79998168889431442"/>
  </sheetPr>
  <dimension ref="A1:Z291"/>
  <sheetViews>
    <sheetView zoomScale="90" zoomScaleNormal="90" workbookViewId="0">
      <pane ySplit="4" topLeftCell="A206" activePane="bottomLeft" state="frozen"/>
      <selection pane="bottomLeft"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0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+'5'!G5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+'5'!G6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16</v>
      </c>
      <c r="H6" s="15">
        <v>5</v>
      </c>
      <c r="I6" s="16">
        <v>100</v>
      </c>
      <c r="J6" s="17">
        <f t="shared" ref="J6:J69" si="2">+I6*H6</f>
        <v>500</v>
      </c>
      <c r="K6" s="18" t="s">
        <v>260</v>
      </c>
      <c r="L6" s="19">
        <v>40</v>
      </c>
      <c r="M6" s="24">
        <f t="shared" ref="M6:M69" si="3">SUM(J6-L6)</f>
        <v>460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+'5'!G12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+'5'!G14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+'5'!G17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+'5'!G19</f>
        <v>5</v>
      </c>
      <c r="D19" s="13">
        <v>0</v>
      </c>
      <c r="E19" s="14">
        <f t="shared" si="1"/>
        <v>5</v>
      </c>
      <c r="F19" s="13">
        <v>0</v>
      </c>
      <c r="G19" s="14">
        <f t="shared" si="0"/>
        <v>4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+'5'!G23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12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+'5'!G34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+'5'!G35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+'5'!G37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+'5'!G38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+'5'!G39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+'5'!G41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+'5'!G42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+'5'!G43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+'5'!G44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+'5'!G46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+'5'!G47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0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+'5'!G48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+'5'!G49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+'5'!G50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+'5'!G55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+'5'!G57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+'5'!G62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+'5'!G63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+'5'!G66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+'5'!G67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0</v>
      </c>
      <c r="H67" s="15">
        <v>4</v>
      </c>
      <c r="I67" s="16">
        <v>50</v>
      </c>
      <c r="J67" s="17">
        <f t="shared" si="2"/>
        <v>200</v>
      </c>
      <c r="K67" s="18" t="s">
        <v>254</v>
      </c>
      <c r="L67" s="19">
        <v>100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+'5'!G71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+'5'!G73</f>
        <v>16</v>
      </c>
      <c r="D73" s="13">
        <v>0</v>
      </c>
      <c r="E73" s="14">
        <f t="shared" si="7"/>
        <v>16</v>
      </c>
      <c r="F73" s="13">
        <v>0</v>
      </c>
      <c r="G73" s="14">
        <f t="shared" si="0"/>
        <v>15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+'5'!G74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+'5'!G77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4</v>
      </c>
      <c r="H77" s="15">
        <v>1</v>
      </c>
      <c r="I77" s="21">
        <v>50</v>
      </c>
      <c r="J77" s="17">
        <f t="shared" si="8"/>
        <v>50</v>
      </c>
      <c r="K77" s="18" t="s">
        <v>253</v>
      </c>
      <c r="L77" s="19">
        <v>50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+'5'!G79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+'5'!G81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+'5'!G82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+'5'!G85</f>
        <v>28</v>
      </c>
      <c r="D85" s="13">
        <v>0</v>
      </c>
      <c r="E85" s="14">
        <f t="shared" si="7"/>
        <v>28</v>
      </c>
      <c r="F85" s="13">
        <v>0</v>
      </c>
      <c r="G85" s="14">
        <f t="shared" si="0"/>
        <v>27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+'5'!G86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+'5'!G87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+'5'!G88</f>
        <v>15</v>
      </c>
      <c r="D88" s="13">
        <v>0</v>
      </c>
      <c r="E88" s="14">
        <f t="shared" si="7"/>
        <v>15</v>
      </c>
      <c r="F88" s="13">
        <v>0</v>
      </c>
      <c r="G88" s="14">
        <f t="shared" si="0"/>
        <v>14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+'5'!G102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+'5'!G103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+'5'!G142</f>
        <v>5</v>
      </c>
      <c r="D142" s="13">
        <v>0</v>
      </c>
      <c r="E142" s="14">
        <f t="shared" si="14"/>
        <v>5</v>
      </c>
      <c r="F142" s="13">
        <v>0</v>
      </c>
      <c r="G142" s="14">
        <f t="shared" si="13"/>
        <v>4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+'5'!G143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+'5'!G150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+'5'!G151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5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4.6" x14ac:dyDescent="0.65">
      <c r="A152" s="10">
        <v>148</v>
      </c>
      <c r="B152" s="20" t="s">
        <v>164</v>
      </c>
      <c r="C152" s="12">
        <f>+'5'!G152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+'5'!G164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4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4.6" x14ac:dyDescent="0.6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+'5'!G167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+'5'!G168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+'5'!G178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0</v>
      </c>
      <c r="H178" s="15">
        <v>7</v>
      </c>
      <c r="I178" s="21">
        <v>120</v>
      </c>
      <c r="J178" s="17">
        <f t="shared" si="15"/>
        <v>840</v>
      </c>
      <c r="K178" s="18" t="s">
        <v>254</v>
      </c>
      <c r="L178" s="19">
        <v>420</v>
      </c>
      <c r="M178" s="24">
        <f t="shared" si="16"/>
        <v>420</v>
      </c>
    </row>
    <row r="179" spans="1:13" ht="24.6" x14ac:dyDescent="0.6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7" ht="24.6" x14ac:dyDescent="0.65">
      <c r="A193" s="10">
        <v>189</v>
      </c>
      <c r="B193" s="20" t="s">
        <v>245</v>
      </c>
      <c r="C193" s="12">
        <f>+'5'!G193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7" ht="24.6" x14ac:dyDescent="0.65">
      <c r="A194" s="10">
        <v>190</v>
      </c>
      <c r="B194" s="20"/>
      <c r="C194" s="12">
        <f>+'5'!G194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7" ht="24.6" x14ac:dyDescent="0.65">
      <c r="A195" s="10">
        <v>191</v>
      </c>
      <c r="B195" s="20"/>
      <c r="C195" s="12">
        <f>+'5'!G195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7" ht="24.6" x14ac:dyDescent="0.65">
      <c r="A196" s="10">
        <v>192</v>
      </c>
      <c r="B196" s="20"/>
      <c r="C196" s="12">
        <f>+'5'!G196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7" ht="24.6" x14ac:dyDescent="0.65">
      <c r="A197" s="10">
        <v>193</v>
      </c>
      <c r="B197" s="20"/>
      <c r="C197" s="12">
        <f>+'5'!G197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7" ht="24.6" x14ac:dyDescent="0.65">
      <c r="A198" s="10">
        <v>194</v>
      </c>
      <c r="B198" s="20"/>
      <c r="C198" s="12">
        <f>+'5'!G198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7" ht="24.6" x14ac:dyDescent="0.65">
      <c r="A199" s="10">
        <v>195</v>
      </c>
      <c r="B199" s="20"/>
      <c r="C199" s="12">
        <f>+'5'!G199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7" ht="24.6" x14ac:dyDescent="0.65">
      <c r="A200" s="10">
        <v>196</v>
      </c>
      <c r="B200" s="20"/>
      <c r="C200" s="12">
        <f>+'5'!G200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7" ht="24.6" x14ac:dyDescent="0.65">
      <c r="A201" s="10">
        <v>197</v>
      </c>
      <c r="B201" s="20"/>
      <c r="C201" s="12">
        <f>+'5'!G201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7" ht="24.6" x14ac:dyDescent="0.65">
      <c r="A202" s="10">
        <v>198</v>
      </c>
      <c r="B202" s="20"/>
      <c r="C202" s="12">
        <f>+'5'!G202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7" ht="24.6" x14ac:dyDescent="0.65">
      <c r="A203" s="10">
        <v>199</v>
      </c>
      <c r="B203" s="20"/>
      <c r="C203" s="12">
        <f>+'5'!G203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7" ht="24.6" x14ac:dyDescent="0.65">
      <c r="A204" s="10">
        <v>200</v>
      </c>
      <c r="B204" s="20"/>
      <c r="C204" s="12">
        <f>+'5'!G204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7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7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7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2840</v>
      </c>
    </row>
    <row r="208" spans="1:17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  <c r="Q208" s="28" t="s">
        <v>261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880</v>
      </c>
      <c r="L209" s="2">
        <v>500</v>
      </c>
      <c r="M209" s="2">
        <v>60</v>
      </c>
      <c r="N209" s="2">
        <v>100</v>
      </c>
      <c r="O209" s="2">
        <v>50</v>
      </c>
      <c r="P209" s="2">
        <v>50</v>
      </c>
      <c r="Q209" s="28">
        <v>120</v>
      </c>
    </row>
    <row r="210" spans="1:17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7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7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610</v>
      </c>
    </row>
    <row r="213" spans="1:17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1350</v>
      </c>
    </row>
    <row r="214" spans="1:17" ht="24.6" x14ac:dyDescent="0.65">
      <c r="A214" s="1"/>
      <c r="C214" s="32"/>
      <c r="E214" s="32"/>
      <c r="G214" s="32"/>
      <c r="I214" s="141" t="s">
        <v>208</v>
      </c>
      <c r="J214" s="142"/>
      <c r="K214" s="38">
        <v>1350</v>
      </c>
    </row>
    <row r="215" spans="1:17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7" ht="24.6" x14ac:dyDescent="0.65">
      <c r="G216" s="2"/>
      <c r="I216" s="141" t="s">
        <v>210</v>
      </c>
      <c r="J216" s="142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95" t="s">
        <v>255</v>
      </c>
      <c r="K218" s="24">
        <f>+K207-K212+K215</f>
        <v>2230</v>
      </c>
    </row>
    <row r="219" spans="1:17" x14ac:dyDescent="0.6">
      <c r="G219" s="2"/>
      <c r="I219" s="2"/>
      <c r="J219" s="2" t="s">
        <v>256</v>
      </c>
      <c r="K219" s="24">
        <f>SUM(K208:K211)</f>
        <v>880</v>
      </c>
    </row>
    <row r="220" spans="1:17" x14ac:dyDescent="0.6">
      <c r="G220" s="2"/>
      <c r="I220" s="2"/>
      <c r="J220" s="2" t="s">
        <v>257</v>
      </c>
      <c r="K220" s="24">
        <f>+K214</f>
        <v>1350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BFE-769F-453D-A5C0-7EEF30EEB9A2}">
  <sheetPr>
    <tabColor theme="5" tint="0.79998168889431442"/>
  </sheetPr>
  <dimension ref="A1:Z291"/>
  <sheetViews>
    <sheetView topLeftCell="E1" zoomScale="90" zoomScaleNormal="90" workbookViewId="0">
      <pane ySplit="4" topLeftCell="A203" activePane="bottomLeft" state="frozen"/>
      <selection pane="bottomLeft"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+'6'!G5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+'6'!G6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+'6'!G12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+'6'!G14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+'6'!G17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+'6'!G19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3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+'6'!G23</f>
        <v>12</v>
      </c>
      <c r="D23" s="13">
        <v>0</v>
      </c>
      <c r="E23" s="14">
        <f t="shared" si="1"/>
        <v>12</v>
      </c>
      <c r="F23" s="13">
        <v>0</v>
      </c>
      <c r="G23" s="14">
        <f t="shared" si="0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+'6'!G34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+'6'!G35</f>
        <v>4</v>
      </c>
      <c r="D35" s="13">
        <v>5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+'6'!G37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+'6'!G38</f>
        <v>2</v>
      </c>
      <c r="D38" s="13">
        <v>0</v>
      </c>
      <c r="E38" s="14">
        <f t="shared" si="1"/>
        <v>2</v>
      </c>
      <c r="F38" s="13">
        <v>0</v>
      </c>
      <c r="G38" s="14">
        <f t="shared" si="0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+'6'!G39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+'6'!G41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+'6'!G42</f>
        <v>2</v>
      </c>
      <c r="D42" s="13">
        <v>5</v>
      </c>
      <c r="E42" s="14">
        <f t="shared" si="1"/>
        <v>7</v>
      </c>
      <c r="F42" s="13">
        <v>0</v>
      </c>
      <c r="G42" s="14">
        <f t="shared" si="0"/>
        <v>6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+'6'!G43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+'6'!G44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+'6'!G46</f>
        <v>5</v>
      </c>
      <c r="D46" s="13">
        <v>5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+'6'!G47</f>
        <v>0</v>
      </c>
      <c r="D47" s="13">
        <v>10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+'6'!G48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+'6'!G49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+'6'!G50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+'6'!G55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+'6'!G57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+'6'!G62</f>
        <v>1</v>
      </c>
      <c r="D62" s="13">
        <v>3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+'6'!G63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+'6'!G66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+'6'!G67</f>
        <v>0</v>
      </c>
      <c r="D67" s="13">
        <v>5</v>
      </c>
      <c r="E67" s="14">
        <f t="shared" si="1"/>
        <v>5</v>
      </c>
      <c r="F67" s="13">
        <v>0</v>
      </c>
      <c r="G67" s="14">
        <f t="shared" si="0"/>
        <v>4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+'6'!G71</f>
        <v>4</v>
      </c>
      <c r="D71" s="13">
        <v>5</v>
      </c>
      <c r="E71" s="14">
        <f t="shared" si="7"/>
        <v>9</v>
      </c>
      <c r="F71" s="13">
        <v>0</v>
      </c>
      <c r="G71" s="14">
        <f t="shared" si="0"/>
        <v>9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+'6'!G73</f>
        <v>15</v>
      </c>
      <c r="D73" s="13">
        <v>10</v>
      </c>
      <c r="E73" s="14">
        <f t="shared" si="7"/>
        <v>25</v>
      </c>
      <c r="F73" s="13">
        <v>0</v>
      </c>
      <c r="G73" s="14">
        <f t="shared" si="0"/>
        <v>25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+'6'!G74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+'6'!G77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+'6'!G79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+'6'!G81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+'6'!G85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27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+'6'!G86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+'6'!G87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+'6'!G88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+'6'!G101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+'6'!G102</f>
        <v>10</v>
      </c>
      <c r="D102" s="13">
        <v>10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+'6'!G103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+'6'!G142</f>
        <v>4</v>
      </c>
      <c r="D142" s="13">
        <v>3</v>
      </c>
      <c r="E142" s="14">
        <f t="shared" si="14"/>
        <v>7</v>
      </c>
      <c r="F142" s="13">
        <v>2</v>
      </c>
      <c r="G142" s="14">
        <f t="shared" si="13"/>
        <v>4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+'6'!G143</f>
        <v>4</v>
      </c>
      <c r="D143" s="13">
        <v>3</v>
      </c>
      <c r="E143" s="14">
        <f t="shared" si="14"/>
        <v>7</v>
      </c>
      <c r="F143" s="13">
        <v>2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+'6'!G150</f>
        <v>4</v>
      </c>
      <c r="D150" s="13">
        <v>0</v>
      </c>
      <c r="E150" s="14">
        <f t="shared" si="14"/>
        <v>4</v>
      </c>
      <c r="F150" s="13">
        <v>2</v>
      </c>
      <c r="G150" s="14">
        <f t="shared" si="13"/>
        <v>2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+'6'!G151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+'6'!G152</f>
        <v>1</v>
      </c>
      <c r="D152" s="13">
        <v>5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+'6'!G167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+'6'!G168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+'6'!G170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320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320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320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95" t="s">
        <v>255</v>
      </c>
      <c r="K218" s="24">
        <f>+K207-K212+K215</f>
        <v>320</v>
      </c>
    </row>
    <row r="219" spans="1:11" x14ac:dyDescent="0.6">
      <c r="G219" s="2"/>
      <c r="I219" s="2"/>
      <c r="J219" s="2" t="s">
        <v>256</v>
      </c>
      <c r="K219" s="24">
        <f>SUM(K208:K211)</f>
        <v>0</v>
      </c>
    </row>
    <row r="220" spans="1:11" x14ac:dyDescent="0.6">
      <c r="G220" s="2"/>
      <c r="I220" s="2"/>
      <c r="J220" s="2" t="s">
        <v>257</v>
      </c>
      <c r="K220" s="24">
        <f>+K214</f>
        <v>320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BA11-50AD-4857-9E77-3BAA971C00AE}">
  <sheetPr>
    <tabColor theme="5" tint="0.79998168889431442"/>
  </sheetPr>
  <dimension ref="A1:Z291"/>
  <sheetViews>
    <sheetView topLeftCell="D1" zoomScale="90" zoomScaleNormal="90" workbookViewId="0">
      <pane ySplit="4" topLeftCell="A207" activePane="bottomLeft" state="frozen"/>
      <selection pane="bottomLeft"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+'7'!G5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+'7'!G6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15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+'7'!G12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3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+'7'!G14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+'7'!G17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3</v>
      </c>
      <c r="H17" s="15">
        <v>2</v>
      </c>
      <c r="I17" s="16">
        <v>50</v>
      </c>
      <c r="J17" s="17">
        <f t="shared" si="2"/>
        <v>100</v>
      </c>
      <c r="K17" s="18" t="s">
        <v>262</v>
      </c>
      <c r="L17" s="19">
        <v>50</v>
      </c>
      <c r="M17" s="24">
        <f t="shared" si="3"/>
        <v>50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+'7'!G19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2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+'7'!G23</f>
        <v>12</v>
      </c>
      <c r="D23" s="13">
        <v>0</v>
      </c>
      <c r="E23" s="14">
        <f t="shared" si="1"/>
        <v>12</v>
      </c>
      <c r="F23" s="13">
        <v>0</v>
      </c>
      <c r="G23" s="14">
        <f t="shared" si="0"/>
        <v>10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+'7'!G34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+'7'!G35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+'7'!G37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+'7'!G38</f>
        <v>2</v>
      </c>
      <c r="D38" s="13">
        <v>0</v>
      </c>
      <c r="E38" s="14">
        <f t="shared" si="1"/>
        <v>2</v>
      </c>
      <c r="F38" s="13">
        <v>0</v>
      </c>
      <c r="G38" s="14">
        <f t="shared" si="0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+'7'!G39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+'7'!G41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5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+'7'!G42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+'7'!G43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+'7'!G44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+'7'!G46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8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8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+'7'!G48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+'7'!G49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0</v>
      </c>
      <c r="H49" s="15">
        <v>1</v>
      </c>
      <c r="I49" s="16">
        <v>50</v>
      </c>
      <c r="J49" s="17">
        <f t="shared" si="2"/>
        <v>50</v>
      </c>
      <c r="K49" s="18" t="s">
        <v>262</v>
      </c>
      <c r="L49" s="19">
        <v>50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+'7'!G50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+'7'!G55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+'7'!G57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+'7'!G61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+'7'!G62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1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+'7'!G66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+'7'!G67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2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+'7'!G71</f>
        <v>9</v>
      </c>
      <c r="D71" s="13">
        <v>0</v>
      </c>
      <c r="E71" s="14">
        <f t="shared" si="7"/>
        <v>9</v>
      </c>
      <c r="F71" s="13">
        <v>0</v>
      </c>
      <c r="G71" s="14">
        <f t="shared" si="0"/>
        <v>6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+'7'!G73</f>
        <v>25</v>
      </c>
      <c r="D73" s="13">
        <v>0</v>
      </c>
      <c r="E73" s="14">
        <f t="shared" si="7"/>
        <v>25</v>
      </c>
      <c r="F73" s="13">
        <v>0</v>
      </c>
      <c r="G73" s="14">
        <f t="shared" si="0"/>
        <v>24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+'7'!G74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12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+'7'!G77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+'7'!G79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4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+'7'!G81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+'7'!G85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25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+'7'!G86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+'7'!G87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12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+'7'!G88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+'7'!G101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+'7'!G102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19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+'7'!G103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3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+'7'!G142</f>
        <v>4</v>
      </c>
      <c r="D142" s="13">
        <v>0</v>
      </c>
      <c r="E142" s="14">
        <f t="shared" si="14"/>
        <v>4</v>
      </c>
      <c r="F142" s="13">
        <v>0</v>
      </c>
      <c r="G142" s="14">
        <f t="shared" si="13"/>
        <v>3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+'7'!G143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2</v>
      </c>
      <c r="H143" s="15">
        <v>3</v>
      </c>
      <c r="I143" s="21">
        <v>120</v>
      </c>
      <c r="J143" s="17">
        <f t="shared" si="15"/>
        <v>360</v>
      </c>
      <c r="K143" s="18" t="s">
        <v>16</v>
      </c>
      <c r="L143" s="19">
        <v>0</v>
      </c>
      <c r="M143" s="24">
        <f t="shared" si="16"/>
        <v>360</v>
      </c>
    </row>
    <row r="144" spans="1:13" ht="24.6" x14ac:dyDescent="0.6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+'7'!G150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0</v>
      </c>
      <c r="H150" s="15">
        <v>2</v>
      </c>
      <c r="I150" s="21">
        <v>120</v>
      </c>
      <c r="J150" s="17">
        <f t="shared" si="15"/>
        <v>240</v>
      </c>
      <c r="K150" s="18" t="s">
        <v>16</v>
      </c>
      <c r="L150" s="19">
        <v>0</v>
      </c>
      <c r="M150" s="24">
        <f t="shared" si="16"/>
        <v>240</v>
      </c>
    </row>
    <row r="151" spans="1:13" ht="24.6" x14ac:dyDescent="0.65">
      <c r="A151" s="10">
        <v>147</v>
      </c>
      <c r="B151" s="20" t="s">
        <v>163</v>
      </c>
      <c r="C151" s="12">
        <f>+'7'!G151</f>
        <v>5</v>
      </c>
      <c r="D151" s="13">
        <v>0</v>
      </c>
      <c r="E151" s="14">
        <f t="shared" si="14"/>
        <v>5</v>
      </c>
      <c r="F151" s="13">
        <v>1</v>
      </c>
      <c r="G151" s="14">
        <f t="shared" si="13"/>
        <v>3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4.6" x14ac:dyDescent="0.65">
      <c r="A152" s="10">
        <v>148</v>
      </c>
      <c r="B152" s="20" t="s">
        <v>164</v>
      </c>
      <c r="C152" s="12">
        <f>+'7'!G152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+'7'!G167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+'7'!G168</f>
        <v>37</v>
      </c>
      <c r="D168" s="13">
        <v>86</v>
      </c>
      <c r="E168" s="14">
        <f t="shared" si="14"/>
        <v>123</v>
      </c>
      <c r="F168" s="13">
        <v>0</v>
      </c>
      <c r="G168" s="14">
        <f t="shared" si="17"/>
        <v>123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+'7'!G170</f>
        <v>0</v>
      </c>
      <c r="D170" s="13">
        <v>25</v>
      </c>
      <c r="E170" s="14">
        <f t="shared" si="14"/>
        <v>25</v>
      </c>
      <c r="F170" s="13">
        <v>0</v>
      </c>
      <c r="G170" s="14">
        <f t="shared" si="17"/>
        <v>25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+'7'!G178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2960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880</v>
      </c>
      <c r="L209" s="2">
        <v>560</v>
      </c>
      <c r="M209" s="2">
        <v>220</v>
      </c>
      <c r="N209" s="2">
        <v>100</v>
      </c>
    </row>
    <row r="210" spans="1:14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4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4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100</v>
      </c>
    </row>
    <row r="213" spans="1:14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1980</v>
      </c>
    </row>
    <row r="214" spans="1:14" ht="24.6" x14ac:dyDescent="0.65">
      <c r="A214" s="1"/>
      <c r="C214" s="32"/>
      <c r="E214" s="32"/>
      <c r="G214" s="32"/>
      <c r="I214" s="141" t="s">
        <v>208</v>
      </c>
      <c r="J214" s="142"/>
      <c r="K214" s="38">
        <v>1980</v>
      </c>
    </row>
    <row r="215" spans="1:14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4" ht="24.6" x14ac:dyDescent="0.65">
      <c r="G216" s="2"/>
      <c r="I216" s="141" t="s">
        <v>210</v>
      </c>
      <c r="J216" s="142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95" t="s">
        <v>255</v>
      </c>
      <c r="K218" s="24">
        <f>+K207-K212+K215</f>
        <v>2860</v>
      </c>
    </row>
    <row r="219" spans="1:14" x14ac:dyDescent="0.6">
      <c r="G219" s="2"/>
      <c r="I219" s="2"/>
      <c r="J219" s="2" t="s">
        <v>256</v>
      </c>
      <c r="K219" s="24">
        <f>SUM(K208:K211)</f>
        <v>880</v>
      </c>
    </row>
    <row r="220" spans="1:14" x14ac:dyDescent="0.6">
      <c r="G220" s="2"/>
      <c r="I220" s="2"/>
      <c r="J220" s="2" t="s">
        <v>257</v>
      </c>
      <c r="K220" s="24">
        <f>+K214</f>
        <v>1980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D34F-4937-484D-AE67-0B9BC969416B}">
  <sheetPr>
    <tabColor theme="5" tint="0.79998168889431442"/>
  </sheetPr>
  <dimension ref="A1:Z291"/>
  <sheetViews>
    <sheetView topLeftCell="A202" zoomScale="90" zoomScaleNormal="90" workbookViewId="0">
      <selection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+'8'!G5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+'8'!G6</f>
        <v>15</v>
      </c>
      <c r="D6" s="13">
        <v>10</v>
      </c>
      <c r="E6" s="14">
        <f t="shared" ref="E6:E69" si="1">C6+D6</f>
        <v>25</v>
      </c>
      <c r="F6" s="13">
        <v>0</v>
      </c>
      <c r="G6" s="14">
        <f t="shared" si="0"/>
        <v>24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+'8'!G12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+'8'!G17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+'8'!G19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+'8'!G23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5</v>
      </c>
      <c r="H23" s="15">
        <v>5</v>
      </c>
      <c r="I23" s="16">
        <v>100</v>
      </c>
      <c r="J23" s="17">
        <f t="shared" si="2"/>
        <v>500</v>
      </c>
      <c r="K23" s="18" t="s">
        <v>16</v>
      </c>
      <c r="L23" s="19">
        <v>0</v>
      </c>
      <c r="M23" s="24">
        <f t="shared" si="3"/>
        <v>500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+'8'!G34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+'8'!G35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+'8'!G37</f>
        <v>3</v>
      </c>
      <c r="D37" s="13">
        <v>5</v>
      </c>
      <c r="E37" s="14">
        <f t="shared" si="1"/>
        <v>8</v>
      </c>
      <c r="F37" s="13">
        <v>0</v>
      </c>
      <c r="G37" s="14">
        <f t="shared" si="0"/>
        <v>5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+'8'!G38</f>
        <v>2</v>
      </c>
      <c r="D38" s="13">
        <v>5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+'8'!G39</f>
        <v>2</v>
      </c>
      <c r="D39" s="13">
        <v>5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+'8'!G41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+'8'!G42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5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+'8'!G43</f>
        <v>2</v>
      </c>
      <c r="D43" s="13">
        <v>4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+'8'!G44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+'8'!G46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+'8'!G47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+'8'!G48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+'8'!G50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4</v>
      </c>
      <c r="H50" s="15">
        <v>1</v>
      </c>
      <c r="I50" s="16">
        <v>120</v>
      </c>
      <c r="J50" s="17">
        <f t="shared" si="2"/>
        <v>120</v>
      </c>
      <c r="K50" s="18" t="s">
        <v>258</v>
      </c>
      <c r="L50" s="19">
        <v>35</v>
      </c>
      <c r="M50" s="24">
        <f t="shared" si="3"/>
        <v>85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+'8'!G55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3</v>
      </c>
      <c r="H55" s="15">
        <v>1</v>
      </c>
      <c r="I55" s="22">
        <v>120</v>
      </c>
      <c r="J55" s="17">
        <f t="shared" si="2"/>
        <v>120</v>
      </c>
      <c r="K55" s="18" t="s">
        <v>258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+'8'!G57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+'8'!G61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0</v>
      </c>
      <c r="H61" s="15">
        <v>3</v>
      </c>
      <c r="I61" s="16">
        <v>50</v>
      </c>
      <c r="J61" s="17">
        <f t="shared" si="2"/>
        <v>150</v>
      </c>
      <c r="K61" s="18" t="s">
        <v>16</v>
      </c>
      <c r="L61" s="19">
        <v>0</v>
      </c>
      <c r="M61" s="24">
        <f t="shared" si="3"/>
        <v>150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+'8'!G62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+'8'!G63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+'8'!G66</f>
        <v>6</v>
      </c>
      <c r="D66" s="13">
        <v>10</v>
      </c>
      <c r="E66" s="14">
        <f t="shared" si="1"/>
        <v>16</v>
      </c>
      <c r="F66" s="13">
        <v>0</v>
      </c>
      <c r="G66" s="14">
        <f t="shared" si="0"/>
        <v>16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+'8'!G67</f>
        <v>2</v>
      </c>
      <c r="D67" s="13">
        <v>10</v>
      </c>
      <c r="E67" s="14">
        <f t="shared" si="1"/>
        <v>12</v>
      </c>
      <c r="F67" s="13">
        <v>0</v>
      </c>
      <c r="G67" s="14">
        <f t="shared" si="0"/>
        <v>11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+'8'!G71</f>
        <v>6</v>
      </c>
      <c r="D71" s="13">
        <v>5</v>
      </c>
      <c r="E71" s="14">
        <f t="shared" si="7"/>
        <v>11</v>
      </c>
      <c r="F71" s="13">
        <v>0</v>
      </c>
      <c r="G71" s="14">
        <f t="shared" si="0"/>
        <v>11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+'8'!G73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+'8'!G74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9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+'8'!G77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3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+'8'!G79</f>
        <v>4</v>
      </c>
      <c r="D79" s="13">
        <v>10</v>
      </c>
      <c r="E79" s="14">
        <f t="shared" si="7"/>
        <v>14</v>
      </c>
      <c r="F79" s="13">
        <v>0</v>
      </c>
      <c r="G79" s="14">
        <f t="shared" si="0"/>
        <v>13</v>
      </c>
      <c r="H79" s="15">
        <v>1</v>
      </c>
      <c r="I79" s="23">
        <v>50</v>
      </c>
      <c r="J79" s="17">
        <f t="shared" si="8"/>
        <v>50</v>
      </c>
      <c r="K79" s="18" t="s">
        <v>253</v>
      </c>
      <c r="L79" s="19">
        <v>50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+'8'!G81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+'8'!G82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+'8'!G85</f>
        <v>25</v>
      </c>
      <c r="D85" s="13">
        <v>0</v>
      </c>
      <c r="E85" s="14">
        <f t="shared" si="7"/>
        <v>25</v>
      </c>
      <c r="F85" s="13">
        <v>0</v>
      </c>
      <c r="G85" s="14">
        <f t="shared" si="0"/>
        <v>21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+'8'!G86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+'8'!G87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11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+'8'!G88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+'8'!G101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+'8'!G102</f>
        <v>19</v>
      </c>
      <c r="D102" s="13">
        <v>0</v>
      </c>
      <c r="E102" s="14">
        <f t="shared" si="7"/>
        <v>19</v>
      </c>
      <c r="F102" s="13">
        <v>0</v>
      </c>
      <c r="G102" s="14">
        <f t="shared" si="13"/>
        <v>19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+'8'!G103</f>
        <v>3</v>
      </c>
      <c r="D103" s="13">
        <v>5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+'8'!G142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+'8'!G143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+'8'!G151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+'8'!G152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5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4.6" x14ac:dyDescent="0.6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+'8'!G167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+'8'!G168</f>
        <v>123</v>
      </c>
      <c r="D168" s="13">
        <v>0</v>
      </c>
      <c r="E168" s="14">
        <f t="shared" si="14"/>
        <v>123</v>
      </c>
      <c r="F168" s="13">
        <v>0</v>
      </c>
      <c r="G168" s="14">
        <f t="shared" si="17"/>
        <v>122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+'8'!G170</f>
        <v>25</v>
      </c>
      <c r="D170" s="13">
        <v>0</v>
      </c>
      <c r="E170" s="14">
        <f t="shared" si="14"/>
        <v>25</v>
      </c>
      <c r="F170" s="13">
        <v>0</v>
      </c>
      <c r="G170" s="14">
        <f t="shared" si="17"/>
        <v>25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2585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1020</v>
      </c>
      <c r="L209" s="2">
        <v>1020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120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1430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1430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2465</v>
      </c>
    </row>
    <row r="219" spans="1:12" x14ac:dyDescent="0.6">
      <c r="G219" s="2"/>
      <c r="I219" s="2"/>
      <c r="J219" s="2" t="s">
        <v>256</v>
      </c>
      <c r="K219" s="24">
        <f>SUM(K208:K211)</f>
        <v>1035</v>
      </c>
    </row>
    <row r="220" spans="1:12" x14ac:dyDescent="0.6">
      <c r="G220" s="2"/>
      <c r="I220" s="2"/>
      <c r="J220" s="2" t="s">
        <v>257</v>
      </c>
      <c r="K220" s="24">
        <f>+K214</f>
        <v>1430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BB46-4CD4-4195-8EE2-09FE1FE235FF}">
  <sheetPr>
    <tabColor theme="5" tint="0.79998168889431442"/>
  </sheetPr>
  <dimension ref="A1:Z291"/>
  <sheetViews>
    <sheetView topLeftCell="C1" zoomScale="90" zoomScaleNormal="90" workbookViewId="0">
      <pane ySplit="4" topLeftCell="A203" activePane="bottomLeft" state="frozen"/>
      <selection pane="bottomLeft" activeCell="B216" sqref="B21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+'9'!G5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12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+'9'!G6</f>
        <v>24</v>
      </c>
      <c r="D6" s="13">
        <v>0</v>
      </c>
      <c r="E6" s="14">
        <f t="shared" ref="E6:E69" si="1">C6+D6</f>
        <v>24</v>
      </c>
      <c r="F6" s="13">
        <v>0</v>
      </c>
      <c r="G6" s="14">
        <f t="shared" si="0"/>
        <v>23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+'9'!G12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+'9'!G14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+'9'!G17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+'9'!G19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1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+'9'!G23</f>
        <v>5</v>
      </c>
      <c r="D23" s="13">
        <v>0</v>
      </c>
      <c r="E23" s="14">
        <f t="shared" si="1"/>
        <v>5</v>
      </c>
      <c r="F23" s="13">
        <v>0</v>
      </c>
      <c r="G23" s="14">
        <f t="shared" si="0"/>
        <v>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+'9'!G34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+'9'!G35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+'9'!G37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+'9'!G38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+'9'!G39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+'9'!G41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+'9'!G42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+'9'!G43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+'9'!G44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+'9'!G46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+'9'!G47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+'9'!G48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+'9'!G50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1</v>
      </c>
      <c r="H50" s="15">
        <v>3</v>
      </c>
      <c r="I50" s="16">
        <v>120</v>
      </c>
      <c r="J50" s="17">
        <f t="shared" si="2"/>
        <v>360</v>
      </c>
      <c r="K50" s="18" t="s">
        <v>263</v>
      </c>
      <c r="L50" s="19">
        <v>180</v>
      </c>
      <c r="M50" s="24">
        <f t="shared" si="3"/>
        <v>180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+'9'!G55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0</v>
      </c>
      <c r="H55" s="15">
        <v>3</v>
      </c>
      <c r="I55" s="22">
        <v>120</v>
      </c>
      <c r="J55" s="17">
        <f t="shared" si="2"/>
        <v>360</v>
      </c>
      <c r="K55" s="18" t="s">
        <v>263</v>
      </c>
      <c r="L55" s="19">
        <v>180</v>
      </c>
      <c r="M55" s="24">
        <f t="shared" si="3"/>
        <v>180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+'9'!G57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2</v>
      </c>
      <c r="H57" s="15">
        <v>2</v>
      </c>
      <c r="I57" s="22">
        <v>120</v>
      </c>
      <c r="J57" s="17">
        <f t="shared" si="2"/>
        <v>240</v>
      </c>
      <c r="K57" s="18" t="s">
        <v>263</v>
      </c>
      <c r="L57" s="19">
        <v>120</v>
      </c>
      <c r="M57" s="24">
        <f t="shared" si="3"/>
        <v>120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+'9'!G61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+'9'!G62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+'9'!G63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+'9'!G66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+'9'!G67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9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+'9'!G71</f>
        <v>11</v>
      </c>
      <c r="D71" s="13">
        <v>0</v>
      </c>
      <c r="E71" s="14">
        <f t="shared" si="7"/>
        <v>11</v>
      </c>
      <c r="F71" s="13">
        <v>0</v>
      </c>
      <c r="G71" s="14">
        <f t="shared" si="0"/>
        <v>9</v>
      </c>
      <c r="H71" s="15">
        <v>2</v>
      </c>
      <c r="I71" s="21">
        <v>60</v>
      </c>
      <c r="J71" s="17">
        <f t="shared" si="8"/>
        <v>120</v>
      </c>
      <c r="K71" s="18" t="s">
        <v>264</v>
      </c>
      <c r="L71" s="19">
        <v>30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+'9'!G73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+'9'!G74</f>
        <v>9</v>
      </c>
      <c r="D74" s="13">
        <v>0</v>
      </c>
      <c r="E74" s="14">
        <f t="shared" si="7"/>
        <v>9</v>
      </c>
      <c r="F74" s="13">
        <v>0</v>
      </c>
      <c r="G74" s="14">
        <f t="shared" si="0"/>
        <v>9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+'9'!G77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+'9'!G79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12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2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+'9'!G82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+'9'!G85</f>
        <v>21</v>
      </c>
      <c r="D85" s="13">
        <v>0</v>
      </c>
      <c r="E85" s="14">
        <f t="shared" si="7"/>
        <v>21</v>
      </c>
      <c r="F85" s="13">
        <v>0</v>
      </c>
      <c r="G85" s="14">
        <f t="shared" si="0"/>
        <v>20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+'9'!G86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+'9'!G87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+'9'!G88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+'9'!G101</f>
        <v>0</v>
      </c>
      <c r="D101" s="13">
        <v>25</v>
      </c>
      <c r="E101" s="14">
        <f t="shared" si="7"/>
        <v>25</v>
      </c>
      <c r="F101" s="13">
        <v>0</v>
      </c>
      <c r="G101" s="14">
        <f t="shared" si="13"/>
        <v>25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+'9'!G102</f>
        <v>19</v>
      </c>
      <c r="D102" s="13">
        <v>0</v>
      </c>
      <c r="E102" s="14">
        <f t="shared" si="7"/>
        <v>19</v>
      </c>
      <c r="F102" s="13">
        <v>0</v>
      </c>
      <c r="G102" s="14">
        <f t="shared" si="13"/>
        <v>17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+'9'!G103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7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+'9'!G142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+'9'!G143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+'9'!G151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+'9'!G152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5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+'9'!G167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2</v>
      </c>
      <c r="H167" s="15">
        <v>2</v>
      </c>
      <c r="I167" s="21">
        <v>50</v>
      </c>
      <c r="J167" s="17">
        <f t="shared" si="15"/>
        <v>100</v>
      </c>
      <c r="K167" s="18" t="s">
        <v>16</v>
      </c>
      <c r="L167" s="19">
        <v>0</v>
      </c>
      <c r="M167" s="24">
        <f t="shared" si="16"/>
        <v>100</v>
      </c>
    </row>
    <row r="168" spans="1:13" ht="24.6" x14ac:dyDescent="0.65">
      <c r="A168" s="10">
        <v>164</v>
      </c>
      <c r="B168" s="20" t="s">
        <v>180</v>
      </c>
      <c r="C168" s="12">
        <f>+'9'!G168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+'9'!G170</f>
        <v>25</v>
      </c>
      <c r="D170" s="13">
        <v>0</v>
      </c>
      <c r="E170" s="14">
        <f t="shared" si="14"/>
        <v>25</v>
      </c>
      <c r="F170" s="13">
        <v>0</v>
      </c>
      <c r="G170" s="14">
        <f t="shared" si="17"/>
        <v>24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+'9'!G178</f>
        <v>0</v>
      </c>
      <c r="D178" s="13">
        <v>5</v>
      </c>
      <c r="E178" s="14">
        <f t="shared" si="14"/>
        <v>5</v>
      </c>
      <c r="F178" s="13">
        <v>0</v>
      </c>
      <c r="G178" s="12">
        <f t="shared" si="17"/>
        <v>3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2780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535</v>
      </c>
      <c r="L209" s="2">
        <v>100</v>
      </c>
      <c r="M209" s="2">
        <v>155</v>
      </c>
      <c r="N209" s="2">
        <v>100</v>
      </c>
      <c r="O209" s="2">
        <v>180</v>
      </c>
    </row>
    <row r="210" spans="1:15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5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5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510</v>
      </c>
    </row>
    <row r="213" spans="1:15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1720</v>
      </c>
    </row>
    <row r="214" spans="1:15" ht="24.6" x14ac:dyDescent="0.65">
      <c r="A214" s="1"/>
      <c r="C214" s="32"/>
      <c r="E214" s="32"/>
      <c r="G214" s="32"/>
      <c r="I214" s="141" t="s">
        <v>208</v>
      </c>
      <c r="J214" s="142"/>
      <c r="K214" s="38">
        <v>1620</v>
      </c>
    </row>
    <row r="215" spans="1:15" ht="24.6" x14ac:dyDescent="0.65">
      <c r="A215" s="1"/>
      <c r="B215" s="2" t="s">
        <v>266</v>
      </c>
      <c r="C215" s="32"/>
      <c r="E215" s="32"/>
      <c r="G215" s="32"/>
      <c r="I215" s="141" t="s">
        <v>209</v>
      </c>
      <c r="J215" s="142"/>
      <c r="K215" s="34">
        <f>+K214-K213</f>
        <v>-100</v>
      </c>
    </row>
    <row r="216" spans="1:15" ht="24.6" x14ac:dyDescent="0.65">
      <c r="G216" s="2"/>
      <c r="I216" s="141" t="s">
        <v>210</v>
      </c>
      <c r="J216" s="142"/>
      <c r="K216" s="34">
        <f>+K214-K213</f>
        <v>-100</v>
      </c>
    </row>
    <row r="217" spans="1:15" x14ac:dyDescent="0.6">
      <c r="G217" s="2"/>
      <c r="I217" s="2"/>
    </row>
    <row r="218" spans="1:15" x14ac:dyDescent="0.6">
      <c r="G218" s="2"/>
      <c r="I218" s="2"/>
      <c r="J218" s="95" t="s">
        <v>255</v>
      </c>
      <c r="K218" s="24">
        <f>+K207-K212+K215</f>
        <v>2170</v>
      </c>
    </row>
    <row r="219" spans="1:15" x14ac:dyDescent="0.6">
      <c r="G219" s="2"/>
      <c r="I219" s="2"/>
      <c r="J219" s="2" t="s">
        <v>256</v>
      </c>
      <c r="K219" s="24">
        <f>SUM(K208:K211)</f>
        <v>550</v>
      </c>
    </row>
    <row r="220" spans="1:15" x14ac:dyDescent="0.6">
      <c r="G220" s="2"/>
      <c r="I220" s="2"/>
      <c r="J220" s="2" t="s">
        <v>257</v>
      </c>
      <c r="K220" s="24">
        <f>+K214</f>
        <v>1620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100-5E61-40DB-BBE0-5F15DA854709}">
  <sheetPr>
    <tabColor theme="5" tint="0.79998168889431442"/>
  </sheetPr>
  <dimension ref="A1:Z291"/>
  <sheetViews>
    <sheetView zoomScale="90" zoomScaleNormal="90" workbookViewId="0">
      <pane ySplit="4" topLeftCell="A205" activePane="bottomLeft" state="frozen"/>
      <selection pane="bottomLeft"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+'10'!G5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+'10'!G6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21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+'10'!G12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+'10'!G14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+'10'!G17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+'10'!G19</f>
        <v>1</v>
      </c>
      <c r="D19" s="13">
        <v>0</v>
      </c>
      <c r="E19" s="14">
        <f t="shared" si="1"/>
        <v>1</v>
      </c>
      <c r="F19" s="13">
        <v>0</v>
      </c>
      <c r="G19" s="14">
        <f t="shared" si="0"/>
        <v>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+'10'!G23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2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+'10'!G34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+'10'!G35</f>
        <v>9</v>
      </c>
      <c r="D35" s="13">
        <v>0</v>
      </c>
      <c r="E35" s="14">
        <f t="shared" si="1"/>
        <v>9</v>
      </c>
      <c r="F35" s="13">
        <v>5</v>
      </c>
      <c r="G35" s="14">
        <f t="shared" si="0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+'10'!G37</f>
        <v>3</v>
      </c>
      <c r="D37" s="13">
        <v>0</v>
      </c>
      <c r="E37" s="14">
        <f t="shared" si="1"/>
        <v>3</v>
      </c>
      <c r="F37" s="13">
        <v>0</v>
      </c>
      <c r="G37" s="14">
        <f t="shared" si="0"/>
        <v>1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+'10'!G38</f>
        <v>7</v>
      </c>
      <c r="D38" s="13">
        <v>0</v>
      </c>
      <c r="E38" s="14">
        <f t="shared" si="1"/>
        <v>7</v>
      </c>
      <c r="F38" s="13">
        <v>5</v>
      </c>
      <c r="G38" s="14">
        <f t="shared" si="0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+'10'!G39</f>
        <v>7</v>
      </c>
      <c r="D39" s="13">
        <v>0</v>
      </c>
      <c r="E39" s="14">
        <f t="shared" si="1"/>
        <v>7</v>
      </c>
      <c r="F39" s="13">
        <v>5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+'10'!G40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+'10'!G41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+'10'!G42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+'10'!G43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5</v>
      </c>
      <c r="H43" s="15">
        <v>1</v>
      </c>
      <c r="I43" s="16">
        <v>50</v>
      </c>
      <c r="J43" s="17">
        <f t="shared" si="2"/>
        <v>50</v>
      </c>
      <c r="K43" s="18" t="s">
        <v>262</v>
      </c>
      <c r="L43" s="19">
        <v>50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+'10'!G44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+'10'!G46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+'10'!G47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+'10'!G48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+'10'!G50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+'10'!G57</f>
        <v>2</v>
      </c>
      <c r="D57" s="13">
        <v>0</v>
      </c>
      <c r="E57" s="14">
        <f t="shared" si="1"/>
        <v>2</v>
      </c>
      <c r="F57" s="13">
        <v>0</v>
      </c>
      <c r="G57" s="12">
        <f t="shared" si="0"/>
        <v>0</v>
      </c>
      <c r="H57" s="15">
        <v>2</v>
      </c>
      <c r="I57" s="22">
        <v>120</v>
      </c>
      <c r="J57" s="17">
        <f t="shared" si="2"/>
        <v>240</v>
      </c>
      <c r="K57" s="18" t="s">
        <v>265</v>
      </c>
      <c r="L57" s="19">
        <v>130</v>
      </c>
      <c r="M57" s="24">
        <f t="shared" si="3"/>
        <v>110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+'10'!G61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+'10'!G62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+'10'!G63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+'10'!G66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14</v>
      </c>
      <c r="H66" s="15">
        <v>2</v>
      </c>
      <c r="I66" s="16">
        <v>50</v>
      </c>
      <c r="J66" s="17">
        <f t="shared" si="2"/>
        <v>100</v>
      </c>
      <c r="K66" s="18" t="s">
        <v>262</v>
      </c>
      <c r="L66" s="19">
        <v>50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+'10'!G67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7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+'10'!G71</f>
        <v>9</v>
      </c>
      <c r="D71" s="13">
        <v>0</v>
      </c>
      <c r="E71" s="14">
        <f t="shared" si="7"/>
        <v>9</v>
      </c>
      <c r="F71" s="13">
        <v>5</v>
      </c>
      <c r="G71" s="14">
        <f t="shared" si="0"/>
        <v>2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+'10'!G73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22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+'10'!G74</f>
        <v>9</v>
      </c>
      <c r="D74" s="13">
        <v>0</v>
      </c>
      <c r="E74" s="14">
        <f t="shared" si="7"/>
        <v>9</v>
      </c>
      <c r="F74" s="13">
        <v>1</v>
      </c>
      <c r="G74" s="14">
        <f t="shared" si="0"/>
        <v>6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+'10'!G77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+'10'!G79</f>
        <v>12</v>
      </c>
      <c r="D79" s="13">
        <v>0</v>
      </c>
      <c r="E79" s="14">
        <f t="shared" si="7"/>
        <v>12</v>
      </c>
      <c r="F79" s="13">
        <v>5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+'10'!G81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+'10'!G82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+'10'!G85</f>
        <v>20</v>
      </c>
      <c r="D85" s="13">
        <v>0</v>
      </c>
      <c r="E85" s="14">
        <f t="shared" si="7"/>
        <v>20</v>
      </c>
      <c r="F85" s="13">
        <v>0</v>
      </c>
      <c r="G85" s="14">
        <f t="shared" si="0"/>
        <v>18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+'10'!G86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13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+'10'!G87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+'10'!G88</f>
        <v>14</v>
      </c>
      <c r="D88" s="13">
        <v>0</v>
      </c>
      <c r="E88" s="14">
        <f t="shared" si="7"/>
        <v>14</v>
      </c>
      <c r="F88" s="13">
        <v>5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+'10'!G101</f>
        <v>25</v>
      </c>
      <c r="D101" s="13">
        <v>0</v>
      </c>
      <c r="E101" s="14">
        <f t="shared" si="7"/>
        <v>25</v>
      </c>
      <c r="F101" s="13">
        <v>0</v>
      </c>
      <c r="G101" s="14">
        <f t="shared" si="13"/>
        <v>24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+'10'!G102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+'10'!G103</f>
        <v>7</v>
      </c>
      <c r="D103" s="13">
        <v>0</v>
      </c>
      <c r="E103" s="14">
        <f t="shared" si="7"/>
        <v>7</v>
      </c>
      <c r="F103" s="13">
        <v>0</v>
      </c>
      <c r="G103" s="14">
        <f t="shared" si="13"/>
        <v>6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+'10'!G142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+'10'!G143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+'10'!G151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+'10'!G152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5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+'10'!G167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+'10'!G168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+'10'!G170</f>
        <v>24</v>
      </c>
      <c r="D170" s="13">
        <v>0</v>
      </c>
      <c r="E170" s="14">
        <f t="shared" si="14"/>
        <v>24</v>
      </c>
      <c r="F170" s="13">
        <v>0</v>
      </c>
      <c r="G170" s="14">
        <f t="shared" si="17"/>
        <v>22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4.6" x14ac:dyDescent="0.6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+'10'!G178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2555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55</v>
      </c>
      <c r="L209" s="2">
        <v>55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230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2255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2255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2325</v>
      </c>
    </row>
    <row r="219" spans="1:12" x14ac:dyDescent="0.6">
      <c r="G219" s="2"/>
      <c r="I219" s="2"/>
      <c r="J219" s="2" t="s">
        <v>256</v>
      </c>
      <c r="K219" s="24">
        <f>SUM(K208:K211)</f>
        <v>70</v>
      </c>
    </row>
    <row r="220" spans="1:12" x14ac:dyDescent="0.6">
      <c r="G220" s="2"/>
      <c r="I220" s="2"/>
      <c r="J220" s="2" t="s">
        <v>257</v>
      </c>
      <c r="K220" s="24">
        <f>+K214</f>
        <v>2255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DEF-24EC-4193-A531-2CEB1D68A5BD}">
  <sheetPr>
    <tabColor theme="5" tint="0.79998168889431442"/>
  </sheetPr>
  <dimension ref="A1:Z291"/>
  <sheetViews>
    <sheetView zoomScale="90" zoomScaleNormal="90" workbookViewId="0">
      <pane ySplit="4" topLeftCell="A207" activePane="bottomLeft" state="frozen"/>
      <selection pane="bottomLeft" activeCell="J218" sqref="J218:K220"/>
    </sheetView>
  </sheetViews>
  <sheetFormatPr defaultColWidth="9" defaultRowHeight="24" x14ac:dyDescent="0.6"/>
  <cols>
    <col min="1" max="1" width="5.398437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+'11'!G5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+'11'!G6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+'11'!G12</f>
        <v>3</v>
      </c>
      <c r="D12" s="13">
        <v>5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+'11'!G14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+'11'!G17</f>
        <v>3</v>
      </c>
      <c r="D17" s="13">
        <v>5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+'11'!G19</f>
        <v>1</v>
      </c>
      <c r="D19" s="13">
        <v>5</v>
      </c>
      <c r="E19" s="14">
        <f t="shared" si="1"/>
        <v>6</v>
      </c>
      <c r="F19" s="13">
        <v>0</v>
      </c>
      <c r="G19" s="14">
        <f t="shared" si="0"/>
        <v>6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+'11'!G23</f>
        <v>2</v>
      </c>
      <c r="D23" s="13">
        <v>5</v>
      </c>
      <c r="E23" s="14">
        <f t="shared" si="1"/>
        <v>7</v>
      </c>
      <c r="F23" s="13">
        <v>0</v>
      </c>
      <c r="G23" s="14">
        <f t="shared" si="0"/>
        <v>4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+'11'!G34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+'11'!G35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+'11'!G37</f>
        <v>1</v>
      </c>
      <c r="D37" s="13">
        <v>5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+'11'!G38</f>
        <v>2</v>
      </c>
      <c r="D38" s="13">
        <v>5</v>
      </c>
      <c r="E38" s="14">
        <f t="shared" si="1"/>
        <v>7</v>
      </c>
      <c r="F38" s="13">
        <v>0</v>
      </c>
      <c r="G38" s="14">
        <f t="shared" si="0"/>
        <v>4</v>
      </c>
      <c r="H38" s="15">
        <v>3</v>
      </c>
      <c r="I38" s="16">
        <v>50</v>
      </c>
      <c r="J38" s="17">
        <f t="shared" si="2"/>
        <v>150</v>
      </c>
      <c r="K38" s="18" t="s">
        <v>16</v>
      </c>
      <c r="L38" s="19">
        <v>0</v>
      </c>
      <c r="M38" s="24">
        <f t="shared" si="3"/>
        <v>150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+'11'!G39</f>
        <v>2</v>
      </c>
      <c r="D39" s="13">
        <v>5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+'11'!G40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+'11'!G41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4</v>
      </c>
      <c r="H41" s="15">
        <v>1</v>
      </c>
      <c r="I41" s="16">
        <v>50</v>
      </c>
      <c r="J41" s="17">
        <f t="shared" si="2"/>
        <v>50</v>
      </c>
      <c r="K41" s="18" t="s">
        <v>262</v>
      </c>
      <c r="L41" s="19">
        <v>50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+'11'!G42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+'11'!G43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+'11'!G44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+'11'!G46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+'11'!G47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5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+'11'!G48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+'11'!G50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+'11'!G61</f>
        <v>0</v>
      </c>
      <c r="D61" s="13">
        <v>3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+'11'!G62</f>
        <v>1</v>
      </c>
      <c r="D62" s="13">
        <v>3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+'11'!G63</f>
        <v>1</v>
      </c>
      <c r="D63" s="13">
        <v>3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+'11'!G66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+'11'!G67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0</v>
      </c>
      <c r="H67" s="15">
        <v>7</v>
      </c>
      <c r="I67" s="16">
        <v>50</v>
      </c>
      <c r="J67" s="17">
        <f t="shared" si="2"/>
        <v>350</v>
      </c>
      <c r="K67" s="18" t="s">
        <v>16</v>
      </c>
      <c r="L67" s="19">
        <v>0</v>
      </c>
      <c r="M67" s="24">
        <f t="shared" si="3"/>
        <v>350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+'11'!G71</f>
        <v>2</v>
      </c>
      <c r="D71" s="13">
        <v>5</v>
      </c>
      <c r="E71" s="14">
        <f t="shared" si="7"/>
        <v>7</v>
      </c>
      <c r="F71" s="13">
        <v>0</v>
      </c>
      <c r="G71" s="14">
        <f t="shared" si="0"/>
        <v>6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+'11'!G73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+'11'!G74</f>
        <v>6</v>
      </c>
      <c r="D74" s="13">
        <v>0</v>
      </c>
      <c r="E74" s="14">
        <f t="shared" si="7"/>
        <v>6</v>
      </c>
      <c r="F74" s="13">
        <v>0</v>
      </c>
      <c r="G74" s="14">
        <f t="shared" si="0"/>
        <v>5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+'11'!G77</f>
        <v>2</v>
      </c>
      <c r="D77" s="13">
        <v>3</v>
      </c>
      <c r="E77" s="14">
        <f t="shared" si="7"/>
        <v>5</v>
      </c>
      <c r="F77" s="13">
        <v>0</v>
      </c>
      <c r="G77" s="14">
        <f t="shared" si="0"/>
        <v>3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+'11'!G79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+'11'!G81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+'11'!G82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+'11'!G85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+'11'!G86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13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+'11'!G87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+'11'!G88</f>
        <v>8</v>
      </c>
      <c r="D88" s="13">
        <v>10</v>
      </c>
      <c r="E88" s="14">
        <f t="shared" si="7"/>
        <v>18</v>
      </c>
      <c r="F88" s="13">
        <v>0</v>
      </c>
      <c r="G88" s="14">
        <f t="shared" si="0"/>
        <v>17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+'11'!G101</f>
        <v>24</v>
      </c>
      <c r="D101" s="13">
        <v>0</v>
      </c>
      <c r="E101" s="14">
        <f t="shared" si="7"/>
        <v>24</v>
      </c>
      <c r="F101" s="13">
        <v>0</v>
      </c>
      <c r="G101" s="14">
        <f t="shared" si="13"/>
        <v>23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+'11'!G102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+'11'!G103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+'11'!G142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+'11'!G143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+'11'!G151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+'11'!G152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5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+'11'!G167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+'11'!G168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+'11'!G170</f>
        <v>22</v>
      </c>
      <c r="D170" s="13">
        <v>0</v>
      </c>
      <c r="E170" s="14">
        <f t="shared" si="14"/>
        <v>22</v>
      </c>
      <c r="F170" s="13">
        <v>0</v>
      </c>
      <c r="G170" s="14">
        <f t="shared" si="17"/>
        <v>22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+'11'!G178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1765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650</v>
      </c>
      <c r="L209" s="2">
        <v>500</v>
      </c>
      <c r="M209" s="2">
        <v>150</v>
      </c>
    </row>
    <row r="210" spans="1:13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3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3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50</v>
      </c>
    </row>
    <row r="213" spans="1:13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1050</v>
      </c>
    </row>
    <row r="214" spans="1:13" ht="24.6" x14ac:dyDescent="0.65">
      <c r="A214" s="1"/>
      <c r="C214" s="32"/>
      <c r="E214" s="32"/>
      <c r="G214" s="32"/>
      <c r="I214" s="141" t="s">
        <v>208</v>
      </c>
      <c r="J214" s="142"/>
      <c r="K214" s="38">
        <v>1150</v>
      </c>
    </row>
    <row r="215" spans="1:13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100</v>
      </c>
    </row>
    <row r="216" spans="1:13" ht="24.6" x14ac:dyDescent="0.65">
      <c r="G216" s="2"/>
      <c r="I216" s="141" t="s">
        <v>210</v>
      </c>
      <c r="J216" s="142"/>
      <c r="K216" s="34">
        <f>+K214-K213</f>
        <v>100</v>
      </c>
    </row>
    <row r="217" spans="1:13" x14ac:dyDescent="0.6">
      <c r="G217" s="2"/>
      <c r="I217" s="2"/>
    </row>
    <row r="218" spans="1:13" x14ac:dyDescent="0.6">
      <c r="G218" s="2"/>
      <c r="I218" s="2"/>
      <c r="J218" s="95" t="s">
        <v>255</v>
      </c>
      <c r="K218" s="24">
        <f>+K207-K212+K215</f>
        <v>1815</v>
      </c>
    </row>
    <row r="219" spans="1:13" x14ac:dyDescent="0.6">
      <c r="G219" s="2"/>
      <c r="I219" s="2"/>
      <c r="J219" s="2" t="s">
        <v>256</v>
      </c>
      <c r="K219" s="24">
        <f>SUM(K208:K211)</f>
        <v>665</v>
      </c>
    </row>
    <row r="220" spans="1:13" x14ac:dyDescent="0.6">
      <c r="G220" s="2"/>
      <c r="I220" s="2"/>
      <c r="J220" s="2" t="s">
        <v>257</v>
      </c>
      <c r="K220" s="24">
        <f>+K214</f>
        <v>1150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E64-5777-403B-AA70-71CB4E00A46C}">
  <sheetPr>
    <tabColor theme="5" tint="0.79998168889431442"/>
  </sheetPr>
  <dimension ref="A1:Z291"/>
  <sheetViews>
    <sheetView zoomScale="90" zoomScaleNormal="90" workbookViewId="0">
      <pane ySplit="4" topLeftCell="A191" activePane="bottomLeft" state="frozen"/>
      <selection pane="bottomLeft"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+'12'!G5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+'12'!G6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+'12'!G12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+'12'!G14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+'12'!G17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+'12'!G19</f>
        <v>6</v>
      </c>
      <c r="D19" s="13">
        <v>0</v>
      </c>
      <c r="E19" s="14">
        <f t="shared" si="1"/>
        <v>6</v>
      </c>
      <c r="F19" s="13">
        <v>0</v>
      </c>
      <c r="G19" s="14">
        <f t="shared" si="0"/>
        <v>4</v>
      </c>
      <c r="H19" s="15">
        <v>2</v>
      </c>
      <c r="I19" s="16">
        <v>50</v>
      </c>
      <c r="J19" s="17">
        <f t="shared" si="2"/>
        <v>100</v>
      </c>
      <c r="K19" s="18" t="s">
        <v>262</v>
      </c>
      <c r="L19" s="19">
        <v>50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+'12'!G23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+'12'!G34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+'12'!G35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+'12'!G37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5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+'12'!G38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+'12'!G39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+'12'!G41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+'12'!G42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+'12'!G43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+'12'!G44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+'12'!G46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7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+'12'!G47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+'12'!G48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+'12'!G50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+'12'!G61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+'12'!G62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+'12'!G63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+'12'!G66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+'12'!G71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6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+'12'!G73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+'12'!G74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+'12'!G77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+'12'!G79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+'12'!G81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+'12'!G82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+'12'!G85</f>
        <v>17</v>
      </c>
      <c r="D85" s="13">
        <v>0</v>
      </c>
      <c r="E85" s="14">
        <f t="shared" si="7"/>
        <v>17</v>
      </c>
      <c r="F85" s="13">
        <v>0</v>
      </c>
      <c r="G85" s="14">
        <f t="shared" si="0"/>
        <v>16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+'12'!G86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13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+'12'!G87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+'12'!G88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+'12'!G101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+'12'!G102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+'12'!G103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+'12'!G142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2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+'12'!G143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1</v>
      </c>
      <c r="H143" s="15">
        <v>1</v>
      </c>
      <c r="I143" s="21">
        <v>120</v>
      </c>
      <c r="J143" s="17">
        <f t="shared" si="15"/>
        <v>120</v>
      </c>
      <c r="K143" s="18" t="s">
        <v>16</v>
      </c>
      <c r="L143" s="19">
        <v>0</v>
      </c>
      <c r="M143" s="24">
        <f t="shared" si="16"/>
        <v>120</v>
      </c>
    </row>
    <row r="144" spans="1:13" ht="24.6" x14ac:dyDescent="0.6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+'12'!G151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0</v>
      </c>
      <c r="H151" s="15">
        <v>3</v>
      </c>
      <c r="I151" s="21">
        <v>120</v>
      </c>
      <c r="J151" s="17">
        <f t="shared" si="15"/>
        <v>360</v>
      </c>
      <c r="K151" s="18" t="s">
        <v>258</v>
      </c>
      <c r="L151" s="19">
        <v>40</v>
      </c>
      <c r="M151" s="24">
        <f t="shared" si="16"/>
        <v>320</v>
      </c>
    </row>
    <row r="152" spans="1:13" ht="24.6" x14ac:dyDescent="0.65">
      <c r="A152" s="10">
        <v>148</v>
      </c>
      <c r="B152" s="20" t="s">
        <v>164</v>
      </c>
      <c r="C152" s="12">
        <f>+'12'!G152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4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4.6" x14ac:dyDescent="0.6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+'12'!G167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+'12'!G168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+'12'!G170</f>
        <v>22</v>
      </c>
      <c r="D170" s="13">
        <v>0</v>
      </c>
      <c r="E170" s="14">
        <f t="shared" si="14"/>
        <v>22</v>
      </c>
      <c r="F170" s="13">
        <v>0</v>
      </c>
      <c r="G170" s="14">
        <f t="shared" si="17"/>
        <v>21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+'12'!G178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1450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120</v>
      </c>
      <c r="L209" s="2">
        <v>120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90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1225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1225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1360</v>
      </c>
    </row>
    <row r="219" spans="1:12" x14ac:dyDescent="0.6">
      <c r="G219" s="2"/>
      <c r="I219" s="2"/>
      <c r="J219" s="2" t="s">
        <v>256</v>
      </c>
      <c r="K219" s="24">
        <f>SUM(K208:K211)</f>
        <v>135</v>
      </c>
    </row>
    <row r="220" spans="1:12" x14ac:dyDescent="0.6">
      <c r="G220" s="2"/>
      <c r="I220" s="2"/>
      <c r="J220" s="2" t="s">
        <v>257</v>
      </c>
      <c r="K220" s="24">
        <f>+K214</f>
        <v>1225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C87-112E-4642-B264-DFA7592EE5E0}">
  <sheetPr>
    <tabColor theme="5" tint="0.79998168889431442"/>
  </sheetPr>
  <dimension ref="A1:Z291"/>
  <sheetViews>
    <sheetView zoomScale="90" zoomScaleNormal="90" workbookViewId="0">
      <pane ySplit="4" topLeftCell="A189" activePane="bottomLeft" state="frozen"/>
      <selection pane="bottomLeft" activeCell="B194" sqref="B19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+'13'!G5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+'13'!G6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+'13'!G12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+'13'!G14</f>
        <v>3</v>
      </c>
      <c r="D14" s="13">
        <v>3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+'13'!G17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+'13'!G19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+'13'!G23</f>
        <v>4</v>
      </c>
      <c r="D23" s="13">
        <v>5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+'13'!G34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+'13'!G35</f>
        <v>2</v>
      </c>
      <c r="D35" s="13">
        <v>3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+'13'!G37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+'13'!G38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+'13'!G39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+'13'!G40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+'13'!G41</f>
        <v>4</v>
      </c>
      <c r="D41" s="13">
        <v>5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+'13'!G42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+'13'!G43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+'13'!G44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+'13'!G46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+'13'!G47</f>
        <v>5</v>
      </c>
      <c r="D47" s="13">
        <v>5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+'13'!G48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+'13'!G50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+'13'!G61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+'13'!G62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+'13'!G63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+'13'!G66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+'13'!G67</f>
        <v>0</v>
      </c>
      <c r="D67" s="13">
        <v>10</v>
      </c>
      <c r="E67" s="14">
        <f t="shared" si="1"/>
        <v>10</v>
      </c>
      <c r="F67" s="13">
        <v>0</v>
      </c>
      <c r="G67" s="14">
        <f t="shared" si="0"/>
        <v>8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+'13'!G71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5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+'13'!G73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+'13'!G74</f>
        <v>4</v>
      </c>
      <c r="D74" s="13">
        <v>10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+'13'!G77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+'13'!G79</f>
        <v>6</v>
      </c>
      <c r="D79" s="13">
        <v>5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+'13'!G81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+'13'!G82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+'13'!G85</f>
        <v>16</v>
      </c>
      <c r="D85" s="13">
        <v>20</v>
      </c>
      <c r="E85" s="14">
        <f t="shared" si="7"/>
        <v>36</v>
      </c>
      <c r="F85" s="13">
        <v>0</v>
      </c>
      <c r="G85" s="14">
        <f t="shared" si="0"/>
        <v>34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+'13'!G86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12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+'13'!G87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+'13'!G88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+'13'!G101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+'13'!G102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+'13'!G103</f>
        <v>6</v>
      </c>
      <c r="D103" s="13">
        <v>10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+'13'!G142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2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+'13'!G143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+'13'!G152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+'13'!G167</f>
        <v>2</v>
      </c>
      <c r="D167" s="13">
        <v>5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+'13'!G168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+'13'!G170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+'13'!G178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267</v>
      </c>
      <c r="C194" s="12">
        <f>+'13'!G194</f>
        <v>0</v>
      </c>
      <c r="D194" s="13">
        <v>10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695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110</v>
      </c>
      <c r="L209" s="2">
        <v>110</v>
      </c>
    </row>
    <row r="210" spans="1:12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2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2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570</v>
      </c>
    </row>
    <row r="214" spans="1:12" ht="24.6" x14ac:dyDescent="0.65">
      <c r="A214" s="1"/>
      <c r="C214" s="32"/>
      <c r="E214" s="32"/>
      <c r="G214" s="32"/>
      <c r="I214" s="141" t="s">
        <v>208</v>
      </c>
      <c r="J214" s="142"/>
      <c r="K214" s="38">
        <v>570</v>
      </c>
    </row>
    <row r="215" spans="1:12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2" ht="24.6" x14ac:dyDescent="0.65">
      <c r="G216" s="2"/>
      <c r="I216" s="141" t="s">
        <v>210</v>
      </c>
      <c r="J216" s="142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95" t="s">
        <v>255</v>
      </c>
      <c r="K218" s="24">
        <f>+K207-K212+K215</f>
        <v>695</v>
      </c>
    </row>
    <row r="219" spans="1:12" x14ac:dyDescent="0.6">
      <c r="G219" s="2"/>
      <c r="I219" s="2"/>
      <c r="J219" s="2" t="s">
        <v>256</v>
      </c>
      <c r="K219" s="24">
        <f>SUM(K208:K211)</f>
        <v>125</v>
      </c>
    </row>
    <row r="220" spans="1:12" x14ac:dyDescent="0.6">
      <c r="G220" s="2"/>
      <c r="I220" s="2"/>
      <c r="J220" s="2" t="s">
        <v>257</v>
      </c>
      <c r="K220" s="24">
        <f>+K214</f>
        <v>570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CF55-D94D-4058-AC36-05498D66FB0C}">
  <sheetPr>
    <tabColor rgb="FF92D050"/>
  </sheetPr>
  <dimension ref="A1:Z291"/>
  <sheetViews>
    <sheetView zoomScale="90" zoomScaleNormal="90" workbookViewId="0">
      <pane ySplit="4" topLeftCell="A202" activePane="bottomLeft" state="frozen"/>
      <selection pane="bottomLeft" activeCell="N209" sqref="N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+'14'!G5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10</v>
      </c>
      <c r="H5" s="15">
        <v>2</v>
      </c>
      <c r="I5" s="16">
        <v>50</v>
      </c>
      <c r="J5" s="17">
        <f>+I5*H5</f>
        <v>100</v>
      </c>
      <c r="K5" s="18" t="s">
        <v>263</v>
      </c>
      <c r="L5" s="19">
        <v>50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+'14'!G6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20</v>
      </c>
      <c r="H6" s="15">
        <v>1</v>
      </c>
      <c r="I6" s="16">
        <v>100</v>
      </c>
      <c r="J6" s="17">
        <f t="shared" ref="J6:J69" si="2">+I6*H6</f>
        <v>100</v>
      </c>
      <c r="K6" s="18" t="s">
        <v>263</v>
      </c>
      <c r="L6" s="19">
        <v>50</v>
      </c>
      <c r="M6" s="24">
        <f t="shared" ref="M6:M69" si="3">SUM(J6-L6)</f>
        <v>50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+'14'!G12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+'14'!G14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+'14'!G17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+'14'!G19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+'14'!G23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+'14'!G34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+'14'!G35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+'14'!G37</f>
        <v>5</v>
      </c>
      <c r="D37" s="13">
        <v>5</v>
      </c>
      <c r="E37" s="14">
        <f t="shared" si="1"/>
        <v>10</v>
      </c>
      <c r="F37" s="13">
        <v>0</v>
      </c>
      <c r="G37" s="14">
        <f t="shared" si="0"/>
        <v>8</v>
      </c>
      <c r="H37" s="15">
        <v>2</v>
      </c>
      <c r="I37" s="16">
        <v>100</v>
      </c>
      <c r="J37" s="17">
        <f t="shared" si="2"/>
        <v>200</v>
      </c>
      <c r="K37" s="18" t="s">
        <v>264</v>
      </c>
      <c r="L37" s="19">
        <v>50</v>
      </c>
      <c r="M37" s="24">
        <f t="shared" si="3"/>
        <v>150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+'14'!G38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+'14'!G39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+'14'!G40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+'14'!G41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+'14'!G42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+'14'!G43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+'14'!G44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+'14'!G46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+'14'!G47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+'14'!G48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96">
        <f>+'14'!G50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+'14'!G62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+'14'!G63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+'14'!G66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+'14'!G67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7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+'14'!G71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4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+'14'!G73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21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+'14'!G74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+'14'!G77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+'14'!G79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10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+'14'!G81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+'14'!G82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+'14'!G85</f>
        <v>34</v>
      </c>
      <c r="D85" s="13">
        <v>0</v>
      </c>
      <c r="E85" s="14">
        <f t="shared" si="7"/>
        <v>34</v>
      </c>
      <c r="F85" s="13">
        <v>0</v>
      </c>
      <c r="G85" s="14">
        <f t="shared" si="0"/>
        <v>33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+'14'!G86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+'14'!G87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+'14'!G88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+'14'!G101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+'14'!G102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+'14'!G103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+'14'!G142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1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+'14'!G143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+'14'!G152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+'14'!G168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+'14'!G170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+'14'!G178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267</v>
      </c>
      <c r="C194" s="12">
        <f>+'14'!G194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1255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80</v>
      </c>
      <c r="L209" s="2">
        <v>50</v>
      </c>
      <c r="M209" s="2">
        <v>30</v>
      </c>
    </row>
    <row r="210" spans="1:13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3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3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150</v>
      </c>
    </row>
    <row r="213" spans="1:13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1010</v>
      </c>
    </row>
    <row r="214" spans="1:13" ht="24.6" x14ac:dyDescent="0.65">
      <c r="A214" s="1"/>
      <c r="C214" s="32"/>
      <c r="E214" s="32"/>
      <c r="G214" s="32"/>
      <c r="I214" s="141" t="s">
        <v>208</v>
      </c>
      <c r="J214" s="142"/>
      <c r="K214" s="38">
        <v>1095</v>
      </c>
    </row>
    <row r="215" spans="1:13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85</v>
      </c>
    </row>
    <row r="216" spans="1:13" ht="24.6" x14ac:dyDescent="0.65">
      <c r="G216" s="2"/>
      <c r="I216" s="141" t="s">
        <v>210</v>
      </c>
      <c r="J216" s="142"/>
      <c r="K216" s="34">
        <f>+K214-K213</f>
        <v>85</v>
      </c>
    </row>
    <row r="217" spans="1:13" x14ac:dyDescent="0.6">
      <c r="G217" s="2"/>
      <c r="I217" s="2"/>
    </row>
    <row r="218" spans="1:13" x14ac:dyDescent="0.6">
      <c r="G218" s="2"/>
      <c r="I218" s="2"/>
      <c r="J218" s="95" t="s">
        <v>255</v>
      </c>
      <c r="K218" s="24">
        <f>+K207-K212+K215</f>
        <v>1190</v>
      </c>
    </row>
    <row r="219" spans="1:13" x14ac:dyDescent="0.6">
      <c r="G219" s="2"/>
      <c r="I219" s="2"/>
      <c r="J219" s="2" t="s">
        <v>256</v>
      </c>
      <c r="K219" s="24">
        <f>SUM(K208:K211)</f>
        <v>95</v>
      </c>
    </row>
    <row r="220" spans="1:13" x14ac:dyDescent="0.6">
      <c r="G220" s="2"/>
      <c r="I220" s="2"/>
      <c r="J220" s="2" t="s">
        <v>257</v>
      </c>
      <c r="K220" s="24">
        <f>+K214</f>
        <v>1095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7D5-1B7A-4B4A-A1F6-4806978AEEBB}">
  <sheetPr>
    <tabColor rgb="FF92D050"/>
  </sheetPr>
  <dimension ref="A1:Z291"/>
  <sheetViews>
    <sheetView topLeftCell="A201" zoomScaleNormal="100" workbookViewId="0">
      <selection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+'15'!G5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+'15'!G6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+'15'!G12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+'15'!G14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+'15'!G17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+'15'!G19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+'15'!G23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+'15'!G34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+'15'!G35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+'15'!G37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+'15'!G38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+'15'!G39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+'15'!G40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+'15'!G41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+'15'!G42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+'15'!G43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+'15'!G44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+'15'!G46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+'15'!G47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+'15'!G48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+'15'!G50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+'15'!G62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+'15'!G63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+'15'!G66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+'15'!G67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+'15'!G71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+'15'!G73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+'15'!G74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+'15'!G77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+'15'!G81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+'15'!G82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+'15'!G85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+'15'!G86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+'15'!G87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+'15'!G88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+'15'!G101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+'15'!G102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+'15'!G103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+'15'!G142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+'15'!G143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+'15'!G152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+'15'!G168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+'15'!G170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+'15'!G178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+'15'!G194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95" t="s">
        <v>255</v>
      </c>
      <c r="K218" s="24">
        <f>+K207-K212+K215</f>
        <v>0</v>
      </c>
    </row>
    <row r="219" spans="1:11" x14ac:dyDescent="0.6">
      <c r="G219" s="2"/>
      <c r="I219" s="2"/>
      <c r="J219" s="2" t="s">
        <v>256</v>
      </c>
      <c r="K219" s="24">
        <f>SUM(K208:K211)</f>
        <v>0</v>
      </c>
    </row>
    <row r="220" spans="1:11" x14ac:dyDescent="0.6">
      <c r="G220" s="2"/>
      <c r="I220" s="2"/>
      <c r="J220" s="2" t="s">
        <v>257</v>
      </c>
      <c r="K220" s="24">
        <f>+K214</f>
        <v>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30AF-83F7-4793-80C6-DD1BA4D6D82F}">
  <sheetPr>
    <tabColor rgb="FF92D050"/>
  </sheetPr>
  <dimension ref="A1:Z291"/>
  <sheetViews>
    <sheetView topLeftCell="A201" zoomScaleNormal="100" workbookViewId="0">
      <selection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+'16'!G5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+'16'!G6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+'16'!G12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+'16'!G14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+'16'!G17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+'16'!G19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+'16'!G23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+'16'!G34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+'16'!G35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+'16'!G37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+'16'!G38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+'16'!G39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+'16'!G40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+'16'!G41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+'16'!G42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+'16'!G43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+'16'!G44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+'16'!G46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+'16'!G47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+'16'!G48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+'16'!G50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+'16'!G55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+'16'!G62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+'16'!G63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+'16'!G66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+'16'!G67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+'16'!G71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+'16'!G73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+'16'!G74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+'16'!G77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+'16'!G79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+'16'!G81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+'16'!G85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+'16'!G86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+'16'!G87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+'16'!G88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+'16'!G101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+'16'!G102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+'16'!G103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+'16'!G142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+'16'!G143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+'16'!G152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+'16'!G168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+'16'!G170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+'16'!G178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+'16'!G194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95" t="s">
        <v>255</v>
      </c>
      <c r="K218" s="24">
        <f>+K207-K212+K215</f>
        <v>0</v>
      </c>
    </row>
    <row r="219" spans="1:11" x14ac:dyDescent="0.6">
      <c r="G219" s="2"/>
      <c r="I219" s="2"/>
      <c r="J219" s="2" t="s">
        <v>256</v>
      </c>
      <c r="K219" s="24">
        <f>SUM(K208:K211)</f>
        <v>0</v>
      </c>
    </row>
    <row r="220" spans="1:11" x14ac:dyDescent="0.6">
      <c r="G220" s="2"/>
      <c r="I220" s="2"/>
      <c r="J220" s="2" t="s">
        <v>257</v>
      </c>
      <c r="K220" s="24">
        <f>+K214</f>
        <v>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5A6-2E18-4C2C-8B0F-8E259A4D1A4A}">
  <sheetPr>
    <tabColor rgb="FF92D050"/>
  </sheetPr>
  <dimension ref="A1:Z291"/>
  <sheetViews>
    <sheetView topLeftCell="A199" zoomScaleNormal="100" workbookViewId="0">
      <selection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+'17'!G5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+'17'!G6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+'17'!G12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+'17'!G14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+'17'!G17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+'17'!G19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+'17'!G23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+'17'!G34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+'17'!G35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+'17'!G37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+'17'!G38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+'17'!G39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+'17'!G40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+'17'!G41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+'17'!G42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+'17'!G43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+'17'!G44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+'17'!G46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+'17'!G48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+'17'!G50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+'17'!G61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+'17'!G62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+'17'!G63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+'17'!G66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+'17'!G67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+'17'!G71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+'17'!G73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+'17'!G74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+'17'!G77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+'17'!G79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+'17'!G81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+'17'!G85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+'17'!G86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+'17'!G87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+'17'!G88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+'17'!G101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+'17'!G102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+'17'!G103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+'17'!G142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+'17'!G143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+'17'!G152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+'17'!G168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+'17'!G170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+'17'!G178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+'17'!G194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95" t="s">
        <v>255</v>
      </c>
      <c r="K218" s="24">
        <f>+K207-K212+K215</f>
        <v>0</v>
      </c>
    </row>
    <row r="219" spans="1:11" x14ac:dyDescent="0.6">
      <c r="G219" s="2"/>
      <c r="I219" s="2"/>
      <c r="J219" s="2" t="s">
        <v>256</v>
      </c>
      <c r="K219" s="24">
        <f>SUM(K208:K211)</f>
        <v>0</v>
      </c>
    </row>
    <row r="220" spans="1:11" x14ac:dyDescent="0.6">
      <c r="G220" s="2"/>
      <c r="I220" s="2"/>
      <c r="J220" s="2" t="s">
        <v>257</v>
      </c>
      <c r="K220" s="24">
        <f>+K214</f>
        <v>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BF2-18B1-4662-A227-3EABE25FC4C8}">
  <sheetPr>
    <tabColor rgb="FF92D050"/>
  </sheetPr>
  <dimension ref="A1:Z291"/>
  <sheetViews>
    <sheetView topLeftCell="A211" zoomScaleNormal="100" workbookViewId="0">
      <selection activeCell="J218" sqref="J218:K22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+'18'!G5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+'18'!G6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+'18'!G12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+'18'!G17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+'18'!G19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+'18'!G23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+'18'!G34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+'18'!G35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+'18'!G37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+'18'!G38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+'18'!G39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+'18'!G40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+'18'!G41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+'18'!G42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+'18'!G43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+'18'!G44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+'18'!G46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+'18'!G47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+'18'!G48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+'18'!G50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+'18'!G61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+'18'!G62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+'18'!G63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+'18'!G66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+'18'!G67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+'18'!G71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+'18'!G73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+'18'!G74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+'18'!G77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+'18'!G79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+'18'!G81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+'18'!G82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+'18'!G85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+'18'!G86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+'18'!G87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+'18'!G88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+'18'!G101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+'18'!G102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+'18'!G103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+'18'!G142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+'18'!G143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+'18'!G152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+'18'!G168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+'18'!G170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+'18'!G178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+'18'!G194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  <c r="J218" s="95" t="s">
        <v>255</v>
      </c>
      <c r="K218" s="24">
        <f>+K207-K212+K215</f>
        <v>0</v>
      </c>
    </row>
    <row r="219" spans="1:11" x14ac:dyDescent="0.6">
      <c r="G219" s="2"/>
      <c r="I219" s="2"/>
      <c r="J219" s="2" t="s">
        <v>256</v>
      </c>
      <c r="K219" s="24">
        <f>SUM(K208:K211)</f>
        <v>0</v>
      </c>
    </row>
    <row r="220" spans="1:11" x14ac:dyDescent="0.6">
      <c r="G220" s="2"/>
      <c r="I220" s="2"/>
      <c r="J220" s="2" t="s">
        <v>257</v>
      </c>
      <c r="K220" s="24">
        <f>+K214</f>
        <v>0</v>
      </c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7DA-7B5E-43AB-9C1C-19E6E8325865}">
  <sheetPr>
    <tabColor rgb="FF92D050"/>
  </sheetPr>
  <dimension ref="A1:Z291"/>
  <sheetViews>
    <sheetView topLeftCell="A200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+'19'!G5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+'19'!G6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+'19'!G12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+'19'!G14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+'19'!G17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+'19'!G19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+'19'!G23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+'19'!G34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+'19'!G35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+'19'!G37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+'19'!G38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+'19'!G39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+'19'!G40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+'19'!G41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+'19'!G42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+'19'!G43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+'19'!G44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+'19'!G46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+'19'!G47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+'19'!G48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+'19'!G50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+'19'!G61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+'19'!G62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+'19'!G63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+'19'!G66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+'19'!G67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+'19'!G71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+'19'!G73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+'19'!G74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+'19'!G77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+'19'!G79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+'19'!G81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+'19'!G82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+'19'!G85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+'19'!G86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+'19'!G87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+'19'!G88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+'19'!G101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+'19'!G102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+'19'!G103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+'19'!G142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+'19'!G143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+'19'!G152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+'19'!G168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+'19'!G170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+'19'!G178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+'19'!G194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8B8F-7D7C-42C7-8290-4F71BC9E9F0F}">
  <sheetPr>
    <tabColor rgb="FF92D050"/>
  </sheetPr>
  <dimension ref="A1:Z291"/>
  <sheetViews>
    <sheetView topLeftCell="A201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+'20'!G5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+'20'!G6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+'20'!G12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+'20'!G14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+'20'!G17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+'20'!G19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+'20'!G23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+'20'!G34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+'20'!G35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+'20'!G37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+'20'!G38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+'20'!G39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+'20'!G40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+'20'!G41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+'20'!G42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+'20'!G43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+'20'!G44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+'20'!G46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+'20'!G47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+'20'!G48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+'20'!G50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+'20'!G61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+'20'!G62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+'20'!G63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+'20'!G66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+'20'!G67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+'20'!G71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+'20'!G73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+'20'!G74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+'20'!G77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+'20'!G79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+'20'!G81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+'20'!G82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+'20'!G85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+'20'!G86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+'20'!G87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+'20'!G88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+'20'!G101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+'20'!G102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+'20'!G103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+'20'!G142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+'20'!G143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+'20'!G152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+'20'!G168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+'20'!G170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+'20'!G178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+'20'!G194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72D-6876-421A-887C-D83238CE940D}">
  <sheetPr>
    <tabColor rgb="FF92D050"/>
  </sheetPr>
  <dimension ref="A1:Z291"/>
  <sheetViews>
    <sheetView topLeftCell="A205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+'21'!G5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+'21'!G6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+'21'!G12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+'21'!G14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+'21'!G17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+'21'!G19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+'21'!G23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+'21'!G34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+'21'!G35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+'21'!G37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+'21'!G38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+'21'!G39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+'21'!G40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+'21'!G41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+'21'!G42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+'21'!G43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+'21'!G44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+'21'!G46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+'21'!G47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+'21'!G48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+'21'!G50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+'21'!G61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+'21'!G62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+'21'!G63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+'21'!G66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+'21'!G67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+'21'!G71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+'21'!G73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+'21'!G74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+'21'!G77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+'21'!G79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+'21'!G81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+'21'!G82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+'21'!G85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+'21'!G86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+'21'!G87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+'21'!G88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+'21'!G101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+'21'!G102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+'21'!G103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+'21'!G142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+'21'!G143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+'21'!G152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+'21'!G167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+'21'!G168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+'21'!G170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+'21'!G178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+'21'!G194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712-3F97-4AE3-8772-753912F4A1F0}">
  <sheetPr>
    <tabColor rgb="FF92D050"/>
  </sheetPr>
  <dimension ref="A1:Z291"/>
  <sheetViews>
    <sheetView topLeftCell="A204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+'22'!G5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+'22'!G6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+'22'!G12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+'22'!G14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+'22'!G17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+'22'!G19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+'22'!G23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+'22'!G34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+'22'!G35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+'22'!G37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+'22'!G38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+'22'!G39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+'22'!G40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+'22'!G41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+'22'!G42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+'22'!G43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+'22'!G44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+'22'!G46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+'22'!G47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+'22'!G48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+'22'!G50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+'22'!G61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+'22'!G62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+'22'!G63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+'22'!G66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+'22'!G67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+'22'!G71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+'22'!G73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+'22'!G74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+'22'!G77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+'22'!G79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+'22'!G81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+'22'!G82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+'22'!G85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+'22'!G86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+'22'!G87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+'22'!G88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+'22'!G101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+'22'!G102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+'22'!G103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+'22'!G142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+'22'!G143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+'22'!G152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+'22'!G167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+'22'!G168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+'22'!G170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+'22'!G178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+'22'!G194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FBA-3B90-47FC-8E2E-412DB7D83B4E}">
  <sheetPr>
    <tabColor rgb="FF92D050"/>
  </sheetPr>
  <dimension ref="A1:Z291"/>
  <sheetViews>
    <sheetView topLeftCell="A201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+'23'!G5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+'23'!G6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+'23'!G12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+'23'!G14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+'23'!G17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+'23'!G19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+'23'!G23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+'23'!G34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+'23'!G35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+'23'!G37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+'23'!G38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+'23'!G39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+'23'!G40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+'23'!G41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+'23'!G42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+'23'!G43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+'23'!G44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+'23'!G46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+'23'!G47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+'23'!G48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+'23'!G50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+'23'!G61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+'23'!G62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+'23'!G63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+'23'!G66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+'23'!G67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+'23'!G71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+'23'!G73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+'23'!G74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+'23'!G77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+'23'!G79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+'23'!G81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+'23'!G82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+'23'!G85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+'23'!G86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+'23'!G87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+'23'!G88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+'23'!G101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+'23'!G102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+'23'!G103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+'23'!G142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+'23'!G143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+'23'!G152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+'23'!G167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+'23'!G168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+'23'!G170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+'23'!G178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+'23'!G194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F67-6A54-4E71-8EC2-77D7ACB13C63}">
  <sheetPr>
    <tabColor rgb="FF92D050"/>
  </sheetPr>
  <dimension ref="A1:Z291"/>
  <sheetViews>
    <sheetView topLeftCell="A194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+'24'!G5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+'24'!G6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+'24'!G12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+'24'!G14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+'24'!G17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+'24'!G19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+'24'!G23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+'24'!G34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+'24'!G35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+'24'!G37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+'24'!G38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+'24'!G39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+'24'!G40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+'24'!G41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+'24'!G42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+'24'!G43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+'24'!G44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+'24'!G46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+'24'!G47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+'24'!G48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+'24'!G50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+'24'!G62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+'24'!G63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+'24'!G66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+'24'!G67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+'24'!G71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+'24'!G73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+'24'!G74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+'24'!G77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+'24'!G79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+'24'!G81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+'24'!G82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+'24'!G85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+'24'!G86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+'24'!G87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+'24'!G88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+'24'!G101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+'24'!G102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+'24'!G103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+'24'!G142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+'24'!G143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+'24'!G152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+'24'!G168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+'24'!G170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+'24'!G178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+'24'!G194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052-5D0A-43E1-8DD7-E7555CC3ADD5}">
  <sheetPr>
    <tabColor rgb="FF92D050"/>
  </sheetPr>
  <dimension ref="A1:Z291"/>
  <sheetViews>
    <sheetView topLeftCell="A203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+'25'!G5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+'25'!G6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+'25'!G12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+'25'!G14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+'25'!G17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+'25'!G19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+'25'!G23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+'25'!G34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+'25'!G35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+'25'!G37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+'25'!G38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+'25'!G39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+'25'!G40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+'25'!G41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+'25'!G42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+'25'!G43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+'25'!G44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+'25'!G46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+'25'!G47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+'25'!G48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+'25'!G50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+'25'!G62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+'25'!G63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+'25'!G66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+'25'!G67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+'25'!G71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+'25'!G73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+'25'!G74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+'25'!G77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+'25'!G81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+'25'!G82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+'25'!G85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+'25'!G86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+'25'!G87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+'25'!G88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+'25'!G101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+'25'!G102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+'25'!G103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+'25'!G142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+'25'!G143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+'25'!G152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+'25'!G168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+'25'!G170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+'25'!G178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+'25'!G194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329-6F6A-4BE7-AF4C-045D275D149F}">
  <sheetPr>
    <tabColor rgb="FF92D050"/>
  </sheetPr>
  <dimension ref="A1:Z291"/>
  <sheetViews>
    <sheetView topLeftCell="A206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+'26'!G5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+'26'!G6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+'26'!G12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+'26'!G14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+'26'!G17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+'26'!G19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+'26'!G23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+'26'!G34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+'26'!G35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+'26'!G37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+'26'!G38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+'26'!G39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+'26'!G40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+'26'!G41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+'26'!G42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+'26'!G43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+'26'!G44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+'26'!G46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+'26'!G47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+'26'!G48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+'26'!G50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+'26'!G55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+'26'!G62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+'26'!G63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+'26'!G66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+'26'!G67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+'26'!G71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+'26'!G73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+'26'!G74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+'26'!G77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+'26'!G79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+'26'!G81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+'26'!G85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+'26'!G86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+'26'!G87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+'26'!G88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+'26'!G101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+'26'!G102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+'26'!G103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+'26'!G142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+'26'!G143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+'26'!G152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+'26'!G168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+'26'!G170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+'26'!G178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+'26'!G194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6A3-1E8C-4BD3-B1B5-28622C27F836}">
  <sheetPr>
    <tabColor rgb="FF92D050"/>
  </sheetPr>
  <dimension ref="A1:Z291"/>
  <sheetViews>
    <sheetView topLeftCell="A205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+'27'!G5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+'27'!G6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+'27'!G12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+'27'!G14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+'27'!G17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+'27'!G19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+'27'!G23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+'27'!G34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+'27'!G35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+'27'!G37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+'27'!G38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+'27'!G39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+'27'!G40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+'27'!G41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+'27'!G42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+'27'!G43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+'27'!G44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+'27'!G46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+'27'!G48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+'27'!G50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+'27'!G61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+'27'!G62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+'27'!G63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+'27'!G66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+'27'!G67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+'27'!G71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+'27'!G73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+'27'!G74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+'27'!G77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+'27'!G79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+'27'!G81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+'27'!G85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+'27'!G86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+'27'!G87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+'27'!G88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+'27'!G101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+'27'!G102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+'27'!G103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+'27'!G142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+'27'!G143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+'27'!G152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+'27'!G168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+'27'!G170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+'27'!G178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+'27'!G194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2F4-180A-491C-8059-E4DFAB161534}">
  <sheetPr>
    <tabColor rgb="FF92D050"/>
  </sheetPr>
  <dimension ref="A1:Z291"/>
  <sheetViews>
    <sheetView topLeftCell="A203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+'28'!G5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+'28'!G6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+'28'!G12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+'28'!G17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+'28'!G19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+'28'!G23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+'28'!G34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+'28'!G35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+'28'!G37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+'28'!G38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+'28'!G39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+'28'!G40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+'28'!G41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+'28'!G42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+'28'!G43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+'28'!G44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+'28'!G46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+'28'!G47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+'28'!G48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+'28'!G50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+'28'!G61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+'28'!G62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+'28'!G63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+'28'!G66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+'28'!G67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+'28'!G71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+'28'!G73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+'28'!G74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+'28'!G77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+'28'!G79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+'28'!G81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+'28'!G82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+'28'!G85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+'28'!G86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+'28'!G87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+'28'!G88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+'28'!G101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+'28'!G102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+'28'!G103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+'28'!G142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+'28'!G143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+'28'!G152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+'28'!G168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+'28'!G170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+'28'!G178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+'28'!G194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5AC-325E-4CE0-A5AD-0467BE6A70BF}">
  <sheetPr>
    <tabColor rgb="FF92D050"/>
  </sheetPr>
  <dimension ref="A1:Z291"/>
  <sheetViews>
    <sheetView topLeftCell="A198" zoomScaleNormal="100" workbookViewId="0">
      <selection activeCell="K215" sqref="K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+'29'!G5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+'29'!G6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+'29'!G12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+'29'!G14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+'29'!G17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+'29'!G19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+'29'!G23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+'29'!G34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+'29'!G35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+'29'!G37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+'29'!G38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+'29'!G39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+'29'!G40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+'29'!G41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+'29'!G42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+'29'!G43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+'29'!G44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+'29'!G46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+'29'!G47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+'29'!G48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+'29'!G50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+'29'!G61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+'29'!G62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+'29'!G63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+'29'!G66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+'29'!G67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+'29'!G71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+'29'!G73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+'29'!G74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+'29'!G77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+'29'!G79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+'29'!G81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+'29'!G82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+'29'!G85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+'29'!G86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+'29'!G87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+'29'!G88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+'29'!G101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+'29'!G102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+'29'!G103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+'29'!G142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+'29'!G143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+'29'!G152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+'29'!G168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+'29'!G170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+'29'!G178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+'29'!G194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597-4B70-4CDE-A1F8-26A3B5CFED46}">
  <sheetPr>
    <tabColor rgb="FF92D050"/>
  </sheetPr>
  <dimension ref="A1:Z291"/>
  <sheetViews>
    <sheetView topLeftCell="A199" zoomScaleNormal="100" workbookViewId="0">
      <selection activeCell="L5" sqref="L5:L20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4" t="s">
        <v>211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4" x14ac:dyDescent="0.7">
      <c r="A3" s="136" t="s">
        <v>1</v>
      </c>
      <c r="B3" s="136" t="s">
        <v>2</v>
      </c>
      <c r="C3" s="137" t="s">
        <v>3</v>
      </c>
      <c r="D3" s="137" t="s">
        <v>4</v>
      </c>
      <c r="E3" s="137" t="s">
        <v>5</v>
      </c>
      <c r="F3" s="4" t="s">
        <v>6</v>
      </c>
      <c r="G3" s="139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36" t="s">
        <v>1</v>
      </c>
      <c r="P3" s="136" t="s">
        <v>2</v>
      </c>
      <c r="Q3" s="137" t="s">
        <v>3</v>
      </c>
      <c r="R3" s="137" t="s">
        <v>4</v>
      </c>
      <c r="S3" s="137" t="s">
        <v>5</v>
      </c>
      <c r="T3" s="4" t="s">
        <v>6</v>
      </c>
      <c r="U3" s="139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 x14ac:dyDescent="0.75">
      <c r="A4" s="136"/>
      <c r="B4" s="136"/>
      <c r="C4" s="138"/>
      <c r="D4" s="138"/>
      <c r="E4" s="138"/>
      <c r="F4" s="6" t="s">
        <v>11</v>
      </c>
      <c r="G4" s="140"/>
      <c r="H4" s="7" t="s">
        <v>12</v>
      </c>
      <c r="I4" s="8" t="s">
        <v>13</v>
      </c>
      <c r="J4" s="9" t="s">
        <v>14</v>
      </c>
      <c r="K4" s="132"/>
      <c r="L4" s="133"/>
      <c r="O4" s="136"/>
      <c r="P4" s="136"/>
      <c r="Q4" s="138"/>
      <c r="R4" s="138"/>
      <c r="S4" s="138"/>
      <c r="T4" s="6" t="s">
        <v>11</v>
      </c>
      <c r="U4" s="140"/>
      <c r="V4" s="7" t="s">
        <v>12</v>
      </c>
      <c r="W4" s="8" t="s">
        <v>13</v>
      </c>
      <c r="X4" s="9" t="s">
        <v>14</v>
      </c>
      <c r="Y4" s="132"/>
      <c r="Z4" s="133"/>
    </row>
    <row r="5" spans="1:26" ht="24.6" x14ac:dyDescent="0.65">
      <c r="A5" s="10">
        <v>1</v>
      </c>
      <c r="B5" s="11" t="s">
        <v>15</v>
      </c>
      <c r="C5" s="12">
        <f>+'30'!G5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+'30'!G6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+'30'!G12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+'30'!G14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+'30'!G17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+'30'!G19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+'30'!G23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+'30'!G34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+'30'!G35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+'30'!G37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+'30'!G38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+'30'!G39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+'30'!G40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+'30'!G41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+'30'!G42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+'30'!G43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+'30'!G44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+'30'!G46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+'30'!G47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+'30'!G48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+'30'!G50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+'30'!G61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+'30'!G62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+'30'!G63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+'30'!G66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+'30'!G67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+'30'!G71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+'30'!G73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+'30'!G74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+'30'!G77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+'30'!G79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+'30'!G81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+'30'!G82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+'30'!G85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+'30'!G86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+'30'!G87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+'30'!G88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+'30'!G101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+'30'!G102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+'30'!G103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43" t="s">
        <v>119</v>
      </c>
      <c r="Q107" s="144"/>
      <c r="R107" s="144"/>
      <c r="S107" s="144"/>
      <c r="T107" s="144"/>
      <c r="U107" s="144"/>
      <c r="V107" s="144"/>
      <c r="W107" s="145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+'30'!G142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+'30'!G143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+'30'!G152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+'30'!G168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+'30'!G170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+'30'!G178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+'30'!G194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+'30'!G197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0" t="s">
        <v>212</v>
      </c>
      <c r="N205" s="150"/>
    </row>
    <row r="206" spans="1:14" ht="25.5" customHeight="1" x14ac:dyDescent="0.6">
      <c r="A206" s="1"/>
      <c r="C206" s="25"/>
      <c r="D206" s="26"/>
      <c r="E206" s="25"/>
      <c r="F206" s="26"/>
      <c r="G206" s="25"/>
      <c r="H206" s="151" t="s">
        <v>213</v>
      </c>
      <c r="I206" s="152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49" t="s">
        <v>201</v>
      </c>
      <c r="J207" s="149"/>
      <c r="K207" s="34">
        <f>SUM(J5:J206)</f>
        <v>0</v>
      </c>
    </row>
    <row r="208" spans="1:14" ht="24.6" x14ac:dyDescent="0.65">
      <c r="A208" s="1"/>
      <c r="C208" s="32"/>
      <c r="E208" s="32"/>
      <c r="G208" s="32"/>
      <c r="I208" s="141" t="s">
        <v>202</v>
      </c>
      <c r="J208" s="142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41" t="s">
        <v>204</v>
      </c>
      <c r="J210" s="142"/>
      <c r="K210" s="37">
        <v>0</v>
      </c>
    </row>
    <row r="211" spans="1:11" ht="24.6" x14ac:dyDescent="0.65">
      <c r="A211" s="1"/>
      <c r="C211" s="32"/>
      <c r="E211" s="32"/>
      <c r="G211" s="32"/>
      <c r="I211" s="141" t="s">
        <v>205</v>
      </c>
      <c r="J211" s="142"/>
      <c r="K211" s="37">
        <v>0</v>
      </c>
    </row>
    <row r="212" spans="1:11" ht="24.6" x14ac:dyDescent="0.65">
      <c r="A212" s="1"/>
      <c r="C212" s="32"/>
      <c r="E212" s="32"/>
      <c r="G212" s="32"/>
      <c r="I212" s="141" t="s">
        <v>206</v>
      </c>
      <c r="J212" s="142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41" t="s">
        <v>207</v>
      </c>
      <c r="J213" s="142"/>
      <c r="K213" s="34">
        <f>K207-K208-K209-K211-K212</f>
        <v>0</v>
      </c>
    </row>
    <row r="214" spans="1:11" ht="24.6" x14ac:dyDescent="0.65">
      <c r="A214" s="1"/>
      <c r="C214" s="32"/>
      <c r="E214" s="32"/>
      <c r="G214" s="32"/>
      <c r="I214" s="141" t="s">
        <v>208</v>
      </c>
      <c r="J214" s="142"/>
      <c r="K214" s="38">
        <v>0</v>
      </c>
    </row>
    <row r="215" spans="1:11" ht="24.6" x14ac:dyDescent="0.65">
      <c r="A215" s="1"/>
      <c r="C215" s="32"/>
      <c r="E215" s="32"/>
      <c r="G215" s="32"/>
      <c r="I215" s="141" t="s">
        <v>209</v>
      </c>
      <c r="J215" s="142"/>
      <c r="K215" s="34">
        <f>+K214-K213</f>
        <v>0</v>
      </c>
    </row>
    <row r="216" spans="1:11" ht="24.6" x14ac:dyDescent="0.65">
      <c r="G216" s="2"/>
      <c r="I216" s="141" t="s">
        <v>210</v>
      </c>
      <c r="J216" s="142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2024-02-18T08:54:50Z</cp:lastPrinted>
  <dcterms:created xsi:type="dcterms:W3CDTF">2023-12-01T06:43:20Z</dcterms:created>
  <dcterms:modified xsi:type="dcterms:W3CDTF">2025-04-04T09:41:29Z</dcterms:modified>
</cp:coreProperties>
</file>